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0" showHorizontalScroll="1" showVerticalScroll="1"/>
  </bookViews>
  <sheets>
    <sheet name="LA_RO_BIOCOOP" sheetId="1" state="visible" r:id="rId2"/>
    <sheet name="LA_RO_POSTE" sheetId="2" state="visible" r:id="rId3"/>
    <sheet name="LA_RO_ENILV" sheetId="3" state="visible" r:id="rId4"/>
    <sheet name="LA_RO_gare" sheetId="4" state="visible" r:id="rId5"/>
    <sheet name="LA RO ANDREV 24" sheetId="5" state="visible" r:id="rId6"/>
    <sheet name="ARENT_PAPETERIE" sheetId="6" state="visible" r:id="rId7"/>
    <sheet name="ST_PI_BORNE_DESSY" sheetId="7" state="visible" r:id="rId8"/>
    <sheet name="BO_BORNE_PRISON" sheetId="8" state="visible" r:id="rId9"/>
    <sheet name="ST_PI_BORNE_RD1203" sheetId="9" state="visible" r:id="rId10"/>
    <sheet name="ST_PI_M_BRICOLAGE" sheetId="10" state="visible" r:id="rId11"/>
    <sheet name="AYZE" sheetId="11" state="visible" r:id="rId12"/>
    <sheet name="Ciclable 2023" sheetId="12" state="visible" r:id="rId13"/>
    <sheet name="Ciclable 2024" sheetId="13" state="visible" r:id="rId14"/>
    <sheet name="synthèse 2024" sheetId="14" state="visible" r:id="rId15"/>
  </sheets>
  <definedNames>
    <definedName name="Print_Area" localSheetId="0" hidden="0">LA_RO_BIOCOOP!$A$1:$AL$22</definedName>
    <definedName name="Print_Area" localSheetId="1" hidden="0">LA_RO_POSTE!$A$1:$BV$34</definedName>
    <definedName name="_xlnm.Print_Area" localSheetId="2" hidden="0">LA_RO_ENILV!$A$1:$AX$28</definedName>
    <definedName name="Print_Area" localSheetId="3" hidden="0">LA_RO_gare!$A$1:$AD$33</definedName>
    <definedName name="Print_Area" localSheetId="4" hidden="0">'LA RO ANDREV 24'!$A$1:$J$32</definedName>
    <definedName name="Print_Area" localSheetId="5" hidden="0">ARENT_PAPETERIE!$A$1:$Z$32</definedName>
    <definedName name="Print_Area" localSheetId="6" hidden="0">ST_PI_BORNE_DESSY!$A$1:$Z$22</definedName>
    <definedName name="Print_Area" localSheetId="7" hidden="0">BO_BORNE_PRISON!$A$1:$J$21</definedName>
    <definedName name="Print_Area" localSheetId="8" hidden="0">ST_PI_BORNE_RD1203!$A$1:$V$39,ST_PI_BORNE_RD1203!$A$42:$V$84</definedName>
    <definedName name="Print_Area" localSheetId="9" hidden="0">ST_PI_M_BRICOLAGE!$A$1:$R$27</definedName>
    <definedName name="Print_Area" localSheetId="10" hidden="0">AYZE!$A$1:$J$21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tc={002400B1-00A9-4725-A8F6-008C004C0071}</author>
    <author>tc={009F00AE-00C5-486D-ABB6-000D0024004A}</author>
  </authors>
  <commentList>
    <comment ref="H15" authorId="0" xr:uid="{002400B1-00A9-4725-A8F6-008C004C0071}">
      <text>
        <r>
          <rPr>
            <b/>
            <sz val="9"/>
            <rFont val="Tahoma"/>
          </rPr>
          <t xml:space="preserve"> 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Arrêt à 8h30
</t>
        </r>
      </text>
    </comment>
    <comment ref="H10" authorId="1" xr:uid="{009F00AE-00C5-486D-ABB6-000D0024004A}">
      <text>
        <r>
          <rPr>
            <b/>
            <sz val="9"/>
            <rFont val="Tahoma"/>
          </rPr>
          <t xml:space="preserve"> 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Jusqu'à 8h20
</t>
        </r>
      </text>
    </comment>
  </commentList>
</comments>
</file>

<file path=xl/sharedStrings.xml><?xml version="1.0" encoding="utf-8"?>
<sst xmlns="http://schemas.openxmlformats.org/spreadsheetml/2006/main" count="241" uniqueCount="241">
  <si>
    <t>Lieu :</t>
  </si>
  <si>
    <t xml:space="preserve">La Roche Face Biocoop</t>
  </si>
  <si>
    <t>Date :</t>
  </si>
  <si>
    <t xml:space="preserve">Nom des personnes participant au comptage :</t>
  </si>
  <si>
    <t>Sylvianne</t>
  </si>
  <si>
    <t>Météo :</t>
  </si>
  <si>
    <t>bonne</t>
  </si>
  <si>
    <t>Remarques :</t>
  </si>
  <si>
    <t xml:space="preserve">PRINCIPE D’UTILISATION : pour chaque intervalle de temps, comptabiliser VAE/vélo dans la colonne H/F</t>
  </si>
  <si>
    <t xml:space="preserve">Rajouter aussi en bas de la feuille si déplacement vélo sur trottoir et/ou si enfant</t>
  </si>
  <si>
    <t xml:space="preserve">Comptabiliser en bas de la grille si 2 roues hors vélo qui ne sont pas cochés dans la grille (trottinette, skate, ets)</t>
  </si>
  <si>
    <t xml:space="preserve">De La Gare (Fg St Bernard) vers</t>
  </si>
  <si>
    <t xml:space="preserve">Du Pont du Foron vers</t>
  </si>
  <si>
    <t xml:space="preserve">Du Rd Point La Poste vers</t>
  </si>
  <si>
    <t xml:space="preserve">Rd Pt Poste</t>
  </si>
  <si>
    <t xml:space="preserve">Rue Perrine</t>
  </si>
  <si>
    <t xml:space="preserve">Pont du Foron</t>
  </si>
  <si>
    <t xml:space="preserve">La Gare</t>
  </si>
  <si>
    <t>H</t>
  </si>
  <si>
    <t>F</t>
  </si>
  <si>
    <t>Période</t>
  </si>
  <si>
    <t>VAE</t>
  </si>
  <si>
    <t>vélo</t>
  </si>
  <si>
    <t xml:space="preserve">dont Enfant</t>
  </si>
  <si>
    <t xml:space="preserve">Dont vélo sur trottoir</t>
  </si>
  <si>
    <t xml:space="preserve">dont Cyclo sportifs</t>
  </si>
  <si>
    <t xml:space="preserve">hors grille, plus 2 roues hors vélo (trottinette, skate...)</t>
  </si>
  <si>
    <t>TOTAL</t>
  </si>
  <si>
    <t xml:space="preserve">Nombre de VAE dans le total</t>
  </si>
  <si>
    <t xml:space="preserve">Nombre de femmes dans le total</t>
  </si>
  <si>
    <t xml:space="preserve">Nombre de VAE chez les femmes</t>
  </si>
  <si>
    <t xml:space="preserve">Cycles direc La Gare</t>
  </si>
  <si>
    <t xml:space="preserve">plus trotinette skate</t>
  </si>
  <si>
    <t xml:space="preserve">dont enfant</t>
  </si>
  <si>
    <t xml:space="preserve">vélo sur trottoir</t>
  </si>
  <si>
    <t xml:space="preserve">dont cyclo</t>
  </si>
  <si>
    <t xml:space="preserve">6:30 à 7:00</t>
  </si>
  <si>
    <t xml:space="preserve">7:00 à 7:30</t>
  </si>
  <si>
    <t xml:space="preserve">7:30 à 8:00</t>
  </si>
  <si>
    <t xml:space="preserve">8:00 à 8:30</t>
  </si>
  <si>
    <t xml:space="preserve">8:30 à 9:00</t>
  </si>
  <si>
    <t xml:space="preserve">H POINTE</t>
  </si>
  <si>
    <t xml:space="preserve">Total H pointe</t>
  </si>
  <si>
    <t xml:space="preserve">Part des VAE dans le total</t>
  </si>
  <si>
    <t xml:space="preserve">Part des femmes dans le total</t>
  </si>
  <si>
    <t xml:space="preserve">Part des VAE chez les femmes</t>
  </si>
  <si>
    <t xml:space="preserve">Rond Point La Poste</t>
  </si>
  <si>
    <t>Birgit</t>
  </si>
  <si>
    <t xml:space="preserve">De Bonneville vers</t>
  </si>
  <si>
    <t xml:space="preserve">De Grenette (contre-sens)</t>
  </si>
  <si>
    <t xml:space="preserve">De La Base(contre-sens)</t>
  </si>
  <si>
    <t>Grenette</t>
  </si>
  <si>
    <t>Orange</t>
  </si>
  <si>
    <t xml:space="preserve">La Base</t>
  </si>
  <si>
    <t xml:space="preserve">J Jaurès (contre sens)</t>
  </si>
  <si>
    <t>Bonneville</t>
  </si>
  <si>
    <t xml:space="preserve">Place Grenette</t>
  </si>
  <si>
    <t xml:space="preserve">00 – 15</t>
  </si>
  <si>
    <t xml:space="preserve">15 – 30</t>
  </si>
  <si>
    <t xml:space="preserve">De Orange vers</t>
  </si>
  <si>
    <t xml:space="preserve">De Jean Jaurès MJC vers</t>
  </si>
  <si>
    <t>x</t>
  </si>
  <si>
    <t>Remarque</t>
  </si>
  <si>
    <t xml:space="preserve">La Roche Rond-Point ENILV - St Renan</t>
  </si>
  <si>
    <t>Robert</t>
  </si>
  <si>
    <t xml:space="preserve">Du centre (La Roche) vers</t>
  </si>
  <si>
    <t xml:space="preserve">D'Eteaux av Gambetta vers</t>
  </si>
  <si>
    <t xml:space="preserve">De Av Libération Enilv vers</t>
  </si>
  <si>
    <t xml:space="preserve">De Reignier vers</t>
  </si>
  <si>
    <t xml:space="preserve">Av Gambetta Eteaux</t>
  </si>
  <si>
    <t xml:space="preserve">Av Libération
Enilv</t>
  </si>
  <si>
    <t>Reignier</t>
  </si>
  <si>
    <t xml:space="preserve">La Roche</t>
  </si>
  <si>
    <t>Minute</t>
  </si>
  <si>
    <t xml:space="preserve">30 – 45</t>
  </si>
  <si>
    <t xml:space="preserve"> 45 - 59</t>
  </si>
  <si>
    <t xml:space="preserve">45 – 59</t>
  </si>
  <si>
    <t xml:space="preserve">Cycles sur route de Reignier</t>
  </si>
  <si>
    <t xml:space="preserve">34 piétons plus 32 étudiants piétons en direction lycée</t>
  </si>
  <si>
    <t xml:space="preserve">et seulement 2 écoliers- 2 enfants comptés qui étaient sur le trottoir avec 1 parent</t>
  </si>
  <si>
    <t xml:space="preserve">2 des 3 femmes circulaient sur le trottoir !</t>
  </si>
  <si>
    <t xml:space="preserve">3 cyclosportifs</t>
  </si>
  <si>
    <t xml:space="preserve">voir heure de pointe</t>
  </si>
  <si>
    <t xml:space="preserve">7 à 8</t>
  </si>
  <si>
    <t xml:space="preserve">La Roche Gare/Passage à niveau</t>
  </si>
  <si>
    <t xml:space="preserve">Steph Armand</t>
  </si>
  <si>
    <t xml:space="preserve">Comptage jusqu'à 8h20</t>
  </si>
  <si>
    <t xml:space="preserve">D’Eteaux vers</t>
  </si>
  <si>
    <t xml:space="preserve">De av Lucien Rannard vers</t>
  </si>
  <si>
    <t xml:space="preserve">Dr Roux vers</t>
  </si>
  <si>
    <t xml:space="preserve">Av L Rannard</t>
  </si>
  <si>
    <t xml:space="preserve">Av J Jaurès</t>
  </si>
  <si>
    <t xml:space="preserve">Gare/av Gare</t>
  </si>
  <si>
    <t>Eteaux</t>
  </si>
  <si>
    <t>Gare</t>
  </si>
  <si>
    <t>8h30</t>
  </si>
  <si>
    <t xml:space="preserve">De av J Jaurès vers</t>
  </si>
  <si>
    <t xml:space="preserve">De Gare et av Gare vers</t>
  </si>
  <si>
    <t xml:space="preserve">Av Gare vers</t>
  </si>
  <si>
    <t xml:space="preserve">en jaune, tableau global</t>
  </si>
  <si>
    <t xml:space="preserve">8:30 à 9h</t>
  </si>
  <si>
    <t xml:space="preserve">La Roche Andrevetan</t>
  </si>
  <si>
    <t xml:space="preserve">Rue Patience/St Sixt</t>
  </si>
  <si>
    <t xml:space="preserve">Stéphane Moutard-Martin</t>
  </si>
  <si>
    <t xml:space="preserve">De La Roche vers</t>
  </si>
  <si>
    <t xml:space="preserve">De St Pierre rue Patience vers</t>
  </si>
  <si>
    <t xml:space="preserve">St Pierre/ Rue Patience</t>
  </si>
  <si>
    <t xml:space="preserve">St Sixt</t>
  </si>
  <si>
    <t xml:space="preserve">De St Sixt vers</t>
  </si>
  <si>
    <t xml:space="preserve">Rue Patience</t>
  </si>
  <si>
    <t xml:space="preserve">Arenthon La Papeterie</t>
  </si>
  <si>
    <t>Nicole</t>
  </si>
  <si>
    <t xml:space="preserve">Rajouter aussi en bas de la feuille si enfant</t>
  </si>
  <si>
    <t xml:space="preserve">De Arenthon vers</t>
  </si>
  <si>
    <t>TNA</t>
  </si>
  <si>
    <t xml:space="preserve">Rte Papeterie</t>
  </si>
  <si>
    <t>Arenthon</t>
  </si>
  <si>
    <t xml:space="preserve">De Rte Papeterie vers</t>
  </si>
  <si>
    <t xml:space="preserve">De TNA vers</t>
  </si>
  <si>
    <t xml:space="preserve">St Pierre Franchissement du Borne Dessy</t>
  </si>
  <si>
    <t>Mickaël</t>
  </si>
  <si>
    <t xml:space="preserve">Compatage jusqu’à 8h30</t>
  </si>
  <si>
    <t xml:space="preserve">De Rte Gorges du Borne vers</t>
  </si>
  <si>
    <t xml:space="preserve">De Avenue des Digues vers</t>
  </si>
  <si>
    <t xml:space="preserve">De Avenue de Monaz vers</t>
  </si>
  <si>
    <t xml:space="preserve">Av des Digues</t>
  </si>
  <si>
    <t xml:space="preserve">Av Monaz</t>
  </si>
  <si>
    <t xml:space="preserve">Rte Gorges du Borne</t>
  </si>
  <si>
    <t xml:space="preserve">Cycles sur rte de Dessy</t>
  </si>
  <si>
    <t xml:space="preserve">Cycles sur rte des Digues</t>
  </si>
  <si>
    <t xml:space="preserve">Bonneville Franchissement du Borne Tucinge - Prison</t>
  </si>
  <si>
    <t>Martine</t>
  </si>
  <si>
    <t xml:space="preserve">Pont du Borne</t>
  </si>
  <si>
    <t xml:space="preserve">Depuis Bonneville</t>
  </si>
  <si>
    <t xml:space="preserve">Depuis Tucinges</t>
  </si>
  <si>
    <t xml:space="preserve">Cycles en direction de Bonneville</t>
  </si>
  <si>
    <t xml:space="preserve">St Pierre Pont sur le Borne Principal - RD 1203</t>
  </si>
  <si>
    <t>Christine</t>
  </si>
  <si>
    <t xml:space="preserve">côté La Roche</t>
  </si>
  <si>
    <t>René</t>
  </si>
  <si>
    <t xml:space="preserve">côté Bonneville</t>
  </si>
  <si>
    <t xml:space="preserve">De Stade vers</t>
  </si>
  <si>
    <t>Prison</t>
  </si>
  <si>
    <t>Tucinges</t>
  </si>
  <si>
    <t>Digues</t>
  </si>
  <si>
    <t>Stade</t>
  </si>
  <si>
    <t xml:space="preserve">De Prison vers</t>
  </si>
  <si>
    <t xml:space="preserve">St Pierre-Bonneville Pont sur le Borne Principal - RD 1203</t>
  </si>
  <si>
    <t xml:space="preserve">Principe d'utilisation pour chaque intervalle de temps, Marquer une croix vélo ou VAE dans la colonne H ou F</t>
  </si>
  <si>
    <t xml:space="preserve">Et cocher en bas de la grille si déplacement sur trottoir  et/ou si enfant  et/ou si 2 roues hors vélo (trottinette, skate, ets)</t>
  </si>
  <si>
    <t xml:space="preserve">De Toisinges vers</t>
  </si>
  <si>
    <t xml:space="preserve">De Digues vers</t>
  </si>
  <si>
    <t xml:space="preserve">ST PIERRE Mr BRICOLAGE</t>
  </si>
  <si>
    <t>Simon</t>
  </si>
  <si>
    <t xml:space="preserve">PISTE CYCLABLE en continu</t>
  </si>
  <si>
    <t xml:space="preserve">JAMAIS sur PISTE CYCLABLE</t>
  </si>
  <si>
    <t xml:space="preserve">Vers La Roche</t>
  </si>
  <si>
    <t xml:space="preserve">Vers Bonnevile</t>
  </si>
  <si>
    <t xml:space="preserve">Direction La Roche</t>
  </si>
  <si>
    <t xml:space="preserve">Direction Bonneville</t>
  </si>
  <si>
    <t xml:space="preserve">PARTIELLEMENT sur PISTE CYCLABLE</t>
  </si>
  <si>
    <t xml:space="preserve">Depuis ou vers La  Roche</t>
  </si>
  <si>
    <t xml:space="preserve">Depuis ou vers Bonneville</t>
  </si>
  <si>
    <t xml:space="preserve">Depuis ou vers zone Jourdies</t>
  </si>
  <si>
    <t xml:space="preserve">Depuis ou vers St Pierre</t>
  </si>
  <si>
    <t xml:space="preserve">AYZE Piste cyclable </t>
  </si>
  <si>
    <t>Lise</t>
  </si>
  <si>
    <t xml:space="preserve">AYZE piste cyclable</t>
  </si>
  <si>
    <t xml:space="preserve">Depuis Marignier</t>
  </si>
  <si>
    <t xml:space="preserve">Nombre de bénévoles</t>
  </si>
  <si>
    <t xml:space="preserve">Postes de comptage</t>
  </si>
  <si>
    <t xml:space="preserve">Nombre de vélos</t>
  </si>
  <si>
    <t xml:space="preserve">% VAE dans le total</t>
  </si>
  <si>
    <t xml:space="preserve">NB VAE dans le total</t>
  </si>
  <si>
    <t xml:space="preserve">% femmes dans le total</t>
  </si>
  <si>
    <t xml:space="preserve">NB de femmes dans le total</t>
  </si>
  <si>
    <t>total</t>
  </si>
  <si>
    <t xml:space="preserve">LA ROCHE_Carrefour Biocoop</t>
  </si>
  <si>
    <t xml:space="preserve">LA ROCHE_Giratoire La Poste</t>
  </si>
  <si>
    <t xml:space="preserve">LA ROCHE_Giratoire ENILV</t>
  </si>
  <si>
    <t xml:space="preserve">LA ROCHE_Gare Passage à niveau (new 2021)</t>
  </si>
  <si>
    <t xml:space="preserve">LA ROCHE Andrevetan/St Sixt (new 2023)</t>
  </si>
  <si>
    <t xml:space="preserve">TOTAL LA ROCHE</t>
  </si>
  <si>
    <t xml:space="preserve">ARENTHON_La Papeterie</t>
  </si>
  <si>
    <t xml:space="preserve">ST-PIERRE_Franchissement Borne-Dessy</t>
  </si>
  <si>
    <t xml:space="preserve">BONNEVILLE_Franchissement Borne-Tucinge</t>
  </si>
  <si>
    <t xml:space="preserve">ST-PIERRE_Pont principal sur le Borne RD1203</t>
  </si>
  <si>
    <t xml:space="preserve">AMANCY Sous-terrain Vozerier (2022)</t>
  </si>
  <si>
    <t xml:space="preserve">ST-PIERRE M. Bricolage (new2022)</t>
  </si>
  <si>
    <t xml:space="preserve">AMANCY_Giratoire Coriandre</t>
  </si>
  <si>
    <t xml:space="preserve">TOTAL ST PIERRE</t>
  </si>
  <si>
    <t>COMMUNE_Carrefour</t>
  </si>
  <si>
    <t>Sous-total</t>
  </si>
  <si>
    <t>femmes</t>
  </si>
  <si>
    <t xml:space="preserve">ST-PIERRE_Pont principal sur le Borne</t>
  </si>
  <si>
    <t xml:space="preserve">AMANCY Sous-terrain Vozerier (new 2022)</t>
  </si>
  <si>
    <t xml:space="preserve">ST-PIERRE M. Bricolage</t>
  </si>
  <si>
    <t xml:space="preserve">NB cycliste H pointe</t>
  </si>
  <si>
    <t xml:space="preserve">LA ROCHE_Giratoire ENILV (sauf 2023)</t>
  </si>
  <si>
    <t xml:space="preserve">LA ROCHE_Gare (new 2021)</t>
  </si>
  <si>
    <t xml:space="preserve">TOTAL ARENTHON – ST PIERRE</t>
  </si>
  <si>
    <t xml:space="preserve">AYZE Piste cyclable après piscine (new 2024)</t>
  </si>
  <si>
    <t xml:space="preserve">TOTAL CCFG</t>
  </si>
  <si>
    <t xml:space="preserve">COMPTAGES VELO 2020 à 2024 COMPARATIF</t>
  </si>
  <si>
    <t>météo :</t>
  </si>
  <si>
    <t>beau</t>
  </si>
  <si>
    <t>moyen</t>
  </si>
  <si>
    <t xml:space="preserve">beau mais moche la veille</t>
  </si>
  <si>
    <t xml:space="preserve">Ma 28/05</t>
  </si>
  <si>
    <t xml:space="preserve">nombre de point de comptage</t>
  </si>
  <si>
    <t xml:space="preserve">SECTEUR "NATENV"</t>
  </si>
  <si>
    <t xml:space="preserve">Période comptée</t>
  </si>
  <si>
    <t xml:space="preserve">COMMUNE Nom du carrefour</t>
  </si>
  <si>
    <t>Début</t>
  </si>
  <si>
    <t>Fin</t>
  </si>
  <si>
    <t>6h30</t>
  </si>
  <si>
    <t>9h00</t>
  </si>
  <si>
    <t xml:space="preserve">La Roche Rond-Point ENILV</t>
  </si>
  <si>
    <t xml:space="preserve">La Roche Gare</t>
  </si>
  <si>
    <t>8h20</t>
  </si>
  <si>
    <t xml:space="preserve">La Roche Andrevetan/St Sixt</t>
  </si>
  <si>
    <t xml:space="preserve">Amancy Vozerier Sous-Terrain</t>
  </si>
  <si>
    <t xml:space="preserve">4 points LA ROCHE</t>
  </si>
  <si>
    <t xml:space="preserve">St Pierre Borne Dessy</t>
  </si>
  <si>
    <t xml:space="preserve">St Pierre/Bonneville Borne - RD 1203</t>
  </si>
  <si>
    <t xml:space="preserve">St Pierre Mr Bricolage</t>
  </si>
  <si>
    <t xml:space="preserve">4 points Arenthon-ST PIERRE</t>
  </si>
  <si>
    <t xml:space="preserve">Bonneville Borne Tucinges/Prison</t>
  </si>
  <si>
    <t xml:space="preserve">Ayse Piste cyclable</t>
  </si>
  <si>
    <t xml:space="preserve">2 points CCFG</t>
  </si>
  <si>
    <t xml:space="preserve">tTotal avec mêmes points de comptage que année précédente</t>
  </si>
  <si>
    <t xml:space="preserve">Evolution / année précédente</t>
  </si>
  <si>
    <t xml:space="preserve">% VAE</t>
  </si>
  <si>
    <t xml:space="preserve">% femmes</t>
  </si>
  <si>
    <t xml:space="preserve">5 points Arenthon-ST PIERRE</t>
  </si>
  <si>
    <t xml:space="preserve">LA ROCHE</t>
  </si>
  <si>
    <t xml:space="preserve">ST PIERRE</t>
  </si>
  <si>
    <t xml:space="preserve">NB point</t>
  </si>
  <si>
    <t xml:space="preserve">Nb vélos</t>
  </si>
  <si>
    <t xml:space="preserve">% femme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</si>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</sst>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\ %"/>
    <numFmt numFmtId="165" formatCode="#,##0.00\ [$€-40C];[RED]\-#,##0.00\ [$€-40C]"/>
    <numFmt numFmtId="166" formatCode="dd/mm/yyyy"/>
    <numFmt numFmtId="167" formatCode="hh:mm"/>
    <numFmt numFmtId="168" formatCode="dd/mm/yy"/>
    <numFmt numFmtId="169" formatCode="0\ %;[RED]\-0\ %"/>
  </numFmts>
  <fonts count="59">
    <font>
      <sz val="11.000000"/>
      <color indexed="64"/>
      <name val="Arial"/>
    </font>
    <font>
      <sz val="10.000000"/>
      <name val="Arial"/>
    </font>
    <font>
      <sz val="10.000000"/>
      <color indexed="65"/>
      <name val="Arial"/>
    </font>
    <font>
      <b/>
      <sz val="10.000000"/>
      <color indexed="64"/>
      <name val="Arial"/>
    </font>
    <font>
      <sz val="10.000000"/>
      <color rgb="FFCC0000"/>
      <name val="Arial"/>
    </font>
    <font>
      <b/>
      <sz val="10.000000"/>
      <color indexed="65"/>
      <name val="Arial"/>
    </font>
    <font>
      <i/>
      <sz val="10.000000"/>
      <color indexed="23"/>
      <name val="Arial"/>
    </font>
    <font>
      <sz val="10.000000"/>
      <color rgb="FF006600"/>
      <name val="Arial"/>
    </font>
    <font>
      <sz val="18.000000"/>
      <color indexed="64"/>
      <name val="Arial"/>
    </font>
    <font>
      <b/>
      <sz val="24.000000"/>
      <color indexed="64"/>
      <name val="Arial"/>
    </font>
    <font>
      <sz val="12.000000"/>
      <color indexed="64"/>
      <name val="Arial"/>
    </font>
    <font>
      <b/>
      <i/>
      <sz val="16.000000"/>
      <color indexed="64"/>
      <name val="Arial"/>
    </font>
    <font>
      <u/>
      <sz val="10.000000"/>
      <color rgb="FF0000EE"/>
      <name val="Arial"/>
    </font>
    <font>
      <sz val="10.000000"/>
      <color rgb="FF996600"/>
      <name val="Arial"/>
    </font>
    <font>
      <b/>
      <i/>
      <u/>
      <sz val="10.000000"/>
      <color indexed="64"/>
      <name val="Arial"/>
    </font>
    <font>
      <b/>
      <i/>
      <u/>
      <sz val="11.000000"/>
      <color indexed="64"/>
      <name val="Arial"/>
    </font>
    <font>
      <b/>
      <sz val="16.000000"/>
      <color indexed="64"/>
      <name val="Ubuntu"/>
    </font>
    <font>
      <b/>
      <sz val="20.000000"/>
      <color indexed="64"/>
      <name val="Ubuntu"/>
    </font>
    <font>
      <sz val="16.000000"/>
      <color indexed="64"/>
      <name val="Ubuntu"/>
    </font>
    <font>
      <b/>
      <sz val="22.000000"/>
      <color indexed="64"/>
      <name val="Ubuntu"/>
    </font>
    <font>
      <b/>
      <sz val="26.000000"/>
      <color indexed="64"/>
      <name val="Ubuntu"/>
    </font>
    <font>
      <b/>
      <sz val="18.000000"/>
      <color indexed="64"/>
      <name val="Ubuntu"/>
    </font>
    <font>
      <b/>
      <sz val="24.000000"/>
      <color indexed="64"/>
      <name val="Ubuntu"/>
    </font>
    <font>
      <b/>
      <sz val="18.000000"/>
      <color indexed="64"/>
      <name val="Arial"/>
    </font>
    <font>
      <b/>
      <sz val="14.000000"/>
      <color indexed="64"/>
      <name val="Ubuntu"/>
    </font>
    <font>
      <b/>
      <sz val="16.000000"/>
      <color indexed="64"/>
      <name val="Arial"/>
    </font>
    <font>
      <sz val="18.000000"/>
      <color indexed="64"/>
      <name val="Ubuntu"/>
    </font>
    <font>
      <sz val="12.000000"/>
      <color indexed="64"/>
      <name val="Ubuntu"/>
    </font>
    <font>
      <b/>
      <sz val="16.000000"/>
      <color indexed="2"/>
      <name val="Ubuntu"/>
    </font>
    <font>
      <b/>
      <sz val="18.000000"/>
      <color indexed="2"/>
      <name val="Ubuntu"/>
    </font>
    <font>
      <sz val="24.000000"/>
      <color indexed="64"/>
      <name val="Ubuntu"/>
    </font>
    <font>
      <b/>
      <sz val="16.000000"/>
      <color rgb="FFC9211E"/>
      <name val="Ubuntu"/>
    </font>
    <font>
      <b/>
      <sz val="18.000000"/>
      <color rgb="FFC9211E"/>
      <name val="Ubuntu"/>
    </font>
    <font>
      <sz val="16.000000"/>
      <color indexed="64"/>
      <name val="Arial"/>
    </font>
    <font>
      <sz val="14.000000"/>
      <color indexed="64"/>
      <name val="Arial"/>
    </font>
    <font>
      <sz val="14.000000"/>
      <color indexed="64"/>
      <name val="Ubuntu"/>
    </font>
    <font>
      <b/>
      <sz val="14.000000"/>
      <color indexed="64"/>
      <name val="Calibri"/>
    </font>
    <font>
      <sz val="11.000000"/>
      <color indexed="2"/>
      <name val="Arial"/>
    </font>
    <font>
      <sz val="16.000000"/>
      <color indexed="2"/>
      <name val="Ubuntu"/>
    </font>
    <font>
      <sz val="18.000000"/>
      <color indexed="2"/>
      <name val="Ubuntu"/>
    </font>
    <font>
      <sz val="11.000000"/>
      <color rgb="FFC9211E"/>
      <name val="Arial"/>
    </font>
    <font>
      <sz val="16.000000"/>
      <color rgb="FFC9211E"/>
      <name val="Ubuntu"/>
    </font>
    <font>
      <b/>
      <sz val="12.000000"/>
      <color indexed="65"/>
      <name val="Calibri"/>
    </font>
    <font>
      <b/>
      <sz val="11.000000"/>
      <color indexed="64"/>
      <name val="Arial"/>
    </font>
    <font>
      <b/>
      <sz val="12.000000"/>
      <color indexed="64"/>
      <name val="Calibri"/>
    </font>
    <font>
      <sz val="11.000000"/>
      <name val="Calibri"/>
    </font>
    <font>
      <sz val="11.000000"/>
      <color indexed="64"/>
      <name val="Calibri"/>
    </font>
    <font>
      <b/>
      <sz val="11.000000"/>
      <name val="Calibri"/>
    </font>
    <font>
      <b/>
      <sz val="11.000000"/>
      <color indexed="64"/>
      <name val="Calibri"/>
    </font>
    <font>
      <strike/>
      <sz val="11.000000"/>
      <color indexed="64"/>
      <name val="Calibri"/>
    </font>
    <font>
      <sz val="11.000000"/>
      <color rgb="FF7F7F7F"/>
      <name val="Calibri"/>
    </font>
    <font>
      <i/>
      <sz val="11.000000"/>
      <color indexed="64"/>
      <name val="Arial"/>
    </font>
    <font>
      <b/>
      <sz val="12.000000"/>
      <color indexed="2"/>
      <name val="Calibri"/>
    </font>
    <font>
      <b/>
      <sz val="11.000000"/>
      <color indexed="2"/>
      <name val="Arial"/>
    </font>
    <font>
      <i/>
      <sz val="11.000000"/>
      <color indexed="2"/>
      <name val="Arial"/>
    </font>
    <font>
      <sz val="9.000000"/>
      <color indexed="64"/>
      <name val="Arial"/>
    </font>
    <font>
      <b/>
      <sz val="14.000000"/>
      <color indexed="65"/>
      <name val="Arial"/>
    </font>
    <font>
      <b/>
      <sz val="9.000000"/>
      <color indexed="64"/>
      <name val="Arial"/>
    </font>
    <font>
      <i/>
      <sz val="9.000000"/>
      <color indexed="64"/>
      <name val="Arial"/>
    </font>
  </fonts>
  <fills count="17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indexed="23"/>
        <bgColor rgb="FF7F7F7F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9211E"/>
      </patternFill>
    </fill>
    <fill>
      <patternFill patternType="solid">
        <fgColor indexed="42"/>
        <bgColor rgb="FFF2F2F2"/>
      </patternFill>
    </fill>
    <fill>
      <patternFill patternType="solid">
        <fgColor indexed="26"/>
        <bgColor indexed="65"/>
      </patternFill>
    </fill>
    <fill>
      <patternFill patternType="solid">
        <fgColor indexed="65"/>
        <bgColor rgb="FFF2F2F2"/>
      </patternFill>
    </fill>
    <fill>
      <patternFill patternType="solid">
        <fgColor rgb="FFD9D9D9"/>
        <bgColor rgb="FFDDDDDD"/>
      </patternFill>
    </fill>
    <fill>
      <patternFill patternType="solid">
        <fgColor indexed="5"/>
        <bgColor indexed="5"/>
      </patternFill>
    </fill>
    <fill>
      <patternFill patternType="solid">
        <fgColor rgb="FFBFBFBF"/>
        <bgColor rgb="FFD9D9D9"/>
      </patternFill>
    </fill>
    <fill>
      <patternFill patternType="solid">
        <fgColor rgb="FFF2F2F2"/>
        <bgColor indexed="65"/>
      </patternFill>
    </fill>
    <fill>
      <patternFill patternType="solid">
        <fgColor rgb="FFFFB66C"/>
        <bgColor rgb="FFFFCCCC"/>
      </patternFill>
    </fill>
    <fill>
      <patternFill patternType="solid">
        <fgColor rgb="FF7F7F7F"/>
        <bgColor indexed="23"/>
      </patternFill>
    </fill>
    <fill>
      <patternFill patternType="solid">
        <fgColor rgb="FF92D050"/>
        <bgColor rgb="FFBFBFBF"/>
      </patternFill>
    </fill>
  </fills>
  <borders count="8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mediumDashed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mediumDashed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Dashed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Dashed">
        <color theme="1"/>
      </bottom>
      <diagonal style="none"/>
    </border>
    <border>
      <left style="thin">
        <color theme="1"/>
      </left>
      <right style="double">
        <color theme="1"/>
      </right>
      <top style="thin">
        <color theme="1"/>
      </top>
      <bottom style="none"/>
      <diagonal style="none"/>
    </border>
    <border>
      <left style="double">
        <color theme="1"/>
      </left>
      <right style="double">
        <color theme="1"/>
      </right>
      <top style="thin">
        <color theme="1"/>
      </top>
      <bottom style="none"/>
      <diagonal style="none"/>
    </border>
    <border>
      <left style="double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double">
        <color theme="1"/>
      </right>
      <top style="thin">
        <color theme="1"/>
      </top>
      <bottom style="thin">
        <color theme="1"/>
      </bottom>
      <diagonal style="none"/>
    </border>
    <border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D9D9D9"/>
      </left>
      <right style="none"/>
      <top style="thin">
        <color rgb="FFD9D9D9"/>
      </top>
      <bottom style="thin">
        <color rgb="FFD9D9D9"/>
      </bottom>
      <diagonal style="none"/>
    </border>
    <border>
      <left style="thin">
        <color rgb="FFD9D9D9"/>
      </left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mediumDashed">
        <color theme="1"/>
      </bottom>
      <diagonal style="none"/>
    </border>
    <border>
      <left style="thin">
        <color rgb="FFD9D9D9"/>
      </left>
      <right style="none"/>
      <top style="none"/>
      <bottom style="thin">
        <color rgb="FFD9D9D9"/>
      </bottom>
      <diagonal style="none"/>
    </border>
    <border>
      <left style="none"/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rgb="FFD9D9D9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dotted">
        <color rgb="FF7F7F7F"/>
      </right>
      <top style="medium">
        <color theme="1"/>
      </top>
      <bottom style="medium">
        <color theme="1"/>
      </bottom>
      <diagonal style="none"/>
    </border>
    <border>
      <left style="dotted">
        <color rgb="FF7F7F7F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dotted">
        <color rgb="FF7F7F7F"/>
      </right>
      <top style="none"/>
      <bottom style="none"/>
      <diagonal style="none"/>
    </border>
    <border>
      <left style="medium">
        <color theme="1"/>
      </left>
      <right style="dotted">
        <color rgb="FF7F7F7F"/>
      </right>
      <top style="none"/>
      <bottom style="medium">
        <color theme="1"/>
      </bottom>
      <diagonal style="none"/>
    </border>
    <border>
      <left style="thin">
        <color theme="1"/>
      </left>
      <right style="none"/>
      <top style="dotted">
        <color theme="1"/>
      </top>
      <bottom style="dotted">
        <color theme="1"/>
      </bottom>
      <diagonal style="none"/>
    </border>
    <border>
      <left style="medium">
        <color theme="1"/>
      </left>
      <right style="dotted">
        <color rgb="FF7F7F7F"/>
      </right>
      <top style="dotted">
        <color theme="1"/>
      </top>
      <bottom style="dotted">
        <color theme="1"/>
      </bottom>
      <diagonal style="none"/>
    </border>
    <border>
      <left style="dotted">
        <color rgb="FF7F7F7F"/>
      </left>
      <right style="dotted">
        <color rgb="FF7F7F7F"/>
      </right>
      <top style="dotted">
        <color theme="1"/>
      </top>
      <bottom style="dotted">
        <color theme="1"/>
      </bottom>
      <diagonal style="none"/>
    </border>
    <border>
      <left style="dotted">
        <color rgb="FF7F7F7F"/>
      </left>
      <right style="thin">
        <color theme="1"/>
      </right>
      <top style="dotted">
        <color theme="1"/>
      </top>
      <bottom style="dotted">
        <color theme="1"/>
      </bottom>
      <diagonal style="none"/>
    </border>
    <border>
      <left style="thin">
        <color theme="1"/>
      </left>
      <right style="dotted">
        <color rgb="FF7F7F7F"/>
      </right>
      <top style="dotted">
        <color theme="1"/>
      </top>
      <bottom style="dotted">
        <color theme="1"/>
      </bottom>
      <diagonal style="none"/>
    </border>
    <border>
      <left style="none"/>
      <right style="dotted">
        <color rgb="FF7F7F7F"/>
      </right>
      <top style="dotted">
        <color theme="1"/>
      </top>
      <bottom style="dotted">
        <color theme="1"/>
      </bottom>
      <diagonal style="none"/>
    </border>
    <border>
      <left style="thin">
        <color theme="1"/>
      </left>
      <right style="none"/>
      <top style="dotted">
        <color theme="1"/>
      </top>
      <bottom style="thin">
        <color theme="1"/>
      </bottom>
      <diagonal style="none"/>
    </border>
    <border>
      <left style="medium">
        <color theme="1"/>
      </left>
      <right style="dotted">
        <color rgb="FF7F7F7F"/>
      </right>
      <top style="dotted">
        <color theme="1"/>
      </top>
      <bottom style="thin">
        <color theme="1"/>
      </bottom>
      <diagonal style="none"/>
    </border>
    <border>
      <left style="none"/>
      <right style="dotted">
        <color rgb="FF7F7F7F"/>
      </right>
      <top style="dotted">
        <color theme="1"/>
      </top>
      <bottom style="thin">
        <color theme="1"/>
      </bottom>
      <diagonal style="none"/>
    </border>
    <border>
      <left style="dotted">
        <color rgb="FF7F7F7F"/>
      </left>
      <right style="thin">
        <color theme="1"/>
      </right>
      <top style="dotted">
        <color theme="1"/>
      </top>
      <bottom style="thin">
        <color theme="1"/>
      </bottom>
      <diagonal style="none"/>
    </border>
    <border>
      <left style="thin">
        <color theme="1"/>
      </left>
      <right style="dotted">
        <color rgb="FF7F7F7F"/>
      </right>
      <top style="dotted">
        <color theme="1"/>
      </top>
      <bottom style="thin">
        <color theme="1"/>
      </bottom>
      <diagonal style="none"/>
    </border>
    <border>
      <left style="dotted">
        <color rgb="FF7F7F7F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dotted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dotted">
        <color theme="1"/>
      </bottom>
      <diagonal style="none"/>
    </border>
    <border>
      <left style="medium">
        <color theme="1"/>
      </left>
      <right style="dotted">
        <color rgb="FF7F7F7F"/>
      </right>
      <top style="thin">
        <color theme="1"/>
      </top>
      <bottom style="dotted">
        <color theme="1"/>
      </bottom>
      <diagonal style="none"/>
    </border>
    <border>
      <left style="dotted">
        <color rgb="FF7F7F7F"/>
      </left>
      <right style="dotted">
        <color rgb="FF7F7F7F"/>
      </right>
      <top style="thin">
        <color theme="1"/>
      </top>
      <bottom style="dotted">
        <color theme="1"/>
      </bottom>
      <diagonal style="none"/>
    </border>
    <border>
      <left style="dotted">
        <color rgb="FF7F7F7F"/>
      </left>
      <right style="thin">
        <color theme="1"/>
      </right>
      <top style="thin">
        <color theme="1"/>
      </top>
      <bottom style="dotted">
        <color theme="1"/>
      </bottom>
      <diagonal style="none"/>
    </border>
    <border>
      <left style="thin">
        <color theme="1"/>
      </left>
      <right style="dotted">
        <color rgb="FF7F7F7F"/>
      </right>
      <top style="thin">
        <color theme="1"/>
      </top>
      <bottom style="dotted">
        <color theme="1"/>
      </bottom>
      <diagonal style="none"/>
    </border>
    <border>
      <left style="medium">
        <color theme="1"/>
      </left>
      <right style="dotted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dotted">
        <color theme="1"/>
      </top>
      <bottom style="dotted">
        <color theme="1"/>
      </bottom>
      <diagonal style="none"/>
    </border>
    <border>
      <left style="none"/>
      <right style="thin">
        <color theme="1"/>
      </right>
      <top style="dotted">
        <color theme="1"/>
      </top>
      <bottom style="dotted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 diagonalUp="1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none"/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none"/>
      <right style="none"/>
      <top style="medium">
        <color theme="1"/>
      </top>
      <bottom style="none"/>
      <diagonal style="none"/>
    </border>
  </borders>
  <cellStyleXfs count="48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0" fillId="0" borderId="0" numFmtId="164" applyNumberFormat="1" applyFont="1" applyFill="1" applyBorder="0" applyProtection="0"/>
    <xf fontId="2" fillId="2" borderId="0" numFmtId="0" applyNumberFormat="1" applyFont="1" applyFill="1" applyBorder="1" applyProtection="1">
      <protection hidden="0" locked="1"/>
    </xf>
    <xf fontId="2" fillId="2" borderId="0" numFmtId="0" applyNumberFormat="1" applyFont="1" applyFill="1" applyBorder="1" applyProtection="1">
      <protection hidden="0" locked="1"/>
    </xf>
    <xf fontId="2" fillId="3" borderId="0" numFmtId="0" applyNumberFormat="1" applyFont="1" applyFill="1" applyBorder="1" applyProtection="1">
      <protection hidden="0" locked="1"/>
    </xf>
    <xf fontId="2" fillId="3" borderId="0" numFmtId="0" applyNumberFormat="1" applyFont="1" applyFill="1" applyBorder="1" applyProtection="1">
      <protection hidden="0" locked="1"/>
    </xf>
    <xf fontId="3" fillId="4" borderId="0" numFmtId="0" applyNumberFormat="1" applyFont="1" applyFill="1" applyBorder="1" applyProtection="1">
      <protection hidden="0" locked="1"/>
    </xf>
    <xf fontId="3" fillId="4" borderId="0" numFmtId="0" applyNumberFormat="1" applyFont="1" applyFill="1" applyBorder="1" applyProtection="1">
      <protection hidden="0" locked="1"/>
    </xf>
    <xf fontId="3" fillId="0" borderId="0" numFmtId="0" applyNumberFormat="1" applyFont="1" applyFill="1" applyBorder="1" applyProtection="1">
      <protection hidden="0" locked="1"/>
    </xf>
    <xf fontId="3" fillId="0" borderId="0" numFmtId="0" applyNumberFormat="1" applyFont="1" applyFill="1" applyBorder="1" applyProtection="1">
      <protection hidden="0" locked="1"/>
    </xf>
    <xf fontId="4" fillId="5" borderId="0" numFmtId="0" applyNumberFormat="1" applyFont="1" applyFill="1" applyBorder="1" applyProtection="1">
      <protection hidden="0" locked="1"/>
    </xf>
    <xf fontId="4" fillId="5" borderId="0" numFmtId="0" applyNumberFormat="1" applyFont="1" applyFill="1" applyBorder="1" applyProtection="1">
      <protection hidden="0" locked="1"/>
    </xf>
    <xf fontId="5" fillId="6" borderId="0" numFmtId="0" applyNumberFormat="1" applyFont="1" applyFill="1" applyBorder="1" applyProtection="1">
      <protection hidden="0" locked="1"/>
    </xf>
    <xf fontId="5" fillId="6" borderId="0" numFmtId="0" applyNumberFormat="1" applyFont="1" applyFill="1" applyBorder="1" applyProtection="1">
      <protection hidden="0" locked="1"/>
    </xf>
    <xf fontId="6" fillId="0" borderId="0" numFmtId="0" applyNumberFormat="1" applyFont="1" applyFill="1" applyBorder="1" applyProtection="1">
      <protection hidden="0" locked="1"/>
    </xf>
    <xf fontId="6" fillId="0" borderId="0" numFmtId="0" applyNumberFormat="1" applyFont="1" applyFill="1" applyBorder="1" applyProtection="1">
      <protection hidden="0" locked="1"/>
    </xf>
    <xf fontId="7" fillId="7" borderId="0" numFmtId="0" applyNumberFormat="1" applyFont="1" applyFill="1" applyBorder="1" applyProtection="1">
      <protection hidden="0" locked="1"/>
    </xf>
    <xf fontId="7" fillId="7" borderId="0" numFmtId="0" applyNumberFormat="1" applyFont="1" applyFill="1" applyBorder="1" applyProtection="1">
      <protection hidden="0" locked="1"/>
    </xf>
    <xf fontId="8" fillId="0" borderId="0" numFmtId="0" applyNumberFormat="1" applyFont="1" applyFill="1" applyBorder="1" applyProtection="1">
      <protection hidden="0" locked="1"/>
    </xf>
    <xf fontId="8" fillId="0" borderId="0" numFmtId="0" applyNumberFormat="1" applyFont="1" applyFill="1" applyBorder="1" applyProtection="1">
      <protection hidden="0" locked="1"/>
    </xf>
    <xf fontId="9" fillId="0" borderId="0" numFmtId="0" applyNumberFormat="1" applyFont="1" applyFill="1" applyBorder="1" applyProtection="1">
      <protection hidden="0" locked="1"/>
    </xf>
    <xf fontId="9" fillId="0" borderId="0" numFmtId="0" applyNumberFormat="1" applyFont="1" applyFill="1" applyBorder="1" applyProtection="1">
      <protection hidden="0" locked="1"/>
    </xf>
    <xf fontId="10" fillId="0" borderId="0" numFmtId="0" applyNumberFormat="1" applyFont="1" applyFill="1" applyBorder="1" applyProtection="1">
      <protection hidden="0" locked="1"/>
    </xf>
    <xf fontId="10" fillId="0" borderId="0" numFmtId="0" applyNumberFormat="1" applyFont="1" applyFill="1" applyBorder="1" applyProtection="1">
      <protection hidden="0" locked="1"/>
    </xf>
    <xf fontId="11" fillId="0" borderId="0" numFmtId="0" applyNumberFormat="1" applyFont="1" applyFill="1" applyBorder="1" applyProtection="1">
      <alignment horizontal="center"/>
      <protection hidden="0" locked="1"/>
    </xf>
    <xf fontId="12" fillId="0" borderId="0" numFmtId="0" applyNumberFormat="1" applyFont="1" applyFill="1" applyBorder="1" applyProtection="1">
      <protection hidden="0" locked="1"/>
    </xf>
    <xf fontId="12" fillId="0" borderId="0" numFmtId="0" applyNumberFormat="1" applyFont="1" applyFill="1" applyBorder="1" applyProtection="1">
      <protection hidden="0" locked="1"/>
    </xf>
    <xf fontId="13" fillId="8" borderId="0" numFmtId="0" applyNumberFormat="1" applyFont="1" applyFill="1" applyBorder="1" applyProtection="1">
      <protection hidden="0" locked="1"/>
    </xf>
    <xf fontId="13" fillId="8" borderId="0" numFmtId="0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protection hidden="0" locked="1"/>
    </xf>
    <xf fontId="0" fillId="0" borderId="0" numFmtId="164" applyNumberFormat="1" applyFont="1" applyFill="1" applyBorder="1" applyProtection="1">
      <protection hidden="0" locked="1"/>
    </xf>
    <xf fontId="14" fillId="0" borderId="0" numFmtId="0" applyNumberFormat="1" applyFont="1" applyFill="1" applyBorder="1" applyProtection="1">
      <protection hidden="0" locked="1"/>
    </xf>
    <xf fontId="14" fillId="0" borderId="0" numFmtId="0" applyNumberFormat="1" applyFont="1" applyFill="1" applyBorder="1" applyProtection="1">
      <protection hidden="0" locked="1"/>
    </xf>
    <xf fontId="15" fillId="0" borderId="0" numFmtId="0" applyNumberFormat="1" applyFont="1" applyFill="1" applyBorder="1" applyProtection="1">
      <protection hidden="0" locked="1"/>
    </xf>
    <xf fontId="15" fillId="0" borderId="0" numFmtId="165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protection hidden="0" locked="1"/>
    </xf>
    <xf fontId="0" fillId="0" borderId="0" numFmtId="0" applyNumberFormat="1" applyFont="1" applyFill="1" applyBorder="1" applyProtection="1">
      <protection hidden="0" locked="1"/>
    </xf>
    <xf fontId="4" fillId="0" borderId="0" numFmtId="0" applyNumberFormat="1" applyFont="1" applyFill="1" applyBorder="1" applyProtection="1">
      <protection hidden="0" locked="1"/>
    </xf>
    <xf fontId="4" fillId="0" borderId="0" numFmtId="0" applyNumberFormat="1" applyFont="1" applyFill="1" applyBorder="1" applyProtection="1">
      <protection hidden="0" locked="1"/>
    </xf>
    <xf fontId="0" fillId="0" borderId="0" numFmtId="164" applyNumberFormat="1" applyFont="1" applyFill="1" applyBorder="1" applyProtection="1">
      <protection hidden="0" locked="1"/>
    </xf>
    <xf fontId="0" fillId="0" borderId="0" numFmtId="164" applyNumberFormat="1" applyFont="1" applyFill="1" applyBorder="1" applyProtection="1">
      <protection hidden="0" locked="1"/>
    </xf>
  </cellStyleXfs>
  <cellXfs count="405">
    <xf fontId="0" fillId="0" borderId="0" numFmtId="0" xfId="0" applyProtection="0">
      <protection hidden="0" locked="1"/>
    </xf>
    <xf fontId="0" fillId="0" borderId="0" numFmtId="0" xfId="0" applyAlignment="1" applyProtection="0">
      <alignment vertical="center"/>
      <protection hidden="0" locked="1"/>
    </xf>
    <xf fontId="0" fillId="9" borderId="0" numFmtId="0" xfId="0" applyFill="1" applyAlignment="1" applyProtection="0">
      <alignment vertical="center"/>
      <protection hidden="0" locked="1"/>
    </xf>
    <xf fontId="16" fillId="9" borderId="0" numFmtId="0" xfId="0" applyFont="1" applyFill="1" applyAlignment="1" applyProtection="0">
      <alignment horizontal="left" vertical="center"/>
      <protection hidden="0" locked="1"/>
    </xf>
    <xf fontId="17" fillId="9" borderId="0" numFmtId="0" xfId="0" applyFont="1" applyFill="1" applyAlignment="1" applyProtection="0">
      <alignment vertical="center"/>
      <protection hidden="0" locked="1"/>
    </xf>
    <xf fontId="18" fillId="9" borderId="0" numFmtId="0" xfId="0" applyFont="1" applyFill="1" applyAlignment="1" applyProtection="0">
      <alignment vertical="center"/>
      <protection hidden="0" locked="1"/>
    </xf>
    <xf fontId="16" fillId="9" borderId="0" numFmtId="0" xfId="0" applyFont="1" applyFill="1" applyAlignment="1" applyProtection="0">
      <alignment horizontal="right" vertical="center"/>
      <protection hidden="0" locked="1"/>
    </xf>
    <xf fontId="18" fillId="9" borderId="0" numFmtId="166" xfId="0" applyNumberFormat="1" applyFont="1" applyFill="1" applyAlignment="1" applyProtection="0">
      <alignment vertical="center"/>
      <protection hidden="0" locked="1"/>
    </xf>
    <xf fontId="0" fillId="9" borderId="0" numFmtId="0" xfId="0" applyFill="1" applyProtection="0">
      <protection hidden="0" locked="1"/>
    </xf>
    <xf fontId="16" fillId="9" borderId="0" numFmtId="0" xfId="0" applyFont="1" applyFill="1" applyAlignment="1" applyProtection="0">
      <alignment vertical="center"/>
      <protection hidden="0" locked="1"/>
    </xf>
    <xf fontId="19" fillId="0" borderId="0" numFmtId="0" xfId="0" applyFont="1" applyProtection="0">
      <protection hidden="0" locked="1"/>
    </xf>
    <xf fontId="19" fillId="9" borderId="0" numFmtId="0" xfId="0" applyFont="1" applyFill="1" applyAlignment="1" applyProtection="0">
      <alignment horizontal="left" vertical="center"/>
      <protection hidden="0" locked="1"/>
    </xf>
    <xf fontId="20" fillId="9" borderId="0" numFmtId="0" xfId="0" applyFont="1" applyFill="1" applyAlignment="1" applyProtection="0">
      <alignment horizontal="left" vertical="center"/>
      <protection hidden="0" locked="1"/>
    </xf>
    <xf fontId="21" fillId="9" borderId="0" numFmtId="0" xfId="0" applyFont="1" applyFill="1" applyAlignment="1" applyProtection="0">
      <alignment horizontal="left" vertical="center"/>
      <protection hidden="0" locked="1"/>
    </xf>
    <xf fontId="16" fillId="10" borderId="0" numFmtId="0" xfId="0" applyFont="1" applyFill="1" applyAlignment="1" applyProtection="0">
      <alignment horizontal="left" vertical="center"/>
      <protection hidden="0" locked="1"/>
    </xf>
    <xf fontId="18" fillId="10" borderId="0" numFmtId="0" xfId="0" applyFont="1" applyFill="1" applyAlignment="1" applyProtection="0">
      <alignment vertical="center"/>
      <protection hidden="0" locked="1"/>
    </xf>
    <xf fontId="22" fillId="10" borderId="1" numFmtId="0" xfId="0" applyFont="1" applyFill="1" applyBorder="1" applyAlignment="1" applyProtection="0">
      <alignment horizontal="center" vertical="center" wrapText="1"/>
      <protection hidden="0" locked="1"/>
    </xf>
    <xf fontId="21" fillId="10" borderId="2" numFmtId="0" xfId="0" applyFont="1" applyFill="1" applyBorder="1" applyAlignment="1" applyProtection="0">
      <alignment horizontal="center" vertical="center" wrapText="1"/>
      <protection hidden="0" locked="1"/>
    </xf>
    <xf fontId="16" fillId="10" borderId="2" numFmtId="0" xfId="0" applyFont="1" applyFill="1" applyBorder="1" applyAlignment="1" applyProtection="0">
      <alignment horizontal="center" vertical="center" wrapText="1"/>
      <protection hidden="0" locked="1"/>
    </xf>
    <xf fontId="16" fillId="10" borderId="3" numFmtId="0" xfId="0" applyFont="1" applyFill="1" applyBorder="1" applyAlignment="1" applyProtection="0">
      <alignment horizontal="center" vertical="center"/>
      <protection hidden="0" locked="1"/>
    </xf>
    <xf fontId="16" fillId="10" borderId="4" numFmtId="0" xfId="0" applyFont="1" applyFill="1" applyBorder="1" applyAlignment="1" applyProtection="0">
      <alignment horizontal="center" vertical="center"/>
      <protection hidden="0" locked="1"/>
    </xf>
    <xf fontId="16" fillId="10" borderId="3" numFmtId="167" xfId="0" applyNumberFormat="1" applyFont="1" applyFill="1" applyBorder="1" applyAlignment="1" applyProtection="0">
      <alignment horizontal="center" vertical="center"/>
      <protection hidden="0" locked="1"/>
    </xf>
    <xf fontId="18" fillId="0" borderId="3" numFmtId="0" xfId="0" applyFont="1" applyBorder="1" applyAlignment="1" applyProtection="0">
      <alignment horizontal="center" vertical="center"/>
      <protection hidden="0" locked="1"/>
    </xf>
    <xf fontId="0" fillId="0" borderId="0" numFmtId="0" xfId="0" applyAlignment="1" applyProtection="0">
      <alignment horizontal="left" vertical="center"/>
      <protection hidden="0" locked="1"/>
    </xf>
    <xf fontId="23" fillId="0" borderId="5" numFmtId="0" xfId="0" applyFont="1" applyBorder="1" applyAlignment="1" applyProtection="0">
      <alignment horizontal="left" vertical="center"/>
      <protection hidden="0" locked="1"/>
    </xf>
    <xf fontId="19" fillId="0" borderId="6" numFmtId="0" xfId="0" applyFont="1" applyBorder="1" applyAlignment="1" applyProtection="0">
      <alignment horizontal="left" vertical="center"/>
      <protection hidden="0" locked="1"/>
    </xf>
    <xf fontId="0" fillId="0" borderId="5" numFmtId="0" xfId="0" applyBorder="1" applyAlignment="1" applyProtection="0">
      <alignment horizontal="left" vertical="center"/>
      <protection hidden="0" locked="1"/>
    </xf>
    <xf fontId="16" fillId="9" borderId="0" numFmtId="0" xfId="0" applyFont="1" applyFill="1" applyAlignment="1" applyProtection="0">
      <alignment horizontal="center" vertical="center"/>
      <protection hidden="0" locked="1"/>
    </xf>
    <xf fontId="18" fillId="0" borderId="0" numFmtId="0" xfId="0" applyFont="1" applyAlignment="1" applyProtection="0">
      <alignment horizontal="center" vertical="center"/>
      <protection hidden="0" locked="1"/>
    </xf>
    <xf fontId="18" fillId="9" borderId="0" numFmtId="0" xfId="0" applyFont="1" applyFill="1" applyAlignment="1" applyProtection="0">
      <alignment horizontal="center" vertical="center"/>
      <protection hidden="0" locked="1"/>
    </xf>
    <xf fontId="24" fillId="10" borderId="0" numFmtId="0" xfId="0" applyFont="1" applyFill="1" applyAlignment="1" applyProtection="0">
      <alignment horizontal="left" vertical="center"/>
      <protection hidden="0" locked="1"/>
    </xf>
    <xf fontId="0" fillId="10" borderId="0" numFmtId="0" xfId="0" applyFill="1" applyAlignment="1" applyProtection="0">
      <alignment vertical="center"/>
      <protection hidden="0" locked="1"/>
    </xf>
    <xf fontId="25" fillId="9" borderId="3" numFmtId="0" xfId="0" applyFont="1" applyFill="1" applyBorder="1" applyAlignment="1" applyProtection="0">
      <alignment horizontal="center" vertical="center"/>
      <protection hidden="0" locked="1"/>
    </xf>
    <xf fontId="25" fillId="9" borderId="6" numFmtId="0" xfId="0" applyFont="1" applyFill="1" applyBorder="1" applyAlignment="1" applyProtection="0">
      <alignment horizontal="center" vertical="center" wrapText="1"/>
      <protection hidden="0" locked="1"/>
    </xf>
    <xf fontId="25" fillId="9" borderId="5" numFmtId="0" xfId="0" applyFont="1" applyFill="1" applyBorder="1" applyAlignment="1" applyProtection="0">
      <alignment horizontal="center" vertical="center" wrapText="1"/>
      <protection hidden="0" locked="1"/>
    </xf>
    <xf fontId="25" fillId="10" borderId="5" numFmtId="0" xfId="0" applyFont="1" applyFill="1" applyBorder="1" applyAlignment="1" applyProtection="0">
      <alignment horizontal="center" vertical="center" wrapText="1"/>
      <protection hidden="0" locked="1"/>
    </xf>
    <xf fontId="25" fillId="10" borderId="7" numFmtId="0" xfId="0" applyFont="1" applyFill="1" applyBorder="1" applyAlignment="1" applyProtection="0">
      <alignment horizontal="center" vertical="center" wrapText="1"/>
      <protection hidden="0" locked="1"/>
    </xf>
    <xf fontId="16" fillId="9" borderId="8" numFmtId="0" xfId="0" applyFont="1" applyFill="1" applyBorder="1" applyAlignment="1" applyProtection="0">
      <alignment horizontal="left" vertical="center"/>
      <protection hidden="0" locked="1"/>
    </xf>
    <xf fontId="16" fillId="9" borderId="3" numFmtId="0" xfId="0" applyFont="1" applyFill="1" applyBorder="1" applyAlignment="1" applyProtection="0">
      <alignment horizontal="center" vertical="center"/>
      <protection hidden="0" locked="1"/>
    </xf>
    <xf fontId="25" fillId="10" borderId="6" numFmtId="0" xfId="0" applyFont="1" applyFill="1" applyBorder="1" applyAlignment="1" applyProtection="0">
      <alignment horizontal="center" vertical="center" wrapText="1"/>
      <protection hidden="0" locked="1"/>
    </xf>
    <xf fontId="21" fillId="9" borderId="3" numFmtId="0" xfId="0" applyFont="1" applyFill="1" applyBorder="1" applyAlignment="1" applyProtection="0">
      <alignment horizontal="center" vertical="center"/>
      <protection hidden="0" locked="1"/>
    </xf>
    <xf fontId="26" fillId="9" borderId="3" numFmtId="3" xfId="46" applyNumberFormat="1" applyFont="1" applyFill="1" applyBorder="1" applyAlignment="1" applyProtection="0">
      <alignment horizontal="center" vertical="center"/>
      <protection hidden="0" locked="1"/>
    </xf>
    <xf fontId="16" fillId="10" borderId="1" numFmtId="0" xfId="0" applyFont="1" applyFill="1" applyBorder="1" applyAlignment="1" applyProtection="0">
      <alignment horizontal="center" vertical="center"/>
      <protection hidden="0" locked="1"/>
    </xf>
    <xf fontId="21" fillId="11" borderId="1" numFmtId="0" xfId="0" applyFont="1" applyFill="1" applyBorder="1" applyAlignment="1" applyProtection="0">
      <alignment horizontal="center" vertical="center"/>
      <protection hidden="0" locked="1"/>
    </xf>
    <xf fontId="21" fillId="9" borderId="1" numFmtId="0" xfId="0" applyFont="1" applyFill="1" applyBorder="1" applyAlignment="1" applyProtection="0">
      <alignment horizontal="center" vertical="center"/>
      <protection hidden="0" locked="1"/>
    </xf>
    <xf fontId="21" fillId="11" borderId="3" numFmtId="0" xfId="0" applyFont="1" applyFill="1" applyBorder="1" applyAlignment="1" applyProtection="0">
      <alignment horizontal="center" vertical="center"/>
      <protection hidden="0" locked="1"/>
    </xf>
    <xf fontId="21" fillId="12" borderId="3" numFmtId="0" xfId="0" applyFont="1" applyFill="1" applyBorder="1" applyAlignment="1" applyProtection="0">
      <alignment horizontal="center" vertical="center"/>
      <protection hidden="0" locked="1"/>
    </xf>
    <xf fontId="21" fillId="12" borderId="3" numFmtId="3" xfId="46" applyNumberFormat="1" applyFont="1" applyFill="1" applyBorder="1" applyAlignment="1" applyProtection="0">
      <alignment horizontal="center" vertical="center"/>
      <protection hidden="0" locked="1"/>
    </xf>
    <xf fontId="16" fillId="10" borderId="9" numFmtId="0" xfId="0" applyFont="1" applyFill="1" applyBorder="1" applyAlignment="1" applyProtection="0">
      <alignment horizontal="center" vertical="center"/>
      <protection hidden="0" locked="1"/>
    </xf>
    <xf fontId="18" fillId="0" borderId="9" numFmtId="0" xfId="0" applyFont="1" applyBorder="1" applyAlignment="1" applyProtection="0">
      <alignment horizontal="center" vertical="center"/>
      <protection hidden="0" locked="1"/>
    </xf>
    <xf fontId="18" fillId="0" borderId="9" numFmtId="0" xfId="0" applyFont="1" applyBorder="1" applyAlignment="1" applyProtection="0">
      <alignment horizontal="right" vertical="center"/>
      <protection hidden="0" locked="1"/>
    </xf>
    <xf fontId="18" fillId="10" borderId="10" numFmtId="0" xfId="0" applyFont="1" applyFill="1" applyBorder="1" applyAlignment="1" applyProtection="0">
      <alignment horizontal="center" vertical="center"/>
      <protection hidden="0" locked="1"/>
    </xf>
    <xf fontId="18" fillId="10" borderId="11" numFmtId="0" xfId="0" applyFont="1" applyFill="1" applyBorder="1" applyAlignment="1" applyProtection="0">
      <alignment horizontal="center" vertical="center"/>
      <protection hidden="0" locked="1"/>
    </xf>
    <xf fontId="26" fillId="9" borderId="12" numFmtId="0" xfId="0" applyFont="1" applyFill="1" applyBorder="1" applyAlignment="1" applyProtection="0">
      <alignment horizontal="center" vertical="center"/>
      <protection hidden="0" locked="1"/>
    </xf>
    <xf fontId="21" fillId="12" borderId="9" numFmtId="0" xfId="0" applyFont="1" applyFill="1" applyBorder="1" applyAlignment="1" applyProtection="0">
      <alignment horizontal="center" vertical="center"/>
      <protection hidden="0" locked="1"/>
    </xf>
    <xf fontId="21" fillId="12" borderId="0" numFmtId="0" xfId="0" applyFont="1" applyFill="1" applyAlignment="1" applyProtection="0">
      <alignment horizontal="center" vertical="center"/>
      <protection hidden="0" locked="1"/>
    </xf>
    <xf fontId="21" fillId="9" borderId="9" numFmtId="0" xfId="0" applyFont="1" applyFill="1" applyBorder="1" applyAlignment="1" applyProtection="0">
      <alignment horizontal="center" vertical="center"/>
      <protection hidden="0" locked="1"/>
    </xf>
    <xf fontId="21" fillId="12" borderId="9" numFmtId="3" xfId="46" applyNumberFormat="1" applyFont="1" applyFill="1" applyBorder="1" applyAlignment="1" applyProtection="0">
      <alignment horizontal="center" vertical="center"/>
      <protection hidden="0" locked="1"/>
    </xf>
    <xf fontId="18" fillId="10" borderId="6" numFmtId="0" xfId="0" applyFont="1" applyFill="1" applyBorder="1" applyAlignment="1" applyProtection="0">
      <alignment horizontal="center" vertical="center"/>
      <protection hidden="0" locked="1"/>
    </xf>
    <xf fontId="18" fillId="10" borderId="7" numFmtId="0" xfId="0" applyFont="1" applyFill="1" applyBorder="1" applyAlignment="1" applyProtection="0">
      <alignment horizontal="center" vertical="center"/>
      <protection hidden="0" locked="1"/>
    </xf>
    <xf fontId="26" fillId="9" borderId="3" numFmtId="0" xfId="0" applyFont="1" applyFill="1" applyBorder="1" applyAlignment="1" applyProtection="0">
      <alignment horizontal="center" vertical="center"/>
      <protection hidden="0" locked="1"/>
    </xf>
    <xf fontId="16" fillId="10" borderId="13" numFmtId="0" xfId="0" applyFont="1" applyFill="1" applyBorder="1" applyAlignment="1" applyProtection="0">
      <alignment horizontal="center" vertical="center"/>
      <protection hidden="0" locked="1"/>
    </xf>
    <xf fontId="21" fillId="11" borderId="13" numFmtId="0" xfId="0" applyFont="1" applyFill="1" applyBorder="1" applyAlignment="1" applyProtection="0">
      <alignment horizontal="center" vertical="center"/>
      <protection hidden="0" locked="1"/>
    </xf>
    <xf fontId="21" fillId="9" borderId="13" numFmtId="0" xfId="0" applyFont="1" applyFill="1" applyBorder="1" applyAlignment="1" applyProtection="0">
      <alignment horizontal="center" vertical="center"/>
      <protection hidden="0" locked="1"/>
    </xf>
    <xf fontId="16" fillId="0" borderId="9" numFmtId="0" xfId="0" applyFont="1" applyBorder="1" applyAlignment="1" applyProtection="0">
      <alignment horizontal="left" vertical="center"/>
      <protection hidden="0" locked="1"/>
    </xf>
    <xf fontId="18" fillId="0" borderId="9" numFmtId="0" xfId="0" applyFont="1" applyBorder="1" applyAlignment="1" applyProtection="0">
      <alignment vertical="center"/>
      <protection hidden="0" locked="1"/>
    </xf>
    <xf fontId="18" fillId="0" borderId="0" numFmtId="0" xfId="0" applyFont="1" applyAlignment="1" applyProtection="0">
      <alignment vertical="center"/>
      <protection hidden="0" locked="1"/>
    </xf>
    <xf fontId="25" fillId="10" borderId="3" numFmtId="0" xfId="0" applyFont="1" applyFill="1" applyBorder="1" applyAlignment="1" applyProtection="0">
      <alignment horizontal="center" vertical="center"/>
      <protection hidden="0" locked="1"/>
    </xf>
    <xf fontId="25" fillId="10" borderId="3" numFmtId="0" xfId="0" applyFont="1" applyFill="1" applyBorder="1" applyAlignment="1" applyProtection="0">
      <alignment horizontal="center" vertical="center" wrapText="1"/>
      <protection hidden="0" locked="1"/>
    </xf>
    <xf fontId="16" fillId="10" borderId="8" numFmtId="0" xfId="0" applyFont="1" applyFill="1" applyBorder="1" applyAlignment="1" applyProtection="0">
      <alignment horizontal="left" vertical="center"/>
      <protection hidden="0" locked="1"/>
    </xf>
    <xf fontId="21" fillId="0" borderId="3" numFmtId="0" xfId="0" applyFont="1" applyBorder="1" applyAlignment="1" applyProtection="0">
      <alignment horizontal="center" vertical="center"/>
      <protection hidden="0" locked="1"/>
    </xf>
    <xf fontId="26" fillId="9" borderId="3" numFmtId="164" xfId="46" applyNumberFormat="1" applyFont="1" applyFill="1" applyBorder="1" applyAlignment="1" applyProtection="0">
      <alignment horizontal="center" vertical="center"/>
      <protection hidden="0" locked="1"/>
    </xf>
    <xf fontId="18" fillId="10" borderId="3" numFmtId="0" xfId="0" applyFont="1" applyFill="1" applyBorder="1" applyAlignment="1" applyProtection="0">
      <alignment horizontal="center" vertical="center"/>
      <protection hidden="0" locked="1"/>
    </xf>
    <xf fontId="26" fillId="0" borderId="3" numFmtId="0" xfId="0" applyFont="1" applyBorder="1" applyAlignment="1" applyProtection="0">
      <alignment horizontal="center" vertical="center"/>
      <protection hidden="0" locked="1"/>
    </xf>
    <xf fontId="16" fillId="9" borderId="3" numFmtId="164" xfId="0" applyNumberFormat="1" applyFont="1" applyFill="1" applyBorder="1" applyAlignment="1" applyProtection="0">
      <alignment horizontal="center" vertical="center"/>
      <protection hidden="0" locked="1"/>
    </xf>
    <xf fontId="22" fillId="9" borderId="14" numFmtId="0" xfId="0" applyFont="1" applyFill="1" applyBorder="1" applyAlignment="1" applyProtection="0">
      <alignment horizontal="center" vertical="center" wrapText="1"/>
      <protection hidden="0" locked="1"/>
    </xf>
    <xf fontId="22" fillId="9" borderId="15" numFmtId="0" xfId="0" applyFont="1" applyFill="1" applyBorder="1" applyAlignment="1" applyProtection="0">
      <alignment horizontal="center" vertical="center" wrapText="1"/>
      <protection hidden="0" locked="1"/>
    </xf>
    <xf fontId="22" fillId="9" borderId="16" numFmtId="0" xfId="0" applyFont="1" applyFill="1" applyBorder="1" applyAlignment="1" applyProtection="0">
      <alignment horizontal="center" vertical="center" wrapText="1"/>
      <protection hidden="0" locked="1"/>
    </xf>
    <xf fontId="16" fillId="10" borderId="17" numFmtId="0" xfId="0" applyFont="1" applyFill="1" applyBorder="1" applyAlignment="1" applyProtection="0">
      <alignment horizontal="center" vertical="center" wrapText="1"/>
      <protection hidden="0" locked="1"/>
    </xf>
    <xf fontId="16" fillId="10" borderId="18" numFmtId="0" xfId="0" applyFont="1" applyFill="1" applyBorder="1" applyAlignment="1" applyProtection="0">
      <alignment horizontal="center" vertical="center" wrapText="1"/>
      <protection hidden="0" locked="1"/>
    </xf>
    <xf fontId="27" fillId="10" borderId="4" numFmtId="0" xfId="0" applyFont="1" applyFill="1" applyBorder="1" applyAlignment="1" applyProtection="0">
      <alignment horizontal="center" vertical="center"/>
      <protection hidden="0" locked="1"/>
    </xf>
    <xf fontId="21" fillId="10" borderId="3" numFmtId="167" xfId="0" applyNumberFormat="1" applyFont="1" applyFill="1" applyBorder="1" applyAlignment="1" applyProtection="0">
      <alignment horizontal="center" vertical="center"/>
      <protection hidden="0" locked="1"/>
    </xf>
    <xf fontId="18" fillId="0" borderId="19" numFmtId="0" xfId="0" applyFont="1" applyBorder="1" applyAlignment="1" applyProtection="0">
      <alignment horizontal="center" vertical="center"/>
      <protection hidden="0" locked="1"/>
    </xf>
    <xf fontId="18" fillId="0" borderId="20" numFmtId="0" xfId="0" applyFont="1" applyBorder="1" applyAlignment="1" applyProtection="0">
      <alignment horizontal="center" vertical="center"/>
      <protection hidden="0" locked="1"/>
    </xf>
    <xf fontId="18" fillId="0" borderId="1" numFmtId="0" xfId="0" applyFont="1" applyBorder="1" applyAlignment="1" applyProtection="0">
      <alignment horizontal="center" vertical="center"/>
      <protection hidden="0" locked="1"/>
    </xf>
    <xf fontId="18" fillId="0" borderId="4" numFmtId="0" xfId="0" applyFont="1" applyBorder="1" applyAlignment="1" applyProtection="0">
      <alignment horizontal="center" vertical="center"/>
      <protection hidden="0" locked="1"/>
    </xf>
    <xf fontId="22" fillId="9" borderId="19" numFmtId="0" xfId="0" applyFont="1" applyFill="1" applyBorder="1" applyAlignment="1" applyProtection="0">
      <alignment horizontal="center" vertical="center" wrapText="1"/>
      <protection hidden="0" locked="1"/>
    </xf>
    <xf fontId="22" fillId="9" borderId="20" numFmtId="0" xfId="0" applyFont="1" applyFill="1" applyBorder="1" applyAlignment="1" applyProtection="0">
      <alignment horizontal="center" vertical="center" wrapText="1"/>
      <protection hidden="0" locked="1"/>
    </xf>
    <xf fontId="19" fillId="0" borderId="0" numFmtId="0" xfId="0" applyFont="1" applyAlignment="1" applyProtection="0">
      <alignment horizontal="left" vertical="center"/>
      <protection hidden="0" locked="1"/>
    </xf>
    <xf fontId="16" fillId="13" borderId="0" numFmtId="0" xfId="0" applyFont="1" applyFill="1" applyAlignment="1" applyProtection="0">
      <alignment horizontal="left" vertical="center"/>
      <protection hidden="0" locked="1"/>
    </xf>
    <xf fontId="18" fillId="13" borderId="0" numFmtId="0" xfId="0" applyFont="1" applyFill="1" applyAlignment="1" applyProtection="0">
      <alignment vertical="center"/>
      <protection hidden="0" locked="1"/>
    </xf>
    <xf fontId="26" fillId="0" borderId="3" numFmtId="3" xfId="0" applyNumberFormat="1" applyFont="1" applyBorder="1" applyAlignment="1" applyProtection="0">
      <alignment horizontal="center" vertical="center"/>
      <protection hidden="0" locked="1"/>
    </xf>
    <xf fontId="18" fillId="9" borderId="21" numFmtId="0" xfId="0" applyFont="1" applyFill="1" applyBorder="1" applyAlignment="1" applyProtection="0">
      <alignment vertical="center"/>
      <protection hidden="0" locked="1"/>
    </xf>
    <xf fontId="26" fillId="0" borderId="0" numFmtId="1" xfId="46" applyNumberFormat="1" applyFont="1" applyAlignment="1" applyProtection="0">
      <alignment horizontal="center" vertical="center"/>
      <protection hidden="0" locked="1"/>
    </xf>
    <xf fontId="26" fillId="0" borderId="17" numFmtId="1" xfId="46" applyNumberFormat="1" applyFont="1" applyBorder="1" applyAlignment="1" applyProtection="0">
      <alignment horizontal="left" vertical="center"/>
      <protection hidden="0" locked="1"/>
    </xf>
    <xf fontId="18" fillId="9" borderId="22" numFmtId="0" xfId="0" applyFont="1" applyFill="1" applyBorder="1" applyAlignment="1" applyProtection="0">
      <alignment vertical="center"/>
      <protection hidden="0" locked="1"/>
    </xf>
    <xf fontId="16" fillId="0" borderId="3" numFmtId="0" xfId="0" applyFont="1" applyBorder="1" applyAlignment="1" applyProtection="0">
      <alignment horizontal="center" vertical="center"/>
      <protection hidden="0" locked="1"/>
    </xf>
    <xf fontId="18" fillId="0" borderId="0" numFmtId="0" xfId="0" applyFont="1" applyAlignment="1" applyProtection="0">
      <alignment horizontal="right" vertical="center"/>
      <protection hidden="0" locked="1"/>
    </xf>
    <xf fontId="16" fillId="12" borderId="3" numFmtId="0" xfId="0" applyFont="1" applyFill="1" applyBorder="1" applyAlignment="1" applyProtection="0">
      <alignment horizontal="center" vertical="center"/>
      <protection hidden="0" locked="1"/>
    </xf>
    <xf fontId="21" fillId="11" borderId="3" numFmtId="3" xfId="0" applyNumberFormat="1" applyFont="1" applyFill="1" applyBorder="1" applyAlignment="1" applyProtection="0">
      <alignment horizontal="center" vertical="center"/>
      <protection hidden="0" locked="1"/>
    </xf>
    <xf fontId="21" fillId="12" borderId="3" numFmtId="3" xfId="0" applyNumberFormat="1" applyFont="1" applyFill="1" applyBorder="1" applyAlignment="1" applyProtection="0">
      <alignment horizontal="center" vertical="center"/>
      <protection hidden="0" locked="1"/>
    </xf>
    <xf fontId="16" fillId="0" borderId="9" numFmtId="0" xfId="0" applyFont="1" applyBorder="1" applyAlignment="1" applyProtection="0">
      <alignment horizontal="center" vertical="center"/>
      <protection hidden="0" locked="1"/>
    </xf>
    <xf fontId="26" fillId="9" borderId="12" numFmtId="3" xfId="0" applyNumberFormat="1" applyFont="1" applyFill="1" applyBorder="1" applyAlignment="1" applyProtection="0">
      <alignment horizontal="center" vertical="center"/>
      <protection hidden="0" locked="1"/>
    </xf>
    <xf fontId="21" fillId="12" borderId="17" numFmtId="0" xfId="0" applyFont="1" applyFill="1" applyBorder="1" applyAlignment="1" applyProtection="0">
      <alignment horizontal="center" vertical="center"/>
      <protection hidden="0" locked="1"/>
    </xf>
    <xf fontId="26" fillId="9" borderId="3" numFmtId="3" xfId="0" applyNumberFormat="1" applyFont="1" applyFill="1" applyBorder="1" applyAlignment="1" applyProtection="0">
      <alignment horizontal="center" vertical="center"/>
      <protection hidden="0" locked="1"/>
    </xf>
    <xf fontId="16" fillId="0" borderId="0" numFmtId="0" xfId="0" applyFont="1" applyAlignment="1" applyProtection="0">
      <alignment horizontal="left" vertical="center"/>
      <protection hidden="0" locked="1"/>
    </xf>
    <xf fontId="16" fillId="10" borderId="0" numFmtId="0" xfId="0" applyFont="1" applyFill="1" applyAlignment="1" applyProtection="0">
      <alignment horizontal="center" vertical="center"/>
      <protection hidden="0" locked="1"/>
    </xf>
    <xf fontId="0" fillId="0" borderId="0" numFmtId="0" xfId="34" applyAlignment="1" applyProtection="0">
      <alignment vertical="center"/>
      <protection hidden="0" locked="1"/>
    </xf>
    <xf fontId="0" fillId="9" borderId="0" numFmtId="0" xfId="34" applyFill="1" applyProtection="0">
      <protection hidden="0" locked="1"/>
    </xf>
    <xf fontId="16" fillId="9" borderId="0" numFmtId="0" xfId="34" applyFont="1" applyFill="1" applyAlignment="1" applyProtection="0">
      <alignment horizontal="left" vertical="center"/>
      <protection hidden="0" locked="1"/>
    </xf>
    <xf fontId="17" fillId="9" borderId="0" numFmtId="0" xfId="34" applyFont="1" applyFill="1" applyAlignment="1" applyProtection="0">
      <alignment vertical="center"/>
      <protection hidden="0" locked="1"/>
    </xf>
    <xf fontId="18" fillId="9" borderId="0" numFmtId="0" xfId="34" applyFont="1" applyFill="1" applyAlignment="1" applyProtection="0">
      <alignment vertical="center"/>
      <protection hidden="0" locked="1"/>
    </xf>
    <xf fontId="0" fillId="9" borderId="0" numFmtId="0" xfId="34" applyFill="1" applyAlignment="1" applyProtection="0">
      <alignment vertical="center"/>
      <protection hidden="0" locked="1"/>
    </xf>
    <xf fontId="16" fillId="9" borderId="0" numFmtId="0" xfId="34" applyFont="1" applyFill="1" applyAlignment="1" applyProtection="0">
      <alignment horizontal="right" vertical="center"/>
      <protection hidden="0" locked="1"/>
    </xf>
    <xf fontId="18" fillId="9" borderId="0" numFmtId="49" xfId="34" applyNumberFormat="1" applyFont="1" applyFill="1" applyAlignment="1" applyProtection="0">
      <alignment vertical="center"/>
      <protection hidden="0" locked="1"/>
    </xf>
    <xf fontId="21" fillId="9" borderId="0" numFmtId="0" xfId="34" applyFont="1" applyFill="1" applyAlignment="1" applyProtection="0">
      <alignment horizontal="left" vertical="center"/>
      <protection hidden="0" locked="1"/>
    </xf>
    <xf fontId="19" fillId="9" borderId="0" numFmtId="0" xfId="34" applyFont="1" applyFill="1" applyAlignment="1" applyProtection="0">
      <alignment horizontal="left" vertical="center"/>
      <protection hidden="0" locked="1"/>
    </xf>
    <xf fontId="22" fillId="10" borderId="1" numFmtId="0" xfId="34" applyFont="1" applyFill="1" applyBorder="1" applyAlignment="1" applyProtection="0">
      <alignment horizontal="center" vertical="center" wrapText="1"/>
      <protection hidden="0" locked="1"/>
    </xf>
    <xf fontId="22" fillId="9" borderId="0" numFmtId="0" xfId="34" applyFont="1" applyFill="1" applyAlignment="1" applyProtection="0">
      <alignment horizontal="center" vertical="center" wrapText="1"/>
      <protection hidden="0" locked="1"/>
    </xf>
    <xf fontId="21" fillId="10" borderId="2" numFmtId="0" xfId="34" applyFont="1" applyFill="1" applyBorder="1" applyAlignment="1" applyProtection="0">
      <alignment horizontal="center" vertical="center" wrapText="1"/>
      <protection hidden="0" locked="1"/>
    </xf>
    <xf fontId="21" fillId="9" borderId="0" numFmtId="0" xfId="34" applyFont="1" applyFill="1" applyAlignment="1" applyProtection="0">
      <alignment horizontal="center" vertical="center" wrapText="1"/>
      <protection hidden="0" locked="1"/>
    </xf>
    <xf fontId="16" fillId="10" borderId="2" numFmtId="0" xfId="34" applyFont="1" applyFill="1" applyBorder="1" applyAlignment="1" applyProtection="0">
      <alignment horizontal="center" vertical="center" wrapText="1"/>
      <protection hidden="0" locked="1"/>
    </xf>
    <xf fontId="16" fillId="9" borderId="0" numFmtId="0" xfId="34" applyFont="1" applyFill="1" applyAlignment="1" applyProtection="0">
      <alignment horizontal="center" vertical="center" wrapText="1"/>
      <protection hidden="0" locked="1"/>
    </xf>
    <xf fontId="16" fillId="10" borderId="3" numFmtId="0" xfId="34" applyFont="1" applyFill="1" applyBorder="1" applyAlignment="1" applyProtection="0">
      <alignment horizontal="center" vertical="center"/>
      <protection hidden="0" locked="1"/>
    </xf>
    <xf fontId="16" fillId="10" borderId="4" numFmtId="0" xfId="34" applyFont="1" applyFill="1" applyBorder="1" applyAlignment="1" applyProtection="0">
      <alignment horizontal="center" vertical="center"/>
      <protection hidden="0" locked="1"/>
    </xf>
    <xf fontId="16" fillId="9" borderId="0" numFmtId="0" xfId="34" applyFont="1" applyFill="1" applyAlignment="1" applyProtection="0">
      <alignment horizontal="center" vertical="center"/>
      <protection hidden="0" locked="1"/>
    </xf>
    <xf fontId="22" fillId="10" borderId="3" numFmtId="0" xfId="34" applyFont="1" applyFill="1" applyBorder="1" applyAlignment="1" applyProtection="0">
      <alignment horizontal="center" vertical="center"/>
      <protection hidden="0" locked="1"/>
    </xf>
    <xf fontId="18" fillId="0" borderId="3" numFmtId="0" xfId="34" applyFont="1" applyBorder="1" applyAlignment="1" applyProtection="0">
      <alignment horizontal="center" vertical="center"/>
      <protection hidden="0" locked="1"/>
    </xf>
    <xf fontId="18" fillId="0" borderId="0" numFmtId="0" xfId="34" applyFont="1" applyAlignment="1" applyProtection="0">
      <alignment horizontal="center" vertical="center"/>
      <protection hidden="0" locked="1"/>
    </xf>
    <xf fontId="16" fillId="10" borderId="3" numFmtId="0" xfId="34" applyFont="1" applyFill="1" applyBorder="1" applyAlignment="1" applyProtection="0">
      <alignment horizontal="right"/>
      <protection hidden="0" locked="1"/>
    </xf>
    <xf fontId="16" fillId="9" borderId="0" numFmtId="0" xfId="34" applyFont="1" applyFill="1" applyAlignment="1" applyProtection="0">
      <alignment horizontal="right"/>
      <protection hidden="0" locked="1"/>
    </xf>
    <xf fontId="19" fillId="0" borderId="5" numFmtId="0" xfId="0" applyFont="1" applyBorder="1" applyAlignment="1" applyProtection="0">
      <alignment horizontal="left" vertical="center"/>
      <protection hidden="0" locked="1"/>
    </xf>
    <xf fontId="0" fillId="0" borderId="7" numFmtId="0" xfId="0" applyBorder="1" applyAlignment="1" applyProtection="0">
      <alignment horizontal="left" vertical="center"/>
      <protection hidden="0" locked="1"/>
    </xf>
    <xf fontId="8" fillId="0" borderId="5" numFmtId="0" xfId="0" applyFont="1" applyBorder="1" applyAlignment="1" applyProtection="0">
      <alignment horizontal="left" vertical="center"/>
      <protection hidden="0" locked="1"/>
    </xf>
    <xf fontId="24" fillId="10" borderId="0" numFmtId="0" xfId="34" applyFont="1" applyFill="1" applyAlignment="1" applyProtection="0">
      <alignment horizontal="left" vertical="center"/>
      <protection hidden="0" locked="1"/>
    </xf>
    <xf fontId="18" fillId="10" borderId="0" numFmtId="0" xfId="34" applyFont="1" applyFill="1" applyAlignment="1" applyProtection="0">
      <alignment vertical="center"/>
      <protection hidden="0" locked="1"/>
    </xf>
    <xf fontId="0" fillId="10" borderId="0" numFmtId="0" xfId="34" applyFill="1" applyAlignment="1" applyProtection="0">
      <alignment vertical="center"/>
      <protection hidden="0" locked="1"/>
    </xf>
    <xf fontId="16" fillId="10" borderId="0" numFmtId="0" xfId="34" applyFont="1" applyFill="1" applyAlignment="1" applyProtection="0">
      <alignment horizontal="left" vertical="center"/>
      <protection hidden="0" locked="1"/>
    </xf>
    <xf fontId="25" fillId="10" borderId="3" numFmtId="0" xfId="34" applyFont="1" applyFill="1" applyBorder="1" applyAlignment="1" applyProtection="0">
      <alignment horizontal="center" vertical="center"/>
      <protection hidden="0" locked="1"/>
    </xf>
    <xf fontId="25" fillId="10" borderId="6" numFmtId="0" xfId="34" applyFont="1" applyFill="1" applyBorder="1" applyAlignment="1" applyProtection="0">
      <alignment horizontal="center" vertical="center" wrapText="1"/>
      <protection hidden="0" locked="1"/>
    </xf>
    <xf fontId="25" fillId="10" borderId="5" numFmtId="0" xfId="34" applyFont="1" applyFill="1" applyBorder="1" applyAlignment="1" applyProtection="0">
      <alignment horizontal="center" vertical="center" wrapText="1"/>
      <protection hidden="0" locked="1"/>
    </xf>
    <xf fontId="25" fillId="10" borderId="7" numFmtId="0" xfId="34" applyFont="1" applyFill="1" applyBorder="1" applyAlignment="1" applyProtection="0">
      <alignment horizontal="center" vertical="center" wrapText="1"/>
      <protection hidden="0" locked="1"/>
    </xf>
    <xf fontId="16" fillId="10" borderId="8" numFmtId="0" xfId="34" applyFont="1" applyFill="1" applyBorder="1" applyAlignment="1" applyProtection="0">
      <alignment horizontal="left" vertical="center"/>
      <protection hidden="0" locked="1"/>
    </xf>
    <xf fontId="26" fillId="0" borderId="3" numFmtId="0" xfId="34" applyFont="1" applyBorder="1" applyAlignment="1" applyProtection="0">
      <alignment horizontal="center" vertical="center"/>
      <protection hidden="0" locked="1"/>
    </xf>
    <xf fontId="26" fillId="9" borderId="3" numFmtId="3" xfId="47" applyNumberFormat="1" applyFont="1" applyFill="1" applyBorder="1" applyAlignment="1" applyProtection="0">
      <alignment horizontal="center" vertical="center"/>
      <protection hidden="0" locked="1"/>
    </xf>
    <xf fontId="18" fillId="9" borderId="21" numFmtId="0" xfId="34" applyFont="1" applyFill="1" applyBorder="1" applyAlignment="1" applyProtection="0">
      <alignment vertical="center"/>
      <protection hidden="0" locked="1"/>
    </xf>
    <xf fontId="26" fillId="0" borderId="0" numFmtId="1" xfId="47" applyNumberFormat="1" applyFont="1" applyAlignment="1" applyProtection="0">
      <alignment horizontal="center" vertical="center"/>
      <protection hidden="0" locked="1"/>
    </xf>
    <xf fontId="26" fillId="0" borderId="17" numFmtId="1" xfId="47" applyNumberFormat="1" applyFont="1" applyBorder="1" applyAlignment="1" applyProtection="0">
      <alignment horizontal="left" vertical="center"/>
      <protection hidden="0" locked="1"/>
    </xf>
    <xf fontId="18" fillId="9" borderId="22" numFmtId="0" xfId="34" applyFont="1" applyFill="1" applyBorder="1" applyAlignment="1" applyProtection="0">
      <alignment vertical="center"/>
      <protection hidden="0" locked="1"/>
    </xf>
    <xf fontId="16" fillId="0" borderId="3" numFmtId="0" xfId="34" applyFont="1" applyBorder="1" applyAlignment="1" applyProtection="0">
      <alignment horizontal="center" vertical="center"/>
      <protection hidden="0" locked="1"/>
    </xf>
    <xf fontId="16" fillId="12" borderId="3" numFmtId="0" xfId="34" applyFont="1" applyFill="1" applyBorder="1" applyAlignment="1" applyProtection="0">
      <alignment horizontal="center" vertical="center"/>
      <protection hidden="0" locked="1"/>
    </xf>
    <xf fontId="21" fillId="12" borderId="3" numFmtId="0" xfId="34" applyFont="1" applyFill="1" applyBorder="1" applyAlignment="1" applyProtection="0">
      <alignment horizontal="center" vertical="center"/>
      <protection hidden="0" locked="1"/>
    </xf>
    <xf fontId="21" fillId="12" borderId="3" numFmtId="3" xfId="47" applyNumberFormat="1" applyFont="1" applyFill="1" applyBorder="1" applyAlignment="1" applyProtection="0">
      <alignment horizontal="center" vertical="center"/>
      <protection hidden="0" locked="1"/>
    </xf>
    <xf fontId="16" fillId="0" borderId="9" numFmtId="0" xfId="34" applyFont="1" applyBorder="1" applyAlignment="1" applyProtection="0">
      <alignment horizontal="left" vertical="center"/>
      <protection hidden="0" locked="1"/>
    </xf>
    <xf fontId="18" fillId="0" borderId="9" numFmtId="0" xfId="34" applyFont="1" applyBorder="1" applyAlignment="1" applyProtection="0">
      <alignment vertical="center"/>
      <protection hidden="0" locked="1"/>
    </xf>
    <xf fontId="16" fillId="9" borderId="3" numFmtId="0" xfId="34" applyFont="1" applyFill="1" applyBorder="1" applyAlignment="1" applyProtection="0">
      <alignment horizontal="center" vertical="center"/>
      <protection hidden="0" locked="1"/>
    </xf>
    <xf fontId="16" fillId="0" borderId="0" numFmtId="0" xfId="34" applyFont="1" applyAlignment="1" applyProtection="0">
      <alignment horizontal="left" vertical="center"/>
      <protection hidden="0" locked="1"/>
    </xf>
    <xf fontId="18" fillId="0" borderId="0" numFmtId="0" xfId="34" applyFont="1" applyAlignment="1" applyProtection="0">
      <alignment vertical="center"/>
      <protection hidden="0" locked="1"/>
    </xf>
    <xf fontId="25" fillId="10" borderId="3" numFmtId="0" xfId="34" applyFont="1" applyFill="1" applyBorder="1" applyAlignment="1" applyProtection="0">
      <alignment horizontal="center" vertical="center" wrapText="1"/>
      <protection hidden="0" locked="1"/>
    </xf>
    <xf fontId="21" fillId="0" borderId="3" numFmtId="0" xfId="34" applyFont="1" applyBorder="1" applyAlignment="1" applyProtection="0">
      <alignment horizontal="center" vertical="center"/>
      <protection hidden="0" locked="1"/>
    </xf>
    <xf fontId="26" fillId="9" borderId="3" numFmtId="164" xfId="47" applyNumberFormat="1" applyFont="1" applyFill="1" applyBorder="1" applyAlignment="1" applyProtection="0">
      <alignment horizontal="center" vertical="center"/>
      <protection hidden="0" locked="1"/>
    </xf>
    <xf fontId="18" fillId="10" borderId="3" numFmtId="0" xfId="34" applyFont="1" applyFill="1" applyBorder="1" applyAlignment="1" applyProtection="0">
      <alignment horizontal="center" vertical="center"/>
      <protection hidden="0" locked="1"/>
    </xf>
    <xf fontId="0" fillId="0" borderId="0" numFmtId="0" xfId="34" applyAlignment="1" applyProtection="0">
      <alignment horizontal="right" vertical="center"/>
      <protection hidden="0" locked="1"/>
    </xf>
    <xf fontId="16" fillId="9" borderId="3" numFmtId="164" xfId="34" applyNumberFormat="1" applyFont="1" applyFill="1" applyBorder="1" applyAlignment="1" applyProtection="0">
      <alignment horizontal="center" vertical="center"/>
      <protection hidden="0" locked="1"/>
    </xf>
    <xf fontId="17" fillId="0" borderId="0" numFmtId="0" xfId="0" applyFont="1" applyAlignment="1" applyProtection="0">
      <alignment vertical="center"/>
      <protection hidden="0" locked="1"/>
    </xf>
    <xf fontId="16" fillId="0" borderId="0" numFmtId="0" xfId="0" applyFont="1" applyAlignment="1" applyProtection="0">
      <alignment horizontal="right" vertical="center"/>
      <protection hidden="0" locked="1"/>
    </xf>
    <xf fontId="18" fillId="0" borderId="0" numFmtId="49" xfId="0" applyNumberFormat="1" applyFont="1" applyAlignment="1" applyProtection="0">
      <alignment vertical="center"/>
      <protection hidden="0" locked="1"/>
    </xf>
    <xf fontId="18" fillId="11" borderId="0" numFmtId="0" xfId="0" applyFont="1" applyFill="1" applyAlignment="1" applyProtection="0">
      <alignment horizontal="center" vertical="center"/>
      <protection hidden="0" locked="1"/>
    </xf>
    <xf fontId="21" fillId="0" borderId="0" numFmtId="0" xfId="0" applyFont="1" applyAlignment="1" applyProtection="0">
      <alignment horizontal="left" vertical="center"/>
      <protection hidden="0" locked="1"/>
    </xf>
    <xf fontId="17" fillId="10" borderId="1" numFmtId="0" xfId="0" applyFont="1" applyFill="1" applyBorder="1" applyAlignment="1" applyProtection="0">
      <alignment horizontal="center" vertical="center" wrapText="1"/>
      <protection hidden="0" locked="1"/>
    </xf>
    <xf fontId="16" fillId="10" borderId="2" numFmtId="0" xfId="0" applyFont="1" applyFill="1" applyBorder="1" applyAlignment="1" applyProtection="0">
      <alignment horizontal="center" vertical="center"/>
      <protection hidden="0" locked="1"/>
    </xf>
    <xf fontId="16" fillId="10" borderId="6" numFmtId="167" xfId="0" applyNumberFormat="1" applyFont="1" applyFill="1" applyBorder="1" applyAlignment="1" applyProtection="0">
      <alignment horizontal="center" vertical="center"/>
      <protection hidden="0" locked="1"/>
    </xf>
    <xf fontId="16" fillId="9" borderId="0" numFmtId="0" xfId="0" applyFont="1" applyFill="1" applyAlignment="1" applyProtection="0">
      <alignment horizontal="right"/>
      <protection hidden="0" locked="1"/>
    </xf>
    <xf fontId="24" fillId="9" borderId="0" numFmtId="0" xfId="0" applyFont="1" applyFill="1" applyAlignment="1" applyProtection="0">
      <alignment horizontal="left" vertical="center"/>
      <protection hidden="0" locked="1"/>
    </xf>
    <xf fontId="18" fillId="11" borderId="0" numFmtId="0" xfId="0" applyFont="1" applyFill="1" applyAlignment="1" applyProtection="0">
      <alignment vertical="center"/>
      <protection hidden="0" locked="1"/>
    </xf>
    <xf fontId="28" fillId="10" borderId="13" numFmtId="0" xfId="0" applyFont="1" applyFill="1" applyBorder="1" applyAlignment="1" applyProtection="0">
      <alignment horizontal="center" vertical="center"/>
      <protection hidden="0" locked="1"/>
    </xf>
    <xf fontId="29" fillId="11" borderId="13" numFmtId="0" xfId="0" applyFont="1" applyFill="1" applyBorder="1" applyAlignment="1" applyProtection="0">
      <alignment horizontal="center" vertical="center"/>
      <protection hidden="0" locked="1"/>
    </xf>
    <xf fontId="16" fillId="10" borderId="23" numFmtId="0" xfId="0" applyFont="1" applyFill="1" applyBorder="1" applyAlignment="1" applyProtection="0">
      <alignment horizontal="center" vertical="center"/>
      <protection hidden="0" locked="1"/>
    </xf>
    <xf fontId="18" fillId="9" borderId="0" numFmtId="168" xfId="0" applyNumberFormat="1" applyFont="1" applyFill="1" applyAlignment="1" applyProtection="0">
      <alignment vertical="center"/>
      <protection hidden="0" locked="1"/>
    </xf>
    <xf fontId="22" fillId="9" borderId="0" numFmtId="0" xfId="0" applyFont="1" applyFill="1" applyAlignment="1" applyProtection="0">
      <alignment horizontal="center" vertical="center" wrapText="1"/>
      <protection hidden="0" locked="1"/>
    </xf>
    <xf fontId="21" fillId="9" borderId="0" numFmtId="0" xfId="0" applyFont="1" applyFill="1" applyAlignment="1" applyProtection="0">
      <alignment horizontal="center" vertical="center" wrapText="1"/>
      <protection hidden="0" locked="1"/>
    </xf>
    <xf fontId="16" fillId="9" borderId="0" numFmtId="0" xfId="0" applyFont="1" applyFill="1" applyAlignment="1" applyProtection="0">
      <alignment horizontal="center" vertical="center" wrapText="1"/>
      <protection hidden="0" locked="1"/>
    </xf>
    <xf fontId="30" fillId="9" borderId="0" numFmtId="0" xfId="0" applyFont="1" applyFill="1" applyAlignment="1" applyProtection="0">
      <alignment horizontal="left" vertical="center"/>
      <protection hidden="0" locked="1"/>
    </xf>
    <xf fontId="18" fillId="9" borderId="24" numFmtId="0" xfId="0" applyFont="1" applyFill="1" applyBorder="1" applyAlignment="1" applyProtection="0">
      <alignment vertical="center"/>
      <protection hidden="0" locked="1"/>
    </xf>
    <xf fontId="28" fillId="14" borderId="9" numFmtId="0" xfId="0" applyFont="1" applyFill="1" applyBorder="1" applyAlignment="1" applyProtection="0">
      <alignment horizontal="right" vertical="center"/>
      <protection hidden="0" locked="1"/>
    </xf>
    <xf fontId="28" fillId="14" borderId="3" numFmtId="0" xfId="0" applyFont="1" applyFill="1" applyBorder="1" applyAlignment="1" applyProtection="0">
      <alignment horizontal="center" vertical="center"/>
      <protection hidden="0" locked="1"/>
    </xf>
    <xf fontId="16" fillId="9" borderId="3" numFmtId="3" xfId="0" applyNumberFormat="1" applyFont="1" applyFill="1" applyBorder="1" applyAlignment="1" applyProtection="0">
      <alignment horizontal="center" vertical="center"/>
      <protection hidden="0" locked="1"/>
    </xf>
    <xf fontId="21" fillId="10" borderId="3" numFmtId="0" xfId="0" applyFont="1" applyFill="1" applyBorder="1" applyAlignment="1" applyProtection="0">
      <alignment horizontal="center" vertical="center"/>
      <protection hidden="0" locked="1"/>
    </xf>
    <xf fontId="26" fillId="10" borderId="3" numFmtId="164" xfId="46" applyNumberFormat="1" applyFont="1" applyFill="1" applyBorder="1" applyAlignment="1" applyProtection="0">
      <alignment horizontal="center" vertical="center"/>
      <protection hidden="0" locked="1"/>
    </xf>
    <xf fontId="18" fillId="9" borderId="0" numFmtId="49" xfId="0" applyNumberFormat="1" applyFont="1" applyFill="1" applyAlignment="1" applyProtection="0">
      <alignment vertical="center"/>
      <protection hidden="0" locked="1"/>
    </xf>
    <xf fontId="22" fillId="9" borderId="1" numFmtId="0" xfId="0" applyFont="1" applyFill="1" applyBorder="1" applyAlignment="1" applyProtection="0">
      <alignment horizontal="center" vertical="center" wrapText="1"/>
      <protection hidden="0" locked="1"/>
    </xf>
    <xf fontId="16" fillId="0" borderId="0" numFmtId="0" xfId="0" applyFont="1" applyAlignment="1" applyProtection="0">
      <alignment horizontal="center" vertical="center"/>
      <protection hidden="0" locked="1"/>
    </xf>
    <xf fontId="16" fillId="9" borderId="25" numFmtId="0" xfId="0" applyFont="1" applyFill="1" applyBorder="1" applyAlignment="1" applyProtection="0">
      <alignment horizontal="left" vertical="center"/>
      <protection hidden="0" locked="1"/>
    </xf>
    <xf fontId="21" fillId="9" borderId="3" numFmtId="3" xfId="46" applyNumberFormat="1" applyFont="1" applyFill="1" applyBorder="1" applyAlignment="1" applyProtection="0">
      <alignment horizontal="center" vertical="center"/>
      <protection hidden="0" locked="1"/>
    </xf>
    <xf fontId="21" fillId="11" borderId="3" numFmtId="3" xfId="46" applyNumberFormat="1" applyFont="1" applyFill="1" applyBorder="1" applyAlignment="1" applyProtection="0">
      <alignment horizontal="center" vertical="center"/>
      <protection hidden="0" locked="1"/>
    </xf>
    <xf fontId="26" fillId="11" borderId="3" numFmtId="0" xfId="0" applyFont="1" applyFill="1" applyBorder="1" applyAlignment="1" applyProtection="0">
      <alignment horizontal="center" vertical="center"/>
      <protection hidden="0" locked="1"/>
    </xf>
    <xf fontId="26" fillId="12" borderId="3" numFmtId="0" xfId="0" applyFont="1" applyFill="1" applyBorder="1" applyAlignment="1" applyProtection="0">
      <alignment horizontal="center" vertical="center"/>
      <protection hidden="0" locked="1"/>
    </xf>
    <xf fontId="31" fillId="10" borderId="13" numFmtId="0" xfId="0" applyFont="1" applyFill="1" applyBorder="1" applyAlignment="1" applyProtection="0">
      <alignment horizontal="center" vertical="center"/>
      <protection hidden="0" locked="1"/>
    </xf>
    <xf fontId="32" fillId="11" borderId="13" numFmtId="0" xfId="0" applyFont="1" applyFill="1" applyBorder="1" applyAlignment="1" applyProtection="0">
      <alignment horizontal="center" vertical="center"/>
      <protection hidden="0" locked="1"/>
    </xf>
    <xf fontId="16" fillId="10" borderId="26" numFmtId="0" xfId="0" applyFont="1" applyFill="1" applyBorder="1" applyAlignment="1" applyProtection="0">
      <alignment horizontal="center" vertical="center"/>
      <protection hidden="0" locked="1"/>
    </xf>
    <xf fontId="16" fillId="10" borderId="27" numFmtId="0" xfId="0" applyFont="1" applyFill="1" applyBorder="1" applyAlignment="1" applyProtection="0">
      <alignment horizontal="center" vertical="center"/>
      <protection hidden="0" locked="1"/>
    </xf>
    <xf fontId="33" fillId="0" borderId="0" numFmtId="0" xfId="0" applyFont="1" applyProtection="0">
      <protection hidden="0" locked="1"/>
    </xf>
    <xf fontId="33" fillId="0" borderId="5" numFmtId="0" xfId="0" applyFont="1" applyBorder="1" applyAlignment="1" applyProtection="0">
      <alignment horizontal="left" vertical="center"/>
      <protection hidden="0" locked="1"/>
    </xf>
    <xf fontId="22" fillId="10" borderId="28" numFmtId="0" xfId="0" applyFont="1" applyFill="1" applyBorder="1" applyAlignment="1" applyProtection="0">
      <alignment horizontal="center" vertical="center" wrapText="1"/>
      <protection hidden="0" locked="1"/>
    </xf>
    <xf fontId="25" fillId="10" borderId="7" numFmtId="0" xfId="0" applyFont="1" applyFill="1" applyBorder="1" applyAlignment="1" applyProtection="0">
      <alignment horizontal="center" vertical="center"/>
      <protection hidden="0" locked="1"/>
    </xf>
    <xf fontId="21" fillId="10" borderId="17" numFmtId="0" xfId="0" applyFont="1" applyFill="1" applyBorder="1" applyAlignment="1" applyProtection="0">
      <alignment horizontal="center" vertical="center" wrapText="1"/>
      <protection hidden="0" locked="1"/>
    </xf>
    <xf fontId="34" fillId="0" borderId="0" numFmtId="0" xfId="0" applyFont="1" applyAlignment="1" applyProtection="0">
      <alignment vertical="center"/>
      <protection hidden="0" locked="1"/>
    </xf>
    <xf fontId="16" fillId="9" borderId="29" numFmtId="0" xfId="0" applyFont="1" applyFill="1" applyBorder="1" applyAlignment="1" applyProtection="0">
      <alignment horizontal="left" vertical="center"/>
      <protection hidden="0" locked="1"/>
    </xf>
    <xf fontId="35" fillId="9" borderId="0" numFmtId="0" xfId="0" applyFont="1" applyFill="1" applyAlignment="1" applyProtection="0">
      <alignment vertical="center"/>
      <protection hidden="0" locked="1"/>
    </xf>
    <xf fontId="34" fillId="9" borderId="0" numFmtId="0" xfId="0" applyFont="1" applyFill="1" applyAlignment="1" applyProtection="0">
      <alignment vertical="center"/>
      <protection hidden="0" locked="1"/>
    </xf>
    <xf fontId="34" fillId="9" borderId="0" numFmtId="0" xfId="0" applyFont="1" applyFill="1" applyProtection="0">
      <protection hidden="0" locked="1"/>
    </xf>
    <xf fontId="35" fillId="9" borderId="29" numFmtId="0" xfId="0" applyFont="1" applyFill="1" applyBorder="1" applyAlignment="1" applyProtection="0">
      <alignment vertical="center"/>
      <protection hidden="0" locked="1"/>
    </xf>
    <xf fontId="18" fillId="9" borderId="29" numFmtId="0" xfId="0" applyFont="1" applyFill="1" applyBorder="1" applyAlignment="1" applyProtection="0">
      <alignment vertical="center"/>
      <protection hidden="0" locked="1"/>
    </xf>
    <xf fontId="24" fillId="9" borderId="0" numFmtId="0" xfId="0" applyFont="1" applyFill="1" applyAlignment="1" applyProtection="0">
      <alignment horizontal="center" vertical="center"/>
      <protection hidden="0" locked="1"/>
    </xf>
    <xf fontId="36" fillId="10" borderId="4" numFmtId="0" xfId="0" applyFont="1" applyFill="1" applyBorder="1" applyAlignment="1" applyProtection="0">
      <alignment horizontal="center" vertical="center"/>
      <protection hidden="0" locked="1"/>
    </xf>
    <xf fontId="0" fillId="0" borderId="0" numFmtId="0" xfId="0" applyAlignment="1" applyProtection="0">
      <alignment vertical="center" wrapText="1"/>
      <protection hidden="0" locked="1"/>
    </xf>
    <xf fontId="18" fillId="0" borderId="30" numFmtId="0" xfId="0" applyFont="1" applyBorder="1" applyAlignment="1" applyProtection="0">
      <alignment horizontal="center" vertical="center"/>
      <protection hidden="0" locked="1"/>
    </xf>
    <xf fontId="18" fillId="0" borderId="31" numFmtId="0" xfId="0" applyFont="1" applyBorder="1" applyAlignment="1" applyProtection="0">
      <alignment horizontal="center" vertical="center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34" fillId="0" borderId="0" numFmtId="0" xfId="0" applyFont="1" applyAlignment="1" applyProtection="0">
      <alignment horizontal="left" vertical="center"/>
      <protection hidden="0" locked="1"/>
    </xf>
    <xf fontId="35" fillId="0" borderId="0" numFmtId="0" xfId="0" applyFont="1" applyAlignment="1" applyProtection="0">
      <alignment horizontal="center" vertical="center"/>
      <protection hidden="0" locked="1"/>
    </xf>
    <xf fontId="25" fillId="10" borderId="9" numFmtId="0" xfId="0" applyFont="1" applyFill="1" applyBorder="1" applyAlignment="1" applyProtection="0">
      <alignment horizontal="center" vertical="center" wrapText="1"/>
      <protection hidden="0" locked="1"/>
    </xf>
    <xf fontId="25" fillId="10" borderId="32" numFmtId="0" xfId="0" applyFont="1" applyFill="1" applyBorder="1" applyAlignment="1" applyProtection="0">
      <alignment horizontal="center" vertical="center" wrapText="1"/>
      <protection hidden="0" locked="1"/>
    </xf>
    <xf fontId="25" fillId="10" borderId="0" numFmtId="0" xfId="0" applyFont="1" applyFill="1" applyAlignment="1" applyProtection="0">
      <alignment horizontal="center" vertical="center" wrapText="1"/>
      <protection hidden="0" locked="1"/>
    </xf>
    <xf fontId="25" fillId="10" borderId="18" numFmtId="0" xfId="0" applyFont="1" applyFill="1" applyBorder="1" applyAlignment="1" applyProtection="0">
      <alignment horizontal="center" vertical="center" wrapText="1"/>
      <protection hidden="0" locked="1"/>
    </xf>
    <xf fontId="24" fillId="10" borderId="8" numFmtId="0" xfId="0" applyFont="1" applyFill="1" applyBorder="1" applyAlignment="1" applyProtection="0">
      <alignment horizontal="left" vertical="center"/>
      <protection hidden="0" locked="1"/>
    </xf>
    <xf fontId="25" fillId="10" borderId="8" numFmtId="0" xfId="0" applyFont="1" applyFill="1" applyBorder="1" applyAlignment="1" applyProtection="0">
      <alignment horizontal="center" vertical="center" wrapText="1"/>
      <protection hidden="0" locked="1"/>
    </xf>
    <xf fontId="25" fillId="10" borderId="27" numFmtId="0" xfId="0" applyFont="1" applyFill="1" applyBorder="1" applyAlignment="1" applyProtection="0">
      <alignment horizontal="center" vertical="center" wrapText="1"/>
      <protection hidden="0" locked="1"/>
    </xf>
    <xf fontId="26" fillId="0" borderId="0" numFmtId="1" xfId="46" applyNumberFormat="1" applyFont="1" applyAlignment="1" applyProtection="0">
      <alignment vertical="center" wrapText="1"/>
      <protection hidden="0" locked="1"/>
    </xf>
    <xf fontId="26" fillId="0" borderId="18" numFmtId="1" xfId="46" applyNumberFormat="1" applyFont="1" applyBorder="1" applyAlignment="1" applyProtection="0">
      <alignment vertical="center" wrapText="1"/>
      <protection hidden="0" locked="1"/>
    </xf>
    <xf fontId="18" fillId="9" borderId="0" numFmtId="0" xfId="0" applyFont="1" applyFill="1" applyAlignment="1" applyProtection="0">
      <alignment horizontal="right" vertical="center"/>
      <protection hidden="0" locked="1"/>
    </xf>
    <xf fontId="0" fillId="0" borderId="0" numFmtId="0" xfId="33" applyAlignment="1" applyProtection="0">
      <alignment vertical="center"/>
      <protection hidden="0" locked="1"/>
    </xf>
    <xf fontId="0" fillId="9" borderId="0" numFmtId="0" xfId="33" applyFill="1" applyAlignment="1" applyProtection="0">
      <alignment vertical="center"/>
      <protection hidden="0" locked="1"/>
    </xf>
    <xf fontId="0" fillId="0" borderId="0" numFmtId="0" xfId="33" applyProtection="0">
      <protection hidden="0" locked="1"/>
    </xf>
    <xf fontId="16" fillId="9" borderId="0" numFmtId="0" xfId="33" applyFont="1" applyFill="1" applyAlignment="1" applyProtection="0">
      <alignment horizontal="left" vertical="center"/>
      <protection hidden="0" locked="1"/>
    </xf>
    <xf fontId="17" fillId="9" borderId="0" numFmtId="0" xfId="33" applyFont="1" applyFill="1" applyAlignment="1" applyProtection="0">
      <alignment vertical="center"/>
      <protection hidden="0" locked="1"/>
    </xf>
    <xf fontId="18" fillId="9" borderId="0" numFmtId="0" xfId="33" applyFont="1" applyFill="1" applyAlignment="1" applyProtection="0">
      <alignment vertical="center"/>
      <protection hidden="0" locked="1"/>
    </xf>
    <xf fontId="18" fillId="9" borderId="0" numFmtId="168" xfId="33" applyNumberFormat="1" applyFont="1" applyFill="1" applyAlignment="1" applyProtection="0">
      <alignment vertical="center"/>
      <protection hidden="0" locked="1"/>
    </xf>
    <xf fontId="0" fillId="9" borderId="0" numFmtId="0" xfId="33" applyFill="1" applyProtection="0">
      <protection hidden="0" locked="1"/>
    </xf>
    <xf fontId="16" fillId="9" borderId="0" numFmtId="0" xfId="33" applyFont="1" applyFill="1" applyAlignment="1" applyProtection="0">
      <alignment vertical="center"/>
      <protection hidden="0" locked="1"/>
    </xf>
    <xf fontId="19" fillId="9" borderId="0" numFmtId="0" xfId="33" applyFont="1" applyFill="1" applyAlignment="1" applyProtection="0">
      <alignment horizontal="left" vertical="center"/>
      <protection hidden="0" locked="1"/>
    </xf>
    <xf fontId="20" fillId="9" borderId="0" numFmtId="0" xfId="33" applyFont="1" applyFill="1" applyAlignment="1" applyProtection="0">
      <alignment horizontal="left" vertical="center"/>
      <protection hidden="0" locked="1"/>
    </xf>
    <xf fontId="22" fillId="9" borderId="1" numFmtId="0" xfId="33" applyFont="1" applyFill="1" applyBorder="1" applyAlignment="1" applyProtection="0">
      <alignment horizontal="center" vertical="center" wrapText="1"/>
      <protection hidden="0" locked="1"/>
    </xf>
    <xf fontId="21" fillId="10" borderId="2" numFmtId="0" xfId="33" applyFont="1" applyFill="1" applyBorder="1" applyAlignment="1" applyProtection="0">
      <alignment horizontal="center" vertical="center" wrapText="1"/>
      <protection hidden="0" locked="1"/>
    </xf>
    <xf fontId="16" fillId="10" borderId="2" numFmtId="0" xfId="33" applyFont="1" applyFill="1" applyBorder="1" applyAlignment="1" applyProtection="0">
      <alignment horizontal="center" vertical="center" wrapText="1"/>
      <protection hidden="0" locked="1"/>
    </xf>
    <xf fontId="16" fillId="9" borderId="3" numFmtId="0" xfId="33" applyFont="1" applyFill="1" applyBorder="1" applyAlignment="1" applyProtection="0">
      <alignment horizontal="center" vertical="center"/>
      <protection hidden="0" locked="1"/>
    </xf>
    <xf fontId="16" fillId="10" borderId="4" numFmtId="0" xfId="33" applyFont="1" applyFill="1" applyBorder="1" applyAlignment="1" applyProtection="0">
      <alignment horizontal="center" vertical="center"/>
      <protection hidden="0" locked="1"/>
    </xf>
    <xf fontId="16" fillId="10" borderId="3" numFmtId="167" xfId="33" applyNumberFormat="1" applyFont="1" applyFill="1" applyBorder="1" applyAlignment="1" applyProtection="0">
      <alignment horizontal="center" vertical="center"/>
      <protection hidden="0" locked="1"/>
    </xf>
    <xf fontId="18" fillId="0" borderId="3" numFmtId="0" xfId="33" applyFont="1" applyBorder="1" applyAlignment="1" applyProtection="0">
      <alignment horizontal="center" vertical="center"/>
      <protection hidden="0" locked="1"/>
    </xf>
    <xf fontId="18" fillId="0" borderId="19" numFmtId="0" xfId="33" applyFont="1" applyBorder="1" applyAlignment="1" applyProtection="0">
      <alignment horizontal="center" vertical="center"/>
      <protection hidden="0" locked="1"/>
    </xf>
    <xf fontId="18" fillId="0" borderId="20" numFmtId="0" xfId="33" applyFont="1" applyBorder="1" applyAlignment="1" applyProtection="0">
      <alignment horizontal="center" vertical="center"/>
      <protection hidden="0" locked="1"/>
    </xf>
    <xf fontId="16" fillId="9" borderId="0" numFmtId="0" xfId="33" applyFont="1" applyFill="1" applyAlignment="1" applyProtection="0">
      <alignment horizontal="center" vertical="center"/>
      <protection hidden="0" locked="1"/>
    </xf>
    <xf fontId="18" fillId="0" borderId="0" numFmtId="0" xfId="33" applyFont="1" applyAlignment="1" applyProtection="0">
      <alignment horizontal="center" vertical="center"/>
      <protection hidden="0" locked="1"/>
    </xf>
    <xf fontId="16" fillId="10" borderId="1" numFmtId="167" xfId="33" applyNumberFormat="1" applyFont="1" applyFill="1" applyBorder="1" applyAlignment="1" applyProtection="0">
      <alignment horizontal="center" vertical="center"/>
      <protection hidden="0" locked="1"/>
    </xf>
    <xf fontId="18" fillId="0" borderId="1" numFmtId="0" xfId="33" applyFont="1" applyBorder="1" applyAlignment="1" applyProtection="0">
      <alignment horizontal="center" vertical="center"/>
      <protection hidden="0" locked="1"/>
    </xf>
    <xf fontId="18" fillId="0" borderId="14" numFmtId="0" xfId="33" applyFont="1" applyBorder="1" applyAlignment="1" applyProtection="0">
      <alignment horizontal="center" vertical="center"/>
      <protection hidden="0" locked="1"/>
    </xf>
    <xf fontId="18" fillId="0" borderId="16" numFmtId="0" xfId="33" applyFont="1" applyBorder="1" applyAlignment="1" applyProtection="0">
      <alignment horizontal="center" vertical="center"/>
      <protection hidden="0" locked="1"/>
    </xf>
    <xf fontId="18" fillId="0" borderId="5" numFmtId="0" xfId="33" applyFont="1" applyBorder="1" applyAlignment="1" applyProtection="0">
      <alignment horizontal="center" vertical="center"/>
      <protection hidden="0" locked="1"/>
    </xf>
    <xf fontId="16" fillId="0" borderId="8" numFmtId="0" xfId="33" applyFont="1" applyBorder="1" applyAlignment="1" applyProtection="0">
      <alignment horizontal="left" vertical="center"/>
      <protection hidden="0" locked="1"/>
    </xf>
    <xf fontId="0" fillId="0" borderId="8" numFmtId="0" xfId="33" applyBorder="1" applyAlignment="1" applyProtection="0">
      <alignment vertical="center"/>
      <protection hidden="0" locked="1"/>
    </xf>
    <xf fontId="16" fillId="0" borderId="5" numFmtId="0" xfId="33" applyFont="1" applyBorder="1" applyAlignment="1" applyProtection="0">
      <alignment horizontal="left" vertical="center"/>
      <protection hidden="0" locked="1"/>
    </xf>
    <xf fontId="0" fillId="0" borderId="5" numFmtId="0" xfId="33" applyBorder="1" applyAlignment="1" applyProtection="0">
      <alignment vertical="center"/>
      <protection hidden="0" locked="1"/>
    </xf>
    <xf fontId="16" fillId="10" borderId="0" numFmtId="0" xfId="33" applyFont="1" applyFill="1" applyAlignment="1" applyProtection="0">
      <alignment horizontal="left" vertical="center"/>
      <protection hidden="0" locked="1"/>
    </xf>
    <xf fontId="18" fillId="10" borderId="0" numFmtId="0" xfId="33" applyFont="1" applyFill="1" applyAlignment="1" applyProtection="0">
      <alignment vertical="center"/>
      <protection hidden="0" locked="1"/>
    </xf>
    <xf fontId="25" fillId="10" borderId="3" numFmtId="0" xfId="33" applyFont="1" applyFill="1" applyBorder="1" applyAlignment="1" applyProtection="0">
      <alignment horizontal="center" vertical="center"/>
      <protection hidden="0" locked="1"/>
    </xf>
    <xf fontId="25" fillId="10" borderId="6" numFmtId="0" xfId="33" applyFont="1" applyFill="1" applyBorder="1" applyAlignment="1" applyProtection="0">
      <alignment horizontal="center" vertical="center" wrapText="1"/>
      <protection hidden="0" locked="1"/>
    </xf>
    <xf fontId="25" fillId="10" borderId="5" numFmtId="0" xfId="33" applyFont="1" applyFill="1" applyBorder="1" applyAlignment="1" applyProtection="0">
      <alignment horizontal="center" vertical="center" wrapText="1"/>
      <protection hidden="0" locked="1"/>
    </xf>
    <xf fontId="25" fillId="9" borderId="3" numFmtId="0" xfId="0" applyFont="1" applyFill="1" applyBorder="1" applyAlignment="1" applyProtection="0">
      <alignment horizontal="center" vertical="center" wrapText="1"/>
      <protection hidden="0" locked="1"/>
    </xf>
    <xf fontId="22" fillId="9" borderId="0" numFmtId="0" xfId="33" applyFont="1" applyFill="1" applyAlignment="1" applyProtection="0">
      <alignment horizontal="center" vertical="center" wrapText="1"/>
      <protection hidden="0" locked="1"/>
    </xf>
    <xf fontId="16" fillId="10" borderId="8" numFmtId="0" xfId="33" applyFont="1" applyFill="1" applyBorder="1" applyAlignment="1" applyProtection="0">
      <alignment horizontal="left" vertical="center"/>
      <protection hidden="0" locked="1"/>
    </xf>
    <xf fontId="16" fillId="10" borderId="3" numFmtId="0" xfId="33" applyFont="1" applyFill="1" applyBorder="1" applyAlignment="1" applyProtection="0">
      <alignment horizontal="center" vertical="center"/>
      <protection hidden="0" locked="1"/>
    </xf>
    <xf fontId="16" fillId="0" borderId="3" numFmtId="0" xfId="33" applyFont="1" applyBorder="1" applyAlignment="1" applyProtection="0">
      <alignment horizontal="center" vertical="center"/>
      <protection hidden="0" locked="1"/>
    </xf>
    <xf fontId="16" fillId="12" borderId="3" numFmtId="0" xfId="33" applyFont="1" applyFill="1" applyBorder="1" applyAlignment="1" applyProtection="0">
      <alignment horizontal="center" vertical="center"/>
      <protection hidden="0" locked="1"/>
    </xf>
    <xf fontId="16" fillId="10" borderId="9" numFmtId="0" xfId="33" applyFont="1" applyFill="1" applyBorder="1" applyAlignment="1" applyProtection="0">
      <alignment horizontal="center" vertical="center"/>
      <protection hidden="0" locked="1"/>
    </xf>
    <xf fontId="16" fillId="0" borderId="9" numFmtId="0" xfId="33" applyFont="1" applyBorder="1" applyAlignment="1" applyProtection="0">
      <alignment horizontal="center" vertical="center"/>
      <protection hidden="0" locked="1"/>
    </xf>
    <xf fontId="18" fillId="0" borderId="0" numFmtId="0" xfId="33" applyFont="1" applyAlignment="1" applyProtection="0">
      <alignment vertical="center"/>
      <protection hidden="0" locked="1"/>
    </xf>
    <xf fontId="37" fillId="0" borderId="0" numFmtId="0" xfId="33" applyFont="1" applyAlignment="1" applyProtection="0">
      <alignment vertical="center"/>
      <protection hidden="0" locked="1"/>
    </xf>
    <xf fontId="28" fillId="10" borderId="9" numFmtId="0" xfId="33" applyFont="1" applyFill="1" applyBorder="1" applyAlignment="1" applyProtection="0">
      <alignment horizontal="center" vertical="center"/>
      <protection hidden="0" locked="1"/>
    </xf>
    <xf fontId="28" fillId="0" borderId="9" numFmtId="0" xfId="33" applyFont="1" applyBorder="1" applyAlignment="1" applyProtection="0">
      <alignment horizontal="center" vertical="center"/>
      <protection hidden="0" locked="1"/>
    </xf>
    <xf fontId="38" fillId="0" borderId="0" numFmtId="0" xfId="33" applyFont="1" applyAlignment="1" applyProtection="0">
      <alignment horizontal="center" vertical="center"/>
      <protection hidden="0" locked="1"/>
    </xf>
    <xf fontId="29" fillId="9" borderId="13" numFmtId="0" xfId="0" applyFont="1" applyFill="1" applyBorder="1" applyAlignment="1" applyProtection="0">
      <alignment horizontal="center" vertical="center"/>
      <protection hidden="0" locked="1"/>
    </xf>
    <xf fontId="38" fillId="0" borderId="0" numFmtId="0" xfId="33" applyFont="1" applyAlignment="1" applyProtection="0">
      <alignment vertical="center"/>
      <protection hidden="0" locked="1"/>
    </xf>
    <xf fontId="39" fillId="0" borderId="0" numFmtId="1" xfId="46" applyNumberFormat="1" applyFont="1" applyAlignment="1" applyProtection="0">
      <alignment vertical="center" wrapText="1"/>
      <protection hidden="0" locked="1"/>
    </xf>
    <xf fontId="37" fillId="0" borderId="0" numFmtId="0" xfId="33" applyFont="1" applyProtection="0">
      <protection hidden="0" locked="1"/>
    </xf>
    <xf fontId="16" fillId="0" borderId="9" numFmtId="0" xfId="33" applyFont="1" applyBorder="1" applyAlignment="1" applyProtection="0">
      <alignment horizontal="left" vertical="center"/>
      <protection hidden="0" locked="1"/>
    </xf>
    <xf fontId="18" fillId="0" borderId="9" numFmtId="0" xfId="33" applyFont="1" applyBorder="1" applyAlignment="1" applyProtection="0">
      <alignment vertical="center"/>
      <protection hidden="0" locked="1"/>
    </xf>
    <xf fontId="16" fillId="0" borderId="9" numFmtId="0" xfId="33" applyFont="1" applyBorder="1" applyAlignment="1" applyProtection="0">
      <alignment vertical="center"/>
      <protection hidden="0" locked="1"/>
    </xf>
    <xf fontId="26" fillId="0" borderId="0" numFmtId="1" xfId="35" applyNumberFormat="1" applyFont="1" applyAlignment="1" applyProtection="0">
      <alignment vertical="center" wrapText="1"/>
      <protection hidden="0" locked="1"/>
    </xf>
    <xf fontId="26" fillId="0" borderId="18" numFmtId="1" xfId="35" applyNumberFormat="1" applyFont="1" applyBorder="1" applyAlignment="1" applyProtection="0">
      <alignment vertical="center" wrapText="1"/>
      <protection hidden="0" locked="1"/>
    </xf>
    <xf fontId="16" fillId="0" borderId="0" numFmtId="0" xfId="33" applyFont="1" applyAlignment="1" applyProtection="0">
      <alignment horizontal="left" vertical="center"/>
      <protection hidden="0" locked="1"/>
    </xf>
    <xf fontId="39" fillId="9" borderId="3" numFmtId="3" xfId="46" applyNumberFormat="1" applyFont="1" applyFill="1" applyBorder="1" applyAlignment="1" applyProtection="0">
      <alignment horizontal="center" vertical="center"/>
      <protection hidden="0" locked="1"/>
    </xf>
    <xf fontId="40" fillId="0" borderId="0" numFmtId="0" xfId="0" applyFont="1" applyAlignment="1" applyProtection="0">
      <alignment vertical="center"/>
      <protection hidden="0" locked="1"/>
    </xf>
    <xf fontId="31" fillId="10" borderId="9" numFmtId="0" xfId="0" applyFont="1" applyFill="1" applyBorder="1" applyAlignment="1" applyProtection="0">
      <alignment horizontal="center" vertical="center"/>
      <protection hidden="0" locked="1"/>
    </xf>
    <xf fontId="31" fillId="0" borderId="9" numFmtId="0" xfId="0" applyFont="1" applyBorder="1" applyAlignment="1" applyProtection="0">
      <alignment horizontal="center" vertical="center"/>
      <protection hidden="0" locked="1"/>
    </xf>
    <xf fontId="32" fillId="9" borderId="13" numFmtId="0" xfId="0" applyFont="1" applyFill="1" applyBorder="1" applyAlignment="1" applyProtection="0">
      <alignment horizontal="center" vertical="center"/>
      <protection hidden="0" locked="1"/>
    </xf>
    <xf fontId="32" fillId="12" borderId="3" numFmtId="0" xfId="0" applyFont="1" applyFill="1" applyBorder="1" applyAlignment="1" applyProtection="0">
      <alignment horizontal="center" vertical="center"/>
      <protection hidden="0" locked="1"/>
    </xf>
    <xf fontId="41" fillId="0" borderId="0" numFmtId="0" xfId="0" applyFont="1" applyAlignment="1" applyProtection="0">
      <alignment vertical="center"/>
      <protection hidden="0" locked="1"/>
    </xf>
    <xf fontId="40" fillId="0" borderId="0" numFmtId="0" xfId="0" applyFont="1" applyProtection="0">
      <protection hidden="0" locked="1"/>
    </xf>
    <xf fontId="42" fillId="15" borderId="33" numFmtId="0" xfId="0" applyFont="1" applyFill="1" applyBorder="1" applyAlignment="1" applyProtection="0">
      <alignment horizontal="center" vertical="center" wrapText="1"/>
      <protection hidden="0" locked="1"/>
    </xf>
    <xf fontId="42" fillId="15" borderId="34" numFmtId="0" xfId="0" applyFont="1" applyFill="1" applyBorder="1" applyAlignment="1" applyProtection="0">
      <alignment vertical="center" wrapText="1"/>
      <protection hidden="0" locked="1"/>
    </xf>
    <xf fontId="42" fillId="15" borderId="35" numFmtId="0" xfId="0" applyFont="1" applyFill="1" applyBorder="1" applyAlignment="1" applyProtection="0">
      <alignment horizontal="center" vertical="center" wrapText="1"/>
      <protection hidden="0" locked="1"/>
    </xf>
    <xf fontId="42" fillId="15" borderId="36" numFmtId="164" xfId="5" applyNumberFormat="1" applyFont="1" applyFill="1" applyBorder="1" applyAlignment="1" applyProtection="1">
      <alignment horizontal="center" vertical="center" wrapText="1"/>
      <protection hidden="0" locked="1"/>
    </xf>
    <xf fontId="42" fillId="15" borderId="37" numFmtId="164" xfId="5" applyNumberFormat="1" applyFont="1" applyFill="1" applyBorder="1" applyAlignment="1" applyProtection="1">
      <alignment horizontal="center" vertical="center" wrapText="1"/>
      <protection hidden="0" locked="1"/>
    </xf>
    <xf fontId="42" fillId="15" borderId="38" numFmtId="0" xfId="0" applyFont="1" applyFill="1" applyBorder="1" applyAlignment="1" applyProtection="0">
      <alignment horizontal="center" vertical="center" wrapText="1"/>
      <protection hidden="0" locked="1"/>
    </xf>
    <xf fontId="42" fillId="15" borderId="39" numFmtId="0" xfId="0" applyFont="1" applyFill="1" applyBorder="1" applyAlignment="1" applyProtection="0">
      <alignment horizontal="center" vertical="center" wrapText="1"/>
      <protection hidden="0" locked="1"/>
    </xf>
    <xf fontId="43" fillId="0" borderId="0" numFmtId="0" xfId="0" applyFont="1" applyProtection="0">
      <protection hidden="0" locked="1"/>
    </xf>
    <xf fontId="44" fillId="16" borderId="5" numFmtId="0" xfId="0" applyFont="1" applyFill="1" applyBorder="1" applyAlignment="1" applyProtection="0">
      <alignment horizontal="center" vertical="center" wrapText="1"/>
      <protection hidden="0" locked="1"/>
    </xf>
    <xf fontId="0" fillId="16" borderId="40" numFmtId="0" xfId="0" applyFill="1" applyBorder="1" applyAlignment="1" applyProtection="0">
      <alignment vertical="center"/>
      <protection hidden="0" locked="1"/>
    </xf>
    <xf fontId="0" fillId="16" borderId="41" numFmtId="0" xfId="0" applyFill="1" applyBorder="1" applyAlignment="1" applyProtection="0">
      <alignment horizontal="center" vertical="center"/>
      <protection hidden="0" locked="1"/>
    </xf>
    <xf fontId="45" fillId="9" borderId="42" numFmtId="164" xfId="5" applyNumberFormat="1" applyFont="1" applyFill="1" applyBorder="1" applyAlignment="1" applyProtection="1">
      <alignment horizontal="center" vertical="center"/>
      <protection hidden="0" locked="1"/>
    </xf>
    <xf fontId="0" fillId="16" borderId="43" numFmtId="3" xfId="46" applyNumberFormat="1" applyFill="1" applyBorder="1" applyAlignment="1" applyProtection="1">
      <alignment horizontal="center" vertical="center"/>
      <protection hidden="0" locked="1"/>
    </xf>
    <xf fontId="45" fillId="9" borderId="44" numFmtId="164" xfId="5" applyNumberFormat="1" applyFont="1" applyFill="1" applyBorder="1" applyAlignment="1" applyProtection="1">
      <alignment horizontal="center" vertical="center"/>
      <protection hidden="0" locked="1"/>
    </xf>
    <xf fontId="46" fillId="16" borderId="40" numFmtId="0" xfId="0" applyFont="1" applyFill="1" applyBorder="1" applyAlignment="1" applyProtection="0">
      <alignment vertical="center"/>
      <protection hidden="0" locked="1"/>
    </xf>
    <xf fontId="45" fillId="16" borderId="41" numFmtId="0" xfId="0" applyFont="1" applyFill="1" applyBorder="1" applyAlignment="1" applyProtection="0">
      <alignment horizontal="center" vertical="center"/>
      <protection hidden="0" locked="1"/>
    </xf>
    <xf fontId="45" fillId="9" borderId="45" numFmtId="164" xfId="5" applyNumberFormat="1" applyFont="1" applyFill="1" applyBorder="1" applyAlignment="1" applyProtection="1">
      <alignment horizontal="center" vertical="center"/>
      <protection hidden="0" locked="1"/>
    </xf>
    <xf fontId="45" fillId="16" borderId="43" numFmtId="3" xfId="5" applyNumberFormat="1" applyFont="1" applyFill="1" applyBorder="1" applyAlignment="1" applyProtection="1">
      <alignment horizontal="center" vertical="center"/>
      <protection hidden="0" locked="1"/>
    </xf>
    <xf fontId="43" fillId="0" borderId="0" numFmtId="0" xfId="0" applyFont="1" applyAlignment="1" applyProtection="0">
      <alignment horizontal="right"/>
      <protection hidden="0" locked="1"/>
    </xf>
    <xf fontId="47" fillId="16" borderId="41" numFmtId="0" xfId="0" applyFont="1" applyFill="1" applyBorder="1" applyAlignment="1" applyProtection="0">
      <alignment horizontal="center" vertical="center"/>
      <protection hidden="0" locked="1"/>
    </xf>
    <xf fontId="47" fillId="9" borderId="42" numFmtId="164" xfId="5" applyNumberFormat="1" applyFont="1" applyFill="1" applyBorder="1" applyAlignment="1" applyProtection="1">
      <alignment horizontal="center" vertical="center"/>
      <protection hidden="0" locked="1"/>
    </xf>
    <xf fontId="48" fillId="16" borderId="40" numFmtId="0" xfId="0" applyFont="1" applyFill="1" applyBorder="1" applyAlignment="1" applyProtection="0">
      <alignment horizontal="right" vertical="center"/>
      <protection hidden="0" locked="1"/>
    </xf>
    <xf fontId="49" fillId="16" borderId="40" numFmtId="0" xfId="0" applyFont="1" applyFill="1" applyBorder="1" applyAlignment="1" applyProtection="0">
      <alignment vertical="center"/>
      <protection hidden="0" locked="1"/>
    </xf>
    <xf fontId="50" fillId="16" borderId="40" numFmtId="0" xfId="0" applyFont="1" applyFill="1" applyBorder="1" applyAlignment="1" applyProtection="0">
      <alignment vertical="center"/>
      <protection hidden="0" locked="1"/>
    </xf>
    <xf fontId="50" fillId="16" borderId="46" numFmtId="0" xfId="0" applyFont="1" applyFill="1" applyBorder="1" applyAlignment="1" applyProtection="0">
      <alignment vertical="center"/>
      <protection hidden="0" locked="1"/>
    </xf>
    <xf fontId="45" fillId="16" borderId="47" numFmtId="0" xfId="0" applyFont="1" applyFill="1" applyBorder="1" applyAlignment="1" applyProtection="0">
      <alignment horizontal="center" vertical="center"/>
      <protection hidden="0" locked="1"/>
    </xf>
    <xf fontId="45" fillId="9" borderId="48" numFmtId="164" xfId="5" applyNumberFormat="1" applyFont="1" applyFill="1" applyBorder="1" applyAlignment="1" applyProtection="1">
      <alignment horizontal="center" vertical="center"/>
      <protection hidden="0" locked="1"/>
    </xf>
    <xf fontId="45" fillId="16" borderId="49" numFmtId="3" xfId="5" applyNumberFormat="1" applyFont="1" applyFill="1" applyBorder="1" applyAlignment="1" applyProtection="1">
      <alignment horizontal="center" vertical="center"/>
      <protection hidden="0" locked="1"/>
    </xf>
    <xf fontId="45" fillId="9" borderId="50" numFmtId="164" xfId="5" applyNumberFormat="1" applyFont="1" applyFill="1" applyBorder="1" applyAlignment="1" applyProtection="1">
      <alignment horizontal="center" vertical="center"/>
      <protection hidden="0" locked="1"/>
    </xf>
    <xf fontId="44" fillId="9" borderId="5" numFmtId="0" xfId="0" applyFont="1" applyFill="1" applyBorder="1" applyAlignment="1" applyProtection="0">
      <alignment horizontal="left" vertical="center"/>
      <protection hidden="0" locked="1"/>
    </xf>
    <xf fontId="0" fillId="9" borderId="6" numFmtId="0" xfId="0" applyFill="1" applyBorder="1" applyAlignment="1" applyProtection="0">
      <alignment vertical="center"/>
      <protection hidden="0" locked="1"/>
    </xf>
    <xf fontId="45" fillId="9" borderId="51" numFmtId="3" xfId="5" applyNumberFormat="1" applyFont="1" applyFill="1" applyBorder="1" applyAlignment="1" applyProtection="1">
      <alignment horizontal="center" vertical="center"/>
      <protection hidden="0" locked="1"/>
    </xf>
    <xf fontId="0" fillId="9" borderId="52" numFmtId="164" xfId="5" applyNumberFormat="1" applyFill="1" applyBorder="1" applyAlignment="1" applyProtection="1">
      <alignment horizontal="center" vertical="center"/>
      <protection hidden="0" locked="1"/>
    </xf>
    <xf fontId="0" fillId="0" borderId="0" numFmtId="0" xfId="0" applyAlignment="1" applyProtection="0">
      <alignment horizontal="center"/>
      <protection hidden="0" locked="1"/>
    </xf>
    <xf fontId="0" fillId="16" borderId="53" numFmtId="0" xfId="0" applyFill="1" applyBorder="1" applyAlignment="1" applyProtection="0">
      <alignment vertical="center"/>
      <protection hidden="0" locked="1"/>
    </xf>
    <xf fontId="0" fillId="16" borderId="54" numFmtId="0" xfId="0" applyFill="1" applyBorder="1" applyAlignment="1" applyProtection="0">
      <alignment horizontal="center" vertical="center"/>
      <protection hidden="0" locked="1"/>
    </xf>
    <xf fontId="45" fillId="9" borderId="55" numFmtId="164" xfId="5" applyNumberFormat="1" applyFont="1" applyFill="1" applyBorder="1" applyAlignment="1" applyProtection="1">
      <alignment horizontal="center" vertical="center"/>
      <protection hidden="0" locked="1"/>
    </xf>
    <xf fontId="0" fillId="16" borderId="56" numFmtId="3" xfId="46" applyNumberFormat="1" applyFill="1" applyBorder="1" applyAlignment="1" applyProtection="1">
      <alignment horizontal="center" vertical="center"/>
      <protection hidden="0" locked="1"/>
    </xf>
    <xf fontId="45" fillId="9" borderId="57" numFmtId="164" xfId="5" applyNumberFormat="1" applyFont="1" applyFill="1" applyBorder="1" applyAlignment="1" applyProtection="1">
      <alignment horizontal="center" vertical="center"/>
      <protection hidden="0" locked="1"/>
    </xf>
    <xf fontId="0" fillId="9" borderId="30" numFmtId="0" xfId="0" applyFill="1" applyBorder="1" applyAlignment="1" applyProtection="0">
      <alignment horizontal="center" vertical="center"/>
      <protection hidden="0" locked="1"/>
    </xf>
    <xf fontId="0" fillId="9" borderId="58" numFmtId="0" xfId="0" applyFill="1" applyBorder="1" applyAlignment="1" applyProtection="0">
      <alignment horizontal="center" vertical="center"/>
      <protection hidden="0" locked="1"/>
    </xf>
    <xf fontId="0" fillId="0" borderId="59" numFmtId="3" xfId="0" applyNumberFormat="1" applyBorder="1" applyAlignment="1" applyProtection="0">
      <alignment horizontal="center" vertical="center"/>
      <protection hidden="0" locked="1"/>
    </xf>
    <xf fontId="0" fillId="0" borderId="3" numFmtId="3" xfId="0" applyNumberFormat="1" applyBorder="1" applyAlignment="1" applyProtection="0">
      <alignment horizontal="center" vertical="center"/>
      <protection hidden="0" locked="1"/>
    </xf>
    <xf fontId="51" fillId="0" borderId="3" numFmtId="3" xfId="0" applyNumberFormat="1" applyFont="1" applyBorder="1" applyAlignment="1" applyProtection="0">
      <alignment horizontal="center" vertical="center"/>
      <protection hidden="0" locked="1"/>
    </xf>
    <xf fontId="43" fillId="10" borderId="60" numFmtId="0" xfId="0" applyFont="1" applyFill="1" applyBorder="1" applyAlignment="1" applyProtection="0">
      <alignment horizontal="center" vertical="center"/>
      <protection hidden="0" locked="1"/>
    </xf>
    <xf fontId="0" fillId="0" borderId="4" numFmtId="3" xfId="0" applyNumberFormat="1" applyBorder="1" applyAlignment="1" applyProtection="0">
      <alignment horizontal="center" vertical="center"/>
      <protection hidden="0" locked="1"/>
    </xf>
    <xf fontId="51" fillId="0" borderId="2" numFmtId="3" xfId="0" applyNumberFormat="1" applyFont="1" applyBorder="1" applyAlignment="1" applyProtection="0">
      <alignment horizontal="center" vertical="center"/>
      <protection hidden="0" locked="1"/>
    </xf>
    <xf fontId="43" fillId="0" borderId="61" numFmtId="3" xfId="0" applyNumberFormat="1" applyFont="1" applyBorder="1" applyAlignment="1" applyProtection="0">
      <alignment horizontal="center" vertical="center"/>
      <protection hidden="0" locked="1"/>
    </xf>
    <xf fontId="0" fillId="16" borderId="62" numFmtId="0" xfId="0" applyFill="1" applyBorder="1" applyAlignment="1" applyProtection="0">
      <alignment horizontal="center" vertical="center"/>
      <protection hidden="0" locked="1"/>
    </xf>
    <xf fontId="0" fillId="16" borderId="63" numFmtId="3" xfId="46" applyNumberFormat="1" applyFill="1" applyBorder="1" applyAlignment="1" applyProtection="1">
      <alignment horizontal="center" vertical="center"/>
      <protection hidden="0" locked="1"/>
    </xf>
    <xf fontId="37" fillId="0" borderId="0" numFmtId="0" xfId="0" applyFont="1" applyProtection="0">
      <protection hidden="0" locked="1"/>
    </xf>
    <xf fontId="52" fillId="15" borderId="37" numFmtId="164" xfId="5" applyNumberFormat="1" applyFont="1" applyFill="1" applyBorder="1" applyAlignment="1" applyProtection="1">
      <alignment horizontal="center" vertical="center" wrapText="1"/>
      <protection hidden="0" locked="1"/>
    </xf>
    <xf fontId="53" fillId="0" borderId="0" numFmtId="0" xfId="0" applyFont="1" applyProtection="0">
      <protection hidden="0" locked="1"/>
    </xf>
    <xf fontId="44" fillId="0" borderId="5" numFmtId="0" xfId="0" applyFont="1" applyBorder="1" applyAlignment="1" applyProtection="0">
      <alignment horizontal="center" vertical="center" wrapText="1"/>
      <protection hidden="0" locked="1"/>
    </xf>
    <xf fontId="43" fillId="0" borderId="40" numFmtId="0" xfId="0" applyFont="1" applyBorder="1" applyAlignment="1" applyProtection="0">
      <alignment vertical="center"/>
      <protection hidden="0" locked="1"/>
    </xf>
    <xf fontId="47" fillId="0" borderId="41" numFmtId="0" xfId="0" applyFont="1" applyBorder="1" applyAlignment="1" applyProtection="0">
      <alignment horizontal="center" vertical="center"/>
      <protection hidden="0" locked="1"/>
    </xf>
    <xf fontId="47" fillId="0" borderId="42" numFmtId="164" xfId="5" applyNumberFormat="1" applyFont="1" applyBorder="1" applyAlignment="1" applyProtection="1">
      <alignment horizontal="center" vertical="center"/>
      <protection hidden="0" locked="1"/>
    </xf>
    <xf fontId="37" fillId="0" borderId="59" numFmtId="3" xfId="0" applyNumberFormat="1" applyFont="1" applyBorder="1" applyAlignment="1" applyProtection="0">
      <alignment horizontal="center" vertical="center"/>
      <protection hidden="0" locked="1"/>
    </xf>
    <xf fontId="37" fillId="0" borderId="3" numFmtId="3" xfId="0" applyNumberFormat="1" applyFont="1" applyBorder="1" applyAlignment="1" applyProtection="0">
      <alignment horizontal="center" vertical="center"/>
      <protection hidden="0" locked="1"/>
    </xf>
    <xf fontId="54" fillId="0" borderId="3" numFmtId="3" xfId="0" applyNumberFormat="1" applyFont="1" applyBorder="1" applyAlignment="1" applyProtection="0">
      <alignment horizontal="center" vertical="center"/>
      <protection hidden="0" locked="1"/>
    </xf>
    <xf fontId="53" fillId="10" borderId="60" numFmtId="0" xfId="0" applyFont="1" applyFill="1" applyBorder="1" applyAlignment="1" applyProtection="0">
      <alignment horizontal="center" vertical="center"/>
      <protection hidden="0" locked="1"/>
    </xf>
    <xf fontId="37" fillId="0" borderId="4" numFmtId="3" xfId="0" applyNumberFormat="1" applyFont="1" applyBorder="1" applyAlignment="1" applyProtection="0">
      <alignment horizontal="center" vertical="center"/>
      <protection hidden="0" locked="1"/>
    </xf>
    <xf fontId="54" fillId="0" borderId="2" numFmtId="3" xfId="0" applyNumberFormat="1" applyFont="1" applyBorder="1" applyAlignment="1" applyProtection="0">
      <alignment horizontal="center" vertical="center"/>
      <protection hidden="0" locked="1"/>
    </xf>
    <xf fontId="53" fillId="0" borderId="61" numFmtId="3" xfId="0" applyNumberFormat="1" applyFont="1" applyBorder="1" applyAlignment="1" applyProtection="0">
      <alignment horizontal="center" vertical="center"/>
      <protection hidden="0" locked="1"/>
    </xf>
    <xf fontId="25" fillId="0" borderId="0" numFmtId="0" xfId="0" applyFont="1" applyAlignment="1" applyProtection="0">
      <alignment vertical="center"/>
      <protection hidden="0" locked="1"/>
    </xf>
    <xf fontId="55" fillId="0" borderId="0" numFmtId="0" xfId="0" applyFont="1" applyAlignment="1" applyProtection="0">
      <alignment horizontal="center" vertical="center"/>
      <protection hidden="0" locked="1"/>
    </xf>
    <xf fontId="0" fillId="0" borderId="0" numFmtId="3" xfId="0" applyNumberFormat="1" applyAlignment="1" applyProtection="0">
      <alignment horizontal="center" vertical="center"/>
      <protection hidden="0" locked="1"/>
    </xf>
    <xf fontId="56" fillId="15" borderId="64" numFmtId="0" xfId="0" applyFont="1" applyFill="1" applyBorder="1" applyAlignment="1" applyProtection="0">
      <alignment vertical="center"/>
      <protection hidden="0" locked="1"/>
    </xf>
    <xf fontId="57" fillId="10" borderId="35" numFmtId="0" xfId="0" applyFont="1" applyFill="1" applyBorder="1" applyAlignment="1" applyProtection="0">
      <alignment horizontal="center" vertical="center"/>
      <protection hidden="0" locked="1"/>
    </xf>
    <xf fontId="43" fillId="10" borderId="61" numFmtId="3" xfId="0" applyNumberFormat="1" applyFont="1" applyFill="1" applyBorder="1" applyAlignment="1" applyProtection="0">
      <alignment horizontal="center" vertical="center" wrapText="1"/>
      <protection hidden="0" locked="1"/>
    </xf>
    <xf fontId="0" fillId="10" borderId="64" numFmtId="0" xfId="0" applyFill="1" applyBorder="1" applyAlignment="1" applyProtection="0">
      <alignment vertical="center"/>
      <protection hidden="0" locked="1"/>
    </xf>
    <xf fontId="57" fillId="10" borderId="65" numFmtId="0" xfId="0" applyFont="1" applyFill="1" applyBorder="1" applyAlignment="1" applyProtection="0">
      <alignment horizontal="center" vertical="center"/>
      <protection hidden="0" locked="1"/>
    </xf>
    <xf fontId="57" fillId="10" borderId="66" numFmtId="0" xfId="0" applyFont="1" applyFill="1" applyBorder="1" applyAlignment="1" applyProtection="0">
      <alignment horizontal="center" vertical="center"/>
      <protection hidden="0" locked="1"/>
    </xf>
    <xf fontId="0" fillId="10" borderId="67" numFmtId="0" xfId="0" applyFill="1" applyBorder="1" applyAlignment="1" applyProtection="0">
      <alignment vertical="center"/>
      <protection hidden="0" locked="1"/>
    </xf>
    <xf fontId="55" fillId="0" borderId="68" numFmtId="0" xfId="0" applyFont="1" applyBorder="1" applyAlignment="1" applyProtection="0">
      <alignment horizontal="center" vertical="center"/>
      <protection hidden="0" locked="1"/>
    </xf>
    <xf fontId="55" fillId="0" borderId="59" numFmtId="0" xfId="0" applyFont="1" applyBorder="1" applyAlignment="1" applyProtection="0">
      <alignment horizontal="center" vertical="center"/>
      <protection hidden="0" locked="1"/>
    </xf>
    <xf fontId="0" fillId="10" borderId="69" numFmtId="0" xfId="0" applyFill="1" applyBorder="1" applyAlignment="1" applyProtection="0">
      <alignment vertical="center"/>
      <protection hidden="0" locked="1"/>
    </xf>
    <xf fontId="55" fillId="0" borderId="31" numFmtId="0" xfId="0" applyFont="1" applyBorder="1" applyAlignment="1" applyProtection="0">
      <alignment horizontal="center" vertical="center"/>
      <protection hidden="0" locked="1"/>
    </xf>
    <xf fontId="55" fillId="0" borderId="3" numFmtId="0" xfId="0" applyFont="1" applyBorder="1" applyAlignment="1" applyProtection="0">
      <alignment horizontal="center" vertical="center"/>
      <protection hidden="0" locked="1"/>
    </xf>
    <xf fontId="0" fillId="0" borderId="70" numFmtId="3" xfId="0" applyNumberFormat="1" applyBorder="1" applyAlignment="1" applyProtection="0">
      <alignment horizontal="center" vertical="center"/>
      <protection hidden="0" locked="1"/>
    </xf>
    <xf fontId="0" fillId="11" borderId="3" numFmtId="3" xfId="0" applyNumberFormat="1" applyFill="1" applyBorder="1" applyAlignment="1" applyProtection="0">
      <alignment horizontal="center" vertical="center"/>
      <protection hidden="0" locked="1"/>
    </xf>
    <xf fontId="43" fillId="10" borderId="71" numFmtId="0" xfId="0" applyFont="1" applyFill="1" applyBorder="1" applyAlignment="1" applyProtection="0">
      <alignment vertical="center"/>
      <protection hidden="0" locked="1"/>
    </xf>
    <xf fontId="58" fillId="0" borderId="72" numFmtId="0" xfId="0" applyFont="1" applyBorder="1" applyAlignment="1" applyProtection="0">
      <alignment horizontal="center" vertical="center"/>
      <protection hidden="0" locked="1"/>
    </xf>
    <xf fontId="58" fillId="0" borderId="60" numFmtId="0" xfId="0" applyFont="1" applyBorder="1" applyAlignment="1" applyProtection="0">
      <alignment horizontal="center" vertical="center"/>
      <protection hidden="0" locked="1"/>
    </xf>
    <xf fontId="0" fillId="10" borderId="73" numFmtId="0" xfId="0" applyFill="1" applyBorder="1" applyAlignment="1" applyProtection="0">
      <alignment vertical="center"/>
      <protection hidden="0" locked="1"/>
    </xf>
    <xf fontId="55" fillId="0" borderId="74" numFmtId="0" xfId="0" applyFont="1" applyBorder="1" applyAlignment="1" applyProtection="0">
      <alignment horizontal="center" vertical="center"/>
      <protection hidden="0" locked="1"/>
    </xf>
    <xf fontId="55" fillId="0" borderId="4" numFmtId="0" xfId="0" applyFont="1" applyBorder="1" applyAlignment="1" applyProtection="0">
      <alignment horizontal="center" vertical="center"/>
      <protection hidden="0" locked="1"/>
    </xf>
    <xf fontId="58" fillId="0" borderId="75" numFmtId="0" xfId="0" applyFont="1" applyBorder="1" applyAlignment="1" applyProtection="0">
      <alignment horizontal="center" vertical="center"/>
      <protection hidden="0" locked="1"/>
    </xf>
    <xf fontId="58" fillId="0" borderId="2" numFmtId="0" xfId="0" applyFont="1" applyBorder="1" applyAlignment="1" applyProtection="0">
      <alignment horizontal="center" vertical="center"/>
      <protection hidden="0" locked="1"/>
    </xf>
    <xf fontId="43" fillId="10" borderId="76" numFmtId="0" xfId="0" applyFont="1" applyFill="1" applyBorder="1" applyAlignment="1" applyProtection="0">
      <alignment vertical="center"/>
      <protection hidden="0" locked="1"/>
    </xf>
    <xf fontId="43" fillId="10" borderId="64" numFmtId="0" xfId="0" applyFont="1" applyFill="1" applyBorder="1" applyAlignment="1" applyProtection="0">
      <alignment vertical="center"/>
      <protection hidden="0" locked="1"/>
    </xf>
    <xf fontId="57" fillId="0" borderId="77" numFmtId="0" xfId="0" applyFont="1" applyBorder="1" applyAlignment="1" applyProtection="0">
      <alignment horizontal="center" vertical="center"/>
      <protection hidden="0" locked="1"/>
    </xf>
    <xf fontId="57" fillId="0" borderId="61" numFmtId="0" xfId="0" applyFont="1" applyBorder="1" applyAlignment="1" applyProtection="0">
      <alignment horizontal="center" vertical="center"/>
      <protection hidden="0" locked="1"/>
    </xf>
    <xf fontId="43" fillId="10" borderId="78" numFmtId="0" xfId="0" applyFont="1" applyFill="1" applyBorder="1" applyAlignment="1" applyProtection="0">
      <alignment horizontal="left" vertical="center"/>
      <protection hidden="0" locked="1"/>
    </xf>
    <xf fontId="57" fillId="0" borderId="35" numFmtId="0" xfId="0" applyFont="1" applyBorder="1" applyAlignment="1" applyProtection="0">
      <alignment horizontal="center" vertical="center"/>
      <protection hidden="0" locked="1"/>
    </xf>
    <xf fontId="57" fillId="0" borderId="79" numFmtId="0" xfId="0" applyFont="1" applyBorder="1" applyAlignment="1" applyProtection="0">
      <alignment horizontal="center" vertical="center"/>
      <protection hidden="0" locked="1"/>
    </xf>
    <xf fontId="43" fillId="0" borderId="79" numFmtId="3" xfId="0" applyNumberFormat="1" applyFont="1" applyBorder="1" applyAlignment="1" applyProtection="0">
      <alignment horizontal="center" vertical="center"/>
      <protection hidden="0" locked="1"/>
    </xf>
    <xf fontId="43" fillId="10" borderId="80" numFmtId="0" xfId="0" applyFont="1" applyFill="1" applyBorder="1" applyAlignment="1" applyProtection="0">
      <alignment horizontal="left" vertical="center"/>
      <protection hidden="0" locked="1"/>
    </xf>
    <xf fontId="57" fillId="0" borderId="65" numFmtId="0" xfId="0" applyFont="1" applyBorder="1" applyAlignment="1" applyProtection="0">
      <alignment horizontal="center" vertical="center"/>
      <protection hidden="0" locked="1"/>
    </xf>
    <xf fontId="57" fillId="0" borderId="66" numFmtId="0" xfId="0" applyFont="1" applyBorder="1" applyAlignment="1" applyProtection="0">
      <alignment horizontal="center" vertical="center"/>
      <protection hidden="0" locked="1"/>
    </xf>
    <xf fontId="43" fillId="0" borderId="66" numFmtId="3" xfId="0" applyNumberFormat="1" applyFont="1" applyBorder="1" applyAlignment="1" applyProtection="0">
      <alignment horizontal="center" vertical="center"/>
      <protection hidden="0" locked="1"/>
    </xf>
    <xf fontId="43" fillId="0" borderId="66" numFmtId="169" xfId="0" applyNumberFormat="1" applyFont="1" applyBorder="1" applyAlignment="1" applyProtection="0">
      <alignment horizontal="center" vertical="center"/>
      <protection hidden="0" locked="1"/>
    </xf>
    <xf fontId="43" fillId="0" borderId="81" numFmtId="0" xfId="0" applyFont="1" applyBorder="1" applyAlignment="1" applyProtection="0">
      <alignment horizontal="left" vertical="center"/>
      <protection hidden="0" locked="1"/>
    </xf>
    <xf fontId="57" fillId="0" borderId="81" numFmtId="0" xfId="0" applyFont="1" applyBorder="1" applyAlignment="1" applyProtection="0">
      <alignment horizontal="center" vertical="center"/>
      <protection hidden="0" locked="1"/>
    </xf>
    <xf fontId="43" fillId="0" borderId="81" numFmtId="3" xfId="0" applyNumberFormat="1" applyFont="1" applyBorder="1" applyAlignment="1" applyProtection="0">
      <alignment horizontal="center" vertical="center"/>
      <protection hidden="0" locked="1"/>
    </xf>
    <xf fontId="0" fillId="0" borderId="0" numFmtId="164" xfId="0" applyNumberFormat="1" applyProtection="0">
      <protection hidden="0" locked="1"/>
    </xf>
    <xf fontId="0" fillId="0" borderId="0" numFmtId="3" xfId="0" applyNumberFormat="1" applyProtection="0">
      <protection hidden="0" locked="1"/>
    </xf>
  </cellXfs>
  <cellStyles count="4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 5" xfId="6"/>
    <cellStyle name="Accent 1 6" xfId="7"/>
    <cellStyle name="Accent 2 6" xfId="8"/>
    <cellStyle name="Accent 2 7" xfId="9"/>
    <cellStyle name="Accent 3 7" xfId="10"/>
    <cellStyle name="Accent 3 8" xfId="11"/>
    <cellStyle name="Accent 4" xfId="12"/>
    <cellStyle name="Accent 5" xfId="13"/>
    <cellStyle name="Bad 8" xfId="14"/>
    <cellStyle name="Bad 9" xfId="15"/>
    <cellStyle name="Error 10" xfId="16"/>
    <cellStyle name="Error 9" xfId="17"/>
    <cellStyle name="Footnote 10" xfId="18"/>
    <cellStyle name="Footnote 13" xfId="19"/>
    <cellStyle name="Good 11" xfId="20"/>
    <cellStyle name="Good 14" xfId="21"/>
    <cellStyle name="Heading 1 13" xfId="22"/>
    <cellStyle name="Heading 1 16" xfId="23"/>
    <cellStyle name="Heading 12" xfId="24"/>
    <cellStyle name="Heading 15" xfId="25"/>
    <cellStyle name="Heading 2 14" xfId="26"/>
    <cellStyle name="Heading 2 17" xfId="27"/>
    <cellStyle name="Heading 3" xfId="28"/>
    <cellStyle name="Hyperlink 15" xfId="29"/>
    <cellStyle name="Hyperlink 18" xfId="30"/>
    <cellStyle name="Neutral 16" xfId="31"/>
    <cellStyle name="Neutral 19" xfId="32"/>
    <cellStyle name="Normal 2" xfId="33"/>
    <cellStyle name="Normal 3" xfId="34"/>
    <cellStyle name="Pourcentage 2" xfId="35"/>
    <cellStyle name="Result 17" xfId="36"/>
    <cellStyle name="Result 20" xfId="37"/>
    <cellStyle name="Result 4" xfId="38"/>
    <cellStyle name="Résultat2" xfId="39"/>
    <cellStyle name="Status 18" xfId="40"/>
    <cellStyle name="Status 21" xfId="41"/>
    <cellStyle name="Text 19" xfId="42"/>
    <cellStyle name="Text 22" xfId="43"/>
    <cellStyle name="Warning 20" xfId="44"/>
    <cellStyle name="Warning 23" xfId="45"/>
    <cellStyle name="Excel Built-in Percent 12" xfId="46"/>
    <cellStyle name="Excel Built-in Percent 1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 " id="{ED706E8E-8F8B-1E86-B296-494C92CDAAA6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5" personId="{ED706E8E-8F8B-1E86-B296-494C92CDAAA6}" id="{002400B1-00A9-4725-A8F6-008C004C007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Arrêt à 8h30
</text>
  </threadedComment>
  <threadedComment ref="H10" personId="{ED706E8E-8F8B-1E86-B296-494C92CDAAA6}" id="{009F00AE-00C5-486D-ABB6-000D0024004A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Jusqu'à 8h20
</text>
  </threadedComment>
</ThreadedComments>
</file>

<file path=xl/worksheets/_rels/sheet1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F24" zoomScale="65" workbookViewId="0">
      <selection activeCell="A20" activeCellId="0" sqref="A20"/>
    </sheetView>
  </sheetViews>
  <sheetFormatPr defaultColWidth="11.23828125" defaultRowHeight="14"/>
  <cols>
    <col customWidth="1" min="1" max="1" style="1" width="8.9199999999999999"/>
    <col customWidth="0" min="2" max="2" style="1" width="11.25"/>
    <col customWidth="1" min="3" max="38" style="1" width="6.8300000000000001"/>
    <col customWidth="1" min="39" max="39" style="2" width="16.16"/>
    <col customWidth="1" min="40" max="40" style="2" width="12.18"/>
    <col customWidth="1" min="41" max="48" style="2" width="26.420000000000002"/>
    <col customWidth="1" min="49" max="50" style="1" width="26.420000000000002"/>
    <col customWidth="0" min="51" max="1024" style="1" width="11.25"/>
  </cols>
  <sheetData>
    <row r="1" ht="52.5" customHeight="1">
      <c r="A1" s="3" t="s">
        <v>0</v>
      </c>
      <c r="B1" s="4" t="s">
        <v>1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P1" s="6" t="s">
        <v>2</v>
      </c>
      <c r="Q1" s="7">
        <v>45440</v>
      </c>
      <c r="R1" s="7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2"/>
      <c r="AF1" s="2"/>
      <c r="AG1" s="5"/>
      <c r="AH1" s="5"/>
      <c r="AI1" s="2"/>
      <c r="AJ1" s="2"/>
      <c r="AK1" s="2"/>
      <c r="AL1" s="2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ht="52.5" customHeight="1">
      <c r="A2" s="3" t="s">
        <v>3</v>
      </c>
      <c r="B2" s="5"/>
      <c r="C2" s="5"/>
      <c r="D2" s="5"/>
      <c r="E2" s="5"/>
      <c r="F2" s="2"/>
      <c r="G2" s="5"/>
      <c r="H2" s="5"/>
      <c r="I2" s="5"/>
      <c r="J2" s="5"/>
      <c r="K2" s="5" t="s">
        <v>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2"/>
      <c r="AF2" s="5"/>
      <c r="AG2" s="5"/>
      <c r="AH2" s="5"/>
      <c r="AI2" s="2"/>
      <c r="AJ2" s="2"/>
      <c r="AK2" s="2"/>
      <c r="AL2" s="2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ht="52.5" customHeight="1">
      <c r="A3" s="3" t="s">
        <v>5</v>
      </c>
      <c r="B3" s="5"/>
      <c r="C3" s="5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2"/>
      <c r="AJ3" s="2"/>
      <c r="AK3" s="2"/>
      <c r="AL3" s="2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ht="19.5" customHeight="1">
      <c r="A4" s="10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ht="35.149999999999999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2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6" ht="35.149999999999999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2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</row>
    <row r="7" ht="35.149999999999999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2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</row>
    <row r="8" ht="16.899999999999999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2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</row>
    <row r="9" ht="32.25" customHeight="1">
      <c r="A9" s="14"/>
      <c r="B9" s="15"/>
      <c r="C9" s="16" t="s">
        <v>11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 t="s">
        <v>12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 t="s">
        <v>13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</row>
    <row r="10" ht="22.75" customHeight="1">
      <c r="A10" s="14"/>
      <c r="B10" s="15"/>
      <c r="C10" s="17" t="s">
        <v>14</v>
      </c>
      <c r="D10" s="17"/>
      <c r="E10" s="17"/>
      <c r="F10" s="17"/>
      <c r="G10" s="17" t="s">
        <v>15</v>
      </c>
      <c r="H10" s="17"/>
      <c r="I10" s="17"/>
      <c r="J10" s="17"/>
      <c r="K10" s="17" t="s">
        <v>16</v>
      </c>
      <c r="L10" s="17"/>
      <c r="M10" s="17"/>
      <c r="N10" s="17"/>
      <c r="O10" s="17" t="s">
        <v>15</v>
      </c>
      <c r="P10" s="17"/>
      <c r="Q10" s="17"/>
      <c r="R10" s="17"/>
      <c r="S10" s="17" t="s">
        <v>14</v>
      </c>
      <c r="T10" s="17"/>
      <c r="U10" s="17"/>
      <c r="V10" s="17"/>
      <c r="W10" s="17" t="s">
        <v>17</v>
      </c>
      <c r="X10" s="17"/>
      <c r="Y10" s="17"/>
      <c r="Z10" s="17"/>
      <c r="AA10" s="17" t="s">
        <v>15</v>
      </c>
      <c r="AB10" s="17"/>
      <c r="AC10" s="17"/>
      <c r="AD10" s="17"/>
      <c r="AE10" s="17" t="s">
        <v>16</v>
      </c>
      <c r="AF10" s="17"/>
      <c r="AG10" s="17"/>
      <c r="AH10" s="17"/>
      <c r="AI10" s="17" t="s">
        <v>17</v>
      </c>
      <c r="AJ10" s="17"/>
      <c r="AK10" s="17"/>
      <c r="AL10" s="17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</row>
    <row r="11" ht="18.649999999999999" customHeight="1">
      <c r="A11" s="14"/>
      <c r="B11" s="1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8" t="s">
        <v>18</v>
      </c>
      <c r="AB11" s="18"/>
      <c r="AC11" s="18" t="s">
        <v>19</v>
      </c>
      <c r="AD11" s="18"/>
      <c r="AE11" s="18" t="s">
        <v>18</v>
      </c>
      <c r="AF11" s="18"/>
      <c r="AG11" s="18" t="s">
        <v>19</v>
      </c>
      <c r="AH11" s="18"/>
      <c r="AI11" s="18" t="s">
        <v>18</v>
      </c>
      <c r="AJ11" s="18"/>
      <c r="AK11" s="18" t="s">
        <v>19</v>
      </c>
      <c r="AL11" s="1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ht="21">
      <c r="A12" s="19" t="s">
        <v>20</v>
      </c>
      <c r="B12" s="19"/>
      <c r="C12" s="20" t="s">
        <v>21</v>
      </c>
      <c r="D12" s="20" t="s">
        <v>22</v>
      </c>
      <c r="E12" s="20" t="s">
        <v>21</v>
      </c>
      <c r="F12" s="20" t="s">
        <v>22</v>
      </c>
      <c r="G12" s="20" t="s">
        <v>21</v>
      </c>
      <c r="H12" s="20" t="s">
        <v>22</v>
      </c>
      <c r="I12" s="20" t="s">
        <v>21</v>
      </c>
      <c r="J12" s="20" t="s">
        <v>22</v>
      </c>
      <c r="K12" s="20" t="s">
        <v>21</v>
      </c>
      <c r="L12" s="20" t="s">
        <v>22</v>
      </c>
      <c r="M12" s="20" t="s">
        <v>21</v>
      </c>
      <c r="N12" s="20" t="s">
        <v>22</v>
      </c>
      <c r="O12" s="20" t="s">
        <v>21</v>
      </c>
      <c r="P12" s="20" t="s">
        <v>22</v>
      </c>
      <c r="Q12" s="20" t="s">
        <v>21</v>
      </c>
      <c r="R12" s="20" t="s">
        <v>22</v>
      </c>
      <c r="S12" s="20" t="s">
        <v>21</v>
      </c>
      <c r="T12" s="20" t="s">
        <v>22</v>
      </c>
      <c r="U12" s="20" t="s">
        <v>21</v>
      </c>
      <c r="V12" s="20" t="s">
        <v>22</v>
      </c>
      <c r="W12" s="20" t="s">
        <v>21</v>
      </c>
      <c r="X12" s="20" t="s">
        <v>22</v>
      </c>
      <c r="Y12" s="20" t="s">
        <v>21</v>
      </c>
      <c r="Z12" s="20" t="s">
        <v>22</v>
      </c>
      <c r="AA12" s="20" t="s">
        <v>21</v>
      </c>
      <c r="AB12" s="20" t="s">
        <v>22</v>
      </c>
      <c r="AC12" s="20" t="s">
        <v>21</v>
      </c>
      <c r="AD12" s="20" t="s">
        <v>22</v>
      </c>
      <c r="AE12" s="20" t="s">
        <v>21</v>
      </c>
      <c r="AF12" s="20" t="s">
        <v>22</v>
      </c>
      <c r="AG12" s="20" t="s">
        <v>21</v>
      </c>
      <c r="AH12" s="20" t="s">
        <v>22</v>
      </c>
      <c r="AI12" s="20" t="s">
        <v>21</v>
      </c>
      <c r="AJ12" s="20" t="s">
        <v>22</v>
      </c>
      <c r="AK12" s="20" t="s">
        <v>21</v>
      </c>
      <c r="AL12" s="20" t="s">
        <v>22</v>
      </c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ht="70" customHeight="1">
      <c r="A13" s="21">
        <v>0.27083333333333298</v>
      </c>
      <c r="B13" s="21">
        <v>0.29166666666666702</v>
      </c>
      <c r="C13" s="22"/>
      <c r="D13" s="22"/>
      <c r="E13" s="22"/>
      <c r="F13" s="22"/>
      <c r="G13" s="22"/>
      <c r="H13" s="22"/>
      <c r="I13" s="22"/>
      <c r="J13" s="22"/>
      <c r="K13" s="22"/>
      <c r="L13" s="22">
        <v>1</v>
      </c>
      <c r="M13" s="22"/>
      <c r="N13" s="22"/>
      <c r="O13" s="22"/>
      <c r="P13" s="22"/>
      <c r="Q13" s="22"/>
      <c r="R13" s="22"/>
      <c r="S13" s="22"/>
      <c r="T13" s="22">
        <v>1</v>
      </c>
      <c r="U13" s="22">
        <v>1</v>
      </c>
      <c r="V13" s="22">
        <v>1</v>
      </c>
      <c r="W13" s="22">
        <v>1</v>
      </c>
      <c r="X13" s="22"/>
      <c r="Y13" s="22"/>
      <c r="Z13" s="22">
        <v>1</v>
      </c>
      <c r="AA13" s="22"/>
      <c r="AB13" s="22"/>
      <c r="AC13" s="22"/>
      <c r="AD13" s="22"/>
      <c r="AE13" s="22"/>
      <c r="AF13" s="22"/>
      <c r="AG13" s="22"/>
      <c r="AH13" s="22"/>
      <c r="AI13" s="22">
        <v>1</v>
      </c>
      <c r="AJ13" s="22"/>
      <c r="AK13" s="22"/>
      <c r="AL13" s="22"/>
      <c r="AM13" s="8">
        <f t="shared" ref="AM13:AM18" si="0">SUM(C13:AL13)</f>
        <v>7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</row>
    <row r="14" ht="70" customHeight="1">
      <c r="A14" s="21">
        <v>0.29166666666666702</v>
      </c>
      <c r="B14" s="21">
        <v>0.3125</v>
      </c>
      <c r="C14" s="22"/>
      <c r="D14" s="22"/>
      <c r="E14" s="22"/>
      <c r="F14" s="22">
        <v>1</v>
      </c>
      <c r="G14" s="22"/>
      <c r="H14" s="22"/>
      <c r="I14" s="22"/>
      <c r="J14" s="22"/>
      <c r="K14" s="22"/>
      <c r="L14" s="22"/>
      <c r="M14" s="22">
        <v>1</v>
      </c>
      <c r="N14" s="22"/>
      <c r="O14" s="22"/>
      <c r="P14" s="22"/>
      <c r="Q14" s="22"/>
      <c r="R14" s="22"/>
      <c r="S14" s="22"/>
      <c r="T14" s="22">
        <v>4</v>
      </c>
      <c r="U14" s="22">
        <v>1</v>
      </c>
      <c r="V14" s="22"/>
      <c r="W14" s="22">
        <v>1</v>
      </c>
      <c r="X14" s="22">
        <v>5</v>
      </c>
      <c r="Y14" s="22">
        <v>1</v>
      </c>
      <c r="Z14" s="22"/>
      <c r="AA14" s="22"/>
      <c r="AB14" s="22"/>
      <c r="AC14" s="22"/>
      <c r="AD14" s="22"/>
      <c r="AE14" s="22"/>
      <c r="AF14" s="22"/>
      <c r="AG14" s="22">
        <v>1</v>
      </c>
      <c r="AH14" s="22"/>
      <c r="AI14" s="22">
        <v>1</v>
      </c>
      <c r="AJ14" s="22">
        <v>2</v>
      </c>
      <c r="AK14" s="22"/>
      <c r="AL14" s="22"/>
      <c r="AM14" s="8">
        <f t="shared" si="0"/>
        <v>18</v>
      </c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</row>
    <row r="15" ht="70" customHeight="1">
      <c r="A15" s="21">
        <v>0.3125</v>
      </c>
      <c r="B15" s="21">
        <v>0.33333333333333298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>
        <v>1</v>
      </c>
      <c r="O15" s="22"/>
      <c r="P15" s="22"/>
      <c r="Q15" s="22"/>
      <c r="R15" s="22">
        <v>1</v>
      </c>
      <c r="S15" s="22"/>
      <c r="T15" s="22">
        <v>2</v>
      </c>
      <c r="U15" s="22">
        <v>1</v>
      </c>
      <c r="V15" s="22"/>
      <c r="W15" s="22">
        <v>4</v>
      </c>
      <c r="X15" s="22">
        <v>1</v>
      </c>
      <c r="Y15" s="22">
        <v>3</v>
      </c>
      <c r="Z15" s="22"/>
      <c r="AA15" s="22"/>
      <c r="AB15" s="22"/>
      <c r="AC15" s="22"/>
      <c r="AD15" s="22"/>
      <c r="AE15" s="22"/>
      <c r="AF15" s="22"/>
      <c r="AG15" s="22"/>
      <c r="AH15" s="22">
        <v>1</v>
      </c>
      <c r="AI15" s="22">
        <v>1</v>
      </c>
      <c r="AJ15" s="22">
        <v>1</v>
      </c>
      <c r="AK15" s="22"/>
      <c r="AL15" s="22"/>
      <c r="AM15" s="8">
        <f t="shared" si="0"/>
        <v>16</v>
      </c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</row>
    <row r="16" ht="70" customHeight="1">
      <c r="A16" s="21">
        <v>0.33333333333333298</v>
      </c>
      <c r="B16" s="21">
        <v>0.35416666666666702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>
        <v>1</v>
      </c>
      <c r="N16" s="22"/>
      <c r="O16" s="22"/>
      <c r="P16" s="22"/>
      <c r="Q16" s="22"/>
      <c r="R16" s="22"/>
      <c r="S16" s="22"/>
      <c r="T16" s="22">
        <v>2</v>
      </c>
      <c r="U16" s="22"/>
      <c r="V16" s="22">
        <v>1</v>
      </c>
      <c r="W16" s="22">
        <v>2</v>
      </c>
      <c r="X16" s="22">
        <v>2</v>
      </c>
      <c r="Y16" s="22">
        <v>1</v>
      </c>
      <c r="Z16" s="22">
        <v>1</v>
      </c>
      <c r="AA16" s="22"/>
      <c r="AB16" s="22"/>
      <c r="AC16" s="22"/>
      <c r="AD16" s="22">
        <v>1</v>
      </c>
      <c r="AE16" s="22">
        <v>1</v>
      </c>
      <c r="AF16" s="22"/>
      <c r="AG16" s="22"/>
      <c r="AH16" s="22">
        <v>1</v>
      </c>
      <c r="AI16" s="22">
        <v>2</v>
      </c>
      <c r="AJ16" s="22"/>
      <c r="AK16" s="22"/>
      <c r="AL16" s="22">
        <v>1</v>
      </c>
      <c r="AM16" s="8">
        <f t="shared" si="0"/>
        <v>16</v>
      </c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</row>
    <row r="17" ht="70" customHeight="1">
      <c r="A17" s="21">
        <v>0.35416666666666702</v>
      </c>
      <c r="B17" s="21">
        <v>0.375</v>
      </c>
      <c r="C17" s="22"/>
      <c r="D17" s="22"/>
      <c r="E17" s="22"/>
      <c r="F17" s="22"/>
      <c r="G17" s="22"/>
      <c r="H17" s="22"/>
      <c r="I17" s="22"/>
      <c r="J17" s="22"/>
      <c r="K17" s="22"/>
      <c r="L17" s="22">
        <v>2</v>
      </c>
      <c r="M17" s="22"/>
      <c r="N17" s="22"/>
      <c r="O17" s="22"/>
      <c r="P17" s="22"/>
      <c r="Q17" s="22">
        <v>1</v>
      </c>
      <c r="R17" s="22">
        <v>2</v>
      </c>
      <c r="S17" s="22"/>
      <c r="T17" s="22"/>
      <c r="U17" s="22"/>
      <c r="V17" s="22"/>
      <c r="W17" s="22"/>
      <c r="X17" s="22">
        <v>1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>
        <v>1</v>
      </c>
      <c r="AJ17" s="22"/>
      <c r="AK17" s="22"/>
      <c r="AL17" s="22"/>
      <c r="AM17" s="8">
        <f t="shared" si="0"/>
        <v>7</v>
      </c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</row>
    <row r="18" ht="7.5" customHeight="1">
      <c r="AM18" s="8">
        <f t="shared" si="0"/>
        <v>0</v>
      </c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</row>
    <row r="19" s="23" customFormat="1" ht="39.75" customHeight="1">
      <c r="A19" s="24">
        <v>8</v>
      </c>
      <c r="B19" s="25" t="s">
        <v>23</v>
      </c>
      <c r="C19" s="26"/>
      <c r="D19" s="26"/>
      <c r="E19" s="26">
        <v>8</v>
      </c>
      <c r="F19" s="26"/>
      <c r="G19" s="26"/>
      <c r="H19" s="26"/>
      <c r="I19" s="24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="23" customFormat="1" ht="39.75" customHeight="1">
      <c r="A20" s="24">
        <v>2</v>
      </c>
      <c r="B20" s="25" t="s">
        <v>24</v>
      </c>
      <c r="C20" s="26"/>
      <c r="D20" s="26"/>
      <c r="E20" s="26"/>
      <c r="F20" s="26"/>
      <c r="G20" s="26">
        <v>2</v>
      </c>
      <c r="H20" s="26"/>
      <c r="I20" s="24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="23" customFormat="1" ht="39.75" customHeight="1">
      <c r="A21" s="24">
        <v>5</v>
      </c>
      <c r="B21" s="25" t="s">
        <v>25</v>
      </c>
      <c r="C21" s="26"/>
      <c r="D21" s="26"/>
      <c r="E21" s="26"/>
      <c r="F21" s="26"/>
      <c r="G21" s="26">
        <v>5</v>
      </c>
      <c r="H21" s="26"/>
      <c r="I21" s="24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="23" customFormat="1" ht="39.75" customHeight="1">
      <c r="A22" s="24">
        <v>25</v>
      </c>
      <c r="B22" s="25" t="s">
        <v>26</v>
      </c>
      <c r="C22" s="26"/>
      <c r="D22" s="26"/>
      <c r="E22" s="26"/>
      <c r="F22" s="26"/>
      <c r="G22" s="26"/>
      <c r="H22" s="26"/>
      <c r="I22" s="24"/>
      <c r="J22" s="26"/>
      <c r="K22" s="26"/>
      <c r="L22" s="26"/>
      <c r="M22" s="26"/>
      <c r="N22" s="26"/>
      <c r="O22" s="26"/>
      <c r="P22" s="26">
        <v>25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55" customHeight="1">
      <c r="A23" s="27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</row>
    <row r="24" ht="55" customHeight="1">
      <c r="A24" s="27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8"/>
      <c r="AX24" s="28"/>
    </row>
    <row r="25" ht="25.5" customHeight="1">
      <c r="A25" s="3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31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1"/>
      <c r="AW25" s="31"/>
      <c r="AX25" s="31"/>
    </row>
    <row r="26" ht="32.25" customHeight="1">
      <c r="A26" s="14"/>
      <c r="B26" s="15"/>
      <c r="C26" s="16" t="str">
        <f>C9</f>
        <v xml:space="preserve">De La Gare (Fg St Bernard) vers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 t="str">
        <f>O9</f>
        <v xml:space="preserve">Du Pont du Foron vers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 t="str">
        <f>AA9</f>
        <v xml:space="preserve">Du Rd Point La Poste vers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3"/>
      <c r="AN26" s="5"/>
      <c r="AO26" s="32" t="s">
        <v>27</v>
      </c>
      <c r="AP26" s="33" t="s">
        <v>28</v>
      </c>
      <c r="AQ26" s="34" t="s">
        <v>29</v>
      </c>
      <c r="AR26" s="34" t="s">
        <v>30</v>
      </c>
      <c r="AS26" s="34"/>
      <c r="AT26" s="34"/>
      <c r="AU26" s="34"/>
      <c r="AV26" s="34"/>
      <c r="AW26" s="34"/>
      <c r="AX26" s="35" t="s">
        <v>30</v>
      </c>
      <c r="AY26" s="36" t="s">
        <v>31</v>
      </c>
    </row>
    <row r="27" ht="22.75" customHeight="1">
      <c r="A27" s="14"/>
      <c r="B27" s="15"/>
      <c r="C27" s="17" t="str">
        <f>C10</f>
        <v xml:space="preserve">Rd Pt Poste</v>
      </c>
      <c r="D27" s="17"/>
      <c r="E27" s="17"/>
      <c r="F27" s="17"/>
      <c r="G27" s="17" t="str">
        <f>G10</f>
        <v xml:space="preserve">Rue Perrine</v>
      </c>
      <c r="H27" s="17"/>
      <c r="I27" s="17"/>
      <c r="J27" s="17"/>
      <c r="K27" s="17" t="str">
        <f>K10</f>
        <v xml:space="preserve">Pont du Foron</v>
      </c>
      <c r="L27" s="17"/>
      <c r="M27" s="17"/>
      <c r="N27" s="17"/>
      <c r="O27" s="17" t="str">
        <f>O10</f>
        <v xml:space="preserve">Rue Perrine</v>
      </c>
      <c r="P27" s="17"/>
      <c r="Q27" s="17"/>
      <c r="R27" s="17"/>
      <c r="S27" s="17" t="str">
        <f>S10</f>
        <v xml:space="preserve">Rd Pt Poste</v>
      </c>
      <c r="T27" s="17"/>
      <c r="U27" s="17"/>
      <c r="V27" s="17"/>
      <c r="W27" s="17" t="str">
        <f>W10</f>
        <v xml:space="preserve">La Gare</v>
      </c>
      <c r="X27" s="17"/>
      <c r="Y27" s="17"/>
      <c r="Z27" s="17"/>
      <c r="AA27" s="17" t="str">
        <f>AA10</f>
        <v xml:space="preserve">Rue Perrine</v>
      </c>
      <c r="AB27" s="17"/>
      <c r="AC27" s="17"/>
      <c r="AD27" s="17"/>
      <c r="AE27" s="17" t="str">
        <f>AE10</f>
        <v xml:space="preserve">Pont du Foron</v>
      </c>
      <c r="AF27" s="17"/>
      <c r="AG27" s="17"/>
      <c r="AH27" s="17"/>
      <c r="AI27" s="17" t="str">
        <f>AI10</f>
        <v xml:space="preserve">La Gare</v>
      </c>
      <c r="AJ27" s="17"/>
      <c r="AK27" s="17"/>
      <c r="AL27" s="17"/>
      <c r="AM27" s="3"/>
      <c r="AN27" s="5"/>
      <c r="AO27" s="32"/>
      <c r="AP27" s="33"/>
      <c r="AQ27" s="34"/>
      <c r="AR27" s="34"/>
      <c r="AS27" s="34"/>
      <c r="AT27" s="34"/>
      <c r="AU27" s="34"/>
      <c r="AV27" s="34"/>
      <c r="AW27" s="34"/>
      <c r="AX27" s="35"/>
      <c r="AY27" s="36"/>
    </row>
    <row r="28" ht="18.649999999999999" customHeight="1">
      <c r="A28" s="14"/>
      <c r="B28" s="15"/>
      <c r="C28" s="18" t="s">
        <v>18</v>
      </c>
      <c r="D28" s="18"/>
      <c r="E28" s="18" t="s">
        <v>19</v>
      </c>
      <c r="F28" s="18"/>
      <c r="G28" s="18" t="s">
        <v>18</v>
      </c>
      <c r="H28" s="18"/>
      <c r="I28" s="18" t="s">
        <v>19</v>
      </c>
      <c r="J28" s="18"/>
      <c r="K28" s="18" t="s">
        <v>18</v>
      </c>
      <c r="L28" s="18"/>
      <c r="M28" s="18" t="s">
        <v>19</v>
      </c>
      <c r="N28" s="18"/>
      <c r="O28" s="18" t="s">
        <v>18</v>
      </c>
      <c r="P28" s="18"/>
      <c r="Q28" s="18" t="s">
        <v>19</v>
      </c>
      <c r="R28" s="18"/>
      <c r="S28" s="18" t="s">
        <v>18</v>
      </c>
      <c r="T28" s="18"/>
      <c r="U28" s="18" t="s">
        <v>19</v>
      </c>
      <c r="V28" s="18"/>
      <c r="W28" s="18" t="s">
        <v>18</v>
      </c>
      <c r="X28" s="18"/>
      <c r="Y28" s="18" t="s">
        <v>19</v>
      </c>
      <c r="Z28" s="18"/>
      <c r="AA28" s="18" t="s">
        <v>18</v>
      </c>
      <c r="AB28" s="18"/>
      <c r="AC28" s="18" t="s">
        <v>19</v>
      </c>
      <c r="AD28" s="18"/>
      <c r="AE28" s="18" t="s">
        <v>18</v>
      </c>
      <c r="AF28" s="18"/>
      <c r="AG28" s="18" t="s">
        <v>19</v>
      </c>
      <c r="AH28" s="18"/>
      <c r="AI28" s="18" t="s">
        <v>18</v>
      </c>
      <c r="AJ28" s="18"/>
      <c r="AK28" s="18" t="s">
        <v>19</v>
      </c>
      <c r="AL28" s="18"/>
      <c r="AM28" s="37"/>
      <c r="AN28" s="5"/>
      <c r="AO28" s="32"/>
      <c r="AP28" s="33"/>
      <c r="AQ28" s="34"/>
      <c r="AR28" s="34"/>
      <c r="AS28" s="34"/>
      <c r="AT28" s="34"/>
      <c r="AU28" s="34"/>
      <c r="AV28" s="34"/>
      <c r="AW28" s="34"/>
      <c r="AX28" s="35"/>
      <c r="AY28" s="36"/>
    </row>
    <row r="29" ht="40">
      <c r="A29" s="19" t="s">
        <v>20</v>
      </c>
      <c r="B29" s="19"/>
      <c r="C29" s="20" t="s">
        <v>21</v>
      </c>
      <c r="D29" s="20" t="s">
        <v>22</v>
      </c>
      <c r="E29" s="20" t="s">
        <v>21</v>
      </c>
      <c r="F29" s="20" t="s">
        <v>22</v>
      </c>
      <c r="G29" s="20" t="s">
        <v>21</v>
      </c>
      <c r="H29" s="20" t="s">
        <v>22</v>
      </c>
      <c r="I29" s="20" t="s">
        <v>21</v>
      </c>
      <c r="J29" s="20" t="s">
        <v>22</v>
      </c>
      <c r="K29" s="20" t="s">
        <v>21</v>
      </c>
      <c r="L29" s="20" t="s">
        <v>22</v>
      </c>
      <c r="M29" s="20" t="s">
        <v>21</v>
      </c>
      <c r="N29" s="20" t="s">
        <v>22</v>
      </c>
      <c r="O29" s="20" t="s">
        <v>21</v>
      </c>
      <c r="P29" s="20" t="s">
        <v>22</v>
      </c>
      <c r="Q29" s="20" t="s">
        <v>21</v>
      </c>
      <c r="R29" s="20" t="s">
        <v>22</v>
      </c>
      <c r="S29" s="20" t="s">
        <v>21</v>
      </c>
      <c r="T29" s="20" t="s">
        <v>22</v>
      </c>
      <c r="U29" s="20" t="s">
        <v>21</v>
      </c>
      <c r="V29" s="20" t="s">
        <v>22</v>
      </c>
      <c r="W29" s="20" t="s">
        <v>21</v>
      </c>
      <c r="X29" s="20" t="s">
        <v>22</v>
      </c>
      <c r="Y29" s="20" t="s">
        <v>21</v>
      </c>
      <c r="Z29" s="20" t="s">
        <v>22</v>
      </c>
      <c r="AA29" s="20" t="s">
        <v>21</v>
      </c>
      <c r="AB29" s="20" t="s">
        <v>22</v>
      </c>
      <c r="AC29" s="20" t="s">
        <v>21</v>
      </c>
      <c r="AD29" s="20" t="s">
        <v>22</v>
      </c>
      <c r="AE29" s="20" t="s">
        <v>21</v>
      </c>
      <c r="AF29" s="20" t="s">
        <v>22</v>
      </c>
      <c r="AG29" s="20" t="s">
        <v>21</v>
      </c>
      <c r="AH29" s="20" t="s">
        <v>22</v>
      </c>
      <c r="AI29" s="20" t="s">
        <v>21</v>
      </c>
      <c r="AJ29" s="20" t="s">
        <v>22</v>
      </c>
      <c r="AK29" s="20" t="s">
        <v>21</v>
      </c>
      <c r="AL29" s="20" t="s">
        <v>22</v>
      </c>
      <c r="AM29" s="38" t="s">
        <v>20</v>
      </c>
      <c r="AN29" s="38"/>
      <c r="AO29" s="32"/>
      <c r="AP29" s="33"/>
      <c r="AQ29" s="34"/>
      <c r="AR29" s="34"/>
      <c r="AS29" s="39" t="s">
        <v>32</v>
      </c>
      <c r="AT29" s="39" t="s">
        <v>33</v>
      </c>
      <c r="AU29" s="39" t="s">
        <v>34</v>
      </c>
      <c r="AV29" s="39" t="s">
        <v>35</v>
      </c>
      <c r="AW29" s="34"/>
      <c r="AX29" s="35"/>
      <c r="AY29" s="36"/>
    </row>
    <row r="30" s="1" customFormat="1" ht="55" customHeight="1">
      <c r="A30" s="19" t="s">
        <v>36</v>
      </c>
      <c r="B30" s="19"/>
      <c r="C30" s="22">
        <f t="shared" ref="C30:C35" si="1">+C13</f>
        <v>0</v>
      </c>
      <c r="D30" s="22">
        <f t="shared" ref="D30:D35" si="2">+D13</f>
        <v>0</v>
      </c>
      <c r="E30" s="22">
        <f t="shared" ref="E30:E35" si="3">+E13</f>
        <v>0</v>
      </c>
      <c r="F30" s="22">
        <f t="shared" ref="F30:F35" si="4">+F13</f>
        <v>0</v>
      </c>
      <c r="G30" s="22">
        <f t="shared" ref="G30:G35" si="5">+G13</f>
        <v>0</v>
      </c>
      <c r="H30" s="22">
        <f t="shared" ref="H30:H35" si="6">+H13</f>
        <v>0</v>
      </c>
      <c r="I30" s="22">
        <f t="shared" ref="I30:I35" si="7">+I13</f>
        <v>0</v>
      </c>
      <c r="J30" s="22">
        <f t="shared" ref="J30:J35" si="8">+J13</f>
        <v>0</v>
      </c>
      <c r="K30" s="22">
        <f t="shared" ref="K30:K35" si="9">+K13</f>
        <v>0</v>
      </c>
      <c r="L30" s="22">
        <f t="shared" ref="L30:L35" si="10">+L13</f>
        <v>1</v>
      </c>
      <c r="M30" s="22">
        <f t="shared" ref="M30:M35" si="11">+M13</f>
        <v>0</v>
      </c>
      <c r="N30" s="22">
        <f t="shared" ref="N30:N35" si="12">+N13</f>
        <v>0</v>
      </c>
      <c r="O30" s="22">
        <f t="shared" ref="O30:O35" si="13">+O13</f>
        <v>0</v>
      </c>
      <c r="P30" s="22">
        <f t="shared" ref="P30:P35" si="14">+P13</f>
        <v>0</v>
      </c>
      <c r="Q30" s="22">
        <f t="shared" ref="Q30:Q35" si="15">+Q13</f>
        <v>0</v>
      </c>
      <c r="R30" s="22">
        <f t="shared" ref="R30:R35" si="16">+R13</f>
        <v>0</v>
      </c>
      <c r="S30" s="22">
        <f t="shared" ref="S30:S35" si="17">+S13</f>
        <v>0</v>
      </c>
      <c r="T30" s="22">
        <f t="shared" ref="T30:T35" si="18">+T13</f>
        <v>1</v>
      </c>
      <c r="U30" s="22">
        <f t="shared" ref="U30:U35" si="19">+U13</f>
        <v>1</v>
      </c>
      <c r="V30" s="22">
        <f t="shared" ref="V30:V35" si="20">+V13</f>
        <v>1</v>
      </c>
      <c r="W30" s="22">
        <f t="shared" ref="W30:W35" si="21">+W13</f>
        <v>1</v>
      </c>
      <c r="X30" s="22">
        <f t="shared" ref="X30:X35" si="22">+X13</f>
        <v>0</v>
      </c>
      <c r="Y30" s="22">
        <f t="shared" ref="Y30:Y35" si="23">+Y13</f>
        <v>0</v>
      </c>
      <c r="Z30" s="22">
        <f t="shared" ref="Z30:Z35" si="24">+Z13</f>
        <v>1</v>
      </c>
      <c r="AA30" s="22">
        <f t="shared" ref="AA30:AA35" si="25">+AA13</f>
        <v>0</v>
      </c>
      <c r="AB30" s="22">
        <f t="shared" ref="AB30:AB35" si="26">+AB13</f>
        <v>0</v>
      </c>
      <c r="AC30" s="22">
        <f t="shared" ref="AC30:AC35" si="27">+AC13</f>
        <v>0</v>
      </c>
      <c r="AD30" s="22">
        <f t="shared" ref="AD30:AD35" si="28">+AD13</f>
        <v>0</v>
      </c>
      <c r="AE30" s="22">
        <f t="shared" ref="AE30:AE35" si="29">+AE13</f>
        <v>0</v>
      </c>
      <c r="AF30" s="22">
        <f t="shared" ref="AF30:AF35" si="30">+AF13</f>
        <v>0</v>
      </c>
      <c r="AG30" s="22">
        <f t="shared" ref="AG30:AG35" si="31">+AG13</f>
        <v>0</v>
      </c>
      <c r="AH30" s="22">
        <f t="shared" ref="AH30:AH35" si="32">+AH13</f>
        <v>0</v>
      </c>
      <c r="AI30" s="22">
        <f t="shared" ref="AI30:AI35" si="33">+AI13</f>
        <v>1</v>
      </c>
      <c r="AJ30" s="22">
        <f t="shared" ref="AJ30:AJ35" si="34">+AJ13</f>
        <v>0</v>
      </c>
      <c r="AK30" s="22">
        <f t="shared" ref="AK30:AK35" si="35">+AK13</f>
        <v>0</v>
      </c>
      <c r="AL30" s="22">
        <f t="shared" ref="AL30:AL35" si="36">+AL13</f>
        <v>0</v>
      </c>
      <c r="AM30" s="19" t="s">
        <v>36</v>
      </c>
      <c r="AN30" s="19"/>
      <c r="AO30" s="40">
        <f t="shared" ref="AO30:AO34" si="37">SUM(C30:AL30)</f>
        <v>7</v>
      </c>
      <c r="AP30" s="41">
        <f t="shared" ref="AP30:AP34" si="38">C30+E30+G30+I30+K30+M30+O30+Q30+S30+U30+W30+Y30+AA30+AC30+AE30+AG30+AI30+AK30</f>
        <v>3</v>
      </c>
      <c r="AQ30" s="41">
        <f t="shared" ref="AQ30:AQ34" si="39">E30+F30+I30+J30+M30+N30+Q30+R30+U30+V30+Y30+Z30+AC30+AD30+AG30+AH30+AK30+AL30</f>
        <v>3</v>
      </c>
      <c r="AR30" s="41">
        <f t="shared" ref="AR30:AR34" si="40">E30+I30+M30+Q30+U30+Y30+AC30+AG30+AK30</f>
        <v>1</v>
      </c>
      <c r="AW30" s="41"/>
      <c r="AX30" s="41">
        <f t="shared" ref="AX30:AX35" si="41">E30+I30+M30+Q30+U30+Y30+AC30+AG30+AK30</f>
        <v>1</v>
      </c>
      <c r="AY30" s="41">
        <f t="shared" ref="AY30:AY35" si="42">SUM(C30:N30)+SUM(W30:Z30)+SUM(AI30:AL30)</f>
        <v>4</v>
      </c>
    </row>
    <row r="31" s="1" customFormat="1" ht="55" customHeight="1">
      <c r="A31" s="19" t="s">
        <v>37</v>
      </c>
      <c r="B31" s="19"/>
      <c r="C31" s="22">
        <f t="shared" si="1"/>
        <v>0</v>
      </c>
      <c r="D31" s="22">
        <f t="shared" si="2"/>
        <v>0</v>
      </c>
      <c r="E31" s="22">
        <f t="shared" si="3"/>
        <v>0</v>
      </c>
      <c r="F31" s="22">
        <f t="shared" si="4"/>
        <v>1</v>
      </c>
      <c r="G31" s="22">
        <f t="shared" si="5"/>
        <v>0</v>
      </c>
      <c r="H31" s="22">
        <f t="shared" si="6"/>
        <v>0</v>
      </c>
      <c r="I31" s="22">
        <f t="shared" si="7"/>
        <v>0</v>
      </c>
      <c r="J31" s="22">
        <f t="shared" si="8"/>
        <v>0</v>
      </c>
      <c r="K31" s="22">
        <f t="shared" si="9"/>
        <v>0</v>
      </c>
      <c r="L31" s="22">
        <f t="shared" si="10"/>
        <v>0</v>
      </c>
      <c r="M31" s="22">
        <f t="shared" si="11"/>
        <v>1</v>
      </c>
      <c r="N31" s="22">
        <f t="shared" si="12"/>
        <v>0</v>
      </c>
      <c r="O31" s="22">
        <f t="shared" si="13"/>
        <v>0</v>
      </c>
      <c r="P31" s="22">
        <f t="shared" si="14"/>
        <v>0</v>
      </c>
      <c r="Q31" s="22">
        <f t="shared" si="15"/>
        <v>0</v>
      </c>
      <c r="R31" s="22">
        <f t="shared" si="16"/>
        <v>0</v>
      </c>
      <c r="S31" s="22">
        <f t="shared" si="17"/>
        <v>0</v>
      </c>
      <c r="T31" s="22">
        <f t="shared" si="18"/>
        <v>4</v>
      </c>
      <c r="U31" s="22">
        <f t="shared" si="19"/>
        <v>1</v>
      </c>
      <c r="V31" s="22">
        <f t="shared" si="20"/>
        <v>0</v>
      </c>
      <c r="W31" s="22">
        <f t="shared" si="21"/>
        <v>1</v>
      </c>
      <c r="X31" s="22">
        <f t="shared" si="22"/>
        <v>5</v>
      </c>
      <c r="Y31" s="22">
        <f t="shared" si="23"/>
        <v>1</v>
      </c>
      <c r="Z31" s="22">
        <f t="shared" si="24"/>
        <v>0</v>
      </c>
      <c r="AA31" s="22">
        <f t="shared" si="25"/>
        <v>0</v>
      </c>
      <c r="AB31" s="22">
        <f t="shared" si="26"/>
        <v>0</v>
      </c>
      <c r="AC31" s="22">
        <f t="shared" si="27"/>
        <v>0</v>
      </c>
      <c r="AD31" s="22">
        <f t="shared" si="28"/>
        <v>0</v>
      </c>
      <c r="AE31" s="22">
        <f t="shared" si="29"/>
        <v>0</v>
      </c>
      <c r="AF31" s="22">
        <f t="shared" si="30"/>
        <v>0</v>
      </c>
      <c r="AG31" s="22">
        <f t="shared" si="31"/>
        <v>1</v>
      </c>
      <c r="AH31" s="22">
        <f t="shared" si="32"/>
        <v>0</v>
      </c>
      <c r="AI31" s="22">
        <f t="shared" si="33"/>
        <v>1</v>
      </c>
      <c r="AJ31" s="22">
        <f t="shared" si="34"/>
        <v>2</v>
      </c>
      <c r="AK31" s="22">
        <f t="shared" si="35"/>
        <v>0</v>
      </c>
      <c r="AL31" s="22">
        <f t="shared" si="36"/>
        <v>0</v>
      </c>
      <c r="AM31" s="19" t="s">
        <v>37</v>
      </c>
      <c r="AN31" s="19"/>
      <c r="AO31" s="40">
        <f t="shared" si="37"/>
        <v>18</v>
      </c>
      <c r="AP31" s="41">
        <f t="shared" si="38"/>
        <v>6</v>
      </c>
      <c r="AQ31" s="41">
        <f t="shared" si="39"/>
        <v>5</v>
      </c>
      <c r="AR31" s="41">
        <f t="shared" si="40"/>
        <v>4</v>
      </c>
      <c r="AW31" s="41"/>
      <c r="AX31" s="41">
        <f t="shared" si="41"/>
        <v>4</v>
      </c>
      <c r="AY31" s="41">
        <f t="shared" si="42"/>
        <v>12</v>
      </c>
    </row>
    <row r="32" s="1" customFormat="1" ht="55" customHeight="1">
      <c r="A32" s="19" t="s">
        <v>38</v>
      </c>
      <c r="B32" s="19"/>
      <c r="C32" s="22">
        <f t="shared" si="1"/>
        <v>0</v>
      </c>
      <c r="D32" s="22">
        <f t="shared" si="2"/>
        <v>0</v>
      </c>
      <c r="E32" s="22">
        <f t="shared" si="3"/>
        <v>0</v>
      </c>
      <c r="F32" s="22">
        <f t="shared" si="4"/>
        <v>0</v>
      </c>
      <c r="G32" s="22">
        <f t="shared" si="5"/>
        <v>0</v>
      </c>
      <c r="H32" s="22">
        <f t="shared" si="6"/>
        <v>0</v>
      </c>
      <c r="I32" s="22">
        <f t="shared" si="7"/>
        <v>0</v>
      </c>
      <c r="J32" s="22">
        <f t="shared" si="8"/>
        <v>0</v>
      </c>
      <c r="K32" s="22">
        <f t="shared" si="9"/>
        <v>0</v>
      </c>
      <c r="L32" s="22">
        <f t="shared" si="10"/>
        <v>0</v>
      </c>
      <c r="M32" s="22">
        <f t="shared" si="11"/>
        <v>0</v>
      </c>
      <c r="N32" s="22">
        <f t="shared" si="12"/>
        <v>1</v>
      </c>
      <c r="O32" s="22">
        <f t="shared" si="13"/>
        <v>0</v>
      </c>
      <c r="P32" s="22">
        <f t="shared" si="14"/>
        <v>0</v>
      </c>
      <c r="Q32" s="22">
        <f t="shared" si="15"/>
        <v>0</v>
      </c>
      <c r="R32" s="22">
        <f t="shared" si="16"/>
        <v>1</v>
      </c>
      <c r="S32" s="22">
        <f t="shared" si="17"/>
        <v>0</v>
      </c>
      <c r="T32" s="22">
        <f t="shared" si="18"/>
        <v>2</v>
      </c>
      <c r="U32" s="22">
        <f t="shared" si="19"/>
        <v>1</v>
      </c>
      <c r="V32" s="22">
        <f t="shared" si="20"/>
        <v>0</v>
      </c>
      <c r="W32" s="22">
        <f t="shared" si="21"/>
        <v>4</v>
      </c>
      <c r="X32" s="22">
        <f t="shared" si="22"/>
        <v>1</v>
      </c>
      <c r="Y32" s="22">
        <f t="shared" si="23"/>
        <v>3</v>
      </c>
      <c r="Z32" s="22">
        <f t="shared" si="24"/>
        <v>0</v>
      </c>
      <c r="AA32" s="22">
        <f t="shared" si="25"/>
        <v>0</v>
      </c>
      <c r="AB32" s="22">
        <f t="shared" si="26"/>
        <v>0</v>
      </c>
      <c r="AC32" s="22">
        <f t="shared" si="27"/>
        <v>0</v>
      </c>
      <c r="AD32" s="22">
        <f t="shared" si="28"/>
        <v>0</v>
      </c>
      <c r="AE32" s="22">
        <f t="shared" si="29"/>
        <v>0</v>
      </c>
      <c r="AF32" s="22">
        <f t="shared" si="30"/>
        <v>0</v>
      </c>
      <c r="AG32" s="22">
        <f t="shared" si="31"/>
        <v>0</v>
      </c>
      <c r="AH32" s="22">
        <f t="shared" si="32"/>
        <v>1</v>
      </c>
      <c r="AI32" s="22">
        <f t="shared" si="33"/>
        <v>1</v>
      </c>
      <c r="AJ32" s="22">
        <f t="shared" si="34"/>
        <v>1</v>
      </c>
      <c r="AK32" s="22">
        <f t="shared" si="35"/>
        <v>0</v>
      </c>
      <c r="AL32" s="22">
        <f t="shared" si="36"/>
        <v>0</v>
      </c>
      <c r="AM32" s="19" t="s">
        <v>38</v>
      </c>
      <c r="AN32" s="19"/>
      <c r="AO32" s="40">
        <f t="shared" si="37"/>
        <v>16</v>
      </c>
      <c r="AP32" s="41">
        <f t="shared" si="38"/>
        <v>9</v>
      </c>
      <c r="AQ32" s="41">
        <f t="shared" si="39"/>
        <v>7</v>
      </c>
      <c r="AR32" s="41">
        <f t="shared" si="40"/>
        <v>4</v>
      </c>
      <c r="AW32" s="41"/>
      <c r="AX32" s="41">
        <f t="shared" si="41"/>
        <v>4</v>
      </c>
      <c r="AY32" s="41">
        <f t="shared" si="42"/>
        <v>11</v>
      </c>
    </row>
    <row r="33" s="1" customFormat="1" ht="55" customHeight="1">
      <c r="A33" s="19" t="s">
        <v>39</v>
      </c>
      <c r="B33" s="19"/>
      <c r="C33" s="22">
        <f t="shared" si="1"/>
        <v>0</v>
      </c>
      <c r="D33" s="22">
        <f t="shared" si="2"/>
        <v>0</v>
      </c>
      <c r="E33" s="22">
        <f t="shared" si="3"/>
        <v>0</v>
      </c>
      <c r="F33" s="22">
        <f t="shared" si="4"/>
        <v>0</v>
      </c>
      <c r="G33" s="22">
        <f t="shared" si="5"/>
        <v>0</v>
      </c>
      <c r="H33" s="22">
        <f t="shared" si="6"/>
        <v>0</v>
      </c>
      <c r="I33" s="22">
        <f t="shared" si="7"/>
        <v>0</v>
      </c>
      <c r="J33" s="22">
        <f t="shared" si="8"/>
        <v>0</v>
      </c>
      <c r="K33" s="22">
        <f t="shared" si="9"/>
        <v>0</v>
      </c>
      <c r="L33" s="22">
        <f t="shared" si="10"/>
        <v>0</v>
      </c>
      <c r="M33" s="22">
        <f t="shared" si="11"/>
        <v>1</v>
      </c>
      <c r="N33" s="22">
        <f t="shared" si="12"/>
        <v>0</v>
      </c>
      <c r="O33" s="22">
        <f t="shared" si="13"/>
        <v>0</v>
      </c>
      <c r="P33" s="22">
        <f t="shared" si="14"/>
        <v>0</v>
      </c>
      <c r="Q33" s="22">
        <f t="shared" si="15"/>
        <v>0</v>
      </c>
      <c r="R33" s="22">
        <f t="shared" si="16"/>
        <v>0</v>
      </c>
      <c r="S33" s="22">
        <f t="shared" si="17"/>
        <v>0</v>
      </c>
      <c r="T33" s="22">
        <f t="shared" si="18"/>
        <v>2</v>
      </c>
      <c r="U33" s="22">
        <f t="shared" si="19"/>
        <v>0</v>
      </c>
      <c r="V33" s="22">
        <f t="shared" si="20"/>
        <v>1</v>
      </c>
      <c r="W33" s="22">
        <f t="shared" si="21"/>
        <v>2</v>
      </c>
      <c r="X33" s="22">
        <f t="shared" si="22"/>
        <v>2</v>
      </c>
      <c r="Y33" s="22">
        <f t="shared" si="23"/>
        <v>1</v>
      </c>
      <c r="Z33" s="22">
        <f t="shared" si="24"/>
        <v>1</v>
      </c>
      <c r="AA33" s="22">
        <f t="shared" si="25"/>
        <v>0</v>
      </c>
      <c r="AB33" s="22">
        <f t="shared" si="26"/>
        <v>0</v>
      </c>
      <c r="AC33" s="22">
        <f t="shared" si="27"/>
        <v>0</v>
      </c>
      <c r="AD33" s="22">
        <f t="shared" si="28"/>
        <v>1</v>
      </c>
      <c r="AE33" s="22">
        <f t="shared" si="29"/>
        <v>1</v>
      </c>
      <c r="AF33" s="22">
        <f t="shared" si="30"/>
        <v>0</v>
      </c>
      <c r="AG33" s="22">
        <f t="shared" si="31"/>
        <v>0</v>
      </c>
      <c r="AH33" s="22">
        <f t="shared" si="32"/>
        <v>1</v>
      </c>
      <c r="AI33" s="22">
        <f t="shared" si="33"/>
        <v>2</v>
      </c>
      <c r="AJ33" s="22">
        <f t="shared" si="34"/>
        <v>0</v>
      </c>
      <c r="AK33" s="22">
        <f t="shared" si="35"/>
        <v>0</v>
      </c>
      <c r="AL33" s="22">
        <f t="shared" si="36"/>
        <v>1</v>
      </c>
      <c r="AM33" s="19" t="s">
        <v>39</v>
      </c>
      <c r="AN33" s="19"/>
      <c r="AO33" s="40">
        <f t="shared" si="37"/>
        <v>16</v>
      </c>
      <c r="AP33" s="41">
        <f t="shared" si="38"/>
        <v>7</v>
      </c>
      <c r="AQ33" s="41">
        <f t="shared" si="39"/>
        <v>7</v>
      </c>
      <c r="AR33" s="41">
        <f t="shared" si="40"/>
        <v>2</v>
      </c>
      <c r="AW33" s="41"/>
      <c r="AX33" s="41">
        <f t="shared" si="41"/>
        <v>2</v>
      </c>
      <c r="AY33" s="41">
        <f t="shared" si="42"/>
        <v>10</v>
      </c>
    </row>
    <row r="34" s="1" customFormat="1" ht="55" customHeight="1">
      <c r="A34" s="19" t="s">
        <v>40</v>
      </c>
      <c r="B34" s="19"/>
      <c r="C34" s="22">
        <f t="shared" si="1"/>
        <v>0</v>
      </c>
      <c r="D34" s="22">
        <f t="shared" si="2"/>
        <v>0</v>
      </c>
      <c r="E34" s="22">
        <f t="shared" si="3"/>
        <v>0</v>
      </c>
      <c r="F34" s="22">
        <f t="shared" si="4"/>
        <v>0</v>
      </c>
      <c r="G34" s="22">
        <f t="shared" si="5"/>
        <v>0</v>
      </c>
      <c r="H34" s="22">
        <f t="shared" si="6"/>
        <v>0</v>
      </c>
      <c r="I34" s="22">
        <f t="shared" si="7"/>
        <v>0</v>
      </c>
      <c r="J34" s="22">
        <f t="shared" si="8"/>
        <v>0</v>
      </c>
      <c r="K34" s="22">
        <f t="shared" si="9"/>
        <v>0</v>
      </c>
      <c r="L34" s="22">
        <f t="shared" si="10"/>
        <v>2</v>
      </c>
      <c r="M34" s="22">
        <f t="shared" si="11"/>
        <v>0</v>
      </c>
      <c r="N34" s="22">
        <f t="shared" si="12"/>
        <v>0</v>
      </c>
      <c r="O34" s="22">
        <f t="shared" si="13"/>
        <v>0</v>
      </c>
      <c r="P34" s="22">
        <f t="shared" si="14"/>
        <v>0</v>
      </c>
      <c r="Q34" s="22">
        <f t="shared" si="15"/>
        <v>1</v>
      </c>
      <c r="R34" s="22">
        <f t="shared" si="16"/>
        <v>2</v>
      </c>
      <c r="S34" s="22">
        <f t="shared" si="17"/>
        <v>0</v>
      </c>
      <c r="T34" s="22">
        <f t="shared" si="18"/>
        <v>0</v>
      </c>
      <c r="U34" s="22">
        <f t="shared" si="19"/>
        <v>0</v>
      </c>
      <c r="V34" s="22">
        <f t="shared" si="20"/>
        <v>0</v>
      </c>
      <c r="W34" s="22">
        <f t="shared" si="21"/>
        <v>0</v>
      </c>
      <c r="X34" s="22">
        <f t="shared" si="22"/>
        <v>1</v>
      </c>
      <c r="Y34" s="22">
        <f t="shared" si="23"/>
        <v>0</v>
      </c>
      <c r="Z34" s="22">
        <f t="shared" si="24"/>
        <v>0</v>
      </c>
      <c r="AA34" s="22">
        <f t="shared" si="25"/>
        <v>0</v>
      </c>
      <c r="AB34" s="22">
        <f t="shared" si="26"/>
        <v>0</v>
      </c>
      <c r="AC34" s="22">
        <f t="shared" si="27"/>
        <v>0</v>
      </c>
      <c r="AD34" s="22">
        <f t="shared" si="28"/>
        <v>0</v>
      </c>
      <c r="AE34" s="22">
        <f t="shared" si="29"/>
        <v>0</v>
      </c>
      <c r="AF34" s="22">
        <f t="shared" si="30"/>
        <v>0</v>
      </c>
      <c r="AG34" s="22">
        <f t="shared" si="31"/>
        <v>0</v>
      </c>
      <c r="AH34" s="22">
        <f t="shared" si="32"/>
        <v>0</v>
      </c>
      <c r="AI34" s="22">
        <f t="shared" si="33"/>
        <v>1</v>
      </c>
      <c r="AJ34" s="22">
        <f t="shared" si="34"/>
        <v>0</v>
      </c>
      <c r="AK34" s="22">
        <f t="shared" si="35"/>
        <v>0</v>
      </c>
      <c r="AL34" s="22">
        <f t="shared" si="36"/>
        <v>0</v>
      </c>
      <c r="AM34" s="19" t="s">
        <v>40</v>
      </c>
      <c r="AN34" s="19"/>
      <c r="AO34" s="40">
        <f t="shared" si="37"/>
        <v>7</v>
      </c>
      <c r="AP34" s="41">
        <f t="shared" si="38"/>
        <v>2</v>
      </c>
      <c r="AQ34" s="41">
        <f t="shared" si="39"/>
        <v>3</v>
      </c>
      <c r="AR34" s="41">
        <f t="shared" si="40"/>
        <v>1</v>
      </c>
      <c r="AW34" s="41"/>
      <c r="AX34" s="41">
        <f t="shared" si="41"/>
        <v>1</v>
      </c>
      <c r="AY34" s="41">
        <f t="shared" si="42"/>
        <v>4</v>
      </c>
    </row>
    <row r="35" ht="55" customHeight="1">
      <c r="A35" s="19" t="s">
        <v>27</v>
      </c>
      <c r="B35" s="19"/>
      <c r="C35" s="22">
        <f t="shared" si="1"/>
        <v>0</v>
      </c>
      <c r="D35" s="22">
        <f t="shared" si="2"/>
        <v>0</v>
      </c>
      <c r="E35" s="22">
        <f t="shared" si="3"/>
        <v>0</v>
      </c>
      <c r="F35" s="22">
        <f t="shared" si="4"/>
        <v>0</v>
      </c>
      <c r="G35" s="22">
        <f t="shared" si="5"/>
        <v>0</v>
      </c>
      <c r="H35" s="22">
        <f t="shared" si="6"/>
        <v>0</v>
      </c>
      <c r="I35" s="22">
        <f t="shared" si="7"/>
        <v>0</v>
      </c>
      <c r="J35" s="22">
        <f t="shared" si="8"/>
        <v>0</v>
      </c>
      <c r="K35" s="22">
        <f t="shared" si="9"/>
        <v>0</v>
      </c>
      <c r="L35" s="22">
        <f t="shared" si="10"/>
        <v>0</v>
      </c>
      <c r="M35" s="22">
        <f t="shared" si="11"/>
        <v>0</v>
      </c>
      <c r="N35" s="22">
        <f t="shared" si="12"/>
        <v>0</v>
      </c>
      <c r="O35" s="22">
        <f t="shared" si="13"/>
        <v>0</v>
      </c>
      <c r="P35" s="22">
        <f t="shared" si="14"/>
        <v>0</v>
      </c>
      <c r="Q35" s="22">
        <f t="shared" si="15"/>
        <v>0</v>
      </c>
      <c r="R35" s="22">
        <f t="shared" si="16"/>
        <v>0</v>
      </c>
      <c r="S35" s="22">
        <f t="shared" si="17"/>
        <v>0</v>
      </c>
      <c r="T35" s="22">
        <f t="shared" si="18"/>
        <v>0</v>
      </c>
      <c r="U35" s="22">
        <f t="shared" si="19"/>
        <v>0</v>
      </c>
      <c r="V35" s="22">
        <f t="shared" si="20"/>
        <v>0</v>
      </c>
      <c r="W35" s="22">
        <f t="shared" si="21"/>
        <v>0</v>
      </c>
      <c r="X35" s="22">
        <f t="shared" si="22"/>
        <v>0</v>
      </c>
      <c r="Y35" s="22">
        <f t="shared" si="23"/>
        <v>0</v>
      </c>
      <c r="Z35" s="22">
        <f t="shared" si="24"/>
        <v>0</v>
      </c>
      <c r="AA35" s="22">
        <f t="shared" si="25"/>
        <v>0</v>
      </c>
      <c r="AB35" s="22">
        <f t="shared" si="26"/>
        <v>0</v>
      </c>
      <c r="AC35" s="22">
        <f t="shared" si="27"/>
        <v>0</v>
      </c>
      <c r="AD35" s="22">
        <f t="shared" si="28"/>
        <v>0</v>
      </c>
      <c r="AE35" s="22">
        <f t="shared" si="29"/>
        <v>0</v>
      </c>
      <c r="AF35" s="22">
        <f t="shared" si="30"/>
        <v>0</v>
      </c>
      <c r="AG35" s="22">
        <f t="shared" si="31"/>
        <v>0</v>
      </c>
      <c r="AH35" s="22">
        <f t="shared" si="32"/>
        <v>0</v>
      </c>
      <c r="AI35" s="22">
        <f t="shared" si="33"/>
        <v>0</v>
      </c>
      <c r="AJ35" s="22">
        <f t="shared" si="34"/>
        <v>0</v>
      </c>
      <c r="AK35" s="22">
        <f t="shared" si="35"/>
        <v>0</v>
      </c>
      <c r="AL35" s="22">
        <f t="shared" si="36"/>
        <v>0</v>
      </c>
      <c r="AM35" s="42" t="s">
        <v>27</v>
      </c>
      <c r="AN35" s="42"/>
      <c r="AO35" s="43">
        <f>SUM(AO30:AO34)</f>
        <v>64</v>
      </c>
      <c r="AP35" s="43">
        <f>SUM(AP30:AP34)</f>
        <v>27</v>
      </c>
      <c r="AQ35" s="43">
        <f>SUM(AQ30:AQ34)</f>
        <v>25</v>
      </c>
      <c r="AR35" s="44">
        <f>SUM(AR30:AR34)</f>
        <v>12</v>
      </c>
      <c r="AS35" s="45">
        <f>A22</f>
        <v>25</v>
      </c>
      <c r="AT35" s="46">
        <f>A19</f>
        <v>8</v>
      </c>
      <c r="AU35" s="46">
        <f>A20</f>
        <v>2</v>
      </c>
      <c r="AV35" s="46">
        <f>A21</f>
        <v>5</v>
      </c>
      <c r="AW35" s="40"/>
      <c r="AX35" s="47">
        <f t="shared" si="41"/>
        <v>0</v>
      </c>
      <c r="AY35" s="47">
        <f t="shared" si="42"/>
        <v>0</v>
      </c>
    </row>
    <row r="36" ht="55" customHeight="1">
      <c r="A36" s="48"/>
      <c r="B36" s="48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50" t="s">
        <v>41</v>
      </c>
      <c r="AM36" s="51" t="str">
        <f t="shared" ref="AM36:AM37" si="43">AM31</f>
        <v xml:space="preserve">7:00 à 7:30</v>
      </c>
      <c r="AN36" s="52"/>
      <c r="AO36" s="53">
        <f t="shared" ref="AO36:AO37" si="44">AO31</f>
        <v>18</v>
      </c>
      <c r="AP36" s="53"/>
      <c r="AQ36" s="53"/>
      <c r="AR36" s="53"/>
      <c r="AS36" s="54"/>
      <c r="AT36" s="55"/>
      <c r="AU36" s="54"/>
      <c r="AV36" s="54"/>
      <c r="AW36" s="56"/>
      <c r="AX36" s="57"/>
      <c r="AY36" s="57"/>
    </row>
    <row r="37" ht="55" customHeight="1">
      <c r="A37" s="48"/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50" t="s">
        <v>41</v>
      </c>
      <c r="AM37" s="58" t="str">
        <f t="shared" si="43"/>
        <v xml:space="preserve">7:30 à 8:00</v>
      </c>
      <c r="AN37" s="59"/>
      <c r="AO37" s="60">
        <f t="shared" si="44"/>
        <v>16</v>
      </c>
      <c r="AP37" s="60"/>
      <c r="AQ37" s="60"/>
      <c r="AR37" s="60"/>
      <c r="AS37" s="54"/>
      <c r="AT37" s="55"/>
      <c r="AU37" s="54"/>
      <c r="AV37" s="54"/>
      <c r="AW37" s="56"/>
      <c r="AX37" s="57"/>
      <c r="AY37" s="57"/>
    </row>
    <row r="38" ht="55" customHeight="1">
      <c r="A38" s="48"/>
      <c r="B38" s="4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50"/>
      <c r="AM38" s="61" t="s">
        <v>42</v>
      </c>
      <c r="AN38" s="61"/>
      <c r="AO38" s="62">
        <f>SUM(AO36:AO37)</f>
        <v>34</v>
      </c>
      <c r="AP38" s="63"/>
      <c r="AQ38" s="63"/>
      <c r="AR38" s="63"/>
      <c r="AS38" s="54"/>
      <c r="AT38" s="55"/>
      <c r="AU38" s="54"/>
      <c r="AV38" s="54"/>
      <c r="AW38" s="56"/>
      <c r="AX38" s="57"/>
      <c r="AY38" s="57"/>
    </row>
    <row r="39" ht="54.75" customHeight="1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4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50"/>
      <c r="AM39" s="20" t="str">
        <f>IF(AO30=MAX($AO$30:$AO$35),AM30,IF(AO31=MAX($AO$30:$AO$35),AM31,IF(AO32=MAX($AO$30:$AO$35),AM32,IF(AO33=MAX($AO$30:$AO$35),AM33,IF(AO34=MAX($AO$30:$AO$35),AM34,AM33)))))</f>
        <v xml:space="preserve">8:00 à 8:30</v>
      </c>
      <c r="AN39" s="20"/>
      <c r="AO39" s="20">
        <f>IF(AQ30=MAX($AO$30:$AO$35),AO30,IF(AQ31=MAX($AO$30:$AO$35),AO31,IF(AQ32=MAX($AO$30:$AO$35),AO32,IF(AQ33=MAX($AO$30:$AO$35),AO33,IF(AQ34=MAX($AO$30:$AO$35),AO34,AO33)))))</f>
        <v>16</v>
      </c>
      <c r="AP39" s="20">
        <f>IF(AT30=MAX($AO$30:$AO$35),AP30,IF(AT31=MAX($AO$30:$AO$35),AP31,IF(AT32=MAX($AO$30:$AO$35),AP32,IF(AT33=MAX($AO$30:$AO$35),AP33,IF(AT34=MAX($AO$30:$AO$35),AP34,AP33)))))</f>
        <v>7</v>
      </c>
      <c r="AQ39" s="20">
        <f>IF(AU30=MAX($AO$30:$AO$35),AQ30,IF(AU31=MAX($AO$30:$AO$35),AQ31,IF(AU32=MAX($AO$30:$AO$35),AQ32,IF(AU33=MAX($AO$30:$AO$35),AQ33,IF(AU34=MAX($AO$30:$AO$35),AQ34,AQ33)))))</f>
        <v>7</v>
      </c>
      <c r="AR39" s="20">
        <f>IF(AV30=MAX($AO$30:$AO$35),AR30,IF(AV31=MAX($AO$30:$AO$35),AR31,IF(AV32=MAX($AO$30:$AO$35),AR32,IF(AV33=MAX($AO$30:$AO$35),AR33,IF(AV34=MAX($AO$30:$AO$35),AR34,AR33)))))</f>
        <v>2</v>
      </c>
      <c r="AS39" s="65"/>
      <c r="AU39" s="65"/>
      <c r="AV39" s="65"/>
      <c r="AW39" s="65"/>
      <c r="AX39" s="65"/>
      <c r="AY39" s="65"/>
      <c r="AZ39" s="65"/>
    </row>
    <row r="40" ht="20.25" customHeight="1">
      <c r="AL40" s="66"/>
      <c r="AM40" s="14"/>
      <c r="AN40" s="15"/>
      <c r="AO40" s="67" t="s">
        <v>27</v>
      </c>
      <c r="AP40" s="68" t="s">
        <v>43</v>
      </c>
      <c r="AQ40" s="68" t="s">
        <v>44</v>
      </c>
      <c r="AR40" s="68" t="s">
        <v>45</v>
      </c>
    </row>
    <row r="41" ht="21">
      <c r="AL41" s="66"/>
      <c r="AM41" s="14"/>
      <c r="AN41" s="15"/>
      <c r="AO41" s="67"/>
      <c r="AP41" s="68"/>
      <c r="AQ41" s="68"/>
      <c r="AR41" s="68"/>
    </row>
    <row r="42" ht="21">
      <c r="AL42" s="66"/>
      <c r="AM42" s="69"/>
      <c r="AN42" s="15"/>
      <c r="AO42" s="67"/>
      <c r="AP42" s="68"/>
      <c r="AQ42" s="68"/>
      <c r="AR42" s="68"/>
    </row>
    <row r="43" ht="21">
      <c r="AL43" s="66"/>
      <c r="AM43" s="19" t="s">
        <v>20</v>
      </c>
      <c r="AN43" s="19"/>
      <c r="AO43" s="67"/>
      <c r="AP43" s="68"/>
      <c r="AQ43" s="68"/>
      <c r="AR43" s="68"/>
    </row>
    <row r="44" ht="23.5">
      <c r="AL44" s="66"/>
      <c r="AM44" s="19" t="str">
        <f t="shared" ref="AM44:AM47" si="45">AM30</f>
        <v xml:space="preserve">6:30 à 7:00</v>
      </c>
      <c r="AN44" s="19"/>
      <c r="AO44" s="70"/>
      <c r="AP44" s="71">
        <f>IF(AP31=0,0,AP31/AO31)</f>
        <v>0.33333333333333298</v>
      </c>
      <c r="AQ44" s="71">
        <f>IF(AQ31=0,0,AQ31/AO31)</f>
        <v>0.27777777777777801</v>
      </c>
      <c r="AR44" s="71">
        <f>IF(AT31=0,0,AT31/AP31)</f>
        <v>0</v>
      </c>
    </row>
    <row r="45" ht="23.5">
      <c r="AL45" s="66"/>
      <c r="AM45" s="19" t="str">
        <f t="shared" si="45"/>
        <v xml:space="preserve">7:00 à 7:30</v>
      </c>
      <c r="AN45" s="19"/>
      <c r="AO45" s="70"/>
      <c r="AP45" s="71">
        <f t="shared" ref="AP45:AP47" si="46">IF(AP31=0,0,AP31/AO31)</f>
        <v>0.33333333333333298</v>
      </c>
      <c r="AQ45" s="71">
        <f t="shared" ref="AQ45:AQ47" si="47">IF(AQ31=0,0,AQ31/AO31)</f>
        <v>0.27777777777777801</v>
      </c>
      <c r="AR45" s="71">
        <f t="shared" ref="AR45:AR47" si="48">IF(AT31=0,0,AT31/AP31)</f>
        <v>0</v>
      </c>
    </row>
    <row r="46" ht="23.5">
      <c r="AM46" s="19" t="str">
        <f t="shared" si="45"/>
        <v xml:space="preserve">7:30 à 8:00</v>
      </c>
      <c r="AN46" s="19"/>
      <c r="AO46" s="70"/>
      <c r="AP46" s="71">
        <f t="shared" si="46"/>
        <v>0.5625</v>
      </c>
      <c r="AQ46" s="71">
        <f t="shared" si="47"/>
        <v>0.4375</v>
      </c>
      <c r="AR46" s="71">
        <f t="shared" si="48"/>
        <v>0</v>
      </c>
    </row>
    <row r="47" ht="23.5">
      <c r="AM47" s="19" t="str">
        <f t="shared" si="45"/>
        <v xml:space="preserve">8:00 à 8:30</v>
      </c>
      <c r="AN47" s="19"/>
      <c r="AO47" s="70"/>
      <c r="AP47" s="71">
        <f t="shared" si="46"/>
        <v>0.4375</v>
      </c>
      <c r="AQ47" s="71">
        <f t="shared" si="47"/>
        <v>0.4375</v>
      </c>
      <c r="AR47" s="71">
        <f t="shared" si="48"/>
        <v>0</v>
      </c>
    </row>
    <row r="48" ht="22">
      <c r="AM48" s="72" t="s">
        <v>27</v>
      </c>
      <c r="AN48" s="72"/>
      <c r="AO48" s="73"/>
      <c r="AP48" s="71">
        <f>IF(AP35=0,0,AP35/AO35)</f>
        <v>0.421875</v>
      </c>
      <c r="AQ48" s="71">
        <f>IF(AQ35=0,0,AQ35/AO35)</f>
        <v>0.390625</v>
      </c>
      <c r="AR48" s="71">
        <f>IF(AT35=0,0,AT35/AP35)</f>
        <v>0.296296296296296</v>
      </c>
    </row>
    <row r="49" ht="21">
      <c r="AM49" s="19" t="str">
        <f>AM39</f>
        <v xml:space="preserve">8:00 à 8:30</v>
      </c>
      <c r="AN49" s="19"/>
      <c r="AO49" s="38"/>
      <c r="AP49" s="74" t="e">
        <f>AP39/$AC$44</f>
        <v>#DIV/0!</v>
      </c>
      <c r="AQ49" s="74" t="e">
        <f>AQ39/$AC$44</f>
        <v>#DIV/0!</v>
      </c>
      <c r="AR49" s="74" t="e">
        <f>AT39/$AC$44</f>
        <v>#DIV/0!</v>
      </c>
    </row>
  </sheetData>
  <mergeCells count="94">
    <mergeCell ref="C9:N9"/>
    <mergeCell ref="O9:Z9"/>
    <mergeCell ref="AA9:AL9"/>
    <mergeCell ref="C10:F10"/>
    <mergeCell ref="G10:J10"/>
    <mergeCell ref="K10:N10"/>
    <mergeCell ref="O10:R10"/>
    <mergeCell ref="S10:V10"/>
    <mergeCell ref="W10:Z10"/>
    <mergeCell ref="AA10:AD10"/>
    <mergeCell ref="AE10:AH10"/>
    <mergeCell ref="AI10:AL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12:B12"/>
    <mergeCell ref="C26:N26"/>
    <mergeCell ref="O26:Z26"/>
    <mergeCell ref="AA26:AL26"/>
    <mergeCell ref="AO26:AO29"/>
    <mergeCell ref="AP26:AP29"/>
    <mergeCell ref="AQ26:AQ29"/>
    <mergeCell ref="AR26:AR29"/>
    <mergeCell ref="AX26:AX29"/>
    <mergeCell ref="AY26:AY29"/>
    <mergeCell ref="C27:F27"/>
    <mergeCell ref="G27:J27"/>
    <mergeCell ref="K27:N27"/>
    <mergeCell ref="O27:R27"/>
    <mergeCell ref="S27:V27"/>
    <mergeCell ref="W27:Z27"/>
    <mergeCell ref="AA27:AD27"/>
    <mergeCell ref="AE27:AH27"/>
    <mergeCell ref="AI27:AL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29:B29"/>
    <mergeCell ref="AM29:AN29"/>
    <mergeCell ref="A30:B30"/>
    <mergeCell ref="AM30:AN30"/>
    <mergeCell ref="A31:B31"/>
    <mergeCell ref="AM31:AN31"/>
    <mergeCell ref="A32:B32"/>
    <mergeCell ref="AM32:AN32"/>
    <mergeCell ref="A33:B33"/>
    <mergeCell ref="AM33:AN33"/>
    <mergeCell ref="A34:B34"/>
    <mergeCell ref="AM34:AN34"/>
    <mergeCell ref="A35:B35"/>
    <mergeCell ref="AM35:AN35"/>
    <mergeCell ref="AM38:AN38"/>
    <mergeCell ref="AM39:AN39"/>
    <mergeCell ref="AO40:AO43"/>
    <mergeCell ref="AP40:AP43"/>
    <mergeCell ref="AQ40:AQ43"/>
    <mergeCell ref="AR40:AR43"/>
    <mergeCell ref="AM43:AN43"/>
    <mergeCell ref="AM44:AN44"/>
    <mergeCell ref="AM45:AN45"/>
    <mergeCell ref="AM46:AN46"/>
    <mergeCell ref="AM47:AN47"/>
    <mergeCell ref="AM48:AN48"/>
    <mergeCell ref="AM49:AN49"/>
  </mergeCells>
  <printOptions headings="0" gridLines="0" horizontalCentered="0" verticalCentered="0"/>
  <pageMargins left="0.39375000000000004" right="0.39375000000000004" top="1.1812499999999999" bottom="1.1812499999999999" header="0.51180555555555496" footer="0.51180555555555496"/>
  <pageSetup paperSize="9" scale="46" firstPageNumber="1" fitToWidth="1" fitToHeight="1" pageOrder="overThenDown" orientation="landscape" usePrinterDefaults="1" blackAndWhite="0" draft="0" cellComments="none" useFirstPageNumber="1" errors="displayed" horizontalDpi="300" verticalDpi="300" copies="1"/>
  <headerFooter/>
  <colBreaks count="1" manualBreakCount="1">
    <brk id="38" man="1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pageBreakPreview" topLeftCell="B29" zoomScale="65" workbookViewId="0">
      <selection activeCell="AC49" activeCellId="0" sqref="AC49"/>
    </sheetView>
  </sheetViews>
  <sheetFormatPr defaultColWidth="11.23828125" defaultRowHeight="14"/>
  <cols>
    <col customWidth="1" min="1" max="2" style="1" width="14.75"/>
    <col customWidth="1" min="3" max="33" style="1" width="9.5800000000000001"/>
    <col customWidth="1" min="34" max="34" style="1" width="20.25"/>
    <col customWidth="1" min="35" max="38" style="1" width="14.58"/>
    <col customWidth="1" min="39" max="42" style="1" width="9.5800000000000001"/>
    <col customWidth="1" min="43" max="74" style="1" width="4.8099999999999996"/>
    <col customWidth="0" min="75" max="77" style="1" width="11.25"/>
    <col customWidth="1" min="78" max="81" style="1" width="17.079999999999998"/>
    <col customWidth="0" min="82" max="1024" style="1" width="11.25"/>
  </cols>
  <sheetData>
    <row r="1" ht="52.5" customHeight="1">
      <c r="A1" s="3"/>
      <c r="B1" s="4" t="s">
        <v>46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5"/>
      <c r="Q1" s="5"/>
      <c r="R1" s="5"/>
      <c r="S1" s="5"/>
      <c r="T1" s="5"/>
      <c r="U1" s="5"/>
      <c r="V1" s="5"/>
      <c r="W1" s="5"/>
      <c r="X1" s="5"/>
      <c r="Y1" s="6"/>
      <c r="Z1" s="5"/>
      <c r="AA1" s="5"/>
      <c r="AB1" s="5"/>
      <c r="AC1" s="5"/>
      <c r="AD1" s="5"/>
      <c r="AE1" s="2"/>
      <c r="AF1" s="2"/>
      <c r="AG1" s="5"/>
      <c r="AH1" s="2"/>
      <c r="AI1" s="5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52.5" customHeight="1">
      <c r="A2" s="3" t="s">
        <v>3</v>
      </c>
      <c r="B2" s="5"/>
      <c r="C2" s="5"/>
      <c r="D2" s="5"/>
      <c r="E2" s="5"/>
      <c r="F2" s="2"/>
      <c r="G2" s="5"/>
      <c r="H2" s="5" t="s">
        <v>47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2"/>
      <c r="AF2" s="5"/>
      <c r="AG2" s="5"/>
      <c r="AH2" s="2"/>
      <c r="AI2" s="5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52.5" customHeight="1">
      <c r="A3" s="3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9"/>
      <c r="Z3" s="5"/>
      <c r="AA3" s="5"/>
      <c r="AB3" s="5"/>
      <c r="AC3" s="5"/>
      <c r="AD3" s="5"/>
      <c r="AE3" s="5"/>
      <c r="AF3" s="5"/>
      <c r="AG3" s="5"/>
      <c r="AH3" s="2"/>
      <c r="AI3" s="5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25.5" customHeight="1"/>
    <row r="5" s="2" customFormat="1" ht="35.149999999999999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="2" customFormat="1" ht="35.149999999999999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="2" customFormat="1" ht="35.149999999999999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="2" customFormat="1" ht="16.899999999999999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="2" customFormat="1" ht="60.25" customHeight="1">
      <c r="A9" s="3"/>
      <c r="B9" s="5"/>
      <c r="C9" s="75" t="s">
        <v>48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49</v>
      </c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7" t="s">
        <v>50</v>
      </c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</row>
    <row r="10" ht="56.649999999999999" customHeight="1">
      <c r="A10" s="3"/>
      <c r="B10" s="5"/>
      <c r="C10" s="17" t="s">
        <v>51</v>
      </c>
      <c r="D10" s="17"/>
      <c r="E10" s="17"/>
      <c r="F10" s="17"/>
      <c r="G10" s="17" t="s">
        <v>52</v>
      </c>
      <c r="H10" s="17"/>
      <c r="I10" s="17"/>
      <c r="J10" s="17"/>
      <c r="K10" s="17" t="s">
        <v>53</v>
      </c>
      <c r="L10" s="17"/>
      <c r="M10" s="17"/>
      <c r="N10" s="17"/>
      <c r="O10" s="17" t="s">
        <v>54</v>
      </c>
      <c r="P10" s="17"/>
      <c r="Q10" s="17"/>
      <c r="R10" s="17"/>
      <c r="S10" s="17" t="s">
        <v>52</v>
      </c>
      <c r="T10" s="17"/>
      <c r="U10" s="17"/>
      <c r="V10" s="17"/>
      <c r="W10" s="17" t="s">
        <v>53</v>
      </c>
      <c r="X10" s="17"/>
      <c r="Y10" s="17"/>
      <c r="Z10" s="17"/>
      <c r="AA10" s="17" t="s">
        <v>55</v>
      </c>
      <c r="AB10" s="17"/>
      <c r="AC10" s="17"/>
      <c r="AD10" s="17"/>
      <c r="AE10" s="17" t="s">
        <v>55</v>
      </c>
      <c r="AF10" s="17"/>
      <c r="AG10" s="17"/>
      <c r="AH10" s="17"/>
      <c r="AI10" s="17"/>
      <c r="AJ10" s="17" t="s">
        <v>52</v>
      </c>
      <c r="AK10" s="17"/>
      <c r="AL10" s="17"/>
      <c r="AM10" s="17" t="s">
        <v>56</v>
      </c>
      <c r="AN10" s="17"/>
      <c r="AO10" s="17"/>
      <c r="AP10" s="17"/>
    </row>
    <row r="11" ht="18.649999999999999" customHeight="1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8" t="s">
        <v>18</v>
      </c>
      <c r="AB11" s="18"/>
      <c r="AC11" s="18" t="s">
        <v>19</v>
      </c>
      <c r="AD11" s="18"/>
      <c r="AE11" s="78" t="s">
        <v>18</v>
      </c>
      <c r="AF11" s="79"/>
      <c r="AG11" s="78" t="s">
        <v>19</v>
      </c>
      <c r="AH11" s="78" t="s">
        <v>19</v>
      </c>
      <c r="AI11" s="79"/>
      <c r="AJ11" s="78" t="s">
        <v>18</v>
      </c>
      <c r="AK11" s="79"/>
      <c r="AL11" s="79"/>
      <c r="AM11" s="78" t="s">
        <v>18</v>
      </c>
      <c r="AN11" s="79"/>
      <c r="AO11" s="78" t="s">
        <v>19</v>
      </c>
      <c r="AP11" s="79"/>
    </row>
    <row r="12" ht="21">
      <c r="A12" s="38" t="s">
        <v>20</v>
      </c>
      <c r="B12" s="38"/>
      <c r="C12" s="80" t="s">
        <v>21</v>
      </c>
      <c r="D12" s="80" t="s">
        <v>22</v>
      </c>
      <c r="E12" s="80" t="s">
        <v>21</v>
      </c>
      <c r="F12" s="80" t="s">
        <v>22</v>
      </c>
      <c r="G12" s="80" t="s">
        <v>21</v>
      </c>
      <c r="H12" s="80" t="s">
        <v>22</v>
      </c>
      <c r="I12" s="80" t="s">
        <v>21</v>
      </c>
      <c r="J12" s="80" t="s">
        <v>22</v>
      </c>
      <c r="K12" s="80" t="s">
        <v>21</v>
      </c>
      <c r="L12" s="80" t="s">
        <v>22</v>
      </c>
      <c r="M12" s="80" t="s">
        <v>21</v>
      </c>
      <c r="N12" s="80" t="s">
        <v>22</v>
      </c>
      <c r="O12" s="80" t="s">
        <v>21</v>
      </c>
      <c r="P12" s="80" t="s">
        <v>22</v>
      </c>
      <c r="Q12" s="80" t="s">
        <v>21</v>
      </c>
      <c r="R12" s="80" t="s">
        <v>22</v>
      </c>
      <c r="S12" s="80" t="s">
        <v>21</v>
      </c>
      <c r="T12" s="80" t="s">
        <v>22</v>
      </c>
      <c r="U12" s="80" t="s">
        <v>21</v>
      </c>
      <c r="V12" s="80" t="s">
        <v>22</v>
      </c>
      <c r="W12" s="80" t="s">
        <v>21</v>
      </c>
      <c r="X12" s="80" t="s">
        <v>22</v>
      </c>
      <c r="Y12" s="80" t="s">
        <v>21</v>
      </c>
      <c r="Z12" s="80" t="s">
        <v>22</v>
      </c>
      <c r="AA12" s="80" t="s">
        <v>21</v>
      </c>
      <c r="AB12" s="80" t="s">
        <v>22</v>
      </c>
      <c r="AC12" s="80" t="s">
        <v>21</v>
      </c>
      <c r="AD12" s="80" t="s">
        <v>22</v>
      </c>
      <c r="AE12" s="80" t="s">
        <v>21</v>
      </c>
      <c r="AF12" s="80" t="s">
        <v>22</v>
      </c>
      <c r="AG12" s="80" t="s">
        <v>21</v>
      </c>
      <c r="AH12" s="80" t="s">
        <v>21</v>
      </c>
      <c r="AI12" s="80" t="s">
        <v>22</v>
      </c>
      <c r="AJ12" s="80" t="s">
        <v>21</v>
      </c>
      <c r="AK12" s="80" t="s">
        <v>22</v>
      </c>
      <c r="AL12" s="80" t="s">
        <v>22</v>
      </c>
      <c r="AM12" s="80" t="s">
        <v>21</v>
      </c>
      <c r="AN12" s="80" t="s">
        <v>22</v>
      </c>
      <c r="AO12" s="80" t="s">
        <v>21</v>
      </c>
      <c r="AP12" s="80" t="s">
        <v>22</v>
      </c>
    </row>
    <row r="13" ht="70" customHeight="1">
      <c r="A13" s="81">
        <v>0.27083333333333298</v>
      </c>
      <c r="B13" s="81">
        <v>0.29166666666666702</v>
      </c>
      <c r="C13" s="22"/>
      <c r="D13" s="22"/>
      <c r="E13" s="22"/>
      <c r="F13" s="22"/>
      <c r="G13" s="22">
        <v>1</v>
      </c>
      <c r="H13" s="22">
        <v>1</v>
      </c>
      <c r="I13" s="22"/>
      <c r="J13" s="22"/>
      <c r="K13" s="22"/>
      <c r="L13" s="22"/>
      <c r="M13" s="22"/>
      <c r="N13" s="22"/>
      <c r="O13" s="22">
        <v>1</v>
      </c>
      <c r="P13" s="22">
        <v>1</v>
      </c>
      <c r="Q13" s="22"/>
      <c r="R13" s="82">
        <v>1</v>
      </c>
      <c r="S13" s="83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82"/>
      <c r="AE13" s="83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</row>
    <row r="14" ht="70" customHeight="1">
      <c r="A14" s="81">
        <v>0.29166666666666702</v>
      </c>
      <c r="B14" s="81">
        <v>0.3125</v>
      </c>
      <c r="C14" s="22"/>
      <c r="D14" s="22"/>
      <c r="E14" s="22"/>
      <c r="F14" s="22"/>
      <c r="G14" s="22"/>
      <c r="H14" s="22">
        <v>1</v>
      </c>
      <c r="I14" s="22"/>
      <c r="J14" s="22"/>
      <c r="K14" s="22"/>
      <c r="L14" s="22"/>
      <c r="M14" s="22">
        <v>1</v>
      </c>
      <c r="N14" s="22"/>
      <c r="O14" s="22"/>
      <c r="P14" s="22">
        <v>1</v>
      </c>
      <c r="Q14" s="22"/>
      <c r="R14" s="82"/>
      <c r="S14" s="83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82"/>
      <c r="AE14" s="83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</row>
    <row r="15" ht="70" customHeight="1">
      <c r="A15" s="81">
        <v>0.3125</v>
      </c>
      <c r="B15" s="81">
        <v>0.33333333333333298</v>
      </c>
      <c r="C15" s="22"/>
      <c r="D15" s="22"/>
      <c r="E15" s="22"/>
      <c r="F15" s="22"/>
      <c r="G15" s="22">
        <v>2</v>
      </c>
      <c r="H15" s="22">
        <v>1</v>
      </c>
      <c r="I15" s="22"/>
      <c r="J15" s="22"/>
      <c r="K15" s="22">
        <v>1</v>
      </c>
      <c r="L15" s="22"/>
      <c r="M15" s="22"/>
      <c r="N15" s="22"/>
      <c r="O15" s="22"/>
      <c r="P15" s="22"/>
      <c r="Q15" s="22"/>
      <c r="R15" s="82"/>
      <c r="S15" s="83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82"/>
      <c r="AE15" s="83"/>
      <c r="AF15" s="22"/>
      <c r="AG15" s="22"/>
      <c r="AH15" s="22"/>
      <c r="AI15" s="22"/>
      <c r="AJ15" s="22"/>
      <c r="AK15" s="22"/>
      <c r="AL15" s="22"/>
      <c r="AM15" s="22">
        <v>1</v>
      </c>
      <c r="AN15" s="22"/>
      <c r="AO15" s="22"/>
      <c r="AP15" s="22"/>
    </row>
    <row r="16" ht="70" customHeight="1">
      <c r="A16" s="81">
        <v>0.33333333333333298</v>
      </c>
      <c r="B16" s="81">
        <v>0.35416666666666702</v>
      </c>
      <c r="C16" s="22"/>
      <c r="D16" s="22"/>
      <c r="E16" s="22"/>
      <c r="F16" s="22"/>
      <c r="G16" s="22">
        <v>2</v>
      </c>
      <c r="H16" s="22"/>
      <c r="I16" s="22"/>
      <c r="J16" s="22"/>
      <c r="K16" s="22"/>
      <c r="L16" s="22"/>
      <c r="M16" s="22"/>
      <c r="N16" s="22">
        <v>2</v>
      </c>
      <c r="O16" s="22"/>
      <c r="P16" s="22"/>
      <c r="Q16" s="22"/>
      <c r="R16" s="82"/>
      <c r="S16" s="83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82"/>
      <c r="AE16" s="83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</row>
    <row r="17" ht="70" customHeight="1">
      <c r="A17" s="81">
        <v>0.35416666666666702</v>
      </c>
      <c r="B17" s="81">
        <v>0.375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82"/>
      <c r="S17" s="83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82"/>
      <c r="AE17" s="83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</row>
    <row r="18" ht="55" hidden="1" customHeight="1">
      <c r="A18" s="19">
        <v>9</v>
      </c>
      <c r="B18" s="19" t="s">
        <v>57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</row>
    <row r="19" ht="55" hidden="1" customHeight="1">
      <c r="A19" s="19"/>
      <c r="B19" s="19" t="s">
        <v>58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</row>
    <row r="20" ht="12.75" customHeight="1"/>
    <row r="21" s="2" customFormat="1" ht="60.25" customHeight="1">
      <c r="A21" s="3"/>
      <c r="B21" s="5"/>
      <c r="C21" s="86" t="s">
        <v>59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7" t="s">
        <v>60</v>
      </c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</row>
    <row r="22" ht="56.649999999999999" customHeight="1">
      <c r="A22" s="3"/>
      <c r="B22" s="5"/>
      <c r="C22" s="17" t="s">
        <v>53</v>
      </c>
      <c r="D22" s="17"/>
      <c r="E22" s="17"/>
      <c r="F22" s="17"/>
      <c r="G22" s="17" t="s">
        <v>55</v>
      </c>
      <c r="H22" s="17"/>
      <c r="I22" s="17"/>
      <c r="J22" s="17"/>
      <c r="K22" s="17" t="s">
        <v>51</v>
      </c>
      <c r="L22" s="17"/>
      <c r="M22" s="17"/>
      <c r="N22" s="17"/>
      <c r="O22" s="17" t="s">
        <v>52</v>
      </c>
      <c r="P22" s="17"/>
      <c r="Q22" s="17"/>
      <c r="R22" s="17"/>
      <c r="S22" s="17" t="s">
        <v>51</v>
      </c>
      <c r="T22" s="17"/>
      <c r="U22" s="17"/>
      <c r="V22" s="17"/>
      <c r="W22" s="17" t="s">
        <v>55</v>
      </c>
      <c r="X22" s="17"/>
      <c r="Y22" s="17"/>
      <c r="Z22" s="17"/>
      <c r="AA22" s="17" t="s">
        <v>53</v>
      </c>
      <c r="AB22" s="17"/>
      <c r="AC22" s="17"/>
      <c r="AD22" s="17"/>
    </row>
    <row r="23" ht="18.649999999999999" customHeight="1">
      <c r="A23" s="3"/>
      <c r="B23" s="5"/>
      <c r="C23" s="18" t="s">
        <v>18</v>
      </c>
      <c r="D23" s="18"/>
      <c r="E23" s="18" t="s">
        <v>19</v>
      </c>
      <c r="F23" s="18"/>
      <c r="G23" s="18" t="s">
        <v>18</v>
      </c>
      <c r="H23" s="18"/>
      <c r="I23" s="18" t="s">
        <v>19</v>
      </c>
      <c r="J23" s="18"/>
      <c r="K23" s="18" t="s">
        <v>18</v>
      </c>
      <c r="L23" s="18"/>
      <c r="M23" s="18" t="s">
        <v>19</v>
      </c>
      <c r="N23" s="18"/>
      <c r="O23" s="18" t="s">
        <v>18</v>
      </c>
      <c r="P23" s="18"/>
      <c r="Q23" s="18" t="s">
        <v>19</v>
      </c>
      <c r="R23" s="18"/>
      <c r="S23" s="18" t="s">
        <v>18</v>
      </c>
      <c r="T23" s="18"/>
      <c r="U23" s="18" t="s">
        <v>19</v>
      </c>
      <c r="V23" s="18"/>
      <c r="W23" s="18" t="s">
        <v>18</v>
      </c>
      <c r="X23" s="18"/>
      <c r="Y23" s="18" t="s">
        <v>19</v>
      </c>
      <c r="Z23" s="18"/>
      <c r="AA23" s="18" t="s">
        <v>18</v>
      </c>
      <c r="AB23" s="18"/>
      <c r="AC23" s="18" t="s">
        <v>19</v>
      </c>
      <c r="AD23" s="18"/>
    </row>
    <row r="24" ht="21">
      <c r="A24" s="38" t="s">
        <v>20</v>
      </c>
      <c r="B24" s="38"/>
      <c r="C24" s="80" t="s">
        <v>21</v>
      </c>
      <c r="D24" s="80" t="s">
        <v>22</v>
      </c>
      <c r="E24" s="80" t="s">
        <v>21</v>
      </c>
      <c r="F24" s="80" t="s">
        <v>22</v>
      </c>
      <c r="G24" s="80" t="s">
        <v>21</v>
      </c>
      <c r="H24" s="80" t="s">
        <v>22</v>
      </c>
      <c r="I24" s="80" t="s">
        <v>21</v>
      </c>
      <c r="J24" s="80" t="s">
        <v>22</v>
      </c>
      <c r="K24" s="80" t="s">
        <v>21</v>
      </c>
      <c r="L24" s="80" t="s">
        <v>22</v>
      </c>
      <c r="M24" s="80" t="s">
        <v>21</v>
      </c>
      <c r="N24" s="80" t="s">
        <v>22</v>
      </c>
      <c r="O24" s="80" t="s">
        <v>21</v>
      </c>
      <c r="P24" s="80" t="s">
        <v>22</v>
      </c>
      <c r="Q24" s="80" t="s">
        <v>21</v>
      </c>
      <c r="R24" s="80" t="s">
        <v>22</v>
      </c>
      <c r="S24" s="80" t="s">
        <v>21</v>
      </c>
      <c r="T24" s="80" t="s">
        <v>22</v>
      </c>
      <c r="U24" s="80" t="s">
        <v>21</v>
      </c>
      <c r="V24" s="80" t="s">
        <v>22</v>
      </c>
      <c r="W24" s="80" t="s">
        <v>21</v>
      </c>
      <c r="X24" s="80" t="s">
        <v>22</v>
      </c>
      <c r="Y24" s="80" t="s">
        <v>21</v>
      </c>
      <c r="Z24" s="80" t="s">
        <v>22</v>
      </c>
      <c r="AA24" s="80" t="s">
        <v>21</v>
      </c>
      <c r="AB24" s="80" t="s">
        <v>22</v>
      </c>
      <c r="AC24" s="80" t="s">
        <v>21</v>
      </c>
      <c r="AD24" s="80" t="s">
        <v>22</v>
      </c>
    </row>
    <row r="25" ht="70" customHeight="1">
      <c r="A25" s="81">
        <v>0.27083333333333298</v>
      </c>
      <c r="B25" s="81">
        <v>0.29166666666666702</v>
      </c>
      <c r="C25" s="22"/>
      <c r="D25" s="22"/>
      <c r="E25" s="22">
        <v>1</v>
      </c>
      <c r="F25" s="22"/>
      <c r="G25" s="22"/>
      <c r="H25" s="22">
        <v>1</v>
      </c>
      <c r="I25" s="22"/>
      <c r="J25" s="22">
        <v>1</v>
      </c>
      <c r="K25" s="22"/>
      <c r="L25" s="22"/>
      <c r="M25" s="22"/>
      <c r="N25" s="82"/>
      <c r="O25" s="83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>
        <v>1</v>
      </c>
      <c r="AC25" s="22"/>
      <c r="AD25" s="22"/>
    </row>
    <row r="26" ht="70" customHeight="1">
      <c r="A26" s="81">
        <v>0.29166666666666702</v>
      </c>
      <c r="B26" s="81">
        <v>0.3125</v>
      </c>
      <c r="C26" s="22">
        <v>1</v>
      </c>
      <c r="D26" s="22"/>
      <c r="E26" s="22"/>
      <c r="F26" s="22"/>
      <c r="G26" s="22"/>
      <c r="H26" s="22">
        <v>1</v>
      </c>
      <c r="I26" s="22">
        <v>2</v>
      </c>
      <c r="J26" s="22"/>
      <c r="K26" s="22"/>
      <c r="L26" s="22"/>
      <c r="M26" s="22"/>
      <c r="N26" s="82"/>
      <c r="O26" s="83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ht="70" customHeight="1">
      <c r="A27" s="81">
        <v>0.3125</v>
      </c>
      <c r="B27" s="81">
        <v>0.33333333333333298</v>
      </c>
      <c r="C27" s="22"/>
      <c r="D27" s="22"/>
      <c r="E27" s="22">
        <v>1</v>
      </c>
      <c r="F27" s="22"/>
      <c r="G27" s="22"/>
      <c r="H27" s="22">
        <v>4</v>
      </c>
      <c r="I27" s="22">
        <v>1</v>
      </c>
      <c r="J27" s="22"/>
      <c r="K27" s="22"/>
      <c r="L27" s="22"/>
      <c r="M27" s="22"/>
      <c r="N27" s="82"/>
      <c r="O27" s="83"/>
      <c r="P27" s="22"/>
      <c r="Q27" s="22"/>
      <c r="R27" s="22"/>
      <c r="S27" s="22"/>
      <c r="T27" s="22"/>
      <c r="U27" s="22"/>
      <c r="V27" s="22"/>
      <c r="W27" s="22">
        <v>1</v>
      </c>
      <c r="X27" s="22">
        <v>1</v>
      </c>
      <c r="Y27" s="22"/>
      <c r="Z27" s="22"/>
      <c r="AA27" s="22"/>
      <c r="AB27" s="22">
        <v>1</v>
      </c>
      <c r="AC27" s="22"/>
      <c r="AD27" s="22"/>
    </row>
    <row r="28" ht="70" customHeight="1">
      <c r="A28" s="81">
        <v>0.33333333333333298</v>
      </c>
      <c r="B28" s="81">
        <v>0.35416666666666702</v>
      </c>
      <c r="C28" s="22"/>
      <c r="D28" s="22"/>
      <c r="E28" s="22">
        <v>1</v>
      </c>
      <c r="F28" s="22">
        <v>1</v>
      </c>
      <c r="G28" s="22">
        <v>1</v>
      </c>
      <c r="H28" s="22">
        <v>2</v>
      </c>
      <c r="I28" s="22"/>
      <c r="J28" s="22"/>
      <c r="K28" s="22"/>
      <c r="L28" s="22"/>
      <c r="M28" s="22"/>
      <c r="N28" s="82"/>
      <c r="O28" s="83">
        <v>4</v>
      </c>
      <c r="P28" s="22"/>
      <c r="Q28" s="22"/>
      <c r="R28" s="22"/>
      <c r="S28" s="22"/>
      <c r="T28" s="22"/>
      <c r="U28" s="22"/>
      <c r="V28" s="22"/>
      <c r="W28" s="22"/>
      <c r="X28" s="22">
        <v>1</v>
      </c>
      <c r="Y28" s="22">
        <v>1</v>
      </c>
      <c r="Z28" s="22"/>
      <c r="AA28" s="22">
        <v>1</v>
      </c>
      <c r="AB28" s="22"/>
      <c r="AC28" s="22"/>
      <c r="AD28" s="22"/>
    </row>
    <row r="29" ht="70" customHeight="1">
      <c r="A29" s="81">
        <v>0.35416666666666702</v>
      </c>
      <c r="B29" s="81">
        <v>0.375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82"/>
      <c r="O29" s="83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P29" s="1" t="s">
        <v>61</v>
      </c>
    </row>
    <row r="30" ht="55" hidden="1" customHeight="1">
      <c r="A30" s="19">
        <v>9</v>
      </c>
      <c r="B30" s="19" t="s">
        <v>57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</row>
    <row r="31" ht="55" hidden="1" customHeight="1">
      <c r="A31" s="19"/>
      <c r="B31" s="19" t="s">
        <v>58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</row>
    <row r="32" ht="12.75" customHeight="1"/>
    <row r="33" s="23" customFormat="1" ht="39.75" customHeight="1">
      <c r="A33" s="24">
        <v>9</v>
      </c>
      <c r="B33" s="25" t="s">
        <v>23</v>
      </c>
      <c r="C33" s="26"/>
      <c r="D33" s="26">
        <v>9</v>
      </c>
      <c r="E33" s="26"/>
      <c r="F33" s="26"/>
      <c r="G33" s="26"/>
      <c r="H33" s="26"/>
      <c r="I33" s="24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="23" customFormat="1" ht="39.75" customHeight="1">
      <c r="A34" s="24">
        <v>3</v>
      </c>
      <c r="B34" s="25" t="s">
        <v>24</v>
      </c>
      <c r="C34" s="26"/>
      <c r="D34" s="26"/>
      <c r="E34" s="26"/>
      <c r="F34" s="26">
        <v>3</v>
      </c>
      <c r="G34" s="26"/>
      <c r="H34" s="26"/>
      <c r="I34" s="24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="23" customFormat="1" ht="39.75" customHeight="1">
      <c r="A35" s="24">
        <v>4</v>
      </c>
      <c r="B35" s="25" t="s">
        <v>25</v>
      </c>
      <c r="C35" s="26"/>
      <c r="D35" s="26"/>
      <c r="E35" s="26"/>
      <c r="F35" s="26">
        <v>4</v>
      </c>
      <c r="G35" s="26"/>
      <c r="H35" s="26"/>
      <c r="I35" s="24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="23" customFormat="1" ht="39.75" customHeight="1">
      <c r="A36" s="24">
        <v>18</v>
      </c>
      <c r="B36" s="25" t="s">
        <v>26</v>
      </c>
      <c r="C36" s="26"/>
      <c r="D36" s="26"/>
      <c r="E36" s="26"/>
      <c r="F36" s="26"/>
      <c r="G36" s="26"/>
      <c r="H36" s="26"/>
      <c r="I36" s="24"/>
      <c r="J36" s="26"/>
      <c r="K36" s="26"/>
      <c r="L36" s="26">
        <v>18</v>
      </c>
      <c r="M36" s="26"/>
      <c r="N36" s="24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66"/>
      <c r="AJ36" s="66"/>
      <c r="AK36" s="66"/>
      <c r="AL36" s="26"/>
      <c r="AM36" s="26"/>
      <c r="AN36" s="26"/>
      <c r="AO36" s="26"/>
      <c r="AP36" s="26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="2" customFormat="1" ht="25.5" customHeight="1">
      <c r="A37" s="8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89"/>
      <c r="AB37" s="90"/>
      <c r="AC37" s="67" t="s">
        <v>27</v>
      </c>
      <c r="AD37" s="39" t="s">
        <v>28</v>
      </c>
      <c r="AE37" s="39" t="s">
        <v>29</v>
      </c>
      <c r="AF37" s="39" t="s">
        <v>30</v>
      </c>
      <c r="AG37" s="3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</row>
    <row r="38" ht="18.649999999999999" customHeight="1">
      <c r="A38" s="88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14"/>
      <c r="AB38" s="15"/>
      <c r="AC38" s="67"/>
      <c r="AD38" s="39"/>
      <c r="AE38" s="39"/>
      <c r="AF38" s="39"/>
      <c r="AG38" s="3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</row>
    <row r="39" ht="20.25" customHeight="1">
      <c r="A39" s="14"/>
      <c r="B39" s="15"/>
      <c r="C39" s="18" t="s">
        <v>18</v>
      </c>
      <c r="D39" s="18"/>
      <c r="E39" s="18" t="s">
        <v>19</v>
      </c>
      <c r="F39" s="18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9"/>
      <c r="AB39" s="15"/>
      <c r="AC39" s="67"/>
      <c r="AD39" s="39"/>
      <c r="AE39" s="39"/>
      <c r="AF39" s="39"/>
      <c r="AG39" s="3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</row>
    <row r="40" ht="55" customHeight="1">
      <c r="A40" s="19" t="s">
        <v>20</v>
      </c>
      <c r="B40" s="19"/>
      <c r="C40" s="20" t="s">
        <v>21</v>
      </c>
      <c r="D40" s="20" t="s">
        <v>22</v>
      </c>
      <c r="E40" s="20" t="s">
        <v>21</v>
      </c>
      <c r="F40" s="20" t="s">
        <v>22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19" t="s">
        <v>20</v>
      </c>
      <c r="AB40" s="19"/>
      <c r="AC40" s="67"/>
      <c r="AD40" s="39"/>
      <c r="AE40" s="39"/>
      <c r="AF40" s="39"/>
      <c r="AG40" s="36"/>
      <c r="AH40" s="39" t="s">
        <v>32</v>
      </c>
      <c r="AI40" s="39" t="s">
        <v>33</v>
      </c>
      <c r="AJ40" s="39" t="s">
        <v>34</v>
      </c>
      <c r="AK40" s="39" t="s">
        <v>35</v>
      </c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</row>
    <row r="41" ht="55" customHeight="1">
      <c r="A41" s="19" t="s">
        <v>36</v>
      </c>
      <c r="B41" s="19"/>
      <c r="C41" s="22">
        <f t="shared" ref="C41:C45" si="49">C13+G13+K13+O13+S13+W13+AA13+AE13+AJ13+AM13+C25+G25+K25+O25+S25+W25+AA25</f>
        <v>2</v>
      </c>
      <c r="D41" s="22">
        <f t="shared" ref="D41:D45" si="50">D13+H13+L13+P13+T13+X13+AB13+AF13+AK13+AN13+D25+H25+L25+P25+T25+X25+AB25</f>
        <v>4</v>
      </c>
      <c r="E41" s="22">
        <f t="shared" ref="E41:E45" si="51">E13+I13+M13+Q13+U13+Y13+AC13+AG13+AH13+AO13+E25+I25+M25+Q25+U25+Y25+AC25</f>
        <v>1</v>
      </c>
      <c r="F41" s="22">
        <f t="shared" ref="F41:F45" si="52">F13+J13+N13+R13+V13+Z13+AD13+AI13+AL13+AP13+F25+J25+N25+R25+V25+Z25+AD25</f>
        <v>2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19" t="s">
        <v>36</v>
      </c>
      <c r="AB41" s="19"/>
      <c r="AC41" s="91">
        <f t="shared" ref="AC41:AC45" si="53">SUM(C41:F41)</f>
        <v>9</v>
      </c>
      <c r="AD41" s="41">
        <f t="shared" ref="AD41:AD45" si="54">C41+E41</f>
        <v>3</v>
      </c>
      <c r="AE41" s="41">
        <f t="shared" ref="AE41:AE45" si="55">E41+F41</f>
        <v>3</v>
      </c>
      <c r="AF41" s="41">
        <f t="shared" ref="AF41:AF45" si="56">E41</f>
        <v>1</v>
      </c>
      <c r="AG41" s="41"/>
      <c r="AH41" s="66"/>
      <c r="AI41" s="92"/>
      <c r="AJ41" s="93"/>
      <c r="AK41" s="93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</row>
    <row r="42" ht="55" customHeight="1">
      <c r="A42" s="19" t="s">
        <v>37</v>
      </c>
      <c r="B42" s="19"/>
      <c r="C42" s="22">
        <f t="shared" si="49"/>
        <v>1</v>
      </c>
      <c r="D42" s="22">
        <f t="shared" si="50"/>
        <v>3</v>
      </c>
      <c r="E42" s="22">
        <f t="shared" si="51"/>
        <v>3</v>
      </c>
      <c r="F42" s="22">
        <f t="shared" si="52"/>
        <v>0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19" t="s">
        <v>37</v>
      </c>
      <c r="AB42" s="19"/>
      <c r="AC42" s="91">
        <f t="shared" si="53"/>
        <v>7</v>
      </c>
      <c r="AD42" s="41">
        <f t="shared" si="54"/>
        <v>4</v>
      </c>
      <c r="AE42" s="41">
        <f t="shared" si="55"/>
        <v>3</v>
      </c>
      <c r="AF42" s="41">
        <f t="shared" si="56"/>
        <v>3</v>
      </c>
      <c r="AG42" s="41"/>
      <c r="AH42" s="66"/>
      <c r="AI42" s="92"/>
      <c r="AJ42" s="93"/>
      <c r="AK42" s="93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</row>
    <row r="43" ht="55" customHeight="1">
      <c r="A43" s="19" t="s">
        <v>38</v>
      </c>
      <c r="B43" s="19"/>
      <c r="C43" s="22">
        <f t="shared" si="49"/>
        <v>5</v>
      </c>
      <c r="D43" s="22">
        <f t="shared" si="50"/>
        <v>7</v>
      </c>
      <c r="E43" s="22">
        <f t="shared" si="51"/>
        <v>2</v>
      </c>
      <c r="F43" s="22">
        <f t="shared" si="52"/>
        <v>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19" t="s">
        <v>38</v>
      </c>
      <c r="AB43" s="19"/>
      <c r="AC43" s="91">
        <f t="shared" si="53"/>
        <v>14</v>
      </c>
      <c r="AD43" s="41">
        <f t="shared" si="54"/>
        <v>7</v>
      </c>
      <c r="AE43" s="41">
        <f t="shared" si="55"/>
        <v>2</v>
      </c>
      <c r="AF43" s="41">
        <f t="shared" si="56"/>
        <v>2</v>
      </c>
      <c r="AG43" s="41"/>
      <c r="AH43" s="66"/>
      <c r="AI43" s="92"/>
      <c r="AJ43" s="93"/>
      <c r="AK43" s="93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</row>
    <row r="44" ht="55" customHeight="1">
      <c r="A44" s="19" t="s">
        <v>39</v>
      </c>
      <c r="B44" s="19"/>
      <c r="C44" s="22">
        <f t="shared" si="49"/>
        <v>8</v>
      </c>
      <c r="D44" s="22">
        <f t="shared" si="50"/>
        <v>3</v>
      </c>
      <c r="E44" s="22">
        <f t="shared" si="51"/>
        <v>2</v>
      </c>
      <c r="F44" s="22">
        <f t="shared" si="52"/>
        <v>3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19" t="s">
        <v>39</v>
      </c>
      <c r="AB44" s="19"/>
      <c r="AC44" s="91">
        <f t="shared" si="53"/>
        <v>16</v>
      </c>
      <c r="AD44" s="41">
        <f t="shared" si="54"/>
        <v>10</v>
      </c>
      <c r="AE44" s="41">
        <f t="shared" si="55"/>
        <v>5</v>
      </c>
      <c r="AF44" s="41">
        <f t="shared" si="56"/>
        <v>2</v>
      </c>
      <c r="AG44" s="41"/>
      <c r="AH44" s="66"/>
      <c r="AI44" s="94"/>
      <c r="AJ44" s="93"/>
      <c r="AK44" s="93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</row>
    <row r="45" ht="55" customHeight="1">
      <c r="A45" s="19" t="s">
        <v>40</v>
      </c>
      <c r="B45" s="19"/>
      <c r="C45" s="22">
        <f t="shared" si="49"/>
        <v>0</v>
      </c>
      <c r="D45" s="22">
        <f t="shared" si="50"/>
        <v>0</v>
      </c>
      <c r="E45" s="22">
        <f t="shared" si="51"/>
        <v>0</v>
      </c>
      <c r="F45" s="22">
        <f t="shared" si="52"/>
        <v>0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19" t="s">
        <v>40</v>
      </c>
      <c r="AB45" s="19"/>
      <c r="AC45" s="91">
        <f t="shared" si="53"/>
        <v>0</v>
      </c>
      <c r="AD45" s="41">
        <f t="shared" si="54"/>
        <v>0</v>
      </c>
      <c r="AE45" s="41">
        <f t="shared" si="55"/>
        <v>0</v>
      </c>
      <c r="AF45" s="41">
        <f t="shared" si="56"/>
        <v>0</v>
      </c>
      <c r="AG45" s="41"/>
      <c r="AH45" s="66"/>
      <c r="AI45" s="95"/>
      <c r="AJ45" s="93"/>
      <c r="AK45" s="93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</row>
    <row r="46" ht="53.25" customHeight="1">
      <c r="A46" s="19" t="s">
        <v>27</v>
      </c>
      <c r="B46" s="19"/>
      <c r="C46" s="96">
        <f>SUM(C41:C45)</f>
        <v>16</v>
      </c>
      <c r="D46" s="96">
        <f>SUM(D41:D45)</f>
        <v>17</v>
      </c>
      <c r="E46" s="96">
        <f>SUM(E41:E45)</f>
        <v>8</v>
      </c>
      <c r="F46" s="96">
        <f>SUM(F41:F45)</f>
        <v>5</v>
      </c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97"/>
      <c r="AA46" s="98" t="s">
        <v>27</v>
      </c>
      <c r="AB46" s="98"/>
      <c r="AC46" s="45">
        <f>SUM(AC41:AC45)</f>
        <v>46</v>
      </c>
      <c r="AD46" s="99">
        <f>SUM(AD41:AD45)</f>
        <v>24</v>
      </c>
      <c r="AE46" s="99">
        <f>SUM(AE41:AE45)</f>
        <v>13</v>
      </c>
      <c r="AF46" s="100">
        <f>SUM(AF41:AF45)</f>
        <v>8</v>
      </c>
      <c r="AG46" s="47"/>
      <c r="AH46" s="45">
        <f>A36</f>
        <v>18</v>
      </c>
      <c r="AI46" s="46">
        <f>A33</f>
        <v>9</v>
      </c>
      <c r="AJ46" s="46">
        <f>A34</f>
        <v>3</v>
      </c>
      <c r="AK46" s="46">
        <f>A35</f>
        <v>4</v>
      </c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</row>
    <row r="47" ht="53.25" customHeight="1">
      <c r="A47" s="48"/>
      <c r="B47" s="48"/>
      <c r="C47" s="101"/>
      <c r="D47" s="101"/>
      <c r="E47" s="101"/>
      <c r="F47" s="101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50" t="s">
        <v>41</v>
      </c>
      <c r="AA47" s="19" t="s">
        <v>38</v>
      </c>
      <c r="AB47" s="19"/>
      <c r="AC47" s="102">
        <f t="shared" ref="AC47:AC48" si="57">AC43</f>
        <v>14</v>
      </c>
      <c r="AD47" s="53"/>
      <c r="AE47" s="53"/>
      <c r="AF47" s="53"/>
      <c r="AG47" s="47"/>
      <c r="AH47" s="55"/>
      <c r="AI47" s="103"/>
      <c r="AJ47" s="55"/>
      <c r="AK47" s="55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</row>
    <row r="48" ht="53.25" customHeight="1">
      <c r="A48" s="48"/>
      <c r="B48" s="48"/>
      <c r="C48" s="101"/>
      <c r="D48" s="101"/>
      <c r="E48" s="101"/>
      <c r="F48" s="101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50" t="s">
        <v>41</v>
      </c>
      <c r="AA48" s="19" t="s">
        <v>39</v>
      </c>
      <c r="AB48" s="19"/>
      <c r="AC48" s="104">
        <f t="shared" si="57"/>
        <v>16</v>
      </c>
      <c r="AD48" s="60"/>
      <c r="AE48" s="60"/>
      <c r="AF48" s="60"/>
      <c r="AG48" s="47"/>
      <c r="AH48" s="55"/>
      <c r="AI48" s="103"/>
      <c r="AJ48" s="55"/>
      <c r="AK48" s="55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</row>
    <row r="49" ht="53.25" customHeight="1">
      <c r="A49" s="48"/>
      <c r="B49" s="48"/>
      <c r="C49" s="101"/>
      <c r="D49" s="101"/>
      <c r="E49" s="101"/>
      <c r="F49" s="101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50"/>
      <c r="AA49" s="61" t="s">
        <v>42</v>
      </c>
      <c r="AB49" s="61"/>
      <c r="AC49" s="62">
        <f>SUM(AC47:AC48)</f>
        <v>30</v>
      </c>
      <c r="AD49" s="63"/>
      <c r="AE49" s="63"/>
      <c r="AF49" s="63"/>
      <c r="AG49" s="47"/>
      <c r="AH49" s="55"/>
      <c r="AI49" s="103"/>
      <c r="AJ49" s="55"/>
      <c r="AK49" s="55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</row>
    <row r="50" ht="72.75" customHeight="1">
      <c r="A50" s="64"/>
      <c r="B50" s="65"/>
      <c r="C50" s="65"/>
      <c r="D50" s="65"/>
      <c r="E50" s="65"/>
      <c r="F50" s="65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97" t="s">
        <v>41</v>
      </c>
      <c r="AA50" s="19" t="str">
        <f>IF($AC$37=MAX($AC$37:$AC$41),AA41,IF($AC$38=MAX($AC$37:$AC$41),AA42,IF($AC$39=MAX($AC$37:$AC$41),AA43,IF($AC$40=MAX($AC$37:$AC$41),AA44,IF($AC$41=MAX($AC$37:$AC$41),AA45,AA44)))))</f>
        <v xml:space="preserve">8:30 à 9:00</v>
      </c>
      <c r="AB50" s="19"/>
      <c r="AC50" s="38">
        <f>IF($AC$37=MAX($AC$37:$AC$41),AC41,IF($AC$38=MAX($AC$37:$AC$41),AC42,IF($AC$39=MAX($AC$37:$AC$41),AC43,IF($AC$40=MAX($AC$37:$AC$41),AC44,IF($AC$41=MAX($AC$37:$AC$41),AC45,AC44)))))</f>
        <v>0</v>
      </c>
      <c r="AD50" s="38">
        <f>IF($AC$37=MAX($AC$37:$AC$41),AD41,IF($AC$38=MAX($AC$37:$AC$41),AD42,IF($AC$39=MAX($AC$37:$AC$41),AD43,IF($AC$40=MAX($AC$37:$AC$41),AD44,IF($AC$41=MAX($AC$37:$AC$41),AD45,AD44)))))</f>
        <v>0</v>
      </c>
      <c r="AE50" s="38">
        <f>IF($AC$37=MAX($AC$37:$AC$41),AE41,IF($AC$38=MAX($AC$37:$AC$41),AE42,IF($AC$39=MAX($AC$37:$AC$41),AE43,IF($AC$40=MAX($AC$37:$AC$41),AE44,IF($AC$41=MAX($AC$37:$AC$41),AE45,AE44)))))</f>
        <v>0</v>
      </c>
      <c r="AF50" s="38">
        <f>IF($AC$37=MAX($AC$37:$AC$41),AF41,IF($AC$38=MAX($AC$37:$AC$41),AF42,IF($AC$39=MAX($AC$37:$AC$41),AF43,IF($AC$40=MAX($AC$37:$AC$41),AF44,IF($AC$41=MAX($AC$37:$AC$41),AF45,AF44)))))</f>
        <v>0</v>
      </c>
      <c r="AG50" s="38"/>
      <c r="AH50" s="66"/>
      <c r="AI50" s="94"/>
      <c r="AJ50" s="93"/>
      <c r="AK50" s="93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</row>
    <row r="51" ht="22">
      <c r="A51" s="10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AA51" s="106"/>
      <c r="AB51" s="106"/>
      <c r="AC51" s="38"/>
      <c r="AD51" s="38"/>
      <c r="AE51" s="38"/>
      <c r="AF51" s="38"/>
      <c r="AG51" s="38"/>
      <c r="AH51" s="66"/>
      <c r="AI51" s="94"/>
      <c r="AJ51" s="93"/>
      <c r="AK51" s="39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</row>
    <row r="52" ht="23.25" customHeight="1">
      <c r="A52" s="10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14"/>
      <c r="AB52" s="15"/>
      <c r="AC52" s="67" t="s">
        <v>27</v>
      </c>
      <c r="AD52" s="68" t="s">
        <v>43</v>
      </c>
      <c r="AE52" s="68" t="s">
        <v>44</v>
      </c>
      <c r="AF52" s="68" t="s">
        <v>45</v>
      </c>
      <c r="AG52" s="68">
        <f>AG37</f>
        <v>0</v>
      </c>
      <c r="AH52" s="66"/>
      <c r="AI52" s="94"/>
      <c r="AJ52" s="93"/>
      <c r="AK52" s="39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</row>
    <row r="53" ht="40.5" customHeight="1">
      <c r="A53" s="105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14"/>
      <c r="AB53" s="15"/>
      <c r="AC53" s="67"/>
      <c r="AD53" s="68"/>
      <c r="AE53" s="68"/>
      <c r="AF53" s="68"/>
      <c r="AG53" s="68"/>
      <c r="AH53" s="66"/>
      <c r="AI53" s="39" t="s">
        <v>62</v>
      </c>
      <c r="AJ53" s="39"/>
      <c r="AK53" s="39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</row>
    <row r="54" ht="21">
      <c r="A54" s="10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9"/>
      <c r="AB54" s="15"/>
      <c r="AC54" s="67"/>
      <c r="AD54" s="68"/>
      <c r="AE54" s="68"/>
      <c r="AF54" s="68"/>
      <c r="AG54" s="68"/>
      <c r="AH54" s="66"/>
      <c r="AI54" s="39"/>
      <c r="AJ54" s="39"/>
      <c r="AK54" s="39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</row>
    <row r="55" ht="45" customHeight="1">
      <c r="A55" s="10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19" t="s">
        <v>20</v>
      </c>
      <c r="AB55" s="19"/>
      <c r="AC55" s="67"/>
      <c r="AD55" s="68"/>
      <c r="AE55" s="68"/>
      <c r="AF55" s="68"/>
      <c r="AG55" s="68"/>
      <c r="AH55" s="66"/>
      <c r="AI55" s="39"/>
      <c r="AJ55" s="39"/>
      <c r="AK55" s="39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</row>
    <row r="56" ht="45" customHeight="1">
      <c r="A56" s="105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19" t="str">
        <f t="shared" ref="AA56:AA60" si="58">AA41</f>
        <v xml:space="preserve">6:30 à 7:00</v>
      </c>
      <c r="AB56" s="19"/>
      <c r="AC56" s="70"/>
      <c r="AD56" s="71">
        <f>IF(AD41=0,0,AD41/AC41)</f>
        <v>0.33333333333333298</v>
      </c>
      <c r="AE56" s="71">
        <f>IF(AE41=0,0,AE41/AC41)</f>
        <v>0.33333333333333298</v>
      </c>
      <c r="AF56" s="71">
        <f>IF(AF41=0,0,AF41/AD41)</f>
        <v>0.33333333333333298</v>
      </c>
      <c r="AG56" s="71">
        <f>IF(AG41=0,0,AG41/AC41)</f>
        <v>0</v>
      </c>
      <c r="AH56" s="66"/>
      <c r="AI56" s="39"/>
      <c r="AJ56" s="39"/>
      <c r="AK56" s="93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</row>
    <row r="57" ht="45" customHeight="1">
      <c r="A57" s="105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19" t="str">
        <f t="shared" si="58"/>
        <v xml:space="preserve">7:00 à 7:30</v>
      </c>
      <c r="AB57" s="19"/>
      <c r="AC57" s="70"/>
      <c r="AD57" s="71">
        <f>IF(AD43=0,0,AD43/AC43)</f>
        <v>0.5</v>
      </c>
      <c r="AE57" s="71">
        <f>IF(AE43=0,0,AE43/AC43)</f>
        <v>0.14285714285714299</v>
      </c>
      <c r="AF57" s="71">
        <f>IF(AF43=0,0,AF43/AD43)</f>
        <v>0.28571428571428598</v>
      </c>
      <c r="AG57" s="71">
        <f>IF(AG43=0,0,AG43/AC43)</f>
        <v>0</v>
      </c>
      <c r="AH57" s="66"/>
      <c r="AI57" s="94"/>
      <c r="AJ57" s="93"/>
      <c r="AK57" s="93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</row>
    <row r="58" ht="45" customHeight="1">
      <c r="A58" s="105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19" t="str">
        <f t="shared" si="58"/>
        <v xml:space="preserve">7:30 à 8:00</v>
      </c>
      <c r="AB58" s="19"/>
      <c r="AC58" s="70"/>
      <c r="AD58" s="71">
        <f t="shared" ref="AD58:AD61" si="59">IF(AD43=0,0,AD43/AC43)</f>
        <v>0.5</v>
      </c>
      <c r="AE58" s="71">
        <f t="shared" ref="AE58:AE61" si="60">IF(AE43=0,0,AE43/AC43)</f>
        <v>0.14285714285714299</v>
      </c>
      <c r="AF58" s="71">
        <f t="shared" ref="AF58:AF61" si="61">IF(AF43=0,0,AF43/AD43)</f>
        <v>0.28571428571428598</v>
      </c>
      <c r="AG58" s="71">
        <f t="shared" ref="AG58:AG61" si="62">IF(AG43=0,0,AG43/AC43)</f>
        <v>0</v>
      </c>
      <c r="AH58" s="66"/>
      <c r="AI58" s="94"/>
      <c r="AJ58" s="93"/>
      <c r="AK58" s="93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</row>
    <row r="59" ht="45" customHeight="1">
      <c r="A59" s="10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19" t="str">
        <f t="shared" si="58"/>
        <v xml:space="preserve">8:00 à 8:30</v>
      </c>
      <c r="AB59" s="19"/>
      <c r="AC59" s="70"/>
      <c r="AD59" s="71">
        <f t="shared" si="59"/>
        <v>0.625</v>
      </c>
      <c r="AE59" s="71">
        <f t="shared" si="60"/>
        <v>0.3125</v>
      </c>
      <c r="AF59" s="71">
        <f t="shared" si="61"/>
        <v>0.20000000000000001</v>
      </c>
      <c r="AG59" s="71">
        <f t="shared" si="62"/>
        <v>0</v>
      </c>
      <c r="AH59" s="66"/>
      <c r="AI59" s="94"/>
      <c r="AJ59" s="93"/>
      <c r="AK59" s="93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</row>
    <row r="60" ht="45" customHeight="1"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19" t="str">
        <f t="shared" si="58"/>
        <v xml:space="preserve">8:30 à 9:00</v>
      </c>
      <c r="AB60" s="19"/>
      <c r="AC60" s="70"/>
      <c r="AD60" s="71">
        <f t="shared" si="59"/>
        <v>0</v>
      </c>
      <c r="AE60" s="71">
        <f t="shared" si="60"/>
        <v>0</v>
      </c>
      <c r="AF60" s="71">
        <f t="shared" si="61"/>
        <v>0</v>
      </c>
      <c r="AG60" s="71">
        <f t="shared" si="62"/>
        <v>0</v>
      </c>
      <c r="AH60" s="66"/>
      <c r="AI60" s="94"/>
      <c r="AJ60" s="93"/>
      <c r="AK60" s="93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</row>
    <row r="61" ht="45" customHeight="1"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72" t="s">
        <v>27</v>
      </c>
      <c r="AB61" s="72"/>
      <c r="AC61" s="73"/>
      <c r="AD61" s="71">
        <f t="shared" si="59"/>
        <v>0.52173913043478304</v>
      </c>
      <c r="AE61" s="71">
        <f t="shared" si="60"/>
        <v>0.282608695652174</v>
      </c>
      <c r="AF61" s="71">
        <f t="shared" si="61"/>
        <v>0.33333333333333298</v>
      </c>
      <c r="AG61" s="71">
        <f t="shared" si="62"/>
        <v>0</v>
      </c>
      <c r="AH61" s="66"/>
      <c r="AI61" s="94"/>
      <c r="AJ61" s="93"/>
      <c r="AK61" s="93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</row>
    <row r="62" ht="22"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19" t="str">
        <f>AA50</f>
        <v xml:space="preserve">8:30 à 9:00</v>
      </c>
      <c r="AB62" s="19"/>
      <c r="AC62" s="38"/>
      <c r="AD62" s="74">
        <f>AD50/$AC$44</f>
        <v>0</v>
      </c>
      <c r="AE62" s="74">
        <f>AE50/$AC$44</f>
        <v>0</v>
      </c>
      <c r="AF62" s="74">
        <f>AF50/$AC$44</f>
        <v>0</v>
      </c>
      <c r="AG62" s="74">
        <f>AG50/$AC$44</f>
        <v>0</v>
      </c>
      <c r="AH62" s="66"/>
      <c r="AI62" s="94"/>
      <c r="AJ62" s="93"/>
      <c r="AK62" s="93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</row>
    <row r="63" ht="22"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94"/>
      <c r="AJ63" s="93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</row>
    <row r="64" ht="20"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</row>
    <row r="65" ht="20"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</row>
    <row r="66" ht="20"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0"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</sheetData>
  <mergeCells count="86">
    <mergeCell ref="C9:R9"/>
    <mergeCell ref="S9:AD9"/>
    <mergeCell ref="AE9:AP9"/>
    <mergeCell ref="C10:F10"/>
    <mergeCell ref="G10:J10"/>
    <mergeCell ref="K10:N10"/>
    <mergeCell ref="O10:R10"/>
    <mergeCell ref="S10:V10"/>
    <mergeCell ref="W10:Z10"/>
    <mergeCell ref="AA10:AD10"/>
    <mergeCell ref="AE10:AI10"/>
    <mergeCell ref="AJ10:AL10"/>
    <mergeCell ref="AM10:AP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B12"/>
    <mergeCell ref="C21:N21"/>
    <mergeCell ref="O21:AD21"/>
    <mergeCell ref="C22:F22"/>
    <mergeCell ref="G22:J22"/>
    <mergeCell ref="K22:N22"/>
    <mergeCell ref="O22:R22"/>
    <mergeCell ref="S22:V22"/>
    <mergeCell ref="W22:Z22"/>
    <mergeCell ref="AA22:AD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B24"/>
    <mergeCell ref="AC37:AC40"/>
    <mergeCell ref="AD37:AD40"/>
    <mergeCell ref="AE37:AE40"/>
    <mergeCell ref="AF37:AF40"/>
    <mergeCell ref="C39:D39"/>
    <mergeCell ref="E39:F39"/>
    <mergeCell ref="A40:B40"/>
    <mergeCell ref="AA40:AB40"/>
    <mergeCell ref="A41:B41"/>
    <mergeCell ref="AA41:AB41"/>
    <mergeCell ref="A42:B42"/>
    <mergeCell ref="AA42:AB42"/>
    <mergeCell ref="A43:B43"/>
    <mergeCell ref="AA43:AB43"/>
    <mergeCell ref="A44:B44"/>
    <mergeCell ref="AA44:AB44"/>
    <mergeCell ref="A45:B45"/>
    <mergeCell ref="AA45:AB45"/>
    <mergeCell ref="A46:B46"/>
    <mergeCell ref="AA46:AB46"/>
    <mergeCell ref="AA47:AB47"/>
    <mergeCell ref="AA48:AB48"/>
    <mergeCell ref="AA49:AB49"/>
    <mergeCell ref="AA50:AB50"/>
    <mergeCell ref="AC52:AC55"/>
    <mergeCell ref="AD52:AD55"/>
    <mergeCell ref="AA55:AB55"/>
    <mergeCell ref="AA56:AB56"/>
    <mergeCell ref="AA57:AB57"/>
    <mergeCell ref="AA58:AB58"/>
    <mergeCell ref="AA59:AB59"/>
    <mergeCell ref="AA60:AB60"/>
    <mergeCell ref="AA61:AB61"/>
    <mergeCell ref="AA62:AB62"/>
  </mergeCells>
  <printOptions headings="0" gridLines="0" horizontalCentered="0" verticalCentered="0"/>
  <pageMargins left="0.19652777777777802" right="0.19652777777777802" top="0.98402777777777795" bottom="0.98402777777777795" header="0.51180555555555496" footer="0.51180555555555496"/>
  <pageSetup paperSize="9" scale="100" firstPageNumber="1" fitToWidth="1" fitToHeight="0" pageOrder="overThenDown" orientation="landscape" usePrinterDefaults="1" blackAndWhite="0" draft="0" cellComments="none" useFirstPageNumber="1" errors="displayed" horizontalDpi="300" verticalDpi="300" copies="1"/>
  <headerFooter/>
  <colBreaks count="1" manualBreakCount="1">
    <brk id="74" man="1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T38" zoomScale="65" workbookViewId="0">
      <selection activeCell="AY58" activeCellId="0" sqref="AY58"/>
    </sheetView>
  </sheetViews>
  <sheetFormatPr defaultColWidth="11.16796875" defaultRowHeight="14"/>
  <cols>
    <col customWidth="1" min="1" max="1" style="107" width="4.6699999999999999"/>
    <col customWidth="1" min="2" max="2" style="107" width="12.5"/>
    <col customWidth="1" min="3" max="50" style="107" width="5.5800000000000001"/>
    <col customWidth="1" min="51" max="51" style="107" width="8.7400000000000002"/>
    <col customWidth="1" min="52" max="52" style="107" width="14.16"/>
    <col customWidth="1" min="53" max="57" style="107" width="21"/>
    <col customWidth="1" min="58" max="60" style="107" width="36.079999999999998"/>
    <col customWidth="1" min="61" max="61" style="107" width="10.75"/>
    <col customWidth="0" min="62" max="1023" style="107" width="11.17"/>
    <col customWidth="1" min="1024" max="1024" style="107" width="11"/>
  </cols>
  <sheetData>
    <row r="1" s="108" customFormat="1" ht="52.5" customHeight="1">
      <c r="A1" s="109"/>
      <c r="B1" s="110" t="s">
        <v>63</v>
      </c>
      <c r="C1" s="111"/>
      <c r="D1" s="111"/>
      <c r="E1" s="111"/>
      <c r="F1" s="112"/>
      <c r="G1" s="111"/>
      <c r="H1" s="111"/>
      <c r="I1" s="111"/>
      <c r="J1" s="111"/>
      <c r="K1" s="112"/>
      <c r="L1" s="112"/>
      <c r="M1" s="112"/>
      <c r="N1" s="112"/>
      <c r="O1" s="113" t="s">
        <v>2</v>
      </c>
      <c r="P1" s="114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</row>
    <row r="2" s="108" customFormat="1" ht="52.5" customHeight="1">
      <c r="A2" s="109" t="s">
        <v>3</v>
      </c>
      <c r="B2" s="111"/>
      <c r="C2" s="111"/>
      <c r="D2" s="111"/>
      <c r="E2" s="111"/>
      <c r="F2" s="112"/>
      <c r="G2" s="111"/>
      <c r="H2" s="111"/>
      <c r="I2" s="111"/>
      <c r="J2" s="111"/>
      <c r="K2" s="111"/>
      <c r="L2" s="111"/>
      <c r="M2" s="111" t="s">
        <v>64</v>
      </c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</row>
    <row r="3" s="108" customFormat="1" ht="52.5" customHeight="1">
      <c r="A3" s="109" t="s">
        <v>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</row>
    <row r="4" s="108" customFormat="1" ht="52.5" customHeight="1">
      <c r="A4" s="109" t="s">
        <v>7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</row>
    <row r="5" s="108" customFormat="1" ht="25.5" customHeight="1">
      <c r="A5" s="115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2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</row>
    <row r="6" s="108" customFormat="1" ht="25.5" customHeight="1">
      <c r="A6" s="116" t="s">
        <v>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2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2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</row>
    <row r="7" s="108" customFormat="1" ht="25.5" customHeight="1">
      <c r="A7" s="116" t="s">
        <v>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2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2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</row>
    <row r="8" s="108" customFormat="1" ht="25.5" customHeight="1">
      <c r="A8" s="116" t="s">
        <v>10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2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2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</row>
    <row r="9" s="108" customFormat="1" ht="25.5" customHeight="1">
      <c r="A9" s="115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2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2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</row>
    <row r="10" s="108" customFormat="1" ht="32.25" customHeight="1">
      <c r="A10" s="109"/>
      <c r="B10" s="111"/>
      <c r="C10" s="117" t="s">
        <v>65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 t="s">
        <v>66</v>
      </c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 t="s">
        <v>67</v>
      </c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 t="s">
        <v>68</v>
      </c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</row>
    <row r="11" s="108" customFormat="1" ht="51.25" customHeight="1">
      <c r="A11" s="109"/>
      <c r="B11" s="111"/>
      <c r="C11" s="119" t="s">
        <v>69</v>
      </c>
      <c r="D11" s="119"/>
      <c r="E11" s="119"/>
      <c r="F11" s="119"/>
      <c r="G11" s="119" t="s">
        <v>70</v>
      </c>
      <c r="H11" s="119"/>
      <c r="I11" s="119"/>
      <c r="J11" s="119"/>
      <c r="K11" s="119" t="s">
        <v>71</v>
      </c>
      <c r="L11" s="119"/>
      <c r="M11" s="119"/>
      <c r="N11" s="119"/>
      <c r="O11" s="119" t="s">
        <v>70</v>
      </c>
      <c r="P11" s="119"/>
      <c r="Q11" s="119"/>
      <c r="R11" s="119"/>
      <c r="S11" s="119" t="s">
        <v>71</v>
      </c>
      <c r="T11" s="119"/>
      <c r="U11" s="119"/>
      <c r="V11" s="119"/>
      <c r="W11" s="119" t="s">
        <v>72</v>
      </c>
      <c r="X11" s="119"/>
      <c r="Y11" s="119"/>
      <c r="Z11" s="119"/>
      <c r="AA11" s="119" t="s">
        <v>71</v>
      </c>
      <c r="AB11" s="119"/>
      <c r="AC11" s="119"/>
      <c r="AD11" s="119"/>
      <c r="AE11" s="119" t="s">
        <v>72</v>
      </c>
      <c r="AF11" s="119"/>
      <c r="AG11" s="119"/>
      <c r="AH11" s="119"/>
      <c r="AI11" s="119" t="s">
        <v>69</v>
      </c>
      <c r="AJ11" s="119"/>
      <c r="AK11" s="119"/>
      <c r="AL11" s="119"/>
      <c r="AM11" s="119" t="s">
        <v>72</v>
      </c>
      <c r="AN11" s="119"/>
      <c r="AO11" s="119"/>
      <c r="AP11" s="119"/>
      <c r="AQ11" s="119" t="s">
        <v>69</v>
      </c>
      <c r="AR11" s="119"/>
      <c r="AS11" s="119"/>
      <c r="AT11" s="119"/>
      <c r="AU11" s="119" t="s">
        <v>70</v>
      </c>
      <c r="AV11" s="119"/>
      <c r="AW11" s="119"/>
      <c r="AX11" s="119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</row>
    <row r="12" s="108" customFormat="1" ht="18.649999999999999" customHeight="1">
      <c r="A12" s="109"/>
      <c r="B12" s="111"/>
      <c r="C12" s="121" t="s">
        <v>18</v>
      </c>
      <c r="D12" s="121"/>
      <c r="E12" s="121" t="s">
        <v>19</v>
      </c>
      <c r="F12" s="121"/>
      <c r="G12" s="121" t="s">
        <v>18</v>
      </c>
      <c r="H12" s="121"/>
      <c r="I12" s="121" t="s">
        <v>19</v>
      </c>
      <c r="J12" s="121"/>
      <c r="K12" s="121" t="s">
        <v>18</v>
      </c>
      <c r="L12" s="121"/>
      <c r="M12" s="121" t="s">
        <v>19</v>
      </c>
      <c r="N12" s="121"/>
      <c r="O12" s="121" t="s">
        <v>18</v>
      </c>
      <c r="P12" s="121"/>
      <c r="Q12" s="121" t="s">
        <v>19</v>
      </c>
      <c r="R12" s="121"/>
      <c r="S12" s="121" t="s">
        <v>18</v>
      </c>
      <c r="T12" s="121"/>
      <c r="U12" s="121" t="s">
        <v>19</v>
      </c>
      <c r="V12" s="121"/>
      <c r="W12" s="121" t="s">
        <v>18</v>
      </c>
      <c r="X12" s="121"/>
      <c r="Y12" s="121" t="s">
        <v>19</v>
      </c>
      <c r="Z12" s="121"/>
      <c r="AA12" s="121" t="s">
        <v>18</v>
      </c>
      <c r="AB12" s="121"/>
      <c r="AC12" s="121" t="s">
        <v>19</v>
      </c>
      <c r="AD12" s="121"/>
      <c r="AE12" s="121" t="s">
        <v>18</v>
      </c>
      <c r="AF12" s="121"/>
      <c r="AG12" s="121" t="s">
        <v>19</v>
      </c>
      <c r="AH12" s="121"/>
      <c r="AI12" s="121" t="s">
        <v>18</v>
      </c>
      <c r="AJ12" s="121"/>
      <c r="AK12" s="121" t="s">
        <v>19</v>
      </c>
      <c r="AL12" s="121"/>
      <c r="AM12" s="121" t="s">
        <v>18</v>
      </c>
      <c r="AN12" s="121"/>
      <c r="AO12" s="121" t="s">
        <v>19</v>
      </c>
      <c r="AP12" s="121"/>
      <c r="AQ12" s="121" t="s">
        <v>18</v>
      </c>
      <c r="AR12" s="121"/>
      <c r="AS12" s="121" t="s">
        <v>19</v>
      </c>
      <c r="AT12" s="121"/>
      <c r="AU12" s="121" t="s">
        <v>18</v>
      </c>
      <c r="AV12" s="121"/>
      <c r="AW12" s="121" t="s">
        <v>19</v>
      </c>
      <c r="AX12" s="121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</row>
    <row r="13" s="108" customFormat="1" ht="21">
      <c r="A13" s="123" t="s">
        <v>18</v>
      </c>
      <c r="B13" s="123" t="s">
        <v>73</v>
      </c>
      <c r="C13" s="124" t="s">
        <v>21</v>
      </c>
      <c r="D13" s="124" t="s">
        <v>22</v>
      </c>
      <c r="E13" s="124" t="s">
        <v>21</v>
      </c>
      <c r="F13" s="124" t="s">
        <v>22</v>
      </c>
      <c r="G13" s="124" t="s">
        <v>21</v>
      </c>
      <c r="H13" s="124" t="s">
        <v>22</v>
      </c>
      <c r="I13" s="124" t="s">
        <v>21</v>
      </c>
      <c r="J13" s="124" t="s">
        <v>22</v>
      </c>
      <c r="K13" s="124" t="s">
        <v>21</v>
      </c>
      <c r="L13" s="124" t="s">
        <v>22</v>
      </c>
      <c r="M13" s="124" t="s">
        <v>21</v>
      </c>
      <c r="N13" s="124" t="s">
        <v>22</v>
      </c>
      <c r="O13" s="124" t="s">
        <v>21</v>
      </c>
      <c r="P13" s="124" t="s">
        <v>22</v>
      </c>
      <c r="Q13" s="124" t="s">
        <v>21</v>
      </c>
      <c r="R13" s="124" t="s">
        <v>22</v>
      </c>
      <c r="S13" s="124" t="s">
        <v>21</v>
      </c>
      <c r="T13" s="124" t="s">
        <v>22</v>
      </c>
      <c r="U13" s="124" t="s">
        <v>21</v>
      </c>
      <c r="V13" s="124" t="s">
        <v>22</v>
      </c>
      <c r="W13" s="124" t="s">
        <v>21</v>
      </c>
      <c r="X13" s="124" t="s">
        <v>22</v>
      </c>
      <c r="Y13" s="124" t="s">
        <v>21</v>
      </c>
      <c r="Z13" s="124" t="s">
        <v>22</v>
      </c>
      <c r="AA13" s="124" t="s">
        <v>21</v>
      </c>
      <c r="AB13" s="124" t="s">
        <v>22</v>
      </c>
      <c r="AC13" s="124" t="s">
        <v>21</v>
      </c>
      <c r="AD13" s="124" t="s">
        <v>22</v>
      </c>
      <c r="AE13" s="124" t="s">
        <v>21</v>
      </c>
      <c r="AF13" s="124" t="s">
        <v>22</v>
      </c>
      <c r="AG13" s="124" t="s">
        <v>21</v>
      </c>
      <c r="AH13" s="124" t="s">
        <v>22</v>
      </c>
      <c r="AI13" s="124" t="s">
        <v>21</v>
      </c>
      <c r="AJ13" s="124" t="s">
        <v>22</v>
      </c>
      <c r="AK13" s="124" t="s">
        <v>21</v>
      </c>
      <c r="AL13" s="124" t="s">
        <v>22</v>
      </c>
      <c r="AM13" s="124" t="s">
        <v>21</v>
      </c>
      <c r="AN13" s="124" t="s">
        <v>22</v>
      </c>
      <c r="AO13" s="124" t="s">
        <v>21</v>
      </c>
      <c r="AP13" s="124" t="s">
        <v>22</v>
      </c>
      <c r="AQ13" s="124" t="s">
        <v>21</v>
      </c>
      <c r="AR13" s="124" t="s">
        <v>22</v>
      </c>
      <c r="AS13" s="124" t="s">
        <v>21</v>
      </c>
      <c r="AT13" s="124" t="s">
        <v>22</v>
      </c>
      <c r="AU13" s="124" t="s">
        <v>21</v>
      </c>
      <c r="AV13" s="124" t="s">
        <v>22</v>
      </c>
      <c r="AW13" s="124" t="s">
        <v>21</v>
      </c>
      <c r="AX13" s="124" t="s">
        <v>22</v>
      </c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</row>
    <row r="14" ht="55" customHeight="1">
      <c r="A14" s="126">
        <v>6</v>
      </c>
      <c r="B14" s="123" t="s">
        <v>74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>
        <v>1</v>
      </c>
      <c r="M14" s="127"/>
      <c r="N14" s="127"/>
      <c r="O14" s="127"/>
      <c r="P14" s="127"/>
      <c r="Q14" s="127"/>
      <c r="R14" s="127"/>
      <c r="S14" s="127"/>
      <c r="T14" s="127">
        <v>1</v>
      </c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</row>
    <row r="15" ht="55" customHeight="1">
      <c r="A15" s="123"/>
      <c r="B15" s="123" t="s">
        <v>75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>
        <v>1</v>
      </c>
      <c r="M15" s="127"/>
      <c r="N15" s="127"/>
      <c r="O15" s="127"/>
      <c r="P15" s="127">
        <v>1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</row>
    <row r="16" ht="55" customHeight="1">
      <c r="A16" s="126">
        <v>7</v>
      </c>
      <c r="B16" s="123" t="s">
        <v>57</v>
      </c>
      <c r="C16" s="127"/>
      <c r="D16" s="127"/>
      <c r="E16" s="127"/>
      <c r="F16" s="127"/>
      <c r="G16" s="127"/>
      <c r="H16" s="127"/>
      <c r="I16" s="127"/>
      <c r="J16" s="127"/>
      <c r="K16" s="127">
        <v>1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</row>
    <row r="17" ht="55" customHeight="1">
      <c r="A17" s="123"/>
      <c r="B17" s="123" t="s">
        <v>58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>
        <v>3</v>
      </c>
      <c r="M17" s="127"/>
      <c r="N17" s="127"/>
      <c r="O17" s="127"/>
      <c r="P17" s="127"/>
      <c r="Q17" s="127"/>
      <c r="R17" s="127"/>
      <c r="S17" s="127"/>
      <c r="T17" s="127">
        <v>1</v>
      </c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>
        <v>1</v>
      </c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</row>
    <row r="18" ht="55" customHeight="1">
      <c r="A18" s="123"/>
      <c r="B18" s="123" t="s">
        <v>74</v>
      </c>
      <c r="C18" s="127">
        <v>1</v>
      </c>
      <c r="D18" s="127"/>
      <c r="E18" s="127">
        <v>1</v>
      </c>
      <c r="F18" s="127"/>
      <c r="G18" s="127"/>
      <c r="H18" s="127"/>
      <c r="I18" s="127"/>
      <c r="J18" s="127"/>
      <c r="K18" s="127"/>
      <c r="L18" s="127">
        <v>1</v>
      </c>
      <c r="M18" s="127"/>
      <c r="N18" s="127">
        <v>1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>
        <v>1</v>
      </c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</row>
    <row r="19" ht="55" customHeight="1">
      <c r="A19" s="123"/>
      <c r="B19" s="123" t="s">
        <v>76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>
        <v>1</v>
      </c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</row>
    <row r="20" ht="55" customHeight="1">
      <c r="A20" s="126">
        <v>8</v>
      </c>
      <c r="B20" s="123" t="s">
        <v>57</v>
      </c>
      <c r="C20" s="127"/>
      <c r="D20" s="127"/>
      <c r="E20" s="127"/>
      <c r="F20" s="127">
        <v>1</v>
      </c>
      <c r="G20" s="127"/>
      <c r="H20" s="127"/>
      <c r="I20" s="127"/>
      <c r="J20" s="127"/>
      <c r="K20" s="127"/>
      <c r="L20" s="127">
        <v>1</v>
      </c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>
        <v>1</v>
      </c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</row>
    <row r="21" ht="55" customHeight="1">
      <c r="A21" s="123"/>
      <c r="B21" s="123" t="s">
        <v>58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</row>
    <row r="22" ht="55" customHeight="1">
      <c r="A22" s="123"/>
      <c r="B22" s="123" t="s">
        <v>74</v>
      </c>
      <c r="C22" s="127"/>
      <c r="D22" s="127"/>
      <c r="E22" s="127"/>
      <c r="F22" s="127"/>
      <c r="G22" s="127"/>
      <c r="H22" s="127"/>
      <c r="I22" s="127"/>
      <c r="J22" s="127"/>
      <c r="K22" s="127">
        <v>1</v>
      </c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>
        <v>1</v>
      </c>
      <c r="X22" s="127"/>
      <c r="Y22" s="127"/>
      <c r="Z22" s="127"/>
      <c r="AA22" s="127"/>
      <c r="AB22" s="127"/>
      <c r="AC22" s="127"/>
      <c r="AD22" s="127"/>
      <c r="AE22" s="127"/>
      <c r="AF22" s="127">
        <v>1</v>
      </c>
      <c r="AG22" s="127"/>
      <c r="AH22" s="127">
        <v>1</v>
      </c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</row>
    <row r="23" ht="52.399999999999999" customHeight="1">
      <c r="A23" s="129">
        <v>9</v>
      </c>
      <c r="B23" s="123" t="s">
        <v>76</v>
      </c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>
        <v>1</v>
      </c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</row>
    <row r="24" ht="10.5" customHeight="1">
      <c r="A24" s="130"/>
      <c r="B24" s="125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</row>
    <row r="25" s="23" customFormat="1" ht="38.149999999999999" customHeight="1">
      <c r="A25" s="24"/>
      <c r="B25" s="25" t="s">
        <v>23</v>
      </c>
      <c r="C25" s="26"/>
      <c r="D25" s="26"/>
      <c r="E25" s="26">
        <v>1</v>
      </c>
      <c r="F25" s="26"/>
      <c r="G25" s="26"/>
      <c r="H25" s="26"/>
      <c r="I25" s="26"/>
      <c r="J25" s="26"/>
      <c r="K25" s="26"/>
      <c r="L25" s="26"/>
      <c r="M25" s="131"/>
      <c r="N25" s="26"/>
      <c r="O25" s="26"/>
      <c r="P25" s="13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MC25" s="1"/>
      <c r="AMD25" s="1"/>
      <c r="AME25" s="1"/>
      <c r="AMF25" s="1"/>
      <c r="AMG25" s="1"/>
      <c r="AMH25" s="1"/>
    </row>
    <row r="26" s="23" customFormat="1" ht="38.149999999999999" customHeight="1">
      <c r="A26" s="24"/>
      <c r="B26" s="25" t="s">
        <v>34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31"/>
      <c r="N26" s="26"/>
      <c r="O26" s="26"/>
      <c r="P26" s="13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MC26" s="1"/>
      <c r="AMD26" s="1"/>
      <c r="AME26" s="1"/>
      <c r="AMF26" s="1"/>
      <c r="AMG26" s="1"/>
      <c r="AMH26" s="1"/>
    </row>
    <row r="27" s="23" customFormat="1" ht="38.149999999999999" customHeight="1">
      <c r="A27" s="24"/>
      <c r="B27" s="25" t="s">
        <v>25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31"/>
      <c r="N27" s="26"/>
      <c r="O27" s="26"/>
      <c r="P27" s="13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MC27" s="1"/>
      <c r="AMD27" s="1"/>
      <c r="AME27" s="1"/>
      <c r="AMF27" s="1"/>
      <c r="AMG27" s="1"/>
      <c r="AMH27" s="1"/>
    </row>
    <row r="28" s="23" customFormat="1" ht="38.149999999999999" customHeight="1">
      <c r="A28" s="24"/>
      <c r="B28" s="25" t="s">
        <v>26</v>
      </c>
      <c r="C28" s="26"/>
      <c r="D28" s="26"/>
      <c r="E28" s="26"/>
      <c r="F28" s="133"/>
      <c r="G28" s="26"/>
      <c r="H28" s="26"/>
      <c r="I28" s="26"/>
      <c r="J28" s="26"/>
      <c r="K28" s="26"/>
      <c r="L28" s="26"/>
      <c r="M28" s="131"/>
      <c r="N28" s="26"/>
      <c r="O28" s="26"/>
      <c r="P28" s="132"/>
      <c r="Q28" s="1"/>
      <c r="R28" s="1">
        <v>8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MC28" s="1"/>
      <c r="AMD28" s="1"/>
      <c r="AME28" s="1"/>
      <c r="AMF28" s="1"/>
      <c r="AMG28" s="1"/>
      <c r="AMH28" s="1"/>
    </row>
    <row r="29" ht="25.5" customHeight="1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6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6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6"/>
      <c r="BT29" s="111"/>
    </row>
    <row r="30" ht="25.5" customHeight="1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6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6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6"/>
      <c r="BT30" s="111"/>
    </row>
    <row r="31" ht="25.5" customHeight="1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6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6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  <c r="BP31" s="135"/>
      <c r="BQ31" s="135"/>
      <c r="BR31" s="136"/>
      <c r="BT31" s="111"/>
    </row>
    <row r="32" ht="25.5" customHeight="1">
      <c r="A32" s="134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6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6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6"/>
      <c r="BT32" s="111"/>
    </row>
    <row r="33" ht="25.5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6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6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6"/>
      <c r="BT33" s="111"/>
    </row>
    <row r="34" ht="25.5" customHeight="1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6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6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6"/>
      <c r="BT34" s="111"/>
    </row>
    <row r="35" ht="25.5" customHeight="1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6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6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</row>
    <row r="36" ht="32.25" customHeight="1">
      <c r="A36" s="137"/>
      <c r="B36" s="135"/>
      <c r="C36" s="117" t="str">
        <f t="shared" ref="C36:C37" si="63">C10</f>
        <v xml:space="preserve">Du centre (La Roche) vers</v>
      </c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 t="str">
        <f t="shared" ref="O36:O37" si="64">O10</f>
        <v xml:space="preserve">D'Eteaux av Gambetta vers</v>
      </c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 t="str">
        <f t="shared" ref="AA36:AA37" si="65">AA10</f>
        <v xml:space="preserve">De Av Libération Enilv vers</v>
      </c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 t="str">
        <f t="shared" ref="AM36:AM37" si="66">AM10</f>
        <v xml:space="preserve">De Reignier vers</v>
      </c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37"/>
      <c r="AZ36" s="135"/>
      <c r="BA36" s="138" t="s">
        <v>27</v>
      </c>
      <c r="BB36" s="139" t="s">
        <v>28</v>
      </c>
      <c r="BC36" s="140" t="s">
        <v>29</v>
      </c>
      <c r="BD36" s="140" t="s">
        <v>30</v>
      </c>
      <c r="BE36" s="141" t="s">
        <v>77</v>
      </c>
      <c r="BF36" s="139" t="s">
        <v>62</v>
      </c>
      <c r="BG36" s="139"/>
      <c r="BH36" s="139"/>
    </row>
    <row r="37" ht="46.75" customHeight="1">
      <c r="A37" s="137"/>
      <c r="B37" s="135"/>
      <c r="C37" s="119" t="str">
        <f t="shared" si="63"/>
        <v xml:space="preserve">Av Gambetta Eteaux</v>
      </c>
      <c r="D37" s="119"/>
      <c r="E37" s="119"/>
      <c r="F37" s="119"/>
      <c r="G37" s="119" t="str">
        <f>G11</f>
        <v xml:space="preserve">Av Libération
Enilv</v>
      </c>
      <c r="H37" s="119"/>
      <c r="I37" s="119"/>
      <c r="J37" s="119"/>
      <c r="K37" s="119" t="str">
        <f>K11</f>
        <v>Reignier</v>
      </c>
      <c r="L37" s="119"/>
      <c r="M37" s="119"/>
      <c r="N37" s="119"/>
      <c r="O37" s="119" t="str">
        <f t="shared" si="64"/>
        <v xml:space="preserve">Av Libération
Enilv</v>
      </c>
      <c r="P37" s="119"/>
      <c r="Q37" s="119"/>
      <c r="R37" s="119"/>
      <c r="S37" s="119" t="str">
        <f>S11</f>
        <v>Reignier</v>
      </c>
      <c r="T37" s="119"/>
      <c r="U37" s="119"/>
      <c r="V37" s="119"/>
      <c r="W37" s="119" t="str">
        <f>W11</f>
        <v xml:space="preserve">La Roche</v>
      </c>
      <c r="X37" s="119"/>
      <c r="Y37" s="119"/>
      <c r="Z37" s="119"/>
      <c r="AA37" s="119" t="str">
        <f t="shared" si="65"/>
        <v>Reignier</v>
      </c>
      <c r="AB37" s="119"/>
      <c r="AC37" s="119"/>
      <c r="AD37" s="119"/>
      <c r="AE37" s="119" t="str">
        <f>AE11</f>
        <v xml:space="preserve">La Roche</v>
      </c>
      <c r="AF37" s="119"/>
      <c r="AG37" s="119"/>
      <c r="AH37" s="119"/>
      <c r="AI37" s="119" t="str">
        <f>AI11</f>
        <v xml:space="preserve">Av Gambetta Eteaux</v>
      </c>
      <c r="AJ37" s="119"/>
      <c r="AK37" s="119"/>
      <c r="AL37" s="119"/>
      <c r="AM37" s="119" t="str">
        <f t="shared" si="66"/>
        <v xml:space="preserve">La Roche</v>
      </c>
      <c r="AN37" s="119"/>
      <c r="AO37" s="119"/>
      <c r="AP37" s="119"/>
      <c r="AQ37" s="119" t="str">
        <f>AQ11</f>
        <v xml:space="preserve">Av Gambetta Eteaux</v>
      </c>
      <c r="AR37" s="119"/>
      <c r="AS37" s="119"/>
      <c r="AT37" s="119"/>
      <c r="AU37" s="119" t="str">
        <f>AU11</f>
        <v xml:space="preserve">Av Libération
Enilv</v>
      </c>
      <c r="AV37" s="119"/>
      <c r="AW37" s="119"/>
      <c r="AX37" s="119"/>
      <c r="AY37" s="137"/>
      <c r="AZ37" s="135"/>
      <c r="BA37" s="138"/>
      <c r="BB37" s="139"/>
      <c r="BC37" s="140"/>
      <c r="BD37" s="140"/>
      <c r="BE37" s="141"/>
      <c r="BF37" s="139"/>
      <c r="BG37" s="139"/>
      <c r="BH37" s="139"/>
    </row>
    <row r="38" ht="18.649999999999999" customHeight="1">
      <c r="A38" s="137"/>
      <c r="B38" s="135"/>
      <c r="C38" s="121" t="s">
        <v>18</v>
      </c>
      <c r="D38" s="121"/>
      <c r="E38" s="121" t="s">
        <v>19</v>
      </c>
      <c r="F38" s="121"/>
      <c r="G38" s="121" t="s">
        <v>18</v>
      </c>
      <c r="H38" s="121"/>
      <c r="I38" s="121" t="s">
        <v>19</v>
      </c>
      <c r="J38" s="121"/>
      <c r="K38" s="121" t="s">
        <v>18</v>
      </c>
      <c r="L38" s="121"/>
      <c r="M38" s="121" t="s">
        <v>19</v>
      </c>
      <c r="N38" s="121"/>
      <c r="O38" s="121" t="s">
        <v>18</v>
      </c>
      <c r="P38" s="121"/>
      <c r="Q38" s="121" t="s">
        <v>19</v>
      </c>
      <c r="R38" s="121"/>
      <c r="S38" s="121" t="s">
        <v>18</v>
      </c>
      <c r="T38" s="121"/>
      <c r="U38" s="121" t="s">
        <v>19</v>
      </c>
      <c r="V38" s="121"/>
      <c r="W38" s="121" t="s">
        <v>18</v>
      </c>
      <c r="X38" s="121"/>
      <c r="Y38" s="121" t="s">
        <v>19</v>
      </c>
      <c r="Z38" s="121"/>
      <c r="AA38" s="121" t="s">
        <v>18</v>
      </c>
      <c r="AB38" s="121"/>
      <c r="AC38" s="121" t="s">
        <v>19</v>
      </c>
      <c r="AD38" s="121"/>
      <c r="AE38" s="121" t="s">
        <v>18</v>
      </c>
      <c r="AF38" s="121"/>
      <c r="AG38" s="121" t="s">
        <v>19</v>
      </c>
      <c r="AH38" s="121"/>
      <c r="AI38" s="121" t="s">
        <v>18</v>
      </c>
      <c r="AJ38" s="121"/>
      <c r="AK38" s="121" t="s">
        <v>19</v>
      </c>
      <c r="AL38" s="121"/>
      <c r="AM38" s="121" t="s">
        <v>18</v>
      </c>
      <c r="AN38" s="121"/>
      <c r="AO38" s="121" t="s">
        <v>19</v>
      </c>
      <c r="AP38" s="121"/>
      <c r="AQ38" s="121" t="s">
        <v>18</v>
      </c>
      <c r="AR38" s="121"/>
      <c r="AS38" s="121" t="s">
        <v>19</v>
      </c>
      <c r="AT38" s="121"/>
      <c r="AU38" s="121" t="s">
        <v>18</v>
      </c>
      <c r="AV38" s="121"/>
      <c r="AW38" s="121" t="s">
        <v>19</v>
      </c>
      <c r="AX38" s="121"/>
      <c r="AY38" s="142"/>
      <c r="AZ38" s="135"/>
      <c r="BA38" s="138"/>
      <c r="BB38" s="139"/>
      <c r="BC38" s="140"/>
      <c r="BD38" s="140"/>
      <c r="BE38" s="141"/>
      <c r="BF38" s="139"/>
      <c r="BG38" s="139"/>
      <c r="BH38" s="139"/>
    </row>
    <row r="39" ht="21">
      <c r="A39" s="123" t="s">
        <v>20</v>
      </c>
      <c r="B39" s="123"/>
      <c r="C39" s="124" t="s">
        <v>21</v>
      </c>
      <c r="D39" s="124" t="s">
        <v>22</v>
      </c>
      <c r="E39" s="124" t="s">
        <v>21</v>
      </c>
      <c r="F39" s="124" t="s">
        <v>22</v>
      </c>
      <c r="G39" s="124" t="s">
        <v>21</v>
      </c>
      <c r="H39" s="124" t="s">
        <v>22</v>
      </c>
      <c r="I39" s="124" t="s">
        <v>21</v>
      </c>
      <c r="J39" s="124" t="s">
        <v>22</v>
      </c>
      <c r="K39" s="124" t="s">
        <v>21</v>
      </c>
      <c r="L39" s="124" t="s">
        <v>22</v>
      </c>
      <c r="M39" s="124" t="s">
        <v>21</v>
      </c>
      <c r="N39" s="124" t="s">
        <v>22</v>
      </c>
      <c r="O39" s="124" t="s">
        <v>21</v>
      </c>
      <c r="P39" s="124" t="s">
        <v>22</v>
      </c>
      <c r="Q39" s="124" t="s">
        <v>21</v>
      </c>
      <c r="R39" s="124" t="s">
        <v>22</v>
      </c>
      <c r="S39" s="124" t="s">
        <v>21</v>
      </c>
      <c r="T39" s="124" t="s">
        <v>22</v>
      </c>
      <c r="U39" s="124" t="s">
        <v>21</v>
      </c>
      <c r="V39" s="124" t="s">
        <v>22</v>
      </c>
      <c r="W39" s="124" t="s">
        <v>21</v>
      </c>
      <c r="X39" s="124" t="s">
        <v>22</v>
      </c>
      <c r="Y39" s="124" t="s">
        <v>21</v>
      </c>
      <c r="Z39" s="124" t="s">
        <v>22</v>
      </c>
      <c r="AA39" s="124" t="s">
        <v>21</v>
      </c>
      <c r="AB39" s="124" t="s">
        <v>22</v>
      </c>
      <c r="AC39" s="124" t="s">
        <v>21</v>
      </c>
      <c r="AD39" s="124" t="s">
        <v>22</v>
      </c>
      <c r="AE39" s="124" t="s">
        <v>21</v>
      </c>
      <c r="AF39" s="124" t="s">
        <v>22</v>
      </c>
      <c r="AG39" s="124" t="s">
        <v>21</v>
      </c>
      <c r="AH39" s="124" t="s">
        <v>22</v>
      </c>
      <c r="AI39" s="124" t="s">
        <v>21</v>
      </c>
      <c r="AJ39" s="124" t="s">
        <v>22</v>
      </c>
      <c r="AK39" s="124" t="s">
        <v>21</v>
      </c>
      <c r="AL39" s="124" t="s">
        <v>22</v>
      </c>
      <c r="AM39" s="124" t="s">
        <v>21</v>
      </c>
      <c r="AN39" s="124" t="s">
        <v>22</v>
      </c>
      <c r="AO39" s="124" t="s">
        <v>21</v>
      </c>
      <c r="AP39" s="124" t="s">
        <v>22</v>
      </c>
      <c r="AQ39" s="124" t="s">
        <v>21</v>
      </c>
      <c r="AR39" s="124" t="s">
        <v>22</v>
      </c>
      <c r="AS39" s="124" t="s">
        <v>21</v>
      </c>
      <c r="AT39" s="124" t="s">
        <v>22</v>
      </c>
      <c r="AU39" s="124" t="s">
        <v>21</v>
      </c>
      <c r="AV39" s="124" t="s">
        <v>22</v>
      </c>
      <c r="AW39" s="124" t="s">
        <v>21</v>
      </c>
      <c r="AX39" s="124" t="s">
        <v>22</v>
      </c>
      <c r="AY39" s="123" t="s">
        <v>20</v>
      </c>
      <c r="AZ39" s="123"/>
      <c r="BA39" s="138"/>
      <c r="BB39" s="139"/>
      <c r="BC39" s="140"/>
      <c r="BD39" s="140"/>
      <c r="BE39" s="141"/>
      <c r="BF39" s="139"/>
      <c r="BG39" s="139"/>
      <c r="BH39" s="139"/>
    </row>
    <row r="40" ht="55" customHeight="1">
      <c r="A40" s="123" t="s">
        <v>36</v>
      </c>
      <c r="B40" s="123"/>
      <c r="C40" s="127">
        <f>SUM(C14:C15)</f>
        <v>0</v>
      </c>
      <c r="D40" s="127">
        <f>SUM(D14:D15)</f>
        <v>0</v>
      </c>
      <c r="E40" s="127">
        <f>SUM(E14:E15)</f>
        <v>0</v>
      </c>
      <c r="F40" s="127">
        <f>SUM(F14:F15)</f>
        <v>0</v>
      </c>
      <c r="G40" s="127">
        <f>SUM(G14:G15)</f>
        <v>0</v>
      </c>
      <c r="H40" s="127">
        <f>SUM(H14:H15)</f>
        <v>0</v>
      </c>
      <c r="I40" s="127">
        <f>SUM(I14:I15)</f>
        <v>0</v>
      </c>
      <c r="J40" s="127">
        <f>SUM(J14:J15)</f>
        <v>0</v>
      </c>
      <c r="K40" s="127">
        <f>SUM(K14:K15)</f>
        <v>0</v>
      </c>
      <c r="L40" s="127">
        <f>SUM(L14:L15)</f>
        <v>2</v>
      </c>
      <c r="M40" s="127">
        <f>SUM(M14:M15)</f>
        <v>0</v>
      </c>
      <c r="N40" s="127">
        <f>SUM(N14:N15)</f>
        <v>0</v>
      </c>
      <c r="O40" s="127">
        <f>SUM(O14:O15)</f>
        <v>0</v>
      </c>
      <c r="P40" s="127">
        <f>SUM(P14:P15)</f>
        <v>1</v>
      </c>
      <c r="Q40" s="127">
        <f>SUM(Q14:Q15)</f>
        <v>0</v>
      </c>
      <c r="R40" s="127">
        <f>SUM(R14:R15)</f>
        <v>0</v>
      </c>
      <c r="S40" s="127">
        <f>SUM(S14:S15)</f>
        <v>0</v>
      </c>
      <c r="T40" s="127">
        <f>SUM(T14:T15)</f>
        <v>1</v>
      </c>
      <c r="U40" s="127">
        <f>SUM(U14:U15)</f>
        <v>0</v>
      </c>
      <c r="V40" s="127">
        <f>SUM(V14:V15)</f>
        <v>0</v>
      </c>
      <c r="W40" s="127">
        <f>SUM(W14:W15)</f>
        <v>0</v>
      </c>
      <c r="X40" s="127">
        <f>SUM(X14:X15)</f>
        <v>0</v>
      </c>
      <c r="Y40" s="127">
        <f>SUM(Y14:Y15)</f>
        <v>0</v>
      </c>
      <c r="Z40" s="127">
        <f>SUM(Z14:Z15)</f>
        <v>0</v>
      </c>
      <c r="AA40" s="127">
        <f>SUM(AA14:AA15)</f>
        <v>0</v>
      </c>
      <c r="AB40" s="127">
        <f>SUM(AB14:AB15)</f>
        <v>0</v>
      </c>
      <c r="AC40" s="127">
        <f>SUM(AC14:AC15)</f>
        <v>0</v>
      </c>
      <c r="AD40" s="127">
        <f>SUM(AD14:AD15)</f>
        <v>0</v>
      </c>
      <c r="AE40" s="127">
        <f>SUM(AE14:AE15)</f>
        <v>0</v>
      </c>
      <c r="AF40" s="127">
        <f>SUM(AF14:AF15)</f>
        <v>0</v>
      </c>
      <c r="AG40" s="127">
        <f>SUM(AG14:AG15)</f>
        <v>0</v>
      </c>
      <c r="AH40" s="127">
        <f>SUM(AH14:AH15)</f>
        <v>0</v>
      </c>
      <c r="AI40" s="127">
        <f>SUM(AI14:AI15)</f>
        <v>0</v>
      </c>
      <c r="AJ40" s="127">
        <f>SUM(AJ14:AJ15)</f>
        <v>0</v>
      </c>
      <c r="AK40" s="127">
        <f>SUM(AK14:AK15)</f>
        <v>0</v>
      </c>
      <c r="AL40" s="127">
        <f>SUM(AL14:AL15)</f>
        <v>0</v>
      </c>
      <c r="AM40" s="127">
        <f>SUM(AM14:AM15)</f>
        <v>0</v>
      </c>
      <c r="AN40" s="127">
        <f>SUM(AN14:AN15)</f>
        <v>0</v>
      </c>
      <c r="AO40" s="127">
        <f>SUM(AO14:AO15)</f>
        <v>0</v>
      </c>
      <c r="AP40" s="127">
        <f>SUM(AP14:AP15)</f>
        <v>0</v>
      </c>
      <c r="AQ40" s="127">
        <f>SUM(AQ14:AQ15)</f>
        <v>0</v>
      </c>
      <c r="AR40" s="127">
        <f>SUM(AR14:AR15)</f>
        <v>0</v>
      </c>
      <c r="AS40" s="127">
        <f>SUM(AS14:AS15)</f>
        <v>0</v>
      </c>
      <c r="AT40" s="127">
        <f>SUM(AT14:AT15)</f>
        <v>0</v>
      </c>
      <c r="AU40" s="127">
        <f>SUM(AU14:AU15)</f>
        <v>0</v>
      </c>
      <c r="AV40" s="127">
        <f>SUM(AV14:AV15)</f>
        <v>0</v>
      </c>
      <c r="AW40" s="127">
        <f>SUM(AW14:AW15)</f>
        <v>0</v>
      </c>
      <c r="AX40" s="127">
        <f>SUM(AX14:AX15)</f>
        <v>0</v>
      </c>
      <c r="AY40" s="123" t="str">
        <f t="shared" ref="AY40:AY44" si="67">A40</f>
        <v xml:space="preserve">6:30 à 7:00</v>
      </c>
      <c r="AZ40" s="123"/>
      <c r="BA40" s="143">
        <f t="shared" ref="BA40:BA45" si="68">SUM(C40:AX40)</f>
        <v>4</v>
      </c>
      <c r="BB40" s="144">
        <f t="shared" ref="BB40:BB45" si="69">C40+E40+G40+I40+K40+M40+O40+Q40+S40+U40+W40+Y40+AA40+AC40+AE40+AG40+AI40+AK40+AM40+AO40+AQ40+AS40+AU40+AW40</f>
        <v>0</v>
      </c>
      <c r="BC40" s="144">
        <f t="shared" ref="BC40:BC45" si="70">E40+F40+I40+J40+M40+N40+Q40+R40+U40+V40+Y40+Z40+AC40+AD40+AG40+AH40+AK40+AL40+AO40+AP40+AS40+AT40+AW40+AX40</f>
        <v>0</v>
      </c>
      <c r="BD40" s="144">
        <f t="shared" ref="BD40:BD45" si="71">E40+I40+M40+Q40+U40+Y40+AC40+AG40+AK40+AO40+AS40+AW40</f>
        <v>0</v>
      </c>
      <c r="BE40" s="144">
        <f t="shared" ref="BE40:BE45" si="72">SUM(K40:N40)+SUM(S40:V40)+SUM(AA40:AD40)+SUM(AM40:AX40)</f>
        <v>3</v>
      </c>
      <c r="BF40" s="145" t="s">
        <v>78</v>
      </c>
      <c r="BG40" s="146"/>
      <c r="BH40" s="146"/>
    </row>
    <row r="41" ht="55" customHeight="1">
      <c r="A41" s="123" t="s">
        <v>37</v>
      </c>
      <c r="B41" s="123"/>
      <c r="C41" s="127">
        <f>SUM(C16:C17)</f>
        <v>0</v>
      </c>
      <c r="D41" s="127">
        <f>SUM(D16:D17)</f>
        <v>0</v>
      </c>
      <c r="E41" s="127">
        <f>SUM(E16:E17)</f>
        <v>0</v>
      </c>
      <c r="F41" s="127">
        <f>SUM(F16:F17)</f>
        <v>0</v>
      </c>
      <c r="G41" s="127">
        <f>SUM(G16:G17)</f>
        <v>0</v>
      </c>
      <c r="H41" s="127">
        <f>SUM(H16:H17)</f>
        <v>0</v>
      </c>
      <c r="I41" s="127">
        <f>SUM(I16:I17)</f>
        <v>0</v>
      </c>
      <c r="J41" s="127">
        <f>SUM(J16:J17)</f>
        <v>0</v>
      </c>
      <c r="K41" s="127">
        <f>SUM(K16:K17)</f>
        <v>1</v>
      </c>
      <c r="L41" s="127">
        <f>SUM(L16:L17)</f>
        <v>3</v>
      </c>
      <c r="M41" s="127">
        <f>SUM(M16:M17)</f>
        <v>0</v>
      </c>
      <c r="N41" s="127">
        <f>SUM(N16:N17)</f>
        <v>0</v>
      </c>
      <c r="O41" s="127">
        <f>SUM(O16:O17)</f>
        <v>0</v>
      </c>
      <c r="P41" s="127">
        <f>SUM(P16:P17)</f>
        <v>0</v>
      </c>
      <c r="Q41" s="127">
        <f>SUM(Q16:Q17)</f>
        <v>0</v>
      </c>
      <c r="R41" s="127">
        <f>SUM(R16:R17)</f>
        <v>0</v>
      </c>
      <c r="S41" s="127">
        <f>SUM(S16:S17)</f>
        <v>0</v>
      </c>
      <c r="T41" s="127">
        <f>SUM(T16:T17)</f>
        <v>1</v>
      </c>
      <c r="U41" s="127">
        <f>SUM(U16:U17)</f>
        <v>0</v>
      </c>
      <c r="V41" s="127">
        <f>SUM(V16:V17)</f>
        <v>0</v>
      </c>
      <c r="W41" s="127">
        <f>SUM(W16:W17)</f>
        <v>0</v>
      </c>
      <c r="X41" s="127">
        <f>SUM(X16:X17)</f>
        <v>0</v>
      </c>
      <c r="Y41" s="127">
        <f>SUM(Y16:Y17)</f>
        <v>0</v>
      </c>
      <c r="Z41" s="127">
        <f>SUM(Z16:Z17)</f>
        <v>0</v>
      </c>
      <c r="AA41" s="127">
        <f>SUM(AA16:AA17)</f>
        <v>0</v>
      </c>
      <c r="AB41" s="127">
        <f>SUM(AB16:AB17)</f>
        <v>0</v>
      </c>
      <c r="AC41" s="127">
        <f>SUM(AC16:AC17)</f>
        <v>0</v>
      </c>
      <c r="AD41" s="127">
        <f>SUM(AD16:AD17)</f>
        <v>0</v>
      </c>
      <c r="AE41" s="127">
        <f>SUM(AE16:AE17)</f>
        <v>0</v>
      </c>
      <c r="AF41" s="127">
        <f>SUM(AF16:AF17)</f>
        <v>1</v>
      </c>
      <c r="AG41" s="127">
        <f>SUM(AG16:AG17)</f>
        <v>0</v>
      </c>
      <c r="AH41" s="127">
        <f>SUM(AH16:AH17)</f>
        <v>0</v>
      </c>
      <c r="AI41" s="127">
        <f>SUM(AI16:AI17)</f>
        <v>0</v>
      </c>
      <c r="AJ41" s="127">
        <f>SUM(AJ16:AJ17)</f>
        <v>0</v>
      </c>
      <c r="AK41" s="127">
        <f>SUM(AK16:AK17)</f>
        <v>0</v>
      </c>
      <c r="AL41" s="127">
        <f>SUM(AL16:AL17)</f>
        <v>0</v>
      </c>
      <c r="AM41" s="127">
        <f>SUM(AM16:AM17)</f>
        <v>0</v>
      </c>
      <c r="AN41" s="127">
        <f>SUM(AN16:AN17)</f>
        <v>0</v>
      </c>
      <c r="AO41" s="127">
        <f>SUM(AO16:AO17)</f>
        <v>0</v>
      </c>
      <c r="AP41" s="127">
        <f>SUM(AP16:AP17)</f>
        <v>0</v>
      </c>
      <c r="AQ41" s="127">
        <f>SUM(AQ16:AQ17)</f>
        <v>0</v>
      </c>
      <c r="AR41" s="127">
        <f>SUM(AR16:AR17)</f>
        <v>0</v>
      </c>
      <c r="AS41" s="127">
        <f>SUM(AS16:AS17)</f>
        <v>0</v>
      </c>
      <c r="AT41" s="127">
        <f>SUM(AT16:AT17)</f>
        <v>0</v>
      </c>
      <c r="AU41" s="127">
        <f>SUM(AU16:AU17)</f>
        <v>0</v>
      </c>
      <c r="AV41" s="127">
        <f>SUM(AV16:AV17)</f>
        <v>0</v>
      </c>
      <c r="AW41" s="127">
        <f>SUM(AW16:AW17)</f>
        <v>0</v>
      </c>
      <c r="AX41" s="127">
        <f>SUM(AX16:AX17)</f>
        <v>0</v>
      </c>
      <c r="AY41" s="123" t="str">
        <f t="shared" si="67"/>
        <v xml:space="preserve">7:00 à 7:30</v>
      </c>
      <c r="AZ41" s="123"/>
      <c r="BA41" s="143">
        <f t="shared" si="68"/>
        <v>6</v>
      </c>
      <c r="BB41" s="144">
        <f t="shared" si="69"/>
        <v>1</v>
      </c>
      <c r="BC41" s="144">
        <f t="shared" si="70"/>
        <v>0</v>
      </c>
      <c r="BD41" s="144">
        <f t="shared" si="71"/>
        <v>0</v>
      </c>
      <c r="BE41" s="144">
        <f t="shared" si="72"/>
        <v>5</v>
      </c>
      <c r="BF41" s="145" t="s">
        <v>79</v>
      </c>
      <c r="BG41" s="146"/>
      <c r="BH41" s="146"/>
    </row>
    <row r="42" ht="55" customHeight="1">
      <c r="A42" s="123" t="s">
        <v>38</v>
      </c>
      <c r="B42" s="123"/>
      <c r="C42" s="127">
        <f>SUM(C18:C19)</f>
        <v>1</v>
      </c>
      <c r="D42" s="127">
        <f>SUM(D18:D19)</f>
        <v>0</v>
      </c>
      <c r="E42" s="127">
        <f>SUM(E18:E19)</f>
        <v>1</v>
      </c>
      <c r="F42" s="127">
        <f>SUM(F18:F19)</f>
        <v>0</v>
      </c>
      <c r="G42" s="127">
        <f>SUM(G18:G19)</f>
        <v>0</v>
      </c>
      <c r="H42" s="127">
        <f>SUM(H18:H19)</f>
        <v>0</v>
      </c>
      <c r="I42" s="127">
        <f>SUM(I18:I19)</f>
        <v>0</v>
      </c>
      <c r="J42" s="127">
        <f>SUM(J18:J19)</f>
        <v>0</v>
      </c>
      <c r="K42" s="127">
        <f>SUM(K18:K19)</f>
        <v>0</v>
      </c>
      <c r="L42" s="127">
        <f>SUM(L18:L19)</f>
        <v>1</v>
      </c>
      <c r="M42" s="127">
        <f>SUM(M18:M19)</f>
        <v>0</v>
      </c>
      <c r="N42" s="127">
        <f>SUM(N18:N19)</f>
        <v>1</v>
      </c>
      <c r="O42" s="127">
        <f>SUM(O18:O19)</f>
        <v>0</v>
      </c>
      <c r="P42" s="127">
        <f>SUM(P18:P19)</f>
        <v>0</v>
      </c>
      <c r="Q42" s="127">
        <f>SUM(Q18:Q19)</f>
        <v>0</v>
      </c>
      <c r="R42" s="127">
        <f>SUM(R18:R19)</f>
        <v>0</v>
      </c>
      <c r="S42" s="127">
        <f>SUM(S18:S19)</f>
        <v>0</v>
      </c>
      <c r="T42" s="127">
        <f>SUM(T18:T19)</f>
        <v>1</v>
      </c>
      <c r="U42" s="127">
        <f>SUM(U18:U19)</f>
        <v>0</v>
      </c>
      <c r="V42" s="127">
        <f>SUM(V18:V19)</f>
        <v>0</v>
      </c>
      <c r="W42" s="127">
        <f>SUM(W18:W19)</f>
        <v>0</v>
      </c>
      <c r="X42" s="127">
        <f>SUM(X18:X19)</f>
        <v>0</v>
      </c>
      <c r="Y42" s="127">
        <f>SUM(Y18:Y19)</f>
        <v>0</v>
      </c>
      <c r="Z42" s="127">
        <f>SUM(Z18:Z19)</f>
        <v>0</v>
      </c>
      <c r="AA42" s="127">
        <f>SUM(AA18:AA19)</f>
        <v>0</v>
      </c>
      <c r="AB42" s="127">
        <f>SUM(AB18:AB19)</f>
        <v>0</v>
      </c>
      <c r="AC42" s="127">
        <f>SUM(AC18:AC19)</f>
        <v>0</v>
      </c>
      <c r="AD42" s="127">
        <f>SUM(AD18:AD19)</f>
        <v>0</v>
      </c>
      <c r="AE42" s="127">
        <f>SUM(AE18:AE19)</f>
        <v>0</v>
      </c>
      <c r="AF42" s="127">
        <f>SUM(AF18:AF19)</f>
        <v>0</v>
      </c>
      <c r="AG42" s="127">
        <f>SUM(AG18:AG19)</f>
        <v>0</v>
      </c>
      <c r="AH42" s="127">
        <f>SUM(AH18:AH19)</f>
        <v>0</v>
      </c>
      <c r="AI42" s="127">
        <f>SUM(AI18:AI19)</f>
        <v>0</v>
      </c>
      <c r="AJ42" s="127">
        <f>SUM(AJ18:AJ19)</f>
        <v>0</v>
      </c>
      <c r="AK42" s="127">
        <f>SUM(AK18:AK19)</f>
        <v>0</v>
      </c>
      <c r="AL42" s="127">
        <f>SUM(AL18:AL19)</f>
        <v>0</v>
      </c>
      <c r="AM42" s="127">
        <f>SUM(AM18:AM19)</f>
        <v>1</v>
      </c>
      <c r="AN42" s="127">
        <f>SUM(AN18:AN19)</f>
        <v>0</v>
      </c>
      <c r="AO42" s="127">
        <f>SUM(AO18:AO19)</f>
        <v>0</v>
      </c>
      <c r="AP42" s="127">
        <f>SUM(AP18:AP19)</f>
        <v>0</v>
      </c>
      <c r="AQ42" s="127">
        <f>SUM(AQ18:AQ19)</f>
        <v>0</v>
      </c>
      <c r="AR42" s="127">
        <f>SUM(AR18:AR19)</f>
        <v>0</v>
      </c>
      <c r="AS42" s="127">
        <f>SUM(AS18:AS19)</f>
        <v>0</v>
      </c>
      <c r="AT42" s="127">
        <f>SUM(AT18:AT19)</f>
        <v>0</v>
      </c>
      <c r="AU42" s="127">
        <f>SUM(AU18:AU19)</f>
        <v>0</v>
      </c>
      <c r="AV42" s="127">
        <f>SUM(AV18:AV19)</f>
        <v>0</v>
      </c>
      <c r="AW42" s="127">
        <f>SUM(AW18:AW19)</f>
        <v>0</v>
      </c>
      <c r="AX42" s="127">
        <f>SUM(AX18:AX19)</f>
        <v>0</v>
      </c>
      <c r="AY42" s="123" t="str">
        <f t="shared" si="67"/>
        <v xml:space="preserve">7:30 à 8:00</v>
      </c>
      <c r="AZ42" s="123"/>
      <c r="BA42" s="143">
        <f t="shared" si="68"/>
        <v>6</v>
      </c>
      <c r="BB42" s="144">
        <f t="shared" si="69"/>
        <v>3</v>
      </c>
      <c r="BC42" s="144">
        <f t="shared" si="70"/>
        <v>2</v>
      </c>
      <c r="BD42" s="144">
        <f t="shared" si="71"/>
        <v>1</v>
      </c>
      <c r="BE42" s="144">
        <f t="shared" si="72"/>
        <v>4</v>
      </c>
      <c r="BF42" s="145" t="s">
        <v>79</v>
      </c>
      <c r="BG42" s="146"/>
      <c r="BH42" s="146"/>
    </row>
    <row r="43" ht="55" customHeight="1">
      <c r="A43" s="123" t="s">
        <v>39</v>
      </c>
      <c r="B43" s="123"/>
      <c r="C43" s="127">
        <f>SUM(C20:C21)</f>
        <v>0</v>
      </c>
      <c r="D43" s="127">
        <f>SUM(D20:D21)</f>
        <v>0</v>
      </c>
      <c r="E43" s="127">
        <f>SUM(E20:E21)</f>
        <v>0</v>
      </c>
      <c r="F43" s="127">
        <f>SUM(F20:F21)</f>
        <v>1</v>
      </c>
      <c r="G43" s="127">
        <f>SUM(G20:G21)</f>
        <v>0</v>
      </c>
      <c r="H43" s="127">
        <f>SUM(H20:H21)</f>
        <v>0</v>
      </c>
      <c r="I43" s="127">
        <f>SUM(I20:I21)</f>
        <v>0</v>
      </c>
      <c r="J43" s="127">
        <f>SUM(J20:J21)</f>
        <v>0</v>
      </c>
      <c r="K43" s="127">
        <f>SUM(K20:K21)</f>
        <v>0</v>
      </c>
      <c r="L43" s="127">
        <f>SUM(L20:L21)</f>
        <v>1</v>
      </c>
      <c r="M43" s="127">
        <f>SUM(M20:M21)</f>
        <v>0</v>
      </c>
      <c r="N43" s="127">
        <f>SUM(N20:N21)</f>
        <v>0</v>
      </c>
      <c r="O43" s="127">
        <f>SUM(O20:O21)</f>
        <v>0</v>
      </c>
      <c r="P43" s="127">
        <f>SUM(P20:P21)</f>
        <v>0</v>
      </c>
      <c r="Q43" s="127">
        <f>SUM(Q20:Q21)</f>
        <v>0</v>
      </c>
      <c r="R43" s="127">
        <f>SUM(R20:R21)</f>
        <v>0</v>
      </c>
      <c r="S43" s="127">
        <f>SUM(S20:S21)</f>
        <v>0</v>
      </c>
      <c r="T43" s="127">
        <f>SUM(T20:T21)</f>
        <v>0</v>
      </c>
      <c r="U43" s="127">
        <f>SUM(U20:U21)</f>
        <v>0</v>
      </c>
      <c r="V43" s="127">
        <f>SUM(V20:V21)</f>
        <v>0</v>
      </c>
      <c r="W43" s="127">
        <f>SUM(W20:W21)</f>
        <v>0</v>
      </c>
      <c r="X43" s="127">
        <f>SUM(X20:X21)</f>
        <v>0</v>
      </c>
      <c r="Y43" s="127">
        <f>SUM(Y20:Y21)</f>
        <v>0</v>
      </c>
      <c r="Z43" s="127">
        <f>SUM(Z20:Z21)</f>
        <v>0</v>
      </c>
      <c r="AA43" s="127">
        <f>SUM(AA20:AA21)</f>
        <v>0</v>
      </c>
      <c r="AB43" s="127">
        <f>SUM(AB20:AB21)</f>
        <v>0</v>
      </c>
      <c r="AC43" s="127">
        <f>SUM(AC20:AC21)</f>
        <v>0</v>
      </c>
      <c r="AD43" s="127">
        <f>SUM(AD20:AD21)</f>
        <v>0</v>
      </c>
      <c r="AE43" s="127">
        <f>SUM(AE20:AE21)</f>
        <v>0</v>
      </c>
      <c r="AF43" s="127">
        <f>SUM(AF20:AF21)</f>
        <v>0</v>
      </c>
      <c r="AG43" s="127">
        <f>SUM(AG20:AG21)</f>
        <v>0</v>
      </c>
      <c r="AH43" s="127">
        <f>SUM(AH20:AH21)</f>
        <v>0</v>
      </c>
      <c r="AI43" s="127">
        <f>SUM(AI20:AI21)</f>
        <v>0</v>
      </c>
      <c r="AJ43" s="127">
        <f>SUM(AJ20:AJ21)</f>
        <v>0</v>
      </c>
      <c r="AK43" s="127">
        <f>SUM(AK20:AK21)</f>
        <v>0</v>
      </c>
      <c r="AL43" s="127">
        <f>SUM(AL20:AL21)</f>
        <v>0</v>
      </c>
      <c r="AM43" s="127">
        <f>SUM(AM20:AM21)</f>
        <v>1</v>
      </c>
      <c r="AN43" s="127">
        <f>SUM(AN20:AN21)</f>
        <v>0</v>
      </c>
      <c r="AO43" s="127">
        <f>SUM(AO20:AO21)</f>
        <v>0</v>
      </c>
      <c r="AP43" s="127">
        <f>SUM(AP20:AP21)</f>
        <v>0</v>
      </c>
      <c r="AQ43" s="127">
        <f>SUM(AQ20:AQ21)</f>
        <v>0</v>
      </c>
      <c r="AR43" s="127">
        <f>SUM(AR20:AR21)</f>
        <v>0</v>
      </c>
      <c r="AS43" s="127">
        <f>SUM(AS20:AS21)</f>
        <v>0</v>
      </c>
      <c r="AT43" s="127">
        <f>SUM(AT20:AT21)</f>
        <v>0</v>
      </c>
      <c r="AU43" s="127">
        <f>SUM(AU20:AU21)</f>
        <v>0</v>
      </c>
      <c r="AV43" s="127">
        <f>SUM(AV20:AV21)</f>
        <v>0</v>
      </c>
      <c r="AW43" s="127">
        <f>SUM(AW20:AW21)</f>
        <v>0</v>
      </c>
      <c r="AX43" s="127">
        <f>SUM(AX20:AX21)</f>
        <v>0</v>
      </c>
      <c r="AY43" s="123" t="str">
        <f t="shared" si="67"/>
        <v xml:space="preserve">8:00 à 8:30</v>
      </c>
      <c r="AZ43" s="123"/>
      <c r="BA43" s="143">
        <f t="shared" si="68"/>
        <v>3</v>
      </c>
      <c r="BB43" s="144">
        <f t="shared" si="69"/>
        <v>1</v>
      </c>
      <c r="BC43" s="144">
        <f t="shared" si="70"/>
        <v>1</v>
      </c>
      <c r="BD43" s="144">
        <f t="shared" si="71"/>
        <v>0</v>
      </c>
      <c r="BE43" s="144">
        <f t="shared" si="72"/>
        <v>2</v>
      </c>
      <c r="BF43" s="147" t="s">
        <v>80</v>
      </c>
      <c r="BG43" s="146"/>
      <c r="BH43" s="146"/>
    </row>
    <row r="44" ht="55" customHeight="1">
      <c r="A44" s="123" t="s">
        <v>40</v>
      </c>
      <c r="B44" s="123"/>
      <c r="C44" s="127">
        <f>SUM(C21:C23)</f>
        <v>0</v>
      </c>
      <c r="D44" s="127">
        <f>SUM(D21:D23)</f>
        <v>0</v>
      </c>
      <c r="E44" s="127">
        <f>SUM(E21:E23)</f>
        <v>0</v>
      </c>
      <c r="F44" s="127">
        <f>SUM(F21:F23)</f>
        <v>0</v>
      </c>
      <c r="G44" s="127">
        <f>SUM(G21:G23)</f>
        <v>0</v>
      </c>
      <c r="H44" s="127">
        <f>SUM(H21:H23)</f>
        <v>0</v>
      </c>
      <c r="I44" s="127">
        <f>SUM(I21:I23)</f>
        <v>0</v>
      </c>
      <c r="J44" s="127">
        <f>SUM(J21:J23)</f>
        <v>0</v>
      </c>
      <c r="K44" s="127">
        <f>SUM(K21:K23)</f>
        <v>1</v>
      </c>
      <c r="L44" s="127">
        <f>SUM(L21:L23)</f>
        <v>0</v>
      </c>
      <c r="M44" s="127">
        <f>SUM(M21:M23)</f>
        <v>0</v>
      </c>
      <c r="N44" s="127">
        <f>SUM(N21:N23)</f>
        <v>0</v>
      </c>
      <c r="O44" s="127">
        <f>SUM(O21:O23)</f>
        <v>0</v>
      </c>
      <c r="P44" s="127">
        <f>SUM(P21:P23)</f>
        <v>0</v>
      </c>
      <c r="Q44" s="127">
        <f>SUM(Q21:Q23)</f>
        <v>0</v>
      </c>
      <c r="R44" s="127">
        <f>SUM(R21:R23)</f>
        <v>0</v>
      </c>
      <c r="S44" s="127">
        <f>SUM(S21:S23)</f>
        <v>0</v>
      </c>
      <c r="T44" s="127">
        <f>SUM(T21:T23)</f>
        <v>0</v>
      </c>
      <c r="U44" s="127">
        <f>SUM(U21:U23)</f>
        <v>0</v>
      </c>
      <c r="V44" s="127">
        <f>SUM(V21:V23)</f>
        <v>0</v>
      </c>
      <c r="W44" s="127">
        <f>SUM(W21:W23)</f>
        <v>1</v>
      </c>
      <c r="X44" s="127">
        <f>SUM(X21:X23)</f>
        <v>0</v>
      </c>
      <c r="Y44" s="127">
        <f>SUM(Y21:Y23)</f>
        <v>0</v>
      </c>
      <c r="Z44" s="127">
        <f>SUM(Z21:Z23)</f>
        <v>0</v>
      </c>
      <c r="AA44" s="127">
        <f>SUM(AA21:AA23)</f>
        <v>0</v>
      </c>
      <c r="AB44" s="127">
        <f>SUM(AB21:AB23)</f>
        <v>0</v>
      </c>
      <c r="AC44" s="127">
        <f>SUM(AC21:AC23)</f>
        <v>0</v>
      </c>
      <c r="AD44" s="127">
        <f>SUM(AD21:AD23)</f>
        <v>1</v>
      </c>
      <c r="AE44" s="127">
        <f>SUM(AE21:AE23)</f>
        <v>0</v>
      </c>
      <c r="AF44" s="127">
        <f>SUM(AF21:AF23)</f>
        <v>1</v>
      </c>
      <c r="AG44" s="127">
        <f>SUM(AG21:AG23)</f>
        <v>0</v>
      </c>
      <c r="AH44" s="127">
        <f>SUM(AH21:AH23)</f>
        <v>1</v>
      </c>
      <c r="AI44" s="127">
        <f>SUM(AI21:AI23)</f>
        <v>0</v>
      </c>
      <c r="AJ44" s="127">
        <f>SUM(AJ21:AJ23)</f>
        <v>0</v>
      </c>
      <c r="AK44" s="127">
        <f>SUM(AK21:AK23)</f>
        <v>0</v>
      </c>
      <c r="AL44" s="127">
        <f>SUM(AL21:AL23)</f>
        <v>0</v>
      </c>
      <c r="AM44" s="127">
        <f>SUM(AM21:AM23)</f>
        <v>0</v>
      </c>
      <c r="AN44" s="127">
        <f>SUM(AN21:AN23)</f>
        <v>0</v>
      </c>
      <c r="AO44" s="127">
        <f>SUM(AO21:AO23)</f>
        <v>0</v>
      </c>
      <c r="AP44" s="127">
        <f>SUM(AP21:AP23)</f>
        <v>0</v>
      </c>
      <c r="AQ44" s="127">
        <f>SUM(AQ21:AQ23)</f>
        <v>0</v>
      </c>
      <c r="AR44" s="127">
        <f>SUM(AR21:AR23)</f>
        <v>0</v>
      </c>
      <c r="AS44" s="127">
        <f>SUM(AS21:AS23)</f>
        <v>0</v>
      </c>
      <c r="AT44" s="127">
        <f>SUM(AT21:AT23)</f>
        <v>0</v>
      </c>
      <c r="AU44" s="127">
        <f>SUM(AU21:AU23)</f>
        <v>0</v>
      </c>
      <c r="AV44" s="127">
        <f>SUM(AV21:AV23)</f>
        <v>0</v>
      </c>
      <c r="AW44" s="127">
        <f>SUM(AW21:AW23)</f>
        <v>0</v>
      </c>
      <c r="AX44" s="127">
        <f>SUM(AX21:AX23)</f>
        <v>0</v>
      </c>
      <c r="AY44" s="123" t="str">
        <f t="shared" si="67"/>
        <v xml:space="preserve">8:30 à 9:00</v>
      </c>
      <c r="AZ44" s="123"/>
      <c r="BA44" s="143">
        <f t="shared" si="68"/>
        <v>5</v>
      </c>
      <c r="BB44" s="144">
        <f t="shared" si="69"/>
        <v>2</v>
      </c>
      <c r="BC44" s="144">
        <f t="shared" si="70"/>
        <v>2</v>
      </c>
      <c r="BD44" s="144">
        <f t="shared" si="71"/>
        <v>0</v>
      </c>
      <c r="BE44" s="144">
        <f t="shared" si="72"/>
        <v>2</v>
      </c>
      <c r="BF44" s="148" t="s">
        <v>81</v>
      </c>
      <c r="BG44" s="146"/>
      <c r="BH44" s="146"/>
    </row>
    <row r="45" ht="55" customHeight="1">
      <c r="A45" s="123" t="s">
        <v>27</v>
      </c>
      <c r="B45" s="123"/>
      <c r="C45" s="149">
        <f>SUM(C14:C23)</f>
        <v>1</v>
      </c>
      <c r="D45" s="149">
        <f>SUM(D14:D23)</f>
        <v>0</v>
      </c>
      <c r="E45" s="149">
        <f>SUM(E14:E23)</f>
        <v>1</v>
      </c>
      <c r="F45" s="149">
        <f>SUM(F14:F23)</f>
        <v>1</v>
      </c>
      <c r="G45" s="149">
        <f>SUM(G14:G23)</f>
        <v>0</v>
      </c>
      <c r="H45" s="149">
        <f>SUM(H14:H23)</f>
        <v>0</v>
      </c>
      <c r="I45" s="149">
        <f>SUM(I14:I23)</f>
        <v>0</v>
      </c>
      <c r="J45" s="149">
        <f>SUM(J14:J23)</f>
        <v>0</v>
      </c>
      <c r="K45" s="149">
        <f>SUM(K14:K23)</f>
        <v>2</v>
      </c>
      <c r="L45" s="149">
        <f>SUM(L14:L23)</f>
        <v>7</v>
      </c>
      <c r="M45" s="149">
        <f>SUM(M14:M23)</f>
        <v>0</v>
      </c>
      <c r="N45" s="149">
        <f>SUM(N14:N23)</f>
        <v>1</v>
      </c>
      <c r="O45" s="149">
        <f>SUM(O14:O23)</f>
        <v>0</v>
      </c>
      <c r="P45" s="149">
        <f>SUM(P14:P23)</f>
        <v>1</v>
      </c>
      <c r="Q45" s="149">
        <f>SUM(Q14:Q23)</f>
        <v>0</v>
      </c>
      <c r="R45" s="149">
        <f>SUM(R14:R23)</f>
        <v>0</v>
      </c>
      <c r="S45" s="149">
        <f>SUM(S14:S23)</f>
        <v>0</v>
      </c>
      <c r="T45" s="149">
        <f>SUM(T14:T23)</f>
        <v>3</v>
      </c>
      <c r="U45" s="149">
        <f>SUM(U14:U23)</f>
        <v>0</v>
      </c>
      <c r="V45" s="149">
        <f>SUM(V14:V23)</f>
        <v>0</v>
      </c>
      <c r="W45" s="149">
        <f>SUM(W14:W23)</f>
        <v>1</v>
      </c>
      <c r="X45" s="149">
        <f>SUM(X14:X23)</f>
        <v>0</v>
      </c>
      <c r="Y45" s="149">
        <f>SUM(Y14:Y23)</f>
        <v>0</v>
      </c>
      <c r="Z45" s="149">
        <f>SUM(Z14:Z23)</f>
        <v>0</v>
      </c>
      <c r="AA45" s="149">
        <f>SUM(AA14:AA23)</f>
        <v>0</v>
      </c>
      <c r="AB45" s="149">
        <f>SUM(AB14:AB23)</f>
        <v>0</v>
      </c>
      <c r="AC45" s="149">
        <f>SUM(AC14:AC23)</f>
        <v>0</v>
      </c>
      <c r="AD45" s="149">
        <f>SUM(AD14:AD23)</f>
        <v>1</v>
      </c>
      <c r="AE45" s="149">
        <f>SUM(AE14:AE23)</f>
        <v>0</v>
      </c>
      <c r="AF45" s="149">
        <f>SUM(AF14:AF23)</f>
        <v>2</v>
      </c>
      <c r="AG45" s="149">
        <f>SUM(AG14:AG23)</f>
        <v>0</v>
      </c>
      <c r="AH45" s="149">
        <f>SUM(AH14:AH23)</f>
        <v>1</v>
      </c>
      <c r="AI45" s="149">
        <f>SUM(AI14:AI23)</f>
        <v>0</v>
      </c>
      <c r="AJ45" s="149">
        <f>SUM(AJ14:AJ23)</f>
        <v>0</v>
      </c>
      <c r="AK45" s="149">
        <f>SUM(AK14:AK23)</f>
        <v>0</v>
      </c>
      <c r="AL45" s="149">
        <f>SUM(AL14:AL23)</f>
        <v>0</v>
      </c>
      <c r="AM45" s="149">
        <f>SUM(AM14:AM23)</f>
        <v>2</v>
      </c>
      <c r="AN45" s="149">
        <f>SUM(AN14:AN23)</f>
        <v>0</v>
      </c>
      <c r="AO45" s="149">
        <f>SUM(AO14:AO23)</f>
        <v>0</v>
      </c>
      <c r="AP45" s="149">
        <f>SUM(AP14:AP23)</f>
        <v>0</v>
      </c>
      <c r="AQ45" s="149">
        <f>SUM(AQ14:AQ23)</f>
        <v>0</v>
      </c>
      <c r="AR45" s="149">
        <f>SUM(AR14:AR23)</f>
        <v>0</v>
      </c>
      <c r="AS45" s="149">
        <f>SUM(AS14:AS23)</f>
        <v>0</v>
      </c>
      <c r="AT45" s="149">
        <f>SUM(AT14:AT23)</f>
        <v>0</v>
      </c>
      <c r="AU45" s="149">
        <f>SUM(AU14:AU23)</f>
        <v>0</v>
      </c>
      <c r="AV45" s="149">
        <f>SUM(AV14:AV23)</f>
        <v>0</v>
      </c>
      <c r="AW45" s="149">
        <f>SUM(AW14:AW23)</f>
        <v>0</v>
      </c>
      <c r="AX45" s="149">
        <f>SUM(AX14:AX23)</f>
        <v>0</v>
      </c>
      <c r="AY45" s="150" t="s">
        <v>27</v>
      </c>
      <c r="AZ45" s="150"/>
      <c r="BA45" s="151">
        <f t="shared" si="68"/>
        <v>24</v>
      </c>
      <c r="BB45" s="152">
        <f t="shared" si="69"/>
        <v>7</v>
      </c>
      <c r="BC45" s="152">
        <f t="shared" si="70"/>
        <v>5</v>
      </c>
      <c r="BD45" s="152">
        <f t="shared" si="71"/>
        <v>1</v>
      </c>
      <c r="BE45" s="152">
        <f t="shared" si="72"/>
        <v>16</v>
      </c>
      <c r="BF45" s="147"/>
      <c r="BG45" s="146"/>
      <c r="BH45" s="146"/>
    </row>
    <row r="46" ht="42.75" customHeight="1">
      <c r="A46" s="153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3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3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23" t="str">
        <f>IF($BA$40=MAX($BA$40:$BA$44),AY40,IF($BA$41=MAX($BA$40:$BA$44),AY41,IF($BA$42=MAX($BA$40:$BA$44),AY42,IF($BA$43=MAX($BA$40:$BA$44),AY43,IF($BA$44=MAX($BA$40:$BA$44),AY44,AY43)))))</f>
        <v xml:space="preserve">7:00 à 7:30</v>
      </c>
      <c r="AZ46" s="123"/>
      <c r="BA46" s="155">
        <f>IF($BA$40=MAX($BA$40:$BA$44),BA40,IF($BA$41=MAX($BA$40:$BA$44),BA41,IF($BA$42=MAX($BA$40:$BA$44),BA42,IF($BA$43=MAX($BA$40:$BA$44),BA43,IF($BA$44=MAX($BA$40:$BA$44),BA44,BA43)))))</f>
        <v>6</v>
      </c>
      <c r="BB46" s="155">
        <f>IF($BA$40=MAX($BA$40:$BA$44),BB40,IF($BA$41=MAX($BA$40:$BA$44),BB41,IF($BA$42=MAX($BA$40:$BA$44),BB42,IF($BA$43=MAX($BA$40:$BA$44),BB43,IF($BA$44=MAX($BA$40:$BA$44),BB44,BB43)))))</f>
        <v>1</v>
      </c>
      <c r="BC46" s="155">
        <f>IF($BA$40=MAX($BA$40:$BA$44),BC40,IF($BA$41=MAX($BA$40:$BA$44),BC41,IF($BA$42=MAX($BA$40:$BA$44),BC42,IF($BA$43=MAX($BA$40:$BA$44),BC43,IF($BA$44=MAX($BA$40:$BA$44),BC44,BC43)))))</f>
        <v>0</v>
      </c>
      <c r="BD46" s="155">
        <f>IF($BA$40=MAX($BA$40:$BA$44),BD40,IF($BA$41=MAX($BA$40:$BA$44),BD41,IF($BA$42=MAX($BA$40:$BA$44),BD42,IF($BA$43=MAX($BA$40:$BA$44),BD43,IF($BA$44=MAX($BA$40:$BA$44),BD44,BD43)))))</f>
        <v>0</v>
      </c>
      <c r="BE46" s="155">
        <f>IF($BA$40=MAX($BA$40:$BA$44),BE40,IF($BA$41=MAX($BA$40:$BA$44),BE41,IF($BA$42=MAX($BA$40:$BA$44),BE42,IF($BA$43=MAX($BA$40:$BA$44),BE43,IF($BA$44=MAX($BA$40:$BA$44),BE44,BE43)))))</f>
        <v>5</v>
      </c>
      <c r="BF46" s="147"/>
      <c r="BG46" s="146"/>
      <c r="BH46" s="146"/>
    </row>
    <row r="47" ht="20.25" customHeight="1">
      <c r="A47" s="156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6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6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37"/>
      <c r="AZ47" s="135"/>
      <c r="BA47" s="138" t="s">
        <v>27</v>
      </c>
      <c r="BB47" s="158" t="s">
        <v>43</v>
      </c>
      <c r="BC47" s="158" t="s">
        <v>44</v>
      </c>
      <c r="BD47" s="158" t="s">
        <v>45</v>
      </c>
      <c r="BE47" s="158" t="str">
        <f>BE36</f>
        <v xml:space="preserve">Cycles sur route de Reignier</v>
      </c>
      <c r="BF47" s="139" t="s">
        <v>62</v>
      </c>
      <c r="BG47" s="139"/>
      <c r="BH47" s="139"/>
    </row>
    <row r="48" ht="21">
      <c r="A48" s="156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37"/>
      <c r="AZ48" s="135"/>
      <c r="BA48" s="138"/>
      <c r="BB48" s="158"/>
      <c r="BC48" s="158"/>
      <c r="BD48" s="158"/>
      <c r="BE48" s="158"/>
      <c r="BF48" s="139"/>
      <c r="BG48" s="139"/>
      <c r="BH48" s="139"/>
      <c r="BI48" s="157"/>
    </row>
    <row r="49" ht="21">
      <c r="A49" s="156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42"/>
      <c r="AZ49" s="135"/>
      <c r="BA49" s="138"/>
      <c r="BB49" s="158"/>
      <c r="BC49" s="158"/>
      <c r="BD49" s="158"/>
      <c r="BE49" s="158"/>
      <c r="BF49" s="139"/>
      <c r="BG49" s="139"/>
      <c r="BH49" s="139"/>
      <c r="BI49" s="157"/>
    </row>
    <row r="50" ht="21">
      <c r="A50" s="156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23" t="s">
        <v>20</v>
      </c>
      <c r="AZ50" s="123"/>
      <c r="BA50" s="138"/>
      <c r="BB50" s="158"/>
      <c r="BC50" s="158"/>
      <c r="BD50" s="158"/>
      <c r="BE50" s="158"/>
      <c r="BF50" s="139"/>
      <c r="BG50" s="139"/>
      <c r="BH50" s="139"/>
      <c r="BI50" s="157"/>
    </row>
    <row r="51" ht="35.149999999999999" customHeight="1">
      <c r="A51" s="156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23" t="str">
        <f t="shared" ref="AY51:AY55" si="73">AY40</f>
        <v xml:space="preserve">6:30 à 7:00</v>
      </c>
      <c r="AZ51" s="123"/>
      <c r="BA51" s="159"/>
      <c r="BB51" s="160">
        <f>IF(BB40=0,0,BB40/BA40)</f>
        <v>0</v>
      </c>
      <c r="BC51" s="160">
        <f>IF(BC40=0,0,BC40/BA40)</f>
        <v>0</v>
      </c>
      <c r="BD51" s="160">
        <f>IF(BD40=0,0,BD40/BB40)</f>
        <v>0</v>
      </c>
      <c r="BE51" s="160">
        <f>IF(BE40=0,0,BE40/BA40)</f>
        <v>0.75</v>
      </c>
      <c r="BF51" s="147"/>
      <c r="BG51" s="146"/>
      <c r="BH51" s="146"/>
      <c r="BI51" s="157"/>
    </row>
    <row r="52" ht="35.149999999999999" customHeight="1">
      <c r="A52" s="156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23" t="str">
        <f t="shared" si="73"/>
        <v xml:space="preserve">7:00 à 7:30</v>
      </c>
      <c r="AZ52" s="123"/>
      <c r="BA52" s="159"/>
      <c r="BB52" s="160">
        <f>IF(BB42=0,0,BB42/BA42)</f>
        <v>0.5</v>
      </c>
      <c r="BC52" s="160">
        <f>IF(BC42=0,0,BC42/BA42)</f>
        <v>0.33333333333333298</v>
      </c>
      <c r="BD52" s="160">
        <f>IF(BD42=0,0,BD42/BB42)</f>
        <v>0.33333333333333298</v>
      </c>
      <c r="BE52" s="160">
        <f>IF(BE42=0,0,BE42/BA42)</f>
        <v>0.66666666666666696</v>
      </c>
      <c r="BF52" s="147"/>
      <c r="BG52" s="146"/>
      <c r="BH52" s="146"/>
      <c r="BI52" s="157"/>
    </row>
    <row r="53" ht="35.149999999999999" customHeight="1">
      <c r="A53" s="156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23" t="str">
        <f t="shared" si="73"/>
        <v xml:space="preserve">7:30 à 8:00</v>
      </c>
      <c r="AZ53" s="123"/>
      <c r="BA53" s="159"/>
      <c r="BB53" s="160">
        <f t="shared" ref="BB53:BB56" si="74">IF(BB42=0,0,BB42/BA42)</f>
        <v>0.5</v>
      </c>
      <c r="BC53" s="160">
        <f t="shared" ref="BC53:BC56" si="75">IF(BC42=0,0,BC42/BA42)</f>
        <v>0.33333333333333298</v>
      </c>
      <c r="BD53" s="160">
        <f t="shared" ref="BD53:BD56" si="76">IF(BD42=0,0,BD42/BB42)</f>
        <v>0.33333333333333298</v>
      </c>
      <c r="BE53" s="160">
        <f t="shared" ref="BE53:BE56" si="77">IF(BE42=0,0,BE42/BA42)</f>
        <v>0.66666666666666696</v>
      </c>
      <c r="BF53" s="147"/>
      <c r="BG53" s="146"/>
      <c r="BH53" s="146"/>
      <c r="BI53" s="157"/>
    </row>
    <row r="54" ht="35.149999999999999" customHeight="1">
      <c r="A54" s="156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23" t="str">
        <f t="shared" si="73"/>
        <v xml:space="preserve">8:00 à 8:30</v>
      </c>
      <c r="AZ54" s="123"/>
      <c r="BA54" s="159"/>
      <c r="BB54" s="160">
        <f t="shared" si="74"/>
        <v>0.33333333333333298</v>
      </c>
      <c r="BC54" s="160">
        <f t="shared" si="75"/>
        <v>0.33333333333333298</v>
      </c>
      <c r="BD54" s="160">
        <f t="shared" si="76"/>
        <v>0</v>
      </c>
      <c r="BE54" s="160">
        <f t="shared" si="77"/>
        <v>0.66666666666666696</v>
      </c>
      <c r="BF54" s="147"/>
      <c r="BG54" s="146"/>
      <c r="BH54" s="146"/>
      <c r="BI54" s="157"/>
    </row>
    <row r="55" ht="35.149999999999999" customHeight="1">
      <c r="F55" s="157"/>
      <c r="K55" s="157"/>
      <c r="L55" s="157"/>
      <c r="M55" s="157"/>
      <c r="N55" s="157"/>
      <c r="O55" s="157"/>
      <c r="P55" s="157"/>
      <c r="Q55" s="157"/>
      <c r="AA55" s="157"/>
      <c r="AB55" s="157"/>
      <c r="AC55" s="157"/>
      <c r="AM55" s="157"/>
      <c r="AN55" s="157"/>
      <c r="AO55" s="157"/>
      <c r="AY55" s="123" t="str">
        <f t="shared" si="73"/>
        <v xml:space="preserve">8:30 à 9:00</v>
      </c>
      <c r="AZ55" s="123"/>
      <c r="BA55" s="159"/>
      <c r="BB55" s="160">
        <f t="shared" si="74"/>
        <v>0.40000000000000002</v>
      </c>
      <c r="BC55" s="160">
        <f t="shared" si="75"/>
        <v>0.40000000000000002</v>
      </c>
      <c r="BD55" s="160">
        <f t="shared" si="76"/>
        <v>0</v>
      </c>
      <c r="BE55" s="160">
        <f t="shared" si="77"/>
        <v>0.40000000000000002</v>
      </c>
      <c r="BF55" s="147"/>
      <c r="BG55" s="146"/>
      <c r="BH55" s="146"/>
    </row>
    <row r="56" ht="35.149999999999999" customHeight="1">
      <c r="F56" s="157"/>
      <c r="K56" s="157"/>
      <c r="L56" s="157"/>
      <c r="M56" s="157"/>
      <c r="N56" s="157"/>
      <c r="O56" s="157"/>
      <c r="P56" s="157"/>
      <c r="Q56" s="157"/>
      <c r="AA56" s="157"/>
      <c r="AB56" s="157"/>
      <c r="AC56" s="157"/>
      <c r="AM56" s="157"/>
      <c r="AN56" s="157"/>
      <c r="AO56" s="157"/>
      <c r="AY56" s="161" t="s">
        <v>27</v>
      </c>
      <c r="AZ56" s="161"/>
      <c r="BA56" s="143"/>
      <c r="BB56" s="160">
        <f t="shared" si="74"/>
        <v>0.29166666666666702</v>
      </c>
      <c r="BC56" s="160">
        <f t="shared" si="75"/>
        <v>0.20833333333333301</v>
      </c>
      <c r="BD56" s="160">
        <f t="shared" si="76"/>
        <v>0.14285714285714299</v>
      </c>
      <c r="BE56" s="160">
        <f t="shared" si="77"/>
        <v>0.66666666666666696</v>
      </c>
      <c r="BF56" s="147"/>
      <c r="BG56" s="146"/>
      <c r="BH56" s="146"/>
    </row>
    <row r="57" ht="35.149999999999999" customHeight="1">
      <c r="AV57" s="162" t="s">
        <v>82</v>
      </c>
      <c r="AY57" s="123" t="s">
        <v>83</v>
      </c>
      <c r="AZ57" s="123"/>
      <c r="BA57" s="155">
        <f>BA41+BA42</f>
        <v>12</v>
      </c>
      <c r="BB57" s="163">
        <f>BB46/$BA$46</f>
        <v>0.16666666666666699</v>
      </c>
      <c r="BC57" s="163">
        <f>BC46/$BA$46</f>
        <v>0</v>
      </c>
      <c r="BD57" s="163">
        <f>BD46/$BA$46</f>
        <v>0</v>
      </c>
      <c r="BE57" s="163">
        <f>BE46/$BA$46</f>
        <v>0.83333333333333304</v>
      </c>
      <c r="BF57" s="147"/>
      <c r="BG57" s="146"/>
      <c r="BH57" s="146"/>
    </row>
  </sheetData>
  <mergeCells count="115">
    <mergeCell ref="C10:N10"/>
    <mergeCell ref="O10:Z10"/>
    <mergeCell ref="AA10:AL10"/>
    <mergeCell ref="AM10:AX10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C36:N36"/>
    <mergeCell ref="O36:Z36"/>
    <mergeCell ref="AA36:AL36"/>
    <mergeCell ref="AM36:AX36"/>
    <mergeCell ref="BA36:BA39"/>
    <mergeCell ref="BB36:BB39"/>
    <mergeCell ref="BC36:BC39"/>
    <mergeCell ref="BD36:BD39"/>
    <mergeCell ref="BE36:BE39"/>
    <mergeCell ref="BF36:BH39"/>
    <mergeCell ref="C37:F37"/>
    <mergeCell ref="G37:J37"/>
    <mergeCell ref="K37:N37"/>
    <mergeCell ref="O37:R37"/>
    <mergeCell ref="S37:V37"/>
    <mergeCell ref="W37:Z37"/>
    <mergeCell ref="AA37:AD37"/>
    <mergeCell ref="AE37:AH37"/>
    <mergeCell ref="AI37:AL37"/>
    <mergeCell ref="AM37:AP37"/>
    <mergeCell ref="AQ37:AT37"/>
    <mergeCell ref="AU37:AX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39:B39"/>
    <mergeCell ref="AY39:AZ39"/>
    <mergeCell ref="A40:B40"/>
    <mergeCell ref="AY40:AZ40"/>
    <mergeCell ref="A41:B41"/>
    <mergeCell ref="AY41:AZ41"/>
    <mergeCell ref="A42:B42"/>
    <mergeCell ref="AY42:AZ42"/>
    <mergeCell ref="A43:B43"/>
    <mergeCell ref="AY43:AZ43"/>
    <mergeCell ref="A44:B44"/>
    <mergeCell ref="AY44:AZ44"/>
    <mergeCell ref="A45:B45"/>
    <mergeCell ref="AY45:AZ45"/>
    <mergeCell ref="AY46:AZ46"/>
    <mergeCell ref="BA47:BA50"/>
    <mergeCell ref="BB47:BB50"/>
    <mergeCell ref="BC47:BC50"/>
    <mergeCell ref="BD47:BD50"/>
    <mergeCell ref="BE47:BE50"/>
    <mergeCell ref="BF47:BH50"/>
    <mergeCell ref="AY50:AZ50"/>
    <mergeCell ref="AY51:AZ51"/>
    <mergeCell ref="AY52:AZ52"/>
    <mergeCell ref="AY53:AZ53"/>
    <mergeCell ref="AY54:AZ54"/>
    <mergeCell ref="AY55:AZ55"/>
    <mergeCell ref="AY56:AZ56"/>
    <mergeCell ref="AY57:AZ57"/>
  </mergeCells>
  <printOptions headings="0" gridLines="0" horizontalCentered="0" verticalCentered="0"/>
  <pageMargins left="0.19652777777777802" right="0.19652777777777802" top="0.59027777777777801" bottom="0.59027777777777801" header="0.51180555555555496" footer="0.51180555555555496"/>
  <pageSetup paperSize="9" scale="45" firstPageNumber="1" fitToWidth="1" fitToHeight="1" pageOrder="overThenDown" orientation="landscape" usePrinterDefaults="1" blackAndWhite="0" draft="0" cellComments="none" useFirstPageNumber="1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pageBreakPreview" topLeftCell="AJ31" zoomScale="65" workbookViewId="0">
      <selection activeCell="AG47" activeCellId="0" sqref="AG47"/>
    </sheetView>
  </sheetViews>
  <sheetFormatPr defaultColWidth="11.23828125" defaultRowHeight="14"/>
  <cols>
    <col customWidth="1" min="1" max="1" style="1" width="8.5800000000000001"/>
    <col customWidth="1" min="2" max="2" style="1" width="8.7400000000000002"/>
    <col customWidth="1" min="3" max="30" style="1" width="6.1600000000000001"/>
    <col customWidth="1" min="31" max="31" style="1" width="8.9199999999999999"/>
    <col customWidth="1" min="32" max="32" style="1" width="14.33"/>
    <col customWidth="1" min="33" max="37" style="1" width="21.41"/>
    <col customWidth="1" min="38" max="41" style="1" width="15.58"/>
    <col customWidth="0" min="42" max="1003" style="1" width="11.25"/>
    <col customWidth="1" min="1004" max="1004" style="1" width="11.17"/>
    <col customWidth="1" min="1005" max="1024" style="0" width="10.5"/>
  </cols>
  <sheetData>
    <row r="1" ht="52.5" customHeight="1">
      <c r="A1" s="105"/>
      <c r="B1" s="164" t="s">
        <v>84</v>
      </c>
      <c r="C1" s="66"/>
      <c r="D1" s="66"/>
      <c r="E1" s="66"/>
      <c r="G1" s="66"/>
      <c r="H1" s="66"/>
      <c r="I1" s="66"/>
      <c r="J1" s="66"/>
      <c r="O1" s="165" t="s">
        <v>2</v>
      </c>
      <c r="P1" s="166"/>
      <c r="Q1" s="1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ht="52.5" customHeight="1">
      <c r="A2" s="105" t="s">
        <v>3</v>
      </c>
      <c r="B2" s="66"/>
      <c r="C2" s="66"/>
      <c r="D2" s="66"/>
      <c r="E2" s="66"/>
      <c r="G2" s="66"/>
      <c r="H2" s="66"/>
      <c r="I2" s="66"/>
      <c r="J2" s="66"/>
      <c r="K2" s="66"/>
      <c r="L2" s="66" t="s">
        <v>85</v>
      </c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 ht="52.5" customHeight="1">
      <c r="A3" s="105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9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ht="52.5" customHeight="1">
      <c r="A4" s="105" t="s">
        <v>7</v>
      </c>
      <c r="B4" s="66"/>
      <c r="C4" s="66"/>
      <c r="D4" s="167" t="s">
        <v>86</v>
      </c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66"/>
      <c r="Z4" s="66"/>
      <c r="AA4" s="66"/>
      <c r="AB4" s="66"/>
      <c r="AC4" s="66"/>
      <c r="AD4" s="66"/>
    </row>
    <row r="5" ht="25.5" customHeight="1">
      <c r="A5" s="168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AA5" s="66"/>
      <c r="AB5" s="66"/>
      <c r="AC5" s="66"/>
    </row>
    <row r="6" ht="35.149999999999999" customHeight="1">
      <c r="A6" s="3" t="s">
        <v>8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AA6" s="66"/>
      <c r="AB6" s="66"/>
      <c r="AC6" s="66"/>
    </row>
    <row r="7" ht="35.149999999999999" customHeight="1">
      <c r="A7" s="3" t="s">
        <v>9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AA7" s="66"/>
      <c r="AB7" s="66"/>
      <c r="AC7" s="66"/>
    </row>
    <row r="8" ht="35.149999999999999" customHeight="1">
      <c r="A8" s="3" t="s">
        <v>10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AA8" s="66"/>
      <c r="AB8" s="66"/>
      <c r="AC8" s="66"/>
    </row>
    <row r="9" ht="25.5" customHeight="1">
      <c r="A9" s="168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AA9" s="66"/>
      <c r="AB9" s="66"/>
      <c r="AC9" s="66"/>
    </row>
    <row r="10" ht="32.25" customHeight="1">
      <c r="A10" s="3"/>
      <c r="B10" s="5"/>
      <c r="C10" s="16" t="s">
        <v>87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 t="s">
        <v>88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9" t="s">
        <v>89</v>
      </c>
      <c r="AB10" s="169"/>
      <c r="AC10" s="169"/>
      <c r="AD10" s="169"/>
    </row>
    <row r="11" ht="51.25" customHeight="1">
      <c r="A11" s="3"/>
      <c r="B11" s="5"/>
      <c r="C11" s="17" t="s">
        <v>90</v>
      </c>
      <c r="D11" s="17"/>
      <c r="E11" s="17"/>
      <c r="F11" s="17"/>
      <c r="G11" s="17" t="s">
        <v>91</v>
      </c>
      <c r="H11" s="17"/>
      <c r="I11" s="17"/>
      <c r="J11" s="17"/>
      <c r="K11" s="17" t="s">
        <v>92</v>
      </c>
      <c r="L11" s="17"/>
      <c r="M11" s="17"/>
      <c r="N11" s="17"/>
      <c r="O11" s="17" t="s">
        <v>91</v>
      </c>
      <c r="P11" s="17"/>
      <c r="Q11" s="17"/>
      <c r="R11" s="17"/>
      <c r="S11" s="17" t="s">
        <v>92</v>
      </c>
      <c r="T11" s="17"/>
      <c r="U11" s="17"/>
      <c r="V11" s="17"/>
      <c r="W11" s="17" t="s">
        <v>93</v>
      </c>
      <c r="X11" s="17"/>
      <c r="Y11" s="17"/>
      <c r="Z11" s="17"/>
      <c r="AA11" s="17" t="s">
        <v>94</v>
      </c>
      <c r="AB11" s="17"/>
      <c r="AC11" s="17"/>
      <c r="AD11" s="17"/>
    </row>
    <row r="12" ht="18.649999999999999" customHeight="1">
      <c r="A12" s="3"/>
      <c r="B12" s="5"/>
      <c r="C12" s="18" t="s">
        <v>18</v>
      </c>
      <c r="D12" s="18"/>
      <c r="E12" s="18" t="s">
        <v>19</v>
      </c>
      <c r="F12" s="18"/>
      <c r="G12" s="18" t="s">
        <v>18</v>
      </c>
      <c r="H12" s="18"/>
      <c r="I12" s="18" t="s">
        <v>19</v>
      </c>
      <c r="J12" s="18"/>
      <c r="K12" s="18" t="s">
        <v>18</v>
      </c>
      <c r="L12" s="18"/>
      <c r="M12" s="18" t="s">
        <v>19</v>
      </c>
      <c r="N12" s="18"/>
      <c r="O12" s="18" t="s">
        <v>18</v>
      </c>
      <c r="P12" s="18"/>
      <c r="Q12" s="18" t="s">
        <v>19</v>
      </c>
      <c r="R12" s="18"/>
      <c r="S12" s="18" t="s">
        <v>18</v>
      </c>
      <c r="T12" s="18"/>
      <c r="U12" s="18" t="s">
        <v>19</v>
      </c>
      <c r="V12" s="18"/>
      <c r="W12" s="18" t="s">
        <v>18</v>
      </c>
      <c r="X12" s="18"/>
      <c r="Y12" s="18" t="s">
        <v>19</v>
      </c>
      <c r="Z12" s="18"/>
      <c r="AA12" s="18" t="s">
        <v>18</v>
      </c>
      <c r="AB12" s="18"/>
      <c r="AC12" s="18" t="s">
        <v>19</v>
      </c>
      <c r="AD12" s="18"/>
    </row>
    <row r="13" ht="21">
      <c r="A13" s="19" t="s">
        <v>20</v>
      </c>
      <c r="B13" s="19"/>
      <c r="C13" s="170" t="s">
        <v>21</v>
      </c>
      <c r="D13" s="170" t="s">
        <v>22</v>
      </c>
      <c r="E13" s="170" t="s">
        <v>21</v>
      </c>
      <c r="F13" s="170" t="s">
        <v>22</v>
      </c>
      <c r="G13" s="170" t="s">
        <v>21</v>
      </c>
      <c r="H13" s="170" t="s">
        <v>22</v>
      </c>
      <c r="I13" s="170" t="s">
        <v>21</v>
      </c>
      <c r="J13" s="170" t="s">
        <v>22</v>
      </c>
      <c r="K13" s="170" t="s">
        <v>21</v>
      </c>
      <c r="L13" s="170" t="s">
        <v>22</v>
      </c>
      <c r="M13" s="170" t="s">
        <v>21</v>
      </c>
      <c r="N13" s="170" t="s">
        <v>22</v>
      </c>
      <c r="O13" s="170" t="s">
        <v>21</v>
      </c>
      <c r="P13" s="170" t="s">
        <v>22</v>
      </c>
      <c r="Q13" s="170" t="s">
        <v>21</v>
      </c>
      <c r="R13" s="170" t="s">
        <v>22</v>
      </c>
      <c r="S13" s="170" t="s">
        <v>21</v>
      </c>
      <c r="T13" s="170" t="s">
        <v>22</v>
      </c>
      <c r="U13" s="170" t="s">
        <v>21</v>
      </c>
      <c r="V13" s="170" t="s">
        <v>22</v>
      </c>
      <c r="W13" s="170" t="s">
        <v>21</v>
      </c>
      <c r="X13" s="170" t="s">
        <v>22</v>
      </c>
      <c r="Y13" s="170" t="s">
        <v>21</v>
      </c>
      <c r="Z13" s="170" t="s">
        <v>22</v>
      </c>
      <c r="AA13" s="170" t="s">
        <v>21</v>
      </c>
      <c r="AB13" s="170" t="s">
        <v>22</v>
      </c>
      <c r="AC13" s="170" t="s">
        <v>21</v>
      </c>
      <c r="AD13" s="170" t="s">
        <v>22</v>
      </c>
    </row>
    <row r="14" ht="70" customHeight="1">
      <c r="A14" s="21">
        <v>0.27083333333333298</v>
      </c>
      <c r="B14" s="171">
        <v>0.29166666666666702</v>
      </c>
      <c r="C14" s="22"/>
      <c r="D14" s="22"/>
      <c r="E14" s="22"/>
      <c r="F14" s="22"/>
      <c r="G14" s="22"/>
      <c r="H14" s="22"/>
      <c r="I14" s="22"/>
      <c r="J14" s="22"/>
      <c r="K14" s="22"/>
      <c r="L14" s="22">
        <v>2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>
        <v>1</v>
      </c>
      <c r="AB14" s="22"/>
      <c r="AC14" s="22"/>
      <c r="AD14" s="22"/>
    </row>
    <row r="15" ht="70" customHeight="1">
      <c r="A15" s="21">
        <v>0.29166666666666702</v>
      </c>
      <c r="B15" s="171">
        <v>0.3125</v>
      </c>
      <c r="C15" s="22"/>
      <c r="D15" s="22"/>
      <c r="E15" s="22"/>
      <c r="F15" s="22"/>
      <c r="G15" s="22"/>
      <c r="H15" s="22"/>
      <c r="I15" s="22"/>
      <c r="J15" s="22"/>
      <c r="K15" s="22"/>
      <c r="L15" s="22">
        <v>1</v>
      </c>
      <c r="M15" s="22">
        <v>2</v>
      </c>
      <c r="N15" s="22"/>
      <c r="O15" s="22"/>
      <c r="P15" s="22"/>
      <c r="Q15" s="22"/>
      <c r="R15" s="22"/>
      <c r="S15" s="22"/>
      <c r="T15" s="22">
        <v>1</v>
      </c>
      <c r="U15" s="22"/>
      <c r="V15" s="22"/>
      <c r="W15" s="22"/>
      <c r="X15" s="22"/>
      <c r="Y15" s="22"/>
      <c r="Z15" s="22"/>
      <c r="AA15" s="22"/>
      <c r="AB15" s="22">
        <v>4</v>
      </c>
      <c r="AC15" s="22"/>
      <c r="AD15" s="22">
        <v>1</v>
      </c>
    </row>
    <row r="16" ht="70" customHeight="1">
      <c r="A16" s="21">
        <v>0.3125</v>
      </c>
      <c r="B16" s="171">
        <v>0.33333333333333298</v>
      </c>
      <c r="C16" s="22"/>
      <c r="D16" s="22"/>
      <c r="E16" s="22"/>
      <c r="F16" s="22"/>
      <c r="G16" s="22"/>
      <c r="H16" s="22"/>
      <c r="I16" s="22"/>
      <c r="J16" s="22"/>
      <c r="K16" s="22">
        <v>1</v>
      </c>
      <c r="L16" s="22"/>
      <c r="M16" s="22"/>
      <c r="N16" s="22">
        <v>1</v>
      </c>
      <c r="O16" s="22"/>
      <c r="P16" s="22"/>
      <c r="Q16" s="22"/>
      <c r="R16" s="22"/>
      <c r="S16" s="22"/>
      <c r="T16" s="22">
        <v>1</v>
      </c>
      <c r="U16" s="22"/>
      <c r="V16" s="22"/>
      <c r="W16" s="22"/>
      <c r="X16" s="22"/>
      <c r="Y16" s="22"/>
      <c r="Z16" s="22"/>
      <c r="AA16" s="22">
        <v>1</v>
      </c>
      <c r="AB16" s="22">
        <v>3</v>
      </c>
      <c r="AC16" s="22"/>
      <c r="AD16" s="22"/>
    </row>
    <row r="17" ht="70" customHeight="1">
      <c r="A17" s="21">
        <v>0.33333333333333298</v>
      </c>
      <c r="B17" s="171">
        <v>0.35416666666666702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>
        <v>1</v>
      </c>
      <c r="AD17" s="22"/>
    </row>
    <row r="18" ht="70" customHeight="1">
      <c r="A18" s="21" t="s">
        <v>95</v>
      </c>
      <c r="B18" s="171">
        <v>0.375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ht="25.5" customHeight="1">
      <c r="A19" s="168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AA19" s="66"/>
      <c r="AB19" s="66"/>
      <c r="AC19" s="66"/>
    </row>
    <row r="20" ht="32.25" customHeight="1">
      <c r="A20" s="3"/>
      <c r="B20" s="5"/>
      <c r="C20" s="16" t="s">
        <v>96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 t="s">
        <v>97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9" t="s">
        <v>98</v>
      </c>
      <c r="AB20" s="169"/>
      <c r="AC20" s="169"/>
      <c r="AD20" s="169"/>
    </row>
    <row r="21" ht="51.25" customHeight="1">
      <c r="A21" s="3"/>
      <c r="B21" s="5"/>
      <c r="C21" s="17" t="s">
        <v>92</v>
      </c>
      <c r="D21" s="17"/>
      <c r="E21" s="17"/>
      <c r="F21" s="17"/>
      <c r="G21" s="17" t="s">
        <v>93</v>
      </c>
      <c r="H21" s="17"/>
      <c r="I21" s="17"/>
      <c r="J21" s="17"/>
      <c r="K21" s="17" t="s">
        <v>90</v>
      </c>
      <c r="L21" s="17"/>
      <c r="M21" s="17"/>
      <c r="N21" s="17"/>
      <c r="O21" s="17" t="s">
        <v>93</v>
      </c>
      <c r="P21" s="17"/>
      <c r="Q21" s="17"/>
      <c r="R21" s="17"/>
      <c r="S21" s="17" t="s">
        <v>90</v>
      </c>
      <c r="T21" s="17"/>
      <c r="U21" s="17"/>
      <c r="V21" s="17"/>
      <c r="W21" s="17" t="s">
        <v>91</v>
      </c>
      <c r="X21" s="17"/>
      <c r="Y21" s="17"/>
      <c r="Z21" s="17"/>
      <c r="AA21" s="17" t="s">
        <v>94</v>
      </c>
      <c r="AB21" s="17"/>
      <c r="AC21" s="17"/>
      <c r="AD21" s="17"/>
    </row>
    <row r="22" ht="18.649999999999999" customHeight="1">
      <c r="A22" s="3"/>
      <c r="B22" s="5"/>
      <c r="C22" s="18" t="s">
        <v>18</v>
      </c>
      <c r="D22" s="18"/>
      <c r="E22" s="18" t="s">
        <v>19</v>
      </c>
      <c r="F22" s="18"/>
      <c r="G22" s="18" t="s">
        <v>18</v>
      </c>
      <c r="H22" s="18"/>
      <c r="I22" s="18" t="s">
        <v>19</v>
      </c>
      <c r="J22" s="18"/>
      <c r="K22" s="18" t="s">
        <v>18</v>
      </c>
      <c r="L22" s="18"/>
      <c r="M22" s="18" t="s">
        <v>19</v>
      </c>
      <c r="N22" s="18"/>
      <c r="O22" s="18" t="s">
        <v>18</v>
      </c>
      <c r="P22" s="18"/>
      <c r="Q22" s="18" t="s">
        <v>19</v>
      </c>
      <c r="R22" s="18"/>
      <c r="S22" s="18" t="s">
        <v>18</v>
      </c>
      <c r="T22" s="18"/>
      <c r="U22" s="18" t="s">
        <v>19</v>
      </c>
      <c r="V22" s="18"/>
      <c r="W22" s="18" t="s">
        <v>18</v>
      </c>
      <c r="X22" s="18"/>
      <c r="Y22" s="18" t="s">
        <v>19</v>
      </c>
      <c r="Z22" s="18"/>
      <c r="AA22" s="18" t="s">
        <v>18</v>
      </c>
      <c r="AB22" s="18"/>
      <c r="AC22" s="18" t="s">
        <v>19</v>
      </c>
      <c r="AD22" s="18"/>
    </row>
    <row r="23" ht="21">
      <c r="A23" s="19" t="s">
        <v>20</v>
      </c>
      <c r="B23" s="19"/>
      <c r="C23" s="170" t="s">
        <v>21</v>
      </c>
      <c r="D23" s="170" t="s">
        <v>22</v>
      </c>
      <c r="E23" s="170" t="s">
        <v>21</v>
      </c>
      <c r="F23" s="170" t="s">
        <v>22</v>
      </c>
      <c r="G23" s="170" t="s">
        <v>21</v>
      </c>
      <c r="H23" s="170" t="s">
        <v>22</v>
      </c>
      <c r="I23" s="170" t="s">
        <v>21</v>
      </c>
      <c r="J23" s="170" t="s">
        <v>22</v>
      </c>
      <c r="K23" s="170" t="s">
        <v>21</v>
      </c>
      <c r="L23" s="170" t="s">
        <v>22</v>
      </c>
      <c r="M23" s="170" t="s">
        <v>21</v>
      </c>
      <c r="N23" s="170" t="s">
        <v>22</v>
      </c>
      <c r="O23" s="170" t="s">
        <v>21</v>
      </c>
      <c r="P23" s="170" t="s">
        <v>22</v>
      </c>
      <c r="Q23" s="170" t="s">
        <v>21</v>
      </c>
      <c r="R23" s="170" t="s">
        <v>22</v>
      </c>
      <c r="S23" s="170" t="s">
        <v>21</v>
      </c>
      <c r="T23" s="170" t="s">
        <v>22</v>
      </c>
      <c r="U23" s="170" t="s">
        <v>21</v>
      </c>
      <c r="V23" s="170" t="s">
        <v>22</v>
      </c>
      <c r="W23" s="170" t="s">
        <v>21</v>
      </c>
      <c r="X23" s="170" t="s">
        <v>22</v>
      </c>
      <c r="Y23" s="170" t="s">
        <v>21</v>
      </c>
      <c r="Z23" s="170" t="s">
        <v>22</v>
      </c>
      <c r="AA23" s="170" t="s">
        <v>21</v>
      </c>
      <c r="AB23" s="170" t="s">
        <v>22</v>
      </c>
      <c r="AC23" s="170" t="s">
        <v>21</v>
      </c>
      <c r="AD23" s="170" t="s">
        <v>22</v>
      </c>
    </row>
    <row r="24" ht="70" customHeight="1">
      <c r="A24" s="21">
        <v>0.27083333333333298</v>
      </c>
      <c r="B24" s="171">
        <v>0.29166666666666702</v>
      </c>
      <c r="C24" s="22">
        <v>1</v>
      </c>
      <c r="D24" s="22">
        <v>1</v>
      </c>
      <c r="E24" s="22">
        <v>1</v>
      </c>
      <c r="F24" s="22"/>
      <c r="G24" s="22">
        <v>1</v>
      </c>
      <c r="H24" s="22"/>
      <c r="I24" s="22"/>
      <c r="J24" s="22"/>
      <c r="K24" s="22"/>
      <c r="L24" s="22"/>
      <c r="M24" s="22"/>
      <c r="N24" s="22"/>
      <c r="O24" s="22"/>
      <c r="P24" s="22">
        <v>1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>
        <v>1</v>
      </c>
      <c r="AC24" s="22"/>
      <c r="AD24" s="22"/>
    </row>
    <row r="25" ht="70" customHeight="1">
      <c r="A25" s="21">
        <v>0.29166666666666702</v>
      </c>
      <c r="B25" s="171">
        <v>0.3125</v>
      </c>
      <c r="C25" s="22"/>
      <c r="D25" s="22">
        <v>1</v>
      </c>
      <c r="E25" s="22"/>
      <c r="F25" s="22"/>
      <c r="G25" s="22">
        <v>1</v>
      </c>
      <c r="H25" s="22">
        <v>1</v>
      </c>
      <c r="I25" s="22">
        <v>1</v>
      </c>
      <c r="J25" s="22"/>
      <c r="K25" s="22"/>
      <c r="L25" s="22">
        <v>1</v>
      </c>
      <c r="M25" s="22"/>
      <c r="N25" s="22"/>
      <c r="O25" s="22"/>
      <c r="P25" s="22"/>
      <c r="Q25" s="22">
        <v>1</v>
      </c>
      <c r="R25" s="22"/>
      <c r="S25" s="22">
        <v>2</v>
      </c>
      <c r="T25" s="22"/>
      <c r="U25" s="22"/>
      <c r="V25" s="22"/>
      <c r="W25" s="22"/>
      <c r="X25" s="22"/>
      <c r="Y25" s="22"/>
      <c r="Z25" s="22"/>
      <c r="AA25" s="22"/>
      <c r="AB25" s="22">
        <v>2</v>
      </c>
      <c r="AC25" s="22">
        <v>1</v>
      </c>
      <c r="AD25" s="22"/>
    </row>
    <row r="26" ht="70" customHeight="1">
      <c r="A26" s="21">
        <v>0.3125</v>
      </c>
      <c r="B26" s="171">
        <v>0.33333333333333298</v>
      </c>
      <c r="C26" s="22"/>
      <c r="D26" s="22"/>
      <c r="E26" s="22">
        <v>1</v>
      </c>
      <c r="F26" s="22"/>
      <c r="G26" s="22"/>
      <c r="H26" s="22">
        <v>1</v>
      </c>
      <c r="I26" s="22">
        <v>1</v>
      </c>
      <c r="J26" s="22"/>
      <c r="K26" s="22">
        <v>2</v>
      </c>
      <c r="L26" s="22"/>
      <c r="M26" s="22"/>
      <c r="N26" s="22"/>
      <c r="O26" s="22"/>
      <c r="P26" s="22"/>
      <c r="Q26" s="22"/>
      <c r="R26" s="22"/>
      <c r="S26" s="22">
        <v>2</v>
      </c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ht="70" customHeight="1">
      <c r="A27" s="21">
        <v>0.33333333333333298</v>
      </c>
      <c r="B27" s="171">
        <v>0.35416666666666702</v>
      </c>
      <c r="C27" s="22"/>
      <c r="D27" s="22"/>
      <c r="E27" s="22">
        <v>1</v>
      </c>
      <c r="F27" s="22">
        <v>1</v>
      </c>
      <c r="G27" s="22">
        <v>1</v>
      </c>
      <c r="H27" s="22"/>
      <c r="I27" s="22"/>
      <c r="J27" s="22"/>
      <c r="K27" s="22"/>
      <c r="L27" s="22">
        <v>1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ht="70" customHeight="1">
      <c r="A28" s="21" t="s">
        <v>95</v>
      </c>
      <c r="B28" s="171">
        <v>0.375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ht="18" customHeight="1">
      <c r="A29" s="172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M29" s="28"/>
      <c r="AN29" s="28"/>
      <c r="AO29" s="28"/>
    </row>
    <row r="30" s="23" customFormat="1" ht="39.75" customHeight="1">
      <c r="A30" s="24"/>
      <c r="B30" s="25" t="s">
        <v>23</v>
      </c>
      <c r="C30" s="26"/>
      <c r="D30" s="26"/>
      <c r="E30" s="26"/>
      <c r="F30" s="26">
        <v>1</v>
      </c>
      <c r="G30" s="26"/>
      <c r="H30" s="26"/>
      <c r="I30" s="26"/>
      <c r="J30" s="26"/>
      <c r="K30" s="26"/>
      <c r="L30" s="26"/>
      <c r="M30" s="24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="23" customFormat="1" ht="39.75" customHeight="1">
      <c r="A31" s="24"/>
      <c r="B31" s="25" t="s">
        <v>24</v>
      </c>
      <c r="C31" s="26"/>
      <c r="D31" s="26"/>
      <c r="E31" s="26"/>
      <c r="F31" s="26"/>
      <c r="G31" s="26"/>
      <c r="H31" s="26">
        <v>3</v>
      </c>
      <c r="I31" s="26"/>
      <c r="J31" s="26"/>
      <c r="K31" s="26"/>
      <c r="L31" s="26"/>
      <c r="M31" s="24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="23" customFormat="1" ht="39.75" customHeight="1">
      <c r="A32" s="24"/>
      <c r="B32" s="25" t="s">
        <v>25</v>
      </c>
      <c r="C32" s="26"/>
      <c r="D32" s="26"/>
      <c r="E32" s="26"/>
      <c r="F32" s="26"/>
      <c r="G32" s="26"/>
      <c r="H32" s="26">
        <v>4</v>
      </c>
      <c r="I32" s="26"/>
      <c r="J32" s="26"/>
      <c r="K32" s="26"/>
      <c r="L32" s="26"/>
      <c r="M32" s="24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="23" customFormat="1" ht="39.75" customHeight="1">
      <c r="A33" s="24"/>
      <c r="B33" s="25" t="s">
        <v>26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4"/>
      <c r="N33" s="26"/>
      <c r="O33" s="26"/>
      <c r="P33" s="26"/>
      <c r="Q33" s="26"/>
      <c r="R33" s="26">
        <v>25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="2" customFormat="1" ht="25.5" customHeight="1">
      <c r="A34" s="17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A34" s="5"/>
      <c r="AB34" s="5"/>
      <c r="AC34" s="5"/>
      <c r="AG34" s="174" t="s">
        <v>99</v>
      </c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</row>
    <row r="35" ht="32.25" customHeight="1">
      <c r="A35" s="1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14"/>
      <c r="AF35" s="15"/>
      <c r="AG35" s="67" t="s">
        <v>27</v>
      </c>
      <c r="AH35" s="39" t="s">
        <v>28</v>
      </c>
      <c r="AI35" s="35" t="s">
        <v>29</v>
      </c>
      <c r="AJ35" s="35" t="s">
        <v>30</v>
      </c>
      <c r="AK35" s="36" t="s">
        <v>77</v>
      </c>
      <c r="AL35" s="66"/>
      <c r="AM35" s="66"/>
      <c r="AN35" s="66"/>
      <c r="AO35" s="66"/>
    </row>
    <row r="36" ht="46.75" customHeight="1">
      <c r="A36" s="1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14"/>
      <c r="AF36" s="15"/>
      <c r="AG36" s="67"/>
      <c r="AH36" s="39"/>
      <c r="AI36" s="35"/>
      <c r="AJ36" s="35"/>
      <c r="AK36" s="36"/>
      <c r="AL36" s="66"/>
      <c r="AM36" s="66"/>
      <c r="AN36" s="66"/>
      <c r="AO36" s="66"/>
    </row>
    <row r="37" ht="18.649999999999999" customHeight="1">
      <c r="A37" s="14"/>
      <c r="B37" s="15"/>
      <c r="C37" s="18" t="s">
        <v>18</v>
      </c>
      <c r="D37" s="18"/>
      <c r="E37" s="18" t="s">
        <v>19</v>
      </c>
      <c r="F37" s="1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69"/>
      <c r="AF37" s="15"/>
      <c r="AG37" s="67"/>
      <c r="AH37" s="39"/>
      <c r="AI37" s="35"/>
      <c r="AJ37" s="35"/>
      <c r="AK37" s="36"/>
      <c r="AL37" s="66"/>
      <c r="AM37" s="66"/>
      <c r="AN37" s="66"/>
      <c r="AO37" s="66"/>
    </row>
    <row r="38" ht="60">
      <c r="A38" s="19" t="s">
        <v>20</v>
      </c>
      <c r="B38" s="19"/>
      <c r="C38" s="20" t="s">
        <v>21</v>
      </c>
      <c r="D38" s="20" t="s">
        <v>22</v>
      </c>
      <c r="E38" s="20" t="s">
        <v>21</v>
      </c>
      <c r="F38" s="20" t="s">
        <v>22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19" t="s">
        <v>20</v>
      </c>
      <c r="AF38" s="19"/>
      <c r="AG38" s="67"/>
      <c r="AH38" s="39"/>
      <c r="AI38" s="35"/>
      <c r="AJ38" s="35"/>
      <c r="AK38" s="36"/>
      <c r="AL38" s="39" t="s">
        <v>32</v>
      </c>
      <c r="AM38" s="39" t="s">
        <v>33</v>
      </c>
      <c r="AN38" s="39" t="s">
        <v>34</v>
      </c>
      <c r="AO38" s="39" t="s">
        <v>35</v>
      </c>
    </row>
    <row r="39" ht="55" customHeight="1">
      <c r="A39" s="19" t="s">
        <v>36</v>
      </c>
      <c r="B39" s="19"/>
      <c r="C39" s="22">
        <f t="shared" ref="C39:C43" si="78">C14+G14+K14+O14+S14+AA14+C24+G24+K24+O24+S24+AA24+W14+W24</f>
        <v>3</v>
      </c>
      <c r="D39" s="22">
        <f t="shared" ref="D39:D43" si="79">D14+H14+L14+P14+T14+AB14+D24+H24+L24+P24+T24+AB24+X24+X14</f>
        <v>5</v>
      </c>
      <c r="E39" s="22">
        <f t="shared" ref="E39:E43" si="80">E14+I14+M14+Q14+U14+AC14+E24+I24+M24+Q24+U24+AC24+Y24+Y14</f>
        <v>1</v>
      </c>
      <c r="F39" s="22">
        <f t="shared" ref="F39:F43" si="81">F14+J14+N14+R14+V14+AD14+F24+J24+N24+R24+V24+AD24+Z24+Z14</f>
        <v>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19" t="str">
        <f t="shared" ref="AE39:AE43" si="82">A39</f>
        <v xml:space="preserve">6:30 à 7:00</v>
      </c>
      <c r="AF39" s="19"/>
      <c r="AG39" s="73">
        <f t="shared" ref="AG39:AG43" si="83">SUM(C39:AD39)</f>
        <v>9</v>
      </c>
      <c r="AH39" s="41">
        <f t="shared" ref="AH39:AH43" si="84">C39+E39</f>
        <v>4</v>
      </c>
      <c r="AI39" s="41">
        <f t="shared" ref="AI39:AI43" si="85">E39+F39</f>
        <v>1</v>
      </c>
      <c r="AJ39" s="41">
        <f t="shared" ref="AJ39:AJ43" si="86">E39</f>
        <v>1</v>
      </c>
      <c r="AK39" s="41"/>
      <c r="AL39" s="66"/>
      <c r="AM39" s="92"/>
      <c r="AN39" s="93"/>
      <c r="AO39" s="93"/>
    </row>
    <row r="40" ht="55" customHeight="1">
      <c r="A40" s="19" t="s">
        <v>37</v>
      </c>
      <c r="B40" s="19"/>
      <c r="C40" s="22">
        <f t="shared" si="78"/>
        <v>3</v>
      </c>
      <c r="D40" s="22">
        <f t="shared" si="79"/>
        <v>11</v>
      </c>
      <c r="E40" s="22">
        <f t="shared" si="80"/>
        <v>5</v>
      </c>
      <c r="F40" s="22">
        <f t="shared" si="81"/>
        <v>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19" t="str">
        <f t="shared" si="82"/>
        <v xml:space="preserve">7:00 à 7:30</v>
      </c>
      <c r="AF40" s="19"/>
      <c r="AG40" s="73">
        <f t="shared" si="83"/>
        <v>20</v>
      </c>
      <c r="AH40" s="41">
        <f t="shared" si="84"/>
        <v>8</v>
      </c>
      <c r="AI40" s="41">
        <f t="shared" si="85"/>
        <v>6</v>
      </c>
      <c r="AJ40" s="41">
        <f t="shared" si="86"/>
        <v>5</v>
      </c>
      <c r="AK40" s="41"/>
      <c r="AL40" s="66"/>
      <c r="AM40" s="92"/>
      <c r="AN40" s="93"/>
      <c r="AO40" s="93"/>
    </row>
    <row r="41" ht="55" customHeight="1">
      <c r="A41" s="19" t="s">
        <v>38</v>
      </c>
      <c r="B41" s="19"/>
      <c r="C41" s="22">
        <f t="shared" si="78"/>
        <v>6</v>
      </c>
      <c r="D41" s="22">
        <f t="shared" si="79"/>
        <v>5</v>
      </c>
      <c r="E41" s="22">
        <f t="shared" si="80"/>
        <v>2</v>
      </c>
      <c r="F41" s="22">
        <f t="shared" si="81"/>
        <v>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19" t="str">
        <f t="shared" si="82"/>
        <v xml:space="preserve">7:30 à 8:00</v>
      </c>
      <c r="AF41" s="19"/>
      <c r="AG41" s="73">
        <f t="shared" si="83"/>
        <v>14</v>
      </c>
      <c r="AH41" s="41">
        <f t="shared" si="84"/>
        <v>8</v>
      </c>
      <c r="AI41" s="41">
        <f t="shared" si="85"/>
        <v>3</v>
      </c>
      <c r="AJ41" s="41">
        <f t="shared" si="86"/>
        <v>2</v>
      </c>
      <c r="AK41" s="41"/>
      <c r="AL41" s="66"/>
      <c r="AM41" s="92"/>
      <c r="AN41" s="93"/>
      <c r="AO41" s="93"/>
    </row>
    <row r="42" ht="55" customHeight="1">
      <c r="A42" s="19" t="s">
        <v>39</v>
      </c>
      <c r="B42" s="19"/>
      <c r="C42" s="22">
        <f t="shared" si="78"/>
        <v>1</v>
      </c>
      <c r="D42" s="22">
        <f t="shared" si="79"/>
        <v>1</v>
      </c>
      <c r="E42" s="22">
        <f t="shared" si="80"/>
        <v>2</v>
      </c>
      <c r="F42" s="22">
        <f t="shared" si="81"/>
        <v>1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19" t="str">
        <f t="shared" si="82"/>
        <v xml:space="preserve">8:00 à 8:30</v>
      </c>
      <c r="AF42" s="19"/>
      <c r="AG42" s="73">
        <f t="shared" si="83"/>
        <v>5</v>
      </c>
      <c r="AH42" s="41">
        <f t="shared" si="84"/>
        <v>3</v>
      </c>
      <c r="AI42" s="41">
        <f t="shared" si="85"/>
        <v>3</v>
      </c>
      <c r="AJ42" s="41">
        <f t="shared" si="86"/>
        <v>2</v>
      </c>
      <c r="AK42" s="41"/>
      <c r="AL42" s="66"/>
      <c r="AM42" s="94"/>
      <c r="AN42" s="93"/>
      <c r="AO42" s="93"/>
    </row>
    <row r="43" ht="55" customHeight="1">
      <c r="A43" s="19" t="s">
        <v>100</v>
      </c>
      <c r="B43" s="19"/>
      <c r="C43" s="22">
        <f t="shared" si="78"/>
        <v>0</v>
      </c>
      <c r="D43" s="22">
        <f t="shared" si="79"/>
        <v>0</v>
      </c>
      <c r="E43" s="22">
        <f t="shared" si="80"/>
        <v>0</v>
      </c>
      <c r="F43" s="22">
        <f t="shared" si="81"/>
        <v>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9" t="str">
        <f t="shared" si="82"/>
        <v xml:space="preserve">8:30 à 9h</v>
      </c>
      <c r="AF43" s="19"/>
      <c r="AG43" s="73">
        <f t="shared" si="83"/>
        <v>0</v>
      </c>
      <c r="AH43" s="41">
        <f t="shared" si="84"/>
        <v>0</v>
      </c>
      <c r="AI43" s="41">
        <f t="shared" si="85"/>
        <v>0</v>
      </c>
      <c r="AJ43" s="41">
        <f t="shared" si="86"/>
        <v>0</v>
      </c>
      <c r="AK43" s="41"/>
      <c r="AL43" s="66"/>
      <c r="AM43" s="95"/>
      <c r="AN43" s="93"/>
      <c r="AO43" s="93"/>
    </row>
    <row r="44" ht="55" customHeight="1">
      <c r="A44" s="19" t="s">
        <v>27</v>
      </c>
      <c r="B44" s="19"/>
      <c r="C44" s="96">
        <f>SUM(C14:C18)+SUM(C24:C28)</f>
        <v>1</v>
      </c>
      <c r="D44" s="96">
        <f>SUM(D14:D18)+SUM(D24:D28)</f>
        <v>2</v>
      </c>
      <c r="E44" s="96">
        <f>SUM(E14:E18)+SUM(E24:E28)</f>
        <v>3</v>
      </c>
      <c r="F44" s="96">
        <f>SUM(F14:F18)+SUM(F24:F28)</f>
        <v>1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98" t="s">
        <v>27</v>
      </c>
      <c r="AF44" s="98"/>
      <c r="AG44" s="45">
        <f>SUM(AG39:AG43)</f>
        <v>48</v>
      </c>
      <c r="AH44" s="45">
        <f>SUM(AH39:AH43)</f>
        <v>23</v>
      </c>
      <c r="AI44" s="45">
        <f>SUM(AI39:AI43)</f>
        <v>13</v>
      </c>
      <c r="AJ44" s="46">
        <f>SUM(AJ39:AJ43)</f>
        <v>10</v>
      </c>
      <c r="AK44" s="46">
        <f>SUM(AK39:AK43)</f>
        <v>0</v>
      </c>
      <c r="AL44" s="45">
        <f>A33</f>
        <v>0</v>
      </c>
      <c r="AM44" s="46">
        <f>A30</f>
        <v>0</v>
      </c>
      <c r="AN44" s="46">
        <f>A31</f>
        <v>0</v>
      </c>
      <c r="AO44" s="46">
        <f>A32</f>
        <v>0</v>
      </c>
    </row>
    <row r="45" ht="55" customHeight="1">
      <c r="A45" s="48"/>
      <c r="B45" s="48"/>
      <c r="C45" s="101"/>
      <c r="D45" s="101"/>
      <c r="E45" s="101"/>
      <c r="F45" s="101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50" t="s">
        <v>41</v>
      </c>
      <c r="AA45" s="8"/>
      <c r="AB45" s="8"/>
      <c r="AC45" s="8"/>
      <c r="AD45" s="50" t="s">
        <v>41</v>
      </c>
      <c r="AE45" s="51" t="s">
        <v>37</v>
      </c>
      <c r="AF45" s="52"/>
      <c r="AG45" s="53">
        <f t="shared" ref="AG45:AG46" si="87">AG40</f>
        <v>20</v>
      </c>
      <c r="AH45" s="53"/>
      <c r="AI45" s="53"/>
      <c r="AJ45" s="53"/>
      <c r="AK45" s="51"/>
      <c r="AL45" s="55"/>
      <c r="AM45" s="103"/>
      <c r="AN45" s="55"/>
      <c r="AO45" s="55"/>
    </row>
    <row r="46" ht="55" customHeight="1">
      <c r="A46" s="48"/>
      <c r="B46" s="48"/>
      <c r="C46" s="101"/>
      <c r="D46" s="101"/>
      <c r="E46" s="101"/>
      <c r="F46" s="101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50" t="s">
        <v>41</v>
      </c>
      <c r="AA46" s="8"/>
      <c r="AB46" s="8"/>
      <c r="AC46" s="8"/>
      <c r="AD46" s="50" t="s">
        <v>41</v>
      </c>
      <c r="AE46" s="58" t="s">
        <v>38</v>
      </c>
      <c r="AF46" s="59"/>
      <c r="AG46" s="60">
        <f t="shared" si="87"/>
        <v>14</v>
      </c>
      <c r="AH46" s="60"/>
      <c r="AI46" s="60"/>
      <c r="AJ46" s="60"/>
      <c r="AK46" s="58"/>
      <c r="AL46" s="55"/>
      <c r="AM46" s="103"/>
      <c r="AN46" s="55"/>
      <c r="AO46" s="55"/>
    </row>
    <row r="47" ht="55" customHeight="1">
      <c r="A47" s="48"/>
      <c r="B47" s="48"/>
      <c r="C47" s="101"/>
      <c r="D47" s="101"/>
      <c r="E47" s="101"/>
      <c r="F47" s="101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50"/>
      <c r="AA47" s="8"/>
      <c r="AB47" s="8"/>
      <c r="AC47" s="8"/>
      <c r="AD47" s="50"/>
      <c r="AE47" s="175" t="s">
        <v>42</v>
      </c>
      <c r="AF47" s="175"/>
      <c r="AG47" s="176">
        <f>SUM(AG45:AG46)</f>
        <v>34</v>
      </c>
      <c r="AH47" s="63"/>
      <c r="AI47" s="63"/>
      <c r="AJ47" s="63"/>
      <c r="AK47" s="177"/>
      <c r="AL47" s="55"/>
      <c r="AM47" s="103"/>
      <c r="AN47" s="55"/>
      <c r="AO47" s="55"/>
    </row>
    <row r="48" ht="42.75" customHeight="1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50" t="s">
        <v>41</v>
      </c>
      <c r="AA48" s="65"/>
      <c r="AB48" s="65"/>
      <c r="AC48" s="65"/>
      <c r="AD48" s="50" t="s">
        <v>41</v>
      </c>
      <c r="AE48" s="19" t="str">
        <f>IF($AG$39=MAX($AG$39:$AG$43),AE39,IF($AG$40=MAX($AG$39:$AG$43),AE40,IF($AG$41=MAX($AG$39:$AG$43),AE41,IF($AG$42=MAX($AG$39:$AG$43),AE42,IF($AG$43=MAX($AG$39:$AG$43),AE43,AE42)))))</f>
        <v xml:space="preserve">7:00 à 7:30</v>
      </c>
      <c r="AF48" s="19"/>
      <c r="AG48" s="38">
        <f>IF($AG$39=MAX($AG$39:$AG$43),AG39,IF($AG$40=MAX($AG$39:$AG$43),AG40,IF($AG$41=MAX($AG$39:$AG$43),AG41,IF($AG$42=MAX($AG$39:$AG$43),AG42,IF($AG$43=MAX($AG$39:$AG$43),AG43,AG42)))))</f>
        <v>20</v>
      </c>
      <c r="AH48" s="38">
        <f>IF($AG$39=MAX($AG$39:$AG$43),AH39,IF($AG$40=MAX($AG$39:$AG$43),AH40,IF($AG$41=MAX($AG$39:$AG$43),AH41,IF($AG$42=MAX($AG$39:$AG$43),AH42,IF($AG$43=MAX($AG$39:$AG$43),AH43,AH42)))))</f>
        <v>8</v>
      </c>
      <c r="AI48" s="38">
        <f>IF($AG$39=MAX($AG$39:$AG$43),AI39,IF($AG$40=MAX($AG$39:$AG$43),AI40,IF($AG$41=MAX($AG$39:$AG$43),AI41,IF($AG$42=MAX($AG$39:$AG$43),AI42,IF($AG$43=MAX($AG$39:$AG$43),AI43,AI42)))))</f>
        <v>6</v>
      </c>
      <c r="AJ48" s="38">
        <f>IF($AG$39=MAX($AG$39:$AG$43),AJ39,IF($AG$40=MAX($AG$39:$AG$43),AJ40,IF($AG$41=MAX($AG$39:$AG$43),AJ41,IF($AG$42=MAX($AG$39:$AG$43),AJ42,IF($AG$43=MAX($AG$39:$AG$43),AJ43,AJ42)))))</f>
        <v>5</v>
      </c>
      <c r="AK48" s="38">
        <f>IF($AG$39=MAX($AG$39:$AG$43),AK39,IF($AG$40=MAX($AG$39:$AG$43),AK40,IF($AG$41=MAX($AG$39:$AG$43),AK41,IF($AG$42=MAX($AG$39:$AG$43),AK42,IF($AG$43=MAX($AG$39:$AG$43),AK43,AK42)))))</f>
        <v>0</v>
      </c>
      <c r="AM48" s="94"/>
      <c r="AN48" s="93"/>
      <c r="AO48" s="93"/>
    </row>
    <row r="49" ht="20.25" customHeight="1">
      <c r="A49" s="10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14"/>
      <c r="AF49" s="15"/>
      <c r="AG49" s="67" t="s">
        <v>27</v>
      </c>
      <c r="AH49" s="68" t="s">
        <v>43</v>
      </c>
      <c r="AI49" s="68" t="s">
        <v>44</v>
      </c>
      <c r="AJ49" s="68" t="s">
        <v>45</v>
      </c>
      <c r="AK49" s="68" t="str">
        <f>AK35</f>
        <v xml:space="preserve">Cycles sur route de Reignier</v>
      </c>
      <c r="AM49" s="39" t="s">
        <v>62</v>
      </c>
      <c r="AN49" s="39"/>
      <c r="AO49" s="39"/>
    </row>
    <row r="50" ht="21">
      <c r="A50" s="10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14"/>
      <c r="AF50" s="15"/>
      <c r="AG50" s="67"/>
      <c r="AH50" s="68"/>
      <c r="AI50" s="68"/>
      <c r="AJ50" s="68"/>
      <c r="AK50" s="68"/>
      <c r="AL50" s="66"/>
      <c r="AM50" s="39"/>
      <c r="AN50" s="39"/>
      <c r="AO50" s="39"/>
    </row>
    <row r="51" ht="21">
      <c r="A51" s="10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9"/>
      <c r="AF51" s="15"/>
      <c r="AG51" s="67"/>
      <c r="AH51" s="68"/>
      <c r="AI51" s="68"/>
      <c r="AJ51" s="68"/>
      <c r="AK51" s="68"/>
      <c r="AL51" s="66"/>
      <c r="AM51" s="39"/>
      <c r="AN51" s="39"/>
      <c r="AO51" s="39"/>
    </row>
    <row r="52" ht="21">
      <c r="A52" s="10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19" t="s">
        <v>20</v>
      </c>
      <c r="AF52" s="19"/>
      <c r="AG52" s="67"/>
      <c r="AH52" s="68"/>
      <c r="AI52" s="68"/>
      <c r="AJ52" s="68"/>
      <c r="AK52" s="68"/>
      <c r="AL52" s="66"/>
      <c r="AM52" s="39"/>
      <c r="AN52" s="39"/>
      <c r="AO52" s="39"/>
    </row>
    <row r="53" ht="35.149999999999999" customHeight="1">
      <c r="A53" s="105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19" t="str">
        <f t="shared" ref="AE53:AE57" si="88">AE39</f>
        <v xml:space="preserve">6:30 à 7:00</v>
      </c>
      <c r="AF53" s="19"/>
      <c r="AG53" s="70"/>
      <c r="AH53" s="71">
        <f>IF(AH39=0,0,AH39/AG39)</f>
        <v>0.44444444444444398</v>
      </c>
      <c r="AI53" s="71">
        <f>IF(AI39=0,0,AI39/AG39)</f>
        <v>0.11111111111111099</v>
      </c>
      <c r="AJ53" s="71">
        <f>IF(AJ39=0,0,AJ39/AH39)</f>
        <v>0.25</v>
      </c>
      <c r="AK53" s="71">
        <f>IF(AK39=0,0,AK39/AG39)</f>
        <v>0</v>
      </c>
      <c r="AL53" s="66"/>
      <c r="AM53" s="94"/>
      <c r="AN53" s="93"/>
      <c r="AO53" s="93"/>
    </row>
    <row r="54" ht="35.149999999999999" customHeight="1">
      <c r="A54" s="10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19" t="str">
        <f t="shared" si="88"/>
        <v xml:space="preserve">7:00 à 7:30</v>
      </c>
      <c r="AF54" s="19"/>
      <c r="AG54" s="70"/>
      <c r="AH54" s="71">
        <f>IF(AH41=0,0,AH41/AG41)</f>
        <v>0.57142857142857095</v>
      </c>
      <c r="AI54" s="71">
        <f>IF(AI41=0,0,AI41/AG41)</f>
        <v>0.214285714285714</v>
      </c>
      <c r="AJ54" s="71">
        <f>IF(AJ41=0,0,AJ41/AH41)</f>
        <v>0.25</v>
      </c>
      <c r="AK54" s="71">
        <f>IF(AK41=0,0,AK41/AG41)</f>
        <v>0</v>
      </c>
      <c r="AL54" s="66"/>
      <c r="AM54" s="94"/>
      <c r="AN54" s="93"/>
      <c r="AO54" s="93"/>
    </row>
    <row r="55" ht="35.149999999999999" customHeight="1">
      <c r="A55" s="10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19" t="str">
        <f t="shared" si="88"/>
        <v xml:space="preserve">7:30 à 8:00</v>
      </c>
      <c r="AF55" s="19"/>
      <c r="AG55" s="70"/>
      <c r="AH55" s="71">
        <f t="shared" ref="AH55:AH58" si="89">IF(AH41=0,0,AH41/AG41)</f>
        <v>0.57142857142857095</v>
      </c>
      <c r="AI55" s="71">
        <f t="shared" ref="AI55:AI58" si="90">IF(AI41=0,0,AI41/AG41)</f>
        <v>0.214285714285714</v>
      </c>
      <c r="AJ55" s="71">
        <f t="shared" ref="AJ55:AJ58" si="91">IF(AJ41=0,0,AJ41/AH41)</f>
        <v>0.25</v>
      </c>
      <c r="AK55" s="71">
        <f t="shared" ref="AK55:AK58" si="92">IF(AK41=0,0,AK41/AG41)</f>
        <v>0</v>
      </c>
      <c r="AL55" s="66"/>
      <c r="AM55" s="94"/>
      <c r="AN55" s="93"/>
      <c r="AO55" s="93"/>
    </row>
    <row r="56" ht="35.149999999999999" customHeight="1">
      <c r="A56" s="105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19" t="str">
        <f t="shared" si="88"/>
        <v xml:space="preserve">8:00 à 8:30</v>
      </c>
      <c r="AF56" s="19"/>
      <c r="AG56" s="70"/>
      <c r="AH56" s="71">
        <f t="shared" si="89"/>
        <v>0.59999999999999998</v>
      </c>
      <c r="AI56" s="71">
        <f t="shared" si="90"/>
        <v>0.59999999999999998</v>
      </c>
      <c r="AJ56" s="71">
        <f t="shared" si="91"/>
        <v>0.66666666666666696</v>
      </c>
      <c r="AK56" s="71">
        <f t="shared" si="92"/>
        <v>0</v>
      </c>
      <c r="AL56" s="66"/>
      <c r="AM56" s="94"/>
      <c r="AN56" s="93"/>
      <c r="AO56" s="93"/>
    </row>
    <row r="57" ht="35.149999999999999" customHeight="1">
      <c r="F57" s="66"/>
      <c r="K57" s="66"/>
      <c r="L57" s="66"/>
      <c r="M57" s="66"/>
      <c r="N57" s="66"/>
      <c r="O57" s="66"/>
      <c r="P57" s="66"/>
      <c r="Q57" s="66"/>
      <c r="AE57" s="19" t="str">
        <f t="shared" si="88"/>
        <v xml:space="preserve">8:30 à 9h</v>
      </c>
      <c r="AF57" s="19"/>
      <c r="AG57" s="70"/>
      <c r="AH57" s="71">
        <f t="shared" si="89"/>
        <v>0</v>
      </c>
      <c r="AI57" s="71">
        <f t="shared" si="90"/>
        <v>0</v>
      </c>
      <c r="AJ57" s="71">
        <f t="shared" si="91"/>
        <v>0</v>
      </c>
      <c r="AK57" s="71">
        <f t="shared" si="92"/>
        <v>0</v>
      </c>
      <c r="AM57" s="94"/>
      <c r="AN57" s="93"/>
      <c r="AO57" s="93"/>
    </row>
    <row r="58" ht="35.149999999999999" customHeight="1">
      <c r="F58" s="66"/>
      <c r="K58" s="66"/>
      <c r="L58" s="66"/>
      <c r="M58" s="66"/>
      <c r="N58" s="66"/>
      <c r="O58" s="66"/>
      <c r="P58" s="66"/>
      <c r="Q58" s="66"/>
      <c r="AE58" s="72" t="s">
        <v>27</v>
      </c>
      <c r="AF58" s="72"/>
      <c r="AG58" s="73"/>
      <c r="AH58" s="71">
        <f t="shared" si="89"/>
        <v>0.47916666666666702</v>
      </c>
      <c r="AI58" s="71">
        <f t="shared" si="90"/>
        <v>0.27083333333333298</v>
      </c>
      <c r="AJ58" s="71">
        <f t="shared" si="91"/>
        <v>0.434782608695652</v>
      </c>
      <c r="AK58" s="71">
        <f t="shared" si="92"/>
        <v>0</v>
      </c>
      <c r="AM58" s="94"/>
      <c r="AN58" s="93"/>
      <c r="AO58" s="93"/>
    </row>
    <row r="59" ht="35.149999999999999" customHeight="1">
      <c r="AE59" s="19" t="str">
        <f>AE48</f>
        <v xml:space="preserve">7:00 à 7:30</v>
      </c>
      <c r="AF59" s="19"/>
      <c r="AG59" s="38"/>
      <c r="AH59" s="74">
        <f>AH48/$AG$48</f>
        <v>0.40000000000000002</v>
      </c>
      <c r="AI59" s="74">
        <f>AI48/$AG$48</f>
        <v>0.29999999999999999</v>
      </c>
      <c r="AJ59" s="74">
        <f>AJ48/$AG$48</f>
        <v>0.25</v>
      </c>
      <c r="AK59" s="74">
        <f>AK48/$AG$48</f>
        <v>0</v>
      </c>
      <c r="AM59" s="94"/>
      <c r="AN59" s="93"/>
      <c r="AO59" s="93"/>
    </row>
  </sheetData>
  <mergeCells count="88">
    <mergeCell ref="D4:X4"/>
    <mergeCell ref="C10:N10"/>
    <mergeCell ref="O10:Z10"/>
    <mergeCell ref="AA10:AD10"/>
    <mergeCell ref="C11:F11"/>
    <mergeCell ref="G11:J11"/>
    <mergeCell ref="K11:N11"/>
    <mergeCell ref="O11:R11"/>
    <mergeCell ref="S11:V11"/>
    <mergeCell ref="W11:Z11"/>
    <mergeCell ref="AA11:AD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B13"/>
    <mergeCell ref="C20:N20"/>
    <mergeCell ref="O20:Z20"/>
    <mergeCell ref="AA20:AD20"/>
    <mergeCell ref="C21:F21"/>
    <mergeCell ref="G21:J21"/>
    <mergeCell ref="K21:N21"/>
    <mergeCell ref="O21:R21"/>
    <mergeCell ref="S21:V21"/>
    <mergeCell ref="W21:Z21"/>
    <mergeCell ref="AA21:AD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B23"/>
    <mergeCell ref="AG35:AG38"/>
    <mergeCell ref="AH35:AH38"/>
    <mergeCell ref="AI35:AI38"/>
    <mergeCell ref="AJ35:AJ38"/>
    <mergeCell ref="AK35:AK38"/>
    <mergeCell ref="C37:D37"/>
    <mergeCell ref="E37:F37"/>
    <mergeCell ref="A38:B38"/>
    <mergeCell ref="AE38:AF38"/>
    <mergeCell ref="A39:B39"/>
    <mergeCell ref="AE39:AF39"/>
    <mergeCell ref="A40:B40"/>
    <mergeCell ref="AE40:AF40"/>
    <mergeCell ref="A41:B41"/>
    <mergeCell ref="AE41:AF41"/>
    <mergeCell ref="A42:B42"/>
    <mergeCell ref="AE42:AF42"/>
    <mergeCell ref="A43:B43"/>
    <mergeCell ref="AE43:AF43"/>
    <mergeCell ref="A44:B44"/>
    <mergeCell ref="AE44:AF44"/>
    <mergeCell ref="AE47:AF47"/>
    <mergeCell ref="AE48:AF48"/>
    <mergeCell ref="AG49:AG52"/>
    <mergeCell ref="AH49:AH52"/>
    <mergeCell ref="AI49:AI52"/>
    <mergeCell ref="AJ49:AJ52"/>
    <mergeCell ref="AK49:AK52"/>
    <mergeCell ref="AM49:AO52"/>
    <mergeCell ref="AE52:AF52"/>
    <mergeCell ref="AE53:AF53"/>
    <mergeCell ref="AE54:AF54"/>
    <mergeCell ref="AE55:AF55"/>
    <mergeCell ref="AE56:AF56"/>
    <mergeCell ref="AE57:AF57"/>
    <mergeCell ref="AE58:AF58"/>
    <mergeCell ref="AE59:AF59"/>
  </mergeCells>
  <printOptions headings="0" gridLines="0" horizontalCentered="0" verticalCentered="0"/>
  <pageMargins left="0.19652777777777802" right="0.19652777777777802" top="0.98402777777777795" bottom="0.98402777777777795" header="0.51180555555555496" footer="0.51180555555555496"/>
  <pageSetup paperSize="9" scale="100" firstPageNumber="1" fitToWidth="0" fitToHeight="1" pageOrder="overThenDown" orientation="portrait" usePrinterDefaults="1" blackAndWhite="0" draft="0" cellComments="none" useFirstPageNumber="1" errors="displayed" horizontalDpi="300" verticalDpi="300" copies="1"/>
  <headerFooter/>
  <colBreaks count="1" manualBreakCount="1">
    <brk id="30" man="1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A33" zoomScale="65" workbookViewId="0">
      <selection activeCell="J47" activeCellId="0" sqref="J47"/>
    </sheetView>
  </sheetViews>
  <sheetFormatPr defaultColWidth="11.23828125" defaultRowHeight="14"/>
  <cols>
    <col customWidth="1" min="1" max="1" style="1" width="9.9199999999999999"/>
    <col customWidth="0" min="2" max="2" style="1" width="11.25"/>
    <col customWidth="1" min="3" max="18" style="1" width="15.58"/>
    <col customWidth="0" min="19" max="1015" style="1" width="11.25"/>
    <col customWidth="1" min="1016" max="1016" style="1" width="11.17"/>
    <col customWidth="1" min="1017" max="1024" style="0" width="10.5"/>
  </cols>
  <sheetData>
    <row r="1" s="2" customFormat="1" ht="52.5" customHeight="1">
      <c r="A1" s="3"/>
      <c r="B1" s="4" t="s">
        <v>101</v>
      </c>
      <c r="C1" s="5"/>
      <c r="D1" s="5"/>
      <c r="E1" s="4" t="s">
        <v>102</v>
      </c>
      <c r="G1" s="1"/>
      <c r="H1" s="178"/>
      <c r="I1" s="5"/>
      <c r="J1" s="5"/>
      <c r="K1" s="3" t="s">
        <v>2</v>
      </c>
      <c r="O1" s="8"/>
      <c r="P1" s="5"/>
      <c r="Q1" s="5"/>
      <c r="R1" s="5"/>
      <c r="S1" s="5"/>
      <c r="T1" s="5"/>
      <c r="U1" s="5"/>
      <c r="V1" s="5"/>
      <c r="Y1" s="5"/>
      <c r="Z1" s="5"/>
      <c r="ALZ1" s="8"/>
      <c r="AMA1" s="8"/>
      <c r="AMB1" s="8"/>
    </row>
    <row r="2" s="2" customFormat="1" ht="52.5" customHeight="1">
      <c r="A2" s="3" t="s">
        <v>3</v>
      </c>
      <c r="B2" s="5"/>
      <c r="C2" s="5"/>
      <c r="D2" s="5"/>
      <c r="E2" s="5"/>
      <c r="F2" s="2" t="s">
        <v>103</v>
      </c>
      <c r="G2" s="1"/>
      <c r="H2" s="5"/>
      <c r="I2" s="5"/>
      <c r="J2" s="5"/>
      <c r="K2" s="5"/>
      <c r="L2" s="5"/>
      <c r="M2" s="5"/>
      <c r="N2" s="5"/>
      <c r="O2" s="5"/>
      <c r="P2" s="8"/>
      <c r="Q2" s="5"/>
      <c r="R2" s="5"/>
      <c r="S2" s="5"/>
      <c r="T2" s="5"/>
      <c r="U2" s="5"/>
      <c r="V2" s="5"/>
      <c r="X2" s="5"/>
      <c r="Y2" s="5"/>
      <c r="Z2" s="5"/>
      <c r="ALZ2" s="8"/>
      <c r="AMA2" s="8"/>
      <c r="AMB2" s="8"/>
    </row>
    <row r="3" s="2" customFormat="1" ht="20.25" customHeight="1">
      <c r="A3" s="3" t="s">
        <v>5</v>
      </c>
      <c r="B3" s="5"/>
      <c r="C3" s="5"/>
      <c r="D3" s="5"/>
      <c r="E3" s="5"/>
      <c r="F3" s="5"/>
      <c r="G3" s="1"/>
      <c r="H3" s="5"/>
      <c r="I3" s="5"/>
      <c r="J3" s="5"/>
      <c r="K3" s="9" t="s">
        <v>7</v>
      </c>
      <c r="L3" s="5"/>
      <c r="M3" s="5"/>
      <c r="N3" s="5"/>
      <c r="O3" s="5"/>
      <c r="P3" s="8"/>
      <c r="Q3" s="5"/>
      <c r="R3" s="5"/>
      <c r="S3" s="5"/>
      <c r="T3" s="5"/>
      <c r="U3" s="5"/>
      <c r="V3" s="5"/>
      <c r="W3" s="5"/>
      <c r="X3" s="5"/>
      <c r="Y3" s="5"/>
      <c r="Z3" s="5"/>
      <c r="ALZ3" s="8"/>
      <c r="AMA3" s="8"/>
      <c r="AMB3" s="8"/>
    </row>
    <row r="4" s="8" customFormat="1" ht="4.5" customHeight="1"/>
    <row r="5" s="2" customFormat="1" ht="35.149999999999999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MB5" s="8"/>
    </row>
    <row r="6" s="2" customFormat="1" ht="35.149999999999999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MB6" s="8"/>
    </row>
    <row r="7" s="2" customFormat="1" ht="35.149999999999999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MB7" s="8"/>
    </row>
    <row r="8" ht="25.5" customHeight="1">
      <c r="A8" s="168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</row>
    <row r="9" s="2" customFormat="1" ht="32.25" customHeight="1">
      <c r="A9" s="3"/>
      <c r="B9" s="5"/>
      <c r="C9" s="16" t="s">
        <v>104</v>
      </c>
      <c r="D9" s="16"/>
      <c r="E9" s="16"/>
      <c r="F9" s="16"/>
      <c r="G9" s="16"/>
      <c r="H9" s="16"/>
      <c r="I9" s="16"/>
      <c r="J9" s="16"/>
      <c r="K9" s="16" t="s">
        <v>105</v>
      </c>
      <c r="L9" s="16"/>
      <c r="M9" s="16"/>
      <c r="N9" s="16"/>
      <c r="O9" s="16"/>
      <c r="P9" s="16"/>
      <c r="Q9" s="16"/>
      <c r="R9" s="16"/>
      <c r="S9" s="179"/>
      <c r="T9" s="179"/>
      <c r="U9" s="179"/>
      <c r="V9" s="179"/>
      <c r="W9" s="179"/>
      <c r="X9" s="179"/>
      <c r="Y9" s="179"/>
      <c r="Z9" s="179"/>
      <c r="AMB9" s="8"/>
    </row>
    <row r="10" s="2" customFormat="1" ht="22.75" customHeight="1">
      <c r="A10" s="3"/>
      <c r="B10" s="5"/>
      <c r="C10" s="17" t="s">
        <v>106</v>
      </c>
      <c r="D10" s="17"/>
      <c r="E10" s="17"/>
      <c r="F10" s="17"/>
      <c r="G10" s="17" t="s">
        <v>107</v>
      </c>
      <c r="H10" s="17"/>
      <c r="I10" s="17"/>
      <c r="J10" s="17"/>
      <c r="K10" s="17" t="s">
        <v>72</v>
      </c>
      <c r="L10" s="17"/>
      <c r="M10" s="17"/>
      <c r="N10" s="17"/>
      <c r="O10" s="17" t="s">
        <v>107</v>
      </c>
      <c r="P10" s="17"/>
      <c r="Q10" s="17"/>
      <c r="R10" s="17"/>
      <c r="S10" s="180"/>
      <c r="T10" s="180"/>
      <c r="U10" s="180"/>
      <c r="V10" s="180"/>
      <c r="W10" s="180"/>
      <c r="X10" s="180"/>
      <c r="Y10" s="180"/>
      <c r="Z10" s="180"/>
      <c r="AMB10" s="8"/>
    </row>
    <row r="11" s="2" customFormat="1" ht="18.649999999999999" customHeight="1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1"/>
      <c r="T11" s="181"/>
      <c r="U11" s="181"/>
      <c r="V11" s="181"/>
      <c r="W11" s="181"/>
      <c r="X11" s="181"/>
      <c r="Y11" s="181"/>
      <c r="Z11" s="181"/>
      <c r="AMB11" s="8"/>
    </row>
    <row r="12" s="2" customFormat="1" ht="21">
      <c r="A12" s="19" t="s">
        <v>20</v>
      </c>
      <c r="B12" s="19"/>
      <c r="C12" s="20" t="s">
        <v>21</v>
      </c>
      <c r="D12" s="20" t="s">
        <v>22</v>
      </c>
      <c r="E12" s="20" t="s">
        <v>21</v>
      </c>
      <c r="F12" s="20" t="s">
        <v>22</v>
      </c>
      <c r="G12" s="20" t="s">
        <v>21</v>
      </c>
      <c r="H12" s="20" t="s">
        <v>22</v>
      </c>
      <c r="I12" s="20" t="s">
        <v>21</v>
      </c>
      <c r="J12" s="20" t="s">
        <v>22</v>
      </c>
      <c r="K12" s="20" t="s">
        <v>21</v>
      </c>
      <c r="L12" s="20" t="s">
        <v>22</v>
      </c>
      <c r="M12" s="20" t="s">
        <v>21</v>
      </c>
      <c r="N12" s="20" t="s">
        <v>22</v>
      </c>
      <c r="O12" s="20" t="s">
        <v>21</v>
      </c>
      <c r="P12" s="20" t="s">
        <v>22</v>
      </c>
      <c r="Q12" s="20" t="s">
        <v>21</v>
      </c>
      <c r="R12" s="20" t="s">
        <v>22</v>
      </c>
      <c r="S12" s="27"/>
      <c r="T12" s="27"/>
      <c r="U12" s="27"/>
      <c r="V12" s="27"/>
      <c r="W12" s="27"/>
      <c r="X12" s="27"/>
      <c r="Y12" s="27"/>
      <c r="Z12" s="27"/>
      <c r="AMB12" s="8"/>
    </row>
    <row r="13" ht="69.75" customHeight="1">
      <c r="A13" s="81">
        <v>0.27083333333333298</v>
      </c>
      <c r="B13" s="81">
        <v>0.29166666666666702</v>
      </c>
      <c r="C13" s="22"/>
      <c r="D13" s="22">
        <v>2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8"/>
      <c r="T13" s="28"/>
      <c r="U13" s="28"/>
      <c r="V13" s="28"/>
      <c r="W13" s="28"/>
      <c r="X13" s="28"/>
      <c r="Y13" s="28"/>
      <c r="Z13" s="28"/>
    </row>
    <row r="14" ht="70" customHeight="1">
      <c r="A14" s="81">
        <v>0.29166666666666702</v>
      </c>
      <c r="B14" s="81">
        <v>0.3125</v>
      </c>
      <c r="C14" s="22"/>
      <c r="D14" s="22"/>
      <c r="E14" s="22">
        <v>2</v>
      </c>
      <c r="F14" s="22"/>
      <c r="G14" s="22"/>
      <c r="H14" s="22"/>
      <c r="I14" s="22">
        <v>1</v>
      </c>
      <c r="J14" s="22"/>
      <c r="K14" s="22">
        <v>1</v>
      </c>
      <c r="L14" s="22">
        <v>3</v>
      </c>
      <c r="M14" s="22"/>
      <c r="N14" s="22"/>
      <c r="O14" s="22"/>
      <c r="P14" s="22"/>
      <c r="Q14" s="22"/>
      <c r="R14" s="22"/>
      <c r="S14" s="28"/>
      <c r="T14" s="28"/>
      <c r="U14" s="28"/>
      <c r="V14" s="28"/>
      <c r="W14" s="28"/>
      <c r="X14" s="28"/>
      <c r="Y14" s="28"/>
      <c r="Z14" s="28"/>
    </row>
    <row r="15" ht="70" customHeight="1">
      <c r="A15" s="81">
        <v>0.3125</v>
      </c>
      <c r="B15" s="81">
        <v>0.33333333333333298</v>
      </c>
      <c r="C15" s="22"/>
      <c r="D15" s="22"/>
      <c r="E15" s="22">
        <v>1</v>
      </c>
      <c r="F15" s="22"/>
      <c r="G15" s="22"/>
      <c r="H15" s="22"/>
      <c r="I15" s="22"/>
      <c r="J15" s="22"/>
      <c r="K15" s="22"/>
      <c r="L15" s="22">
        <v>1</v>
      </c>
      <c r="M15" s="22"/>
      <c r="N15" s="22"/>
      <c r="O15" s="22"/>
      <c r="P15" s="22"/>
      <c r="Q15" s="22"/>
      <c r="R15" s="22"/>
      <c r="S15" s="28"/>
      <c r="T15" s="28"/>
      <c r="U15" s="28"/>
      <c r="V15" s="28"/>
      <c r="W15" s="28"/>
      <c r="X15" s="28"/>
      <c r="Y15" s="28"/>
      <c r="Z15" s="28"/>
    </row>
    <row r="16" ht="70" customHeight="1">
      <c r="A16" s="81">
        <v>0.33333333333333298</v>
      </c>
      <c r="B16" s="81">
        <v>0.35416666666666702</v>
      </c>
      <c r="C16" s="22">
        <v>1</v>
      </c>
      <c r="D16" s="22"/>
      <c r="E16" s="22"/>
      <c r="F16" s="22"/>
      <c r="G16" s="22"/>
      <c r="H16" s="22"/>
      <c r="I16" s="22"/>
      <c r="J16" s="22"/>
      <c r="K16" s="22">
        <v>1</v>
      </c>
      <c r="L16" s="22"/>
      <c r="M16" s="22"/>
      <c r="N16" s="22"/>
      <c r="O16" s="22"/>
      <c r="P16" s="22"/>
      <c r="Q16" s="22"/>
      <c r="R16" s="22"/>
      <c r="S16" s="28"/>
      <c r="T16" s="28"/>
      <c r="U16" s="28"/>
      <c r="V16" s="28"/>
      <c r="W16" s="28"/>
      <c r="X16" s="28"/>
      <c r="Y16" s="28"/>
      <c r="Z16" s="28"/>
    </row>
    <row r="17" ht="70" customHeight="1">
      <c r="A17" s="81">
        <v>0.35416666666666702</v>
      </c>
      <c r="B17" s="81">
        <v>0.375</v>
      </c>
      <c r="C17" s="22"/>
      <c r="D17" s="22">
        <v>3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8"/>
      <c r="T17" s="28"/>
      <c r="U17" s="28"/>
      <c r="V17" s="28"/>
      <c r="W17" s="28"/>
      <c r="X17" s="28"/>
      <c r="Y17" s="28"/>
      <c r="Z17" s="28"/>
    </row>
    <row r="18" ht="12" customHeight="1">
      <c r="A18" s="27"/>
      <c r="B18" s="27"/>
      <c r="C18" s="28"/>
      <c r="D18" s="28"/>
      <c r="E18" s="28"/>
      <c r="F18" s="28"/>
      <c r="G18" s="28"/>
      <c r="H18" s="28"/>
      <c r="I18" s="28"/>
      <c r="J18" s="28"/>
    </row>
    <row r="19" s="2" customFormat="1" ht="32.25" customHeight="1">
      <c r="A19" s="3"/>
      <c r="B19" s="5"/>
      <c r="C19" s="16" t="s">
        <v>108</v>
      </c>
      <c r="D19" s="16"/>
      <c r="E19" s="16"/>
      <c r="F19" s="16"/>
      <c r="G19" s="16"/>
      <c r="H19" s="16"/>
      <c r="I19" s="16"/>
      <c r="J19" s="16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MB19" s="8"/>
    </row>
    <row r="20" s="2" customFormat="1" ht="22.75" customHeight="1">
      <c r="A20" s="3"/>
      <c r="B20" s="5"/>
      <c r="C20" s="17" t="s">
        <v>109</v>
      </c>
      <c r="D20" s="17"/>
      <c r="E20" s="17"/>
      <c r="F20" s="17"/>
      <c r="G20" s="17" t="s">
        <v>72</v>
      </c>
      <c r="H20" s="17"/>
      <c r="I20" s="17"/>
      <c r="J20" s="17"/>
      <c r="K20" s="179"/>
      <c r="L20" s="179"/>
      <c r="M20" s="179"/>
      <c r="N20" s="179"/>
      <c r="O20" s="179"/>
      <c r="P20" s="179"/>
      <c r="Q20" s="179"/>
      <c r="R20" s="179"/>
      <c r="S20" s="180"/>
      <c r="T20" s="180"/>
      <c r="U20" s="180"/>
      <c r="V20" s="180"/>
      <c r="W20" s="180"/>
      <c r="X20" s="180"/>
      <c r="Y20" s="180"/>
      <c r="Z20" s="180"/>
      <c r="AMB20" s="8"/>
    </row>
    <row r="21" s="2" customFormat="1" ht="18.649999999999999" customHeight="1">
      <c r="A21" s="3"/>
      <c r="B21" s="5"/>
      <c r="C21" s="18" t="s">
        <v>18</v>
      </c>
      <c r="D21" s="18"/>
      <c r="E21" s="18" t="s">
        <v>19</v>
      </c>
      <c r="F21" s="18"/>
      <c r="G21" s="18" t="s">
        <v>18</v>
      </c>
      <c r="H21" s="18"/>
      <c r="I21" s="18" t="s">
        <v>19</v>
      </c>
      <c r="J21" s="18"/>
      <c r="K21" s="179"/>
      <c r="L21" s="179"/>
      <c r="M21" s="179"/>
      <c r="N21" s="179"/>
      <c r="O21" s="179"/>
      <c r="P21" s="179"/>
      <c r="Q21" s="179"/>
      <c r="R21" s="179"/>
      <c r="S21" s="181"/>
      <c r="T21" s="181"/>
      <c r="U21" s="181"/>
      <c r="V21" s="181"/>
      <c r="W21" s="181"/>
      <c r="X21" s="181"/>
      <c r="Y21" s="181"/>
      <c r="Z21" s="181"/>
      <c r="AMB21" s="8"/>
    </row>
    <row r="22" s="2" customFormat="1" ht="31">
      <c r="A22" s="19" t="s">
        <v>20</v>
      </c>
      <c r="B22" s="19"/>
      <c r="C22" s="20" t="s">
        <v>21</v>
      </c>
      <c r="D22" s="20" t="s">
        <v>22</v>
      </c>
      <c r="E22" s="20" t="s">
        <v>21</v>
      </c>
      <c r="F22" s="20" t="s">
        <v>22</v>
      </c>
      <c r="G22" s="20" t="s">
        <v>21</v>
      </c>
      <c r="H22" s="20" t="s">
        <v>22</v>
      </c>
      <c r="I22" s="20" t="s">
        <v>21</v>
      </c>
      <c r="J22" s="20" t="s">
        <v>22</v>
      </c>
      <c r="K22" s="179"/>
      <c r="L22" s="179"/>
      <c r="M22" s="179"/>
      <c r="N22" s="179"/>
      <c r="O22" s="179"/>
      <c r="P22" s="179"/>
      <c r="Q22" s="179"/>
      <c r="R22" s="179"/>
      <c r="S22" s="27"/>
      <c r="T22" s="27"/>
      <c r="U22" s="27"/>
      <c r="V22" s="27"/>
      <c r="W22" s="27"/>
      <c r="X22" s="27"/>
      <c r="Y22" s="27"/>
      <c r="Z22" s="27"/>
      <c r="AMB22" s="8"/>
    </row>
    <row r="23" ht="70" customHeight="1">
      <c r="A23" s="81">
        <v>0.27083333333333298</v>
      </c>
      <c r="B23" s="81">
        <v>0.29166666666666702</v>
      </c>
      <c r="C23" s="22"/>
      <c r="D23" s="22"/>
      <c r="E23" s="22">
        <v>2</v>
      </c>
      <c r="F23" s="22"/>
      <c r="G23" s="22"/>
      <c r="H23" s="22"/>
      <c r="I23" s="22"/>
      <c r="J23" s="22">
        <v>1</v>
      </c>
      <c r="K23" s="179"/>
      <c r="L23" s="179"/>
      <c r="M23" s="182"/>
      <c r="N23" s="179"/>
      <c r="O23" s="179"/>
      <c r="P23" s="179"/>
      <c r="Q23" s="179"/>
      <c r="R23" s="179"/>
      <c r="S23" s="28"/>
      <c r="T23" s="28"/>
      <c r="U23" s="28"/>
      <c r="V23" s="28"/>
      <c r="W23" s="28"/>
      <c r="X23" s="28"/>
      <c r="Y23" s="28"/>
      <c r="Z23" s="28"/>
    </row>
    <row r="24" ht="70" customHeight="1">
      <c r="A24" s="81">
        <v>0.29166666666666702</v>
      </c>
      <c r="B24" s="81">
        <v>0.3125</v>
      </c>
      <c r="C24" s="22">
        <v>1</v>
      </c>
      <c r="D24" s="22"/>
      <c r="E24" s="22"/>
      <c r="F24" s="22"/>
      <c r="G24" s="22"/>
      <c r="H24" s="22">
        <v>1</v>
      </c>
      <c r="I24" s="22">
        <v>3</v>
      </c>
      <c r="J24" s="22"/>
      <c r="K24" s="179"/>
      <c r="L24" s="179"/>
      <c r="M24" s="182"/>
      <c r="N24" s="179"/>
      <c r="O24" s="179"/>
      <c r="P24" s="179"/>
      <c r="Q24" s="179"/>
      <c r="R24" s="179"/>
      <c r="S24" s="28"/>
      <c r="T24" s="28"/>
      <c r="U24" s="28"/>
      <c r="V24" s="28"/>
      <c r="W24" s="28"/>
      <c r="X24" s="28"/>
      <c r="Y24" s="28"/>
      <c r="Z24" s="28"/>
    </row>
    <row r="25" ht="70" customHeight="1">
      <c r="A25" s="81">
        <v>0.3125</v>
      </c>
      <c r="B25" s="81">
        <v>0.33333333333333298</v>
      </c>
      <c r="C25" s="22"/>
      <c r="D25" s="22">
        <v>3</v>
      </c>
      <c r="E25" s="22">
        <v>1</v>
      </c>
      <c r="F25" s="22"/>
      <c r="G25" s="22"/>
      <c r="H25" s="22"/>
      <c r="I25" s="22"/>
      <c r="J25" s="22"/>
      <c r="K25" s="179"/>
      <c r="L25" s="179"/>
      <c r="M25" s="182"/>
      <c r="N25" s="179"/>
      <c r="O25" s="179"/>
      <c r="P25" s="179"/>
      <c r="Q25" s="179"/>
      <c r="R25" s="179"/>
      <c r="S25" s="28"/>
      <c r="T25" s="28"/>
      <c r="U25" s="28"/>
      <c r="V25" s="28"/>
      <c r="W25" s="28"/>
      <c r="X25" s="28"/>
      <c r="Y25" s="28"/>
      <c r="Z25" s="28"/>
    </row>
    <row r="26" ht="70" customHeight="1">
      <c r="A26" s="81">
        <v>0.33333333333333298</v>
      </c>
      <c r="B26" s="81">
        <v>0.35416666666666702</v>
      </c>
      <c r="C26" s="22"/>
      <c r="D26" s="22"/>
      <c r="E26" s="22"/>
      <c r="F26" s="22"/>
      <c r="G26" s="22"/>
      <c r="H26" s="22"/>
      <c r="I26" s="22">
        <v>1</v>
      </c>
      <c r="J26" s="22"/>
      <c r="K26" s="179"/>
      <c r="L26" s="179"/>
      <c r="N26" s="179"/>
      <c r="O26" s="179"/>
      <c r="P26" s="179"/>
      <c r="Q26" s="179"/>
      <c r="R26" s="179"/>
      <c r="S26" s="28"/>
      <c r="T26" s="28"/>
      <c r="U26" s="28"/>
      <c r="V26" s="28"/>
      <c r="W26" s="28"/>
      <c r="X26" s="28"/>
      <c r="Y26" s="28"/>
      <c r="Z26" s="28"/>
    </row>
    <row r="27" ht="70" customHeight="1">
      <c r="A27" s="81">
        <v>0.35416666666666702</v>
      </c>
      <c r="B27" s="81">
        <v>0.375</v>
      </c>
      <c r="C27" s="22"/>
      <c r="D27" s="22"/>
      <c r="E27" s="22"/>
      <c r="F27" s="22"/>
      <c r="G27" s="22"/>
      <c r="H27" s="22">
        <v>1</v>
      </c>
      <c r="I27" s="22"/>
      <c r="J27" s="22">
        <v>1</v>
      </c>
      <c r="K27" s="179"/>
      <c r="L27" s="179"/>
      <c r="M27" s="182"/>
      <c r="N27" s="179"/>
      <c r="O27" s="179"/>
      <c r="P27" s="179"/>
      <c r="Q27" s="179"/>
      <c r="R27" s="179"/>
      <c r="S27" s="28"/>
      <c r="T27" s="28"/>
      <c r="U27" s="28"/>
      <c r="V27" s="28"/>
      <c r="W27" s="28"/>
      <c r="X27" s="28"/>
      <c r="Y27" s="28"/>
      <c r="Z27" s="28"/>
    </row>
    <row r="28" ht="12" customHeight="1">
      <c r="A28" s="27"/>
      <c r="B28" s="27"/>
      <c r="C28" s="28"/>
      <c r="D28" s="28"/>
      <c r="E28" s="28"/>
      <c r="F28" s="28"/>
      <c r="G28" s="28"/>
      <c r="H28" s="28"/>
      <c r="I28" s="28"/>
      <c r="J28" s="28"/>
    </row>
    <row r="29" s="23" customFormat="1" ht="38.149999999999999" customHeight="1">
      <c r="A29" s="24"/>
      <c r="B29" s="25" t="s">
        <v>23</v>
      </c>
      <c r="C29" s="26"/>
      <c r="D29" s="26">
        <v>4</v>
      </c>
      <c r="E29" s="26"/>
      <c r="F29" s="26"/>
      <c r="G29" s="26"/>
      <c r="H29" s="26"/>
      <c r="I29" s="26"/>
      <c r="J29" s="26"/>
      <c r="K29" s="26"/>
      <c r="L29" s="26"/>
      <c r="M29" s="131"/>
      <c r="N29" s="26"/>
      <c r="O29" s="26"/>
      <c r="P29" s="13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MC29" s="1"/>
      <c r="AMD29" s="1"/>
      <c r="AME29" s="1"/>
      <c r="AMF29" s="1"/>
      <c r="AMG29" s="1"/>
      <c r="AMH29" s="1"/>
    </row>
    <row r="30" s="23" customFormat="1" ht="38.149999999999999" customHeight="1">
      <c r="A30" s="24"/>
      <c r="B30" s="25" t="s">
        <v>34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131"/>
      <c r="N30" s="26"/>
      <c r="O30" s="26"/>
      <c r="P30" s="13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MC30" s="1"/>
      <c r="AMD30" s="1"/>
      <c r="AME30" s="1"/>
      <c r="AMF30" s="1"/>
      <c r="AMG30" s="1"/>
      <c r="AMH30" s="1"/>
    </row>
    <row r="31" s="23" customFormat="1" ht="38.149999999999999" customHeight="1">
      <c r="A31" s="24"/>
      <c r="B31" s="25" t="s">
        <v>25</v>
      </c>
      <c r="C31" s="26"/>
      <c r="D31" s="26"/>
      <c r="E31" s="26">
        <v>3</v>
      </c>
      <c r="F31" s="26"/>
      <c r="G31" s="26"/>
      <c r="H31" s="26"/>
      <c r="I31" s="26"/>
      <c r="J31" s="26"/>
      <c r="K31" s="26"/>
      <c r="L31" s="26"/>
      <c r="M31" s="131"/>
      <c r="N31" s="26"/>
      <c r="O31" s="26"/>
      <c r="P31" s="13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MC31" s="1"/>
      <c r="AMD31" s="1"/>
      <c r="AME31" s="1"/>
      <c r="AMF31" s="1"/>
      <c r="AMG31" s="1"/>
      <c r="AMH31" s="1"/>
    </row>
    <row r="32" s="23" customFormat="1" ht="38.149999999999999" customHeight="1">
      <c r="A32" s="24"/>
      <c r="B32" s="25" t="s">
        <v>26</v>
      </c>
      <c r="C32" s="26"/>
      <c r="D32" s="26"/>
      <c r="E32" s="26"/>
      <c r="F32" s="133"/>
      <c r="G32" s="26"/>
      <c r="H32" s="26"/>
      <c r="I32" s="26">
        <v>2</v>
      </c>
      <c r="J32" s="26"/>
      <c r="K32" s="26"/>
      <c r="L32" s="26"/>
      <c r="M32" s="131"/>
      <c r="N32" s="26"/>
      <c r="O32" s="26"/>
      <c r="P32" s="13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MC32" s="1"/>
      <c r="AMD32" s="1"/>
      <c r="AME32" s="1"/>
      <c r="AMF32" s="1"/>
      <c r="AMG32" s="1"/>
      <c r="AMH32" s="1"/>
    </row>
    <row r="33" ht="20">
      <c r="A33" s="173"/>
      <c r="B33" s="5"/>
      <c r="C33" s="5"/>
      <c r="D33" s="5"/>
      <c r="E33" s="5"/>
      <c r="F33" s="5"/>
      <c r="G33" s="5"/>
      <c r="H33" s="5"/>
      <c r="I33" s="5"/>
      <c r="J33" s="5"/>
      <c r="M33" s="174" t="s">
        <v>99</v>
      </c>
    </row>
    <row r="34" ht="20.25" customHeight="1">
      <c r="K34" s="14"/>
      <c r="L34" s="15"/>
      <c r="M34" s="67" t="s">
        <v>27</v>
      </c>
      <c r="N34" s="39" t="s">
        <v>28</v>
      </c>
      <c r="O34" s="35" t="s">
        <v>29</v>
      </c>
      <c r="P34" s="35" t="s">
        <v>30</v>
      </c>
      <c r="Q34" s="36"/>
      <c r="R34" s="68" t="s">
        <v>33</v>
      </c>
      <c r="S34" s="68" t="s">
        <v>34</v>
      </c>
      <c r="T34" s="68" t="s">
        <v>35</v>
      </c>
      <c r="U34" s="68" t="s">
        <v>32</v>
      </c>
    </row>
    <row r="35" ht="21">
      <c r="K35" s="14"/>
      <c r="L35" s="15"/>
      <c r="M35" s="67"/>
      <c r="N35" s="39"/>
      <c r="O35" s="35"/>
      <c r="P35" s="35"/>
      <c r="Q35" s="36"/>
      <c r="R35" s="68"/>
      <c r="S35" s="68"/>
      <c r="T35" s="68"/>
      <c r="U35" s="68"/>
    </row>
    <row r="36" ht="20.25" customHeight="1">
      <c r="A36" s="14"/>
      <c r="B36" s="15"/>
      <c r="C36" s="18" t="s">
        <v>18</v>
      </c>
      <c r="D36" s="18"/>
      <c r="E36" s="18" t="s">
        <v>19</v>
      </c>
      <c r="F36" s="18"/>
      <c r="K36" s="69"/>
      <c r="L36" s="15"/>
      <c r="M36" s="67"/>
      <c r="N36" s="39"/>
      <c r="O36" s="35"/>
      <c r="P36" s="35"/>
      <c r="Q36" s="36"/>
      <c r="R36" s="68"/>
      <c r="S36" s="68"/>
      <c r="T36" s="68"/>
      <c r="U36" s="68"/>
    </row>
    <row r="37" ht="21" customHeight="1">
      <c r="A37" s="19" t="s">
        <v>20</v>
      </c>
      <c r="B37" s="19"/>
      <c r="C37" s="20" t="s">
        <v>21</v>
      </c>
      <c r="D37" s="20" t="s">
        <v>22</v>
      </c>
      <c r="E37" s="20" t="s">
        <v>21</v>
      </c>
      <c r="F37" s="20" t="s">
        <v>22</v>
      </c>
      <c r="K37" s="19" t="s">
        <v>20</v>
      </c>
      <c r="L37" s="19"/>
      <c r="M37" s="67"/>
      <c r="N37" s="39"/>
      <c r="O37" s="35"/>
      <c r="P37" s="35"/>
      <c r="Q37" s="36"/>
      <c r="R37" s="68"/>
      <c r="S37" s="68"/>
      <c r="T37" s="68"/>
      <c r="U37" s="68"/>
    </row>
    <row r="38" ht="35.149999999999999" customHeight="1">
      <c r="A38" s="19" t="s">
        <v>36</v>
      </c>
      <c r="B38" s="19"/>
      <c r="C38" s="22">
        <f t="shared" ref="C38:C42" si="93">C13+G13+K13+O13+C23+G23</f>
        <v>0</v>
      </c>
      <c r="D38" s="22">
        <f t="shared" ref="D38:D42" si="94">D13+H13+L13+P13+D23+H23</f>
        <v>2</v>
      </c>
      <c r="E38" s="22">
        <f t="shared" ref="E38:E42" si="95">E13+I13+M13+Q13+E23+I23</f>
        <v>2</v>
      </c>
      <c r="F38" s="22">
        <f t="shared" ref="F38:F42" si="96">F13+J13+N13+R13+F23+J23</f>
        <v>1</v>
      </c>
      <c r="K38" s="19" t="str">
        <f t="shared" ref="K38:K42" si="97">A38</f>
        <v xml:space="preserve">6:30 à 7:00</v>
      </c>
      <c r="L38" s="19"/>
      <c r="M38" s="70">
        <f t="shared" ref="M38:M43" si="98">SUM(C38:J38)</f>
        <v>5</v>
      </c>
      <c r="N38" s="41">
        <f t="shared" ref="N38:N42" si="99">C38+E38</f>
        <v>2</v>
      </c>
      <c r="O38" s="41">
        <f t="shared" ref="O38:O42" si="100">E38+F38</f>
        <v>3</v>
      </c>
      <c r="P38" s="41">
        <f t="shared" ref="P38:P42" si="101">E38</f>
        <v>2</v>
      </c>
      <c r="Q38" s="41">
        <f t="shared" ref="Q38:Q42" si="102">SUM(G38:J38)</f>
        <v>0</v>
      </c>
      <c r="R38" s="183"/>
      <c r="S38" s="93"/>
      <c r="T38" s="93"/>
      <c r="U38" s="66"/>
    </row>
    <row r="39" ht="35.149999999999999" customHeight="1">
      <c r="A39" s="19" t="s">
        <v>37</v>
      </c>
      <c r="B39" s="19"/>
      <c r="C39" s="22">
        <f t="shared" si="93"/>
        <v>2</v>
      </c>
      <c r="D39" s="22">
        <f t="shared" si="94"/>
        <v>4</v>
      </c>
      <c r="E39" s="22">
        <f t="shared" si="95"/>
        <v>6</v>
      </c>
      <c r="F39" s="22">
        <f t="shared" si="96"/>
        <v>0</v>
      </c>
      <c r="K39" s="19" t="str">
        <f t="shared" si="97"/>
        <v xml:space="preserve">7:00 à 7:30</v>
      </c>
      <c r="L39" s="19"/>
      <c r="M39" s="70">
        <f t="shared" si="98"/>
        <v>12</v>
      </c>
      <c r="N39" s="41">
        <f t="shared" si="99"/>
        <v>8</v>
      </c>
      <c r="O39" s="41">
        <f t="shared" si="100"/>
        <v>6</v>
      </c>
      <c r="P39" s="41">
        <f t="shared" si="101"/>
        <v>6</v>
      </c>
      <c r="Q39" s="41">
        <f t="shared" si="102"/>
        <v>0</v>
      </c>
      <c r="R39" s="92"/>
      <c r="S39" s="93"/>
      <c r="T39" s="93"/>
      <c r="U39" s="66"/>
    </row>
    <row r="40" ht="35.149999999999999" customHeight="1">
      <c r="A40" s="19" t="s">
        <v>38</v>
      </c>
      <c r="B40" s="19"/>
      <c r="C40" s="22">
        <f t="shared" si="93"/>
        <v>0</v>
      </c>
      <c r="D40" s="22">
        <f t="shared" si="94"/>
        <v>4</v>
      </c>
      <c r="E40" s="22">
        <f t="shared" si="95"/>
        <v>2</v>
      </c>
      <c r="F40" s="22">
        <f t="shared" si="96"/>
        <v>0</v>
      </c>
      <c r="K40" s="19" t="str">
        <f t="shared" si="97"/>
        <v xml:space="preserve">7:30 à 8:00</v>
      </c>
      <c r="L40" s="19"/>
      <c r="M40" s="70">
        <f t="shared" si="98"/>
        <v>6</v>
      </c>
      <c r="N40" s="41">
        <f t="shared" si="99"/>
        <v>2</v>
      </c>
      <c r="O40" s="41">
        <f t="shared" si="100"/>
        <v>2</v>
      </c>
      <c r="P40" s="41">
        <f t="shared" si="101"/>
        <v>2</v>
      </c>
      <c r="Q40" s="41">
        <f t="shared" si="102"/>
        <v>0</v>
      </c>
      <c r="R40" s="92"/>
      <c r="S40" s="93"/>
      <c r="T40" s="93"/>
      <c r="U40" s="66"/>
    </row>
    <row r="41" ht="35.149999999999999" customHeight="1">
      <c r="A41" s="19" t="s">
        <v>39</v>
      </c>
      <c r="B41" s="19"/>
      <c r="C41" s="22">
        <f t="shared" si="93"/>
        <v>2</v>
      </c>
      <c r="D41" s="22">
        <f t="shared" si="94"/>
        <v>0</v>
      </c>
      <c r="E41" s="22">
        <f t="shared" si="95"/>
        <v>1</v>
      </c>
      <c r="F41" s="22">
        <f t="shared" si="96"/>
        <v>0</v>
      </c>
      <c r="K41" s="19" t="str">
        <f t="shared" si="97"/>
        <v xml:space="preserve">8:00 à 8:30</v>
      </c>
      <c r="L41" s="19"/>
      <c r="M41" s="70">
        <f t="shared" si="98"/>
        <v>3</v>
      </c>
      <c r="N41" s="41">
        <f t="shared" si="99"/>
        <v>3</v>
      </c>
      <c r="O41" s="41">
        <f t="shared" si="100"/>
        <v>1</v>
      </c>
      <c r="P41" s="41">
        <f t="shared" si="101"/>
        <v>1</v>
      </c>
      <c r="Q41" s="41">
        <f t="shared" si="102"/>
        <v>0</v>
      </c>
      <c r="R41" s="94"/>
      <c r="S41" s="93"/>
      <c r="T41" s="93"/>
      <c r="U41" s="66"/>
    </row>
    <row r="42" ht="35.149999999999999" customHeight="1">
      <c r="A42" s="19" t="s">
        <v>40</v>
      </c>
      <c r="B42" s="19"/>
      <c r="C42" s="22">
        <f t="shared" si="93"/>
        <v>0</v>
      </c>
      <c r="D42" s="22">
        <f t="shared" si="94"/>
        <v>4</v>
      </c>
      <c r="E42" s="22">
        <f t="shared" si="95"/>
        <v>0</v>
      </c>
      <c r="F42" s="22">
        <f t="shared" si="96"/>
        <v>1</v>
      </c>
      <c r="K42" s="19" t="str">
        <f t="shared" si="97"/>
        <v xml:space="preserve">8:30 à 9:00</v>
      </c>
      <c r="L42" s="19"/>
      <c r="M42" s="70">
        <f t="shared" si="98"/>
        <v>5</v>
      </c>
      <c r="N42" s="41">
        <f t="shared" si="99"/>
        <v>0</v>
      </c>
      <c r="O42" s="41">
        <f t="shared" si="100"/>
        <v>1</v>
      </c>
      <c r="P42" s="41">
        <f t="shared" si="101"/>
        <v>0</v>
      </c>
      <c r="Q42" s="41">
        <f t="shared" si="102"/>
        <v>0</v>
      </c>
      <c r="R42" s="95"/>
      <c r="S42" s="93"/>
      <c r="T42" s="93"/>
      <c r="U42" s="66"/>
    </row>
    <row r="43" ht="35.149999999999999" customHeight="1">
      <c r="A43" s="19" t="s">
        <v>27</v>
      </c>
      <c r="B43" s="19"/>
      <c r="C43" s="96">
        <f>SUM(C38:C42)</f>
        <v>4</v>
      </c>
      <c r="D43" s="96">
        <f>SUM(D38:D42)</f>
        <v>14</v>
      </c>
      <c r="E43" s="96">
        <f>SUM(E38:E42)</f>
        <v>11</v>
      </c>
      <c r="F43" s="96">
        <f>SUM(F38:F42)</f>
        <v>2</v>
      </c>
      <c r="K43" s="98" t="s">
        <v>27</v>
      </c>
      <c r="L43" s="98"/>
      <c r="M43" s="46">
        <f t="shared" si="98"/>
        <v>31</v>
      </c>
      <c r="N43" s="47">
        <f>N42+N41+N40+N39+N38</f>
        <v>15</v>
      </c>
      <c r="O43" s="47">
        <f>O42+O41+O40+O39+O38</f>
        <v>13</v>
      </c>
      <c r="P43" s="47">
        <f>P42+P41+P40+P39+P38</f>
        <v>11</v>
      </c>
      <c r="Q43" s="47">
        <f>Q42+Q40+Q38</f>
        <v>0</v>
      </c>
      <c r="R43" s="46">
        <f>A29</f>
        <v>0</v>
      </c>
      <c r="S43" s="46">
        <f>A30</f>
        <v>0</v>
      </c>
      <c r="T43" s="46">
        <f>A31</f>
        <v>0</v>
      </c>
      <c r="U43" s="46">
        <f>A32</f>
        <v>0</v>
      </c>
    </row>
    <row r="44" ht="35.149999999999999" customHeight="1">
      <c r="A44" s="48"/>
      <c r="B44" s="48"/>
      <c r="C44" s="101"/>
      <c r="D44" s="101"/>
      <c r="E44" s="101"/>
      <c r="F44" s="101"/>
      <c r="K44" s="51"/>
      <c r="L44" s="52"/>
      <c r="M44" s="53"/>
      <c r="N44" s="53"/>
      <c r="O44" s="53"/>
      <c r="P44" s="53"/>
      <c r="Q44" s="51"/>
      <c r="R44" s="103"/>
      <c r="S44" s="55"/>
      <c r="T44" s="55"/>
      <c r="U44" s="55"/>
    </row>
    <row r="45" ht="35.149999999999999" customHeight="1">
      <c r="A45" s="48"/>
      <c r="B45" s="48"/>
      <c r="C45" s="101"/>
      <c r="D45" s="101"/>
      <c r="E45" s="101"/>
      <c r="F45" s="101"/>
      <c r="K45" s="58"/>
      <c r="L45" s="59"/>
      <c r="M45" s="60"/>
      <c r="N45" s="60"/>
      <c r="O45" s="60"/>
      <c r="P45" s="60"/>
      <c r="Q45" s="58"/>
      <c r="R45" s="103"/>
      <c r="S45" s="55"/>
      <c r="T45" s="55"/>
      <c r="U45" s="55"/>
    </row>
    <row r="46" ht="35.149999999999999" customHeight="1">
      <c r="A46" s="48"/>
      <c r="B46" s="48"/>
      <c r="C46" s="101"/>
      <c r="D46" s="101"/>
      <c r="E46" s="101"/>
      <c r="F46" s="101"/>
      <c r="K46" s="61"/>
      <c r="L46" s="61"/>
      <c r="M46" s="63"/>
      <c r="N46" s="63"/>
      <c r="O46" s="63"/>
      <c r="P46" s="63"/>
      <c r="Q46" s="177"/>
      <c r="R46" s="103"/>
      <c r="S46" s="55"/>
      <c r="T46" s="55"/>
      <c r="U46" s="55"/>
    </row>
    <row r="47" ht="35.149999999999999" customHeight="1">
      <c r="A47" s="64"/>
      <c r="B47" s="65"/>
      <c r="C47" s="65"/>
      <c r="D47" s="65"/>
      <c r="E47" s="65"/>
      <c r="F47" s="65"/>
      <c r="G47" s="65"/>
      <c r="H47" s="65"/>
      <c r="I47" s="65"/>
      <c r="J47" s="184" t="s">
        <v>41</v>
      </c>
      <c r="K47" s="185" t="s">
        <v>83</v>
      </c>
      <c r="L47" s="185"/>
      <c r="M47" s="185">
        <f>M39+M40</f>
        <v>18</v>
      </c>
      <c r="N47" s="186">
        <f>IF($M$42=MAX($M$38:$M$42),N42,IF($M$41=MAX($M$38:$M$42),N41,IF($M$40=MAX($M$38:$M$42),N40,IF($M$39=MAX($M$38:$M$42),N39,IF($M$38=MAX($M$38:$M$42),N38,N42)))))</f>
        <v>8</v>
      </c>
      <c r="O47" s="186">
        <f>IF($M$42=MAX($M$38:$M$42),O42,IF($M$41=MAX($M$38:$M$42),O41,IF($M$40=MAX($M$38:$M$42),O40,IF($M$39=MAX($M$38:$M$42),O39,IF($M$38=MAX($M$38:$M$42),O38,O42)))))</f>
        <v>6</v>
      </c>
      <c r="P47" s="186">
        <f>IF($M$42=MAX($M$38:$M$42),P42,IF($M$41=MAX($M$38:$M$42),P41,IF($M$40=MAX($M$38:$M$42),P40,IF($M$39=MAX($M$38:$M$42),P39,IF($M$38=MAX($M$38:$M$42),P38,P42)))))</f>
        <v>6</v>
      </c>
      <c r="Q47" s="186">
        <f>IF($M$42=MAX($M$38:$M$42),Q42,IF($M$41=MAX($M$38:$M$42),Q41,IF($M$40=MAX($M$38:$M$42),Q40,IF($M$39=MAX($M$38:$M$42),Q39,IF($M$38=MAX($M$38:$M$42),Q38,Q42)))))</f>
        <v>0</v>
      </c>
      <c r="R47" s="94"/>
    </row>
    <row r="48" ht="25" customHeight="1">
      <c r="A48" s="105"/>
      <c r="B48" s="66"/>
      <c r="C48" s="66"/>
      <c r="D48" s="66"/>
      <c r="E48" s="66"/>
      <c r="F48" s="66"/>
      <c r="G48" s="66"/>
      <c r="H48" s="66"/>
      <c r="I48" s="66"/>
      <c r="J48" s="66"/>
      <c r="K48" s="14"/>
      <c r="L48" s="15"/>
      <c r="M48" s="67" t="s">
        <v>27</v>
      </c>
      <c r="N48" s="68" t="s">
        <v>43</v>
      </c>
      <c r="O48" s="68" t="s">
        <v>44</v>
      </c>
      <c r="P48" s="68" t="s">
        <v>45</v>
      </c>
      <c r="Q48" s="68">
        <f>Q34</f>
        <v>0</v>
      </c>
      <c r="R48" s="68" t="s">
        <v>62</v>
      </c>
    </row>
    <row r="49" ht="25" customHeight="1">
      <c r="A49" s="105"/>
      <c r="B49" s="66"/>
      <c r="C49" s="66"/>
      <c r="D49" s="66"/>
      <c r="E49" s="66"/>
      <c r="F49" s="66"/>
      <c r="G49" s="66"/>
      <c r="H49" s="66"/>
      <c r="I49" s="66"/>
      <c r="J49" s="66"/>
      <c r="K49" s="14"/>
      <c r="L49" s="15"/>
      <c r="M49" s="67"/>
      <c r="N49" s="68"/>
      <c r="O49" s="68"/>
      <c r="P49" s="68"/>
      <c r="Q49" s="68"/>
      <c r="R49" s="68"/>
    </row>
    <row r="50" ht="25" customHeight="1">
      <c r="A50" s="105"/>
      <c r="B50" s="66"/>
      <c r="C50" s="66"/>
      <c r="D50" s="66"/>
      <c r="E50" s="66"/>
      <c r="F50" s="66"/>
      <c r="G50" s="66"/>
      <c r="H50" s="66"/>
      <c r="I50" s="66"/>
      <c r="J50" s="66"/>
      <c r="K50" s="69"/>
      <c r="L50" s="15"/>
      <c r="M50" s="67"/>
      <c r="N50" s="68"/>
      <c r="O50" s="68"/>
      <c r="P50" s="68"/>
      <c r="Q50" s="68"/>
      <c r="R50" s="68"/>
    </row>
    <row r="51" ht="35.149999999999999" customHeight="1">
      <c r="A51" s="105"/>
      <c r="B51" s="66"/>
      <c r="C51" s="66"/>
      <c r="D51" s="66"/>
      <c r="E51" s="66"/>
      <c r="F51" s="66"/>
      <c r="G51" s="66"/>
      <c r="H51" s="66"/>
      <c r="I51" s="66"/>
      <c r="J51" s="66"/>
      <c r="K51" s="19" t="s">
        <v>20</v>
      </c>
      <c r="L51" s="19"/>
      <c r="M51" s="67"/>
      <c r="N51" s="68"/>
      <c r="O51" s="68"/>
      <c r="P51" s="68"/>
      <c r="Q51" s="68"/>
      <c r="R51" s="68"/>
    </row>
    <row r="52" ht="35.149999999999999" customHeight="1">
      <c r="A52" s="105"/>
      <c r="B52" s="66"/>
      <c r="C52" s="66"/>
      <c r="D52" s="66"/>
      <c r="E52" s="66"/>
      <c r="F52" s="66"/>
      <c r="G52" s="66"/>
      <c r="H52" s="66"/>
      <c r="I52" s="66"/>
      <c r="J52" s="66"/>
      <c r="K52" s="19" t="str">
        <f t="shared" ref="K52:K56" si="103">K38</f>
        <v xml:space="preserve">6:30 à 7:00</v>
      </c>
      <c r="L52" s="19"/>
      <c r="M52" s="70"/>
      <c r="N52" s="71">
        <f>IF(N38=0,0,N38/M38)</f>
        <v>0.40000000000000002</v>
      </c>
      <c r="O52" s="71">
        <f>IF(O38=0,0,O38/M38)</f>
        <v>0.59999999999999998</v>
      </c>
      <c r="P52" s="71">
        <f>IF(P38=0,0,P38/N38)</f>
        <v>1</v>
      </c>
      <c r="Q52" s="71">
        <f>IF(Q38=0,0,Q38/M38)</f>
        <v>0</v>
      </c>
      <c r="R52" s="94"/>
    </row>
    <row r="53" ht="35.149999999999999" customHeight="1">
      <c r="A53" s="105"/>
      <c r="B53" s="66"/>
      <c r="C53" s="66"/>
      <c r="D53" s="66"/>
      <c r="E53" s="66"/>
      <c r="F53" s="66"/>
      <c r="G53" s="66"/>
      <c r="H53" s="66"/>
      <c r="I53" s="66"/>
      <c r="J53" s="66"/>
      <c r="K53" s="19" t="str">
        <f t="shared" si="103"/>
        <v xml:space="preserve">7:00 à 7:30</v>
      </c>
      <c r="L53" s="19"/>
      <c r="M53" s="70"/>
      <c r="N53" s="71">
        <f>IF(N40=0,0,N40/M40)</f>
        <v>0.33333333333333298</v>
      </c>
      <c r="O53" s="71">
        <f>IF(O40=0,0,O40/M40)</f>
        <v>0.33333333333333298</v>
      </c>
      <c r="P53" s="71">
        <f>IF(P40=0,0,P40/N40)</f>
        <v>1</v>
      </c>
      <c r="Q53" s="71">
        <f>IF(Q40=0,0,Q40/M40)</f>
        <v>0</v>
      </c>
      <c r="R53" s="94"/>
    </row>
    <row r="54" ht="35.149999999999999" customHeight="1">
      <c r="A54" s="105"/>
      <c r="B54" s="66"/>
      <c r="C54" s="66"/>
      <c r="D54" s="66"/>
      <c r="E54" s="66"/>
      <c r="F54" s="66"/>
      <c r="G54" s="66"/>
      <c r="H54" s="66"/>
      <c r="I54" s="66"/>
      <c r="J54" s="66"/>
      <c r="K54" s="19" t="str">
        <f t="shared" si="103"/>
        <v xml:space="preserve">7:30 à 8:00</v>
      </c>
      <c r="L54" s="19"/>
      <c r="M54" s="70"/>
      <c r="N54" s="71">
        <f t="shared" ref="N54:N57" si="104">IF(N40=0,0,N40/M40)</f>
        <v>0.33333333333333298</v>
      </c>
      <c r="O54" s="71">
        <f t="shared" ref="O54:O57" si="105">IF(O40=0,0,O40/M40)</f>
        <v>0.33333333333333298</v>
      </c>
      <c r="P54" s="71">
        <f t="shared" ref="P54:P57" si="106">IF(P40=0,0,P40/N40)</f>
        <v>1</v>
      </c>
      <c r="Q54" s="71">
        <f t="shared" ref="Q54:Q57" si="107">IF(Q40=0,0,Q40/M40)</f>
        <v>0</v>
      </c>
      <c r="R54" s="94"/>
    </row>
    <row r="55" ht="35.149999999999999" customHeight="1">
      <c r="A55" s="105"/>
      <c r="B55" s="66"/>
      <c r="C55" s="66"/>
      <c r="D55" s="66"/>
      <c r="E55" s="66"/>
      <c r="F55" s="66"/>
      <c r="G55" s="66"/>
      <c r="H55" s="66"/>
      <c r="I55" s="66"/>
      <c r="J55" s="66"/>
      <c r="K55" s="19" t="str">
        <f t="shared" si="103"/>
        <v xml:space="preserve">8:00 à 8:30</v>
      </c>
      <c r="L55" s="19"/>
      <c r="M55" s="70"/>
      <c r="N55" s="71">
        <f t="shared" si="104"/>
        <v>1</v>
      </c>
      <c r="O55" s="71">
        <f t="shared" si="105"/>
        <v>0.33333333333333298</v>
      </c>
      <c r="P55" s="71">
        <f t="shared" si="106"/>
        <v>0.33333333333333298</v>
      </c>
      <c r="Q55" s="71">
        <f t="shared" si="107"/>
        <v>0</v>
      </c>
      <c r="R55" s="94"/>
    </row>
    <row r="56" ht="35.149999999999999" customHeight="1">
      <c r="F56" s="66"/>
      <c r="K56" s="19" t="str">
        <f t="shared" si="103"/>
        <v xml:space="preserve">8:30 à 9:00</v>
      </c>
      <c r="L56" s="19"/>
      <c r="M56" s="70"/>
      <c r="N56" s="71">
        <f t="shared" si="104"/>
        <v>0</v>
      </c>
      <c r="O56" s="71">
        <f t="shared" si="105"/>
        <v>0.20000000000000001</v>
      </c>
      <c r="P56" s="71">
        <f t="shared" si="106"/>
        <v>0</v>
      </c>
      <c r="Q56" s="71">
        <f t="shared" si="107"/>
        <v>0</v>
      </c>
      <c r="R56" s="94"/>
    </row>
    <row r="57" ht="35.149999999999999" customHeight="1">
      <c r="F57" s="66"/>
      <c r="K57" s="19" t="s">
        <v>27</v>
      </c>
      <c r="L57" s="19"/>
      <c r="M57" s="187"/>
      <c r="N57" s="188">
        <f t="shared" si="104"/>
        <v>0.483870967741936</v>
      </c>
      <c r="O57" s="188">
        <f t="shared" si="105"/>
        <v>0.41935483870967699</v>
      </c>
      <c r="P57" s="188">
        <f t="shared" si="106"/>
        <v>0.73333333333333295</v>
      </c>
      <c r="Q57" s="188">
        <f t="shared" si="107"/>
        <v>0</v>
      </c>
      <c r="R57" s="94"/>
    </row>
    <row r="58" ht="35.149999999999999" customHeight="1">
      <c r="K58" s="19" t="str">
        <f>K47</f>
        <v xml:space="preserve">7 à 8</v>
      </c>
      <c r="L58" s="19"/>
      <c r="M58" s="38">
        <f>IF($AO$59=MAX($AO$59:$AO$63),M52,IF($AO$60=MAX($AO$59:$AO$63),M54,IF($AO$61=MAX($AO$59:$AO$63),M55,IF($AO$62=MAX($AO$59:$AO$63),(M55),M56))))</f>
        <v>0</v>
      </c>
      <c r="N58" s="74">
        <f>IF($AO$59=MAX($AO$59:$AO$63),N52,IF($AO$60=MAX($AO$59:$AO$63),N54,IF($AO$61=MAX($AO$59:$AO$63),N55,IF($AO$62=MAX($AO$59:$AO$63),(N55),N56))))</f>
        <v>0.40000000000000002</v>
      </c>
      <c r="O58" s="74">
        <f>O56</f>
        <v>0.20000000000000001</v>
      </c>
      <c r="P58" s="74">
        <f>IF($AO$59=MAX($AO$59:$AO$63),P52,IF($AO$60=MAX($AO$59:$AO$63),P54,IF($AO$61=MAX($AO$59:$AO$63),P55,IF($AO$62=MAX($AO$59:$AO$63),(P55),P56))))</f>
        <v>1</v>
      </c>
      <c r="Q58" s="74">
        <f>IF($AO$59=MAX($AO$59:$AO$63),Q52,IF($AO$60=MAX($AO$59:$AO$63),Q54,IF($AO$61=MAX($AO$59:$AO$63),Q55,IF($AO$62=MAX($AO$59:$AO$63),(Q55),Q56))))</f>
        <v>0</v>
      </c>
      <c r="R58" s="94"/>
    </row>
  </sheetData>
  <mergeCells count="63">
    <mergeCell ref="C9:J9"/>
    <mergeCell ref="K9:R9"/>
    <mergeCell ref="C10:F10"/>
    <mergeCell ref="G10:J10"/>
    <mergeCell ref="K10:N10"/>
    <mergeCell ref="O10:R10"/>
    <mergeCell ref="C11:D11"/>
    <mergeCell ref="E11:F11"/>
    <mergeCell ref="G11:H11"/>
    <mergeCell ref="I11:J11"/>
    <mergeCell ref="K11:L11"/>
    <mergeCell ref="M11:N11"/>
    <mergeCell ref="O11:P11"/>
    <mergeCell ref="Q11:R11"/>
    <mergeCell ref="A12:B12"/>
    <mergeCell ref="C19:J19"/>
    <mergeCell ref="C20:F20"/>
    <mergeCell ref="G20:J20"/>
    <mergeCell ref="C21:D21"/>
    <mergeCell ref="E21:F21"/>
    <mergeCell ref="G21:H21"/>
    <mergeCell ref="I21:J21"/>
    <mergeCell ref="A22:B22"/>
    <mergeCell ref="M34:M37"/>
    <mergeCell ref="N34:N37"/>
    <mergeCell ref="O34:O37"/>
    <mergeCell ref="P34:P37"/>
    <mergeCell ref="R34:R37"/>
    <mergeCell ref="S34:S37"/>
    <mergeCell ref="T34:T37"/>
    <mergeCell ref="U34:U37"/>
    <mergeCell ref="C36:D36"/>
    <mergeCell ref="E36:F36"/>
    <mergeCell ref="A37:B37"/>
    <mergeCell ref="K37:L37"/>
    <mergeCell ref="A38:B38"/>
    <mergeCell ref="K38:L38"/>
    <mergeCell ref="A39:B39"/>
    <mergeCell ref="K39:L39"/>
    <mergeCell ref="A40:B40"/>
    <mergeCell ref="K40:L40"/>
    <mergeCell ref="A41:B41"/>
    <mergeCell ref="K41:L41"/>
    <mergeCell ref="A42:B42"/>
    <mergeCell ref="K42:L42"/>
    <mergeCell ref="A43:B43"/>
    <mergeCell ref="K43:L43"/>
    <mergeCell ref="K46:L46"/>
    <mergeCell ref="K47:L47"/>
    <mergeCell ref="M48:M51"/>
    <mergeCell ref="N48:N51"/>
    <mergeCell ref="O48:O51"/>
    <mergeCell ref="P48:P51"/>
    <mergeCell ref="Q48:Q51"/>
    <mergeCell ref="R48:R51"/>
    <mergeCell ref="K51:L51"/>
    <mergeCell ref="K52:L52"/>
    <mergeCell ref="K53:L53"/>
    <mergeCell ref="K54:L54"/>
    <mergeCell ref="K55:L55"/>
    <mergeCell ref="K56:L56"/>
    <mergeCell ref="K57:L57"/>
    <mergeCell ref="K58:L58"/>
  </mergeCells>
  <printOptions headings="0" gridLines="0" horizontalCentered="0" verticalCentered="0"/>
  <pageMargins left="0.51180555555555496" right="0.51180555555555496" top="0.35416666666666702" bottom="0.94513888888888908" header="0.51180555555555496" footer="0.51180555555555496"/>
  <pageSetup paperSize="9" scale="38" fitToWidth="1" fitToHeight="1" pageOrder="downThenOver" orientation="landscape" usePrinterDefaults="1" blackAndWhite="0" draft="0" cellComments="none" useFirstPageNumber="0" errors="displayed" horizontalDpi="300" verticalDpi="300" copies="1"/>
  <headerFooter/>
  <rowBreaks count="1" manualBreakCount="1">
    <brk id="33" man="1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pageBreakPreview" topLeftCell="A35" zoomScale="65" workbookViewId="0">
      <selection activeCell="W44" activeCellId="0" sqref="W44"/>
    </sheetView>
  </sheetViews>
  <sheetFormatPr defaultColWidth="11.23828125" defaultRowHeight="14"/>
  <cols>
    <col customWidth="1" min="1" max="1" style="1" width="9.75"/>
    <col customWidth="1" min="2" max="2" style="1" width="13.75"/>
    <col customWidth="1" min="3" max="26" style="1" width="8.5800000000000001"/>
    <col customWidth="1" min="27" max="27" style="1" width="8.9199999999999999"/>
    <col customWidth="1" min="28" max="28" style="1" width="14.33"/>
    <col customWidth="1" min="29" max="32" style="1" width="21.41"/>
    <col customWidth="1" min="33" max="33" style="1" width="14.16"/>
    <col customWidth="1" min="34" max="36" style="1" width="15.58"/>
    <col customWidth="0" min="37" max="986" style="1" width="11.25"/>
    <col customWidth="1" min="987" max="987" style="1" width="11.17"/>
    <col customWidth="1" min="988" max="1024" style="0" width="10.5"/>
  </cols>
  <sheetData>
    <row r="1" s="8" customFormat="1" ht="52.5" customHeight="1">
      <c r="A1" s="3"/>
      <c r="B1" s="4" t="s">
        <v>110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189"/>
      <c r="Q1" s="5"/>
      <c r="R1" s="5"/>
      <c r="S1" s="5"/>
      <c r="T1" s="5"/>
      <c r="U1" s="5"/>
      <c r="V1" s="5"/>
      <c r="W1" s="5"/>
      <c r="X1" s="5"/>
      <c r="Y1" s="5"/>
      <c r="Z1" s="5"/>
      <c r="AA1" s="2"/>
      <c r="AB1" s="2"/>
      <c r="AC1" s="2"/>
      <c r="AD1" s="2"/>
      <c r="AE1" s="2"/>
      <c r="AF1" s="2"/>
    </row>
    <row r="2" s="8" customFormat="1" ht="52.5" customHeight="1">
      <c r="A2" s="3" t="s">
        <v>3</v>
      </c>
      <c r="B2" s="5"/>
      <c r="C2" s="5"/>
      <c r="D2" s="5"/>
      <c r="E2" s="5"/>
      <c r="F2" s="2"/>
      <c r="G2" s="5"/>
      <c r="H2" s="5"/>
      <c r="I2" s="5" t="s">
        <v>111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"/>
      <c r="AB2" s="2"/>
      <c r="AC2" s="2"/>
      <c r="AD2" s="2"/>
      <c r="AE2" s="2"/>
      <c r="AF2" s="2"/>
    </row>
    <row r="3" s="8" customFormat="1" ht="52.5" customHeight="1">
      <c r="A3" s="3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2"/>
      <c r="AB3" s="2"/>
      <c r="AC3" s="2"/>
      <c r="AD3" s="2"/>
      <c r="AE3" s="2"/>
      <c r="AF3" s="2"/>
    </row>
    <row r="4" s="8" customFormat="1" ht="25.5" customHeight="1">
      <c r="A4" s="1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"/>
      <c r="AA4" s="2"/>
      <c r="AB4" s="2"/>
      <c r="AC4" s="2"/>
      <c r="AD4" s="2"/>
      <c r="AE4" s="2"/>
      <c r="AF4" s="2"/>
    </row>
    <row r="5" s="8" customFormat="1" ht="35.149999999999999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2"/>
      <c r="AB5" s="2"/>
      <c r="AC5" s="2"/>
      <c r="AD5" s="2"/>
      <c r="AE5" s="2"/>
      <c r="AF5" s="2"/>
    </row>
    <row r="6" s="8" customFormat="1" ht="35.149999999999999" customHeight="1">
      <c r="A6" s="11" t="s">
        <v>112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2"/>
      <c r="AB6" s="2"/>
      <c r="AC6" s="2"/>
      <c r="AD6" s="2"/>
      <c r="AE6" s="2"/>
      <c r="AF6" s="2"/>
    </row>
    <row r="7" s="8" customFormat="1" ht="35.149999999999999" customHeight="1">
      <c r="A7" s="11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2"/>
      <c r="AB7" s="2"/>
      <c r="AC7" s="2"/>
      <c r="AD7" s="2"/>
      <c r="AE7" s="2"/>
      <c r="AF7" s="2"/>
    </row>
    <row r="8" s="8" customFormat="1" ht="25.5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  <c r="AA8" s="2"/>
      <c r="AB8" s="2"/>
      <c r="AC8" s="2"/>
      <c r="AD8" s="2"/>
      <c r="AE8" s="2"/>
      <c r="AF8" s="2"/>
    </row>
    <row r="9" s="8" customFormat="1" ht="32.25" customHeight="1">
      <c r="A9" s="3"/>
      <c r="B9" s="5"/>
      <c r="C9" s="190" t="s">
        <v>113</v>
      </c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 t="s">
        <v>48</v>
      </c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79"/>
      <c r="AB9" s="179"/>
      <c r="AC9" s="179"/>
      <c r="AD9" s="179"/>
      <c r="AE9" s="179"/>
      <c r="AF9" s="179"/>
    </row>
    <row r="10" s="8" customFormat="1" ht="51.25" customHeight="1">
      <c r="A10" s="3"/>
      <c r="B10" s="5"/>
      <c r="C10" s="17" t="s">
        <v>55</v>
      </c>
      <c r="D10" s="17"/>
      <c r="E10" s="17"/>
      <c r="F10" s="17"/>
      <c r="G10" s="17" t="s">
        <v>114</v>
      </c>
      <c r="H10" s="17"/>
      <c r="I10" s="17"/>
      <c r="J10" s="17"/>
      <c r="K10" s="17" t="s">
        <v>115</v>
      </c>
      <c r="L10" s="17"/>
      <c r="M10" s="17"/>
      <c r="N10" s="17"/>
      <c r="O10" s="17" t="s">
        <v>114</v>
      </c>
      <c r="P10" s="17"/>
      <c r="Q10" s="17"/>
      <c r="R10" s="17"/>
      <c r="S10" s="17" t="s">
        <v>116</v>
      </c>
      <c r="T10" s="17"/>
      <c r="U10" s="17"/>
      <c r="V10" s="17"/>
      <c r="W10" s="17" t="s">
        <v>115</v>
      </c>
      <c r="X10" s="17"/>
      <c r="Y10" s="17"/>
      <c r="Z10" s="17"/>
      <c r="AA10" s="180"/>
      <c r="AB10" s="180"/>
      <c r="AC10" s="180"/>
      <c r="AD10" s="180"/>
      <c r="AE10" s="180"/>
      <c r="AF10" s="180"/>
    </row>
    <row r="11" s="8" customFormat="1" ht="18.649999999999999" customHeight="1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81"/>
      <c r="AB11" s="181"/>
      <c r="AC11" s="181"/>
      <c r="AD11" s="181"/>
      <c r="AE11" s="181"/>
      <c r="AF11" s="181"/>
    </row>
    <row r="12" s="8" customFormat="1" ht="21">
      <c r="A12" s="19" t="s">
        <v>20</v>
      </c>
      <c r="B12" s="19"/>
      <c r="C12" s="20" t="s">
        <v>21</v>
      </c>
      <c r="D12" s="20" t="s">
        <v>22</v>
      </c>
      <c r="E12" s="20" t="s">
        <v>21</v>
      </c>
      <c r="F12" s="20" t="s">
        <v>22</v>
      </c>
      <c r="G12" s="20" t="s">
        <v>21</v>
      </c>
      <c r="H12" s="20" t="s">
        <v>22</v>
      </c>
      <c r="I12" s="20" t="s">
        <v>21</v>
      </c>
      <c r="J12" s="20" t="s">
        <v>22</v>
      </c>
      <c r="K12" s="20" t="s">
        <v>21</v>
      </c>
      <c r="L12" s="20" t="s">
        <v>22</v>
      </c>
      <c r="M12" s="20" t="s">
        <v>21</v>
      </c>
      <c r="N12" s="20" t="s">
        <v>22</v>
      </c>
      <c r="O12" s="20" t="s">
        <v>21</v>
      </c>
      <c r="P12" s="20" t="s">
        <v>22</v>
      </c>
      <c r="Q12" s="20" t="s">
        <v>21</v>
      </c>
      <c r="R12" s="20" t="s">
        <v>22</v>
      </c>
      <c r="S12" s="20" t="s">
        <v>21</v>
      </c>
      <c r="T12" s="20" t="s">
        <v>22</v>
      </c>
      <c r="U12" s="20" t="s">
        <v>21</v>
      </c>
      <c r="V12" s="20" t="s">
        <v>22</v>
      </c>
      <c r="W12" s="20" t="s">
        <v>21</v>
      </c>
      <c r="X12" s="20" t="s">
        <v>22</v>
      </c>
      <c r="Y12" s="20" t="s">
        <v>21</v>
      </c>
      <c r="Z12" s="20" t="s">
        <v>22</v>
      </c>
      <c r="AA12" s="27"/>
      <c r="AB12" s="27"/>
      <c r="AC12" s="27"/>
      <c r="AD12" s="27"/>
      <c r="AE12" s="27"/>
      <c r="AF12" s="27"/>
    </row>
    <row r="13" ht="75" customHeight="1">
      <c r="A13" s="81">
        <v>0.27083333333333298</v>
      </c>
      <c r="B13" s="81">
        <v>0.29166666666666702</v>
      </c>
      <c r="C13" s="22">
        <v>1</v>
      </c>
      <c r="D13" s="22"/>
      <c r="E13" s="22">
        <v>1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8"/>
      <c r="AB13" s="28"/>
      <c r="AC13" s="28"/>
      <c r="AD13" s="28"/>
      <c r="AE13" s="28"/>
      <c r="AF13" s="28"/>
    </row>
    <row r="14" ht="75" customHeight="1">
      <c r="A14" s="81">
        <v>0.29166666666666702</v>
      </c>
      <c r="B14" s="81">
        <v>0.3125</v>
      </c>
      <c r="C14" s="22"/>
      <c r="D14" s="22">
        <v>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>
        <v>1</v>
      </c>
      <c r="Y14" s="22"/>
      <c r="Z14" s="22"/>
      <c r="AA14" s="28"/>
      <c r="AB14" s="28"/>
      <c r="AC14" s="28"/>
      <c r="AD14" s="28"/>
      <c r="AE14" s="28"/>
      <c r="AF14" s="28"/>
    </row>
    <row r="15" ht="75" customHeight="1">
      <c r="A15" s="81">
        <v>0.3125</v>
      </c>
      <c r="B15" s="81">
        <v>0.33333333333333298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>
        <v>1</v>
      </c>
      <c r="U15" s="22"/>
      <c r="V15" s="22"/>
      <c r="W15" s="22"/>
      <c r="X15" s="22"/>
      <c r="Y15" s="22"/>
      <c r="Z15" s="22"/>
      <c r="AA15" s="28"/>
      <c r="AB15" s="28"/>
      <c r="AC15" s="28"/>
      <c r="AD15" s="28"/>
      <c r="AE15" s="28"/>
      <c r="AF15" s="28"/>
    </row>
    <row r="16" ht="75" customHeight="1">
      <c r="A16" s="81">
        <v>0.33333333333333298</v>
      </c>
      <c r="B16" s="81">
        <v>0.35416666666666702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8"/>
      <c r="AB16" s="28"/>
      <c r="AC16" s="28"/>
      <c r="AD16" s="28"/>
      <c r="AE16" s="28"/>
      <c r="AF16" s="28"/>
    </row>
    <row r="17" ht="75" customHeight="1">
      <c r="A17" s="81">
        <v>0.35416666666666702</v>
      </c>
      <c r="B17" s="81">
        <v>0.375</v>
      </c>
      <c r="C17" s="22"/>
      <c r="D17" s="22">
        <v>2</v>
      </c>
      <c r="E17" s="22"/>
      <c r="F17" s="22">
        <v>1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>
        <v>1</v>
      </c>
      <c r="U17" s="22"/>
      <c r="V17" s="22"/>
      <c r="W17" s="22"/>
      <c r="X17" s="22"/>
      <c r="Y17" s="22"/>
      <c r="Z17" s="22"/>
      <c r="AA17" s="28"/>
      <c r="AB17" s="28"/>
      <c r="AC17" s="28"/>
      <c r="AD17" s="28"/>
      <c r="AE17" s="28"/>
      <c r="AF17" s="28"/>
    </row>
    <row r="18" ht="18" customHeight="1">
      <c r="A18" s="172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="8" customFormat="1" ht="32.25" customHeight="1">
      <c r="A19" s="3"/>
      <c r="B19" s="5"/>
      <c r="C19" s="190" t="s">
        <v>117</v>
      </c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 t="s">
        <v>118</v>
      </c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79"/>
      <c r="AB19" s="179"/>
      <c r="AC19" s="179"/>
      <c r="AD19" s="179"/>
      <c r="AE19" s="179"/>
      <c r="AF19" s="179"/>
    </row>
    <row r="20" s="8" customFormat="1" ht="51.25" customHeight="1">
      <c r="A20" s="3"/>
      <c r="B20" s="5"/>
      <c r="C20" s="17" t="s">
        <v>116</v>
      </c>
      <c r="D20" s="17"/>
      <c r="E20" s="17"/>
      <c r="F20" s="17"/>
      <c r="G20" s="17" t="s">
        <v>114</v>
      </c>
      <c r="H20" s="17"/>
      <c r="I20" s="17"/>
      <c r="J20" s="17"/>
      <c r="K20" s="17" t="s">
        <v>55</v>
      </c>
      <c r="L20" s="17"/>
      <c r="M20" s="17"/>
      <c r="N20" s="17"/>
      <c r="O20" s="17" t="s">
        <v>55</v>
      </c>
      <c r="P20" s="17"/>
      <c r="Q20" s="17"/>
      <c r="R20" s="17"/>
      <c r="S20" s="17" t="s">
        <v>116</v>
      </c>
      <c r="T20" s="17"/>
      <c r="U20" s="17"/>
      <c r="V20" s="17"/>
      <c r="W20" s="17" t="s">
        <v>115</v>
      </c>
      <c r="X20" s="17"/>
      <c r="Y20" s="17"/>
      <c r="Z20" s="17"/>
      <c r="AA20" s="180"/>
      <c r="AB20" s="180"/>
      <c r="AC20" s="180"/>
      <c r="AD20" s="180"/>
      <c r="AE20" s="180"/>
      <c r="AF20" s="180"/>
    </row>
    <row r="21" s="8" customFormat="1" ht="18.649999999999999" customHeight="1">
      <c r="A21" s="3"/>
      <c r="B21" s="5"/>
      <c r="C21" s="18" t="s">
        <v>18</v>
      </c>
      <c r="D21" s="18"/>
      <c r="E21" s="18" t="s">
        <v>19</v>
      </c>
      <c r="F21" s="18"/>
      <c r="G21" s="18" t="s">
        <v>18</v>
      </c>
      <c r="H21" s="18"/>
      <c r="I21" s="18" t="s">
        <v>19</v>
      </c>
      <c r="J21" s="18"/>
      <c r="K21" s="18" t="s">
        <v>18</v>
      </c>
      <c r="L21" s="18"/>
      <c r="M21" s="18" t="s">
        <v>19</v>
      </c>
      <c r="N21" s="18"/>
      <c r="O21" s="18" t="s">
        <v>18</v>
      </c>
      <c r="P21" s="18"/>
      <c r="Q21" s="18" t="s">
        <v>19</v>
      </c>
      <c r="R21" s="18"/>
      <c r="S21" s="18" t="s">
        <v>18</v>
      </c>
      <c r="T21" s="18"/>
      <c r="U21" s="18" t="s">
        <v>19</v>
      </c>
      <c r="V21" s="18"/>
      <c r="W21" s="18" t="s">
        <v>18</v>
      </c>
      <c r="X21" s="18"/>
      <c r="Y21" s="18" t="s">
        <v>19</v>
      </c>
      <c r="Z21" s="18"/>
      <c r="AA21" s="181"/>
      <c r="AB21" s="181"/>
      <c r="AC21" s="181"/>
      <c r="AD21" s="181"/>
      <c r="AE21" s="181"/>
      <c r="AF21" s="181"/>
    </row>
    <row r="22" s="8" customFormat="1" ht="21">
      <c r="A22" s="19" t="s">
        <v>20</v>
      </c>
      <c r="B22" s="19"/>
      <c r="C22" s="20" t="s">
        <v>21</v>
      </c>
      <c r="D22" s="20" t="s">
        <v>22</v>
      </c>
      <c r="E22" s="20" t="s">
        <v>21</v>
      </c>
      <c r="F22" s="20" t="s">
        <v>22</v>
      </c>
      <c r="G22" s="20" t="s">
        <v>21</v>
      </c>
      <c r="H22" s="20" t="s">
        <v>22</v>
      </c>
      <c r="I22" s="20" t="s">
        <v>21</v>
      </c>
      <c r="J22" s="20" t="s">
        <v>22</v>
      </c>
      <c r="K22" s="20" t="s">
        <v>21</v>
      </c>
      <c r="L22" s="20" t="s">
        <v>22</v>
      </c>
      <c r="M22" s="20" t="s">
        <v>21</v>
      </c>
      <c r="N22" s="20" t="s">
        <v>22</v>
      </c>
      <c r="O22" s="20" t="s">
        <v>21</v>
      </c>
      <c r="P22" s="20" t="s">
        <v>22</v>
      </c>
      <c r="Q22" s="20" t="s">
        <v>21</v>
      </c>
      <c r="R22" s="20" t="s">
        <v>22</v>
      </c>
      <c r="S22" s="20" t="s">
        <v>21</v>
      </c>
      <c r="T22" s="20" t="s">
        <v>22</v>
      </c>
      <c r="U22" s="20" t="s">
        <v>21</v>
      </c>
      <c r="V22" s="20" t="s">
        <v>22</v>
      </c>
      <c r="W22" s="20" t="s">
        <v>21</v>
      </c>
      <c r="X22" s="20" t="s">
        <v>22</v>
      </c>
      <c r="Y22" s="20" t="s">
        <v>21</v>
      </c>
      <c r="Z22" s="20" t="s">
        <v>22</v>
      </c>
      <c r="AA22" s="27"/>
      <c r="AB22" s="27"/>
      <c r="AC22" s="27"/>
      <c r="AD22" s="27"/>
      <c r="AE22" s="27"/>
      <c r="AF22" s="27"/>
    </row>
    <row r="23" ht="75" customHeight="1">
      <c r="A23" s="81">
        <v>0.27083333333333298</v>
      </c>
      <c r="B23" s="81">
        <v>0.29166666666666702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8"/>
      <c r="AB23" s="28"/>
      <c r="AC23" s="28"/>
      <c r="AD23" s="28"/>
      <c r="AE23" s="28"/>
      <c r="AF23" s="28"/>
    </row>
    <row r="24" ht="75" customHeight="1">
      <c r="A24" s="81">
        <v>0.29166666666666702</v>
      </c>
      <c r="B24" s="81">
        <v>0.3125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>
        <v>1</v>
      </c>
      <c r="S24" s="22"/>
      <c r="T24" s="22"/>
      <c r="U24" s="22"/>
      <c r="V24" s="22"/>
      <c r="W24" s="22"/>
      <c r="X24" s="22"/>
      <c r="Y24" s="22"/>
      <c r="Z24" s="22"/>
      <c r="AA24" s="28"/>
      <c r="AB24" s="28"/>
      <c r="AC24" s="28"/>
      <c r="AD24" s="28"/>
      <c r="AE24" s="28"/>
      <c r="AF24" s="28"/>
    </row>
    <row r="25" ht="75" customHeight="1">
      <c r="A25" s="81">
        <v>0.3125</v>
      </c>
      <c r="B25" s="81">
        <v>0.33333333333333298</v>
      </c>
      <c r="C25" s="22"/>
      <c r="D25" s="22"/>
      <c r="E25" s="22"/>
      <c r="F25" s="22"/>
      <c r="G25" s="22"/>
      <c r="H25" s="22"/>
      <c r="I25" s="22"/>
      <c r="J25" s="22"/>
      <c r="K25" s="22"/>
      <c r="L25" s="22">
        <v>1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8"/>
      <c r="AB25" s="28"/>
      <c r="AC25" s="28"/>
      <c r="AD25" s="28"/>
      <c r="AE25" s="28"/>
      <c r="AF25" s="28"/>
    </row>
    <row r="26" ht="75" customHeight="1">
      <c r="A26" s="81">
        <v>0.33333333333333298</v>
      </c>
      <c r="B26" s="81">
        <v>0.35416666666666702</v>
      </c>
      <c r="C26" s="22"/>
      <c r="D26" s="22"/>
      <c r="E26" s="22"/>
      <c r="F26" s="22"/>
      <c r="G26" s="22"/>
      <c r="H26" s="22">
        <v>1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8"/>
      <c r="AB26" s="28"/>
      <c r="AC26" s="28"/>
      <c r="AD26" s="28"/>
      <c r="AE26" s="28"/>
      <c r="AF26" s="28"/>
    </row>
    <row r="27" ht="75" customHeight="1">
      <c r="A27" s="81">
        <v>0.35416666666666702</v>
      </c>
      <c r="B27" s="81">
        <v>0.375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8"/>
      <c r="AB27" s="28"/>
      <c r="AC27" s="28"/>
      <c r="AD27" s="28"/>
      <c r="AE27" s="28"/>
      <c r="AF27" s="28"/>
    </row>
    <row r="28" ht="18" customHeight="1">
      <c r="A28" s="172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="23" customFormat="1" ht="39.75" customHeight="1">
      <c r="A29" s="24"/>
      <c r="B29" s="25" t="s">
        <v>23</v>
      </c>
      <c r="C29" s="26"/>
      <c r="D29" s="26"/>
      <c r="E29" s="26"/>
      <c r="F29" s="26"/>
      <c r="G29" s="26"/>
      <c r="H29" s="26"/>
      <c r="I29" s="24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="23" customFormat="1" ht="38.149999999999999" customHeight="1">
      <c r="A30" s="24"/>
      <c r="B30" s="25" t="s">
        <v>34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131"/>
      <c r="N30" s="26"/>
      <c r="O30" s="26"/>
      <c r="P30" s="13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MD30" s="1"/>
      <c r="AME30" s="1"/>
      <c r="AMF30" s="1"/>
      <c r="AMG30" s="1"/>
      <c r="AMH30" s="1"/>
      <c r="AMI30" s="1"/>
    </row>
    <row r="31" s="23" customFormat="1" ht="39.75" customHeight="1">
      <c r="A31" s="24"/>
      <c r="B31" s="25" t="s">
        <v>25</v>
      </c>
      <c r="C31" s="26"/>
      <c r="D31" s="26"/>
      <c r="E31" s="26"/>
      <c r="F31" s="26">
        <v>2</v>
      </c>
      <c r="G31" s="26"/>
      <c r="H31" s="26"/>
      <c r="I31" s="24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="23" customFormat="1" ht="39.75" customHeight="1">
      <c r="A32" s="24"/>
      <c r="B32" s="25" t="s">
        <v>26</v>
      </c>
      <c r="C32" s="26"/>
      <c r="D32" s="26"/>
      <c r="E32" s="26"/>
      <c r="F32" s="26"/>
      <c r="G32" s="26"/>
      <c r="H32" s="26"/>
      <c r="I32" s="24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="2" customFormat="1" ht="32.2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8"/>
      <c r="AB33" s="8"/>
      <c r="AC33" s="8"/>
      <c r="AD33" s="8"/>
      <c r="AE33" s="8"/>
      <c r="AF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</row>
    <row r="34" ht="30" customHeight="1">
      <c r="A34" s="179"/>
      <c r="B34" s="179"/>
      <c r="C34" s="18" t="s">
        <v>18</v>
      </c>
      <c r="D34" s="18"/>
      <c r="E34" s="18" t="s">
        <v>19</v>
      </c>
      <c r="F34" s="18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23"/>
      <c r="AB34" s="174" t="s">
        <v>99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ht="71.25" customHeight="1">
      <c r="A35" s="19" t="s">
        <v>20</v>
      </c>
      <c r="B35" s="19"/>
      <c r="C35" s="20" t="s">
        <v>21</v>
      </c>
      <c r="D35" s="20" t="s">
        <v>22</v>
      </c>
      <c r="E35" s="20" t="s">
        <v>21</v>
      </c>
      <c r="F35" s="20" t="s">
        <v>22</v>
      </c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9" t="s">
        <v>20</v>
      </c>
      <c r="AB35" s="19"/>
      <c r="AC35" s="67" t="s">
        <v>27</v>
      </c>
      <c r="AD35" s="39" t="s">
        <v>28</v>
      </c>
      <c r="AE35" s="35" t="s">
        <v>29</v>
      </c>
      <c r="AF35" s="35" t="s">
        <v>30</v>
      </c>
      <c r="AG35" s="39" t="s">
        <v>32</v>
      </c>
      <c r="AH35" s="39" t="s">
        <v>33</v>
      </c>
      <c r="AI35" s="39" t="s">
        <v>34</v>
      </c>
      <c r="AJ35" s="39" t="s">
        <v>35</v>
      </c>
    </row>
    <row r="36" ht="55" customHeight="1">
      <c r="A36" s="19" t="s">
        <v>36</v>
      </c>
      <c r="B36" s="19"/>
      <c r="C36" s="22">
        <f t="shared" ref="C36:C40" si="108">C13+G13+K13+O13+S13+W13+C23+G23+K23+O23+S23+W23</f>
        <v>1</v>
      </c>
      <c r="D36" s="22">
        <f t="shared" ref="D36:D40" si="109">D13+H13+L13+P13+T13+X13+D23+H23+L23+P23+T23+X23</f>
        <v>0</v>
      </c>
      <c r="E36" s="22">
        <f t="shared" ref="E36:E40" si="110">E13+I13+M13+Q13+U13+Y13+E23+I23+M23+Q23+U23+Y23</f>
        <v>1</v>
      </c>
      <c r="F36" s="22">
        <f t="shared" ref="F36:F40" si="111">F13+J13+N13+R13+V13+Z13+F23+J23+N23+R23+V23+Z23</f>
        <v>0</v>
      </c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9" t="str">
        <f t="shared" ref="AA36:AA39" si="112">A36</f>
        <v xml:space="preserve">6:30 à 7:00</v>
      </c>
      <c r="AB36" s="19"/>
      <c r="AC36" s="73">
        <f t="shared" ref="AC36:AC40" si="113">SUM(C36:Z36)</f>
        <v>2</v>
      </c>
      <c r="AD36" s="41">
        <f t="shared" ref="AD36:AD40" si="114">C36+E36</f>
        <v>2</v>
      </c>
      <c r="AE36" s="41">
        <f t="shared" ref="AE36:AE40" si="115">E36+F36</f>
        <v>1</v>
      </c>
      <c r="AF36" s="41">
        <f t="shared" ref="AF36:AF40" si="116">E36</f>
        <v>1</v>
      </c>
    </row>
    <row r="37" ht="55" customHeight="1">
      <c r="A37" s="19" t="s">
        <v>37</v>
      </c>
      <c r="B37" s="19"/>
      <c r="C37" s="22">
        <f t="shared" si="108"/>
        <v>0</v>
      </c>
      <c r="D37" s="22">
        <f t="shared" si="109"/>
        <v>2</v>
      </c>
      <c r="E37" s="22">
        <f t="shared" si="110"/>
        <v>0</v>
      </c>
      <c r="F37" s="22">
        <f t="shared" si="111"/>
        <v>1</v>
      </c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9" t="str">
        <f t="shared" si="112"/>
        <v xml:space="preserve">7:00 à 7:30</v>
      </c>
      <c r="AB37" s="19"/>
      <c r="AC37" s="73">
        <f t="shared" si="113"/>
        <v>3</v>
      </c>
      <c r="AD37" s="41">
        <f t="shared" si="114"/>
        <v>0</v>
      </c>
      <c r="AE37" s="41">
        <f t="shared" si="115"/>
        <v>1</v>
      </c>
      <c r="AF37" s="41">
        <f t="shared" si="116"/>
        <v>0</v>
      </c>
    </row>
    <row r="38" ht="55" customHeight="1">
      <c r="A38" s="19" t="s">
        <v>38</v>
      </c>
      <c r="B38" s="19"/>
      <c r="C38" s="22">
        <f t="shared" si="108"/>
        <v>0</v>
      </c>
      <c r="D38" s="22">
        <f t="shared" si="109"/>
        <v>2</v>
      </c>
      <c r="E38" s="22">
        <f t="shared" si="110"/>
        <v>0</v>
      </c>
      <c r="F38" s="22">
        <f t="shared" si="111"/>
        <v>0</v>
      </c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9" t="str">
        <f t="shared" si="112"/>
        <v xml:space="preserve">7:30 à 8:00</v>
      </c>
      <c r="AB38" s="19"/>
      <c r="AC38" s="73">
        <f t="shared" si="113"/>
        <v>2</v>
      </c>
      <c r="AD38" s="41">
        <f t="shared" si="114"/>
        <v>0</v>
      </c>
      <c r="AE38" s="41">
        <f t="shared" si="115"/>
        <v>0</v>
      </c>
      <c r="AF38" s="41">
        <f t="shared" si="116"/>
        <v>0</v>
      </c>
    </row>
    <row r="39" ht="55" customHeight="1">
      <c r="A39" s="19" t="s">
        <v>39</v>
      </c>
      <c r="B39" s="19"/>
      <c r="C39" s="22">
        <f t="shared" si="108"/>
        <v>0</v>
      </c>
      <c r="D39" s="22">
        <f t="shared" si="109"/>
        <v>1</v>
      </c>
      <c r="E39" s="22">
        <f t="shared" si="110"/>
        <v>0</v>
      </c>
      <c r="F39" s="22">
        <f t="shared" si="111"/>
        <v>0</v>
      </c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9" t="str">
        <f t="shared" si="112"/>
        <v xml:space="preserve">8:00 à 8:30</v>
      </c>
      <c r="AB39" s="19"/>
      <c r="AC39" s="73">
        <f t="shared" si="113"/>
        <v>1</v>
      </c>
      <c r="AD39" s="41">
        <f t="shared" si="114"/>
        <v>0</v>
      </c>
      <c r="AE39" s="41">
        <f t="shared" si="115"/>
        <v>0</v>
      </c>
      <c r="AF39" s="41">
        <f t="shared" si="116"/>
        <v>0</v>
      </c>
    </row>
    <row r="40" ht="55" customHeight="1">
      <c r="A40" s="19" t="s">
        <v>40</v>
      </c>
      <c r="B40" s="19"/>
      <c r="C40" s="22">
        <f t="shared" si="108"/>
        <v>0</v>
      </c>
      <c r="D40" s="22">
        <f t="shared" si="109"/>
        <v>3</v>
      </c>
      <c r="E40" s="22">
        <f t="shared" si="110"/>
        <v>0</v>
      </c>
      <c r="F40" s="22">
        <f t="shared" si="111"/>
        <v>1</v>
      </c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9" t="s">
        <v>40</v>
      </c>
      <c r="AB40" s="19"/>
      <c r="AC40" s="73">
        <f t="shared" si="113"/>
        <v>4</v>
      </c>
      <c r="AD40" s="41">
        <f t="shared" si="114"/>
        <v>0</v>
      </c>
      <c r="AE40" s="41">
        <f t="shared" si="115"/>
        <v>1</v>
      </c>
      <c r="AF40" s="41">
        <f t="shared" si="116"/>
        <v>0</v>
      </c>
    </row>
    <row r="41" ht="42.75" customHeight="1">
      <c r="A41" s="19" t="s">
        <v>27</v>
      </c>
      <c r="B41" s="19"/>
      <c r="C41" s="96">
        <f>SUM(C13:C17)</f>
        <v>1</v>
      </c>
      <c r="D41" s="96">
        <f>SUM(D13:D17)</f>
        <v>3</v>
      </c>
      <c r="E41" s="96">
        <f>SUM(E13:E17)</f>
        <v>1</v>
      </c>
      <c r="F41" s="96">
        <f>SUM(F13:F17)</f>
        <v>1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AA41" s="98" t="s">
        <v>27</v>
      </c>
      <c r="AB41" s="98"/>
      <c r="AC41" s="45">
        <f>SUM(AC36:AC40)</f>
        <v>12</v>
      </c>
      <c r="AD41" s="45">
        <f>SUM(AD36:AD40)</f>
        <v>2</v>
      </c>
      <c r="AE41" s="45">
        <f>SUM(AE36:AE40)</f>
        <v>3</v>
      </c>
      <c r="AF41" s="46">
        <f>SUM(AF36:AF40)</f>
        <v>1</v>
      </c>
      <c r="AG41" s="45">
        <v>1</v>
      </c>
      <c r="AH41" s="46">
        <v>1</v>
      </c>
      <c r="AI41" s="46">
        <f>A30</f>
        <v>0</v>
      </c>
      <c r="AJ41" s="46">
        <v>3</v>
      </c>
    </row>
    <row r="42" ht="42.75" customHeight="1">
      <c r="A42" s="106"/>
      <c r="B42" s="106"/>
      <c r="C42" s="191"/>
      <c r="D42" s="191"/>
      <c r="E42" s="191"/>
      <c r="F42" s="191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AA42" s="51" t="s">
        <v>37</v>
      </c>
      <c r="AB42" s="52"/>
      <c r="AC42" s="53">
        <f t="shared" ref="AC42:AC43" si="117">AC37</f>
        <v>3</v>
      </c>
      <c r="AD42" s="53"/>
      <c r="AE42" s="53"/>
      <c r="AF42" s="53"/>
      <c r="AG42" s="55"/>
      <c r="AH42" s="55"/>
      <c r="AI42" s="55"/>
      <c r="AJ42" s="55"/>
    </row>
    <row r="43" ht="42.75" customHeight="1">
      <c r="A43" s="106"/>
      <c r="B43" s="106"/>
      <c r="C43" s="191"/>
      <c r="D43" s="191"/>
      <c r="E43" s="191"/>
      <c r="F43" s="191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AA43" s="58" t="s">
        <v>38</v>
      </c>
      <c r="AB43" s="59"/>
      <c r="AC43" s="60">
        <f t="shared" si="117"/>
        <v>2</v>
      </c>
      <c r="AD43" s="60"/>
      <c r="AE43" s="60"/>
      <c r="AF43" s="60"/>
      <c r="AG43" s="55"/>
      <c r="AH43" s="55"/>
      <c r="AI43" s="55"/>
      <c r="AJ43" s="55"/>
    </row>
    <row r="44" ht="42.75" customHeight="1">
      <c r="A44" s="106"/>
      <c r="B44" s="106"/>
      <c r="C44" s="191"/>
      <c r="D44" s="191"/>
      <c r="E44" s="191"/>
      <c r="F44" s="191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AA44" s="61" t="s">
        <v>42</v>
      </c>
      <c r="AB44" s="61"/>
      <c r="AC44" s="62">
        <f>SUM(AC42:AC43)</f>
        <v>5</v>
      </c>
      <c r="AD44" s="63"/>
      <c r="AE44" s="63"/>
      <c r="AF44" s="63"/>
      <c r="AG44" s="55"/>
      <c r="AH44" s="55"/>
      <c r="AI44" s="55"/>
      <c r="AJ44" s="55"/>
    </row>
    <row r="45" ht="66.75" customHeight="1">
      <c r="A45" s="105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50"/>
      <c r="AA45" s="19"/>
      <c r="AB45" s="19"/>
      <c r="AC45" s="38"/>
      <c r="AD45" s="38"/>
      <c r="AE45" s="38"/>
      <c r="AF45" s="38"/>
    </row>
    <row r="46" ht="20.25" customHeight="1">
      <c r="A46" s="10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14"/>
      <c r="AB46" s="15"/>
      <c r="AC46" s="67" t="s">
        <v>27</v>
      </c>
      <c r="AD46" s="68" t="s">
        <v>43</v>
      </c>
      <c r="AE46" s="68" t="s">
        <v>44</v>
      </c>
      <c r="AF46" s="68" t="s">
        <v>45</v>
      </c>
    </row>
    <row r="47" ht="21">
      <c r="A47" s="10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14"/>
      <c r="AB47" s="15"/>
      <c r="AC47" s="67"/>
      <c r="AD47" s="68"/>
      <c r="AE47" s="68"/>
      <c r="AF47" s="68"/>
    </row>
    <row r="48" ht="21">
      <c r="A48" s="105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9"/>
      <c r="AB48" s="15"/>
      <c r="AC48" s="67"/>
      <c r="AD48" s="68"/>
      <c r="AE48" s="68"/>
      <c r="AF48" s="68"/>
    </row>
    <row r="49" ht="35.149999999999999" customHeight="1">
      <c r="A49" s="10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19" t="s">
        <v>20</v>
      </c>
      <c r="AB49" s="19"/>
      <c r="AC49" s="67"/>
      <c r="AD49" s="68"/>
      <c r="AE49" s="68"/>
      <c r="AF49" s="68"/>
    </row>
    <row r="50" ht="35.149999999999999" customHeight="1">
      <c r="A50" s="10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19" t="str">
        <f t="shared" ref="AA50:AA53" si="118">AA36</f>
        <v xml:space="preserve">6:30 à 7:00</v>
      </c>
      <c r="AB50" s="19"/>
      <c r="AC50" s="70"/>
      <c r="AD50" s="71">
        <f>IF(AD37=0,0,AD37/AC37)</f>
        <v>0</v>
      </c>
      <c r="AE50" s="71">
        <f>IF(AE37=0,0,AE37/AC37)</f>
        <v>0.33333333333333298</v>
      </c>
      <c r="AF50" s="71">
        <f>IF(AF37=0,0,AF37/AD37)</f>
        <v>0</v>
      </c>
    </row>
    <row r="51" ht="35.149999999999999" customHeight="1">
      <c r="A51" s="10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19" t="str">
        <f t="shared" si="118"/>
        <v xml:space="preserve">7:00 à 7:30</v>
      </c>
      <c r="AB51" s="19"/>
      <c r="AC51" s="70"/>
      <c r="AD51" s="71">
        <f t="shared" ref="AD51:AD53" si="119">IF(AD37=0,0,AD37/AC37)</f>
        <v>0</v>
      </c>
      <c r="AE51" s="71">
        <f t="shared" ref="AE51:AE53" si="120">IF(AE37=0,0,AE37/AC37)</f>
        <v>0.33333333333333298</v>
      </c>
      <c r="AF51" s="71">
        <f t="shared" ref="AF51:AF53" si="121">IF(AF37=0,0,AF37/AD37)</f>
        <v>0</v>
      </c>
    </row>
    <row r="52" ht="35.149999999999999" customHeight="1">
      <c r="F52" s="66"/>
      <c r="K52" s="66"/>
      <c r="L52" s="66"/>
      <c r="M52" s="66"/>
      <c r="N52" s="66"/>
      <c r="O52" s="66"/>
      <c r="P52" s="66"/>
      <c r="Q52" s="66"/>
      <c r="AA52" s="19" t="str">
        <f t="shared" si="118"/>
        <v xml:space="preserve">7:30 à 8:00</v>
      </c>
      <c r="AB52" s="19"/>
      <c r="AC52" s="70"/>
      <c r="AD52" s="71">
        <f t="shared" si="119"/>
        <v>0</v>
      </c>
      <c r="AE52" s="71">
        <f t="shared" si="120"/>
        <v>0</v>
      </c>
      <c r="AF52" s="71">
        <f t="shared" si="121"/>
        <v>0</v>
      </c>
    </row>
    <row r="53" ht="35.149999999999999" customHeight="1">
      <c r="F53" s="66"/>
      <c r="K53" s="66"/>
      <c r="L53" s="66"/>
      <c r="M53" s="66"/>
      <c r="N53" s="66"/>
      <c r="O53" s="66"/>
      <c r="P53" s="66"/>
      <c r="Q53" s="66"/>
      <c r="AA53" s="19" t="str">
        <f t="shared" si="118"/>
        <v xml:space="preserve">8:00 à 8:30</v>
      </c>
      <c r="AB53" s="19"/>
      <c r="AC53" s="70"/>
      <c r="AD53" s="71">
        <f t="shared" si="119"/>
        <v>0</v>
      </c>
      <c r="AE53" s="71">
        <f t="shared" si="120"/>
        <v>0</v>
      </c>
      <c r="AF53" s="71">
        <f t="shared" si="121"/>
        <v>0</v>
      </c>
    </row>
    <row r="54" ht="35.149999999999999" customHeight="1">
      <c r="AA54" s="72" t="s">
        <v>27</v>
      </c>
      <c r="AB54" s="72"/>
      <c r="AC54" s="73"/>
      <c r="AD54" s="71">
        <f>IF(AD41=0,0,AD41/AC41)</f>
        <v>0.16666666666666699</v>
      </c>
      <c r="AE54" s="71">
        <f>IF(AE41=0,0,AE41/AC41)</f>
        <v>0.25</v>
      </c>
      <c r="AF54" s="71">
        <f>IF(AF41=0,0,AF41/AD41)</f>
        <v>0.5</v>
      </c>
    </row>
    <row r="55" ht="36.75" customHeight="1">
      <c r="AA55" s="19">
        <f>AA45</f>
        <v>0</v>
      </c>
      <c r="AB55" s="19"/>
      <c r="AC55" s="38"/>
      <c r="AD55" s="74" t="e">
        <f>AD45/$AC$45</f>
        <v>#DIV/0!</v>
      </c>
      <c r="AE55" s="74" t="e">
        <f>AE45/$AC$45</f>
        <v>#DIV/0!</v>
      </c>
      <c r="AF55" s="74" t="e">
        <f>AF45/$AC$45</f>
        <v>#DIV/0!</v>
      </c>
    </row>
  </sheetData>
  <mergeCells count="71">
    <mergeCell ref="C9:N9"/>
    <mergeCell ref="O9:Z9"/>
    <mergeCell ref="C10:F10"/>
    <mergeCell ref="G10:J10"/>
    <mergeCell ref="K10:N10"/>
    <mergeCell ref="O10:R10"/>
    <mergeCell ref="S10:V10"/>
    <mergeCell ref="W10:Z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B12"/>
    <mergeCell ref="C19:N19"/>
    <mergeCell ref="O19:Z19"/>
    <mergeCell ref="C20:F20"/>
    <mergeCell ref="G20:J20"/>
    <mergeCell ref="K20:N20"/>
    <mergeCell ref="O20:R20"/>
    <mergeCell ref="S20:V20"/>
    <mergeCell ref="W20:Z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22:B22"/>
    <mergeCell ref="C34:D34"/>
    <mergeCell ref="E34:F34"/>
    <mergeCell ref="A35:B35"/>
    <mergeCell ref="AA35:AB35"/>
    <mergeCell ref="A36:B36"/>
    <mergeCell ref="AA36:AB36"/>
    <mergeCell ref="A37:B37"/>
    <mergeCell ref="AA37:AB37"/>
    <mergeCell ref="A38:B38"/>
    <mergeCell ref="AA38:AB38"/>
    <mergeCell ref="A39:B39"/>
    <mergeCell ref="AA39:AB39"/>
    <mergeCell ref="A40:B40"/>
    <mergeCell ref="AA40:AB40"/>
    <mergeCell ref="A41:B41"/>
    <mergeCell ref="AA41:AB41"/>
    <mergeCell ref="AA44:AB44"/>
    <mergeCell ref="AA45:AB45"/>
    <mergeCell ref="AC46:AC49"/>
    <mergeCell ref="AD46:AD49"/>
    <mergeCell ref="AE46:AE49"/>
    <mergeCell ref="AF46:AF49"/>
    <mergeCell ref="AA49:AB49"/>
    <mergeCell ref="AA50:AB50"/>
    <mergeCell ref="AA51:AB51"/>
    <mergeCell ref="AA52:AB52"/>
    <mergeCell ref="AA53:AB53"/>
    <mergeCell ref="AA54:AB54"/>
    <mergeCell ref="AA55:AB55"/>
  </mergeCells>
  <printOptions headings="0" gridLines="0" horizontalCentered="0" verticalCentered="0"/>
  <pageMargins left="0.19652777777777802" right="0.19652777777777802" top="1.1812499999999999" bottom="1.1812499999999999" header="0.51180555555555496" footer="0.51180555555555496"/>
  <pageSetup paperSize="9" scale="100" firstPageNumber="1" fitToWidth="1" fitToHeight="0" pageOrder="overThenDown" orientation="portrait" usePrinterDefaults="1" blackAndWhite="0" draft="0" cellComments="none" useFirstPageNumber="1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G22" zoomScale="65" workbookViewId="0">
      <selection activeCell="AA37" activeCellId="0" sqref="AA37"/>
    </sheetView>
  </sheetViews>
  <sheetFormatPr defaultColWidth="11.23828125" defaultRowHeight="14"/>
  <cols>
    <col customWidth="1" min="1" max="1" style="1" width="8.9199999999999999"/>
    <col customWidth="0" min="2" max="2" style="1" width="11.25"/>
    <col customWidth="1" min="3" max="28" style="1" width="9.9199999999999999"/>
    <col customWidth="1" min="29" max="32" style="1" width="17.079999999999998"/>
    <col customWidth="1" min="33" max="36" style="1" width="10.83"/>
    <col customWidth="1" min="37" max="38" style="1" width="17.079999999999998"/>
    <col customWidth="1" min="39" max="39" style="1" width="10.83"/>
    <col customWidth="0" min="40" max="1024" style="1" width="11.25"/>
  </cols>
  <sheetData>
    <row r="1" s="2" customFormat="1" ht="52.5" customHeight="1">
      <c r="A1" s="3"/>
      <c r="B1" s="4" t="s">
        <v>119</v>
      </c>
      <c r="C1" s="5"/>
      <c r="D1" s="5"/>
      <c r="E1" s="5"/>
      <c r="G1" s="5"/>
      <c r="H1" s="5"/>
      <c r="I1" s="5"/>
      <c r="J1" s="5"/>
      <c r="O1" s="6" t="s">
        <v>2</v>
      </c>
      <c r="P1" s="178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K1" s="5"/>
      <c r="AL1" s="5"/>
      <c r="AMI1" s="8"/>
      <c r="AMJ1" s="8"/>
    </row>
    <row r="2" s="2" customFormat="1" ht="52.5" customHeight="1">
      <c r="A2" s="3" t="s">
        <v>3</v>
      </c>
      <c r="B2" s="5"/>
      <c r="C2" s="5"/>
      <c r="D2" s="5"/>
      <c r="E2" s="5"/>
      <c r="G2" s="5"/>
      <c r="H2" s="5" t="s">
        <v>120</v>
      </c>
      <c r="I2" s="5"/>
      <c r="J2" s="5"/>
      <c r="K2" s="5"/>
      <c r="L2" s="5"/>
      <c r="M2" s="5"/>
      <c r="N2" s="5"/>
      <c r="O2" s="5"/>
      <c r="P2" s="8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F2" s="5"/>
      <c r="AK2" s="5"/>
      <c r="AL2" s="5"/>
      <c r="AMI2" s="8"/>
      <c r="AMJ2" s="8"/>
    </row>
    <row r="3" s="2" customFormat="1" ht="52.5" customHeight="1">
      <c r="A3" s="3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167" t="s">
        <v>121</v>
      </c>
      <c r="S3" s="167"/>
      <c r="T3" s="167"/>
      <c r="U3" s="167"/>
      <c r="V3" s="167"/>
      <c r="W3" s="167"/>
      <c r="X3" s="5"/>
      <c r="Y3" s="5"/>
      <c r="Z3" s="5"/>
      <c r="AA3" s="5"/>
      <c r="AB3" s="5"/>
      <c r="AC3" s="5"/>
      <c r="AD3" s="5"/>
      <c r="AE3" s="5"/>
      <c r="AF3" s="5"/>
      <c r="AK3" s="5"/>
      <c r="AL3" s="5"/>
      <c r="AMI3" s="8"/>
      <c r="AMJ3" s="8"/>
    </row>
    <row r="4" s="8" customFormat="1" ht="25.5" customHeight="1"/>
    <row r="5" s="8" customFormat="1" ht="35.149999999999999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2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="8" customFormat="1" ht="35.149999999999999" customHeight="1">
      <c r="A6" s="11" t="s">
        <v>112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2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="8" customFormat="1" ht="35.149999999999999" customHeight="1">
      <c r="A7" s="11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2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="2" customFormat="1" ht="16.899999999999999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="2" customFormat="1" ht="32.25" customHeight="1">
      <c r="A9" s="3"/>
      <c r="B9" s="5"/>
      <c r="C9" s="16" t="s">
        <v>122</v>
      </c>
      <c r="D9" s="16"/>
      <c r="E9" s="16"/>
      <c r="F9" s="16"/>
      <c r="G9" s="16"/>
      <c r="H9" s="16"/>
      <c r="I9" s="16"/>
      <c r="J9" s="16"/>
      <c r="K9" s="16" t="s">
        <v>123</v>
      </c>
      <c r="L9" s="16"/>
      <c r="M9" s="16"/>
      <c r="N9" s="16"/>
      <c r="O9" s="16"/>
      <c r="P9" s="16"/>
      <c r="Q9" s="16"/>
      <c r="R9" s="16"/>
      <c r="S9" s="16" t="s">
        <v>124</v>
      </c>
      <c r="T9" s="16"/>
      <c r="U9" s="16"/>
      <c r="V9" s="16"/>
      <c r="W9" s="16"/>
      <c r="X9" s="16"/>
      <c r="Y9" s="16"/>
      <c r="Z9" s="16"/>
      <c r="AA9" s="179"/>
      <c r="AB9" s="179"/>
      <c r="AC9" s="179"/>
      <c r="AD9" s="179"/>
      <c r="AE9" s="179"/>
      <c r="AF9" s="179"/>
      <c r="AK9" s="179"/>
      <c r="AL9" s="179"/>
    </row>
    <row r="10" s="2" customFormat="1" ht="22.75" customHeight="1">
      <c r="A10" s="3"/>
      <c r="B10" s="5"/>
      <c r="C10" s="17" t="s">
        <v>125</v>
      </c>
      <c r="D10" s="17"/>
      <c r="E10" s="17"/>
      <c r="F10" s="17"/>
      <c r="G10" s="17" t="s">
        <v>126</v>
      </c>
      <c r="H10" s="17"/>
      <c r="I10" s="17"/>
      <c r="J10" s="17"/>
      <c r="K10" s="17" t="s">
        <v>126</v>
      </c>
      <c r="L10" s="17"/>
      <c r="M10" s="17"/>
      <c r="N10" s="17"/>
      <c r="O10" s="17" t="s">
        <v>127</v>
      </c>
      <c r="P10" s="17"/>
      <c r="Q10" s="17"/>
      <c r="R10" s="17"/>
      <c r="S10" s="17" t="s">
        <v>127</v>
      </c>
      <c r="T10" s="17"/>
      <c r="U10" s="17"/>
      <c r="V10" s="17"/>
      <c r="W10" s="17" t="s">
        <v>125</v>
      </c>
      <c r="X10" s="17"/>
      <c r="Y10" s="17"/>
      <c r="Z10" s="17"/>
      <c r="AA10" s="180"/>
      <c r="AB10" s="180"/>
      <c r="AC10" s="180"/>
      <c r="AD10" s="180"/>
      <c r="AE10" s="180"/>
      <c r="AF10" s="180"/>
      <c r="AK10" s="180"/>
      <c r="AL10" s="180"/>
    </row>
    <row r="11" s="2" customFormat="1" ht="18.649999999999999" customHeight="1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81"/>
      <c r="AB11" s="181"/>
      <c r="AC11" s="181"/>
      <c r="AD11" s="181"/>
      <c r="AE11" s="181"/>
      <c r="AF11" s="181"/>
      <c r="AK11" s="181"/>
      <c r="AL11" s="181"/>
    </row>
    <row r="12" s="2" customFormat="1" ht="21">
      <c r="A12" s="19" t="s">
        <v>20</v>
      </c>
      <c r="B12" s="19"/>
      <c r="C12" s="20" t="s">
        <v>21</v>
      </c>
      <c r="D12" s="20" t="s">
        <v>22</v>
      </c>
      <c r="E12" s="20" t="s">
        <v>21</v>
      </c>
      <c r="F12" s="20" t="s">
        <v>22</v>
      </c>
      <c r="G12" s="20" t="s">
        <v>21</v>
      </c>
      <c r="H12" s="20" t="s">
        <v>22</v>
      </c>
      <c r="I12" s="20" t="s">
        <v>21</v>
      </c>
      <c r="J12" s="20" t="s">
        <v>22</v>
      </c>
      <c r="K12" s="20" t="s">
        <v>21</v>
      </c>
      <c r="L12" s="20" t="s">
        <v>22</v>
      </c>
      <c r="M12" s="20" t="s">
        <v>21</v>
      </c>
      <c r="N12" s="20" t="s">
        <v>22</v>
      </c>
      <c r="O12" s="20" t="s">
        <v>21</v>
      </c>
      <c r="P12" s="20" t="s">
        <v>22</v>
      </c>
      <c r="Q12" s="20" t="s">
        <v>21</v>
      </c>
      <c r="R12" s="20" t="s">
        <v>22</v>
      </c>
      <c r="S12" s="20" t="s">
        <v>21</v>
      </c>
      <c r="T12" s="20" t="s">
        <v>22</v>
      </c>
      <c r="U12" s="20" t="s">
        <v>21</v>
      </c>
      <c r="V12" s="20" t="s">
        <v>22</v>
      </c>
      <c r="W12" s="20" t="s">
        <v>21</v>
      </c>
      <c r="X12" s="20" t="s">
        <v>22</v>
      </c>
      <c r="Y12" s="20" t="s">
        <v>21</v>
      </c>
      <c r="Z12" s="20" t="s">
        <v>22</v>
      </c>
      <c r="AA12" s="27"/>
      <c r="AB12" s="27"/>
      <c r="AC12" s="27"/>
      <c r="AD12" s="27"/>
      <c r="AE12" s="27"/>
      <c r="AF12" s="27"/>
      <c r="AK12" s="27"/>
      <c r="AL12" s="27"/>
    </row>
    <row r="13" ht="80.150000000000006" customHeight="1">
      <c r="A13" s="81">
        <v>0.27083333333333298</v>
      </c>
      <c r="B13" s="81">
        <v>0.29166666666666702</v>
      </c>
      <c r="C13" s="22"/>
      <c r="D13" s="22"/>
      <c r="E13" s="22"/>
      <c r="F13" s="22"/>
      <c r="G13" s="22">
        <v>2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8"/>
      <c r="AB13" s="28"/>
      <c r="AC13" s="28"/>
      <c r="AD13" s="28"/>
      <c r="AE13" s="28"/>
      <c r="AF13" s="28"/>
      <c r="AK13" s="28"/>
      <c r="AL13" s="28"/>
    </row>
    <row r="14" ht="80.150000000000006" customHeight="1">
      <c r="A14" s="81">
        <v>0.29166666666666702</v>
      </c>
      <c r="B14" s="81">
        <v>0.3125</v>
      </c>
      <c r="C14" s="22"/>
      <c r="D14" s="22"/>
      <c r="E14" s="22"/>
      <c r="F14" s="22"/>
      <c r="G14" s="22">
        <v>3</v>
      </c>
      <c r="H14" s="22">
        <v>2</v>
      </c>
      <c r="I14" s="22">
        <v>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8"/>
      <c r="AB14" s="28"/>
      <c r="AC14" s="28"/>
      <c r="AD14" s="28"/>
      <c r="AE14" s="28"/>
      <c r="AF14" s="28"/>
      <c r="AK14" s="28"/>
      <c r="AL14" s="28"/>
    </row>
    <row r="15" ht="80.150000000000006" customHeight="1">
      <c r="A15" s="81">
        <v>0.3125</v>
      </c>
      <c r="B15" s="81">
        <v>0.33333333333333298</v>
      </c>
      <c r="C15" s="22"/>
      <c r="D15" s="22">
        <v>1</v>
      </c>
      <c r="E15" s="22"/>
      <c r="F15" s="22">
        <v>1</v>
      </c>
      <c r="G15" s="22"/>
      <c r="H15" s="22"/>
      <c r="I15" s="22">
        <v>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8"/>
      <c r="AB15" s="28"/>
      <c r="AC15" s="28"/>
      <c r="AD15" s="28"/>
      <c r="AE15" s="28"/>
      <c r="AF15" s="28"/>
      <c r="AK15" s="28"/>
      <c r="AL15" s="28"/>
    </row>
    <row r="16" ht="80.150000000000006" customHeight="1">
      <c r="A16" s="81">
        <v>0.33333333333333298</v>
      </c>
      <c r="B16" s="81">
        <v>0.35416666666666702</v>
      </c>
      <c r="C16" s="22"/>
      <c r="D16" s="22">
        <v>1</v>
      </c>
      <c r="E16" s="22"/>
      <c r="F16" s="22"/>
      <c r="G16" s="22"/>
      <c r="H16" s="22"/>
      <c r="I16" s="22"/>
      <c r="J16" s="22">
        <v>1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8"/>
      <c r="AB16" s="28"/>
      <c r="AC16" s="28"/>
      <c r="AD16" s="28"/>
      <c r="AE16" s="28"/>
      <c r="AF16" s="28"/>
      <c r="AK16" s="28"/>
      <c r="AL16" s="28"/>
    </row>
    <row r="17" ht="80.150000000000006" customHeight="1">
      <c r="A17" s="81">
        <v>0.35416666666666702</v>
      </c>
      <c r="B17" s="81">
        <v>0.375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8"/>
      <c r="AB17" s="28"/>
      <c r="AC17" s="28"/>
      <c r="AD17" s="28"/>
      <c r="AE17" s="28"/>
      <c r="AF17" s="28"/>
      <c r="AK17" s="28"/>
      <c r="AL17" s="28"/>
    </row>
    <row r="18" ht="13.15" customHeight="1"/>
    <row r="19" s="23" customFormat="1" ht="39.75" customHeight="1">
      <c r="A19" s="24"/>
      <c r="B19" s="25" t="s">
        <v>23</v>
      </c>
      <c r="C19" s="26"/>
      <c r="D19" s="26"/>
      <c r="E19" s="26"/>
      <c r="F19" s="26"/>
      <c r="G19" s="26"/>
      <c r="H19" s="26"/>
      <c r="I19" s="24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="23" customFormat="1" ht="39.75" customHeight="1">
      <c r="A20" s="24"/>
      <c r="B20" s="25" t="s">
        <v>34</v>
      </c>
      <c r="C20" s="26"/>
      <c r="D20" s="26"/>
      <c r="E20" s="26"/>
      <c r="F20" s="26"/>
      <c r="G20" s="26"/>
      <c r="H20" s="26"/>
      <c r="I20" s="24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="23" customFormat="1" ht="39.75" customHeight="1">
      <c r="A21" s="24"/>
      <c r="B21" s="25" t="s">
        <v>25</v>
      </c>
      <c r="C21" s="26"/>
      <c r="D21" s="26"/>
      <c r="E21" s="26"/>
      <c r="F21" s="26">
        <v>1</v>
      </c>
      <c r="G21" s="26"/>
      <c r="H21" s="26"/>
      <c r="I21" s="24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="23" customFormat="1" ht="39.75" customHeight="1">
      <c r="A22" s="24"/>
      <c r="B22" s="25" t="s">
        <v>26</v>
      </c>
      <c r="C22" s="26"/>
      <c r="D22" s="26"/>
      <c r="E22" s="26"/>
      <c r="F22" s="26"/>
      <c r="G22" s="26"/>
      <c r="H22" s="26"/>
      <c r="I22" s="24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="2" customFormat="1" ht="25.5" customHeight="1">
      <c r="A23" s="17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192"/>
      <c r="AB23" s="5"/>
      <c r="AC23" s="5"/>
      <c r="AD23" s="5"/>
      <c r="AE23" s="5"/>
      <c r="AF23" s="5"/>
      <c r="AK23" s="5"/>
      <c r="AL23" s="5"/>
    </row>
    <row r="24" s="2" customFormat="1" ht="25.5" customHeight="1">
      <c r="A24" s="17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192"/>
      <c r="AB24" s="5"/>
      <c r="AC24" s="174" t="s">
        <v>99</v>
      </c>
      <c r="AD24" s="5"/>
      <c r="AE24" s="5"/>
      <c r="AF24" s="5"/>
      <c r="AK24" s="5"/>
      <c r="AL24" s="5"/>
    </row>
    <row r="25" ht="32.25" customHeight="1">
      <c r="A25" s="14"/>
      <c r="B25" s="15"/>
      <c r="C25" s="16" t="str">
        <f>C9</f>
        <v xml:space="preserve">De Rte Gorges du Borne vers</v>
      </c>
      <c r="D25" s="16"/>
      <c r="E25" s="16"/>
      <c r="F25" s="16"/>
      <c r="G25" s="16"/>
      <c r="H25" s="16"/>
      <c r="I25" s="16"/>
      <c r="J25" s="16"/>
      <c r="K25" s="16" t="str">
        <f>K9</f>
        <v xml:space="preserve">De Avenue des Digues vers</v>
      </c>
      <c r="L25" s="16"/>
      <c r="M25" s="16"/>
      <c r="N25" s="16"/>
      <c r="O25" s="16"/>
      <c r="P25" s="16"/>
      <c r="Q25" s="16"/>
      <c r="R25" s="16"/>
      <c r="S25" s="16" t="str">
        <f>S9</f>
        <v xml:space="preserve">De Avenue de Monaz vers</v>
      </c>
      <c r="T25" s="16"/>
      <c r="U25" s="16"/>
      <c r="V25" s="16"/>
      <c r="W25" s="16"/>
      <c r="X25" s="16"/>
      <c r="Y25" s="16"/>
      <c r="Z25" s="16"/>
      <c r="AA25" s="14"/>
      <c r="AB25" s="15"/>
      <c r="AC25" s="67" t="s">
        <v>27</v>
      </c>
      <c r="AD25" s="39" t="s">
        <v>28</v>
      </c>
      <c r="AE25" s="35" t="s">
        <v>29</v>
      </c>
      <c r="AF25" s="35" t="s">
        <v>30</v>
      </c>
      <c r="AK25" s="36" t="s">
        <v>128</v>
      </c>
      <c r="AL25" s="68" t="s">
        <v>129</v>
      </c>
    </row>
    <row r="26" ht="22.75" customHeight="1">
      <c r="A26" s="14"/>
      <c r="B26" s="15"/>
      <c r="C26" s="17" t="str">
        <f>C10</f>
        <v xml:space="preserve">Av des Digues</v>
      </c>
      <c r="D26" s="17"/>
      <c r="E26" s="17"/>
      <c r="F26" s="17"/>
      <c r="G26" s="17" t="str">
        <f>G10</f>
        <v xml:space="preserve">Av Monaz</v>
      </c>
      <c r="H26" s="17"/>
      <c r="I26" s="17"/>
      <c r="J26" s="17"/>
      <c r="K26" s="17" t="str">
        <f>K10</f>
        <v xml:space="preserve">Av Monaz</v>
      </c>
      <c r="L26" s="17"/>
      <c r="M26" s="17"/>
      <c r="N26" s="17"/>
      <c r="O26" s="17" t="str">
        <f>O10</f>
        <v xml:space="preserve">Rte Gorges du Borne</v>
      </c>
      <c r="P26" s="17"/>
      <c r="Q26" s="17"/>
      <c r="R26" s="17"/>
      <c r="S26" s="17" t="str">
        <f>S10</f>
        <v xml:space="preserve">Rte Gorges du Borne</v>
      </c>
      <c r="T26" s="17"/>
      <c r="U26" s="17"/>
      <c r="V26" s="17"/>
      <c r="W26" s="17" t="str">
        <f>W10</f>
        <v xml:space="preserve">Av des Digues</v>
      </c>
      <c r="X26" s="17"/>
      <c r="Y26" s="17"/>
      <c r="Z26" s="17"/>
      <c r="AA26" s="14"/>
      <c r="AB26" s="15"/>
      <c r="AC26" s="67"/>
      <c r="AD26" s="39"/>
      <c r="AE26" s="35"/>
      <c r="AF26" s="35"/>
      <c r="AK26" s="36"/>
      <c r="AL26" s="68"/>
    </row>
    <row r="27" ht="18.649999999999999" customHeight="1">
      <c r="A27" s="14"/>
      <c r="B27" s="15"/>
      <c r="C27" s="18" t="s">
        <v>18</v>
      </c>
      <c r="D27" s="18"/>
      <c r="E27" s="18" t="s">
        <v>19</v>
      </c>
      <c r="F27" s="18"/>
      <c r="G27" s="18" t="s">
        <v>18</v>
      </c>
      <c r="H27" s="18"/>
      <c r="I27" s="18" t="s">
        <v>19</v>
      </c>
      <c r="J27" s="18"/>
      <c r="K27" s="18" t="s">
        <v>18</v>
      </c>
      <c r="L27" s="18"/>
      <c r="M27" s="18" t="s">
        <v>19</v>
      </c>
      <c r="N27" s="18"/>
      <c r="O27" s="18" t="s">
        <v>18</v>
      </c>
      <c r="P27" s="18"/>
      <c r="Q27" s="18" t="s">
        <v>19</v>
      </c>
      <c r="R27" s="18"/>
      <c r="S27" s="18" t="s">
        <v>18</v>
      </c>
      <c r="T27" s="18"/>
      <c r="U27" s="18" t="s">
        <v>19</v>
      </c>
      <c r="V27" s="18"/>
      <c r="W27" s="18" t="s">
        <v>18</v>
      </c>
      <c r="X27" s="18"/>
      <c r="Y27" s="18" t="s">
        <v>19</v>
      </c>
      <c r="Z27" s="18"/>
      <c r="AA27" s="69"/>
      <c r="AB27" s="15"/>
      <c r="AC27" s="67"/>
      <c r="AD27" s="39"/>
      <c r="AE27" s="35"/>
      <c r="AF27" s="35"/>
      <c r="AK27" s="36"/>
      <c r="AL27" s="68"/>
    </row>
    <row r="28" ht="80">
      <c r="A28" s="19" t="s">
        <v>20</v>
      </c>
      <c r="B28" s="19"/>
      <c r="C28" s="20" t="s">
        <v>21</v>
      </c>
      <c r="D28" s="20" t="s">
        <v>22</v>
      </c>
      <c r="E28" s="20" t="s">
        <v>21</v>
      </c>
      <c r="F28" s="20" t="s">
        <v>22</v>
      </c>
      <c r="G28" s="20" t="s">
        <v>21</v>
      </c>
      <c r="H28" s="20" t="s">
        <v>22</v>
      </c>
      <c r="I28" s="20" t="s">
        <v>21</v>
      </c>
      <c r="J28" s="20" t="s">
        <v>22</v>
      </c>
      <c r="K28" s="20" t="s">
        <v>21</v>
      </c>
      <c r="L28" s="20" t="s">
        <v>22</v>
      </c>
      <c r="M28" s="20" t="s">
        <v>21</v>
      </c>
      <c r="N28" s="20" t="s">
        <v>22</v>
      </c>
      <c r="O28" s="20" t="s">
        <v>21</v>
      </c>
      <c r="P28" s="20" t="s">
        <v>22</v>
      </c>
      <c r="Q28" s="20" t="s">
        <v>21</v>
      </c>
      <c r="R28" s="20" t="s">
        <v>22</v>
      </c>
      <c r="S28" s="20" t="s">
        <v>21</v>
      </c>
      <c r="T28" s="20" t="s">
        <v>22</v>
      </c>
      <c r="U28" s="20" t="s">
        <v>21</v>
      </c>
      <c r="V28" s="20" t="s">
        <v>22</v>
      </c>
      <c r="W28" s="20" t="s">
        <v>21</v>
      </c>
      <c r="X28" s="20" t="s">
        <v>22</v>
      </c>
      <c r="Y28" s="20" t="s">
        <v>21</v>
      </c>
      <c r="Z28" s="20" t="s">
        <v>22</v>
      </c>
      <c r="AA28" s="19" t="s">
        <v>20</v>
      </c>
      <c r="AB28" s="19"/>
      <c r="AC28" s="67"/>
      <c r="AD28" s="39"/>
      <c r="AE28" s="35"/>
      <c r="AF28" s="35"/>
      <c r="AG28" s="39" t="s">
        <v>32</v>
      </c>
      <c r="AH28" s="39" t="s">
        <v>33</v>
      </c>
      <c r="AI28" s="39" t="s">
        <v>34</v>
      </c>
      <c r="AJ28" s="39" t="s">
        <v>35</v>
      </c>
      <c r="AK28" s="36"/>
      <c r="AL28" s="68"/>
    </row>
    <row r="29" ht="55" customHeight="1">
      <c r="A29" s="19" t="s">
        <v>36</v>
      </c>
      <c r="B29" s="19"/>
      <c r="C29" s="22">
        <f t="shared" ref="C29:C33" si="122">C13</f>
        <v>0</v>
      </c>
      <c r="D29" s="22">
        <f t="shared" ref="D29:D33" si="123">D13</f>
        <v>0</v>
      </c>
      <c r="E29" s="22">
        <f t="shared" ref="E29:E33" si="124">E13</f>
        <v>0</v>
      </c>
      <c r="F29" s="22">
        <f t="shared" ref="F29:F33" si="125">F13</f>
        <v>0</v>
      </c>
      <c r="G29" s="22">
        <f t="shared" ref="G29:G33" si="126">G13</f>
        <v>2</v>
      </c>
      <c r="H29" s="22">
        <f t="shared" ref="H29:H33" si="127">H13</f>
        <v>0</v>
      </c>
      <c r="I29" s="22">
        <f t="shared" ref="I29:I33" si="128">I13</f>
        <v>0</v>
      </c>
      <c r="J29" s="22">
        <f t="shared" ref="J29:J33" si="129">J13</f>
        <v>0</v>
      </c>
      <c r="K29" s="22">
        <f t="shared" ref="K29:K33" si="130">K13</f>
        <v>0</v>
      </c>
      <c r="L29" s="22">
        <f t="shared" ref="L29:L33" si="131">L13</f>
        <v>0</v>
      </c>
      <c r="M29" s="22">
        <f t="shared" ref="M29:M33" si="132">M13</f>
        <v>0</v>
      </c>
      <c r="N29" s="22">
        <f t="shared" ref="N29:N33" si="133">N13</f>
        <v>0</v>
      </c>
      <c r="O29" s="22">
        <f t="shared" ref="O29:O33" si="134">O13</f>
        <v>0</v>
      </c>
      <c r="P29" s="22">
        <f t="shared" ref="P29:P33" si="135">P13</f>
        <v>0</v>
      </c>
      <c r="Q29" s="22">
        <f t="shared" ref="Q29:Q33" si="136">Q13</f>
        <v>0</v>
      </c>
      <c r="R29" s="22">
        <f t="shared" ref="R29:R33" si="137">R13</f>
        <v>0</v>
      </c>
      <c r="S29" s="22">
        <f t="shared" ref="S29:S33" si="138">S13</f>
        <v>0</v>
      </c>
      <c r="T29" s="22">
        <f t="shared" ref="T29:T33" si="139">T13</f>
        <v>0</v>
      </c>
      <c r="U29" s="22">
        <f t="shared" ref="U29:U33" si="140">U13</f>
        <v>0</v>
      </c>
      <c r="V29" s="22">
        <f t="shared" ref="V29:V33" si="141">V13</f>
        <v>0</v>
      </c>
      <c r="W29" s="22">
        <f t="shared" ref="W29:W33" si="142">W13</f>
        <v>0</v>
      </c>
      <c r="X29" s="22">
        <f t="shared" ref="X29:X33" si="143">X13</f>
        <v>0</v>
      </c>
      <c r="Y29" s="22">
        <f t="shared" ref="Y29:Y33" si="144">Y13</f>
        <v>0</v>
      </c>
      <c r="Z29" s="22">
        <f t="shared" ref="Z29:Z33" si="145">Z13</f>
        <v>0</v>
      </c>
      <c r="AA29" s="19" t="str">
        <f t="shared" ref="AA29:AA33" si="146">A29</f>
        <v xml:space="preserve">6:30 à 7:00</v>
      </c>
      <c r="AB29" s="19"/>
      <c r="AC29" s="193">
        <f t="shared" ref="AC29:AC34" si="147">SUM(C29:Z29)</f>
        <v>2</v>
      </c>
      <c r="AD29" s="41">
        <f t="shared" ref="AD29:AD33" si="148">C29+E29+G29+I29+K29+M29+O29+Q29+S29+U29+W29+Y29</f>
        <v>2</v>
      </c>
      <c r="AE29" s="41">
        <f t="shared" ref="AE29:AE33" si="149">E29+F29+I29+J29+M29+N29+Q29+R29+U29+V29+Y29+Z29</f>
        <v>0</v>
      </c>
      <c r="AF29" s="41">
        <f t="shared" ref="AF29:AF33" si="150">E29+I29+M29+Q29+U29+Y29</f>
        <v>0</v>
      </c>
      <c r="AK29" s="41">
        <f t="shared" ref="AK29:AK33" si="151">SUM(G29:N29)+SUM(S29:Z29)</f>
        <v>2</v>
      </c>
      <c r="AL29" s="41">
        <f t="shared" ref="AL29:AL33" si="152">SUM(C29:F29)+SUM(W29:Z29)+SUM(K29:R29)</f>
        <v>0</v>
      </c>
    </row>
    <row r="30" ht="55" customHeight="1">
      <c r="A30" s="19" t="s">
        <v>37</v>
      </c>
      <c r="B30" s="19"/>
      <c r="C30" s="22">
        <f t="shared" si="122"/>
        <v>0</v>
      </c>
      <c r="D30" s="22">
        <f t="shared" si="123"/>
        <v>0</v>
      </c>
      <c r="E30" s="22">
        <f t="shared" si="124"/>
        <v>0</v>
      </c>
      <c r="F30" s="22">
        <f t="shared" si="125"/>
        <v>0</v>
      </c>
      <c r="G30" s="22">
        <f t="shared" si="126"/>
        <v>3</v>
      </c>
      <c r="H30" s="22">
        <f t="shared" si="127"/>
        <v>2</v>
      </c>
      <c r="I30" s="22">
        <f t="shared" si="128"/>
        <v>1</v>
      </c>
      <c r="J30" s="22">
        <f t="shared" si="129"/>
        <v>0</v>
      </c>
      <c r="K30" s="22">
        <f t="shared" si="130"/>
        <v>0</v>
      </c>
      <c r="L30" s="22">
        <f t="shared" si="131"/>
        <v>0</v>
      </c>
      <c r="M30" s="22">
        <f t="shared" si="132"/>
        <v>0</v>
      </c>
      <c r="N30" s="22">
        <f t="shared" si="133"/>
        <v>0</v>
      </c>
      <c r="O30" s="22">
        <f t="shared" si="134"/>
        <v>0</v>
      </c>
      <c r="P30" s="22">
        <f t="shared" si="135"/>
        <v>0</v>
      </c>
      <c r="Q30" s="22">
        <f t="shared" si="136"/>
        <v>0</v>
      </c>
      <c r="R30" s="22">
        <f t="shared" si="137"/>
        <v>0</v>
      </c>
      <c r="S30" s="22">
        <f t="shared" si="138"/>
        <v>0</v>
      </c>
      <c r="T30" s="22">
        <f t="shared" si="139"/>
        <v>0</v>
      </c>
      <c r="U30" s="22">
        <f t="shared" si="140"/>
        <v>0</v>
      </c>
      <c r="V30" s="22">
        <f t="shared" si="141"/>
        <v>0</v>
      </c>
      <c r="W30" s="22">
        <f t="shared" si="142"/>
        <v>0</v>
      </c>
      <c r="X30" s="22">
        <f t="shared" si="143"/>
        <v>0</v>
      </c>
      <c r="Y30" s="22">
        <f t="shared" si="144"/>
        <v>0</v>
      </c>
      <c r="Z30" s="22">
        <f t="shared" si="145"/>
        <v>0</v>
      </c>
      <c r="AA30" s="19" t="str">
        <f t="shared" si="146"/>
        <v xml:space="preserve">7:00 à 7:30</v>
      </c>
      <c r="AB30" s="19"/>
      <c r="AC30" s="193">
        <f t="shared" si="147"/>
        <v>6</v>
      </c>
      <c r="AD30" s="41">
        <f t="shared" si="148"/>
        <v>4</v>
      </c>
      <c r="AE30" s="41">
        <f t="shared" si="149"/>
        <v>1</v>
      </c>
      <c r="AF30" s="41">
        <f t="shared" si="150"/>
        <v>1</v>
      </c>
      <c r="AK30" s="41">
        <f t="shared" si="151"/>
        <v>6</v>
      </c>
      <c r="AL30" s="41">
        <f t="shared" si="152"/>
        <v>0</v>
      </c>
    </row>
    <row r="31" ht="55" customHeight="1">
      <c r="A31" s="19" t="s">
        <v>38</v>
      </c>
      <c r="B31" s="19"/>
      <c r="C31" s="22">
        <f t="shared" si="122"/>
        <v>0</v>
      </c>
      <c r="D31" s="22">
        <f t="shared" si="123"/>
        <v>1</v>
      </c>
      <c r="E31" s="22">
        <f t="shared" si="124"/>
        <v>0</v>
      </c>
      <c r="F31" s="22">
        <f t="shared" si="125"/>
        <v>1</v>
      </c>
      <c r="G31" s="22">
        <f t="shared" si="126"/>
        <v>0</v>
      </c>
      <c r="H31" s="22">
        <f t="shared" si="127"/>
        <v>0</v>
      </c>
      <c r="I31" s="22">
        <f t="shared" si="128"/>
        <v>2</v>
      </c>
      <c r="J31" s="22">
        <f t="shared" si="129"/>
        <v>0</v>
      </c>
      <c r="K31" s="22">
        <f t="shared" si="130"/>
        <v>0</v>
      </c>
      <c r="L31" s="22">
        <f t="shared" si="131"/>
        <v>0</v>
      </c>
      <c r="M31" s="22">
        <f t="shared" si="132"/>
        <v>0</v>
      </c>
      <c r="N31" s="22">
        <f t="shared" si="133"/>
        <v>0</v>
      </c>
      <c r="O31" s="22">
        <f t="shared" si="134"/>
        <v>0</v>
      </c>
      <c r="P31" s="22">
        <f t="shared" si="135"/>
        <v>0</v>
      </c>
      <c r="Q31" s="22">
        <f t="shared" si="136"/>
        <v>0</v>
      </c>
      <c r="R31" s="22">
        <f t="shared" si="137"/>
        <v>0</v>
      </c>
      <c r="S31" s="22">
        <f t="shared" si="138"/>
        <v>0</v>
      </c>
      <c r="T31" s="22">
        <f t="shared" si="139"/>
        <v>0</v>
      </c>
      <c r="U31" s="22">
        <f t="shared" si="140"/>
        <v>0</v>
      </c>
      <c r="V31" s="22">
        <f t="shared" si="141"/>
        <v>0</v>
      </c>
      <c r="W31" s="22">
        <f t="shared" si="142"/>
        <v>0</v>
      </c>
      <c r="X31" s="22">
        <f t="shared" si="143"/>
        <v>0</v>
      </c>
      <c r="Y31" s="22">
        <f t="shared" si="144"/>
        <v>0</v>
      </c>
      <c r="Z31" s="22">
        <f t="shared" si="145"/>
        <v>0</v>
      </c>
      <c r="AA31" s="19" t="str">
        <f t="shared" si="146"/>
        <v xml:space="preserve">7:30 à 8:00</v>
      </c>
      <c r="AB31" s="19"/>
      <c r="AC31" s="193">
        <f t="shared" si="147"/>
        <v>4</v>
      </c>
      <c r="AD31" s="41">
        <f t="shared" si="148"/>
        <v>2</v>
      </c>
      <c r="AE31" s="41">
        <f t="shared" si="149"/>
        <v>3</v>
      </c>
      <c r="AF31" s="41">
        <f t="shared" si="150"/>
        <v>2</v>
      </c>
      <c r="AK31" s="41">
        <f t="shared" si="151"/>
        <v>2</v>
      </c>
      <c r="AL31" s="41">
        <f t="shared" si="152"/>
        <v>2</v>
      </c>
    </row>
    <row r="32" ht="55" customHeight="1">
      <c r="A32" s="19" t="s">
        <v>39</v>
      </c>
      <c r="B32" s="19"/>
      <c r="C32" s="22">
        <f t="shared" si="122"/>
        <v>0</v>
      </c>
      <c r="D32" s="22">
        <f t="shared" si="123"/>
        <v>1</v>
      </c>
      <c r="E32" s="22">
        <f t="shared" si="124"/>
        <v>0</v>
      </c>
      <c r="F32" s="22">
        <f t="shared" si="125"/>
        <v>0</v>
      </c>
      <c r="G32" s="22">
        <f t="shared" si="126"/>
        <v>0</v>
      </c>
      <c r="H32" s="22">
        <f t="shared" si="127"/>
        <v>0</v>
      </c>
      <c r="I32" s="22">
        <f t="shared" si="128"/>
        <v>0</v>
      </c>
      <c r="J32" s="22">
        <f t="shared" si="129"/>
        <v>1</v>
      </c>
      <c r="K32" s="22">
        <f t="shared" si="130"/>
        <v>0</v>
      </c>
      <c r="L32" s="22">
        <f t="shared" si="131"/>
        <v>0</v>
      </c>
      <c r="M32" s="22">
        <f t="shared" si="132"/>
        <v>0</v>
      </c>
      <c r="N32" s="22">
        <f t="shared" si="133"/>
        <v>0</v>
      </c>
      <c r="O32" s="22">
        <f t="shared" si="134"/>
        <v>0</v>
      </c>
      <c r="P32" s="22">
        <f t="shared" si="135"/>
        <v>0</v>
      </c>
      <c r="Q32" s="22">
        <f t="shared" si="136"/>
        <v>0</v>
      </c>
      <c r="R32" s="22">
        <f t="shared" si="137"/>
        <v>0</v>
      </c>
      <c r="S32" s="22">
        <f t="shared" si="138"/>
        <v>0</v>
      </c>
      <c r="T32" s="22">
        <f t="shared" si="139"/>
        <v>0</v>
      </c>
      <c r="U32" s="22">
        <f t="shared" si="140"/>
        <v>0</v>
      </c>
      <c r="V32" s="22">
        <f t="shared" si="141"/>
        <v>0</v>
      </c>
      <c r="W32" s="22">
        <f t="shared" si="142"/>
        <v>0</v>
      </c>
      <c r="X32" s="22">
        <f t="shared" si="143"/>
        <v>0</v>
      </c>
      <c r="Y32" s="22">
        <f t="shared" si="144"/>
        <v>0</v>
      </c>
      <c r="Z32" s="22">
        <f t="shared" si="145"/>
        <v>0</v>
      </c>
      <c r="AA32" s="19" t="str">
        <f t="shared" si="146"/>
        <v xml:space="preserve">8:00 à 8:30</v>
      </c>
      <c r="AB32" s="19"/>
      <c r="AC32" s="193">
        <f t="shared" si="147"/>
        <v>2</v>
      </c>
      <c r="AD32" s="41">
        <f t="shared" si="148"/>
        <v>0</v>
      </c>
      <c r="AE32" s="41">
        <f t="shared" si="149"/>
        <v>1</v>
      </c>
      <c r="AF32" s="41">
        <f t="shared" si="150"/>
        <v>0</v>
      </c>
      <c r="AK32" s="41">
        <f t="shared" si="151"/>
        <v>1</v>
      </c>
      <c r="AL32" s="41">
        <f t="shared" si="152"/>
        <v>1</v>
      </c>
    </row>
    <row r="33" ht="55" customHeight="1">
      <c r="A33" s="19" t="s">
        <v>40</v>
      </c>
      <c r="B33" s="19"/>
      <c r="C33" s="22">
        <f t="shared" si="122"/>
        <v>0</v>
      </c>
      <c r="D33" s="22">
        <f t="shared" si="123"/>
        <v>0</v>
      </c>
      <c r="E33" s="22">
        <f t="shared" si="124"/>
        <v>0</v>
      </c>
      <c r="F33" s="22">
        <f t="shared" si="125"/>
        <v>0</v>
      </c>
      <c r="G33" s="22">
        <f t="shared" si="126"/>
        <v>0</v>
      </c>
      <c r="H33" s="22">
        <f t="shared" si="127"/>
        <v>0</v>
      </c>
      <c r="I33" s="22">
        <f t="shared" si="128"/>
        <v>0</v>
      </c>
      <c r="J33" s="22">
        <f t="shared" si="129"/>
        <v>0</v>
      </c>
      <c r="K33" s="22">
        <f t="shared" si="130"/>
        <v>0</v>
      </c>
      <c r="L33" s="22">
        <f t="shared" si="131"/>
        <v>0</v>
      </c>
      <c r="M33" s="22">
        <f t="shared" si="132"/>
        <v>0</v>
      </c>
      <c r="N33" s="22">
        <f t="shared" si="133"/>
        <v>0</v>
      </c>
      <c r="O33" s="22">
        <f t="shared" si="134"/>
        <v>0</v>
      </c>
      <c r="P33" s="22">
        <f t="shared" si="135"/>
        <v>0</v>
      </c>
      <c r="Q33" s="22">
        <f t="shared" si="136"/>
        <v>0</v>
      </c>
      <c r="R33" s="22">
        <f t="shared" si="137"/>
        <v>0</v>
      </c>
      <c r="S33" s="22">
        <f t="shared" si="138"/>
        <v>0</v>
      </c>
      <c r="T33" s="22">
        <f t="shared" si="139"/>
        <v>0</v>
      </c>
      <c r="U33" s="22">
        <f t="shared" si="140"/>
        <v>0</v>
      </c>
      <c r="V33" s="22">
        <f t="shared" si="141"/>
        <v>0</v>
      </c>
      <c r="W33" s="22">
        <f t="shared" si="142"/>
        <v>0</v>
      </c>
      <c r="X33" s="22">
        <f t="shared" si="143"/>
        <v>0</v>
      </c>
      <c r="Y33" s="22">
        <f t="shared" si="144"/>
        <v>0</v>
      </c>
      <c r="Z33" s="22">
        <f t="shared" si="145"/>
        <v>0</v>
      </c>
      <c r="AA33" s="19" t="str">
        <f t="shared" si="146"/>
        <v xml:space="preserve">8:30 à 9:00</v>
      </c>
      <c r="AB33" s="19"/>
      <c r="AC33" s="193">
        <f t="shared" si="147"/>
        <v>0</v>
      </c>
      <c r="AD33" s="41">
        <f t="shared" si="148"/>
        <v>0</v>
      </c>
      <c r="AE33" s="41">
        <f t="shared" si="149"/>
        <v>0</v>
      </c>
      <c r="AF33" s="41">
        <f t="shared" si="150"/>
        <v>0</v>
      </c>
      <c r="AK33" s="41">
        <f t="shared" si="151"/>
        <v>0</v>
      </c>
      <c r="AL33" s="41">
        <f t="shared" si="152"/>
        <v>0</v>
      </c>
    </row>
    <row r="34" ht="55" customHeight="1">
      <c r="A34" s="19" t="s">
        <v>27</v>
      </c>
      <c r="B34" s="19"/>
      <c r="C34" s="96">
        <f>SUM(C13:C17)</f>
        <v>0</v>
      </c>
      <c r="D34" s="96">
        <f>SUM(D13:D17)</f>
        <v>2</v>
      </c>
      <c r="E34" s="96">
        <f>SUM(E13:E17)</f>
        <v>0</v>
      </c>
      <c r="F34" s="96">
        <f>SUM(F13:F17)</f>
        <v>1</v>
      </c>
      <c r="G34" s="96">
        <f>SUM(G13:G17)</f>
        <v>5</v>
      </c>
      <c r="H34" s="96">
        <f>SUM(H13:H17)</f>
        <v>2</v>
      </c>
      <c r="I34" s="96">
        <f>SUM(I13:I17)</f>
        <v>3</v>
      </c>
      <c r="J34" s="96">
        <f>SUM(J13:J17)</f>
        <v>1</v>
      </c>
      <c r="K34" s="96">
        <f>SUM(K13:K17)</f>
        <v>0</v>
      </c>
      <c r="L34" s="96">
        <f>SUM(L13:L17)</f>
        <v>0</v>
      </c>
      <c r="M34" s="96">
        <f>SUM(M13:M17)</f>
        <v>0</v>
      </c>
      <c r="N34" s="96">
        <f>SUM(N13:N17)</f>
        <v>0</v>
      </c>
      <c r="O34" s="96">
        <f>SUM(O13:O17)</f>
        <v>0</v>
      </c>
      <c r="P34" s="96">
        <f>SUM(P13:P17)</f>
        <v>0</v>
      </c>
      <c r="Q34" s="96">
        <f>SUM(Q13:Q17)</f>
        <v>0</v>
      </c>
      <c r="R34" s="96">
        <f>SUM(R13:R17)</f>
        <v>0</v>
      </c>
      <c r="S34" s="96">
        <f>SUM(S13:S17)</f>
        <v>0</v>
      </c>
      <c r="T34" s="96">
        <f>SUM(T13:T17)</f>
        <v>0</v>
      </c>
      <c r="U34" s="96">
        <f>SUM(U13:U17)</f>
        <v>0</v>
      </c>
      <c r="V34" s="96">
        <f>SUM(V13:V17)</f>
        <v>0</v>
      </c>
      <c r="W34" s="96">
        <f>SUM(W13:W17)</f>
        <v>0</v>
      </c>
      <c r="X34" s="96">
        <f>SUM(X13:X17)</f>
        <v>0</v>
      </c>
      <c r="Y34" s="96">
        <f>SUM(Y13:Y17)</f>
        <v>0</v>
      </c>
      <c r="Z34" s="96">
        <f>SUM(Z13:Z17)</f>
        <v>0</v>
      </c>
      <c r="AA34" s="98" t="s">
        <v>27</v>
      </c>
      <c r="AB34" s="98"/>
      <c r="AC34" s="45">
        <f t="shared" si="147"/>
        <v>14</v>
      </c>
      <c r="AD34" s="194">
        <f>AD29+AD30+AD31+AD32+AD33</f>
        <v>8</v>
      </c>
      <c r="AE34" s="194">
        <f>AE29+AE31+AE33</f>
        <v>3</v>
      </c>
      <c r="AF34" s="47">
        <f>AF29+AF31+AF33</f>
        <v>2</v>
      </c>
      <c r="AG34" s="195">
        <f>A22</f>
        <v>0</v>
      </c>
      <c r="AH34" s="196">
        <f>A19</f>
        <v>0</v>
      </c>
      <c r="AI34" s="196"/>
      <c r="AJ34" s="196">
        <f>A21</f>
        <v>0</v>
      </c>
      <c r="AK34" s="47">
        <f>AK29+AK31+AK33</f>
        <v>4</v>
      </c>
      <c r="AL34" s="47">
        <f>AL29+AL31+AL33</f>
        <v>2</v>
      </c>
    </row>
    <row r="35" ht="55" customHeight="1">
      <c r="A35" s="48"/>
      <c r="B35" s="48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51" t="s">
        <v>37</v>
      </c>
      <c r="AB35" s="52"/>
      <c r="AC35" s="102">
        <f t="shared" ref="AC35:AC36" si="153">AC30</f>
        <v>6</v>
      </c>
      <c r="AD35" s="53"/>
      <c r="AE35" s="53"/>
      <c r="AF35" s="53"/>
      <c r="AG35" s="66"/>
      <c r="AH35" s="66"/>
      <c r="AI35" s="66"/>
      <c r="AJ35" s="66"/>
      <c r="AK35" s="47"/>
      <c r="AL35" s="47"/>
    </row>
    <row r="36" ht="55" customHeight="1">
      <c r="A36" s="48"/>
      <c r="B36" s="48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58" t="s">
        <v>38</v>
      </c>
      <c r="AB36" s="59"/>
      <c r="AC36" s="104">
        <f t="shared" si="153"/>
        <v>4</v>
      </c>
      <c r="AD36" s="60"/>
      <c r="AE36" s="60"/>
      <c r="AF36" s="60"/>
      <c r="AG36" s="66"/>
      <c r="AH36" s="66"/>
      <c r="AI36" s="66"/>
      <c r="AJ36" s="66"/>
      <c r="AK36" s="47"/>
      <c r="AL36" s="47"/>
    </row>
    <row r="37" ht="55" customHeight="1">
      <c r="A37" s="48"/>
      <c r="B37" s="48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97" t="s">
        <v>42</v>
      </c>
      <c r="AB37" s="197"/>
      <c r="AC37" s="198">
        <f>SUM(AC35:AC36)</f>
        <v>10</v>
      </c>
      <c r="AD37" s="63"/>
      <c r="AE37" s="63"/>
      <c r="AF37" s="63"/>
      <c r="AG37" s="66"/>
      <c r="AH37" s="66"/>
      <c r="AI37" s="66"/>
      <c r="AJ37" s="66"/>
      <c r="AK37" s="47"/>
      <c r="AL37" s="47"/>
    </row>
    <row r="38" ht="44.25" customHeight="1">
      <c r="A38" s="64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4"/>
      <c r="T38" s="65"/>
      <c r="U38" s="65"/>
      <c r="V38" s="65"/>
      <c r="W38" s="65"/>
      <c r="X38" s="65"/>
      <c r="Y38" s="65"/>
      <c r="Z38" s="50"/>
      <c r="AA38" s="19"/>
      <c r="AB38" s="19"/>
      <c r="AC38" s="38"/>
      <c r="AD38" s="186"/>
      <c r="AE38" s="186"/>
      <c r="AF38" s="186"/>
      <c r="AG38" s="66"/>
      <c r="AH38" s="66"/>
      <c r="AI38" s="66"/>
      <c r="AJ38" s="66"/>
      <c r="AK38" s="186"/>
      <c r="AL38" s="186"/>
    </row>
    <row r="39" ht="21" customHeight="1">
      <c r="A39" s="10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105"/>
      <c r="T39" s="66"/>
      <c r="U39" s="66"/>
      <c r="V39" s="66"/>
      <c r="W39" s="66"/>
      <c r="X39" s="66"/>
      <c r="Y39" s="66"/>
      <c r="Z39" s="66"/>
      <c r="AA39" s="14"/>
      <c r="AB39" s="15"/>
      <c r="AC39" s="67" t="s">
        <v>27</v>
      </c>
      <c r="AD39" s="68" t="s">
        <v>43</v>
      </c>
      <c r="AE39" s="68" t="s">
        <v>44</v>
      </c>
      <c r="AF39" s="68" t="s">
        <v>45</v>
      </c>
      <c r="AK39" s="68" t="str">
        <f>AK25</f>
        <v xml:space="preserve">Cycles sur rte de Dessy</v>
      </c>
      <c r="AL39" s="68" t="str">
        <f>AL25</f>
        <v xml:space="preserve">Cycles sur rte des Digues</v>
      </c>
    </row>
    <row r="40" ht="21">
      <c r="A40" s="10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14"/>
      <c r="AB40" s="15"/>
      <c r="AC40" s="67"/>
      <c r="AD40" s="68"/>
      <c r="AE40" s="68"/>
      <c r="AF40" s="68"/>
      <c r="AG40" s="66"/>
      <c r="AH40" s="66"/>
      <c r="AI40" s="66"/>
      <c r="AJ40" s="66"/>
      <c r="AK40" s="68"/>
      <c r="AL40" s="68"/>
      <c r="AM40" s="66"/>
    </row>
    <row r="41" ht="21">
      <c r="A41" s="10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9"/>
      <c r="AB41" s="15"/>
      <c r="AC41" s="67"/>
      <c r="AD41" s="68"/>
      <c r="AE41" s="68"/>
      <c r="AF41" s="68"/>
      <c r="AG41" s="66"/>
      <c r="AH41" s="66"/>
      <c r="AI41" s="66"/>
      <c r="AJ41" s="66"/>
      <c r="AK41" s="68"/>
      <c r="AL41" s="68"/>
      <c r="AM41" s="66"/>
    </row>
    <row r="42" ht="21">
      <c r="A42" s="10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19" t="s">
        <v>20</v>
      </c>
      <c r="AB42" s="19"/>
      <c r="AC42" s="67"/>
      <c r="AD42" s="68"/>
      <c r="AE42" s="68"/>
      <c r="AF42" s="68"/>
      <c r="AG42" s="66"/>
      <c r="AH42" s="66"/>
      <c r="AI42" s="66"/>
      <c r="AJ42" s="66"/>
      <c r="AK42" s="68"/>
      <c r="AL42" s="68"/>
      <c r="AM42" s="66"/>
    </row>
    <row r="43" ht="35.149999999999999" customHeight="1">
      <c r="A43" s="10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19" t="str">
        <f t="shared" ref="AA43:AA47" si="154">AA29</f>
        <v xml:space="preserve">6:30 à 7:00</v>
      </c>
      <c r="AB43" s="19"/>
      <c r="AC43" s="70"/>
      <c r="AD43" s="71">
        <f>IF(AD29=0,0,AD29/AC29)</f>
        <v>1</v>
      </c>
      <c r="AE43" s="71">
        <f>IF(AE29=0,0,AE29/AC29)</f>
        <v>0</v>
      </c>
      <c r="AF43" s="71">
        <f>IF(AF29=0,0,AF29/AD29)</f>
        <v>0</v>
      </c>
      <c r="AG43" s="66"/>
      <c r="AH43" s="66"/>
      <c r="AI43" s="66"/>
      <c r="AJ43" s="66"/>
      <c r="AK43" s="71">
        <f>IF(AK29=0,0,AK29/AC29)</f>
        <v>1</v>
      </c>
      <c r="AL43" s="71">
        <f>IF(AL29=0,0,AL29/AC29)</f>
        <v>0</v>
      </c>
      <c r="AM43" s="66"/>
    </row>
    <row r="44" ht="35.149999999999999" customHeight="1">
      <c r="A44" s="10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19" t="str">
        <f t="shared" si="154"/>
        <v xml:space="preserve">7:00 à 7:30</v>
      </c>
      <c r="AB44" s="19"/>
      <c r="AC44" s="70"/>
      <c r="AD44" s="71">
        <f>IF(AD31=0,0,AD31/AC31)</f>
        <v>0.5</v>
      </c>
      <c r="AE44" s="71">
        <f>IF(AE31=0,0,AE31/AC31)</f>
        <v>0.75</v>
      </c>
      <c r="AF44" s="71">
        <f>IF(AF31=0,0,AF31/AD31)</f>
        <v>1</v>
      </c>
      <c r="AG44" s="66"/>
      <c r="AH44" s="66"/>
      <c r="AI44" s="66"/>
      <c r="AJ44" s="66"/>
      <c r="AK44" s="71">
        <f>IF(AK31=0,0,AK31/AC31)</f>
        <v>0.5</v>
      </c>
      <c r="AL44" s="71">
        <f>IF(AL31=0,0,AL31/AC31)</f>
        <v>0.5</v>
      </c>
      <c r="AM44" s="66"/>
    </row>
    <row r="45" ht="35.149999999999999" customHeight="1">
      <c r="A45" s="105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19" t="str">
        <f t="shared" si="154"/>
        <v xml:space="preserve">7:30 à 8:00</v>
      </c>
      <c r="AB45" s="19"/>
      <c r="AC45" s="70"/>
      <c r="AD45" s="71">
        <f t="shared" ref="AD45:AD48" si="155">IF(AD31=0,0,AD31/AC31)</f>
        <v>0.5</v>
      </c>
      <c r="AE45" s="71">
        <f t="shared" ref="AE45:AE48" si="156">IF(AE31=0,0,AE31/AC31)</f>
        <v>0.75</v>
      </c>
      <c r="AF45" s="71">
        <f t="shared" ref="AF45:AF48" si="157">IF(AF31=0,0,AF31/AD31)</f>
        <v>1</v>
      </c>
      <c r="AG45" s="66"/>
      <c r="AH45" s="66"/>
      <c r="AI45" s="66"/>
      <c r="AJ45" s="66"/>
      <c r="AK45" s="71">
        <f t="shared" ref="AK45:AK48" si="158">IF(AK31=0,0,AK31/AC31)</f>
        <v>0.5</v>
      </c>
      <c r="AL45" s="71">
        <f t="shared" ref="AL45:AL48" si="159">IF(AL31=0,0,AL31/AC31)</f>
        <v>0.5</v>
      </c>
      <c r="AM45" s="66"/>
    </row>
    <row r="46" ht="35.149999999999999" customHeight="1">
      <c r="A46" s="10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19" t="str">
        <f t="shared" si="154"/>
        <v xml:space="preserve">8:00 à 8:30</v>
      </c>
      <c r="AB46" s="19"/>
      <c r="AC46" s="70"/>
      <c r="AD46" s="71">
        <f t="shared" si="155"/>
        <v>0</v>
      </c>
      <c r="AE46" s="71">
        <f t="shared" si="156"/>
        <v>0.5</v>
      </c>
      <c r="AF46" s="71">
        <f t="shared" si="157"/>
        <v>0</v>
      </c>
      <c r="AG46" s="66"/>
      <c r="AH46" s="66"/>
      <c r="AI46" s="66"/>
      <c r="AJ46" s="66"/>
      <c r="AK46" s="71">
        <f t="shared" si="158"/>
        <v>0.5</v>
      </c>
      <c r="AL46" s="71">
        <f t="shared" si="159"/>
        <v>0.5</v>
      </c>
      <c r="AM46" s="66"/>
    </row>
    <row r="47" ht="35.149999999999999" customHeight="1">
      <c r="F47" s="66"/>
      <c r="K47" s="66"/>
      <c r="L47" s="66"/>
      <c r="M47" s="66"/>
      <c r="S47" s="66"/>
      <c r="T47" s="66"/>
      <c r="U47" s="66"/>
      <c r="AA47" s="19" t="str">
        <f t="shared" si="154"/>
        <v xml:space="preserve">8:30 à 9:00</v>
      </c>
      <c r="AB47" s="19"/>
      <c r="AC47" s="70"/>
      <c r="AD47" s="71">
        <f t="shared" si="155"/>
        <v>0</v>
      </c>
      <c r="AE47" s="71">
        <f t="shared" si="156"/>
        <v>0</v>
      </c>
      <c r="AF47" s="71">
        <f t="shared" si="157"/>
        <v>0</v>
      </c>
      <c r="AK47" s="71">
        <f t="shared" si="158"/>
        <v>0</v>
      </c>
      <c r="AL47" s="71">
        <f t="shared" si="159"/>
        <v>0</v>
      </c>
    </row>
    <row r="48" ht="35.149999999999999" customHeight="1">
      <c r="F48" s="66"/>
      <c r="K48" s="66"/>
      <c r="L48" s="66"/>
      <c r="M48" s="66"/>
      <c r="S48" s="66"/>
      <c r="T48" s="66"/>
      <c r="U48" s="66"/>
      <c r="AA48" s="19" t="s">
        <v>27</v>
      </c>
      <c r="AB48" s="19"/>
      <c r="AC48" s="187"/>
      <c r="AD48" s="188">
        <f t="shared" si="155"/>
        <v>0.57142857142857095</v>
      </c>
      <c r="AE48" s="188">
        <f t="shared" si="156"/>
        <v>0.214285714285714</v>
      </c>
      <c r="AF48" s="188">
        <f t="shared" si="157"/>
        <v>0.25</v>
      </c>
      <c r="AK48" s="188">
        <f t="shared" si="158"/>
        <v>0.28571428571428598</v>
      </c>
      <c r="AL48" s="188">
        <f t="shared" si="159"/>
        <v>0.14285714285714299</v>
      </c>
    </row>
    <row r="49" ht="35.149999999999999" customHeight="1">
      <c r="AA49" s="19">
        <f>AA38</f>
        <v>0</v>
      </c>
      <c r="AB49" s="19"/>
      <c r="AC49" s="38">
        <f>IF($AX$48=MAX($AX$48:$AX$52),AC43,IF($AX$49=MAX($AX$48:$AX$52),AC45,IF($AX$50=MAX($AX$48:$AX$52),AC46,IF($AX$51=MAX($AX$48:$AX$52),(AC46),AC47))))</f>
        <v>0</v>
      </c>
      <c r="AD49" s="74" t="e">
        <f>AD38/AC38</f>
        <v>#DIV/0!</v>
      </c>
      <c r="AE49" s="74" t="e">
        <f>AE38/AC38</f>
        <v>#DIV/0!</v>
      </c>
      <c r="AF49" s="74" t="e">
        <f>AF38/AC38</f>
        <v>#DIV/0!</v>
      </c>
      <c r="AK49" s="74" t="e">
        <f>AK38/AC38</f>
        <v>#DIV/0!</v>
      </c>
      <c r="AL49" s="74" t="e">
        <f>AL38/AC38</f>
        <v>#DIV/0!</v>
      </c>
    </row>
    <row r="50" ht="35.149999999999999" customHeight="1"/>
  </sheetData>
  <mergeCells count="80">
    <mergeCell ref="R3:W3"/>
    <mergeCell ref="C9:J9"/>
    <mergeCell ref="K9:R9"/>
    <mergeCell ref="S9:Z9"/>
    <mergeCell ref="C10:F10"/>
    <mergeCell ref="G10:J10"/>
    <mergeCell ref="K10:N10"/>
    <mergeCell ref="O10:R10"/>
    <mergeCell ref="S10:V10"/>
    <mergeCell ref="W10:Z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B12"/>
    <mergeCell ref="C25:J25"/>
    <mergeCell ref="K25:R25"/>
    <mergeCell ref="S25:Z25"/>
    <mergeCell ref="AC25:AC28"/>
    <mergeCell ref="AD25:AD28"/>
    <mergeCell ref="AE25:AE28"/>
    <mergeCell ref="AF25:AF28"/>
    <mergeCell ref="AK25:AK28"/>
    <mergeCell ref="AL25:AL28"/>
    <mergeCell ref="C26:F26"/>
    <mergeCell ref="G26:J26"/>
    <mergeCell ref="K26:N26"/>
    <mergeCell ref="O26:R26"/>
    <mergeCell ref="S26:V26"/>
    <mergeCell ref="W26:Z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28:B28"/>
    <mergeCell ref="AA28:AB28"/>
    <mergeCell ref="A29:B29"/>
    <mergeCell ref="AA29:AB29"/>
    <mergeCell ref="A30:B30"/>
    <mergeCell ref="AA30:AB30"/>
    <mergeCell ref="A31:B31"/>
    <mergeCell ref="AA31:AB31"/>
    <mergeCell ref="A32:B32"/>
    <mergeCell ref="AA32:AB32"/>
    <mergeCell ref="A33:B33"/>
    <mergeCell ref="AA33:AB33"/>
    <mergeCell ref="A34:B34"/>
    <mergeCell ref="AA34:AB34"/>
    <mergeCell ref="AA37:AB37"/>
    <mergeCell ref="AA38:AB38"/>
    <mergeCell ref="AC39:AC42"/>
    <mergeCell ref="AD39:AD42"/>
    <mergeCell ref="AE39:AE42"/>
    <mergeCell ref="AF39:AF42"/>
    <mergeCell ref="AK39:AK42"/>
    <mergeCell ref="AL39:AL42"/>
    <mergeCell ref="AA42:AB42"/>
    <mergeCell ref="AA43:AB43"/>
    <mergeCell ref="AA44:AB44"/>
    <mergeCell ref="AA45:AB45"/>
    <mergeCell ref="AA46:AB46"/>
    <mergeCell ref="AA47:AB47"/>
    <mergeCell ref="AA48:AB48"/>
    <mergeCell ref="AA49:AB49"/>
  </mergeCells>
  <printOptions headings="0" gridLines="0" horizontalCentered="0" verticalCentered="0"/>
  <pageMargins left="0.19652777777777802" right="0.19652777777777802" top="0.74791666666666701" bottom="0.94444444444444409" header="0.51180555555555496" footer="0.51180555555555496"/>
  <pageSetup paperSize="9" scale="49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pageBreakPreview" topLeftCell="E15" zoomScale="65" workbookViewId="0">
      <selection activeCell="K35" activeCellId="0" sqref="K35"/>
    </sheetView>
  </sheetViews>
  <sheetFormatPr defaultColWidth="11.23828125" defaultRowHeight="14"/>
  <cols>
    <col customWidth="1" min="1" max="1" style="1" width="12.41"/>
    <col customWidth="0" min="2" max="2" style="1" width="11.25"/>
    <col customWidth="1" min="3" max="10" style="1" width="26"/>
    <col customWidth="1" min="11" max="12" style="1" width="10.83"/>
    <col customWidth="1" min="13" max="13" style="1" width="20"/>
    <col customWidth="1" min="14" max="14" style="1" width="22"/>
    <col customWidth="1" min="15" max="15" style="1" width="20"/>
    <col customWidth="1" min="16" max="16" style="1" width="21.5"/>
    <col customWidth="1" min="17" max="20" style="1" width="10.83"/>
    <col customWidth="1" min="21" max="21" style="1" width="24"/>
    <col customWidth="0" min="22" max="1019" style="1" width="11.25"/>
    <col customWidth="1" min="1020" max="1020" style="1" width="11.17"/>
    <col customWidth="1" min="1021" max="1024" style="0" width="10.5"/>
  </cols>
  <sheetData>
    <row r="1" s="2" customFormat="1" ht="52.5" customHeight="1">
      <c r="A1" s="3"/>
      <c r="B1" s="4" t="s">
        <v>130</v>
      </c>
      <c r="C1" s="5"/>
      <c r="D1" s="5"/>
      <c r="E1" s="5"/>
      <c r="G1" s="3" t="s">
        <v>2</v>
      </c>
      <c r="H1" s="178"/>
      <c r="I1" s="5"/>
      <c r="J1" s="5"/>
      <c r="O1" s="8"/>
      <c r="P1" s="5"/>
      <c r="U1" s="5"/>
      <c r="V1" s="5"/>
      <c r="W1" s="5"/>
      <c r="X1" s="5"/>
      <c r="Y1" s="5"/>
      <c r="Z1" s="5"/>
      <c r="AC1" s="5"/>
      <c r="AD1" s="5"/>
      <c r="AMD1" s="8"/>
      <c r="AME1" s="8"/>
      <c r="AMF1" s="8"/>
    </row>
    <row r="2" s="2" customFormat="1" ht="45" customHeight="1">
      <c r="A2" s="3" t="s">
        <v>3</v>
      </c>
      <c r="B2" s="5"/>
      <c r="C2" s="5"/>
      <c r="D2" s="5"/>
      <c r="E2" s="5" t="s">
        <v>131</v>
      </c>
      <c r="G2" s="5"/>
      <c r="H2" s="5"/>
      <c r="I2" s="5"/>
      <c r="J2" s="5"/>
      <c r="K2" s="5"/>
      <c r="L2" s="5"/>
      <c r="M2" s="5"/>
      <c r="N2" s="5"/>
      <c r="O2" s="5"/>
      <c r="P2" s="8"/>
      <c r="U2" s="5"/>
      <c r="V2" s="5"/>
      <c r="W2" s="5"/>
      <c r="X2" s="5"/>
      <c r="Y2" s="5"/>
      <c r="Z2" s="5"/>
      <c r="AB2" s="5"/>
      <c r="AC2" s="5"/>
      <c r="AD2" s="5"/>
      <c r="AMD2" s="8"/>
      <c r="AME2" s="8"/>
      <c r="AMF2" s="8"/>
    </row>
    <row r="3" s="2" customFormat="1" ht="20.25" customHeight="1">
      <c r="A3" s="3" t="s">
        <v>5</v>
      </c>
      <c r="B3" s="5"/>
      <c r="C3" s="5"/>
      <c r="D3" s="5"/>
      <c r="E3" s="5"/>
      <c r="F3" s="5"/>
      <c r="G3" s="9" t="s">
        <v>7</v>
      </c>
      <c r="H3" s="5"/>
      <c r="I3" s="5"/>
      <c r="J3" s="5"/>
      <c r="K3" s="5"/>
      <c r="L3" s="5"/>
      <c r="M3" s="5"/>
      <c r="N3" s="5"/>
      <c r="O3" s="5"/>
      <c r="P3" s="8"/>
      <c r="U3" s="5"/>
      <c r="V3" s="5"/>
      <c r="W3" s="5"/>
      <c r="X3" s="5"/>
      <c r="Y3" s="5"/>
      <c r="Z3" s="5"/>
      <c r="AA3" s="5"/>
      <c r="AB3" s="5"/>
      <c r="AC3" s="5"/>
      <c r="AD3" s="5"/>
      <c r="AMD3" s="8"/>
      <c r="AME3" s="8"/>
      <c r="AMF3" s="8"/>
    </row>
    <row r="4" s="8" customFormat="1" ht="4.5" customHeight="1"/>
    <row r="5" s="2" customFormat="1" ht="25.5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MF5" s="8"/>
    </row>
    <row r="6" s="2" customFormat="1" ht="25.5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MF6" s="8"/>
    </row>
    <row r="7" s="2" customFormat="1" ht="50.649999999999999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MF7" s="8"/>
    </row>
    <row r="8" s="2" customFormat="1" ht="30" customHeight="1">
      <c r="A8" s="3"/>
      <c r="B8" s="5"/>
      <c r="C8" s="190" t="s">
        <v>132</v>
      </c>
      <c r="D8" s="190"/>
      <c r="E8" s="190"/>
      <c r="F8" s="190"/>
      <c r="G8" s="190"/>
      <c r="H8" s="190"/>
      <c r="I8" s="190"/>
      <c r="J8" s="190"/>
      <c r="Q8" s="5"/>
      <c r="R8" s="5"/>
      <c r="S8" s="5"/>
      <c r="T8" s="5"/>
      <c r="AMG8" s="8"/>
      <c r="AMH8" s="8"/>
      <c r="AMI8" s="8"/>
      <c r="AMJ8" s="8"/>
    </row>
    <row r="9" ht="35.149999999999999" customHeight="1">
      <c r="A9" s="3"/>
      <c r="B9" s="5"/>
      <c r="C9" s="17" t="s">
        <v>133</v>
      </c>
      <c r="D9" s="17"/>
      <c r="E9" s="17"/>
      <c r="F9" s="17"/>
      <c r="G9" s="17" t="s">
        <v>134</v>
      </c>
      <c r="H9" s="17"/>
      <c r="I9" s="17"/>
      <c r="J9" s="17"/>
      <c r="Q9" s="2"/>
      <c r="R9" s="2"/>
      <c r="S9" s="2"/>
      <c r="T9" s="2"/>
    </row>
    <row r="10" ht="35.149999999999999" customHeight="1">
      <c r="A10" s="3"/>
      <c r="B10" s="5"/>
      <c r="C10" s="199" t="s">
        <v>18</v>
      </c>
      <c r="D10" s="200" t="s">
        <v>18</v>
      </c>
      <c r="E10" s="199" t="s">
        <v>19</v>
      </c>
      <c r="F10" s="200" t="s">
        <v>19</v>
      </c>
      <c r="G10" s="199" t="s">
        <v>18</v>
      </c>
      <c r="H10" s="200" t="s">
        <v>18</v>
      </c>
      <c r="I10" s="199" t="s">
        <v>19</v>
      </c>
      <c r="J10" s="200" t="s">
        <v>19</v>
      </c>
      <c r="Q10" s="2"/>
      <c r="R10" s="2"/>
      <c r="S10" s="2"/>
      <c r="T10" s="2"/>
    </row>
    <row r="11" ht="35.149999999999999" customHeight="1">
      <c r="A11" s="19" t="s">
        <v>20</v>
      </c>
      <c r="B11" s="19"/>
      <c r="C11" s="20" t="s">
        <v>21</v>
      </c>
      <c r="D11" s="20" t="s">
        <v>22</v>
      </c>
      <c r="E11" s="20" t="s">
        <v>21</v>
      </c>
      <c r="F11" s="20" t="s">
        <v>22</v>
      </c>
      <c r="G11" s="20" t="s">
        <v>21</v>
      </c>
      <c r="H11" s="20" t="s">
        <v>22</v>
      </c>
      <c r="I11" s="20" t="s">
        <v>21</v>
      </c>
      <c r="J11" s="20" t="s">
        <v>22</v>
      </c>
      <c r="Q11" s="2"/>
      <c r="R11" s="2"/>
      <c r="S11" s="2"/>
      <c r="T11" s="2"/>
    </row>
    <row r="12" ht="70" customHeight="1">
      <c r="A12" s="81">
        <v>0.27083333333333298</v>
      </c>
      <c r="B12" s="81">
        <v>0.29166666666666702</v>
      </c>
      <c r="C12" s="22">
        <v>1</v>
      </c>
      <c r="D12" s="22"/>
      <c r="E12" s="22"/>
      <c r="F12" s="82"/>
      <c r="G12" s="83"/>
      <c r="H12" s="22"/>
      <c r="I12" s="22"/>
      <c r="J12" s="22"/>
      <c r="Q12" s="2"/>
      <c r="R12" s="2"/>
      <c r="S12" s="2"/>
      <c r="T12" s="2"/>
    </row>
    <row r="13" ht="70" customHeight="1">
      <c r="A13" s="81">
        <v>0.29166666666666702</v>
      </c>
      <c r="B13" s="81">
        <v>0.3125</v>
      </c>
      <c r="C13" s="22"/>
      <c r="D13" s="22">
        <v>2</v>
      </c>
      <c r="E13" s="22"/>
      <c r="F13" s="82"/>
      <c r="G13" s="83"/>
      <c r="H13" s="22"/>
      <c r="I13" s="22"/>
      <c r="J13" s="22"/>
    </row>
    <row r="14" ht="70" customHeight="1">
      <c r="A14" s="81">
        <v>0.3125</v>
      </c>
      <c r="B14" s="81">
        <v>0.33333333333333298</v>
      </c>
      <c r="C14" s="22"/>
      <c r="D14" s="22">
        <v>3</v>
      </c>
      <c r="E14" s="22"/>
      <c r="F14" s="82"/>
      <c r="G14" s="83"/>
      <c r="H14" s="22"/>
      <c r="I14" s="22"/>
      <c r="J14" s="22"/>
    </row>
    <row r="15" ht="70" customHeight="1">
      <c r="A15" s="81">
        <v>0.33333333333333298</v>
      </c>
      <c r="B15" s="81">
        <v>0.35416666666666702</v>
      </c>
      <c r="C15" s="22"/>
      <c r="D15" s="22">
        <v>2</v>
      </c>
      <c r="E15" s="22"/>
      <c r="F15" s="82"/>
      <c r="G15" s="83"/>
      <c r="H15" s="22">
        <v>10</v>
      </c>
      <c r="I15" s="22"/>
      <c r="J15" s="22">
        <v>6</v>
      </c>
    </row>
    <row r="16" ht="70" customHeight="1">
      <c r="A16" s="81">
        <v>0.35416666666666702</v>
      </c>
      <c r="B16" s="81">
        <v>0.375</v>
      </c>
      <c r="C16" s="22"/>
      <c r="D16" s="22">
        <v>1</v>
      </c>
      <c r="E16" s="22">
        <v>2</v>
      </c>
      <c r="F16" s="82">
        <v>2</v>
      </c>
      <c r="G16" s="83"/>
      <c r="H16" s="22"/>
      <c r="I16" s="22"/>
      <c r="J16" s="22"/>
      <c r="L16" s="201"/>
    </row>
    <row r="17" ht="12" customHeight="1">
      <c r="A17" s="27"/>
      <c r="B17" s="27"/>
      <c r="C17" s="28"/>
      <c r="D17" s="28"/>
      <c r="E17" s="28"/>
      <c r="F17" s="28"/>
      <c r="G17" s="28"/>
      <c r="H17" s="28"/>
      <c r="I17" s="28"/>
      <c r="J17" s="28"/>
    </row>
    <row r="18" s="23" customFormat="1" ht="39.75" customHeight="1">
      <c r="A18" s="24">
        <v>1</v>
      </c>
      <c r="B18" s="25" t="s">
        <v>23</v>
      </c>
      <c r="C18" s="26"/>
      <c r="D18" s="202">
        <v>1</v>
      </c>
      <c r="E18" s="26"/>
      <c r="F18" s="26"/>
      <c r="G18" s="26"/>
      <c r="H18" s="26"/>
      <c r="I18" s="24"/>
      <c r="J18" s="26"/>
      <c r="K18" s="26"/>
      <c r="L18" s="26"/>
      <c r="M18" s="26"/>
      <c r="N18" s="26"/>
      <c r="O18" s="26"/>
      <c r="P18" s="26"/>
      <c r="Q18" s="1"/>
      <c r="R18" s="1"/>
      <c r="S18" s="1"/>
      <c r="T18" s="1"/>
      <c r="U18" s="26"/>
      <c r="V18" s="26"/>
    </row>
    <row r="19" s="23" customFormat="1" ht="39.75" customHeight="1">
      <c r="A19" s="24">
        <v>1</v>
      </c>
      <c r="B19" s="25" t="s">
        <v>34</v>
      </c>
      <c r="C19" s="26"/>
      <c r="E19" s="26"/>
      <c r="F19" s="26"/>
      <c r="G19" s="26"/>
      <c r="H19" s="26"/>
      <c r="I19" s="24"/>
      <c r="J19" s="26"/>
      <c r="K19" s="26"/>
      <c r="L19" s="26"/>
      <c r="M19" s="26"/>
      <c r="N19" s="26"/>
      <c r="O19" s="26"/>
      <c r="P19" s="26"/>
      <c r="Q19" s="1"/>
      <c r="R19" s="1"/>
      <c r="S19" s="1"/>
      <c r="T19" s="1"/>
      <c r="U19" s="26"/>
      <c r="V19" s="26"/>
    </row>
    <row r="20" s="23" customFormat="1" ht="39.75" customHeight="1">
      <c r="A20" s="24">
        <v>1</v>
      </c>
      <c r="B20" s="25" t="s">
        <v>25</v>
      </c>
      <c r="C20" s="26"/>
      <c r="D20" s="26">
        <v>1</v>
      </c>
      <c r="E20" s="26"/>
      <c r="F20" s="26"/>
      <c r="G20" s="26"/>
      <c r="H20" s="26"/>
      <c r="I20" s="24"/>
      <c r="J20" s="26"/>
      <c r="K20" s="26"/>
      <c r="L20" s="26"/>
      <c r="M20" s="26"/>
      <c r="N20" s="26"/>
      <c r="O20" s="26"/>
      <c r="P20" s="26"/>
      <c r="U20" s="26"/>
      <c r="V20" s="26"/>
    </row>
    <row r="21" s="23" customFormat="1" ht="39.75" customHeight="1">
      <c r="A21" s="24"/>
      <c r="B21" s="25" t="s">
        <v>26</v>
      </c>
      <c r="C21" s="26"/>
      <c r="D21" s="26"/>
      <c r="E21" s="26"/>
      <c r="F21" s="26"/>
      <c r="G21" s="26"/>
      <c r="H21" s="26"/>
      <c r="I21" s="24"/>
      <c r="J21" s="26"/>
      <c r="K21" s="26"/>
      <c r="L21" s="26"/>
      <c r="M21" s="26"/>
      <c r="N21" s="26"/>
      <c r="O21" s="26"/>
      <c r="P21" s="26"/>
      <c r="U21" s="26"/>
      <c r="V21" s="26"/>
    </row>
    <row r="22" ht="39.75" customHeight="1">
      <c r="A22" s="173"/>
      <c r="B22" s="5"/>
      <c r="C22" s="5"/>
      <c r="D22" s="5"/>
      <c r="E22" s="5"/>
      <c r="F22" s="5"/>
      <c r="G22" s="5"/>
      <c r="H22" s="5"/>
      <c r="I22" s="5"/>
      <c r="J22" s="5"/>
      <c r="M22" s="174" t="s">
        <v>99</v>
      </c>
      <c r="Q22" s="23"/>
      <c r="R22" s="23"/>
      <c r="S22" s="23"/>
      <c r="T22" s="23"/>
    </row>
    <row r="23" ht="30" customHeight="1">
      <c r="A23" s="14"/>
      <c r="B23" s="15"/>
      <c r="C23" s="203" t="str">
        <f t="shared" ref="C23:C24" si="160">C8</f>
        <v xml:space="preserve">Pont du Borne</v>
      </c>
      <c r="D23" s="203"/>
      <c r="E23" s="203"/>
      <c r="F23" s="203"/>
      <c r="G23" s="203"/>
      <c r="H23" s="203"/>
      <c r="I23" s="203"/>
      <c r="J23" s="203"/>
      <c r="K23" s="19" t="s">
        <v>20</v>
      </c>
      <c r="L23" s="19"/>
      <c r="M23" s="204" t="s">
        <v>27</v>
      </c>
      <c r="N23" s="39" t="s">
        <v>28</v>
      </c>
      <c r="O23" s="35" t="s">
        <v>29</v>
      </c>
      <c r="P23" s="35" t="s">
        <v>30</v>
      </c>
      <c r="Q23" s="68" t="s">
        <v>32</v>
      </c>
      <c r="R23" s="68" t="s">
        <v>33</v>
      </c>
      <c r="S23" s="68" t="s">
        <v>34</v>
      </c>
      <c r="T23" s="68" t="s">
        <v>35</v>
      </c>
      <c r="U23" s="36" t="s">
        <v>135</v>
      </c>
    </row>
    <row r="24" ht="23.5">
      <c r="A24" s="14"/>
      <c r="B24" s="15"/>
      <c r="C24" s="17" t="str">
        <f t="shared" si="160"/>
        <v xml:space="preserve">Depuis Bonneville</v>
      </c>
      <c r="D24" s="17"/>
      <c r="E24" s="17"/>
      <c r="F24" s="17"/>
      <c r="G24" s="205" t="str">
        <f>G9</f>
        <v xml:space="preserve">Depuis Tucinges</v>
      </c>
      <c r="H24" s="205"/>
      <c r="I24" s="205"/>
      <c r="J24" s="205"/>
      <c r="K24" s="19"/>
      <c r="L24" s="19"/>
      <c r="M24" s="204"/>
      <c r="N24" s="39"/>
      <c r="O24" s="35"/>
      <c r="P24" s="35"/>
      <c r="Q24" s="68"/>
      <c r="R24" s="68"/>
      <c r="S24" s="68"/>
      <c r="T24" s="68"/>
      <c r="U24" s="36"/>
    </row>
    <row r="25" ht="20.25" customHeight="1">
      <c r="A25" s="14"/>
      <c r="B25" s="15"/>
      <c r="C25" s="18" t="s">
        <v>18</v>
      </c>
      <c r="D25" s="18"/>
      <c r="E25" s="18" t="s">
        <v>19</v>
      </c>
      <c r="F25" s="18"/>
      <c r="G25" s="18" t="s">
        <v>18</v>
      </c>
      <c r="H25" s="18"/>
      <c r="I25" s="78" t="s">
        <v>19</v>
      </c>
      <c r="J25" s="78"/>
      <c r="K25" s="19"/>
      <c r="L25" s="19"/>
      <c r="M25" s="204"/>
      <c r="N25" s="39"/>
      <c r="O25" s="35"/>
      <c r="P25" s="35"/>
      <c r="Q25" s="68"/>
      <c r="R25" s="68"/>
      <c r="S25" s="68"/>
      <c r="T25" s="68"/>
      <c r="U25" s="36"/>
    </row>
    <row r="26" ht="21" customHeight="1">
      <c r="A26" s="19" t="s">
        <v>20</v>
      </c>
      <c r="B26" s="19"/>
      <c r="C26" s="20" t="s">
        <v>21</v>
      </c>
      <c r="D26" s="20" t="s">
        <v>22</v>
      </c>
      <c r="E26" s="20" t="s">
        <v>21</v>
      </c>
      <c r="F26" s="20" t="s">
        <v>22</v>
      </c>
      <c r="G26" s="20" t="s">
        <v>21</v>
      </c>
      <c r="H26" s="20" t="s">
        <v>22</v>
      </c>
      <c r="I26" s="20" t="s">
        <v>21</v>
      </c>
      <c r="J26" s="199" t="s">
        <v>22</v>
      </c>
      <c r="K26" s="19"/>
      <c r="L26" s="19"/>
      <c r="M26" s="204"/>
      <c r="N26" s="39"/>
      <c r="O26" s="35"/>
      <c r="P26" s="35"/>
      <c r="Q26" s="68"/>
      <c r="R26" s="68"/>
      <c r="S26" s="68"/>
      <c r="T26" s="68"/>
      <c r="U26" s="36"/>
    </row>
    <row r="27" ht="35.149999999999999" customHeight="1">
      <c r="A27" s="19" t="s">
        <v>36</v>
      </c>
      <c r="B27" s="19"/>
      <c r="C27" s="22">
        <f t="shared" ref="C27:C31" si="161">+C12</f>
        <v>1</v>
      </c>
      <c r="D27" s="22">
        <f t="shared" ref="D27:D31" si="162">+D12</f>
        <v>0</v>
      </c>
      <c r="E27" s="22">
        <f t="shared" ref="E27:E31" si="163">+E12</f>
        <v>0</v>
      </c>
      <c r="F27" s="22">
        <f t="shared" ref="F27:F31" si="164">+F12</f>
        <v>0</v>
      </c>
      <c r="G27" s="22">
        <f t="shared" ref="G27:G31" si="165">+G12</f>
        <v>0</v>
      </c>
      <c r="H27" s="22">
        <f t="shared" ref="H27:H31" si="166">+H12</f>
        <v>0</v>
      </c>
      <c r="I27" s="22">
        <f t="shared" ref="I27:I31" si="167">+I12</f>
        <v>0</v>
      </c>
      <c r="J27" s="22">
        <f t="shared" ref="J27:J31" si="168">+J12</f>
        <v>0</v>
      </c>
      <c r="K27" s="20" t="str">
        <f t="shared" ref="K27:K31" si="169">A27</f>
        <v xml:space="preserve">6:30 à 7:00</v>
      </c>
      <c r="L27" s="20"/>
      <c r="M27" s="40">
        <f t="shared" ref="M27:M31" si="170">SUM(C27:J27)</f>
        <v>1</v>
      </c>
      <c r="N27" s="41">
        <f t="shared" ref="N27:N31" si="171">C27+E27+G27+I27</f>
        <v>1</v>
      </c>
      <c r="O27" s="41">
        <f t="shared" ref="O27:O31" si="172">E27+F27+I27+J27</f>
        <v>0</v>
      </c>
      <c r="P27" s="41">
        <f t="shared" ref="P27:P31" si="173">E27+I27</f>
        <v>0</v>
      </c>
      <c r="U27" s="41">
        <f t="shared" ref="U27:U31" si="174">SUM(G27:J27)</f>
        <v>0</v>
      </c>
    </row>
    <row r="28" ht="35.149999999999999" customHeight="1">
      <c r="A28" s="19" t="s">
        <v>37</v>
      </c>
      <c r="B28" s="19"/>
      <c r="C28" s="22">
        <f t="shared" si="161"/>
        <v>0</v>
      </c>
      <c r="D28" s="22">
        <f t="shared" si="162"/>
        <v>2</v>
      </c>
      <c r="E28" s="22">
        <f t="shared" si="163"/>
        <v>0</v>
      </c>
      <c r="F28" s="22">
        <f t="shared" si="164"/>
        <v>0</v>
      </c>
      <c r="G28" s="22">
        <f t="shared" si="165"/>
        <v>0</v>
      </c>
      <c r="H28" s="22">
        <f t="shared" si="166"/>
        <v>0</v>
      </c>
      <c r="I28" s="22">
        <f t="shared" si="167"/>
        <v>0</v>
      </c>
      <c r="J28" s="22">
        <f t="shared" si="168"/>
        <v>0</v>
      </c>
      <c r="K28" s="19" t="str">
        <f t="shared" si="169"/>
        <v xml:space="preserve">7:00 à 7:30</v>
      </c>
      <c r="L28" s="19"/>
      <c r="M28" s="40">
        <f t="shared" si="170"/>
        <v>2</v>
      </c>
      <c r="N28" s="41">
        <f t="shared" si="171"/>
        <v>0</v>
      </c>
      <c r="O28" s="41">
        <f t="shared" si="172"/>
        <v>0</v>
      </c>
      <c r="P28" s="41">
        <f t="shared" si="173"/>
        <v>0</v>
      </c>
      <c r="U28" s="41">
        <f t="shared" si="174"/>
        <v>0</v>
      </c>
    </row>
    <row r="29" ht="35.149999999999999" customHeight="1">
      <c r="A29" s="19" t="s">
        <v>38</v>
      </c>
      <c r="B29" s="19"/>
      <c r="C29" s="22">
        <f t="shared" si="161"/>
        <v>0</v>
      </c>
      <c r="D29" s="22">
        <f t="shared" si="162"/>
        <v>3</v>
      </c>
      <c r="E29" s="22">
        <f t="shared" si="163"/>
        <v>0</v>
      </c>
      <c r="F29" s="22">
        <f t="shared" si="164"/>
        <v>0</v>
      </c>
      <c r="G29" s="22">
        <f t="shared" si="165"/>
        <v>0</v>
      </c>
      <c r="H29" s="22">
        <f t="shared" si="166"/>
        <v>0</v>
      </c>
      <c r="I29" s="22">
        <f t="shared" si="167"/>
        <v>0</v>
      </c>
      <c r="J29" s="22">
        <f t="shared" si="168"/>
        <v>0</v>
      </c>
      <c r="K29" s="19" t="str">
        <f t="shared" si="169"/>
        <v xml:space="preserve">7:30 à 8:00</v>
      </c>
      <c r="L29" s="19"/>
      <c r="M29" s="40">
        <f t="shared" si="170"/>
        <v>3</v>
      </c>
      <c r="N29" s="41">
        <f t="shared" si="171"/>
        <v>0</v>
      </c>
      <c r="O29" s="41">
        <f t="shared" si="172"/>
        <v>0</v>
      </c>
      <c r="P29" s="41">
        <f t="shared" si="173"/>
        <v>0</v>
      </c>
      <c r="U29" s="41">
        <f t="shared" si="174"/>
        <v>0</v>
      </c>
    </row>
    <row r="30" ht="35.149999999999999" customHeight="1">
      <c r="A30" s="19" t="s">
        <v>39</v>
      </c>
      <c r="B30" s="19"/>
      <c r="C30" s="22">
        <f t="shared" si="161"/>
        <v>0</v>
      </c>
      <c r="D30" s="22">
        <f t="shared" si="162"/>
        <v>2</v>
      </c>
      <c r="E30" s="22">
        <f t="shared" si="163"/>
        <v>0</v>
      </c>
      <c r="F30" s="22">
        <f t="shared" si="164"/>
        <v>0</v>
      </c>
      <c r="G30" s="22">
        <f t="shared" si="165"/>
        <v>0</v>
      </c>
      <c r="H30" s="22">
        <f t="shared" si="166"/>
        <v>10</v>
      </c>
      <c r="I30" s="22">
        <f t="shared" si="167"/>
        <v>0</v>
      </c>
      <c r="J30" s="22">
        <f t="shared" si="168"/>
        <v>6</v>
      </c>
      <c r="K30" s="19" t="str">
        <f t="shared" si="169"/>
        <v xml:space="preserve">8:00 à 8:30</v>
      </c>
      <c r="L30" s="19"/>
      <c r="M30" s="40">
        <f t="shared" si="170"/>
        <v>18</v>
      </c>
      <c r="N30" s="41">
        <f t="shared" si="171"/>
        <v>0</v>
      </c>
      <c r="O30" s="41">
        <f t="shared" si="172"/>
        <v>6</v>
      </c>
      <c r="P30" s="41">
        <f t="shared" si="173"/>
        <v>0</v>
      </c>
      <c r="U30" s="41">
        <f t="shared" si="174"/>
        <v>16</v>
      </c>
    </row>
    <row r="31" ht="35.149999999999999" customHeight="1">
      <c r="A31" s="19" t="s">
        <v>40</v>
      </c>
      <c r="B31" s="19"/>
      <c r="C31" s="22">
        <f t="shared" si="161"/>
        <v>0</v>
      </c>
      <c r="D31" s="22">
        <f t="shared" si="162"/>
        <v>1</v>
      </c>
      <c r="E31" s="22">
        <f t="shared" si="163"/>
        <v>2</v>
      </c>
      <c r="F31" s="22">
        <f t="shared" si="164"/>
        <v>2</v>
      </c>
      <c r="G31" s="22">
        <f t="shared" si="165"/>
        <v>0</v>
      </c>
      <c r="H31" s="22">
        <f t="shared" si="166"/>
        <v>0</v>
      </c>
      <c r="I31" s="22">
        <f t="shared" si="167"/>
        <v>0</v>
      </c>
      <c r="J31" s="22">
        <f t="shared" si="168"/>
        <v>0</v>
      </c>
      <c r="K31" s="19" t="str">
        <f t="shared" si="169"/>
        <v xml:space="preserve">8:30 à 9:00</v>
      </c>
      <c r="L31" s="19"/>
      <c r="M31" s="40">
        <f t="shared" si="170"/>
        <v>5</v>
      </c>
      <c r="N31" s="41">
        <f t="shared" si="171"/>
        <v>2</v>
      </c>
      <c r="O31" s="41">
        <f t="shared" si="172"/>
        <v>4</v>
      </c>
      <c r="P31" s="41">
        <f t="shared" si="173"/>
        <v>2</v>
      </c>
      <c r="U31" s="41">
        <f t="shared" si="174"/>
        <v>0</v>
      </c>
    </row>
    <row r="32" ht="35.149999999999999" customHeight="1">
      <c r="A32" s="19" t="s">
        <v>27</v>
      </c>
      <c r="B32" s="19"/>
      <c r="C32" s="96">
        <f>SUM(C12:C16)</f>
        <v>1</v>
      </c>
      <c r="D32" s="96">
        <f>SUM(D12:D16)</f>
        <v>8</v>
      </c>
      <c r="E32" s="96">
        <f>SUM(E12:E16)</f>
        <v>2</v>
      </c>
      <c r="F32" s="96">
        <f>SUM(F12:F16)</f>
        <v>2</v>
      </c>
      <c r="G32" s="96">
        <f>SUM(G12:G16)</f>
        <v>0</v>
      </c>
      <c r="H32" s="96">
        <f>SUM(H12:H16)</f>
        <v>10</v>
      </c>
      <c r="I32" s="96">
        <f>SUM(I12:I16)</f>
        <v>0</v>
      </c>
      <c r="J32" s="96">
        <f>SUM(J12:J16)</f>
        <v>6</v>
      </c>
      <c r="K32" s="98" t="s">
        <v>27</v>
      </c>
      <c r="L32" s="98"/>
      <c r="M32" s="45">
        <f>SUM(M27:M31)</f>
        <v>29</v>
      </c>
      <c r="N32" s="45">
        <f>SUM(N27:N31)</f>
        <v>3</v>
      </c>
      <c r="O32" s="45">
        <f>SUM(O27:O31)</f>
        <v>10</v>
      </c>
      <c r="P32" s="46">
        <f>SUM(P27:P31)</f>
        <v>2</v>
      </c>
      <c r="Q32" s="45">
        <f>A21</f>
        <v>0</v>
      </c>
      <c r="R32" s="46">
        <f>A18</f>
        <v>1</v>
      </c>
      <c r="S32" s="46"/>
      <c r="T32" s="46">
        <f>A20</f>
        <v>1</v>
      </c>
      <c r="U32" s="46">
        <f>SUM(U27:U31)</f>
        <v>16</v>
      </c>
    </row>
    <row r="33" ht="35.149999999999999" customHeight="1">
      <c r="A33" s="48"/>
      <c r="B33" s="48"/>
      <c r="C33" s="101"/>
      <c r="D33" s="101"/>
      <c r="E33" s="101"/>
      <c r="F33" s="101"/>
      <c r="G33" s="101"/>
      <c r="H33" s="101"/>
      <c r="I33" s="101"/>
      <c r="J33" s="101"/>
      <c r="K33" s="51" t="str">
        <f t="shared" ref="K33:K34" si="175">K29</f>
        <v xml:space="preserve">7:30 à 8:00</v>
      </c>
      <c r="L33" s="52"/>
      <c r="M33" s="53">
        <f t="shared" ref="M33:M34" si="176">M29</f>
        <v>3</v>
      </c>
      <c r="N33" s="53"/>
      <c r="O33" s="53"/>
      <c r="P33" s="46"/>
      <c r="Q33" s="66"/>
      <c r="R33" s="66"/>
      <c r="S33" s="66"/>
      <c r="T33" s="66"/>
      <c r="U33" s="46"/>
    </row>
    <row r="34" ht="35.149999999999999" customHeight="1">
      <c r="A34" s="48"/>
      <c r="B34" s="48"/>
      <c r="C34" s="101"/>
      <c r="D34" s="101"/>
      <c r="E34" s="101"/>
      <c r="F34" s="101"/>
      <c r="G34" s="101"/>
      <c r="H34" s="101"/>
      <c r="I34" s="101"/>
      <c r="J34" s="101"/>
      <c r="K34" s="58" t="str">
        <f t="shared" si="175"/>
        <v xml:space="preserve">8:00 à 8:30</v>
      </c>
      <c r="L34" s="59"/>
      <c r="M34" s="53">
        <f t="shared" si="176"/>
        <v>18</v>
      </c>
      <c r="N34" s="60"/>
      <c r="O34" s="60"/>
      <c r="P34" s="46"/>
      <c r="Q34" s="66"/>
      <c r="R34" s="66"/>
      <c r="S34" s="66"/>
      <c r="T34" s="66"/>
      <c r="U34" s="46"/>
    </row>
    <row r="35" ht="35.149999999999999" customHeight="1">
      <c r="A35" s="48"/>
      <c r="B35" s="48"/>
      <c r="C35" s="101"/>
      <c r="D35" s="101"/>
      <c r="E35" s="101"/>
      <c r="F35" s="101"/>
      <c r="G35" s="101"/>
      <c r="H35" s="101"/>
      <c r="I35" s="101"/>
      <c r="J35" s="101"/>
      <c r="K35" s="197" t="s">
        <v>42</v>
      </c>
      <c r="L35" s="197"/>
      <c r="M35" s="198">
        <f>SUM(M33:M34)</f>
        <v>21</v>
      </c>
      <c r="N35" s="63"/>
      <c r="O35" s="63"/>
      <c r="P35" s="46"/>
      <c r="Q35" s="66"/>
      <c r="R35" s="66"/>
      <c r="S35" s="66"/>
      <c r="T35" s="66"/>
      <c r="U35" s="46"/>
    </row>
    <row r="36" ht="35.149999999999999" customHeight="1">
      <c r="A36" s="64"/>
      <c r="B36" s="65"/>
      <c r="C36" s="65"/>
      <c r="D36" s="65"/>
      <c r="E36" s="65"/>
      <c r="F36" s="65"/>
      <c r="G36" s="65"/>
      <c r="H36" s="65"/>
      <c r="I36" s="65"/>
      <c r="J36" s="50"/>
      <c r="K36" s="19"/>
      <c r="L36" s="19"/>
      <c r="M36" s="38"/>
      <c r="N36" s="186"/>
      <c r="O36" s="186"/>
      <c r="P36" s="186"/>
      <c r="U36" s="186"/>
    </row>
    <row r="37" ht="25" customHeight="1">
      <c r="A37" s="105"/>
      <c r="B37" s="66"/>
      <c r="C37" s="66"/>
      <c r="D37" s="66"/>
      <c r="E37" s="66"/>
      <c r="F37" s="66"/>
      <c r="G37" s="66"/>
      <c r="H37" s="66"/>
      <c r="I37" s="66"/>
      <c r="J37" s="66"/>
      <c r="K37" s="14"/>
      <c r="L37" s="15"/>
      <c r="M37" s="67" t="s">
        <v>27</v>
      </c>
      <c r="N37" s="68" t="s">
        <v>43</v>
      </c>
      <c r="O37" s="68" t="s">
        <v>44</v>
      </c>
      <c r="P37" s="68" t="s">
        <v>45</v>
      </c>
      <c r="U37" s="68" t="str">
        <f>U23</f>
        <v xml:space="preserve">Cycles en direction de Bonneville</v>
      </c>
    </row>
    <row r="38" ht="25" customHeight="1">
      <c r="A38" s="105"/>
      <c r="B38" s="66"/>
      <c r="C38" s="66"/>
      <c r="D38" s="66"/>
      <c r="E38" s="66"/>
      <c r="F38" s="66"/>
      <c r="G38" s="66"/>
      <c r="H38" s="66"/>
      <c r="I38" s="66"/>
      <c r="J38" s="66"/>
      <c r="K38" s="14"/>
      <c r="L38" s="15"/>
      <c r="M38" s="67"/>
      <c r="N38" s="68"/>
      <c r="O38" s="68"/>
      <c r="P38" s="68"/>
      <c r="Q38" s="66"/>
      <c r="R38" s="66"/>
      <c r="S38" s="66"/>
      <c r="T38" s="66"/>
      <c r="U38" s="68"/>
    </row>
    <row r="39" ht="25" customHeight="1">
      <c r="A39" s="105"/>
      <c r="B39" s="66"/>
      <c r="C39" s="66"/>
      <c r="D39" s="66"/>
      <c r="E39" s="66"/>
      <c r="F39" s="66"/>
      <c r="G39" s="66"/>
      <c r="H39" s="66"/>
      <c r="I39" s="66"/>
      <c r="J39" s="66"/>
      <c r="K39" s="69"/>
      <c r="L39" s="15"/>
      <c r="M39" s="67"/>
      <c r="N39" s="68"/>
      <c r="O39" s="68"/>
      <c r="P39" s="68"/>
      <c r="Q39" s="66"/>
      <c r="R39" s="66"/>
      <c r="S39" s="66"/>
      <c r="T39" s="66"/>
      <c r="U39" s="68"/>
    </row>
    <row r="40" ht="35.149999999999999" customHeight="1">
      <c r="A40" s="105"/>
      <c r="B40" s="66"/>
      <c r="C40" s="66"/>
      <c r="D40" s="66"/>
      <c r="E40" s="66"/>
      <c r="F40" s="66"/>
      <c r="G40" s="66"/>
      <c r="H40" s="66"/>
      <c r="I40" s="66"/>
      <c r="J40" s="66"/>
      <c r="K40" s="19" t="s">
        <v>20</v>
      </c>
      <c r="L40" s="19"/>
      <c r="M40" s="67"/>
      <c r="N40" s="68"/>
      <c r="O40" s="68"/>
      <c r="P40" s="68"/>
      <c r="Q40" s="66"/>
      <c r="R40" s="66"/>
      <c r="S40" s="66"/>
      <c r="T40" s="66"/>
      <c r="U40" s="68"/>
    </row>
    <row r="41" ht="35.149999999999999" customHeight="1">
      <c r="A41" s="105"/>
      <c r="B41" s="66"/>
      <c r="C41" s="66"/>
      <c r="D41" s="66"/>
      <c r="E41" s="66"/>
      <c r="F41" s="66"/>
      <c r="G41" s="66"/>
      <c r="H41" s="66"/>
      <c r="I41" s="66"/>
      <c r="J41" s="66"/>
      <c r="K41" s="19" t="str">
        <f t="shared" ref="K41:K45" si="177">K27</f>
        <v xml:space="preserve">6:30 à 7:00</v>
      </c>
      <c r="L41" s="19"/>
      <c r="M41" s="70"/>
      <c r="N41" s="71">
        <f>IF(N27=0,0,N27/M27)</f>
        <v>1</v>
      </c>
      <c r="O41" s="71">
        <f>IF(O27=0,0,O27/M27)</f>
        <v>0</v>
      </c>
      <c r="P41" s="71">
        <f>IF(P27=0,0,P27/N27)</f>
        <v>0</v>
      </c>
      <c r="Q41" s="66"/>
      <c r="R41" s="66"/>
      <c r="S41" s="66"/>
      <c r="T41" s="66"/>
      <c r="U41" s="71">
        <f>IF(U27=0,0,U27/M27)</f>
        <v>0</v>
      </c>
    </row>
    <row r="42" ht="35.149999999999999" customHeight="1">
      <c r="A42" s="105"/>
      <c r="B42" s="66"/>
      <c r="C42" s="66"/>
      <c r="D42" s="66"/>
      <c r="E42" s="66"/>
      <c r="F42" s="66"/>
      <c r="G42" s="66"/>
      <c r="H42" s="66"/>
      <c r="I42" s="66"/>
      <c r="J42" s="66"/>
      <c r="K42" s="19" t="str">
        <f t="shared" si="177"/>
        <v xml:space="preserve">7:00 à 7:30</v>
      </c>
      <c r="L42" s="19"/>
      <c r="M42" s="70"/>
      <c r="N42" s="71">
        <f>IF(N29=0,0,N29/M29)</f>
        <v>0</v>
      </c>
      <c r="O42" s="71">
        <f>IF(O29=0,0,O29/M29)</f>
        <v>0</v>
      </c>
      <c r="P42" s="71">
        <f>IF(P29=0,0,P29/N29)</f>
        <v>0</v>
      </c>
      <c r="Q42" s="66"/>
      <c r="R42" s="66"/>
      <c r="S42" s="66"/>
      <c r="T42" s="66"/>
      <c r="U42" s="71">
        <f>IF(U29=0,0,U29/M29)</f>
        <v>0</v>
      </c>
    </row>
    <row r="43" ht="35.149999999999999" customHeight="1">
      <c r="A43" s="105"/>
      <c r="B43" s="66"/>
      <c r="C43" s="66"/>
      <c r="D43" s="66"/>
      <c r="E43" s="66"/>
      <c r="F43" s="66"/>
      <c r="G43" s="66"/>
      <c r="H43" s="66"/>
      <c r="I43" s="66"/>
      <c r="J43" s="66"/>
      <c r="K43" s="19" t="str">
        <f t="shared" si="177"/>
        <v xml:space="preserve">7:30 à 8:00</v>
      </c>
      <c r="L43" s="19"/>
      <c r="M43" s="70"/>
      <c r="N43" s="71">
        <f t="shared" ref="N43:N46" si="178">IF(N29=0,0,N29/M29)</f>
        <v>0</v>
      </c>
      <c r="O43" s="71">
        <f t="shared" ref="O43:O46" si="179">IF(O29=0,0,O29/M29)</f>
        <v>0</v>
      </c>
      <c r="P43" s="71">
        <f t="shared" ref="P43:P46" si="180">IF(P29=0,0,P29/N29)</f>
        <v>0</v>
      </c>
      <c r="Q43" s="66"/>
      <c r="R43" s="66"/>
      <c r="S43" s="66"/>
      <c r="T43" s="66"/>
      <c r="U43" s="71">
        <f t="shared" ref="U43:U46" si="181">IF(U29=0,0,U29/M29)</f>
        <v>0</v>
      </c>
    </row>
    <row r="44" ht="35.149999999999999" customHeight="1">
      <c r="A44" s="105"/>
      <c r="B44" s="66"/>
      <c r="C44" s="66"/>
      <c r="D44" s="66"/>
      <c r="E44" s="66"/>
      <c r="F44" s="66"/>
      <c r="G44" s="66"/>
      <c r="H44" s="66"/>
      <c r="I44" s="66"/>
      <c r="J44" s="66"/>
      <c r="K44" s="19" t="str">
        <f t="shared" si="177"/>
        <v xml:space="preserve">8:00 à 8:30</v>
      </c>
      <c r="L44" s="19"/>
      <c r="M44" s="70"/>
      <c r="N44" s="71">
        <f t="shared" si="178"/>
        <v>0</v>
      </c>
      <c r="O44" s="71">
        <f t="shared" si="179"/>
        <v>0.33333333333333298</v>
      </c>
      <c r="P44" s="71">
        <f t="shared" si="180"/>
        <v>0</v>
      </c>
      <c r="Q44" s="66"/>
      <c r="R44" s="66"/>
      <c r="S44" s="66"/>
      <c r="T44" s="66"/>
      <c r="U44" s="71">
        <f t="shared" si="181"/>
        <v>0.88888888888888895</v>
      </c>
    </row>
    <row r="45" ht="35.149999999999999" customHeight="1">
      <c r="F45" s="66"/>
      <c r="K45" s="19" t="str">
        <f t="shared" si="177"/>
        <v xml:space="preserve">8:30 à 9:00</v>
      </c>
      <c r="L45" s="19"/>
      <c r="M45" s="70"/>
      <c r="N45" s="71">
        <f t="shared" si="178"/>
        <v>0.40000000000000002</v>
      </c>
      <c r="O45" s="71">
        <f t="shared" si="179"/>
        <v>0.80000000000000004</v>
      </c>
      <c r="P45" s="71">
        <f t="shared" si="180"/>
        <v>1</v>
      </c>
      <c r="U45" s="71">
        <f t="shared" si="181"/>
        <v>0</v>
      </c>
    </row>
    <row r="46" ht="35.149999999999999" customHeight="1">
      <c r="F46" s="66"/>
      <c r="K46" s="19" t="s">
        <v>27</v>
      </c>
      <c r="L46" s="19"/>
      <c r="M46" s="187"/>
      <c r="N46" s="188">
        <f t="shared" si="178"/>
        <v>0.10344827586206901</v>
      </c>
      <c r="O46" s="188">
        <f t="shared" si="179"/>
        <v>0.34482758620689702</v>
      </c>
      <c r="P46" s="188">
        <f t="shared" si="180"/>
        <v>0.66666666666666696</v>
      </c>
      <c r="U46" s="188">
        <f t="shared" si="181"/>
        <v>0.55172413793103403</v>
      </c>
    </row>
    <row r="47" ht="35.149999999999999" customHeight="1">
      <c r="K47" s="19">
        <f>K36</f>
        <v>0</v>
      </c>
      <c r="L47" s="19"/>
      <c r="M47" s="38">
        <f>IF($AS$48=MAX($AS$48:$AS$52),M41,IF($AS$49=MAX($AS$48:$AS$52),M43,IF($AS$50=MAX($AS$48:$AS$52),M44,IF($AS$51=MAX($AS$48:$AS$52),(M44),M45))))</f>
        <v>0</v>
      </c>
      <c r="N47" s="74">
        <f>IF($AS$48=MAX($AS$48:$AS$52),N41,IF($AS$49=MAX($AS$48:$AS$52),N43,IF($AS$50=MAX($AS$48:$AS$52),N44,IF($AS$51=MAX($AS$48:$AS$52),(N44),N45))))</f>
        <v>1</v>
      </c>
      <c r="O47" s="74">
        <f>O45</f>
        <v>0.80000000000000004</v>
      </c>
      <c r="P47" s="74">
        <f>IF($AS$48=MAX($AS$48:$AS$52),P41,IF($AS$49=MAX($AS$48:$AS$52),P43,IF($AS$50=MAX($AS$48:$AS$52),P44,IF($AS$51=MAX($AS$48:$AS$52),(P44),P45))))</f>
        <v>0</v>
      </c>
      <c r="U47" s="74">
        <f>IF($AS$48=MAX($AS$48:$AS$52),U41,IF($AS$49=MAX($AS$48:$AS$52),U43,IF($AS$50=MAX($AS$48:$AS$52),U44,IF($AS$51=MAX($AS$48:$AS$52),(U44),U45))))</f>
        <v>0</v>
      </c>
    </row>
  </sheetData>
  <mergeCells count="49">
    <mergeCell ref="C8:J8"/>
    <mergeCell ref="C9:F9"/>
    <mergeCell ref="G9:J9"/>
    <mergeCell ref="A11:B11"/>
    <mergeCell ref="C23:J23"/>
    <mergeCell ref="K23:L26"/>
    <mergeCell ref="M23:M26"/>
    <mergeCell ref="N23:N26"/>
    <mergeCell ref="O23:O26"/>
    <mergeCell ref="P23:P26"/>
    <mergeCell ref="Q23:Q26"/>
    <mergeCell ref="R23:R26"/>
    <mergeCell ref="S23:S26"/>
    <mergeCell ref="T23:T26"/>
    <mergeCell ref="U23:U26"/>
    <mergeCell ref="C24:F24"/>
    <mergeCell ref="G24:J24"/>
    <mergeCell ref="C25:D25"/>
    <mergeCell ref="E25:F25"/>
    <mergeCell ref="G25:H25"/>
    <mergeCell ref="I25:J25"/>
    <mergeCell ref="A26:B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K35:L35"/>
    <mergeCell ref="K36:L36"/>
    <mergeCell ref="M37:M40"/>
    <mergeCell ref="N37:N40"/>
    <mergeCell ref="O37:O40"/>
    <mergeCell ref="P37:P40"/>
    <mergeCell ref="U37:U40"/>
    <mergeCell ref="K40:L40"/>
    <mergeCell ref="K41:L41"/>
    <mergeCell ref="K42:L42"/>
    <mergeCell ref="K43:L43"/>
    <mergeCell ref="K44:L44"/>
    <mergeCell ref="K45:L45"/>
    <mergeCell ref="K46:L46"/>
    <mergeCell ref="K47:L47"/>
  </mergeCells>
  <printOptions headings="0" gridLines="0" horizontalCentered="0" verticalCentered="0"/>
  <pageMargins left="0.51180555555555496" right="0.51180555555555496" top="0.94444444444444409" bottom="0.94444444444444409" header="0.51180555555555496" footer="0.51180555555555496"/>
  <pageSetup paperSize="9" scale="100" fitToWidth="1" fitToHeight="0" pageOrder="downThenOver" orientation="landscape" usePrinterDefaults="1" blackAndWhite="0" draft="0" cellComments="none" useFirstPageNumber="0" errors="displayed" horizontalDpi="300" verticalDpi="300" copies="1"/>
  <headerFooter/>
  <colBreaks count="1" manualBreakCount="1">
    <brk id="10" man="1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pageBreakPreview" topLeftCell="C79" zoomScale="65" workbookViewId="0">
      <selection activeCell="A98" activeCellId="0" sqref="A98"/>
    </sheetView>
  </sheetViews>
  <sheetFormatPr defaultColWidth="11.23828125" defaultRowHeight="17.5"/>
  <cols>
    <col customWidth="1" min="1" max="1" style="1" width="10.41"/>
    <col customWidth="0" min="2" max="2" style="1" width="11.25"/>
    <col customWidth="1" min="3" max="4" style="1" width="9.0800000000000001"/>
    <col customWidth="1" min="5" max="5" style="1" width="9.5800000000000001"/>
    <col customWidth="1" min="6" max="6" style="1" width="9.2599999999999998"/>
    <col customWidth="1" min="7" max="21" style="1" width="9.5800000000000001"/>
    <col customWidth="1" min="22" max="22" style="1" width="8"/>
    <col customWidth="1" min="23" max="23" style="206" width="13.16"/>
    <col customWidth="1" min="24" max="24" style="1" width="13.16"/>
    <col customWidth="1" min="25" max="25" style="1" width="17.079999999999998"/>
    <col customWidth="1" min="26" max="26" style="1" width="17.920000000000002"/>
    <col customWidth="1" min="27" max="27" style="1" width="23.579999999999998"/>
    <col customWidth="1" min="28" max="28" style="1" width="18.920000000000002"/>
    <col customWidth="1" min="29" max="30" style="1" width="13.16"/>
    <col customWidth="1" min="31" max="31" style="1" width="14.75"/>
    <col customWidth="1" min="32" max="38" style="1" width="13.16"/>
    <col customWidth="1" min="39" max="45" style="1" width="6.4100000000000001"/>
    <col customWidth="1" min="46" max="46" style="1" width="9.4100000000000001"/>
    <col customWidth="1" min="47" max="47" style="1" width="14.25"/>
    <col customWidth="1" min="48" max="48" style="1" width="14.16"/>
    <col customWidth="1" min="49" max="52" style="1" width="21.41"/>
    <col customWidth="1" min="53" max="54" style="1" width="19.16"/>
    <col customWidth="1" min="55" max="55" style="1" width="16.16"/>
    <col customWidth="1" min="56" max="59" style="1" width="17.5"/>
    <col customWidth="1" min="60" max="64" style="1" width="10.83"/>
    <col customWidth="0" min="65" max="981" style="1" width="11.25"/>
    <col customWidth="1" min="982" max="982" style="1" width="11.17"/>
    <col customWidth="1" min="983" max="1024" style="0" width="10.5"/>
  </cols>
  <sheetData>
    <row r="1" s="8" customFormat="1" ht="52.5" customHeight="1">
      <c r="A1" s="207"/>
      <c r="B1" s="11" t="s">
        <v>136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5"/>
      <c r="Q1" s="5"/>
      <c r="R1" s="5"/>
      <c r="S1" s="2"/>
      <c r="T1" s="2"/>
      <c r="U1" s="2"/>
      <c r="V1" s="2"/>
      <c r="W1" s="208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2"/>
      <c r="AY1" s="2"/>
    </row>
    <row r="2" s="8" customFormat="1" ht="52.5" customHeight="1">
      <c r="A2" s="3" t="s">
        <v>3</v>
      </c>
      <c r="B2" s="5"/>
      <c r="C2" s="5"/>
      <c r="D2" s="5"/>
      <c r="E2" s="5"/>
      <c r="F2" s="2"/>
      <c r="G2" s="5"/>
      <c r="H2" s="5"/>
      <c r="I2" s="5"/>
      <c r="J2" s="5" t="s">
        <v>137</v>
      </c>
      <c r="K2" s="5"/>
      <c r="L2" s="5" t="s">
        <v>138</v>
      </c>
      <c r="M2" s="5"/>
      <c r="N2" s="5"/>
      <c r="O2" s="5"/>
      <c r="P2" s="5"/>
      <c r="Q2" s="5"/>
      <c r="R2" s="5" t="s">
        <v>139</v>
      </c>
      <c r="S2" s="5"/>
      <c r="T2" s="5" t="s">
        <v>140</v>
      </c>
      <c r="U2" s="5"/>
      <c r="V2" s="5"/>
      <c r="W2" s="208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2"/>
      <c r="AY2" s="2"/>
    </row>
    <row r="3" s="8" customFormat="1" ht="52.5" customHeight="1">
      <c r="A3" s="3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9" t="s">
        <v>7</v>
      </c>
      <c r="O3" s="5"/>
      <c r="Q3" s="5"/>
      <c r="R3" s="5"/>
      <c r="S3" s="5"/>
      <c r="T3" s="5"/>
      <c r="U3" s="5"/>
      <c r="V3" s="5"/>
      <c r="W3" s="209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="8" customFormat="1" ht="25.5" customHeight="1">
      <c r="W4" s="210"/>
    </row>
    <row r="5" s="8" customFormat="1" ht="25.5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209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="8" customFormat="1" ht="25.5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209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="8" customFormat="1" ht="50.649999999999999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209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="8" customFormat="1" ht="25.5" customHeight="1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211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"/>
      <c r="AY8" s="2"/>
    </row>
    <row r="9" s="2" customFormat="1" ht="32.25" customHeight="1">
      <c r="A9" s="3"/>
      <c r="B9" s="5"/>
      <c r="C9" s="190" t="s">
        <v>141</v>
      </c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209"/>
      <c r="AP9" s="29"/>
      <c r="AQ9" s="29"/>
      <c r="AS9" s="213"/>
      <c r="AT9" s="213"/>
      <c r="AU9" s="213"/>
      <c r="AV9" s="213"/>
      <c r="AW9" s="213"/>
      <c r="AX9" s="213"/>
      <c r="AY9" s="213"/>
    </row>
    <row r="10" s="1" customFormat="1" ht="22.75" customHeight="1">
      <c r="A10" s="3"/>
      <c r="B10" s="5"/>
      <c r="C10" s="17" t="s">
        <v>55</v>
      </c>
      <c r="D10" s="17"/>
      <c r="E10" s="17"/>
      <c r="F10" s="17"/>
      <c r="G10" s="17" t="s">
        <v>142</v>
      </c>
      <c r="H10" s="17"/>
      <c r="I10" s="17"/>
      <c r="J10" s="17"/>
      <c r="K10" s="17" t="s">
        <v>143</v>
      </c>
      <c r="L10" s="17"/>
      <c r="M10" s="17"/>
      <c r="N10" s="17"/>
      <c r="O10" s="17" t="s">
        <v>72</v>
      </c>
      <c r="P10" s="17"/>
      <c r="Q10" s="17"/>
      <c r="R10" s="17"/>
      <c r="S10" s="17" t="s">
        <v>144</v>
      </c>
      <c r="T10" s="17"/>
      <c r="U10" s="17"/>
      <c r="V10" s="17"/>
      <c r="W10" s="206"/>
      <c r="AP10" s="28"/>
      <c r="AQ10" s="28"/>
    </row>
    <row r="11" s="1" customFormat="1" ht="18.649999999999999" customHeight="1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206"/>
      <c r="AP11" s="28"/>
      <c r="AQ11" s="28"/>
    </row>
    <row r="12" s="1" customFormat="1" ht="21">
      <c r="A12" s="19" t="s">
        <v>20</v>
      </c>
      <c r="B12" s="19"/>
      <c r="C12" s="214" t="s">
        <v>21</v>
      </c>
      <c r="D12" s="214" t="s">
        <v>22</v>
      </c>
      <c r="E12" s="214" t="s">
        <v>21</v>
      </c>
      <c r="F12" s="214" t="s">
        <v>22</v>
      </c>
      <c r="G12" s="214" t="s">
        <v>21</v>
      </c>
      <c r="H12" s="214" t="s">
        <v>22</v>
      </c>
      <c r="I12" s="214" t="s">
        <v>21</v>
      </c>
      <c r="J12" s="214" t="s">
        <v>22</v>
      </c>
      <c r="K12" s="214" t="s">
        <v>21</v>
      </c>
      <c r="L12" s="214" t="s">
        <v>22</v>
      </c>
      <c r="M12" s="214" t="s">
        <v>21</v>
      </c>
      <c r="N12" s="214" t="s">
        <v>22</v>
      </c>
      <c r="O12" s="214" t="s">
        <v>21</v>
      </c>
      <c r="P12" s="214" t="s">
        <v>22</v>
      </c>
      <c r="Q12" s="214" t="s">
        <v>21</v>
      </c>
      <c r="R12" s="214" t="s">
        <v>22</v>
      </c>
      <c r="S12" s="214" t="s">
        <v>21</v>
      </c>
      <c r="T12" s="214" t="s">
        <v>22</v>
      </c>
      <c r="U12" s="214" t="s">
        <v>21</v>
      </c>
      <c r="V12" s="214" t="s">
        <v>22</v>
      </c>
      <c r="W12" s="206"/>
      <c r="AP12" s="28"/>
      <c r="AQ12" s="28"/>
      <c r="AR12" s="215"/>
    </row>
    <row r="13" s="1" customFormat="1" ht="55" customHeight="1">
      <c r="A13" s="21">
        <v>0.27083333333333298</v>
      </c>
      <c r="B13" s="21">
        <v>0.29166666666666702</v>
      </c>
      <c r="C13" s="22"/>
      <c r="D13" s="22"/>
      <c r="E13" s="22"/>
      <c r="F13" s="216"/>
      <c r="G13" s="217"/>
      <c r="H13" s="22">
        <v>1</v>
      </c>
      <c r="I13" s="22"/>
      <c r="J13" s="216"/>
      <c r="K13" s="217"/>
      <c r="L13" s="22"/>
      <c r="M13" s="22"/>
      <c r="N13" s="216"/>
      <c r="O13" s="217"/>
      <c r="P13" s="22"/>
      <c r="Q13" s="22"/>
      <c r="R13" s="216"/>
      <c r="S13" s="217"/>
      <c r="T13" s="22"/>
      <c r="U13" s="22"/>
      <c r="V13" s="82"/>
      <c r="W13" s="206"/>
      <c r="AP13" s="28"/>
      <c r="AQ13" s="28"/>
      <c r="AR13" s="218"/>
      <c r="AS13" s="218"/>
      <c r="AT13" s="218"/>
      <c r="AU13" s="218"/>
      <c r="AV13" s="218"/>
      <c r="AW13" s="218"/>
      <c r="AX13" s="218"/>
      <c r="AY13" s="218"/>
    </row>
    <row r="14" s="1" customFormat="1" ht="55" customHeight="1">
      <c r="A14" s="21">
        <v>0.29166666666666702</v>
      </c>
      <c r="B14" s="21">
        <v>0.3125</v>
      </c>
      <c r="C14" s="22"/>
      <c r="D14" s="22"/>
      <c r="E14" s="22"/>
      <c r="F14" s="216"/>
      <c r="G14" s="217"/>
      <c r="H14" s="22"/>
      <c r="I14" s="22"/>
      <c r="J14" s="216"/>
      <c r="K14" s="217"/>
      <c r="L14" s="22"/>
      <c r="M14" s="22"/>
      <c r="N14" s="216"/>
      <c r="O14" s="217"/>
      <c r="P14" s="22"/>
      <c r="Q14" s="22"/>
      <c r="R14" s="216"/>
      <c r="S14" s="217"/>
      <c r="T14" s="22"/>
      <c r="U14" s="22"/>
      <c r="V14" s="82"/>
      <c r="W14" s="206">
        <f t="shared" ref="W14:W15" si="182">SUM(C14:V14)</f>
        <v>0</v>
      </c>
      <c r="AP14" s="28"/>
      <c r="AQ14" s="28"/>
      <c r="AR14" s="218"/>
      <c r="AS14" s="218"/>
      <c r="AT14" s="218"/>
      <c r="AU14" s="218"/>
      <c r="AV14" s="218"/>
      <c r="AW14" s="218"/>
      <c r="AX14" s="218"/>
      <c r="AY14" s="218"/>
    </row>
    <row r="15" s="1" customFormat="1" ht="55" customHeight="1">
      <c r="A15" s="21">
        <v>0.3125</v>
      </c>
      <c r="B15" s="21">
        <v>0.33333333333333298</v>
      </c>
      <c r="C15" s="22"/>
      <c r="D15" s="22"/>
      <c r="E15" s="22"/>
      <c r="F15" s="216"/>
      <c r="G15" s="217"/>
      <c r="H15" s="22"/>
      <c r="I15" s="22"/>
      <c r="J15" s="216"/>
      <c r="K15" s="217"/>
      <c r="L15" s="22"/>
      <c r="M15" s="22"/>
      <c r="N15" s="216"/>
      <c r="O15" s="217"/>
      <c r="P15" s="22"/>
      <c r="Q15" s="22"/>
      <c r="R15" s="216"/>
      <c r="S15" s="217"/>
      <c r="T15" s="22"/>
      <c r="U15" s="22"/>
      <c r="V15" s="82"/>
      <c r="W15" s="206">
        <f t="shared" si="182"/>
        <v>0</v>
      </c>
      <c r="AP15" s="28"/>
      <c r="AQ15" s="28"/>
      <c r="AR15" s="218"/>
      <c r="AS15" s="218"/>
      <c r="AT15" s="218"/>
      <c r="AU15" s="218"/>
      <c r="AV15" s="218"/>
      <c r="AW15" s="218"/>
      <c r="AX15" s="218"/>
      <c r="AY15" s="218"/>
    </row>
    <row r="16" s="1" customFormat="1" ht="55" customHeight="1">
      <c r="A16" s="21">
        <v>0.33333333333333298</v>
      </c>
      <c r="B16" s="21">
        <v>0.35416666666666702</v>
      </c>
      <c r="C16" s="22"/>
      <c r="D16" s="22"/>
      <c r="E16" s="22"/>
      <c r="F16" s="216"/>
      <c r="G16" s="217"/>
      <c r="H16" s="22"/>
      <c r="I16" s="22"/>
      <c r="J16" s="216"/>
      <c r="K16" s="217"/>
      <c r="L16" s="22"/>
      <c r="M16" s="22"/>
      <c r="N16" s="216"/>
      <c r="O16" s="217"/>
      <c r="P16" s="22"/>
      <c r="Q16" s="22"/>
      <c r="R16" s="216"/>
      <c r="S16" s="217"/>
      <c r="T16" s="22"/>
      <c r="U16" s="22"/>
      <c r="V16" s="82"/>
      <c r="W16" s="206"/>
      <c r="AP16" s="28"/>
      <c r="AQ16" s="28"/>
      <c r="AR16" s="218"/>
      <c r="AS16" s="218"/>
      <c r="AT16" s="218"/>
      <c r="AU16" s="218"/>
      <c r="AV16" s="218"/>
      <c r="AW16" s="218"/>
      <c r="AX16" s="218"/>
      <c r="AY16" s="218"/>
    </row>
    <row r="17" s="1" customFormat="1" ht="55" customHeight="1">
      <c r="A17" s="21">
        <v>0.35416666666666702</v>
      </c>
      <c r="B17" s="21">
        <v>0.375</v>
      </c>
      <c r="C17" s="22"/>
      <c r="D17" s="22"/>
      <c r="E17" s="22"/>
      <c r="F17" s="216"/>
      <c r="G17" s="217"/>
      <c r="H17" s="22"/>
      <c r="I17" s="22"/>
      <c r="J17" s="216"/>
      <c r="K17" s="217"/>
      <c r="L17" s="22"/>
      <c r="M17" s="22"/>
      <c r="N17" s="216">
        <v>1</v>
      </c>
      <c r="O17" s="217"/>
      <c r="P17" s="22"/>
      <c r="Q17" s="22"/>
      <c r="R17" s="216"/>
      <c r="S17" s="217"/>
      <c r="T17" s="22"/>
      <c r="U17" s="22"/>
      <c r="V17" s="82"/>
      <c r="W17" s="206"/>
      <c r="AP17" s="28"/>
      <c r="AQ17" s="28"/>
      <c r="AR17" s="218"/>
      <c r="AS17" s="218"/>
      <c r="AT17" s="218"/>
      <c r="AU17" s="218"/>
      <c r="AV17" s="218"/>
      <c r="AW17" s="218"/>
      <c r="AX17" s="218"/>
      <c r="AY17" s="218"/>
    </row>
    <row r="18" s="1" customFormat="1" ht="36" customHeight="1">
      <c r="W18" s="206">
        <f>SUM(W13:W17)</f>
        <v>0</v>
      </c>
    </row>
    <row r="19" s="2" customFormat="1" ht="32.25" customHeight="1">
      <c r="A19" s="3"/>
      <c r="B19" s="5"/>
      <c r="C19" s="190" t="s">
        <v>48</v>
      </c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209"/>
      <c r="AP19" s="29"/>
      <c r="AQ19" s="29"/>
      <c r="AS19" s="213"/>
      <c r="AT19" s="213"/>
      <c r="AU19" s="213"/>
      <c r="AV19" s="213"/>
      <c r="AW19" s="213"/>
      <c r="AX19" s="213"/>
      <c r="AY19" s="213"/>
    </row>
    <row r="20" s="1" customFormat="1" ht="22.75" customHeight="1">
      <c r="A20" s="3"/>
      <c r="B20" s="5"/>
      <c r="C20" s="17" t="s">
        <v>142</v>
      </c>
      <c r="D20" s="17"/>
      <c r="E20" s="17"/>
      <c r="F20" s="17"/>
      <c r="G20" s="17" t="s">
        <v>143</v>
      </c>
      <c r="H20" s="17"/>
      <c r="I20" s="17"/>
      <c r="J20" s="17"/>
      <c r="K20" s="17" t="s">
        <v>72</v>
      </c>
      <c r="L20" s="17"/>
      <c r="M20" s="17"/>
      <c r="N20" s="17"/>
      <c r="O20" s="17" t="s">
        <v>144</v>
      </c>
      <c r="P20" s="17"/>
      <c r="Q20" s="17"/>
      <c r="R20" s="17"/>
      <c r="S20" s="17" t="s">
        <v>145</v>
      </c>
      <c r="T20" s="17"/>
      <c r="U20" s="17"/>
      <c r="V20" s="17"/>
      <c r="W20" s="206"/>
      <c r="AP20" s="28"/>
      <c r="AQ20" s="28"/>
    </row>
    <row r="21" s="1" customFormat="1" ht="18.649999999999999" customHeight="1">
      <c r="C21" s="18" t="s">
        <v>18</v>
      </c>
      <c r="D21" s="18"/>
      <c r="E21" s="18" t="s">
        <v>19</v>
      </c>
      <c r="F21" s="18"/>
      <c r="G21" s="18" t="s">
        <v>18</v>
      </c>
      <c r="H21" s="18"/>
      <c r="I21" s="18" t="s">
        <v>19</v>
      </c>
      <c r="J21" s="18"/>
      <c r="K21" s="18" t="s">
        <v>18</v>
      </c>
      <c r="L21" s="18"/>
      <c r="M21" s="18" t="s">
        <v>19</v>
      </c>
      <c r="N21" s="18"/>
      <c r="O21" s="18" t="s">
        <v>18</v>
      </c>
      <c r="P21" s="18"/>
      <c r="Q21" s="18" t="s">
        <v>19</v>
      </c>
      <c r="R21" s="18"/>
      <c r="S21" s="18" t="s">
        <v>18</v>
      </c>
      <c r="T21" s="18"/>
      <c r="U21" s="18" t="s">
        <v>19</v>
      </c>
      <c r="V21" s="18"/>
      <c r="W21" s="206"/>
      <c r="AP21" s="28"/>
      <c r="AQ21" s="28"/>
    </row>
    <row r="22" s="1" customFormat="1" ht="21">
      <c r="A22" s="19" t="s">
        <v>20</v>
      </c>
      <c r="B22" s="19"/>
      <c r="C22" s="214" t="s">
        <v>21</v>
      </c>
      <c r="D22" s="214" t="s">
        <v>22</v>
      </c>
      <c r="E22" s="214" t="s">
        <v>21</v>
      </c>
      <c r="F22" s="214" t="s">
        <v>22</v>
      </c>
      <c r="G22" s="214" t="s">
        <v>21</v>
      </c>
      <c r="H22" s="214" t="s">
        <v>22</v>
      </c>
      <c r="I22" s="214" t="s">
        <v>21</v>
      </c>
      <c r="J22" s="214" t="s">
        <v>22</v>
      </c>
      <c r="K22" s="214" t="s">
        <v>21</v>
      </c>
      <c r="L22" s="214" t="s">
        <v>22</v>
      </c>
      <c r="M22" s="214" t="s">
        <v>21</v>
      </c>
      <c r="N22" s="214" t="s">
        <v>22</v>
      </c>
      <c r="O22" s="214" t="s">
        <v>21</v>
      </c>
      <c r="P22" s="214" t="s">
        <v>22</v>
      </c>
      <c r="Q22" s="214" t="s">
        <v>21</v>
      </c>
      <c r="R22" s="214" t="s">
        <v>22</v>
      </c>
      <c r="S22" s="214" t="s">
        <v>21</v>
      </c>
      <c r="T22" s="214" t="s">
        <v>22</v>
      </c>
      <c r="U22" s="214" t="s">
        <v>21</v>
      </c>
      <c r="V22" s="214" t="s">
        <v>22</v>
      </c>
      <c r="W22" s="206"/>
      <c r="AP22" s="28"/>
      <c r="AQ22" s="28"/>
      <c r="AR22" s="215"/>
    </row>
    <row r="23" s="1" customFormat="1" ht="55" customHeight="1">
      <c r="A23" s="21">
        <v>0.27083333333333298</v>
      </c>
      <c r="B23" s="21">
        <v>0.29166666666666702</v>
      </c>
      <c r="C23" s="22"/>
      <c r="D23" s="22"/>
      <c r="E23" s="22"/>
      <c r="F23" s="216"/>
      <c r="G23" s="217"/>
      <c r="H23" s="22"/>
      <c r="I23" s="22"/>
      <c r="J23" s="216"/>
      <c r="K23" s="217"/>
      <c r="L23" s="22"/>
      <c r="M23" s="22"/>
      <c r="N23" s="216"/>
      <c r="O23" s="217"/>
      <c r="P23" s="22">
        <v>3</v>
      </c>
      <c r="Q23" s="22"/>
      <c r="R23" s="216"/>
      <c r="S23" s="217"/>
      <c r="T23" s="22"/>
      <c r="U23" s="22"/>
      <c r="V23" s="82"/>
      <c r="W23" s="206">
        <f t="shared" ref="W23:W27" si="183">SUM(C23:V23)</f>
        <v>3</v>
      </c>
      <c r="AP23" s="28"/>
      <c r="AQ23" s="28"/>
      <c r="AR23" s="218"/>
      <c r="AS23" s="218"/>
      <c r="AT23" s="218"/>
      <c r="AU23" s="218"/>
      <c r="AV23" s="218"/>
      <c r="AW23" s="218"/>
      <c r="AX23" s="218"/>
      <c r="AY23" s="218"/>
    </row>
    <row r="24" s="1" customFormat="1" ht="55" customHeight="1">
      <c r="A24" s="21">
        <v>0.29166666666666702</v>
      </c>
      <c r="B24" s="21">
        <v>0.3125</v>
      </c>
      <c r="C24" s="22"/>
      <c r="D24" s="22"/>
      <c r="E24" s="22"/>
      <c r="F24" s="216"/>
      <c r="G24" s="217"/>
      <c r="H24" s="22"/>
      <c r="I24" s="22"/>
      <c r="J24" s="216"/>
      <c r="K24" s="217">
        <v>1</v>
      </c>
      <c r="L24" s="22">
        <v>1</v>
      </c>
      <c r="M24" s="22"/>
      <c r="N24" s="216"/>
      <c r="O24" s="217"/>
      <c r="P24" s="22">
        <v>1</v>
      </c>
      <c r="Q24" s="22"/>
      <c r="R24" s="216"/>
      <c r="S24" s="217"/>
      <c r="T24" s="22"/>
      <c r="U24" s="22"/>
      <c r="V24" s="82"/>
      <c r="W24" s="206">
        <f t="shared" si="183"/>
        <v>3</v>
      </c>
      <c r="AP24" s="28"/>
      <c r="AQ24" s="28"/>
      <c r="AR24" s="218"/>
      <c r="AS24" s="218"/>
      <c r="AT24" s="218"/>
      <c r="AU24" s="218"/>
      <c r="AV24" s="218"/>
      <c r="AW24" s="218"/>
      <c r="AX24" s="218"/>
      <c r="AY24" s="218"/>
    </row>
    <row r="25" s="1" customFormat="1" ht="55" customHeight="1">
      <c r="A25" s="21">
        <v>0.3125</v>
      </c>
      <c r="B25" s="21">
        <v>0.33333333333333298</v>
      </c>
      <c r="C25" s="22"/>
      <c r="D25" s="22"/>
      <c r="E25" s="22"/>
      <c r="F25" s="216"/>
      <c r="G25" s="217"/>
      <c r="H25" s="22"/>
      <c r="I25" s="22"/>
      <c r="J25" s="216"/>
      <c r="K25" s="217"/>
      <c r="L25" s="22">
        <v>1</v>
      </c>
      <c r="M25" s="22"/>
      <c r="N25" s="216"/>
      <c r="O25" s="217"/>
      <c r="P25" s="22"/>
      <c r="Q25" s="22"/>
      <c r="R25" s="216"/>
      <c r="S25" s="217"/>
      <c r="T25" s="22"/>
      <c r="U25" s="22"/>
      <c r="V25" s="82"/>
      <c r="W25" s="206">
        <f t="shared" si="183"/>
        <v>1</v>
      </c>
      <c r="AP25" s="28"/>
      <c r="AQ25" s="28"/>
      <c r="AR25" s="218"/>
      <c r="AS25" s="218"/>
      <c r="AT25" s="218"/>
      <c r="AU25" s="218"/>
      <c r="AV25" s="218"/>
      <c r="AW25" s="218"/>
      <c r="AX25" s="218"/>
      <c r="AY25" s="218"/>
    </row>
    <row r="26" s="1" customFormat="1" ht="55" customHeight="1">
      <c r="A26" s="21">
        <v>0.33333333333333298</v>
      </c>
      <c r="B26" s="21">
        <v>0.35416666666666702</v>
      </c>
      <c r="C26" s="22"/>
      <c r="D26" s="22"/>
      <c r="E26" s="22"/>
      <c r="F26" s="216"/>
      <c r="G26" s="217"/>
      <c r="H26" s="22"/>
      <c r="I26" s="22"/>
      <c r="J26" s="216"/>
      <c r="K26" s="217"/>
      <c r="L26" s="22">
        <v>1</v>
      </c>
      <c r="M26" s="22"/>
      <c r="N26" s="216"/>
      <c r="O26" s="217"/>
      <c r="P26" s="22">
        <v>1</v>
      </c>
      <c r="Q26" s="22"/>
      <c r="R26" s="216"/>
      <c r="S26" s="217"/>
      <c r="T26" s="22"/>
      <c r="U26" s="22"/>
      <c r="V26" s="82"/>
      <c r="W26" s="206">
        <f t="shared" si="183"/>
        <v>2</v>
      </c>
      <c r="AP26" s="28"/>
      <c r="AQ26" s="28"/>
      <c r="AR26" s="218"/>
      <c r="AS26" s="218"/>
      <c r="AT26" s="218"/>
      <c r="AU26" s="218"/>
      <c r="AV26" s="218"/>
      <c r="AW26" s="218"/>
      <c r="AX26" s="218"/>
      <c r="AY26" s="218"/>
    </row>
    <row r="27" s="1" customFormat="1" ht="55" customHeight="1">
      <c r="A27" s="21">
        <v>0.35416666666666702</v>
      </c>
      <c r="B27" s="21">
        <v>0.375</v>
      </c>
      <c r="C27" s="22"/>
      <c r="D27" s="22"/>
      <c r="E27" s="22"/>
      <c r="F27" s="216"/>
      <c r="G27" s="217"/>
      <c r="H27" s="22"/>
      <c r="I27" s="22"/>
      <c r="J27" s="216"/>
      <c r="K27" s="217"/>
      <c r="L27" s="22">
        <v>1</v>
      </c>
      <c r="M27" s="22"/>
      <c r="N27" s="216"/>
      <c r="O27" s="217"/>
      <c r="P27" s="22"/>
      <c r="Q27" s="22"/>
      <c r="R27" s="216"/>
      <c r="S27" s="217"/>
      <c r="T27" s="22"/>
      <c r="U27" s="22"/>
      <c r="V27" s="82"/>
      <c r="W27" s="206">
        <f t="shared" si="183"/>
        <v>1</v>
      </c>
      <c r="AP27" s="28"/>
      <c r="AQ27" s="28"/>
      <c r="AR27" s="218"/>
      <c r="AS27" s="218"/>
      <c r="AT27" s="218"/>
      <c r="AU27" s="218"/>
      <c r="AV27" s="218"/>
      <c r="AW27" s="218"/>
      <c r="AX27" s="218"/>
      <c r="AY27" s="218"/>
    </row>
    <row r="28" s="1" customFormat="1" ht="36" customHeight="1">
      <c r="W28" s="206">
        <f>SUM(W23:W27)</f>
        <v>10</v>
      </c>
    </row>
    <row r="29" s="2" customFormat="1" ht="32.25" customHeight="1">
      <c r="A29" s="3"/>
      <c r="B29" s="5"/>
      <c r="C29" s="190" t="s">
        <v>146</v>
      </c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209"/>
      <c r="AP29" s="29"/>
      <c r="AQ29" s="29"/>
      <c r="AS29" s="213"/>
      <c r="AT29" s="213"/>
      <c r="AU29" s="213"/>
      <c r="AV29" s="213"/>
      <c r="AW29" s="213"/>
      <c r="AX29" s="213"/>
      <c r="AY29" s="213"/>
    </row>
    <row r="30" s="1" customFormat="1" ht="22.75" customHeight="1">
      <c r="A30" s="3"/>
      <c r="B30" s="5"/>
      <c r="C30" s="17" t="s">
        <v>143</v>
      </c>
      <c r="D30" s="17"/>
      <c r="E30" s="17"/>
      <c r="F30" s="17"/>
      <c r="G30" s="17" t="s">
        <v>72</v>
      </c>
      <c r="H30" s="17"/>
      <c r="I30" s="17"/>
      <c r="J30" s="17"/>
      <c r="K30" s="17" t="s">
        <v>144</v>
      </c>
      <c r="L30" s="17"/>
      <c r="M30" s="17"/>
      <c r="N30" s="17"/>
      <c r="O30" s="17" t="s">
        <v>145</v>
      </c>
      <c r="P30" s="17"/>
      <c r="Q30" s="17"/>
      <c r="R30" s="17"/>
      <c r="S30" s="17" t="s">
        <v>55</v>
      </c>
      <c r="T30" s="17"/>
      <c r="U30" s="17"/>
      <c r="V30" s="17"/>
      <c r="W30" s="206"/>
      <c r="AP30" s="28"/>
      <c r="AQ30" s="28"/>
    </row>
    <row r="31" s="1" customFormat="1" ht="18.649999999999999" customHeight="1">
      <c r="A31" s="3"/>
      <c r="B31" s="5"/>
      <c r="C31" s="18" t="s">
        <v>18</v>
      </c>
      <c r="D31" s="18"/>
      <c r="E31" s="18" t="s">
        <v>19</v>
      </c>
      <c r="F31" s="18"/>
      <c r="G31" s="18" t="s">
        <v>18</v>
      </c>
      <c r="H31" s="18"/>
      <c r="I31" s="18" t="s">
        <v>19</v>
      </c>
      <c r="J31" s="18"/>
      <c r="K31" s="18" t="s">
        <v>18</v>
      </c>
      <c r="L31" s="18"/>
      <c r="M31" s="18" t="s">
        <v>19</v>
      </c>
      <c r="N31" s="18"/>
      <c r="O31" s="18" t="s">
        <v>18</v>
      </c>
      <c r="P31" s="18"/>
      <c r="Q31" s="18" t="s">
        <v>19</v>
      </c>
      <c r="R31" s="18"/>
      <c r="S31" s="18" t="s">
        <v>18</v>
      </c>
      <c r="T31" s="18"/>
      <c r="U31" s="18" t="s">
        <v>19</v>
      </c>
      <c r="V31" s="18"/>
      <c r="W31" s="206"/>
      <c r="AP31" s="28"/>
      <c r="AQ31" s="28"/>
    </row>
    <row r="32" s="1" customFormat="1" ht="21">
      <c r="A32" s="19" t="s">
        <v>20</v>
      </c>
      <c r="B32" s="19"/>
      <c r="C32" s="214" t="s">
        <v>21</v>
      </c>
      <c r="D32" s="214" t="s">
        <v>22</v>
      </c>
      <c r="E32" s="214" t="s">
        <v>21</v>
      </c>
      <c r="F32" s="214" t="s">
        <v>22</v>
      </c>
      <c r="G32" s="214" t="s">
        <v>21</v>
      </c>
      <c r="H32" s="214" t="s">
        <v>22</v>
      </c>
      <c r="I32" s="214" t="s">
        <v>21</v>
      </c>
      <c r="J32" s="214" t="s">
        <v>22</v>
      </c>
      <c r="K32" s="214" t="s">
        <v>21</v>
      </c>
      <c r="L32" s="214" t="s">
        <v>22</v>
      </c>
      <c r="M32" s="214" t="s">
        <v>21</v>
      </c>
      <c r="N32" s="214" t="s">
        <v>22</v>
      </c>
      <c r="O32" s="214" t="s">
        <v>21</v>
      </c>
      <c r="P32" s="214" t="s">
        <v>22</v>
      </c>
      <c r="Q32" s="214" t="s">
        <v>21</v>
      </c>
      <c r="R32" s="214" t="s">
        <v>22</v>
      </c>
      <c r="S32" s="214" t="s">
        <v>21</v>
      </c>
      <c r="T32" s="214" t="s">
        <v>22</v>
      </c>
      <c r="U32" s="214" t="s">
        <v>21</v>
      </c>
      <c r="V32" s="214" t="s">
        <v>22</v>
      </c>
      <c r="W32" s="206"/>
      <c r="AP32" s="28"/>
      <c r="AQ32" s="28"/>
      <c r="AR32" s="215"/>
    </row>
    <row r="33" s="1" customFormat="1" ht="55" customHeight="1">
      <c r="A33" s="21">
        <v>0.27083333333333298</v>
      </c>
      <c r="B33" s="21">
        <v>0.29166666666666702</v>
      </c>
      <c r="C33" s="22"/>
      <c r="D33" s="22"/>
      <c r="E33" s="22"/>
      <c r="F33" s="216"/>
      <c r="G33" s="217"/>
      <c r="H33" s="22"/>
      <c r="I33" s="22"/>
      <c r="J33" s="216"/>
      <c r="K33" s="217"/>
      <c r="L33" s="22"/>
      <c r="M33" s="22"/>
      <c r="N33" s="216"/>
      <c r="O33" s="217"/>
      <c r="P33" s="22"/>
      <c r="Q33" s="22"/>
      <c r="R33" s="216"/>
      <c r="S33" s="217"/>
      <c r="T33" s="22"/>
      <c r="U33" s="22"/>
      <c r="V33" s="82"/>
      <c r="W33" s="206"/>
      <c r="AP33" s="28"/>
      <c r="AQ33" s="28"/>
      <c r="AR33" s="218"/>
      <c r="AS33" s="218"/>
      <c r="AT33" s="218"/>
      <c r="AU33" s="218"/>
      <c r="AV33" s="218"/>
      <c r="AW33" s="218"/>
      <c r="AX33" s="218"/>
      <c r="AY33" s="218"/>
    </row>
    <row r="34" s="1" customFormat="1" ht="55" customHeight="1">
      <c r="A34" s="21">
        <v>0.29166666666666702</v>
      </c>
      <c r="B34" s="21">
        <v>0.3125</v>
      </c>
      <c r="C34" s="22">
        <v>1</v>
      </c>
      <c r="D34" s="22"/>
      <c r="E34" s="22"/>
      <c r="F34" s="216"/>
      <c r="G34" s="217"/>
      <c r="H34" s="22"/>
      <c r="I34" s="22"/>
      <c r="J34" s="216"/>
      <c r="K34" s="217">
        <v>2</v>
      </c>
      <c r="L34" s="22"/>
      <c r="M34" s="22"/>
      <c r="N34" s="216"/>
      <c r="O34" s="217"/>
      <c r="P34" s="22"/>
      <c r="Q34" s="22"/>
      <c r="R34" s="216"/>
      <c r="S34" s="217"/>
      <c r="T34" s="22"/>
      <c r="U34" s="22"/>
      <c r="V34" s="82"/>
      <c r="W34" s="206"/>
      <c r="AP34" s="28"/>
      <c r="AQ34" s="28"/>
      <c r="AR34" s="218"/>
      <c r="AS34" s="218"/>
      <c r="AT34" s="218"/>
      <c r="AU34" s="218"/>
      <c r="AV34" s="218"/>
      <c r="AW34" s="218"/>
      <c r="AX34" s="218"/>
      <c r="AY34" s="218"/>
    </row>
    <row r="35" s="1" customFormat="1" ht="55" customHeight="1">
      <c r="A35" s="21">
        <v>0.3125</v>
      </c>
      <c r="B35" s="21">
        <v>0.33333333333333298</v>
      </c>
      <c r="C35" s="22"/>
      <c r="D35" s="22"/>
      <c r="E35" s="22"/>
      <c r="F35" s="216"/>
      <c r="G35" s="217"/>
      <c r="H35" s="22">
        <v>1</v>
      </c>
      <c r="I35" s="22"/>
      <c r="J35" s="216"/>
      <c r="K35" s="217"/>
      <c r="L35" s="22"/>
      <c r="M35" s="22"/>
      <c r="N35" s="216"/>
      <c r="O35" s="217"/>
      <c r="P35" s="22"/>
      <c r="Q35" s="22"/>
      <c r="R35" s="216"/>
      <c r="S35" s="217"/>
      <c r="T35" s="22"/>
      <c r="U35" s="22"/>
      <c r="V35" s="82"/>
      <c r="W35" s="206"/>
      <c r="AP35" s="28"/>
      <c r="AQ35" s="28"/>
      <c r="AR35" s="218"/>
      <c r="AS35" s="218"/>
      <c r="AT35" s="218"/>
      <c r="AU35" s="218"/>
      <c r="AV35" s="218"/>
      <c r="AW35" s="218"/>
      <c r="AX35" s="218"/>
      <c r="AY35" s="218"/>
    </row>
    <row r="36" s="1" customFormat="1" ht="55" customHeight="1">
      <c r="A36" s="21">
        <v>0.33333333333333298</v>
      </c>
      <c r="B36" s="21">
        <v>0.35416666666666702</v>
      </c>
      <c r="C36" s="22"/>
      <c r="D36" s="22"/>
      <c r="E36" s="22"/>
      <c r="F36" s="216"/>
      <c r="G36" s="217"/>
      <c r="H36" s="22"/>
      <c r="I36" s="22"/>
      <c r="J36" s="216"/>
      <c r="K36" s="217"/>
      <c r="L36" s="22"/>
      <c r="M36" s="22"/>
      <c r="N36" s="216"/>
      <c r="O36" s="217"/>
      <c r="P36" s="22"/>
      <c r="Q36" s="22"/>
      <c r="R36" s="216"/>
      <c r="S36" s="217"/>
      <c r="T36" s="22"/>
      <c r="U36" s="22"/>
      <c r="V36" s="82"/>
      <c r="W36" s="206"/>
      <c r="AP36" s="28"/>
      <c r="AQ36" s="28"/>
      <c r="AR36" s="218"/>
      <c r="AS36" s="218"/>
      <c r="AT36" s="218"/>
      <c r="AU36" s="218"/>
      <c r="AV36" s="218"/>
      <c r="AW36" s="218"/>
      <c r="AX36" s="218"/>
      <c r="AY36" s="218"/>
    </row>
    <row r="37" s="1" customFormat="1" ht="55" customHeight="1">
      <c r="A37" s="21">
        <v>0.35416666666666702</v>
      </c>
      <c r="B37" s="21">
        <v>0.375</v>
      </c>
      <c r="C37" s="22"/>
      <c r="D37" s="22"/>
      <c r="E37" s="22"/>
      <c r="F37" s="216"/>
      <c r="G37" s="217"/>
      <c r="H37" s="22"/>
      <c r="I37" s="22"/>
      <c r="J37" s="216"/>
      <c r="K37" s="217"/>
      <c r="L37" s="22"/>
      <c r="M37" s="22"/>
      <c r="N37" s="216"/>
      <c r="O37" s="217"/>
      <c r="P37" s="22"/>
      <c r="Q37" s="22"/>
      <c r="R37" s="216"/>
      <c r="S37" s="217"/>
      <c r="T37" s="22"/>
      <c r="U37" s="22"/>
      <c r="V37" s="82"/>
      <c r="W37" s="206"/>
      <c r="AP37" s="28"/>
      <c r="AQ37" s="28"/>
      <c r="AR37" s="218"/>
      <c r="AS37" s="218"/>
      <c r="AT37" s="218"/>
      <c r="AU37" s="218"/>
      <c r="AV37" s="218"/>
      <c r="AW37" s="218"/>
      <c r="AX37" s="218"/>
      <c r="AY37" s="218"/>
    </row>
    <row r="38" s="23" customFormat="1" ht="55" customHeight="1">
      <c r="A38" s="24"/>
      <c r="B38" s="25" t="s">
        <v>23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19"/>
    </row>
    <row r="39" s="23" customFormat="1" ht="55" customHeight="1">
      <c r="A39" s="24">
        <v>4</v>
      </c>
      <c r="B39" s="25" t="s">
        <v>34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19"/>
    </row>
    <row r="40" s="23" customFormat="1" ht="55" customHeight="1">
      <c r="A40" s="24">
        <v>2</v>
      </c>
      <c r="B40" s="25" t="s">
        <v>25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19"/>
    </row>
    <row r="41" s="23" customFormat="1" ht="45" customHeight="1">
      <c r="A41" s="24">
        <v>3</v>
      </c>
      <c r="B41" s="25" t="s">
        <v>26</v>
      </c>
      <c r="C41" s="26"/>
      <c r="D41" s="26"/>
      <c r="E41" s="26"/>
      <c r="F41" s="26"/>
      <c r="G41" s="26"/>
      <c r="H41" s="26"/>
      <c r="I41" s="26"/>
      <c r="J41" s="26"/>
      <c r="K41" s="26"/>
      <c r="L41" s="26">
        <v>4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19"/>
    </row>
    <row r="42" s="8" customFormat="1" ht="52.5" customHeight="1">
      <c r="A42" s="207"/>
      <c r="B42" s="4" t="s">
        <v>147</v>
      </c>
      <c r="C42" s="5"/>
      <c r="D42" s="5"/>
      <c r="E42" s="5"/>
      <c r="F42" s="2"/>
      <c r="G42" s="5"/>
      <c r="H42" s="5"/>
      <c r="I42" s="5"/>
      <c r="J42" s="5"/>
      <c r="K42" s="2"/>
      <c r="L42" s="2"/>
      <c r="M42" s="2"/>
      <c r="N42" s="2"/>
      <c r="O42" s="5"/>
      <c r="P42" s="5"/>
      <c r="Q42" s="5"/>
      <c r="R42" s="5"/>
      <c r="S42" s="2"/>
      <c r="T42" s="2"/>
      <c r="U42" s="2"/>
      <c r="V42" s="2"/>
      <c r="W42" s="208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2"/>
      <c r="AY42" s="2"/>
    </row>
    <row r="43" s="8" customFormat="1" ht="52.5" customHeight="1">
      <c r="A43" s="3" t="s">
        <v>3</v>
      </c>
      <c r="B43" s="5"/>
      <c r="C43" s="5"/>
      <c r="D43" s="5"/>
      <c r="E43" s="5"/>
      <c r="F43" s="2"/>
      <c r="G43" s="5"/>
      <c r="H43" s="5"/>
      <c r="I43" s="5"/>
      <c r="J43" s="5"/>
      <c r="K43" s="5"/>
      <c r="L43" s="5" t="s">
        <v>138</v>
      </c>
      <c r="M43" s="5"/>
      <c r="N43" s="5"/>
      <c r="O43" s="5"/>
      <c r="P43" s="5"/>
      <c r="Q43" s="5"/>
      <c r="R43" s="5"/>
      <c r="S43" s="5"/>
      <c r="T43" s="5" t="s">
        <v>140</v>
      </c>
      <c r="U43" s="5"/>
      <c r="V43" s="5"/>
      <c r="W43" s="208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2"/>
      <c r="AY43" s="2"/>
    </row>
    <row r="44" s="8" customFormat="1" ht="52.5" customHeight="1">
      <c r="A44" s="3" t="s">
        <v>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9" t="s">
        <v>7</v>
      </c>
      <c r="Q44" s="5"/>
      <c r="R44" s="5"/>
      <c r="S44" s="5"/>
      <c r="T44" s="5"/>
      <c r="U44" s="5"/>
      <c r="V44" s="5"/>
      <c r="W44" s="209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="8" customFormat="1" ht="25.5" customHeight="1">
      <c r="W45" s="210"/>
    </row>
    <row r="46" s="8" customFormat="1" ht="25.5" customHeight="1">
      <c r="A46" s="11" t="s">
        <v>148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09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="8" customFormat="1" ht="50.649999999999999" customHeight="1">
      <c r="A47" s="11" t="s">
        <v>149</v>
      </c>
      <c r="B47" s="5"/>
      <c r="C47" s="5"/>
      <c r="D47" s="5"/>
      <c r="E47" s="5"/>
      <c r="F47" s="5"/>
      <c r="G47" s="1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209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="8" customFormat="1" ht="25.5" customHeight="1">
      <c r="A48" s="1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211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"/>
      <c r="AY48" s="2"/>
    </row>
    <row r="49" s="2" customFormat="1" ht="32.25" customHeight="1">
      <c r="A49" s="3"/>
      <c r="B49" s="5"/>
      <c r="C49" s="16" t="s">
        <v>150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209"/>
      <c r="AP49" s="29"/>
      <c r="AQ49" s="29"/>
      <c r="AS49" s="213"/>
      <c r="AT49" s="213"/>
      <c r="AU49" s="213"/>
      <c r="AV49" s="213"/>
      <c r="AW49" s="213"/>
      <c r="AX49" s="213"/>
      <c r="AY49" s="213"/>
    </row>
    <row r="50" s="1" customFormat="1" ht="22.75" customHeight="1">
      <c r="A50" s="3"/>
      <c r="B50" s="5"/>
      <c r="C50" s="17" t="s">
        <v>72</v>
      </c>
      <c r="D50" s="17"/>
      <c r="E50" s="17"/>
      <c r="F50" s="17"/>
      <c r="G50" s="17" t="s">
        <v>144</v>
      </c>
      <c r="H50" s="17"/>
      <c r="I50" s="17"/>
      <c r="J50" s="17"/>
      <c r="K50" s="17" t="s">
        <v>145</v>
      </c>
      <c r="L50" s="17"/>
      <c r="M50" s="17"/>
      <c r="N50" s="17"/>
      <c r="O50" s="17" t="s">
        <v>55</v>
      </c>
      <c r="P50" s="17"/>
      <c r="Q50" s="17"/>
      <c r="R50" s="17"/>
      <c r="S50" s="17" t="s">
        <v>142</v>
      </c>
      <c r="T50" s="17"/>
      <c r="U50" s="17"/>
      <c r="V50" s="17"/>
      <c r="W50" s="206"/>
      <c r="AP50" s="28"/>
      <c r="AQ50" s="28"/>
    </row>
    <row r="51" s="1" customFormat="1" ht="18.649999999999999" customHeight="1">
      <c r="A51" s="3"/>
      <c r="B51" s="5"/>
      <c r="C51" s="18" t="s">
        <v>18</v>
      </c>
      <c r="D51" s="18"/>
      <c r="E51" s="18" t="s">
        <v>19</v>
      </c>
      <c r="F51" s="18"/>
      <c r="G51" s="18" t="s">
        <v>18</v>
      </c>
      <c r="H51" s="18"/>
      <c r="I51" s="18" t="s">
        <v>19</v>
      </c>
      <c r="J51" s="18"/>
      <c r="K51" s="18" t="s">
        <v>18</v>
      </c>
      <c r="L51" s="18"/>
      <c r="M51" s="18" t="s">
        <v>19</v>
      </c>
      <c r="N51" s="18"/>
      <c r="O51" s="18" t="s">
        <v>18</v>
      </c>
      <c r="P51" s="18"/>
      <c r="Q51" s="18" t="s">
        <v>19</v>
      </c>
      <c r="R51" s="18"/>
      <c r="S51" s="18" t="s">
        <v>18</v>
      </c>
      <c r="T51" s="18"/>
      <c r="U51" s="18" t="s">
        <v>19</v>
      </c>
      <c r="V51" s="18"/>
      <c r="W51" s="206"/>
      <c r="AP51" s="28"/>
      <c r="AQ51" s="28"/>
    </row>
    <row r="52" s="1" customFormat="1" ht="21">
      <c r="A52" s="19" t="s">
        <v>20</v>
      </c>
      <c r="B52" s="19"/>
      <c r="C52" s="214" t="s">
        <v>21</v>
      </c>
      <c r="D52" s="214" t="s">
        <v>22</v>
      </c>
      <c r="E52" s="214" t="s">
        <v>21</v>
      </c>
      <c r="F52" s="214" t="s">
        <v>22</v>
      </c>
      <c r="G52" s="214" t="s">
        <v>21</v>
      </c>
      <c r="H52" s="214" t="s">
        <v>22</v>
      </c>
      <c r="I52" s="214" t="s">
        <v>21</v>
      </c>
      <c r="J52" s="214" t="s">
        <v>22</v>
      </c>
      <c r="K52" s="214" t="s">
        <v>21</v>
      </c>
      <c r="L52" s="214" t="s">
        <v>22</v>
      </c>
      <c r="M52" s="214" t="s">
        <v>21</v>
      </c>
      <c r="N52" s="214" t="s">
        <v>22</v>
      </c>
      <c r="O52" s="214" t="s">
        <v>21</v>
      </c>
      <c r="P52" s="214" t="s">
        <v>22</v>
      </c>
      <c r="Q52" s="214" t="s">
        <v>21</v>
      </c>
      <c r="R52" s="214" t="s">
        <v>22</v>
      </c>
      <c r="S52" s="214" t="s">
        <v>21</v>
      </c>
      <c r="T52" s="214" t="s">
        <v>22</v>
      </c>
      <c r="U52" s="214" t="s">
        <v>21</v>
      </c>
      <c r="V52" s="214" t="s">
        <v>22</v>
      </c>
      <c r="W52" s="206"/>
      <c r="AP52" s="28"/>
      <c r="AQ52" s="28"/>
      <c r="AR52" s="215"/>
    </row>
    <row r="53" s="1" customFormat="1" ht="55" customHeight="1">
      <c r="A53" s="21">
        <v>0.27083333333333298</v>
      </c>
      <c r="B53" s="21">
        <v>0.29166666666666702</v>
      </c>
      <c r="C53" s="22"/>
      <c r="D53" s="22"/>
      <c r="E53" s="22"/>
      <c r="F53" s="216"/>
      <c r="G53" s="217"/>
      <c r="H53" s="22"/>
      <c r="I53" s="22"/>
      <c r="J53" s="216"/>
      <c r="K53" s="217"/>
      <c r="L53" s="22"/>
      <c r="M53" s="22"/>
      <c r="N53" s="216"/>
      <c r="O53" s="217"/>
      <c r="P53" s="22"/>
      <c r="Q53" s="22"/>
      <c r="R53" s="216"/>
      <c r="S53" s="217"/>
      <c r="T53" s="22"/>
      <c r="U53" s="22"/>
      <c r="V53" s="82"/>
      <c r="W53" s="206">
        <f t="shared" ref="W53:W57" si="184">SUM(C53:V53)</f>
        <v>0</v>
      </c>
      <c r="AP53" s="28"/>
      <c r="AQ53" s="28"/>
      <c r="AR53" s="218"/>
      <c r="AS53" s="218"/>
      <c r="AT53" s="218"/>
      <c r="AU53" s="218"/>
      <c r="AV53" s="218"/>
      <c r="AW53" s="218"/>
      <c r="AX53" s="218"/>
      <c r="AY53" s="218"/>
    </row>
    <row r="54" s="1" customFormat="1" ht="55" customHeight="1">
      <c r="A54" s="21">
        <v>0.29166666666666702</v>
      </c>
      <c r="B54" s="21">
        <v>0.3125</v>
      </c>
      <c r="C54" s="22"/>
      <c r="D54" s="22"/>
      <c r="E54" s="22"/>
      <c r="F54" s="216"/>
      <c r="G54" s="217"/>
      <c r="H54" s="22"/>
      <c r="I54" s="22"/>
      <c r="J54" s="216"/>
      <c r="K54" s="217"/>
      <c r="L54" s="22"/>
      <c r="M54" s="22"/>
      <c r="N54" s="216"/>
      <c r="O54" s="217"/>
      <c r="P54" s="22"/>
      <c r="Q54" s="22"/>
      <c r="R54" s="216"/>
      <c r="S54" s="217"/>
      <c r="T54" s="22"/>
      <c r="U54" s="22"/>
      <c r="V54" s="82"/>
      <c r="W54" s="206">
        <f t="shared" si="184"/>
        <v>0</v>
      </c>
      <c r="AP54" s="28"/>
      <c r="AQ54" s="28"/>
      <c r="AR54" s="218"/>
      <c r="AS54" s="218"/>
      <c r="AT54" s="218"/>
      <c r="AU54" s="218"/>
      <c r="AV54" s="218"/>
      <c r="AW54" s="218"/>
      <c r="AX54" s="218"/>
      <c r="AY54" s="218"/>
    </row>
    <row r="55" s="1" customFormat="1" ht="55" customHeight="1">
      <c r="A55" s="21">
        <v>0.3125</v>
      </c>
      <c r="B55" s="21">
        <v>0.33333333333333298</v>
      </c>
      <c r="C55" s="22"/>
      <c r="D55" s="22"/>
      <c r="E55" s="22"/>
      <c r="F55" s="216"/>
      <c r="G55" s="217"/>
      <c r="H55" s="22">
        <v>2</v>
      </c>
      <c r="I55" s="22"/>
      <c r="J55" s="216"/>
      <c r="K55" s="217"/>
      <c r="L55" s="22"/>
      <c r="M55" s="22"/>
      <c r="N55" s="216"/>
      <c r="O55" s="217"/>
      <c r="P55" s="22"/>
      <c r="Q55" s="22"/>
      <c r="R55" s="216"/>
      <c r="S55" s="217"/>
      <c r="T55" s="22"/>
      <c r="U55" s="22"/>
      <c r="V55" s="82"/>
      <c r="W55" s="206">
        <f t="shared" si="184"/>
        <v>2</v>
      </c>
      <c r="AP55" s="28"/>
      <c r="AQ55" s="28"/>
      <c r="AR55" s="218"/>
      <c r="AS55" s="218"/>
      <c r="AT55" s="218"/>
      <c r="AU55" s="218"/>
      <c r="AV55" s="218"/>
      <c r="AW55" s="218"/>
      <c r="AX55" s="218"/>
      <c r="AY55" s="218"/>
    </row>
    <row r="56" s="1" customFormat="1" ht="55" customHeight="1">
      <c r="A56" s="21">
        <v>0.33333333333333298</v>
      </c>
      <c r="B56" s="21">
        <v>0.35416666666666702</v>
      </c>
      <c r="C56" s="22"/>
      <c r="D56" s="22"/>
      <c r="E56" s="22"/>
      <c r="F56" s="216"/>
      <c r="G56" s="217"/>
      <c r="H56" s="22"/>
      <c r="I56" s="22"/>
      <c r="J56" s="216">
        <v>1</v>
      </c>
      <c r="K56" s="217"/>
      <c r="L56" s="22"/>
      <c r="M56" s="22"/>
      <c r="N56" s="216"/>
      <c r="O56" s="217"/>
      <c r="P56" s="22"/>
      <c r="Q56" s="22"/>
      <c r="R56" s="216"/>
      <c r="S56" s="217"/>
      <c r="T56" s="22"/>
      <c r="U56" s="22"/>
      <c r="V56" s="82"/>
      <c r="W56" s="206">
        <f t="shared" si="184"/>
        <v>1</v>
      </c>
      <c r="AP56" s="28"/>
      <c r="AQ56" s="28"/>
      <c r="AR56" s="218"/>
      <c r="AS56" s="218"/>
      <c r="AT56" s="218"/>
      <c r="AU56" s="218"/>
      <c r="AV56" s="218"/>
      <c r="AW56" s="218"/>
      <c r="AX56" s="218"/>
      <c r="AY56" s="218"/>
    </row>
    <row r="57" s="1" customFormat="1" ht="55" customHeight="1">
      <c r="A57" s="21">
        <v>0.35416666666666702</v>
      </c>
      <c r="B57" s="21">
        <v>0.375</v>
      </c>
      <c r="C57" s="22"/>
      <c r="D57" s="22"/>
      <c r="E57" s="22"/>
      <c r="F57" s="216"/>
      <c r="G57" s="217"/>
      <c r="H57" s="22">
        <v>1</v>
      </c>
      <c r="I57" s="22"/>
      <c r="J57" s="216"/>
      <c r="K57" s="217"/>
      <c r="L57" s="22"/>
      <c r="M57" s="22"/>
      <c r="N57" s="216"/>
      <c r="O57" s="217"/>
      <c r="P57" s="22"/>
      <c r="Q57" s="22"/>
      <c r="R57" s="216"/>
      <c r="S57" s="217"/>
      <c r="T57" s="22"/>
      <c r="U57" s="22"/>
      <c r="V57" s="82"/>
      <c r="W57" s="206">
        <f t="shared" si="184"/>
        <v>1</v>
      </c>
      <c r="AP57" s="28"/>
      <c r="AQ57" s="28"/>
      <c r="AR57" s="218"/>
      <c r="AS57" s="218"/>
      <c r="AT57" s="218"/>
      <c r="AU57" s="218"/>
      <c r="AV57" s="218"/>
      <c r="AW57" s="218"/>
      <c r="AX57" s="218"/>
      <c r="AY57" s="218"/>
    </row>
    <row r="58" s="1" customFormat="1" ht="36" customHeight="1">
      <c r="W58" s="206">
        <f>SUM(W53:W57)</f>
        <v>4</v>
      </c>
    </row>
    <row r="59" s="2" customFormat="1" ht="32.25" customHeight="1">
      <c r="A59" s="3"/>
      <c r="B59" s="5"/>
      <c r="C59" s="16" t="s">
        <v>104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209"/>
      <c r="AP59" s="29"/>
      <c r="AQ59" s="29"/>
      <c r="AS59" s="213"/>
      <c r="AT59" s="213"/>
      <c r="AU59" s="213"/>
      <c r="AV59" s="213"/>
      <c r="AW59" s="213"/>
      <c r="AX59" s="213"/>
      <c r="AY59" s="213"/>
    </row>
    <row r="60" s="1" customFormat="1" ht="22.75" customHeight="1">
      <c r="A60" s="3"/>
      <c r="B60" s="5"/>
      <c r="C60" s="17" t="s">
        <v>144</v>
      </c>
      <c r="D60" s="17"/>
      <c r="E60" s="17"/>
      <c r="F60" s="17"/>
      <c r="G60" s="17" t="s">
        <v>145</v>
      </c>
      <c r="H60" s="17"/>
      <c r="I60" s="17"/>
      <c r="J60" s="17"/>
      <c r="K60" s="17" t="s">
        <v>55</v>
      </c>
      <c r="L60" s="17"/>
      <c r="M60" s="17"/>
      <c r="N60" s="17"/>
      <c r="O60" s="17" t="s">
        <v>142</v>
      </c>
      <c r="P60" s="17"/>
      <c r="Q60" s="17"/>
      <c r="R60" s="17"/>
      <c r="S60" s="17" t="s">
        <v>143</v>
      </c>
      <c r="T60" s="17"/>
      <c r="U60" s="17"/>
      <c r="V60" s="17"/>
      <c r="W60" s="206"/>
      <c r="AP60" s="28"/>
      <c r="AQ60" s="28"/>
    </row>
    <row r="61" s="1" customFormat="1" ht="18.649999999999999" customHeight="1">
      <c r="C61" s="18" t="s">
        <v>18</v>
      </c>
      <c r="D61" s="18"/>
      <c r="E61" s="18" t="s">
        <v>19</v>
      </c>
      <c r="F61" s="18"/>
      <c r="G61" s="18" t="s">
        <v>18</v>
      </c>
      <c r="H61" s="18"/>
      <c r="I61" s="18" t="s">
        <v>19</v>
      </c>
      <c r="J61" s="18"/>
      <c r="K61" s="18" t="s">
        <v>18</v>
      </c>
      <c r="L61" s="18"/>
      <c r="M61" s="18" t="s">
        <v>19</v>
      </c>
      <c r="N61" s="18"/>
      <c r="O61" s="18" t="s">
        <v>18</v>
      </c>
      <c r="P61" s="18"/>
      <c r="Q61" s="18" t="s">
        <v>19</v>
      </c>
      <c r="R61" s="18"/>
      <c r="S61" s="18" t="s">
        <v>18</v>
      </c>
      <c r="T61" s="18"/>
      <c r="U61" s="18" t="s">
        <v>19</v>
      </c>
      <c r="V61" s="18"/>
      <c r="W61" s="206"/>
      <c r="AP61" s="28"/>
      <c r="AQ61" s="28"/>
    </row>
    <row r="62" s="1" customFormat="1" ht="21">
      <c r="A62" s="19" t="s">
        <v>20</v>
      </c>
      <c r="B62" s="19"/>
      <c r="C62" s="214" t="s">
        <v>21</v>
      </c>
      <c r="D62" s="214" t="s">
        <v>22</v>
      </c>
      <c r="E62" s="214" t="s">
        <v>21</v>
      </c>
      <c r="F62" s="214" t="s">
        <v>22</v>
      </c>
      <c r="G62" s="214" t="s">
        <v>21</v>
      </c>
      <c r="H62" s="214" t="s">
        <v>22</v>
      </c>
      <c r="I62" s="214" t="s">
        <v>21</v>
      </c>
      <c r="J62" s="214" t="s">
        <v>22</v>
      </c>
      <c r="K62" s="214" t="s">
        <v>21</v>
      </c>
      <c r="L62" s="214" t="s">
        <v>22</v>
      </c>
      <c r="M62" s="214" t="s">
        <v>21</v>
      </c>
      <c r="N62" s="214" t="s">
        <v>22</v>
      </c>
      <c r="O62" s="214" t="s">
        <v>21</v>
      </c>
      <c r="P62" s="214" t="s">
        <v>22</v>
      </c>
      <c r="Q62" s="214" t="s">
        <v>21</v>
      </c>
      <c r="R62" s="214" t="s">
        <v>22</v>
      </c>
      <c r="S62" s="214" t="s">
        <v>21</v>
      </c>
      <c r="T62" s="214" t="s">
        <v>22</v>
      </c>
      <c r="U62" s="214" t="s">
        <v>21</v>
      </c>
      <c r="V62" s="214" t="s">
        <v>22</v>
      </c>
      <c r="W62" s="206"/>
      <c r="AP62" s="28"/>
      <c r="AQ62" s="28"/>
      <c r="AR62" s="215"/>
    </row>
    <row r="63" s="1" customFormat="1" ht="55" customHeight="1">
      <c r="A63" s="21">
        <v>0.27083333333333298</v>
      </c>
      <c r="B63" s="21">
        <v>0.29166666666666702</v>
      </c>
      <c r="C63" s="22"/>
      <c r="D63" s="22"/>
      <c r="E63" s="22"/>
      <c r="F63" s="216"/>
      <c r="G63" s="217"/>
      <c r="H63" s="22"/>
      <c r="I63" s="22"/>
      <c r="J63" s="216"/>
      <c r="K63" s="217"/>
      <c r="L63" s="22"/>
      <c r="M63" s="22"/>
      <c r="N63" s="216"/>
      <c r="O63" s="217"/>
      <c r="P63" s="22"/>
      <c r="Q63" s="22"/>
      <c r="R63" s="216"/>
      <c r="S63" s="217"/>
      <c r="T63" s="22"/>
      <c r="U63" s="22"/>
      <c r="V63" s="82"/>
      <c r="W63" s="206">
        <f t="shared" ref="W63:W67" si="185">SUM(C63:V63)</f>
        <v>0</v>
      </c>
      <c r="AP63" s="28"/>
      <c r="AQ63" s="28"/>
      <c r="AR63" s="218"/>
      <c r="AS63" s="218"/>
      <c r="AT63" s="218"/>
      <c r="AU63" s="218"/>
      <c r="AV63" s="218"/>
      <c r="AW63" s="218"/>
      <c r="AX63" s="218"/>
      <c r="AY63" s="218"/>
    </row>
    <row r="64" s="1" customFormat="1" ht="55" customHeight="1">
      <c r="A64" s="21">
        <v>0.29166666666666702</v>
      </c>
      <c r="B64" s="21">
        <v>0.3125</v>
      </c>
      <c r="C64" s="22"/>
      <c r="D64" s="22"/>
      <c r="E64" s="22"/>
      <c r="F64" s="216"/>
      <c r="G64" s="217"/>
      <c r="H64" s="22"/>
      <c r="I64" s="22"/>
      <c r="J64" s="216"/>
      <c r="K64" s="217">
        <v>1</v>
      </c>
      <c r="L64" s="22">
        <v>1</v>
      </c>
      <c r="M64" s="22"/>
      <c r="N64" s="216"/>
      <c r="O64" s="217"/>
      <c r="P64" s="22"/>
      <c r="Q64" s="22"/>
      <c r="R64" s="216"/>
      <c r="S64" s="217"/>
      <c r="T64" s="22"/>
      <c r="U64" s="22"/>
      <c r="V64" s="82"/>
      <c r="W64" s="206">
        <f t="shared" si="185"/>
        <v>2</v>
      </c>
      <c r="AP64" s="28"/>
      <c r="AQ64" s="28"/>
      <c r="AR64" s="218"/>
      <c r="AS64" s="218"/>
      <c r="AT64" s="218"/>
      <c r="AU64" s="218"/>
      <c r="AV64" s="218"/>
      <c r="AW64" s="218"/>
      <c r="AX64" s="218"/>
      <c r="AY64" s="218"/>
    </row>
    <row r="65" s="1" customFormat="1" ht="55" customHeight="1">
      <c r="A65" s="21">
        <v>0.3125</v>
      </c>
      <c r="B65" s="21">
        <v>0.33333333333333298</v>
      </c>
      <c r="C65" s="22"/>
      <c r="D65" s="22"/>
      <c r="E65" s="22"/>
      <c r="F65" s="216"/>
      <c r="G65" s="217"/>
      <c r="H65" s="22"/>
      <c r="I65" s="22"/>
      <c r="J65" s="216"/>
      <c r="K65" s="217"/>
      <c r="L65" s="22"/>
      <c r="M65" s="22"/>
      <c r="N65" s="216"/>
      <c r="O65" s="217"/>
      <c r="P65" s="22"/>
      <c r="Q65" s="22"/>
      <c r="R65" s="216"/>
      <c r="S65" s="217"/>
      <c r="T65" s="22"/>
      <c r="U65" s="22"/>
      <c r="V65" s="82"/>
      <c r="W65" s="206">
        <f t="shared" si="185"/>
        <v>0</v>
      </c>
      <c r="AP65" s="28"/>
      <c r="AQ65" s="28"/>
      <c r="AR65" s="218"/>
      <c r="AS65" s="218"/>
      <c r="AT65" s="218"/>
      <c r="AU65" s="218"/>
      <c r="AV65" s="218"/>
      <c r="AW65" s="218"/>
      <c r="AX65" s="218"/>
      <c r="AY65" s="218"/>
    </row>
    <row r="66" s="1" customFormat="1" ht="55" customHeight="1">
      <c r="A66" s="21">
        <v>0.33333333333333298</v>
      </c>
      <c r="B66" s="21">
        <v>0.35416666666666702</v>
      </c>
      <c r="C66" s="22"/>
      <c r="D66" s="22"/>
      <c r="E66" s="22"/>
      <c r="F66" s="216"/>
      <c r="G66" s="217"/>
      <c r="H66" s="22"/>
      <c r="I66" s="22"/>
      <c r="J66" s="216"/>
      <c r="K66" s="217"/>
      <c r="L66" s="22"/>
      <c r="M66" s="22"/>
      <c r="N66" s="216"/>
      <c r="O66" s="217"/>
      <c r="P66" s="22"/>
      <c r="Q66" s="22"/>
      <c r="R66" s="216"/>
      <c r="S66" s="217"/>
      <c r="T66" s="22"/>
      <c r="U66" s="22"/>
      <c r="V66" s="82"/>
      <c r="W66" s="206">
        <f t="shared" si="185"/>
        <v>0</v>
      </c>
      <c r="AP66" s="28"/>
      <c r="AQ66" s="28"/>
      <c r="AR66" s="218"/>
      <c r="AS66" s="218"/>
      <c r="AT66" s="218"/>
      <c r="AU66" s="218"/>
      <c r="AV66" s="218"/>
      <c r="AW66" s="218"/>
      <c r="AX66" s="218"/>
      <c r="AY66" s="218"/>
    </row>
    <row r="67" s="1" customFormat="1" ht="55" customHeight="1">
      <c r="A67" s="21">
        <v>0.35416666666666702</v>
      </c>
      <c r="B67" s="21">
        <v>0.375</v>
      </c>
      <c r="C67" s="22"/>
      <c r="D67" s="22"/>
      <c r="E67" s="22"/>
      <c r="F67" s="216"/>
      <c r="G67" s="217"/>
      <c r="H67" s="22"/>
      <c r="I67" s="22"/>
      <c r="J67" s="216"/>
      <c r="K67" s="217"/>
      <c r="L67" s="22"/>
      <c r="M67" s="22"/>
      <c r="N67" s="216"/>
      <c r="O67" s="217"/>
      <c r="P67" s="22"/>
      <c r="Q67" s="22"/>
      <c r="R67" s="216"/>
      <c r="S67" s="217"/>
      <c r="T67" s="22"/>
      <c r="U67" s="22"/>
      <c r="V67" s="82"/>
      <c r="W67" s="206">
        <f t="shared" si="185"/>
        <v>0</v>
      </c>
      <c r="AP67" s="28"/>
      <c r="AQ67" s="28"/>
      <c r="AR67" s="218"/>
      <c r="AS67" s="218"/>
      <c r="AT67" s="218"/>
      <c r="AU67" s="218"/>
      <c r="AV67" s="218"/>
      <c r="AW67" s="218"/>
      <c r="AX67" s="218"/>
      <c r="AY67" s="218"/>
    </row>
    <row r="68" s="1" customFormat="1" ht="36" customHeight="1">
      <c r="W68" s="206">
        <f>SUM(W63:W67)</f>
        <v>2</v>
      </c>
    </row>
    <row r="69" s="2" customFormat="1" ht="32.25" customHeight="1">
      <c r="A69" s="3"/>
      <c r="B69" s="5"/>
      <c r="C69" s="16" t="s">
        <v>151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209"/>
      <c r="AP69" s="29"/>
      <c r="AQ69" s="29"/>
      <c r="AS69" s="213"/>
      <c r="AT69" s="213"/>
      <c r="AU69" s="213"/>
      <c r="AV69" s="213"/>
      <c r="AW69" s="213"/>
      <c r="AX69" s="213"/>
      <c r="AY69" s="213"/>
    </row>
    <row r="70" s="1" customFormat="1" ht="22.75" customHeight="1">
      <c r="A70" s="3"/>
      <c r="B70" s="5"/>
      <c r="C70" s="17" t="s">
        <v>145</v>
      </c>
      <c r="D70" s="17"/>
      <c r="E70" s="17"/>
      <c r="F70" s="17"/>
      <c r="G70" s="17" t="s">
        <v>55</v>
      </c>
      <c r="H70" s="17"/>
      <c r="I70" s="17"/>
      <c r="J70" s="17"/>
      <c r="K70" s="17" t="s">
        <v>142</v>
      </c>
      <c r="L70" s="17"/>
      <c r="M70" s="17"/>
      <c r="N70" s="17"/>
      <c r="O70" s="17" t="s">
        <v>143</v>
      </c>
      <c r="P70" s="17"/>
      <c r="Q70" s="17"/>
      <c r="R70" s="17"/>
      <c r="S70" s="17" t="s">
        <v>72</v>
      </c>
      <c r="T70" s="17"/>
      <c r="U70" s="17"/>
      <c r="V70" s="17"/>
      <c r="W70" s="206"/>
      <c r="AP70" s="28"/>
      <c r="AQ70" s="28"/>
    </row>
    <row r="71" s="1" customFormat="1" ht="18.649999999999999" customHeight="1">
      <c r="A71" s="3"/>
      <c r="B71" s="5"/>
      <c r="C71" s="18" t="s">
        <v>18</v>
      </c>
      <c r="D71" s="18"/>
      <c r="E71" s="18" t="s">
        <v>19</v>
      </c>
      <c r="F71" s="18"/>
      <c r="G71" s="18" t="s">
        <v>18</v>
      </c>
      <c r="H71" s="18"/>
      <c r="I71" s="18" t="s">
        <v>19</v>
      </c>
      <c r="J71" s="18"/>
      <c r="K71" s="18" t="s">
        <v>18</v>
      </c>
      <c r="L71" s="18"/>
      <c r="M71" s="18" t="s">
        <v>19</v>
      </c>
      <c r="N71" s="18"/>
      <c r="O71" s="18" t="s">
        <v>18</v>
      </c>
      <c r="P71" s="18"/>
      <c r="Q71" s="18" t="s">
        <v>19</v>
      </c>
      <c r="R71" s="18"/>
      <c r="S71" s="18" t="s">
        <v>18</v>
      </c>
      <c r="T71" s="18"/>
      <c r="U71" s="18" t="s">
        <v>19</v>
      </c>
      <c r="V71" s="18"/>
      <c r="W71" s="206"/>
      <c r="AP71" s="28"/>
      <c r="AQ71" s="28"/>
    </row>
    <row r="72" s="1" customFormat="1" ht="21">
      <c r="A72" s="19" t="s">
        <v>20</v>
      </c>
      <c r="B72" s="19"/>
      <c r="C72" s="214" t="s">
        <v>21</v>
      </c>
      <c r="D72" s="214" t="s">
        <v>22</v>
      </c>
      <c r="E72" s="214" t="s">
        <v>21</v>
      </c>
      <c r="F72" s="214" t="s">
        <v>22</v>
      </c>
      <c r="G72" s="214" t="s">
        <v>21</v>
      </c>
      <c r="H72" s="214" t="s">
        <v>22</v>
      </c>
      <c r="I72" s="214" t="s">
        <v>21</v>
      </c>
      <c r="J72" s="214" t="s">
        <v>22</v>
      </c>
      <c r="K72" s="214" t="s">
        <v>21</v>
      </c>
      <c r="L72" s="214" t="s">
        <v>22</v>
      </c>
      <c r="M72" s="214" t="s">
        <v>21</v>
      </c>
      <c r="N72" s="214" t="s">
        <v>22</v>
      </c>
      <c r="O72" s="214" t="s">
        <v>21</v>
      </c>
      <c r="P72" s="214" t="s">
        <v>22</v>
      </c>
      <c r="Q72" s="214" t="s">
        <v>21</v>
      </c>
      <c r="R72" s="214" t="s">
        <v>22</v>
      </c>
      <c r="S72" s="214" t="s">
        <v>21</v>
      </c>
      <c r="T72" s="214" t="s">
        <v>22</v>
      </c>
      <c r="U72" s="214" t="s">
        <v>21</v>
      </c>
      <c r="V72" s="214" t="s">
        <v>22</v>
      </c>
      <c r="W72" s="206"/>
      <c r="AP72" s="28"/>
      <c r="AQ72" s="28"/>
      <c r="AR72" s="215"/>
    </row>
    <row r="73" s="1" customFormat="1" ht="55" customHeight="1">
      <c r="A73" s="21">
        <v>0.27083333333333298</v>
      </c>
      <c r="B73" s="21">
        <v>0.29166666666666702</v>
      </c>
      <c r="C73" s="22"/>
      <c r="D73" s="22"/>
      <c r="E73" s="22"/>
      <c r="F73" s="216"/>
      <c r="G73" s="217"/>
      <c r="H73" s="22">
        <v>2</v>
      </c>
      <c r="I73" s="22"/>
      <c r="J73" s="216"/>
      <c r="K73" s="217"/>
      <c r="L73" s="22"/>
      <c r="M73" s="22"/>
      <c r="N73" s="216"/>
      <c r="O73" s="217"/>
      <c r="P73" s="22"/>
      <c r="Q73" s="22"/>
      <c r="R73" s="216"/>
      <c r="S73" s="217"/>
      <c r="T73" s="22"/>
      <c r="U73" s="22"/>
      <c r="V73" s="82"/>
      <c r="W73" s="206">
        <f t="shared" ref="W73:W77" si="186">SUM(C73:V73)</f>
        <v>2</v>
      </c>
      <c r="AP73" s="28"/>
      <c r="AQ73" s="28"/>
      <c r="AR73" s="218"/>
      <c r="AS73" s="218"/>
      <c r="AT73" s="218"/>
      <c r="AU73" s="218"/>
      <c r="AV73" s="218"/>
      <c r="AW73" s="218"/>
      <c r="AX73" s="218"/>
      <c r="AY73" s="218"/>
    </row>
    <row r="74" s="1" customFormat="1" ht="55" customHeight="1">
      <c r="A74" s="21">
        <v>0.29166666666666702</v>
      </c>
      <c r="B74" s="21">
        <v>0.3125</v>
      </c>
      <c r="C74" s="22"/>
      <c r="D74" s="22"/>
      <c r="E74" s="22"/>
      <c r="F74" s="216"/>
      <c r="G74" s="217"/>
      <c r="H74" s="22"/>
      <c r="I74" s="22"/>
      <c r="J74" s="216"/>
      <c r="K74" s="217"/>
      <c r="L74" s="22"/>
      <c r="M74" s="22"/>
      <c r="N74" s="216"/>
      <c r="O74" s="217"/>
      <c r="P74" s="22"/>
      <c r="Q74" s="22"/>
      <c r="R74" s="216"/>
      <c r="S74" s="217"/>
      <c r="T74" s="22"/>
      <c r="U74" s="22"/>
      <c r="V74" s="82"/>
      <c r="W74" s="206">
        <f t="shared" si="186"/>
        <v>0</v>
      </c>
      <c r="AP74" s="28"/>
      <c r="AQ74" s="28"/>
      <c r="AR74" s="218"/>
      <c r="AS74" s="218"/>
      <c r="AT74" s="218"/>
      <c r="AU74" s="218"/>
      <c r="AV74" s="218"/>
      <c r="AW74" s="218"/>
      <c r="AX74" s="218"/>
      <c r="AY74" s="218"/>
    </row>
    <row r="75" s="1" customFormat="1" ht="55" customHeight="1">
      <c r="A75" s="21">
        <v>0.3125</v>
      </c>
      <c r="B75" s="21">
        <v>0.33333333333333298</v>
      </c>
      <c r="C75" s="22"/>
      <c r="D75" s="22">
        <v>1</v>
      </c>
      <c r="E75" s="22">
        <v>1</v>
      </c>
      <c r="F75" s="216"/>
      <c r="G75" s="217"/>
      <c r="H75" s="22">
        <v>2</v>
      </c>
      <c r="I75" s="22">
        <v>1</v>
      </c>
      <c r="J75" s="216">
        <v>1</v>
      </c>
      <c r="K75" s="217"/>
      <c r="L75" s="22">
        <v>1</v>
      </c>
      <c r="M75" s="22"/>
      <c r="N75" s="216"/>
      <c r="O75" s="217">
        <v>1</v>
      </c>
      <c r="P75" s="22"/>
      <c r="Q75" s="22"/>
      <c r="R75" s="216"/>
      <c r="S75" s="217"/>
      <c r="T75" s="22"/>
      <c r="U75" s="22"/>
      <c r="V75" s="82"/>
      <c r="W75" s="206">
        <f t="shared" si="186"/>
        <v>8</v>
      </c>
      <c r="AP75" s="28"/>
      <c r="AQ75" s="28"/>
      <c r="AR75" s="218"/>
      <c r="AS75" s="218"/>
      <c r="AT75" s="218"/>
      <c r="AU75" s="218"/>
      <c r="AV75" s="218"/>
      <c r="AW75" s="218"/>
      <c r="AX75" s="218"/>
      <c r="AY75" s="218"/>
    </row>
    <row r="76" s="1" customFormat="1" ht="55" customHeight="1">
      <c r="A76" s="21">
        <v>0.33333333333333298</v>
      </c>
      <c r="B76" s="21">
        <v>0.35416666666666702</v>
      </c>
      <c r="C76" s="22"/>
      <c r="D76" s="22"/>
      <c r="E76" s="22"/>
      <c r="F76" s="216"/>
      <c r="G76" s="217"/>
      <c r="H76" s="22">
        <v>1</v>
      </c>
      <c r="I76" s="22"/>
      <c r="J76" s="216">
        <v>1</v>
      </c>
      <c r="K76" s="217"/>
      <c r="L76" s="22"/>
      <c r="M76" s="22"/>
      <c r="N76" s="216"/>
      <c r="O76" s="217"/>
      <c r="P76" s="22">
        <v>1</v>
      </c>
      <c r="Q76" s="22"/>
      <c r="R76" s="216">
        <v>1</v>
      </c>
      <c r="S76" s="217"/>
      <c r="T76" s="22"/>
      <c r="U76" s="22"/>
      <c r="V76" s="82"/>
      <c r="W76" s="206">
        <f t="shared" si="186"/>
        <v>4</v>
      </c>
      <c r="AP76" s="28"/>
      <c r="AQ76" s="28"/>
      <c r="AR76" s="218"/>
      <c r="AS76" s="218"/>
      <c r="AT76" s="218"/>
      <c r="AU76" s="218"/>
      <c r="AV76" s="218"/>
      <c r="AW76" s="218"/>
      <c r="AX76" s="218"/>
      <c r="AY76" s="218"/>
    </row>
    <row r="77" s="1" customFormat="1" ht="55" customHeight="1">
      <c r="A77" s="21">
        <v>0.35416666666666702</v>
      </c>
      <c r="B77" s="21">
        <v>0.375</v>
      </c>
      <c r="C77" s="22"/>
      <c r="D77" s="22"/>
      <c r="E77" s="22"/>
      <c r="F77" s="216"/>
      <c r="G77" s="217"/>
      <c r="H77" s="22">
        <v>1</v>
      </c>
      <c r="I77" s="22"/>
      <c r="J77" s="216"/>
      <c r="K77" s="217"/>
      <c r="L77" s="22"/>
      <c r="M77" s="22"/>
      <c r="N77" s="216"/>
      <c r="O77" s="217"/>
      <c r="P77" s="22"/>
      <c r="Q77" s="22"/>
      <c r="R77" s="216"/>
      <c r="S77" s="217"/>
      <c r="T77" s="22"/>
      <c r="U77" s="22"/>
      <c r="V77" s="82"/>
      <c r="W77" s="206">
        <f t="shared" si="186"/>
        <v>1</v>
      </c>
      <c r="AP77" s="28"/>
      <c r="AQ77" s="28"/>
      <c r="AR77" s="218"/>
      <c r="AS77" s="218"/>
      <c r="AT77" s="218"/>
      <c r="AU77" s="218"/>
      <c r="AV77" s="218"/>
      <c r="AW77" s="218"/>
      <c r="AX77" s="218"/>
      <c r="AY77" s="218"/>
    </row>
    <row r="78" s="23" customFormat="1" ht="55" customHeight="1">
      <c r="A78" s="24">
        <v>1</v>
      </c>
      <c r="B78" s="25" t="s">
        <v>23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06">
        <f>SUM(W73:W77)</f>
        <v>15</v>
      </c>
    </row>
    <row r="79" s="23" customFormat="1" ht="55" customHeight="1">
      <c r="A79" s="24">
        <v>4</v>
      </c>
      <c r="B79" s="25" t="s">
        <v>34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19"/>
    </row>
    <row r="80" s="23" customFormat="1" ht="55" customHeight="1">
      <c r="A80" s="24"/>
      <c r="B80" s="25" t="s">
        <v>25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19"/>
    </row>
    <row r="81" s="23" customFormat="1" ht="45" customHeight="1">
      <c r="A81" s="24">
        <v>3</v>
      </c>
      <c r="B81" s="25" t="s">
        <v>26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>
        <v>3</v>
      </c>
      <c r="N81" s="26"/>
      <c r="O81" s="26"/>
      <c r="P81" s="26"/>
      <c r="Q81" s="26"/>
      <c r="R81" s="26"/>
      <c r="S81" s="26"/>
      <c r="T81" s="26"/>
      <c r="U81" s="26"/>
      <c r="V81" s="26"/>
      <c r="W81" s="219"/>
      <c r="Y81" s="174" t="s">
        <v>99</v>
      </c>
    </row>
    <row r="82" ht="55" hidden="1" customHeight="1">
      <c r="A82" s="19">
        <v>9</v>
      </c>
      <c r="B82" s="19" t="s">
        <v>57</v>
      </c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220"/>
      <c r="X82" s="28"/>
      <c r="Y82" s="218"/>
      <c r="Z82" s="218"/>
      <c r="AA82" s="218"/>
      <c r="AB82" s="218"/>
      <c r="AD82" s="218"/>
      <c r="AE82" s="218"/>
      <c r="AF82" s="218"/>
    </row>
    <row r="83" ht="55" hidden="1" customHeight="1">
      <c r="A83" s="19"/>
      <c r="B83" s="19" t="s">
        <v>58</v>
      </c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220"/>
      <c r="X83" s="28"/>
      <c r="Y83" s="218"/>
      <c r="Z83" s="218"/>
      <c r="AA83" s="218"/>
      <c r="AB83" s="218"/>
      <c r="AD83" s="218"/>
      <c r="AE83" s="218"/>
      <c r="AF83" s="218"/>
    </row>
    <row r="84" ht="12.75" customHeight="1"/>
    <row r="85" s="2" customFormat="1" ht="32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173"/>
      <c r="X85" s="5"/>
      <c r="Y85" s="67" t="s">
        <v>27</v>
      </c>
      <c r="Z85" s="39" t="s">
        <v>28</v>
      </c>
      <c r="AA85" s="35" t="s">
        <v>29</v>
      </c>
      <c r="AB85" s="35" t="s">
        <v>30</v>
      </c>
      <c r="AC85" s="68" t="s">
        <v>32</v>
      </c>
      <c r="AD85" s="68" t="s">
        <v>33</v>
      </c>
      <c r="AE85" s="68" t="s">
        <v>34</v>
      </c>
      <c r="AF85" s="68" t="s">
        <v>35</v>
      </c>
      <c r="AG85" s="221"/>
      <c r="AH85" s="221"/>
      <c r="AI85" s="222"/>
      <c r="AKU85" s="8"/>
      <c r="AKV85" s="8"/>
      <c r="AKW85" s="8"/>
      <c r="AKX85" s="8"/>
      <c r="AKY85" s="8"/>
      <c r="AKZ85" s="8"/>
      <c r="ALA85" s="8"/>
      <c r="ALB85" s="8"/>
      <c r="ALC85" s="8"/>
      <c r="ALD85" s="8"/>
      <c r="ALE85" s="8"/>
      <c r="ALF85" s="8"/>
      <c r="ALG85" s="8"/>
      <c r="ALH85" s="8"/>
      <c r="ALI85" s="8"/>
      <c r="ALJ85" s="8"/>
      <c r="ALK85" s="8"/>
      <c r="ALL85" s="8"/>
      <c r="ALM85" s="8"/>
      <c r="ALN85" s="8"/>
      <c r="ALO85" s="8"/>
      <c r="ALP85" s="8"/>
      <c r="ALQ85" s="8"/>
      <c r="ALR85" s="8"/>
      <c r="ALS85" s="8"/>
      <c r="ALT85" s="8"/>
      <c r="ALU85" s="8"/>
      <c r="ALV85" s="8"/>
      <c r="ALW85" s="8"/>
      <c r="ALX85" s="8"/>
      <c r="ALY85" s="8"/>
      <c r="ALZ85" s="8"/>
      <c r="AMA85" s="8"/>
      <c r="AMB85" s="8"/>
      <c r="AMC85" s="8"/>
      <c r="AMD85" s="8"/>
      <c r="AME85" s="8"/>
      <c r="AMF85" s="8"/>
      <c r="AMG85" s="8"/>
      <c r="AMH85" s="8"/>
      <c r="AMI85" s="8"/>
      <c r="AMJ85" s="8"/>
    </row>
    <row r="86" ht="2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30"/>
      <c r="X86" s="15"/>
      <c r="Y86" s="67"/>
      <c r="Z86" s="39"/>
      <c r="AA86" s="35"/>
      <c r="AB86" s="35"/>
      <c r="AC86" s="68"/>
      <c r="AD86" s="68"/>
      <c r="AE86" s="68"/>
      <c r="AF86" s="68"/>
      <c r="AG86" s="223"/>
      <c r="AH86" s="223"/>
      <c r="AI86" s="224"/>
    </row>
    <row r="87" ht="18.649999999999999" customHeight="1">
      <c r="A87" s="179"/>
      <c r="B87" s="179"/>
      <c r="C87" s="18" t="s">
        <v>18</v>
      </c>
      <c r="D87" s="18"/>
      <c r="E87" s="18" t="s">
        <v>19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225"/>
      <c r="X87" s="15"/>
      <c r="Y87" s="67"/>
      <c r="Z87" s="39"/>
      <c r="AA87" s="35"/>
      <c r="AB87" s="35"/>
      <c r="AC87" s="68"/>
      <c r="AD87" s="68"/>
      <c r="AE87" s="68"/>
      <c r="AF87" s="68"/>
      <c r="AG87" s="223"/>
      <c r="AH87" s="223"/>
      <c r="AI87" s="224"/>
    </row>
    <row r="88" ht="21" customHeight="1">
      <c r="A88" s="19" t="s">
        <v>20</v>
      </c>
      <c r="B88" s="19"/>
      <c r="C88" s="20" t="s">
        <v>21</v>
      </c>
      <c r="D88" s="20" t="s">
        <v>22</v>
      </c>
      <c r="E88" s="20" t="s">
        <v>21</v>
      </c>
      <c r="F88" s="20" t="s">
        <v>22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19" t="s">
        <v>20</v>
      </c>
      <c r="X88" s="19"/>
      <c r="Y88" s="67"/>
      <c r="Z88" s="39"/>
      <c r="AA88" s="35"/>
      <c r="AB88" s="35"/>
      <c r="AC88" s="68"/>
      <c r="AD88" s="68"/>
      <c r="AE88" s="68"/>
      <c r="AF88" s="68"/>
      <c r="AG88" s="226"/>
      <c r="AH88" s="226"/>
      <c r="AI88" s="227"/>
    </row>
    <row r="89" ht="55" customHeight="1">
      <c r="A89" s="19" t="s">
        <v>36</v>
      </c>
      <c r="B89" s="19"/>
      <c r="C89" s="22">
        <f t="shared" ref="C89:C93" si="187">C13+G13+K13+O13+S13+C23+G23+K23+O23+S23+C33+G33+K33+O33+S33+C53+G53+K53+O53+S53+C63+G63+K63+O63+S63+C73+G73+K73+O73+S73</f>
        <v>0</v>
      </c>
      <c r="D89" s="22">
        <f t="shared" ref="D89:D93" si="188">D13+H13+L13+P13+T13+D23+H23+L23+P23+T23+D33+H33+L33+P33+T33+D53+H53+L53+P53+T53+D63+H63+L63+P63+T63+D73+H73+L73+P73+T73</f>
        <v>6</v>
      </c>
      <c r="E89" s="22">
        <f t="shared" ref="E89:E93" si="189">E13+I13+M13+Q13+U13+E23+I23+M23+Q23+U23+E33+I33+M33+Q33+U33+E53+I53+M53+Q53+U53+E63+I63+M63+Q63+U63+E73+I73+M73+Q73+U73</f>
        <v>0</v>
      </c>
      <c r="F89" s="22">
        <f t="shared" ref="F89:F93" si="190">F13+J13+N13+R13+V13+F23+J23+N23+R23+V23+F33+J33+N33+R33+V33+F53+J53+N53+R53+V53+F63+J63+N63+R63+V63+F73+J73+N73+R73+V73</f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19" t="str">
        <f t="shared" ref="W89:W93" si="191">A89</f>
        <v xml:space="preserve">6:30 à 7:00</v>
      </c>
      <c r="X89" s="19"/>
      <c r="Y89" s="70">
        <f>SUM(C89:V89)+SUM(C103:V103)</f>
        <v>6</v>
      </c>
      <c r="Z89" s="41">
        <f t="shared" ref="Z89:Z93" si="192">C89+E89</f>
        <v>0</v>
      </c>
      <c r="AA89" s="41">
        <f t="shared" ref="AA89:AA93" si="193">E89+F89</f>
        <v>0</v>
      </c>
      <c r="AB89" s="41">
        <f t="shared" ref="AB89:AB93" si="194">E89</f>
        <v>0</v>
      </c>
      <c r="AC89" s="228"/>
      <c r="AD89" s="94"/>
      <c r="AE89" s="93"/>
      <c r="AF89" s="93"/>
      <c r="AG89" s="228"/>
      <c r="AH89" s="228"/>
      <c r="AI89" s="229"/>
    </row>
    <row r="90" ht="55" customHeight="1">
      <c r="A90" s="19" t="s">
        <v>37</v>
      </c>
      <c r="B90" s="19"/>
      <c r="C90" s="22">
        <f t="shared" si="187"/>
        <v>5</v>
      </c>
      <c r="D90" s="22">
        <f t="shared" si="188"/>
        <v>3</v>
      </c>
      <c r="E90" s="22">
        <f t="shared" si="189"/>
        <v>0</v>
      </c>
      <c r="F90" s="22">
        <f t="shared" si="190"/>
        <v>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19" t="str">
        <f t="shared" si="191"/>
        <v xml:space="preserve">7:00 à 7:30</v>
      </c>
      <c r="X90" s="19"/>
      <c r="Y90" s="70">
        <f>SUM(C90:V90)+SUM(C103:V103)</f>
        <v>8</v>
      </c>
      <c r="Z90" s="41">
        <f t="shared" si="192"/>
        <v>5</v>
      </c>
      <c r="AA90" s="41">
        <f t="shared" si="193"/>
        <v>0</v>
      </c>
      <c r="AB90" s="41">
        <f t="shared" si="194"/>
        <v>0</v>
      </c>
      <c r="AC90" s="228"/>
      <c r="AD90" s="94"/>
      <c r="AE90" s="93"/>
      <c r="AF90" s="93"/>
      <c r="AG90" s="228"/>
      <c r="AH90" s="228"/>
      <c r="AI90" s="229"/>
    </row>
    <row r="91" ht="55" customHeight="1">
      <c r="A91" s="19" t="s">
        <v>38</v>
      </c>
      <c r="B91" s="19"/>
      <c r="C91" s="22">
        <f t="shared" si="187"/>
        <v>1</v>
      </c>
      <c r="D91" s="22">
        <f t="shared" si="188"/>
        <v>8</v>
      </c>
      <c r="E91" s="22">
        <f t="shared" si="189"/>
        <v>2</v>
      </c>
      <c r="F91" s="22">
        <f t="shared" si="190"/>
        <v>1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19" t="str">
        <f t="shared" si="191"/>
        <v xml:space="preserve">7:30 à 8:00</v>
      </c>
      <c r="X91" s="19"/>
      <c r="Y91" s="70">
        <f t="shared" ref="Y91:Y93" si="195">SUM(C91:V91)+SUM(C105:V105)</f>
        <v>12</v>
      </c>
      <c r="Z91" s="41">
        <f t="shared" si="192"/>
        <v>3</v>
      </c>
      <c r="AA91" s="41">
        <f t="shared" si="193"/>
        <v>3</v>
      </c>
      <c r="AB91" s="41">
        <f t="shared" si="194"/>
        <v>2</v>
      </c>
      <c r="AC91" s="228"/>
      <c r="AD91" s="94"/>
      <c r="AE91" s="93"/>
      <c r="AF91" s="93"/>
      <c r="AG91" s="228"/>
      <c r="AH91" s="228"/>
      <c r="AI91" s="229"/>
    </row>
    <row r="92" ht="55" customHeight="1">
      <c r="A92" s="19" t="s">
        <v>39</v>
      </c>
      <c r="B92" s="19"/>
      <c r="C92" s="22">
        <f t="shared" si="187"/>
        <v>0</v>
      </c>
      <c r="D92" s="22">
        <f t="shared" si="188"/>
        <v>4</v>
      </c>
      <c r="E92" s="22">
        <f t="shared" si="189"/>
        <v>0</v>
      </c>
      <c r="F92" s="22">
        <f t="shared" si="190"/>
        <v>3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19" t="str">
        <f t="shared" si="191"/>
        <v xml:space="preserve">8:00 à 8:30</v>
      </c>
      <c r="X92" s="19"/>
      <c r="Y92" s="70">
        <f t="shared" si="195"/>
        <v>7</v>
      </c>
      <c r="Z92" s="41">
        <f t="shared" si="192"/>
        <v>0</v>
      </c>
      <c r="AA92" s="41">
        <f t="shared" si="193"/>
        <v>3</v>
      </c>
      <c r="AB92" s="41">
        <f t="shared" si="194"/>
        <v>0</v>
      </c>
      <c r="AC92" s="228"/>
      <c r="AD92" s="94"/>
      <c r="AE92" s="93"/>
      <c r="AF92" s="93"/>
      <c r="AG92" s="228"/>
      <c r="AH92" s="228"/>
      <c r="AI92" s="229"/>
    </row>
    <row r="93" ht="55" customHeight="1">
      <c r="A93" s="19" t="s">
        <v>40</v>
      </c>
      <c r="B93" s="19"/>
      <c r="C93" s="22">
        <f t="shared" si="187"/>
        <v>0</v>
      </c>
      <c r="D93" s="22">
        <f t="shared" si="188"/>
        <v>3</v>
      </c>
      <c r="E93" s="22">
        <f t="shared" si="189"/>
        <v>0</v>
      </c>
      <c r="F93" s="22">
        <f t="shared" si="190"/>
        <v>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19" t="str">
        <f t="shared" si="191"/>
        <v xml:space="preserve">8:30 à 9:00</v>
      </c>
      <c r="X93" s="19"/>
      <c r="Y93" s="70">
        <f t="shared" si="195"/>
        <v>4</v>
      </c>
      <c r="Z93" s="41">
        <f t="shared" si="192"/>
        <v>0</v>
      </c>
      <c r="AA93" s="41">
        <f t="shared" si="193"/>
        <v>1</v>
      </c>
      <c r="AB93" s="41">
        <f t="shared" si="194"/>
        <v>0</v>
      </c>
      <c r="AC93" s="228"/>
      <c r="AD93" s="94"/>
      <c r="AE93" s="93"/>
      <c r="AF93" s="93"/>
      <c r="AG93" s="228"/>
      <c r="AH93" s="228"/>
      <c r="AI93" s="229"/>
    </row>
    <row r="94" ht="55" customHeight="1">
      <c r="A94" s="19" t="s">
        <v>27</v>
      </c>
      <c r="B94" s="19"/>
      <c r="C94" s="96">
        <f>SUM(C89:C93)</f>
        <v>6</v>
      </c>
      <c r="D94" s="96">
        <f>SUM(D89:D93)</f>
        <v>24</v>
      </c>
      <c r="E94" s="96">
        <f>SUM(E89:E93)</f>
        <v>2</v>
      </c>
      <c r="F94" s="96">
        <f>SUM(F89:F93)</f>
        <v>5</v>
      </c>
      <c r="G94" s="5">
        <f>SUM(C94:F94)</f>
        <v>37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98" t="s">
        <v>27</v>
      </c>
      <c r="X94" s="98"/>
      <c r="Y94" s="45">
        <f>SUM(Y89:Y93)</f>
        <v>37</v>
      </c>
      <c r="Z94" s="45">
        <f>SUM(Z89:Z93)</f>
        <v>8</v>
      </c>
      <c r="AA94" s="45">
        <f>SUM(AA89:AA93)</f>
        <v>7</v>
      </c>
      <c r="AB94" s="46">
        <f>SUM(AB89:AB93)</f>
        <v>2</v>
      </c>
      <c r="AC94" s="45">
        <f>A81+A41</f>
        <v>6</v>
      </c>
      <c r="AD94" s="46">
        <f>A78+A38</f>
        <v>1</v>
      </c>
      <c r="AE94" s="46">
        <f>A79+A39</f>
        <v>8</v>
      </c>
      <c r="AF94" s="46">
        <f>A80+A40</f>
        <v>2</v>
      </c>
      <c r="AG94" s="228"/>
      <c r="AH94" s="228"/>
      <c r="AI94" s="229"/>
    </row>
    <row r="95" ht="55" customHeight="1">
      <c r="A95" s="106"/>
      <c r="B95" s="106"/>
      <c r="C95" s="191"/>
      <c r="D95" s="191"/>
      <c r="E95" s="191"/>
      <c r="F95" s="191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1" t="s">
        <v>37</v>
      </c>
      <c r="X95" s="52"/>
      <c r="Y95" s="53">
        <f t="shared" ref="Y95:Y96" si="196">Y90</f>
        <v>8</v>
      </c>
      <c r="Z95" s="53"/>
      <c r="AA95" s="53"/>
      <c r="AB95" s="53"/>
      <c r="AC95" s="228"/>
      <c r="AD95" s="228"/>
      <c r="AE95" s="228"/>
      <c r="AF95" s="228"/>
      <c r="AG95" s="228"/>
      <c r="AH95" s="228"/>
      <c r="AI95" s="229"/>
    </row>
    <row r="96" ht="55" customHeight="1">
      <c r="A96" s="106"/>
      <c r="B96" s="106"/>
      <c r="C96" s="191"/>
      <c r="D96" s="191"/>
      <c r="E96" s="191"/>
      <c r="F96" s="191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8" t="s">
        <v>38</v>
      </c>
      <c r="X96" s="59"/>
      <c r="Y96" s="60">
        <f t="shared" si="196"/>
        <v>12</v>
      </c>
      <c r="Z96" s="60"/>
      <c r="AA96" s="60"/>
      <c r="AB96" s="60"/>
      <c r="AC96" s="228"/>
      <c r="AD96" s="228"/>
      <c r="AE96" s="228"/>
      <c r="AF96" s="228"/>
      <c r="AG96" s="228"/>
      <c r="AH96" s="228"/>
      <c r="AI96" s="229"/>
    </row>
    <row r="97" ht="55" customHeight="1">
      <c r="A97" s="106"/>
      <c r="B97" s="106"/>
      <c r="C97" s="191"/>
      <c r="D97" s="191"/>
      <c r="E97" s="191"/>
      <c r="F97" s="191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197" t="s">
        <v>42</v>
      </c>
      <c r="X97" s="197"/>
      <c r="Y97" s="198">
        <f>SUM(Y95:Y96)</f>
        <v>20</v>
      </c>
      <c r="Z97" s="63"/>
      <c r="AA97" s="63"/>
      <c r="AB97" s="63"/>
      <c r="AC97" s="228"/>
      <c r="AD97" s="228"/>
      <c r="AE97" s="228"/>
      <c r="AF97" s="228"/>
      <c r="AG97" s="228"/>
      <c r="AH97" s="228"/>
      <c r="AI97" s="229"/>
    </row>
    <row r="98" ht="32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230"/>
      <c r="W98" s="19"/>
      <c r="X98" s="19"/>
      <c r="Y98" s="38"/>
      <c r="Z98" s="38"/>
      <c r="AA98" s="38"/>
      <c r="AB98" s="38"/>
      <c r="AC98" s="228"/>
      <c r="AD98" s="94"/>
      <c r="AE98" s="93"/>
      <c r="AF98" s="93"/>
      <c r="AG98" s="228"/>
      <c r="AH98" s="228"/>
      <c r="AI98" s="229"/>
    </row>
    <row r="99" ht="2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30"/>
      <c r="X99" s="15"/>
      <c r="Y99" s="67" t="s">
        <v>27</v>
      </c>
      <c r="Z99" s="68" t="s">
        <v>43</v>
      </c>
      <c r="AA99" s="68" t="s">
        <v>44</v>
      </c>
      <c r="AB99" s="68" t="s">
        <v>45</v>
      </c>
      <c r="AC99" s="68"/>
      <c r="AD99" s="68" t="s">
        <v>62</v>
      </c>
      <c r="AE99" s="68"/>
      <c r="AF99" s="68"/>
      <c r="AG99" s="68"/>
      <c r="AH99" s="68"/>
      <c r="AI99" s="68"/>
    </row>
    <row r="100" ht="18.649999999999999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30"/>
      <c r="X100" s="15"/>
      <c r="Y100" s="67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</row>
    <row r="101" ht="2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225"/>
      <c r="X101" s="15"/>
      <c r="Y101" s="67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</row>
    <row r="102" ht="5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19" t="s">
        <v>20</v>
      </c>
      <c r="X102" s="19"/>
      <c r="Y102" s="67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</row>
    <row r="103" ht="5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9">
        <f t="shared" ref="W103:W108" si="197">A103</f>
        <v>0</v>
      </c>
      <c r="X103" s="19"/>
      <c r="Y103" s="70"/>
      <c r="Z103" s="71">
        <f t="shared" ref="Z103:Z104" si="198">IF(Z89=0,0,Z89/Y89)</f>
        <v>0</v>
      </c>
      <c r="AA103" s="71">
        <f t="shared" ref="AA103:AA104" si="199">IF(AA89=0,0,AA89/Y89)</f>
        <v>0</v>
      </c>
      <c r="AB103" s="71">
        <f t="shared" ref="AB103:AB104" si="200">IF(AB89=0,0,AB89/Z89)</f>
        <v>0</v>
      </c>
      <c r="AC103" s="228"/>
      <c r="AD103" s="94"/>
      <c r="AE103" s="93"/>
      <c r="AF103" s="93"/>
      <c r="AG103" s="228"/>
      <c r="AH103" s="228"/>
      <c r="AI103" s="229"/>
    </row>
    <row r="104" s="1" customFormat="1" ht="5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19">
        <f t="shared" si="197"/>
        <v>0</v>
      </c>
      <c r="X104" s="19"/>
      <c r="Y104" s="70"/>
      <c r="Z104" s="71">
        <f t="shared" si="198"/>
        <v>0.625</v>
      </c>
      <c r="AA104" s="71">
        <f t="shared" si="199"/>
        <v>0</v>
      </c>
      <c r="AB104" s="71">
        <f t="shared" si="200"/>
        <v>0</v>
      </c>
      <c r="AC104" s="228"/>
      <c r="AD104" s="94"/>
      <c r="AE104" s="93"/>
      <c r="AF104" s="93"/>
      <c r="AG104" s="228"/>
      <c r="AH104" s="228"/>
      <c r="AI104" s="229"/>
    </row>
    <row r="105" s="1" customFormat="1" ht="5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19">
        <f t="shared" si="197"/>
        <v>0</v>
      </c>
      <c r="X105" s="19"/>
      <c r="Y105" s="70"/>
      <c r="Z105" s="71">
        <f t="shared" ref="Z105:Z108" si="201">IF(Z90=0,0,Z90/Y90)</f>
        <v>0.625</v>
      </c>
      <c r="AA105" s="71">
        <f t="shared" ref="AA105:AA108" si="202">IF(AA90=0,0,AA90/Y90)</f>
        <v>0</v>
      </c>
      <c r="AB105" s="71">
        <f t="shared" ref="AB105:AB108" si="203">IF(AB90=0,0,AB90/Z90)</f>
        <v>0</v>
      </c>
      <c r="AC105" s="228"/>
      <c r="AD105" s="94"/>
      <c r="AE105" s="93"/>
      <c r="AF105" s="93"/>
      <c r="AG105" s="228"/>
      <c r="AH105" s="228"/>
      <c r="AI105" s="229"/>
    </row>
    <row r="106" s="1" customFormat="1" ht="5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19">
        <f t="shared" si="197"/>
        <v>0</v>
      </c>
      <c r="X106" s="19"/>
      <c r="Y106" s="70"/>
      <c r="Z106" s="71">
        <f t="shared" si="201"/>
        <v>0.25</v>
      </c>
      <c r="AA106" s="71">
        <f t="shared" si="202"/>
        <v>0.25</v>
      </c>
      <c r="AB106" s="71">
        <f t="shared" si="203"/>
        <v>0.66666666666666696</v>
      </c>
      <c r="AC106" s="228"/>
      <c r="AD106" s="94"/>
      <c r="AE106" s="93"/>
      <c r="AF106" s="93"/>
      <c r="AG106" s="228"/>
      <c r="AH106" s="228"/>
      <c r="AI106" s="229"/>
    </row>
    <row r="107" s="1" customFormat="1" ht="5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19">
        <f t="shared" si="197"/>
        <v>0</v>
      </c>
      <c r="X107" s="19"/>
      <c r="Y107" s="70"/>
      <c r="Z107" s="71">
        <f t="shared" si="201"/>
        <v>0</v>
      </c>
      <c r="AA107" s="71">
        <f t="shared" si="202"/>
        <v>0.42857142857142899</v>
      </c>
      <c r="AB107" s="71">
        <f t="shared" si="203"/>
        <v>0</v>
      </c>
      <c r="AC107" s="228"/>
      <c r="AD107" s="94"/>
      <c r="AE107" s="93"/>
      <c r="AF107" s="93"/>
      <c r="AG107" s="228"/>
      <c r="AH107" s="228"/>
      <c r="AI107" s="229"/>
    </row>
    <row r="108" s="1" customFormat="1" ht="5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19">
        <f t="shared" si="197"/>
        <v>0</v>
      </c>
      <c r="X108" s="19"/>
      <c r="Y108" s="70"/>
      <c r="Z108" s="71">
        <f t="shared" si="201"/>
        <v>0</v>
      </c>
      <c r="AA108" s="71">
        <f t="shared" si="202"/>
        <v>0.25</v>
      </c>
      <c r="AB108" s="71">
        <f t="shared" si="203"/>
        <v>0</v>
      </c>
      <c r="AC108" s="228"/>
      <c r="AD108" s="94"/>
      <c r="AE108" s="93"/>
      <c r="AF108" s="93"/>
      <c r="AG108" s="228"/>
      <c r="AH108" s="228"/>
      <c r="AI108" s="229"/>
    </row>
    <row r="109" s="1" customFormat="1" ht="5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19">
        <f>W98</f>
        <v>0</v>
      </c>
      <c r="X109" s="19"/>
      <c r="Y109" s="38">
        <f>IF($Y$89=MAX($Y$89:$Y$94),Y103,IF($Y$91=MAX($Y$89:$Y$94),Y106,IF($Y$92=MAX($Y$89:$Y$94),Y107,IF($Y$93=MAX($Y$89:$Y$94),(Y107),Y108))))</f>
        <v>0</v>
      </c>
      <c r="Z109" s="74" t="e">
        <f>Z98/$Y$98</f>
        <v>#DIV/0!</v>
      </c>
      <c r="AA109" s="74" t="e">
        <f>AA98/$Y$98</f>
        <v>#DIV/0!</v>
      </c>
      <c r="AB109" s="74" t="e">
        <f>AB98/$Y$98</f>
        <v>#DIV/0!</v>
      </c>
      <c r="AC109" s="228"/>
      <c r="AD109" s="94"/>
      <c r="AE109" s="93"/>
      <c r="AF109" s="93"/>
      <c r="AG109" s="228"/>
      <c r="AH109" s="228"/>
      <c r="AI109" s="229"/>
    </row>
    <row r="110" s="1" customFormat="1" ht="2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206"/>
      <c r="AC110" s="228"/>
      <c r="AD110" s="93"/>
      <c r="AE110" s="93"/>
      <c r="AF110" s="93"/>
      <c r="AG110" s="228"/>
      <c r="AH110" s="228"/>
      <c r="AI110" s="228"/>
    </row>
    <row r="111" ht="2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2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2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2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="1" customFormat="1" ht="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206"/>
    </row>
    <row r="116" s="1" customFormat="1" ht="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206"/>
    </row>
    <row r="117" s="1" customFormat="1" ht="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206"/>
    </row>
    <row r="118" s="1" customFormat="1" ht="25" customHeight="1">
      <c r="W118" s="206"/>
    </row>
    <row r="119" s="1" customFormat="1" ht="25" customHeight="1">
      <c r="W119" s="206"/>
    </row>
    <row r="120" s="1" customFormat="1" ht="25" customHeight="1">
      <c r="W120" s="206"/>
    </row>
    <row r="121" s="1" customFormat="1" ht="25" customHeight="1">
      <c r="W121" s="206"/>
    </row>
  </sheetData>
  <mergeCells count="136">
    <mergeCell ref="C9:V9"/>
    <mergeCell ref="C10:F10"/>
    <mergeCell ref="G10:J10"/>
    <mergeCell ref="K10:N10"/>
    <mergeCell ref="O10:R10"/>
    <mergeCell ref="S10:V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A12:B12"/>
    <mergeCell ref="C19:V19"/>
    <mergeCell ref="C20:F20"/>
    <mergeCell ref="G20:J20"/>
    <mergeCell ref="K20:N20"/>
    <mergeCell ref="O20:R20"/>
    <mergeCell ref="S20:V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A22:B22"/>
    <mergeCell ref="C29:V29"/>
    <mergeCell ref="C30:F30"/>
    <mergeCell ref="G30:J30"/>
    <mergeCell ref="K30:N30"/>
    <mergeCell ref="O30:R30"/>
    <mergeCell ref="S30:V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A32:B32"/>
    <mergeCell ref="C49:V49"/>
    <mergeCell ref="C50:F50"/>
    <mergeCell ref="G50:J50"/>
    <mergeCell ref="K50:N50"/>
    <mergeCell ref="O50:R50"/>
    <mergeCell ref="S50:V50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A52:B52"/>
    <mergeCell ref="C59:V59"/>
    <mergeCell ref="C60:F60"/>
    <mergeCell ref="G60:J60"/>
    <mergeCell ref="K60:N60"/>
    <mergeCell ref="O60:R60"/>
    <mergeCell ref="S60:V60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A62:B62"/>
    <mergeCell ref="C69:V69"/>
    <mergeCell ref="C70:F70"/>
    <mergeCell ref="G70:J70"/>
    <mergeCell ref="K70:N70"/>
    <mergeCell ref="O70:R70"/>
    <mergeCell ref="S70:V70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A72:B72"/>
    <mergeCell ref="Y85:Y88"/>
    <mergeCell ref="Z85:Z88"/>
    <mergeCell ref="AA85:AA88"/>
    <mergeCell ref="AB85:AB88"/>
    <mergeCell ref="C87:D87"/>
    <mergeCell ref="E87:F87"/>
    <mergeCell ref="A88:B88"/>
    <mergeCell ref="W88:X88"/>
    <mergeCell ref="A89:B89"/>
    <mergeCell ref="W89:X89"/>
    <mergeCell ref="A90:B90"/>
    <mergeCell ref="W90:X90"/>
    <mergeCell ref="A91:B91"/>
    <mergeCell ref="W91:X91"/>
    <mergeCell ref="A92:B92"/>
    <mergeCell ref="W92:X92"/>
    <mergeCell ref="A93:B93"/>
    <mergeCell ref="W93:X93"/>
    <mergeCell ref="A94:B94"/>
    <mergeCell ref="W94:X94"/>
    <mergeCell ref="W97:X97"/>
    <mergeCell ref="W98:X98"/>
    <mergeCell ref="Y99:Y102"/>
    <mergeCell ref="Z99:Z102"/>
    <mergeCell ref="AA99:AA102"/>
    <mergeCell ref="AB99:AB102"/>
    <mergeCell ref="W102:X102"/>
    <mergeCell ref="W103:X103"/>
    <mergeCell ref="W104:X104"/>
    <mergeCell ref="W105:X105"/>
    <mergeCell ref="W106:X106"/>
    <mergeCell ref="W107:X107"/>
    <mergeCell ref="W108:X108"/>
    <mergeCell ref="W109:X109"/>
  </mergeCells>
  <printOptions headings="0" gridLines="0" horizontalCentered="0" verticalCentered="0"/>
  <pageMargins left="0.31527777777777799" right="0.31527777777777799" top="1.1416666666666702" bottom="1.1416666666666702" header="0.51180555555555496" footer="0.51180555555555496"/>
  <pageSetup paperSize="9" scale="100" fitToWidth="1" fitToHeight="0" pageOrder="downThenOver" orientation="portrait" usePrinterDefaults="1" blackAndWhite="0" draft="0" cellComments="none" useFirstPageNumber="0" errors="displayed" horizontalDpi="300" verticalDpi="300" copies="1"/>
  <headerFooter/>
  <colBreaks count="1" manualBreakCount="1">
    <brk id="22" man="1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I23" zoomScale="65" workbookViewId="0">
      <selection activeCell="I44" activeCellId="0" sqref="I44"/>
    </sheetView>
  </sheetViews>
  <sheetFormatPr defaultColWidth="11.23828125" defaultRowHeight="14"/>
  <cols>
    <col customWidth="1" min="1" max="1" style="231" width="12"/>
    <col customWidth="0" min="2" max="2" style="231" width="11.25"/>
    <col customWidth="1" min="3" max="18" style="231" width="14.58"/>
    <col customWidth="0" min="19" max="24" style="231" width="11.25"/>
    <col customWidth="1" min="25" max="25" style="231" width="14.58"/>
    <col customWidth="1" min="26" max="26" style="232" width="14.58"/>
    <col customWidth="1" min="27" max="28" style="231" width="14.58"/>
    <col customWidth="0" min="29" max="1023" style="231" width="11.25"/>
    <col customWidth="0" min="1024" max="1024" style="233" width="11.25"/>
  </cols>
  <sheetData>
    <row r="1" s="232" customFormat="1" ht="42" customHeight="1">
      <c r="A1" s="234"/>
      <c r="B1" s="235" t="s">
        <v>152</v>
      </c>
      <c r="C1" s="236"/>
      <c r="D1" s="236"/>
      <c r="E1" s="236"/>
      <c r="G1" s="234" t="s">
        <v>2</v>
      </c>
      <c r="H1" s="237"/>
      <c r="I1" s="236"/>
      <c r="J1" s="236"/>
      <c r="K1" s="236"/>
      <c r="L1" s="236"/>
      <c r="M1" s="236"/>
      <c r="O1" s="234"/>
      <c r="P1" s="237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G1" s="236"/>
      <c r="AH1" s="236"/>
      <c r="AMH1" s="238"/>
      <c r="AMI1" s="238"/>
    </row>
    <row r="2" s="232" customFormat="1" ht="30" customHeight="1">
      <c r="A2" s="234" t="s">
        <v>3</v>
      </c>
      <c r="B2" s="236"/>
      <c r="C2" s="236"/>
      <c r="D2" s="236"/>
      <c r="E2" s="236"/>
      <c r="F2" s="232" t="s">
        <v>153</v>
      </c>
      <c r="G2" s="236"/>
      <c r="H2" s="236"/>
      <c r="I2" s="236"/>
      <c r="J2" s="236"/>
      <c r="K2" s="236"/>
      <c r="L2" s="236"/>
      <c r="M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F2" s="236"/>
      <c r="AG2" s="236"/>
      <c r="AH2" s="236"/>
      <c r="AMH2" s="238"/>
      <c r="AMI2" s="238"/>
    </row>
    <row r="3" s="232" customFormat="1" ht="20.25" customHeight="1">
      <c r="A3" s="234" t="s">
        <v>5</v>
      </c>
      <c r="B3" s="236"/>
      <c r="C3" s="236"/>
      <c r="D3" s="236"/>
      <c r="E3" s="236"/>
      <c r="F3" s="236"/>
      <c r="G3" s="239" t="s">
        <v>7</v>
      </c>
      <c r="H3" s="236"/>
      <c r="I3" s="236"/>
      <c r="J3" s="236"/>
      <c r="K3" s="236"/>
      <c r="L3" s="236"/>
      <c r="M3" s="236"/>
      <c r="N3" s="236"/>
      <c r="O3" s="239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MH3" s="238"/>
      <c r="AMI3" s="238"/>
    </row>
    <row r="4" s="238" customFormat="1" ht="4.5" customHeight="1"/>
    <row r="5" s="238" customFormat="1" ht="4.5" customHeight="1"/>
    <row r="6" s="232" customFormat="1" ht="25.5" customHeight="1">
      <c r="A6" s="240" t="s">
        <v>8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MI6" s="238"/>
    </row>
    <row r="7" s="232" customFormat="1" ht="50.649999999999999" customHeight="1">
      <c r="A7" s="240" t="s">
        <v>10</v>
      </c>
      <c r="B7" s="236"/>
      <c r="C7" s="236"/>
      <c r="D7" s="236"/>
      <c r="E7" s="236"/>
      <c r="F7" s="236"/>
      <c r="G7" s="241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MI7" s="238"/>
    </row>
    <row r="8" s="232" customFormat="1" ht="25.5" customHeight="1">
      <c r="A8" s="240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</row>
    <row r="9" s="232" customFormat="1" ht="30" customHeight="1">
      <c r="A9" s="234"/>
      <c r="B9" s="236"/>
      <c r="C9" s="242" t="s">
        <v>154</v>
      </c>
      <c r="D9" s="242"/>
      <c r="E9" s="242"/>
      <c r="F9" s="242"/>
      <c r="G9" s="242"/>
      <c r="H9" s="242"/>
      <c r="I9" s="242"/>
      <c r="J9" s="242"/>
      <c r="K9" s="242" t="s">
        <v>155</v>
      </c>
      <c r="L9" s="242"/>
      <c r="M9" s="242"/>
      <c r="N9" s="242"/>
      <c r="O9" s="242"/>
      <c r="P9" s="242"/>
      <c r="Q9" s="242"/>
      <c r="R9" s="242"/>
    </row>
    <row r="10" ht="18.75" customHeight="1">
      <c r="A10" s="234"/>
      <c r="B10" s="236"/>
      <c r="C10" s="243" t="s">
        <v>156</v>
      </c>
      <c r="D10" s="243"/>
      <c r="E10" s="243"/>
      <c r="F10" s="243"/>
      <c r="G10" s="243" t="s">
        <v>157</v>
      </c>
      <c r="H10" s="243"/>
      <c r="I10" s="243"/>
      <c r="J10" s="243"/>
      <c r="K10" s="243" t="s">
        <v>158</v>
      </c>
      <c r="L10" s="243"/>
      <c r="M10" s="243"/>
      <c r="N10" s="243"/>
      <c r="O10" s="243" t="s">
        <v>159</v>
      </c>
      <c r="P10" s="243"/>
      <c r="Q10" s="243"/>
      <c r="R10" s="243"/>
    </row>
    <row r="11" ht="23.25" customHeight="1">
      <c r="A11" s="234"/>
      <c r="B11" s="236"/>
      <c r="C11" s="244" t="s">
        <v>18</v>
      </c>
      <c r="D11" s="244"/>
      <c r="E11" s="244" t="s">
        <v>19</v>
      </c>
      <c r="F11" s="244"/>
      <c r="G11" s="244" t="s">
        <v>18</v>
      </c>
      <c r="H11" s="244"/>
      <c r="I11" s="244" t="s">
        <v>19</v>
      </c>
      <c r="J11" s="244"/>
      <c r="K11" s="244" t="s">
        <v>18</v>
      </c>
      <c r="L11" s="244"/>
      <c r="M11" s="244" t="s">
        <v>19</v>
      </c>
      <c r="N11" s="244"/>
      <c r="O11" s="244" t="s">
        <v>18</v>
      </c>
      <c r="P11" s="244"/>
      <c r="Q11" s="244" t="s">
        <v>19</v>
      </c>
      <c r="R11" s="244"/>
    </row>
    <row r="12" ht="21">
      <c r="A12" s="245" t="s">
        <v>20</v>
      </c>
      <c r="B12" s="245"/>
      <c r="C12" s="246" t="s">
        <v>21</v>
      </c>
      <c r="D12" s="246" t="s">
        <v>22</v>
      </c>
      <c r="E12" s="246" t="s">
        <v>21</v>
      </c>
      <c r="F12" s="246" t="s">
        <v>22</v>
      </c>
      <c r="G12" s="246" t="s">
        <v>21</v>
      </c>
      <c r="H12" s="246" t="s">
        <v>22</v>
      </c>
      <c r="I12" s="246" t="s">
        <v>21</v>
      </c>
      <c r="J12" s="246" t="s">
        <v>22</v>
      </c>
      <c r="K12" s="246" t="s">
        <v>21</v>
      </c>
      <c r="L12" s="246" t="s">
        <v>22</v>
      </c>
      <c r="M12" s="246" t="s">
        <v>21</v>
      </c>
      <c r="N12" s="246" t="s">
        <v>22</v>
      </c>
      <c r="O12" s="246" t="s">
        <v>21</v>
      </c>
      <c r="P12" s="246" t="s">
        <v>22</v>
      </c>
      <c r="Q12" s="246" t="s">
        <v>21</v>
      </c>
      <c r="R12" s="246" t="s">
        <v>22</v>
      </c>
    </row>
    <row r="13" ht="45" customHeight="1">
      <c r="A13" s="247">
        <v>0.27083333333333298</v>
      </c>
      <c r="B13" s="247">
        <v>0.29166666666666702</v>
      </c>
      <c r="C13" s="248"/>
      <c r="D13" s="248"/>
      <c r="E13" s="248"/>
      <c r="F13" s="248"/>
      <c r="G13" s="248"/>
      <c r="H13" s="248"/>
      <c r="I13" s="248"/>
      <c r="J13" s="249"/>
      <c r="K13" s="250"/>
      <c r="L13" s="248"/>
      <c r="M13" s="248"/>
      <c r="N13" s="248"/>
      <c r="O13" s="248"/>
      <c r="P13" s="248"/>
      <c r="Q13" s="248"/>
      <c r="R13" s="248"/>
    </row>
    <row r="14" ht="47.149999999999999" customHeight="1">
      <c r="A14" s="247">
        <v>0.29166666666666702</v>
      </c>
      <c r="B14" s="247">
        <v>0.3125</v>
      </c>
      <c r="C14" s="248"/>
      <c r="D14" s="248">
        <v>3</v>
      </c>
      <c r="E14" s="248"/>
      <c r="F14" s="248"/>
      <c r="G14" s="248"/>
      <c r="H14" s="248"/>
      <c r="I14" s="248"/>
      <c r="J14" s="249"/>
      <c r="K14" s="250">
        <v>1</v>
      </c>
      <c r="L14" s="248"/>
      <c r="M14" s="248"/>
      <c r="N14" s="248"/>
      <c r="O14" s="248"/>
      <c r="P14" s="248"/>
      <c r="Q14" s="248"/>
      <c r="R14" s="248"/>
    </row>
    <row r="15" ht="47.149999999999999" customHeight="1">
      <c r="A15" s="247">
        <v>0.3125</v>
      </c>
      <c r="B15" s="247">
        <v>0.33333333333333298</v>
      </c>
      <c r="C15" s="248"/>
      <c r="D15" s="248"/>
      <c r="E15" s="248"/>
      <c r="F15" s="248"/>
      <c r="G15" s="248">
        <v>1</v>
      </c>
      <c r="H15" s="248">
        <v>1</v>
      </c>
      <c r="I15" s="248"/>
      <c r="J15" s="249"/>
      <c r="K15" s="250"/>
      <c r="L15" s="248">
        <v>1</v>
      </c>
      <c r="M15" s="248"/>
      <c r="N15" s="248"/>
      <c r="O15" s="248"/>
      <c r="P15" s="248"/>
      <c r="Q15" s="248"/>
      <c r="R15" s="248"/>
    </row>
    <row r="16" ht="47.149999999999999" customHeight="1">
      <c r="A16" s="247">
        <v>0.33333333333333298</v>
      </c>
      <c r="B16" s="247">
        <v>0.35416666666666702</v>
      </c>
      <c r="C16" s="248"/>
      <c r="D16" s="248"/>
      <c r="E16" s="248"/>
      <c r="F16" s="248"/>
      <c r="G16" s="248"/>
      <c r="H16" s="248"/>
      <c r="I16" s="248"/>
      <c r="J16" s="249"/>
      <c r="K16" s="250"/>
      <c r="L16" s="248"/>
      <c r="M16" s="248"/>
      <c r="N16" s="248"/>
      <c r="O16" s="248"/>
      <c r="P16" s="248"/>
      <c r="Q16" s="248"/>
      <c r="R16" s="248"/>
    </row>
    <row r="17" ht="47.149999999999999" customHeight="1">
      <c r="A17" s="247">
        <v>0.35416666666666702</v>
      </c>
      <c r="B17" s="247">
        <v>0.375</v>
      </c>
      <c r="C17" s="248"/>
      <c r="D17" s="248"/>
      <c r="E17" s="248"/>
      <c r="F17" s="248"/>
      <c r="G17" s="248"/>
      <c r="H17" s="248"/>
      <c r="I17" s="248"/>
      <c r="J17" s="249"/>
      <c r="K17" s="250"/>
      <c r="L17" s="248"/>
      <c r="M17" s="248"/>
      <c r="N17" s="248"/>
      <c r="O17" s="248"/>
      <c r="P17" s="248"/>
      <c r="Q17" s="248"/>
      <c r="R17" s="248"/>
    </row>
    <row r="18" ht="12" customHeight="1">
      <c r="A18" s="251"/>
      <c r="B18" s="251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="232" customFormat="1" ht="30" customHeight="1">
      <c r="A19" s="234"/>
      <c r="B19" s="236"/>
      <c r="C19" s="242" t="s">
        <v>160</v>
      </c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</row>
    <row r="20" ht="20.25" customHeight="1">
      <c r="A20" s="234"/>
      <c r="B20" s="236"/>
      <c r="C20" s="243" t="s">
        <v>161</v>
      </c>
      <c r="D20" s="243"/>
      <c r="E20" s="243"/>
      <c r="F20" s="243"/>
      <c r="G20" s="243" t="s">
        <v>162</v>
      </c>
      <c r="H20" s="243"/>
      <c r="I20" s="243"/>
      <c r="J20" s="243"/>
      <c r="K20" s="243" t="s">
        <v>163</v>
      </c>
      <c r="L20" s="243"/>
      <c r="M20" s="243"/>
      <c r="N20" s="243"/>
      <c r="O20" s="243" t="s">
        <v>164</v>
      </c>
      <c r="P20" s="243"/>
      <c r="Q20" s="243"/>
      <c r="R20" s="243"/>
    </row>
    <row r="21" ht="23.25" customHeight="1">
      <c r="A21" s="234"/>
      <c r="B21" s="236"/>
      <c r="C21" s="244" t="s">
        <v>18</v>
      </c>
      <c r="D21" s="244"/>
      <c r="E21" s="244" t="s">
        <v>19</v>
      </c>
      <c r="F21" s="244"/>
      <c r="G21" s="244" t="s">
        <v>18</v>
      </c>
      <c r="H21" s="244"/>
      <c r="I21" s="244" t="s">
        <v>19</v>
      </c>
      <c r="J21" s="244"/>
      <c r="K21" s="244" t="s">
        <v>18</v>
      </c>
      <c r="L21" s="244"/>
      <c r="M21" s="244" t="s">
        <v>19</v>
      </c>
      <c r="N21" s="244"/>
      <c r="O21" s="244" t="s">
        <v>18</v>
      </c>
      <c r="P21" s="244"/>
      <c r="Q21" s="244" t="s">
        <v>19</v>
      </c>
      <c r="R21" s="244"/>
    </row>
    <row r="22" ht="19.699999999999999">
      <c r="A22" s="245" t="s">
        <v>20</v>
      </c>
      <c r="B22" s="245"/>
      <c r="C22" s="246" t="s">
        <v>21</v>
      </c>
      <c r="D22" s="246" t="s">
        <v>22</v>
      </c>
      <c r="E22" s="246" t="s">
        <v>21</v>
      </c>
      <c r="F22" s="246" t="s">
        <v>22</v>
      </c>
      <c r="G22" s="246" t="s">
        <v>21</v>
      </c>
      <c r="H22" s="246" t="s">
        <v>22</v>
      </c>
      <c r="I22" s="246" t="s">
        <v>21</v>
      </c>
      <c r="J22" s="246" t="s">
        <v>22</v>
      </c>
      <c r="K22" s="246" t="s">
        <v>21</v>
      </c>
      <c r="L22" s="246" t="s">
        <v>22</v>
      </c>
      <c r="M22" s="246" t="s">
        <v>21</v>
      </c>
      <c r="N22" s="246" t="s">
        <v>22</v>
      </c>
      <c r="O22" s="246" t="s">
        <v>21</v>
      </c>
      <c r="P22" s="246" t="s">
        <v>22</v>
      </c>
      <c r="Q22" s="246" t="s">
        <v>21</v>
      </c>
      <c r="R22" s="246" t="s">
        <v>22</v>
      </c>
    </row>
    <row r="23" ht="45" customHeight="1">
      <c r="A23" s="247">
        <v>0.27083333333333298</v>
      </c>
      <c r="B23" s="247">
        <v>0.29166666666666702</v>
      </c>
      <c r="C23" s="248"/>
      <c r="D23" s="248"/>
      <c r="E23" s="248"/>
      <c r="F23" s="249"/>
      <c r="G23" s="250"/>
      <c r="H23" s="248"/>
      <c r="I23" s="248"/>
      <c r="J23" s="249"/>
      <c r="K23" s="250">
        <v>4</v>
      </c>
      <c r="L23" s="248">
        <v>3</v>
      </c>
      <c r="M23" s="248"/>
      <c r="N23" s="249"/>
      <c r="O23" s="250">
        <v>1</v>
      </c>
      <c r="P23" s="248"/>
      <c r="Q23" s="248"/>
      <c r="R23" s="249"/>
    </row>
    <row r="24" ht="47.149999999999999" customHeight="1">
      <c r="A24" s="247">
        <v>0.29166666666666702</v>
      </c>
      <c r="B24" s="247">
        <v>0.3125</v>
      </c>
      <c r="C24" s="248"/>
      <c r="D24" s="248"/>
      <c r="E24" s="248"/>
      <c r="F24" s="249"/>
      <c r="G24" s="250"/>
      <c r="H24" s="248"/>
      <c r="I24" s="248"/>
      <c r="J24" s="249"/>
      <c r="K24" s="250">
        <v>1</v>
      </c>
      <c r="L24" s="248">
        <v>2</v>
      </c>
      <c r="M24" s="248"/>
      <c r="N24" s="249"/>
      <c r="O24" s="250"/>
      <c r="P24" s="248">
        <v>1</v>
      </c>
      <c r="Q24" s="248"/>
      <c r="R24" s="249"/>
    </row>
    <row r="25" ht="47.149999999999999" customHeight="1">
      <c r="A25" s="247">
        <v>0.3125</v>
      </c>
      <c r="B25" s="247">
        <v>0.33333333333333298</v>
      </c>
      <c r="C25" s="248"/>
      <c r="D25" s="248"/>
      <c r="E25" s="248"/>
      <c r="F25" s="249"/>
      <c r="G25" s="250"/>
      <c r="H25" s="248"/>
      <c r="I25" s="248"/>
      <c r="J25" s="249"/>
      <c r="K25" s="250">
        <v>2</v>
      </c>
      <c r="L25" s="248">
        <v>5</v>
      </c>
      <c r="M25" s="248"/>
      <c r="N25" s="249"/>
      <c r="O25" s="250"/>
      <c r="P25" s="248"/>
      <c r="Q25" s="248"/>
      <c r="R25" s="249"/>
    </row>
    <row r="26" ht="47.149999999999999" customHeight="1">
      <c r="A26" s="247">
        <v>0.33333333333333298</v>
      </c>
      <c r="B26" s="247">
        <v>0.35416666666666702</v>
      </c>
      <c r="C26" s="248"/>
      <c r="D26" s="248">
        <v>1</v>
      </c>
      <c r="E26" s="248"/>
      <c r="F26" s="249"/>
      <c r="G26" s="250"/>
      <c r="H26" s="248"/>
      <c r="I26" s="248"/>
      <c r="J26" s="249"/>
      <c r="K26" s="250"/>
      <c r="L26" s="248">
        <v>3</v>
      </c>
      <c r="M26" s="248"/>
      <c r="N26" s="249">
        <v>1</v>
      </c>
      <c r="O26" s="250"/>
      <c r="P26" s="248"/>
      <c r="Q26" s="248"/>
      <c r="R26" s="249"/>
    </row>
    <row r="27" ht="47.149999999999999" customHeight="1">
      <c r="A27" s="253">
        <v>0.35416666666666702</v>
      </c>
      <c r="B27" s="253">
        <v>0.375</v>
      </c>
      <c r="C27" s="254"/>
      <c r="D27" s="254"/>
      <c r="E27" s="254"/>
      <c r="F27" s="255"/>
      <c r="G27" s="256"/>
      <c r="H27" s="254"/>
      <c r="I27" s="254"/>
      <c r="J27" s="255"/>
      <c r="K27" s="256"/>
      <c r="L27" s="254"/>
      <c r="M27" s="254"/>
      <c r="N27" s="255">
        <v>2</v>
      </c>
      <c r="O27" s="250"/>
      <c r="P27" s="248"/>
      <c r="Q27" s="248"/>
      <c r="R27" s="249"/>
    </row>
    <row r="28" ht="47.149999999999999" customHeight="1">
      <c r="A28" s="24"/>
      <c r="B28" s="25" t="s">
        <v>23</v>
      </c>
      <c r="C28" s="257"/>
      <c r="D28" s="257"/>
      <c r="E28" s="257"/>
      <c r="F28" s="257"/>
      <c r="G28" s="257"/>
      <c r="H28" s="257"/>
      <c r="I28" s="257"/>
      <c r="J28" s="257"/>
      <c r="K28" s="258"/>
      <c r="L28" s="259"/>
      <c r="M28" s="259"/>
      <c r="N28" s="259"/>
      <c r="O28" s="259"/>
      <c r="P28" s="259"/>
      <c r="Q28" s="259"/>
      <c r="R28" s="259"/>
      <c r="S28" s="259"/>
    </row>
    <row r="29" ht="47.149999999999999" customHeight="1">
      <c r="A29" s="24"/>
      <c r="B29" s="25" t="s">
        <v>34</v>
      </c>
      <c r="C29" s="257"/>
      <c r="D29" s="257"/>
      <c r="E29" s="257"/>
      <c r="F29" s="257"/>
      <c r="G29" s="257"/>
      <c r="H29" s="257"/>
      <c r="I29" s="257"/>
      <c r="J29" s="257"/>
      <c r="K29" s="260"/>
      <c r="L29" s="261"/>
      <c r="M29" s="261"/>
      <c r="N29" s="261"/>
      <c r="O29" s="261"/>
      <c r="P29" s="261"/>
      <c r="Q29" s="261"/>
      <c r="R29" s="261"/>
      <c r="S29" s="261"/>
    </row>
    <row r="30" ht="47.149999999999999" customHeight="1">
      <c r="A30" s="24"/>
      <c r="B30" s="25" t="s">
        <v>25</v>
      </c>
      <c r="C30" s="257"/>
      <c r="D30" s="257"/>
      <c r="E30" s="257"/>
      <c r="F30" s="257"/>
      <c r="G30" s="257"/>
      <c r="H30" s="257"/>
      <c r="I30" s="257"/>
      <c r="J30" s="257"/>
      <c r="K30" s="260"/>
      <c r="L30" s="261"/>
      <c r="M30" s="261"/>
      <c r="N30" s="261"/>
      <c r="O30" s="261"/>
      <c r="P30" s="261"/>
      <c r="Q30" s="261"/>
      <c r="R30" s="261"/>
      <c r="S30" s="261"/>
    </row>
    <row r="31" ht="47.149999999999999" customHeight="1">
      <c r="A31" s="24">
        <v>10</v>
      </c>
      <c r="B31" s="25" t="s">
        <v>26</v>
      </c>
      <c r="C31" s="257"/>
      <c r="D31" s="257"/>
      <c r="E31" s="257"/>
      <c r="F31" s="257"/>
      <c r="G31" s="257"/>
      <c r="H31" s="257"/>
      <c r="I31" s="257"/>
      <c r="J31" s="257"/>
      <c r="K31" s="260"/>
      <c r="L31" s="261"/>
      <c r="M31" s="261"/>
      <c r="N31" s="261"/>
      <c r="O31" s="261"/>
      <c r="P31" s="261"/>
      <c r="Q31" s="261"/>
      <c r="R31" s="261"/>
      <c r="S31" s="261"/>
      <c r="U31" s="174" t="s">
        <v>99</v>
      </c>
    </row>
    <row r="32" ht="30" customHeight="1">
      <c r="A32" s="252"/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62"/>
      <c r="T32" s="263"/>
      <c r="U32" s="264" t="s">
        <v>27</v>
      </c>
      <c r="V32" s="265" t="s">
        <v>28</v>
      </c>
      <c r="W32" s="266" t="s">
        <v>29</v>
      </c>
      <c r="X32" s="266" t="s">
        <v>30</v>
      </c>
      <c r="Y32" s="68" t="s">
        <v>32</v>
      </c>
      <c r="Z32" s="267" t="s">
        <v>33</v>
      </c>
      <c r="AA32" s="68" t="s">
        <v>34</v>
      </c>
      <c r="AB32" s="68" t="s">
        <v>35</v>
      </c>
      <c r="AC32" s="221"/>
      <c r="AD32" s="221"/>
      <c r="AE32" s="222"/>
    </row>
    <row r="33" ht="23.25" customHeight="1">
      <c r="A33" s="252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62"/>
      <c r="T33" s="263"/>
      <c r="U33" s="264"/>
      <c r="V33" s="265"/>
      <c r="W33" s="266"/>
      <c r="X33" s="266"/>
      <c r="Y33" s="68"/>
      <c r="Z33" s="267"/>
      <c r="AA33" s="68"/>
      <c r="AB33" s="68"/>
      <c r="AC33" s="223"/>
      <c r="AD33" s="223"/>
      <c r="AE33" s="224"/>
    </row>
    <row r="34" ht="30" customHeight="1">
      <c r="A34" s="268"/>
      <c r="B34" s="268"/>
      <c r="C34" s="244" t="s">
        <v>18</v>
      </c>
      <c r="D34" s="244"/>
      <c r="E34" s="244" t="s">
        <v>19</v>
      </c>
      <c r="F34" s="244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69"/>
      <c r="T34" s="263"/>
      <c r="U34" s="264"/>
      <c r="V34" s="265"/>
      <c r="W34" s="266"/>
      <c r="X34" s="266"/>
      <c r="Y34" s="68"/>
      <c r="Z34" s="267"/>
      <c r="AA34" s="68"/>
      <c r="AB34" s="68"/>
      <c r="AC34" s="223"/>
      <c r="AD34" s="223"/>
      <c r="AE34" s="224"/>
    </row>
    <row r="35" ht="21" customHeight="1">
      <c r="A35" s="270" t="s">
        <v>20</v>
      </c>
      <c r="B35" s="270"/>
      <c r="C35" s="246" t="s">
        <v>21</v>
      </c>
      <c r="D35" s="246" t="s">
        <v>22</v>
      </c>
      <c r="E35" s="246" t="s">
        <v>21</v>
      </c>
      <c r="F35" s="246" t="s">
        <v>22</v>
      </c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70" t="s">
        <v>20</v>
      </c>
      <c r="T35" s="270"/>
      <c r="U35" s="264"/>
      <c r="V35" s="265"/>
      <c r="W35" s="266"/>
      <c r="X35" s="266"/>
      <c r="Y35" s="68"/>
      <c r="Z35" s="267"/>
      <c r="AA35" s="68"/>
      <c r="AB35" s="68"/>
      <c r="AC35" s="226"/>
      <c r="AD35" s="226"/>
      <c r="AE35" s="227"/>
    </row>
    <row r="36" ht="35.149999999999999" customHeight="1">
      <c r="A36" s="270" t="s">
        <v>36</v>
      </c>
      <c r="B36" s="270"/>
      <c r="C36" s="248">
        <f t="shared" ref="C36:C40" si="204">C13+G13+K13+O13+C23+G23+K23+O23+Q23</f>
        <v>5</v>
      </c>
      <c r="D36" s="248">
        <f t="shared" ref="D36:D40" si="205">D13+H13+L13+P13+D23+H23+L23+P23+R23</f>
        <v>3</v>
      </c>
      <c r="E36" s="248">
        <f t="shared" ref="E36:E40" si="206">E13+I13+M13+Q13+E23+I23+M23+Q23+S23</f>
        <v>0</v>
      </c>
      <c r="F36" s="248">
        <f t="shared" ref="F36:F40" si="207">F13+J13+N13+R13+F23+J23+N23+R23+T23</f>
        <v>0</v>
      </c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70" t="str">
        <f t="shared" ref="S36:S40" si="208">A36</f>
        <v xml:space="preserve">6:30 à 7:00</v>
      </c>
      <c r="T36" s="270"/>
      <c r="U36" s="40">
        <f t="shared" ref="U36:U40" si="209">SUM(C36:F36)</f>
        <v>8</v>
      </c>
      <c r="V36" s="41">
        <f t="shared" ref="V36:V40" si="210">C36+E36</f>
        <v>5</v>
      </c>
      <c r="W36" s="41">
        <f t="shared" ref="W36:W40" si="211">E36+F36</f>
        <v>0</v>
      </c>
      <c r="X36" s="41">
        <f t="shared" ref="X36:X40" si="212">E36</f>
        <v>0</v>
      </c>
      <c r="Y36" s="1"/>
      <c r="Z36" s="2"/>
      <c r="AA36" s="1"/>
      <c r="AB36" s="1"/>
      <c r="AC36" s="228"/>
      <c r="AD36" s="228"/>
      <c r="AE36" s="229"/>
    </row>
    <row r="37" ht="35.149999999999999" customHeight="1">
      <c r="A37" s="270" t="s">
        <v>37</v>
      </c>
      <c r="B37" s="270"/>
      <c r="C37" s="248">
        <f t="shared" si="204"/>
        <v>2</v>
      </c>
      <c r="D37" s="248">
        <f t="shared" si="205"/>
        <v>6</v>
      </c>
      <c r="E37" s="248">
        <f t="shared" si="206"/>
        <v>0</v>
      </c>
      <c r="F37" s="248">
        <f t="shared" si="207"/>
        <v>0</v>
      </c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70" t="str">
        <f t="shared" si="208"/>
        <v xml:space="preserve">7:00 à 7:30</v>
      </c>
      <c r="T37" s="270"/>
      <c r="U37" s="40">
        <f t="shared" si="209"/>
        <v>8</v>
      </c>
      <c r="V37" s="41">
        <f t="shared" si="210"/>
        <v>2</v>
      </c>
      <c r="W37" s="41">
        <f t="shared" si="211"/>
        <v>0</v>
      </c>
      <c r="X37" s="41">
        <f t="shared" si="212"/>
        <v>0</v>
      </c>
      <c r="Y37" s="1"/>
      <c r="Z37" s="2"/>
      <c r="AA37" s="1"/>
      <c r="AB37" s="1"/>
      <c r="AC37" s="228"/>
      <c r="AD37" s="228"/>
      <c r="AE37" s="229"/>
    </row>
    <row r="38" ht="35.149999999999999" customHeight="1">
      <c r="A38" s="270" t="s">
        <v>38</v>
      </c>
      <c r="B38" s="270"/>
      <c r="C38" s="248">
        <f t="shared" si="204"/>
        <v>3</v>
      </c>
      <c r="D38" s="248">
        <f t="shared" si="205"/>
        <v>7</v>
      </c>
      <c r="E38" s="248">
        <f t="shared" si="206"/>
        <v>0</v>
      </c>
      <c r="F38" s="248">
        <f t="shared" si="207"/>
        <v>0</v>
      </c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70" t="str">
        <f t="shared" si="208"/>
        <v xml:space="preserve">7:30 à 8:00</v>
      </c>
      <c r="T38" s="270"/>
      <c r="U38" s="40">
        <f t="shared" si="209"/>
        <v>10</v>
      </c>
      <c r="V38" s="41">
        <f t="shared" si="210"/>
        <v>3</v>
      </c>
      <c r="W38" s="41">
        <f t="shared" si="211"/>
        <v>0</v>
      </c>
      <c r="X38" s="41">
        <f t="shared" si="212"/>
        <v>0</v>
      </c>
      <c r="Y38" s="1"/>
      <c r="Z38" s="2"/>
      <c r="AA38" s="1"/>
      <c r="AB38" s="1"/>
      <c r="AC38" s="228"/>
      <c r="AD38" s="228"/>
      <c r="AE38" s="229"/>
    </row>
    <row r="39" ht="35.149999999999999" customHeight="1">
      <c r="A39" s="270" t="s">
        <v>39</v>
      </c>
      <c r="B39" s="270"/>
      <c r="C39" s="248">
        <f t="shared" si="204"/>
        <v>0</v>
      </c>
      <c r="D39" s="248">
        <f t="shared" si="205"/>
        <v>4</v>
      </c>
      <c r="E39" s="248">
        <f t="shared" si="206"/>
        <v>0</v>
      </c>
      <c r="F39" s="248">
        <f t="shared" si="207"/>
        <v>1</v>
      </c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70" t="str">
        <f t="shared" si="208"/>
        <v xml:space="preserve">8:00 à 8:30</v>
      </c>
      <c r="T39" s="270"/>
      <c r="U39" s="40">
        <f t="shared" si="209"/>
        <v>5</v>
      </c>
      <c r="V39" s="41">
        <f t="shared" si="210"/>
        <v>0</v>
      </c>
      <c r="W39" s="41">
        <f t="shared" si="211"/>
        <v>1</v>
      </c>
      <c r="X39" s="41">
        <f t="shared" si="212"/>
        <v>0</v>
      </c>
      <c r="Y39" s="1"/>
      <c r="Z39" s="2"/>
      <c r="AA39" s="1"/>
      <c r="AB39" s="1"/>
      <c r="AC39" s="228"/>
      <c r="AD39" s="228"/>
      <c r="AE39" s="229"/>
    </row>
    <row r="40" ht="35.149999999999999" customHeight="1">
      <c r="A40" s="270" t="s">
        <v>40</v>
      </c>
      <c r="B40" s="270"/>
      <c r="C40" s="248">
        <f t="shared" si="204"/>
        <v>0</v>
      </c>
      <c r="D40" s="248">
        <f t="shared" si="205"/>
        <v>0</v>
      </c>
      <c r="E40" s="248">
        <f t="shared" si="206"/>
        <v>0</v>
      </c>
      <c r="F40" s="248">
        <f t="shared" si="207"/>
        <v>2</v>
      </c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70" t="str">
        <f t="shared" si="208"/>
        <v xml:space="preserve">8:30 à 9:00</v>
      </c>
      <c r="T40" s="270"/>
      <c r="U40" s="40">
        <f t="shared" si="209"/>
        <v>2</v>
      </c>
      <c r="V40" s="41">
        <f t="shared" si="210"/>
        <v>0</v>
      </c>
      <c r="W40" s="41">
        <f t="shared" si="211"/>
        <v>2</v>
      </c>
      <c r="X40" s="41">
        <f t="shared" si="212"/>
        <v>0</v>
      </c>
      <c r="Y40" s="1"/>
      <c r="Z40" s="2"/>
      <c r="AA40" s="1"/>
      <c r="AB40" s="1"/>
      <c r="AC40" s="228"/>
      <c r="AD40" s="228"/>
      <c r="AE40" s="229"/>
    </row>
    <row r="41" ht="35.149999999999999" customHeight="1">
      <c r="A41" s="270" t="s">
        <v>27</v>
      </c>
      <c r="B41" s="270"/>
      <c r="C41" s="271">
        <f>SUM(C36:C40)</f>
        <v>10</v>
      </c>
      <c r="D41" s="271">
        <f>SUM(D36:D40)</f>
        <v>20</v>
      </c>
      <c r="E41" s="271">
        <f>SUM(E36:E40)</f>
        <v>0</v>
      </c>
      <c r="F41" s="271">
        <f>SUM(F36:F40)</f>
        <v>3</v>
      </c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72" t="s">
        <v>27</v>
      </c>
      <c r="T41" s="272"/>
      <c r="U41" s="45">
        <f>SUM(U36:U40)</f>
        <v>33</v>
      </c>
      <c r="V41" s="194">
        <f>SUM(V36:V40)</f>
        <v>10</v>
      </c>
      <c r="W41" s="194">
        <f>SUM(W36:W40)</f>
        <v>3</v>
      </c>
      <c r="X41" s="47">
        <f>SUM(X36:X40)</f>
        <v>0</v>
      </c>
      <c r="Y41" s="45">
        <f>A31</f>
        <v>10</v>
      </c>
      <c r="Z41" s="40">
        <f>A28</f>
        <v>0</v>
      </c>
      <c r="AA41" s="46">
        <f>A29</f>
        <v>0</v>
      </c>
      <c r="AB41" s="46">
        <f>A30</f>
        <v>0</v>
      </c>
      <c r="AC41" s="228"/>
      <c r="AD41" s="228"/>
      <c r="AE41" s="229"/>
    </row>
    <row r="42" ht="35.149999999999999" customHeight="1">
      <c r="A42" s="273"/>
      <c r="B42" s="273"/>
      <c r="C42" s="274"/>
      <c r="D42" s="274"/>
      <c r="E42" s="274"/>
      <c r="F42" s="274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51" t="s">
        <v>38</v>
      </c>
      <c r="T42" s="52"/>
      <c r="U42" s="53">
        <f t="shared" ref="U42:U43" si="213">U37</f>
        <v>8</v>
      </c>
      <c r="V42" s="53"/>
      <c r="W42" s="53"/>
      <c r="X42" s="53"/>
      <c r="Y42" s="275"/>
      <c r="Z42" s="275"/>
      <c r="AA42" s="275"/>
      <c r="AB42" s="275"/>
      <c r="AC42" s="275"/>
      <c r="AD42" s="275"/>
      <c r="AE42" s="228"/>
    </row>
    <row r="43" ht="35.149999999999999" customHeight="1">
      <c r="A43" s="273"/>
      <c r="B43" s="273"/>
      <c r="C43" s="274"/>
      <c r="D43" s="274"/>
      <c r="E43" s="274"/>
      <c r="F43" s="274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58" t="s">
        <v>39</v>
      </c>
      <c r="T43" s="59"/>
      <c r="U43" s="60">
        <f t="shared" si="213"/>
        <v>10</v>
      </c>
      <c r="V43" s="60"/>
      <c r="W43" s="60"/>
      <c r="X43" s="60"/>
      <c r="Y43" s="275"/>
      <c r="Z43" s="275"/>
      <c r="AA43" s="275"/>
      <c r="AB43" s="275"/>
      <c r="AC43" s="275"/>
      <c r="AD43" s="275"/>
      <c r="AE43" s="228"/>
    </row>
    <row r="44" s="276" customFormat="1" ht="35.149999999999999" customHeight="1">
      <c r="A44" s="277"/>
      <c r="B44" s="277"/>
      <c r="C44" s="278"/>
      <c r="D44" s="278"/>
      <c r="E44" s="278"/>
      <c r="F44" s="278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175" t="s">
        <v>42</v>
      </c>
      <c r="T44" s="175"/>
      <c r="U44" s="176">
        <f>SUM(U42:U43)</f>
        <v>18</v>
      </c>
      <c r="V44" s="280"/>
      <c r="W44" s="280"/>
      <c r="X44" s="280"/>
      <c r="Y44" s="281"/>
      <c r="Z44" s="281"/>
      <c r="AA44" s="281"/>
      <c r="AB44" s="281"/>
      <c r="AC44" s="281"/>
      <c r="AD44" s="281"/>
      <c r="AE44" s="282"/>
      <c r="AMJ44" s="283"/>
    </row>
    <row r="45" ht="35.149999999999999" customHeight="1">
      <c r="A45" s="284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6"/>
      <c r="S45" s="19" t="str">
        <f>IF(U36=MAX(U36:U40),S36,IF(U37=MAX(U36:U40),S37,IF(U37=MAX(U36:U40),S37,IF(U38=MAX(U36:U40),S38,IF(U39=MAX(U36:U40),S39)))))</f>
        <v xml:space="preserve">7:30 à 8:00</v>
      </c>
      <c r="T45" s="19"/>
      <c r="U45" s="38">
        <v>11</v>
      </c>
      <c r="V45" s="186">
        <v>1</v>
      </c>
      <c r="W45" s="186">
        <v>4</v>
      </c>
      <c r="X45" s="186">
        <v>2</v>
      </c>
      <c r="Y45" s="1"/>
      <c r="Z45" s="2"/>
      <c r="AA45" s="1"/>
      <c r="AB45" s="1"/>
      <c r="AC45" s="287"/>
      <c r="AD45" s="287"/>
      <c r="AE45" s="288"/>
    </row>
    <row r="46" ht="25" customHeight="1">
      <c r="A46" s="289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36"/>
      <c r="AA46" s="275"/>
      <c r="AB46" s="275"/>
      <c r="AC46" s="275"/>
      <c r="AD46" s="275"/>
      <c r="AE46" s="275"/>
    </row>
    <row r="47" ht="25" customHeight="1">
      <c r="A47" s="289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36"/>
      <c r="AA47" s="275"/>
      <c r="AB47" s="275"/>
      <c r="AC47" s="275"/>
      <c r="AD47" s="275"/>
      <c r="AE47" s="275"/>
    </row>
    <row r="48" ht="25" customHeight="1">
      <c r="A48" s="289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36"/>
      <c r="AA48" s="275"/>
      <c r="AB48" s="275"/>
      <c r="AC48" s="275"/>
      <c r="AD48" s="275"/>
      <c r="AE48" s="275"/>
    </row>
    <row r="49" ht="35.149999999999999" customHeight="1">
      <c r="A49" s="289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36"/>
      <c r="AA49" s="275"/>
      <c r="AB49" s="275"/>
      <c r="AC49" s="275"/>
      <c r="AD49" s="275"/>
      <c r="AE49" s="275"/>
    </row>
    <row r="50" ht="35.149999999999999" customHeight="1">
      <c r="A50" s="289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36"/>
      <c r="AA50" s="275"/>
      <c r="AB50" s="275"/>
      <c r="AC50" s="275"/>
      <c r="AD50" s="275"/>
      <c r="AE50" s="275"/>
    </row>
    <row r="51" ht="35.149999999999999" customHeight="1">
      <c r="A51" s="289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36"/>
      <c r="AA51" s="275"/>
      <c r="AB51" s="275"/>
      <c r="AC51" s="275"/>
      <c r="AD51" s="275"/>
      <c r="AE51" s="275"/>
    </row>
    <row r="52" ht="35.149999999999999" customHeight="1">
      <c r="A52" s="289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36"/>
      <c r="AA52" s="275"/>
      <c r="AB52" s="275"/>
      <c r="AC52" s="275"/>
      <c r="AD52" s="275"/>
      <c r="AE52" s="275"/>
    </row>
    <row r="53" ht="35.149999999999999" customHeight="1">
      <c r="A53" s="289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36"/>
      <c r="AA53" s="275"/>
      <c r="AB53" s="275"/>
      <c r="AC53" s="275"/>
      <c r="AD53" s="275"/>
      <c r="AE53" s="275"/>
    </row>
    <row r="54" ht="35.149999999999999" customHeight="1">
      <c r="F54" s="275"/>
      <c r="N54" s="275"/>
      <c r="S54" s="275"/>
      <c r="T54" s="275"/>
      <c r="U54" s="275"/>
      <c r="V54" s="275"/>
      <c r="W54" s="275"/>
      <c r="X54" s="275"/>
      <c r="Y54" s="275"/>
      <c r="Z54" s="236"/>
      <c r="AA54" s="275"/>
      <c r="AB54" s="275"/>
      <c r="AC54" s="275"/>
      <c r="AD54" s="275"/>
      <c r="AE54" s="275"/>
    </row>
    <row r="55" ht="35.149999999999999" customHeight="1">
      <c r="F55" s="275"/>
      <c r="N55" s="275"/>
      <c r="S55" s="275"/>
      <c r="T55" s="275"/>
      <c r="U55" s="275"/>
      <c r="V55" s="275"/>
      <c r="W55" s="275"/>
      <c r="X55" s="275"/>
      <c r="Y55" s="275"/>
      <c r="Z55" s="236"/>
      <c r="AA55" s="275"/>
      <c r="AB55" s="275"/>
      <c r="AC55" s="275"/>
      <c r="AD55" s="275"/>
      <c r="AE55" s="275"/>
    </row>
    <row r="56" ht="35.149999999999999" customHeight="1">
      <c r="S56" s="275"/>
      <c r="T56" s="275"/>
      <c r="U56" s="275"/>
      <c r="V56" s="275"/>
      <c r="W56" s="275"/>
      <c r="X56" s="275"/>
      <c r="Y56" s="275"/>
      <c r="Z56" s="236"/>
      <c r="AA56" s="275"/>
      <c r="AB56" s="275"/>
      <c r="AC56" s="275"/>
      <c r="AD56" s="275"/>
      <c r="AE56" s="275"/>
    </row>
    <row r="57" ht="20">
      <c r="S57" s="275"/>
      <c r="T57" s="275"/>
      <c r="U57" s="275"/>
      <c r="V57" s="275"/>
      <c r="W57" s="275"/>
      <c r="X57" s="275"/>
      <c r="Y57" s="275"/>
      <c r="Z57" s="236"/>
      <c r="AA57" s="275"/>
      <c r="AB57" s="275"/>
      <c r="AC57" s="275"/>
      <c r="AD57" s="275"/>
      <c r="AE57" s="275"/>
    </row>
  </sheetData>
  <mergeCells count="55">
    <mergeCell ref="C9:J9"/>
    <mergeCell ref="K9:R9"/>
    <mergeCell ref="C10:F10"/>
    <mergeCell ref="G10:J10"/>
    <mergeCell ref="K10:N10"/>
    <mergeCell ref="O10:R10"/>
    <mergeCell ref="C11:D11"/>
    <mergeCell ref="E11:F11"/>
    <mergeCell ref="G11:H11"/>
    <mergeCell ref="I11:J11"/>
    <mergeCell ref="K11:L11"/>
    <mergeCell ref="M11:N11"/>
    <mergeCell ref="O11:P11"/>
    <mergeCell ref="Q11:R11"/>
    <mergeCell ref="A12:B12"/>
    <mergeCell ref="C19:N19"/>
    <mergeCell ref="C20:F20"/>
    <mergeCell ref="G20:J20"/>
    <mergeCell ref="K20:N20"/>
    <mergeCell ref="O20:R20"/>
    <mergeCell ref="C21:D21"/>
    <mergeCell ref="E21:F21"/>
    <mergeCell ref="G21:H21"/>
    <mergeCell ref="I21:J21"/>
    <mergeCell ref="K21:L21"/>
    <mergeCell ref="M21:N21"/>
    <mergeCell ref="O21:P21"/>
    <mergeCell ref="Q21:R21"/>
    <mergeCell ref="A22:B22"/>
    <mergeCell ref="U32:U35"/>
    <mergeCell ref="V32:V35"/>
    <mergeCell ref="W32:W35"/>
    <mergeCell ref="X32:X35"/>
    <mergeCell ref="Y32:Y35"/>
    <mergeCell ref="Z32:Z35"/>
    <mergeCell ref="AA32:AA35"/>
    <mergeCell ref="AB32:AB35"/>
    <mergeCell ref="C34:D34"/>
    <mergeCell ref="E34:F34"/>
    <mergeCell ref="A35:B35"/>
    <mergeCell ref="S35:T35"/>
    <mergeCell ref="A36:B36"/>
    <mergeCell ref="S36:T36"/>
    <mergeCell ref="A37:B37"/>
    <mergeCell ref="S37:T37"/>
    <mergeCell ref="A38:B38"/>
    <mergeCell ref="S38:T38"/>
    <mergeCell ref="A39:B39"/>
    <mergeCell ref="S39:T39"/>
    <mergeCell ref="A40:B40"/>
    <mergeCell ref="S40:T40"/>
    <mergeCell ref="A41:B41"/>
    <mergeCell ref="S41:T41"/>
    <mergeCell ref="S44:T44"/>
    <mergeCell ref="S45:T45"/>
  </mergeCells>
  <printOptions headings="0" gridLines="0" horizontalCentered="0" verticalCentered="0"/>
  <pageMargins left="0.51180555555555496" right="0.51180555555555496" top="0.74791666666666701" bottom="0.74791666666666701" header="0.51180555555555496" footer="0.51180555555555496"/>
  <pageSetup paperSize="9" scale="45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zoomScale="65" workbookViewId="0">
      <selection activeCell="M31" activeCellId="0" sqref="M31"/>
    </sheetView>
  </sheetViews>
  <sheetFormatPr defaultColWidth="11.23828125" defaultRowHeight="14.25"/>
  <cols>
    <col customWidth="1" min="1" max="1" style="1" width="12.41"/>
    <col customWidth="0" min="2" max="2" style="1" width="11.25"/>
    <col customWidth="1" min="3" max="10" style="1" width="26"/>
    <col customWidth="1" min="11" max="12" style="1" width="10.83"/>
    <col customWidth="1" min="13" max="13" style="1" width="20"/>
    <col customWidth="1" min="14" max="14" style="1" width="22"/>
    <col customWidth="1" min="15" max="15" style="1" width="20"/>
    <col customWidth="1" min="16" max="16" style="1" width="21.5"/>
    <col customWidth="1" min="17" max="20" style="1" width="10.83"/>
    <col customWidth="1" min="21" max="21" style="1" width="24"/>
    <col customWidth="0" min="22" max="1019" style="1" width="11.25"/>
    <col customWidth="1" min="1020" max="1020" style="1" width="11.17"/>
    <col customWidth="1" min="1021" max="1024" style="0" width="10.5"/>
  </cols>
  <sheetData>
    <row r="1" s="2" customFormat="1" ht="52.5" customHeight="1">
      <c r="A1" s="3"/>
      <c r="B1" s="4" t="s">
        <v>165</v>
      </c>
      <c r="C1" s="5"/>
      <c r="D1" s="5"/>
      <c r="E1" s="5"/>
      <c r="G1" s="3" t="s">
        <v>2</v>
      </c>
      <c r="H1" s="178"/>
      <c r="I1" s="5"/>
      <c r="J1" s="5"/>
      <c r="O1" s="8"/>
      <c r="P1" s="5"/>
      <c r="U1" s="5"/>
      <c r="V1" s="5"/>
      <c r="W1" s="5"/>
      <c r="X1" s="5"/>
      <c r="Y1" s="5"/>
      <c r="Z1" s="5"/>
      <c r="AC1" s="5"/>
      <c r="AD1" s="5"/>
      <c r="AMD1" s="8"/>
      <c r="AME1" s="8"/>
      <c r="AMF1" s="8"/>
    </row>
    <row r="2" s="2" customFormat="1" ht="52.5" customHeight="1">
      <c r="A2" s="3" t="s">
        <v>3</v>
      </c>
      <c r="B2" s="5"/>
      <c r="C2" s="5"/>
      <c r="D2" s="5"/>
      <c r="E2" s="5" t="s">
        <v>166</v>
      </c>
      <c r="G2" s="5"/>
      <c r="H2" s="5"/>
      <c r="I2" s="5"/>
      <c r="J2" s="5"/>
      <c r="K2" s="5"/>
      <c r="L2" s="5"/>
      <c r="M2" s="5"/>
      <c r="N2" s="5"/>
      <c r="O2" s="5"/>
      <c r="P2" s="8"/>
      <c r="U2" s="5"/>
      <c r="V2" s="5"/>
      <c r="W2" s="5"/>
      <c r="X2" s="5"/>
      <c r="Y2" s="5"/>
      <c r="Z2" s="5"/>
      <c r="AB2" s="5"/>
      <c r="AC2" s="5"/>
      <c r="AD2" s="5"/>
      <c r="AMD2" s="8"/>
      <c r="AME2" s="8"/>
      <c r="AMF2" s="8"/>
    </row>
    <row r="3" s="2" customFormat="1" ht="20.25" customHeight="1">
      <c r="A3" s="3" t="s">
        <v>5</v>
      </c>
      <c r="B3" s="5"/>
      <c r="C3" s="5"/>
      <c r="D3" s="5"/>
      <c r="E3" s="5"/>
      <c r="F3" s="5"/>
      <c r="G3" s="9" t="s">
        <v>7</v>
      </c>
      <c r="H3" s="5"/>
      <c r="I3" s="5"/>
      <c r="J3" s="5"/>
      <c r="K3" s="5"/>
      <c r="L3" s="5"/>
      <c r="M3" s="5"/>
      <c r="N3" s="5"/>
      <c r="O3" s="5"/>
      <c r="P3" s="8"/>
      <c r="U3" s="5"/>
      <c r="V3" s="5"/>
      <c r="W3" s="5"/>
      <c r="X3" s="5"/>
      <c r="Y3" s="5"/>
      <c r="Z3" s="5"/>
      <c r="AA3" s="5"/>
      <c r="AB3" s="5"/>
      <c r="AC3" s="5"/>
      <c r="AD3" s="5"/>
      <c r="AMD3" s="8"/>
      <c r="AME3" s="8"/>
      <c r="AMF3" s="8"/>
    </row>
    <row r="4" s="8" customFormat="1" ht="4.5" customHeight="1"/>
    <row r="5" s="2" customFormat="1" ht="25.5" customHeight="1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MF5" s="8"/>
    </row>
    <row r="6" s="2" customFormat="1" ht="25.5" customHeight="1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MF6" s="8"/>
    </row>
    <row r="7" s="2" customFormat="1" ht="50.649999999999999" customHeight="1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MF7" s="8"/>
    </row>
    <row r="8" s="2" customFormat="1" ht="30" customHeight="1">
      <c r="A8" s="3"/>
      <c r="B8" s="5"/>
      <c r="C8" s="190" t="s">
        <v>167</v>
      </c>
      <c r="D8" s="190"/>
      <c r="E8" s="190"/>
      <c r="F8" s="190"/>
      <c r="G8" s="190"/>
      <c r="H8" s="190"/>
      <c r="I8" s="190"/>
      <c r="J8" s="190"/>
      <c r="Q8" s="5"/>
      <c r="R8" s="5"/>
      <c r="S8" s="5"/>
      <c r="T8" s="5"/>
      <c r="AMG8" s="8"/>
      <c r="AMH8" s="8"/>
      <c r="AMI8" s="8"/>
      <c r="AMJ8" s="8"/>
    </row>
    <row r="9" ht="35.149999999999999" customHeight="1">
      <c r="A9" s="3"/>
      <c r="B9" s="5"/>
      <c r="C9" s="17" t="s">
        <v>133</v>
      </c>
      <c r="D9" s="17"/>
      <c r="E9" s="17"/>
      <c r="F9" s="17"/>
      <c r="G9" s="17" t="s">
        <v>168</v>
      </c>
      <c r="H9" s="17"/>
      <c r="I9" s="17"/>
      <c r="J9" s="17"/>
      <c r="Q9" s="2"/>
      <c r="R9" s="2"/>
      <c r="S9" s="2"/>
      <c r="T9" s="2"/>
    </row>
    <row r="10" ht="35.149999999999999" customHeight="1">
      <c r="A10" s="3"/>
      <c r="B10" s="5"/>
      <c r="C10" s="199" t="s">
        <v>18</v>
      </c>
      <c r="D10" s="200" t="s">
        <v>18</v>
      </c>
      <c r="E10" s="199" t="s">
        <v>19</v>
      </c>
      <c r="F10" s="200" t="s">
        <v>19</v>
      </c>
      <c r="G10" s="199" t="s">
        <v>18</v>
      </c>
      <c r="H10" s="200" t="s">
        <v>18</v>
      </c>
      <c r="I10" s="199" t="s">
        <v>19</v>
      </c>
      <c r="J10" s="200" t="s">
        <v>19</v>
      </c>
      <c r="Q10" s="2"/>
      <c r="R10" s="2"/>
      <c r="S10" s="2"/>
      <c r="T10" s="2"/>
    </row>
    <row r="11" ht="35.149999999999999" customHeight="1">
      <c r="A11" s="19" t="s">
        <v>20</v>
      </c>
      <c r="B11" s="19"/>
      <c r="C11" s="20" t="s">
        <v>21</v>
      </c>
      <c r="D11" s="20" t="s">
        <v>22</v>
      </c>
      <c r="E11" s="20" t="s">
        <v>21</v>
      </c>
      <c r="F11" s="20" t="s">
        <v>22</v>
      </c>
      <c r="G11" s="20" t="s">
        <v>21</v>
      </c>
      <c r="H11" s="20" t="s">
        <v>22</v>
      </c>
      <c r="I11" s="20" t="s">
        <v>21</v>
      </c>
      <c r="J11" s="20" t="s">
        <v>22</v>
      </c>
      <c r="Q11" s="2"/>
      <c r="R11" s="2"/>
      <c r="S11" s="2"/>
      <c r="T11" s="2"/>
    </row>
    <row r="12" ht="70" customHeight="1">
      <c r="A12" s="81">
        <v>0.27083333333333298</v>
      </c>
      <c r="B12" s="81">
        <v>0.29166666666666702</v>
      </c>
      <c r="C12" s="22">
        <v>1</v>
      </c>
      <c r="D12" s="22">
        <v>4</v>
      </c>
      <c r="E12" s="22"/>
      <c r="F12" s="82"/>
      <c r="G12" s="83"/>
      <c r="H12" s="22">
        <v>3</v>
      </c>
      <c r="I12" s="22">
        <v>1</v>
      </c>
      <c r="J12" s="22">
        <v>2</v>
      </c>
      <c r="Q12" s="2"/>
      <c r="R12" s="2"/>
      <c r="S12" s="2"/>
      <c r="T12" s="2"/>
    </row>
    <row r="13" ht="70" customHeight="1">
      <c r="A13" s="81">
        <v>0.29166666666666702</v>
      </c>
      <c r="B13" s="81">
        <v>0.3125</v>
      </c>
      <c r="C13" s="22"/>
      <c r="D13" s="22">
        <v>2</v>
      </c>
      <c r="E13" s="22">
        <v>1</v>
      </c>
      <c r="F13" s="82"/>
      <c r="G13" s="83">
        <v>3</v>
      </c>
      <c r="H13" s="22">
        <v>3</v>
      </c>
      <c r="I13" s="22"/>
      <c r="J13" s="22">
        <v>1</v>
      </c>
    </row>
    <row r="14" ht="70" customHeight="1">
      <c r="A14" s="81">
        <v>0.3125</v>
      </c>
      <c r="B14" s="81">
        <v>0.33333333333333298</v>
      </c>
      <c r="C14" s="22"/>
      <c r="D14" s="22">
        <v>5</v>
      </c>
      <c r="E14" s="22">
        <v>1</v>
      </c>
      <c r="F14" s="82">
        <v>3</v>
      </c>
      <c r="G14" s="83"/>
      <c r="H14" s="22">
        <v>2</v>
      </c>
      <c r="I14" s="22"/>
      <c r="J14" s="22"/>
    </row>
    <row r="15" ht="70" customHeight="1">
      <c r="A15" s="81">
        <v>0.33333333333333298</v>
      </c>
      <c r="B15" s="81">
        <v>0.35416666666666702</v>
      </c>
      <c r="C15" s="22"/>
      <c r="D15" s="22">
        <v>3</v>
      </c>
      <c r="E15" s="22"/>
      <c r="F15" s="82"/>
      <c r="G15" s="83"/>
      <c r="H15" s="22">
        <v>1</v>
      </c>
      <c r="I15" s="22">
        <v>1</v>
      </c>
      <c r="J15" s="22"/>
    </row>
    <row r="16" ht="70" customHeight="1">
      <c r="A16" s="81">
        <v>0.35416666666666702</v>
      </c>
      <c r="B16" s="81">
        <v>0.375</v>
      </c>
      <c r="C16" s="22"/>
      <c r="D16" s="22">
        <v>5</v>
      </c>
      <c r="E16" s="22"/>
      <c r="F16" s="82">
        <v>1</v>
      </c>
      <c r="G16" s="83"/>
      <c r="H16" s="22">
        <v>2</v>
      </c>
      <c r="I16" s="22"/>
      <c r="J16" s="22"/>
      <c r="L16" s="201"/>
    </row>
    <row r="17" ht="12" customHeight="1">
      <c r="A17" s="27"/>
      <c r="B17" s="27"/>
      <c r="C17" s="28"/>
      <c r="D17" s="28"/>
      <c r="E17" s="28"/>
      <c r="F17" s="28"/>
      <c r="G17" s="28"/>
      <c r="H17" s="28"/>
      <c r="I17" s="28"/>
      <c r="J17" s="28"/>
    </row>
    <row r="18" s="23" customFormat="1" ht="39.75" customHeight="1">
      <c r="A18" s="24"/>
      <c r="B18" s="25" t="s">
        <v>23</v>
      </c>
      <c r="C18" s="26"/>
      <c r="D18" s="202"/>
      <c r="E18" s="26"/>
      <c r="F18" s="26"/>
      <c r="G18" s="26"/>
      <c r="H18" s="26"/>
      <c r="I18" s="24"/>
      <c r="J18" s="26"/>
      <c r="K18" s="26"/>
      <c r="L18" s="26"/>
      <c r="M18" s="26"/>
      <c r="N18" s="26"/>
      <c r="O18" s="26"/>
      <c r="P18" s="26"/>
      <c r="Q18" s="1"/>
      <c r="R18" s="1"/>
      <c r="S18" s="1"/>
      <c r="T18" s="1"/>
      <c r="U18" s="26"/>
      <c r="V18" s="26"/>
    </row>
    <row r="19" s="23" customFormat="1" ht="39.75" customHeight="1">
      <c r="A19" s="24"/>
      <c r="B19" s="25" t="s">
        <v>34</v>
      </c>
      <c r="C19" s="26"/>
      <c r="D19" s="26"/>
      <c r="E19" s="26"/>
      <c r="F19" s="26"/>
      <c r="G19" s="26"/>
      <c r="H19" s="26"/>
      <c r="I19" s="24"/>
      <c r="J19" s="26"/>
      <c r="K19" s="26"/>
      <c r="L19" s="26"/>
      <c r="M19" s="26"/>
      <c r="N19" s="26"/>
      <c r="O19" s="26"/>
      <c r="P19" s="26"/>
      <c r="Q19" s="1"/>
      <c r="R19" s="1"/>
      <c r="S19" s="1"/>
      <c r="T19" s="1"/>
      <c r="U19" s="26"/>
      <c r="V19" s="26"/>
    </row>
    <row r="20" s="23" customFormat="1" ht="39.75" customHeight="1">
      <c r="A20" s="24"/>
      <c r="B20" s="25" t="s">
        <v>25</v>
      </c>
      <c r="C20" s="26"/>
      <c r="D20" s="26"/>
      <c r="E20" s="26"/>
      <c r="F20" s="26"/>
      <c r="G20" s="26"/>
      <c r="H20" s="26"/>
      <c r="I20" s="24"/>
      <c r="J20" s="26"/>
      <c r="K20" s="26"/>
      <c r="L20" s="26"/>
      <c r="M20" s="26"/>
      <c r="N20" s="26"/>
      <c r="O20" s="26"/>
      <c r="P20" s="26"/>
      <c r="U20" s="26"/>
      <c r="V20" s="26"/>
    </row>
    <row r="21" s="23" customFormat="1" ht="39.75" customHeight="1">
      <c r="A21" s="24"/>
      <c r="B21" s="25" t="s">
        <v>26</v>
      </c>
      <c r="C21" s="26"/>
      <c r="D21" s="26"/>
      <c r="E21" s="26"/>
      <c r="F21" s="26"/>
      <c r="G21" s="26">
        <v>4</v>
      </c>
      <c r="H21" s="26"/>
      <c r="I21" s="24"/>
      <c r="J21" s="26"/>
      <c r="K21" s="26"/>
      <c r="L21" s="26"/>
      <c r="M21" s="26"/>
      <c r="N21" s="26"/>
      <c r="O21" s="26"/>
      <c r="P21" s="26"/>
      <c r="U21" s="26"/>
      <c r="V21" s="26"/>
    </row>
    <row r="22" ht="39.75" customHeight="1">
      <c r="A22" s="173"/>
      <c r="B22" s="5"/>
      <c r="C22" s="5"/>
      <c r="D22" s="5"/>
      <c r="E22" s="5"/>
      <c r="F22" s="5"/>
      <c r="G22" s="5"/>
      <c r="H22" s="5"/>
      <c r="I22" s="5"/>
      <c r="J22" s="5"/>
      <c r="M22" s="174" t="s">
        <v>99</v>
      </c>
      <c r="Q22" s="23"/>
      <c r="R22" s="23"/>
      <c r="S22" s="23"/>
      <c r="T22" s="23"/>
    </row>
    <row r="23" ht="30" customHeight="1">
      <c r="A23" s="14"/>
      <c r="B23" s="15"/>
      <c r="C23" s="203" t="str">
        <f t="shared" ref="C23:C24" si="214">C8</f>
        <v xml:space="preserve">AYZE piste cyclable</v>
      </c>
      <c r="D23" s="203"/>
      <c r="E23" s="203"/>
      <c r="F23" s="203"/>
      <c r="G23" s="203"/>
      <c r="H23" s="203"/>
      <c r="I23" s="203"/>
      <c r="J23" s="203"/>
      <c r="K23" s="19" t="s">
        <v>20</v>
      </c>
      <c r="L23" s="19"/>
      <c r="M23" s="204" t="s">
        <v>27</v>
      </c>
      <c r="N23" s="39" t="s">
        <v>28</v>
      </c>
      <c r="O23" s="35" t="s">
        <v>29</v>
      </c>
      <c r="P23" s="35" t="s">
        <v>30</v>
      </c>
      <c r="Q23" s="68" t="s">
        <v>32</v>
      </c>
      <c r="R23" s="68" t="s">
        <v>33</v>
      </c>
      <c r="S23" s="68" t="s">
        <v>34</v>
      </c>
      <c r="T23" s="68" t="s">
        <v>35</v>
      </c>
      <c r="U23" s="36" t="s">
        <v>135</v>
      </c>
    </row>
    <row r="24" ht="21.75">
      <c r="A24" s="14"/>
      <c r="B24" s="15"/>
      <c r="C24" s="17" t="str">
        <f t="shared" si="214"/>
        <v xml:space="preserve">Depuis Bonneville</v>
      </c>
      <c r="D24" s="17"/>
      <c r="E24" s="17"/>
      <c r="F24" s="17"/>
      <c r="G24" s="205" t="str">
        <f>G9</f>
        <v xml:space="preserve">Depuis Marignier</v>
      </c>
      <c r="H24" s="205"/>
      <c r="I24" s="205"/>
      <c r="J24" s="205"/>
      <c r="K24" s="19"/>
      <c r="L24" s="19"/>
      <c r="M24" s="204"/>
      <c r="N24" s="39"/>
      <c r="O24" s="35"/>
      <c r="P24" s="35"/>
      <c r="Q24" s="68"/>
      <c r="R24" s="68"/>
      <c r="S24" s="68"/>
      <c r="T24" s="68"/>
      <c r="U24" s="36"/>
    </row>
    <row r="25" ht="20.25" customHeight="1">
      <c r="A25" s="14"/>
      <c r="B25" s="15"/>
      <c r="C25" s="18" t="s">
        <v>18</v>
      </c>
      <c r="D25" s="18"/>
      <c r="E25" s="18" t="s">
        <v>19</v>
      </c>
      <c r="F25" s="18"/>
      <c r="G25" s="18" t="s">
        <v>18</v>
      </c>
      <c r="H25" s="18"/>
      <c r="I25" s="78" t="s">
        <v>19</v>
      </c>
      <c r="J25" s="78"/>
      <c r="K25" s="19"/>
      <c r="L25" s="19"/>
      <c r="M25" s="204"/>
      <c r="N25" s="39"/>
      <c r="O25" s="35"/>
      <c r="P25" s="35"/>
      <c r="Q25" s="68"/>
      <c r="R25" s="68"/>
      <c r="S25" s="68"/>
      <c r="T25" s="68"/>
      <c r="U25" s="36"/>
    </row>
    <row r="26" ht="21" customHeight="1">
      <c r="A26" s="19" t="s">
        <v>20</v>
      </c>
      <c r="B26" s="19"/>
      <c r="C26" s="20" t="s">
        <v>21</v>
      </c>
      <c r="D26" s="20" t="s">
        <v>22</v>
      </c>
      <c r="E26" s="20" t="s">
        <v>21</v>
      </c>
      <c r="F26" s="20" t="s">
        <v>22</v>
      </c>
      <c r="G26" s="20" t="s">
        <v>21</v>
      </c>
      <c r="H26" s="20" t="s">
        <v>22</v>
      </c>
      <c r="I26" s="20" t="s">
        <v>21</v>
      </c>
      <c r="J26" s="199" t="s">
        <v>22</v>
      </c>
      <c r="K26" s="19"/>
      <c r="L26" s="19"/>
      <c r="M26" s="204"/>
      <c r="N26" s="39"/>
      <c r="O26" s="35"/>
      <c r="P26" s="35"/>
      <c r="Q26" s="68"/>
      <c r="R26" s="68"/>
      <c r="S26" s="68"/>
      <c r="T26" s="68"/>
      <c r="U26" s="36"/>
    </row>
    <row r="27" ht="35.149999999999999" customHeight="1">
      <c r="A27" s="19" t="s">
        <v>36</v>
      </c>
      <c r="B27" s="19"/>
      <c r="C27" s="22">
        <f t="shared" ref="C27:C31" si="215">+C12</f>
        <v>1</v>
      </c>
      <c r="D27" s="22">
        <f t="shared" ref="D27:D31" si="216">+D12</f>
        <v>4</v>
      </c>
      <c r="E27" s="22">
        <f t="shared" ref="E27:E31" si="217">+E12</f>
        <v>0</v>
      </c>
      <c r="F27" s="22">
        <f t="shared" ref="F27:F31" si="218">+F12</f>
        <v>0</v>
      </c>
      <c r="G27" s="22">
        <f t="shared" ref="G27:G31" si="219">+G12</f>
        <v>0</v>
      </c>
      <c r="H27" s="22">
        <f t="shared" ref="H27:H31" si="220">+H12</f>
        <v>3</v>
      </c>
      <c r="I27" s="22">
        <f t="shared" ref="I27:I31" si="221">+I12</f>
        <v>1</v>
      </c>
      <c r="J27" s="22">
        <f t="shared" ref="J27:J31" si="222">+J12</f>
        <v>2</v>
      </c>
      <c r="K27" s="20" t="str">
        <f t="shared" ref="K27:K31" si="223">A27</f>
        <v xml:space="preserve">6:30 à 7:00</v>
      </c>
      <c r="L27" s="20"/>
      <c r="M27" s="40">
        <f t="shared" ref="M27:M31" si="224">SUM(C27:J27)</f>
        <v>11</v>
      </c>
      <c r="N27" s="41">
        <f t="shared" ref="N27:N31" si="225">C27+E27+G27+I27</f>
        <v>2</v>
      </c>
      <c r="O27" s="41">
        <f t="shared" ref="O27:O31" si="226">E27+F27+I27+J27</f>
        <v>3</v>
      </c>
      <c r="P27" s="41">
        <f t="shared" ref="P27:P31" si="227">E27+I27</f>
        <v>1</v>
      </c>
      <c r="U27" s="41">
        <f t="shared" ref="U27:U31" si="228">SUM(G27:J27)</f>
        <v>6</v>
      </c>
    </row>
    <row r="28" ht="35.149999999999999" customHeight="1">
      <c r="A28" s="19" t="s">
        <v>37</v>
      </c>
      <c r="B28" s="19"/>
      <c r="C28" s="22">
        <f t="shared" si="215"/>
        <v>0</v>
      </c>
      <c r="D28" s="22">
        <f t="shared" si="216"/>
        <v>2</v>
      </c>
      <c r="E28" s="22">
        <f t="shared" si="217"/>
        <v>1</v>
      </c>
      <c r="F28" s="22">
        <f t="shared" si="218"/>
        <v>0</v>
      </c>
      <c r="G28" s="22">
        <f t="shared" si="219"/>
        <v>3</v>
      </c>
      <c r="H28" s="22">
        <f t="shared" si="220"/>
        <v>3</v>
      </c>
      <c r="I28" s="22">
        <f t="shared" si="221"/>
        <v>0</v>
      </c>
      <c r="J28" s="22">
        <f t="shared" si="222"/>
        <v>1</v>
      </c>
      <c r="K28" s="19" t="str">
        <f t="shared" si="223"/>
        <v xml:space="preserve">7:00 à 7:30</v>
      </c>
      <c r="L28" s="19"/>
      <c r="M28" s="40">
        <f t="shared" si="224"/>
        <v>10</v>
      </c>
      <c r="N28" s="41">
        <f t="shared" si="225"/>
        <v>4</v>
      </c>
      <c r="O28" s="41">
        <f t="shared" si="226"/>
        <v>2</v>
      </c>
      <c r="P28" s="41">
        <f t="shared" si="227"/>
        <v>1</v>
      </c>
      <c r="U28" s="41">
        <f t="shared" si="228"/>
        <v>7</v>
      </c>
    </row>
    <row r="29" ht="35.149999999999999" customHeight="1">
      <c r="A29" s="19" t="s">
        <v>38</v>
      </c>
      <c r="B29" s="19"/>
      <c r="C29" s="22">
        <f t="shared" si="215"/>
        <v>0</v>
      </c>
      <c r="D29" s="22">
        <f t="shared" si="216"/>
        <v>5</v>
      </c>
      <c r="E29" s="22">
        <f t="shared" si="217"/>
        <v>1</v>
      </c>
      <c r="F29" s="22">
        <f t="shared" si="218"/>
        <v>3</v>
      </c>
      <c r="G29" s="22">
        <f t="shared" si="219"/>
        <v>0</v>
      </c>
      <c r="H29" s="22">
        <f t="shared" si="220"/>
        <v>2</v>
      </c>
      <c r="I29" s="22">
        <f t="shared" si="221"/>
        <v>0</v>
      </c>
      <c r="J29" s="22">
        <f t="shared" si="222"/>
        <v>0</v>
      </c>
      <c r="K29" s="19" t="str">
        <f t="shared" si="223"/>
        <v xml:space="preserve">7:30 à 8:00</v>
      </c>
      <c r="L29" s="19"/>
      <c r="M29" s="40">
        <f t="shared" si="224"/>
        <v>11</v>
      </c>
      <c r="N29" s="41">
        <f t="shared" si="225"/>
        <v>1</v>
      </c>
      <c r="O29" s="41">
        <f t="shared" si="226"/>
        <v>4</v>
      </c>
      <c r="P29" s="41">
        <f t="shared" si="227"/>
        <v>1</v>
      </c>
      <c r="U29" s="41">
        <f t="shared" si="228"/>
        <v>2</v>
      </c>
    </row>
    <row r="30" ht="35.149999999999999" customHeight="1">
      <c r="A30" s="19" t="s">
        <v>39</v>
      </c>
      <c r="B30" s="19"/>
      <c r="C30" s="22">
        <f t="shared" si="215"/>
        <v>0</v>
      </c>
      <c r="D30" s="22">
        <f t="shared" si="216"/>
        <v>3</v>
      </c>
      <c r="E30" s="22">
        <f t="shared" si="217"/>
        <v>0</v>
      </c>
      <c r="F30" s="22">
        <f t="shared" si="218"/>
        <v>0</v>
      </c>
      <c r="G30" s="22">
        <f t="shared" si="219"/>
        <v>0</v>
      </c>
      <c r="H30" s="22">
        <f t="shared" si="220"/>
        <v>1</v>
      </c>
      <c r="I30" s="22">
        <f t="shared" si="221"/>
        <v>1</v>
      </c>
      <c r="J30" s="22">
        <f t="shared" si="222"/>
        <v>0</v>
      </c>
      <c r="K30" s="19" t="str">
        <f t="shared" si="223"/>
        <v xml:space="preserve">8:00 à 8:30</v>
      </c>
      <c r="L30" s="19"/>
      <c r="M30" s="40">
        <f t="shared" si="224"/>
        <v>5</v>
      </c>
      <c r="N30" s="41">
        <f t="shared" si="225"/>
        <v>1</v>
      </c>
      <c r="O30" s="41">
        <f t="shared" si="226"/>
        <v>1</v>
      </c>
      <c r="P30" s="41">
        <f t="shared" si="227"/>
        <v>1</v>
      </c>
      <c r="U30" s="41">
        <f t="shared" si="228"/>
        <v>2</v>
      </c>
    </row>
    <row r="31" ht="35.149999999999999" customHeight="1">
      <c r="A31" s="19" t="s">
        <v>40</v>
      </c>
      <c r="B31" s="19"/>
      <c r="C31" s="22">
        <f t="shared" si="215"/>
        <v>0</v>
      </c>
      <c r="D31" s="22">
        <f t="shared" si="216"/>
        <v>5</v>
      </c>
      <c r="E31" s="22">
        <f t="shared" si="217"/>
        <v>0</v>
      </c>
      <c r="F31" s="22">
        <f t="shared" si="218"/>
        <v>1</v>
      </c>
      <c r="G31" s="22">
        <f t="shared" si="219"/>
        <v>0</v>
      </c>
      <c r="H31" s="22">
        <f t="shared" si="220"/>
        <v>2</v>
      </c>
      <c r="I31" s="22">
        <f t="shared" si="221"/>
        <v>0</v>
      </c>
      <c r="J31" s="22">
        <f t="shared" si="222"/>
        <v>0</v>
      </c>
      <c r="K31" s="19" t="str">
        <f t="shared" si="223"/>
        <v xml:space="preserve">8:30 à 9:00</v>
      </c>
      <c r="L31" s="19"/>
      <c r="M31" s="40">
        <f t="shared" si="224"/>
        <v>8</v>
      </c>
      <c r="N31" s="41">
        <f t="shared" si="225"/>
        <v>0</v>
      </c>
      <c r="O31" s="290">
        <f t="shared" si="226"/>
        <v>1</v>
      </c>
      <c r="P31" s="41">
        <f t="shared" si="227"/>
        <v>0</v>
      </c>
      <c r="U31" s="41">
        <f t="shared" si="228"/>
        <v>2</v>
      </c>
    </row>
    <row r="32" ht="35.149999999999999" customHeight="1">
      <c r="A32" s="19" t="s">
        <v>27</v>
      </c>
      <c r="B32" s="19"/>
      <c r="C32" s="96">
        <f>SUM(C12:C16)</f>
        <v>1</v>
      </c>
      <c r="D32" s="96">
        <f>SUM(D12:D16)</f>
        <v>19</v>
      </c>
      <c r="E32" s="96">
        <f>SUM(E12:E16)</f>
        <v>2</v>
      </c>
      <c r="F32" s="96">
        <f>SUM(F12:F16)</f>
        <v>4</v>
      </c>
      <c r="G32" s="96">
        <f>SUM(G12:G16)</f>
        <v>3</v>
      </c>
      <c r="H32" s="96">
        <f>SUM(H12:H16)</f>
        <v>11</v>
      </c>
      <c r="I32" s="96">
        <f>SUM(I12:I16)</f>
        <v>2</v>
      </c>
      <c r="J32" s="96">
        <f>SUM(J12:J16)</f>
        <v>3</v>
      </c>
      <c r="K32" s="98" t="s">
        <v>27</v>
      </c>
      <c r="L32" s="98"/>
      <c r="M32" s="45">
        <f>SUM(M27:M31)</f>
        <v>45</v>
      </c>
      <c r="N32" s="45">
        <f>SUM(N27:N31)</f>
        <v>8</v>
      </c>
      <c r="O32" s="45">
        <f>SUM(O27:O31)</f>
        <v>11</v>
      </c>
      <c r="P32" s="46">
        <f>SUM(P27:P31)</f>
        <v>4</v>
      </c>
      <c r="Q32" s="45">
        <f>A21</f>
        <v>0</v>
      </c>
      <c r="R32" s="46">
        <f>A18</f>
        <v>0</v>
      </c>
      <c r="S32" s="46"/>
      <c r="T32" s="46">
        <f>A20</f>
        <v>0</v>
      </c>
      <c r="U32" s="46">
        <f>SUM(U27:U31)</f>
        <v>19</v>
      </c>
    </row>
    <row r="33" ht="35.149999999999999" customHeight="1">
      <c r="A33" s="48"/>
      <c r="B33" s="48"/>
      <c r="C33" s="101"/>
      <c r="D33" s="101"/>
      <c r="E33" s="101"/>
      <c r="F33" s="101"/>
      <c r="G33" s="101"/>
      <c r="H33" s="101"/>
      <c r="I33" s="101"/>
      <c r="J33" s="101"/>
      <c r="K33" s="51" t="s">
        <v>39</v>
      </c>
      <c r="L33" s="52"/>
      <c r="M33" s="53">
        <v>11</v>
      </c>
      <c r="N33" s="53"/>
      <c r="O33" s="53"/>
      <c r="P33" s="46"/>
      <c r="Q33" s="66"/>
      <c r="R33" s="66"/>
      <c r="S33" s="66"/>
      <c r="T33" s="66"/>
      <c r="U33" s="46"/>
    </row>
    <row r="34" ht="35.149999999999999" customHeight="1">
      <c r="A34" s="48"/>
      <c r="B34" s="48"/>
      <c r="C34" s="101"/>
      <c r="D34" s="101"/>
      <c r="E34" s="101"/>
      <c r="F34" s="101"/>
      <c r="G34" s="101"/>
      <c r="H34" s="101"/>
      <c r="I34" s="101"/>
      <c r="J34" s="101"/>
      <c r="K34" s="58" t="s">
        <v>40</v>
      </c>
      <c r="L34" s="59"/>
      <c r="M34" s="60">
        <v>21</v>
      </c>
      <c r="N34" s="60"/>
      <c r="O34" s="60"/>
      <c r="P34" s="46"/>
      <c r="Q34" s="66"/>
      <c r="R34" s="66"/>
      <c r="S34" s="66"/>
      <c r="T34" s="66"/>
      <c r="U34" s="46"/>
    </row>
    <row r="35" s="291" customFormat="1" ht="35.149999999999999" customHeight="1">
      <c r="A35" s="292"/>
      <c r="B35" s="292"/>
      <c r="C35" s="293"/>
      <c r="D35" s="293"/>
      <c r="E35" s="293"/>
      <c r="F35" s="293"/>
      <c r="G35" s="293"/>
      <c r="H35" s="293"/>
      <c r="I35" s="293"/>
      <c r="J35" s="293"/>
      <c r="K35" s="197" t="s">
        <v>42</v>
      </c>
      <c r="L35" s="197"/>
      <c r="M35" s="198">
        <f>SUM(M33:M34)</f>
        <v>32</v>
      </c>
      <c r="N35" s="294"/>
      <c r="O35" s="294"/>
      <c r="P35" s="295"/>
      <c r="Q35" s="296"/>
      <c r="R35" s="296"/>
      <c r="S35" s="296"/>
      <c r="T35" s="296"/>
      <c r="U35" s="295"/>
      <c r="AMG35" s="297"/>
      <c r="AMH35" s="297"/>
      <c r="AMI35" s="297"/>
      <c r="AMJ35" s="297"/>
    </row>
    <row r="36" ht="35.149999999999999" customHeight="1">
      <c r="A36" s="64"/>
      <c r="B36" s="65"/>
      <c r="C36" s="65"/>
      <c r="D36" s="65"/>
      <c r="E36" s="65"/>
      <c r="F36" s="65"/>
      <c r="G36" s="65"/>
      <c r="H36" s="65"/>
      <c r="I36" s="65"/>
      <c r="J36" s="50" t="s">
        <v>41</v>
      </c>
      <c r="K36" s="19" t="str">
        <f>IF($M$31=MAX($M$27:$M$31),K31,IF($M$30=MAX($M$27:$M$31),K30,IF($M$29=MAX($M$27:$M$31),K29,IF($M$28=MAX($M$27:$M$31),K28,IF($M$27=MAX($M$27:$M$31),K27,K31)))))</f>
        <v xml:space="preserve">7:30 à 8:00</v>
      </c>
      <c r="L36" s="19"/>
      <c r="M36" s="38">
        <f>IF($M$31=MAX($M$27:$M$31),M31,IF($M$30=MAX($M$27:$M$31),M30,IF($M$29=MAX($M$27:$M$31),M29,IF($M$28=MAX($M$27:$M$31),M28,IF($M$27=MAX($M$27:$M$31),M27,M31)))))</f>
        <v>11</v>
      </c>
      <c r="N36" s="186">
        <f>IF($M$31=MAX($M$27:$M$31),N31,IF($M$30=MAX($M$27:$M$31),N30,IF($M$29=MAX($M$27:$M$31),N29,IF($M$28=MAX($M$27:$M$31),N28,IF($M$27=MAX($M$27:$M$31),N27,N31)))))</f>
        <v>1</v>
      </c>
      <c r="O36" s="186">
        <f>IF($M$31=MAX($M$27:$M$31),O31,IF($M$30=MAX($M$27:$M$31),O30,IF($M$29=MAX($M$27:$M$31),O29,IF($M$28=MAX($M$27:$M$31),O28,IF($M$27=MAX($M$27:$M$31),O27,O31)))))</f>
        <v>4</v>
      </c>
      <c r="P36" s="186">
        <f>IF($M$31=MAX($M$27:$M$31),P31,IF($M$30=MAX($M$27:$M$31),P30,IF($M$29=MAX($M$27:$M$31),P29,IF($M$28=MAX($M$27:$M$31),P28,IF($M$27=MAX($M$27:$M$31),P27,P31)))))</f>
        <v>1</v>
      </c>
      <c r="U36" s="186">
        <f>IF($M$31=MAX($M$27:$M$31),U31,IF($M$30=MAX($M$27:$M$31),U30,IF($M$29=MAX($M$27:$M$31),U29,IF($M$28=MAX($M$27:$M$31),U28,IF($M$27=MAX($M$27:$M$31),U27,U31)))))</f>
        <v>2</v>
      </c>
    </row>
    <row r="37" ht="25" customHeight="1">
      <c r="A37" s="105"/>
      <c r="B37" s="66"/>
      <c r="C37" s="66"/>
      <c r="D37" s="66"/>
      <c r="E37" s="66"/>
      <c r="F37" s="66"/>
      <c r="G37" s="66"/>
      <c r="H37" s="66"/>
      <c r="I37" s="66"/>
      <c r="J37" s="66"/>
      <c r="K37" s="14"/>
      <c r="L37" s="15"/>
      <c r="M37" s="67" t="s">
        <v>27</v>
      </c>
      <c r="N37" s="68" t="s">
        <v>43</v>
      </c>
      <c r="O37" s="68" t="s">
        <v>44</v>
      </c>
      <c r="P37" s="68" t="s">
        <v>45</v>
      </c>
      <c r="U37" s="68" t="str">
        <f>U23</f>
        <v xml:space="preserve">Cycles en direction de Bonneville</v>
      </c>
    </row>
    <row r="38" ht="25" customHeight="1">
      <c r="A38" s="105"/>
      <c r="B38" s="66"/>
      <c r="C38" s="66"/>
      <c r="D38" s="66"/>
      <c r="E38" s="66"/>
      <c r="F38" s="66"/>
      <c r="G38" s="66"/>
      <c r="H38" s="66"/>
      <c r="I38" s="66"/>
      <c r="J38" s="66"/>
      <c r="K38" s="14"/>
      <c r="L38" s="15"/>
      <c r="M38" s="67"/>
      <c r="N38" s="68"/>
      <c r="O38" s="68"/>
      <c r="P38" s="68"/>
      <c r="Q38" s="66"/>
      <c r="R38" s="66"/>
      <c r="S38" s="66"/>
      <c r="T38" s="66"/>
      <c r="U38" s="68"/>
    </row>
    <row r="39" ht="25" customHeight="1">
      <c r="A39" s="105"/>
      <c r="B39" s="66"/>
      <c r="C39" s="66"/>
      <c r="D39" s="66"/>
      <c r="E39" s="66"/>
      <c r="F39" s="66"/>
      <c r="G39" s="66"/>
      <c r="H39" s="66"/>
      <c r="I39" s="66"/>
      <c r="J39" s="66"/>
      <c r="K39" s="69"/>
      <c r="L39" s="15"/>
      <c r="M39" s="67"/>
      <c r="N39" s="68"/>
      <c r="O39" s="68"/>
      <c r="P39" s="68"/>
      <c r="Q39" s="66"/>
      <c r="R39" s="66"/>
      <c r="S39" s="66"/>
      <c r="T39" s="66"/>
      <c r="U39" s="68"/>
    </row>
    <row r="40" ht="35.149999999999999" customHeight="1">
      <c r="A40" s="105"/>
      <c r="B40" s="66"/>
      <c r="C40" s="66"/>
      <c r="D40" s="66"/>
      <c r="E40" s="66"/>
      <c r="F40" s="66"/>
      <c r="G40" s="66"/>
      <c r="H40" s="66"/>
      <c r="I40" s="66"/>
      <c r="J40" s="66"/>
      <c r="K40" s="19" t="s">
        <v>20</v>
      </c>
      <c r="L40" s="19"/>
      <c r="M40" s="67"/>
      <c r="N40" s="68"/>
      <c r="O40" s="68"/>
      <c r="P40" s="68"/>
      <c r="Q40" s="66"/>
      <c r="R40" s="66"/>
      <c r="S40" s="66"/>
      <c r="T40" s="66"/>
      <c r="U40" s="68"/>
    </row>
    <row r="41" ht="35.149999999999999" customHeight="1">
      <c r="A41" s="105"/>
      <c r="B41" s="66"/>
      <c r="C41" s="66"/>
      <c r="D41" s="66"/>
      <c r="E41" s="66"/>
      <c r="F41" s="66"/>
      <c r="G41" s="66"/>
      <c r="H41" s="66"/>
      <c r="I41" s="66"/>
      <c r="J41" s="66"/>
      <c r="K41" s="19" t="str">
        <f t="shared" ref="K41:K45" si="229">K27</f>
        <v xml:space="preserve">6:30 à 7:00</v>
      </c>
      <c r="L41" s="19"/>
      <c r="M41" s="70"/>
      <c r="N41" s="71">
        <f>IF(N27=0,0,N27/M27)</f>
        <v>0.18181818181818199</v>
      </c>
      <c r="O41" s="71">
        <f>IF(O27=0,0,O27/M27)</f>
        <v>0.27272727272727298</v>
      </c>
      <c r="P41" s="71">
        <f>IF(P27=0,0,P27/N27)</f>
        <v>0.5</v>
      </c>
      <c r="Q41" s="66"/>
      <c r="R41" s="66"/>
      <c r="S41" s="66"/>
      <c r="T41" s="66"/>
      <c r="U41" s="71">
        <f>IF(U27=0,0,U27/M27)</f>
        <v>0.54545454545454497</v>
      </c>
    </row>
    <row r="42" ht="35.149999999999999" customHeight="1">
      <c r="A42" s="105"/>
      <c r="B42" s="66"/>
      <c r="C42" s="66"/>
      <c r="D42" s="66"/>
      <c r="E42" s="66"/>
      <c r="F42" s="66"/>
      <c r="G42" s="66"/>
      <c r="H42" s="66"/>
      <c r="I42" s="66"/>
      <c r="J42" s="66"/>
      <c r="K42" s="19" t="str">
        <f t="shared" si="229"/>
        <v xml:space="preserve">7:00 à 7:30</v>
      </c>
      <c r="L42" s="19"/>
      <c r="M42" s="70"/>
      <c r="N42" s="71">
        <f>IF(N29=0,0,N29/M29)</f>
        <v>0.090909090909090898</v>
      </c>
      <c r="O42" s="71">
        <f>IF(O29=0,0,O29/M29)</f>
        <v>0.36363636363636398</v>
      </c>
      <c r="P42" s="71">
        <f>IF(P29=0,0,P29/N29)</f>
        <v>1</v>
      </c>
      <c r="Q42" s="66"/>
      <c r="R42" s="66"/>
      <c r="S42" s="66"/>
      <c r="T42" s="66"/>
      <c r="U42" s="71">
        <f>IF(U29=0,0,U29/M29)</f>
        <v>0.18181818181818199</v>
      </c>
    </row>
    <row r="43" ht="35.149999999999999" customHeight="1">
      <c r="A43" s="105"/>
      <c r="B43" s="66"/>
      <c r="C43" s="66"/>
      <c r="D43" s="66"/>
      <c r="E43" s="66"/>
      <c r="F43" s="66"/>
      <c r="G43" s="66"/>
      <c r="H43" s="66"/>
      <c r="I43" s="66"/>
      <c r="J43" s="66"/>
      <c r="K43" s="19" t="str">
        <f t="shared" si="229"/>
        <v xml:space="preserve">7:30 à 8:00</v>
      </c>
      <c r="L43" s="19"/>
      <c r="M43" s="70"/>
      <c r="N43" s="71">
        <f t="shared" ref="N43:N46" si="230">IF(N29=0,0,N29/M29)</f>
        <v>0.090909090909090898</v>
      </c>
      <c r="O43" s="71">
        <f t="shared" ref="O43:O46" si="231">IF(O29=0,0,O29/M29)</f>
        <v>0.36363636363636398</v>
      </c>
      <c r="P43" s="71">
        <f t="shared" ref="P43:P46" si="232">IF(P29=0,0,P29/N29)</f>
        <v>1</v>
      </c>
      <c r="Q43" s="66"/>
      <c r="R43" s="66"/>
      <c r="S43" s="66"/>
      <c r="T43" s="66"/>
      <c r="U43" s="71">
        <f t="shared" ref="U43:U46" si="233">IF(U29=0,0,U29/M29)</f>
        <v>0.18181818181818199</v>
      </c>
    </row>
    <row r="44" ht="35.149999999999999" customHeight="1">
      <c r="A44" s="105"/>
      <c r="B44" s="66"/>
      <c r="C44" s="66"/>
      <c r="D44" s="66"/>
      <c r="E44" s="66"/>
      <c r="F44" s="66"/>
      <c r="G44" s="66"/>
      <c r="H44" s="66"/>
      <c r="I44" s="66"/>
      <c r="J44" s="66"/>
      <c r="K44" s="19" t="str">
        <f t="shared" si="229"/>
        <v xml:space="preserve">8:00 à 8:30</v>
      </c>
      <c r="L44" s="19"/>
      <c r="M44" s="70"/>
      <c r="N44" s="71">
        <f t="shared" si="230"/>
        <v>0.20000000000000001</v>
      </c>
      <c r="O44" s="71">
        <f t="shared" si="231"/>
        <v>0.20000000000000001</v>
      </c>
      <c r="P44" s="71">
        <f t="shared" si="232"/>
        <v>1</v>
      </c>
      <c r="Q44" s="66"/>
      <c r="R44" s="66"/>
      <c r="S44" s="66"/>
      <c r="T44" s="66"/>
      <c r="U44" s="71">
        <f t="shared" si="233"/>
        <v>0.40000000000000002</v>
      </c>
    </row>
    <row r="45" ht="35.149999999999999" customHeight="1">
      <c r="F45" s="66"/>
      <c r="K45" s="19" t="str">
        <f t="shared" si="229"/>
        <v xml:space="preserve">8:30 à 9:00</v>
      </c>
      <c r="L45" s="19"/>
      <c r="M45" s="70"/>
      <c r="N45" s="71">
        <f t="shared" si="230"/>
        <v>0</v>
      </c>
      <c r="O45" s="71">
        <f t="shared" si="231"/>
        <v>0.125</v>
      </c>
      <c r="P45" s="71">
        <f t="shared" si="232"/>
        <v>0</v>
      </c>
      <c r="U45" s="71">
        <f t="shared" si="233"/>
        <v>0.25</v>
      </c>
    </row>
    <row r="46" ht="35.149999999999999" customHeight="1">
      <c r="F46" s="66"/>
      <c r="K46" s="19" t="s">
        <v>27</v>
      </c>
      <c r="L46" s="19"/>
      <c r="M46" s="187"/>
      <c r="N46" s="188">
        <f t="shared" si="230"/>
        <v>0.17777777777777801</v>
      </c>
      <c r="O46" s="188">
        <f t="shared" si="231"/>
        <v>0.24444444444444399</v>
      </c>
      <c r="P46" s="188">
        <f t="shared" si="232"/>
        <v>0.5</v>
      </c>
      <c r="U46" s="188">
        <f t="shared" si="233"/>
        <v>0.422222222222222</v>
      </c>
    </row>
    <row r="47" ht="35.149999999999999" customHeight="1">
      <c r="K47" s="19" t="str">
        <f>K36</f>
        <v xml:space="preserve">7:30 à 8:00</v>
      </c>
      <c r="L47" s="19"/>
      <c r="M47" s="38">
        <f>IF($AS$48=MAX($AS$48:$AS$52),M41,IF($AS$49=MAX($AS$48:$AS$52),M43,IF($AS$50=MAX($AS$48:$AS$52),M44,IF($AS$51=MAX($AS$48:$AS$52),(M44),M45))))</f>
        <v>0</v>
      </c>
      <c r="N47" s="74">
        <f>IF($AS$48=MAX($AS$48:$AS$52),N41,IF($AS$49=MAX($AS$48:$AS$52),N43,IF($AS$50=MAX($AS$48:$AS$52),N44,IF($AS$51=MAX($AS$48:$AS$52),(N44),N45))))</f>
        <v>0.18181818181818199</v>
      </c>
      <c r="O47" s="74">
        <f>O45</f>
        <v>0.125</v>
      </c>
      <c r="P47" s="74">
        <f>IF($AS$48=MAX($AS$48:$AS$52),P41,IF($AS$49=MAX($AS$48:$AS$52),P43,IF($AS$50=MAX($AS$48:$AS$52),P44,IF($AS$51=MAX($AS$48:$AS$52),(P44),P45))))</f>
        <v>0.5</v>
      </c>
      <c r="U47" s="74">
        <f>IF($AS$48=MAX($AS$48:$AS$52),U41,IF($AS$49=MAX($AS$48:$AS$52),U43,IF($AS$50=MAX($AS$48:$AS$52),U44,IF($AS$51=MAX($AS$48:$AS$52),(U44),U45))))</f>
        <v>0.54545454545454497</v>
      </c>
    </row>
  </sheetData>
  <mergeCells count="49">
    <mergeCell ref="C8:J8"/>
    <mergeCell ref="C9:F9"/>
    <mergeCell ref="G9:J9"/>
    <mergeCell ref="A11:B11"/>
    <mergeCell ref="C23:J23"/>
    <mergeCell ref="K23:L26"/>
    <mergeCell ref="M23:M26"/>
    <mergeCell ref="N23:N26"/>
    <mergeCell ref="O23:O26"/>
    <mergeCell ref="P23:P26"/>
    <mergeCell ref="Q23:Q26"/>
    <mergeCell ref="R23:R26"/>
    <mergeCell ref="S23:S26"/>
    <mergeCell ref="T23:T26"/>
    <mergeCell ref="U23:U26"/>
    <mergeCell ref="C24:F24"/>
    <mergeCell ref="G24:J24"/>
    <mergeCell ref="C25:D25"/>
    <mergeCell ref="E25:F25"/>
    <mergeCell ref="G25:H25"/>
    <mergeCell ref="I25:J25"/>
    <mergeCell ref="A26:B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K35:L35"/>
    <mergeCell ref="K36:L36"/>
    <mergeCell ref="M37:M40"/>
    <mergeCell ref="N37:N40"/>
    <mergeCell ref="O37:O40"/>
    <mergeCell ref="P37:P40"/>
    <mergeCell ref="U37:U40"/>
    <mergeCell ref="K40:L40"/>
    <mergeCell ref="K41:L41"/>
    <mergeCell ref="K42:L42"/>
    <mergeCell ref="K43:L43"/>
    <mergeCell ref="K44:L44"/>
    <mergeCell ref="K45:L45"/>
    <mergeCell ref="K46:L46"/>
    <mergeCell ref="K47:L47"/>
  </mergeCells>
  <printOptions headings="0" gridLines="0" horizontalCentered="0" verticalCentered="0"/>
  <pageMargins left="0.51180555555555496" right="0.51180555555555496" top="0.94444444444444409" bottom="0.94444444444444409" header="0.51180555555555496" footer="0.51180555555555496"/>
  <pageSetup paperSize="9" scale="54" fitToWidth="1" fitToHeight="0" pageOrder="downThenOver" orientation="landscape" usePrinterDefaults="1" blackAndWhite="0" draft="0" cellComments="none" useFirstPageNumber="0" errors="displayed" horizontalDpi="300" verticalDpi="300" copies="1"/>
  <headerFooter/>
  <colBreaks count="1" manualBreakCount="1">
    <brk id="10" man="1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A13" zoomScale="65" workbookViewId="0">
      <selection activeCell="G5" activeCellId="0" sqref="G5"/>
    </sheetView>
  </sheetViews>
  <sheetFormatPr defaultColWidth="10.4609375" defaultRowHeight="14"/>
  <cols>
    <col customWidth="1" min="2" max="2" style="0" width="29.59"/>
  </cols>
  <sheetData>
    <row r="1" ht="14">
      <c r="A1">
        <v>2023</v>
      </c>
    </row>
    <row r="2" ht="25.399999999999999" customHeight="1">
      <c r="A2" s="298" t="s">
        <v>169</v>
      </c>
      <c r="B2" s="299" t="s">
        <v>170</v>
      </c>
      <c r="C2" s="300" t="s">
        <v>171</v>
      </c>
      <c r="D2" s="301" t="s">
        <v>172</v>
      </c>
      <c r="E2" s="302" t="s">
        <v>173</v>
      </c>
      <c r="F2" s="301" t="s">
        <v>174</v>
      </c>
      <c r="G2" s="302" t="s">
        <v>175</v>
      </c>
    </row>
    <row r="3" ht="15.5">
      <c r="A3" s="298"/>
      <c r="B3" s="299"/>
      <c r="C3" s="303"/>
      <c r="D3" s="301"/>
      <c r="E3" s="302"/>
      <c r="F3" s="301"/>
      <c r="G3" s="302"/>
    </row>
    <row r="4" ht="15.5">
      <c r="A4" s="298"/>
      <c r="B4" s="299"/>
      <c r="C4" s="304" t="s">
        <v>176</v>
      </c>
      <c r="D4" s="301"/>
      <c r="E4" s="302"/>
      <c r="F4" s="301"/>
      <c r="G4" s="302"/>
    </row>
    <row r="5" s="305" customFormat="1" ht="15">
      <c r="A5" s="306">
        <v>10</v>
      </c>
      <c r="B5" s="307" t="s">
        <v>177</v>
      </c>
      <c r="C5" s="308">
        <v>68</v>
      </c>
      <c r="D5" s="309">
        <f t="shared" ref="D5:D8" si="234">IF(E5="","",E5/C5)</f>
        <v>0.23529411764705899</v>
      </c>
      <c r="E5" s="310">
        <v>16</v>
      </c>
      <c r="F5" s="311">
        <f t="shared" ref="F5:F8" si="235">IF(G5="","",G5/C5)</f>
        <v>0.33823529411764702</v>
      </c>
      <c r="G5" s="310">
        <v>23</v>
      </c>
    </row>
    <row r="6" ht="15">
      <c r="A6" s="306"/>
      <c r="B6" s="307" t="s">
        <v>178</v>
      </c>
      <c r="C6" s="308">
        <v>47</v>
      </c>
      <c r="D6" s="309">
        <f t="shared" si="234"/>
        <v>0.55319148936170204</v>
      </c>
      <c r="E6" s="310">
        <v>26</v>
      </c>
      <c r="F6" s="311">
        <f t="shared" si="235"/>
        <v>0.25531914893617003</v>
      </c>
      <c r="G6" s="310">
        <v>12</v>
      </c>
    </row>
    <row r="7" ht="15">
      <c r="A7" s="306"/>
      <c r="B7" s="307" t="s">
        <v>179</v>
      </c>
      <c r="C7" s="308"/>
      <c r="D7" s="309" t="str">
        <f t="shared" si="234"/>
        <v/>
      </c>
      <c r="E7" s="310"/>
      <c r="F7" s="311" t="str">
        <f t="shared" si="235"/>
        <v/>
      </c>
      <c r="G7" s="310"/>
    </row>
    <row r="8" ht="15">
      <c r="A8" s="306"/>
      <c r="B8" s="307" t="s">
        <v>180</v>
      </c>
      <c r="C8" s="308">
        <v>53</v>
      </c>
      <c r="D8" s="309">
        <f t="shared" si="234"/>
        <v>0.320754716981132</v>
      </c>
      <c r="E8" s="310">
        <v>17</v>
      </c>
      <c r="F8" s="311">
        <f t="shared" si="235"/>
        <v>0.169811320754717</v>
      </c>
      <c r="G8" s="310">
        <v>9</v>
      </c>
    </row>
    <row r="9" ht="15.5">
      <c r="A9" s="306"/>
      <c r="B9" s="312" t="s">
        <v>181</v>
      </c>
      <c r="C9" s="313">
        <v>26</v>
      </c>
      <c r="D9" s="314"/>
      <c r="E9" s="315">
        <v>14</v>
      </c>
      <c r="F9" s="311"/>
      <c r="G9" s="315">
        <v>2</v>
      </c>
    </row>
    <row r="10" s="305" customFormat="1" ht="15.5">
      <c r="A10" s="306"/>
      <c r="B10" s="316" t="s">
        <v>182</v>
      </c>
      <c r="C10" s="317">
        <f>SUM(C5:C9)</f>
        <v>194</v>
      </c>
      <c r="D10" s="318">
        <f>E10/C10</f>
        <v>0.37628865979381398</v>
      </c>
      <c r="E10" s="317">
        <f>SUM(E5:E9)</f>
        <v>73</v>
      </c>
      <c r="F10" s="318">
        <f>G10/C10</f>
        <v>0.23711340206185599</v>
      </c>
      <c r="G10" s="317">
        <f>SUM(G5:G9)</f>
        <v>46</v>
      </c>
    </row>
    <row r="11" s="305" customFormat="1" ht="15.5">
      <c r="A11" s="306"/>
      <c r="B11" s="319"/>
      <c r="C11" s="317"/>
      <c r="D11" s="318"/>
      <c r="E11" s="317"/>
      <c r="F11" s="318"/>
      <c r="G11" s="317"/>
    </row>
    <row r="12" ht="15.5">
      <c r="A12" s="306"/>
      <c r="B12" s="307" t="s">
        <v>183</v>
      </c>
      <c r="C12" s="308">
        <v>26</v>
      </c>
      <c r="D12" s="309">
        <f t="shared" ref="D12:D18" si="236">IF(E12="","",E12/C12)</f>
        <v>0.34615384615384598</v>
      </c>
      <c r="E12" s="310">
        <v>9</v>
      </c>
      <c r="F12" s="311">
        <f t="shared" ref="F12:F18" si="237">IF(G12="","",G12/C12)</f>
        <v>0.15384615384615399</v>
      </c>
      <c r="G12" s="310">
        <v>4</v>
      </c>
    </row>
    <row r="13" ht="15.5">
      <c r="A13" s="306"/>
      <c r="B13" s="307" t="s">
        <v>184</v>
      </c>
      <c r="C13" s="308">
        <v>49</v>
      </c>
      <c r="D13" s="309">
        <f t="shared" si="236"/>
        <v>0.28571428571428598</v>
      </c>
      <c r="E13" s="310">
        <v>14</v>
      </c>
      <c r="F13" s="311">
        <f t="shared" si="237"/>
        <v>0.20408163265306101</v>
      </c>
      <c r="G13" s="310">
        <v>10</v>
      </c>
    </row>
    <row r="14" ht="15.5">
      <c r="A14" s="306"/>
      <c r="B14" s="307" t="s">
        <v>185</v>
      </c>
      <c r="C14" s="308">
        <v>47</v>
      </c>
      <c r="D14" s="309">
        <f t="shared" si="236"/>
        <v>0.042553191489361701</v>
      </c>
      <c r="E14" s="310">
        <v>2</v>
      </c>
      <c r="F14" s="311">
        <f t="shared" si="237"/>
        <v>0.40425531914893598</v>
      </c>
      <c r="G14" s="310">
        <v>19</v>
      </c>
    </row>
    <row r="15" ht="15.5">
      <c r="A15" s="306"/>
      <c r="B15" s="307" t="s">
        <v>186</v>
      </c>
      <c r="C15" s="308">
        <v>59</v>
      </c>
      <c r="D15" s="309">
        <f t="shared" si="236"/>
        <v>0.322033898305085</v>
      </c>
      <c r="E15" s="310">
        <v>19</v>
      </c>
      <c r="F15" s="311">
        <f t="shared" si="237"/>
        <v>0.35593220338983</v>
      </c>
      <c r="G15" s="310">
        <v>21</v>
      </c>
    </row>
    <row r="16" ht="15.5">
      <c r="A16" s="306"/>
      <c r="B16" s="320" t="s">
        <v>187</v>
      </c>
      <c r="C16" s="308"/>
      <c r="D16" s="309" t="str">
        <f t="shared" si="236"/>
        <v/>
      </c>
      <c r="E16" s="310"/>
      <c r="F16" s="311" t="str">
        <f t="shared" si="237"/>
        <v/>
      </c>
      <c r="G16" s="310"/>
    </row>
    <row r="17" ht="15.5">
      <c r="A17" s="306"/>
      <c r="B17" s="307" t="s">
        <v>188</v>
      </c>
      <c r="C17" s="308">
        <v>37</v>
      </c>
      <c r="D17" s="309">
        <f t="shared" si="236"/>
        <v>0.24324324324324301</v>
      </c>
      <c r="E17" s="310">
        <v>9</v>
      </c>
      <c r="F17" s="311">
        <f t="shared" si="237"/>
        <v>0.40540540540540498</v>
      </c>
      <c r="G17" s="310">
        <v>15</v>
      </c>
    </row>
    <row r="18" ht="15.5">
      <c r="A18" s="306"/>
      <c r="B18" s="320" t="s">
        <v>189</v>
      </c>
      <c r="C18" s="313"/>
      <c r="D18" s="309" t="str">
        <f t="shared" si="236"/>
        <v/>
      </c>
      <c r="E18" s="315"/>
      <c r="F18" s="311" t="str">
        <f t="shared" si="237"/>
        <v/>
      </c>
      <c r="G18" s="315"/>
    </row>
    <row r="19" s="305" customFormat="1" ht="14.5">
      <c r="B19" s="305" t="s">
        <v>190</v>
      </c>
      <c r="C19" s="305">
        <f>SUM(C12:C17)</f>
        <v>218</v>
      </c>
      <c r="D19" s="318">
        <f>E19/C19</f>
        <v>0.243119266055046</v>
      </c>
      <c r="E19" s="305">
        <f>SUM(E12:E17)</f>
        <v>53</v>
      </c>
      <c r="F19" s="318">
        <f>G19/C19</f>
        <v>0.31651376146789001</v>
      </c>
      <c r="G19" s="305">
        <f>SUM(G12:G17)</f>
        <v>69</v>
      </c>
    </row>
    <row r="20" ht="15.5">
      <c r="A20" s="306"/>
      <c r="B20" s="321" t="s">
        <v>191</v>
      </c>
      <c r="C20" s="313"/>
      <c r="D20" s="314"/>
      <c r="E20" s="315"/>
      <c r="F20" s="311"/>
      <c r="G20" s="315"/>
    </row>
    <row r="21" ht="15.5">
      <c r="A21" s="306"/>
      <c r="B21" s="322" t="s">
        <v>191</v>
      </c>
      <c r="C21" s="323"/>
      <c r="D21" s="324"/>
      <c r="E21" s="325"/>
      <c r="F21" s="326"/>
      <c r="G21" s="325"/>
    </row>
    <row r="22" ht="15.5">
      <c r="A22" s="327" t="s">
        <v>192</v>
      </c>
      <c r="B22" s="328"/>
      <c r="C22" s="329">
        <f>C19+C10</f>
        <v>412</v>
      </c>
      <c r="D22" s="330">
        <f>E22/C22</f>
        <v>0.30582524271844702</v>
      </c>
      <c r="E22" s="329">
        <f>E19+E10</f>
        <v>126</v>
      </c>
      <c r="F22" s="330">
        <f>G22/C22</f>
        <v>0.279126213592233</v>
      </c>
      <c r="G22" s="329">
        <f>G19+G10</f>
        <v>115</v>
      </c>
    </row>
    <row r="25" ht="14">
      <c r="A25">
        <v>2022</v>
      </c>
      <c r="D25" s="331" t="s">
        <v>21</v>
      </c>
      <c r="E25" s="331" t="s">
        <v>21</v>
      </c>
      <c r="F25" s="331" t="s">
        <v>193</v>
      </c>
      <c r="G25" s="331" t="s">
        <v>193</v>
      </c>
    </row>
    <row r="26" ht="14.5">
      <c r="A26" s="306">
        <v>11</v>
      </c>
      <c r="B26" s="332" t="s">
        <v>177</v>
      </c>
      <c r="C26" s="333">
        <v>59</v>
      </c>
      <c r="D26" s="334">
        <f t="shared" ref="D26:D29" si="238">IF(E26="","",E26/C26)</f>
        <v>0.47457627118644102</v>
      </c>
      <c r="E26" s="335">
        <v>28</v>
      </c>
      <c r="F26" s="336">
        <f t="shared" ref="F26:F29" si="239">IF(G26="","",G26/C26)</f>
        <v>0.338983050847458</v>
      </c>
      <c r="G26" s="335">
        <v>20</v>
      </c>
      <c r="H26">
        <v>59</v>
      </c>
    </row>
    <row r="27" ht="14.5">
      <c r="A27" s="306"/>
      <c r="B27" s="307" t="s">
        <v>178</v>
      </c>
      <c r="C27" s="308">
        <v>32</v>
      </c>
      <c r="D27" s="309">
        <f t="shared" si="238"/>
        <v>0.34375</v>
      </c>
      <c r="E27" s="310">
        <v>11</v>
      </c>
      <c r="F27" s="311">
        <f t="shared" si="239"/>
        <v>0.1875</v>
      </c>
      <c r="G27" s="310">
        <v>6</v>
      </c>
      <c r="H27">
        <v>32</v>
      </c>
    </row>
    <row r="28" ht="14.5">
      <c r="A28" s="306"/>
      <c r="B28" s="307" t="s">
        <v>179</v>
      </c>
      <c r="C28" s="308">
        <v>21</v>
      </c>
      <c r="D28" s="309">
        <f t="shared" si="238"/>
        <v>0.19047619047618999</v>
      </c>
      <c r="E28" s="310">
        <v>4</v>
      </c>
      <c r="F28" s="311">
        <f t="shared" si="239"/>
        <v>0.238095238095238</v>
      </c>
      <c r="G28" s="310">
        <v>5</v>
      </c>
      <c r="H28">
        <v>21</v>
      </c>
    </row>
    <row r="29" ht="14.5">
      <c r="A29" s="306"/>
      <c r="B29" s="307" t="s">
        <v>180</v>
      </c>
      <c r="C29" s="308">
        <v>55</v>
      </c>
      <c r="D29" s="309">
        <f t="shared" si="238"/>
        <v>0.32727272727272699</v>
      </c>
      <c r="E29" s="310">
        <v>18</v>
      </c>
      <c r="F29" s="311">
        <f t="shared" si="239"/>
        <v>0.32727272727272699</v>
      </c>
      <c r="G29" s="310">
        <v>18</v>
      </c>
      <c r="H29">
        <v>55</v>
      </c>
    </row>
    <row r="30" s="305" customFormat="1" ht="14.5">
      <c r="A30" s="306"/>
      <c r="B30" s="316" t="s">
        <v>182</v>
      </c>
      <c r="C30" s="317">
        <f>SUM(C26:C29)</f>
        <v>167</v>
      </c>
      <c r="D30" s="318">
        <f>E30/C30</f>
        <v>0.36526946107784403</v>
      </c>
      <c r="E30" s="317">
        <f>SUM(E26:E29)</f>
        <v>61</v>
      </c>
      <c r="F30" s="318">
        <f>G30/C30</f>
        <v>0.29341317365269498</v>
      </c>
      <c r="G30" s="317">
        <f>SUM(G26:G29)</f>
        <v>49</v>
      </c>
    </row>
    <row r="31" ht="14.5">
      <c r="A31" s="306"/>
      <c r="B31" s="307"/>
      <c r="C31" s="308"/>
      <c r="D31" s="309"/>
      <c r="E31" s="310"/>
      <c r="F31" s="311"/>
      <c r="G31" s="310"/>
      <c r="H31">
        <v>15</v>
      </c>
    </row>
    <row r="32" ht="14.5">
      <c r="A32" s="306"/>
      <c r="B32" s="307" t="s">
        <v>184</v>
      </c>
      <c r="C32" s="308">
        <v>20</v>
      </c>
      <c r="D32" s="309">
        <f t="shared" ref="D32:D36" si="240">IF(E32="","",E32/C32)</f>
        <v>0.25</v>
      </c>
      <c r="E32" s="310">
        <v>5</v>
      </c>
      <c r="F32" s="311">
        <f t="shared" ref="F32:F36" si="241">IF(G32="","",G32/C32)</f>
        <v>0.20000000000000001</v>
      </c>
      <c r="G32" s="310">
        <v>4</v>
      </c>
      <c r="H32">
        <v>182</v>
      </c>
    </row>
    <row r="33" ht="14.5">
      <c r="A33" s="306"/>
      <c r="B33" s="307" t="s">
        <v>185</v>
      </c>
      <c r="C33" s="308">
        <v>20</v>
      </c>
      <c r="D33" s="309">
        <f t="shared" si="240"/>
        <v>0.25</v>
      </c>
      <c r="E33" s="310">
        <v>5</v>
      </c>
      <c r="F33" s="311">
        <f t="shared" si="241"/>
        <v>0.25</v>
      </c>
      <c r="G33" s="310">
        <v>5</v>
      </c>
      <c r="H33">
        <v>6</v>
      </c>
    </row>
    <row r="34" ht="14.5">
      <c r="A34" s="306"/>
      <c r="B34" s="307" t="s">
        <v>194</v>
      </c>
      <c r="C34" s="308">
        <v>35</v>
      </c>
      <c r="D34" s="309">
        <f t="shared" si="240"/>
        <v>0.314285714285714</v>
      </c>
      <c r="E34" s="310">
        <v>11</v>
      </c>
      <c r="F34" s="311">
        <f t="shared" si="241"/>
        <v>0.22857142857142901</v>
      </c>
      <c r="G34" s="310">
        <v>8</v>
      </c>
      <c r="H34">
        <v>20</v>
      </c>
    </row>
    <row r="35" ht="14.5">
      <c r="A35" s="306"/>
      <c r="B35" s="307" t="s">
        <v>195</v>
      </c>
      <c r="C35" s="308">
        <v>15</v>
      </c>
      <c r="D35" s="309">
        <f t="shared" si="240"/>
        <v>0.20000000000000001</v>
      </c>
      <c r="E35" s="310">
        <v>3</v>
      </c>
      <c r="F35" s="311" t="str">
        <f t="shared" si="241"/>
        <v/>
      </c>
      <c r="G35" s="310"/>
      <c r="H35">
        <v>20</v>
      </c>
    </row>
    <row r="36" ht="14.5">
      <c r="A36" s="306"/>
      <c r="B36" s="307" t="s">
        <v>196</v>
      </c>
      <c r="C36" s="308">
        <v>22</v>
      </c>
      <c r="D36" s="309">
        <f t="shared" si="240"/>
        <v>0.090909090909090898</v>
      </c>
      <c r="E36" s="310">
        <v>2</v>
      </c>
      <c r="F36" s="311">
        <f t="shared" si="241"/>
        <v>0.22727272727272699</v>
      </c>
      <c r="G36" s="310">
        <v>5</v>
      </c>
      <c r="H36">
        <v>35</v>
      </c>
    </row>
    <row r="37" s="305" customFormat="1" ht="14.5">
      <c r="A37" s="306"/>
      <c r="B37" s="316" t="s">
        <v>190</v>
      </c>
      <c r="C37" s="305">
        <f>SUM(C32:C36)</f>
        <v>112</v>
      </c>
      <c r="D37" s="318">
        <f>E37/C37</f>
        <v>0.23214285714285701</v>
      </c>
      <c r="E37" s="305">
        <f>SUM(E32:E36)</f>
        <v>26</v>
      </c>
      <c r="F37" s="318">
        <f>G37/C37</f>
        <v>0.19642857142857101</v>
      </c>
      <c r="G37" s="305">
        <f>SUM(G32:G36)</f>
        <v>22</v>
      </c>
      <c r="H37" s="305">
        <v>22</v>
      </c>
    </row>
    <row r="38" ht="14.5">
      <c r="A38" s="306"/>
      <c r="B38" s="307" t="s">
        <v>189</v>
      </c>
      <c r="C38" s="313"/>
      <c r="D38" s="309" t="str">
        <f>IF(E38="","",E38/C38)</f>
        <v/>
      </c>
      <c r="E38" s="315"/>
      <c r="F38" s="311" t="str">
        <f>IF(G38="","",G38/C38)</f>
        <v/>
      </c>
      <c r="G38" s="315"/>
      <c r="H38">
        <v>103</v>
      </c>
    </row>
    <row r="39" ht="14.5">
      <c r="A39" s="306"/>
      <c r="B39" s="321" t="s">
        <v>191</v>
      </c>
      <c r="C39" s="313"/>
      <c r="D39" s="314"/>
      <c r="E39" s="315"/>
      <c r="F39" s="311"/>
      <c r="G39" s="315"/>
      <c r="H39">
        <v>285</v>
      </c>
    </row>
    <row r="40" ht="14.5">
      <c r="A40" s="306"/>
      <c r="B40" s="321" t="s">
        <v>191</v>
      </c>
      <c r="C40" s="313"/>
      <c r="D40" s="314"/>
      <c r="E40" s="315"/>
      <c r="F40" s="311"/>
      <c r="G40" s="315"/>
    </row>
    <row r="41" ht="14.5">
      <c r="A41" s="306"/>
      <c r="B41" s="322" t="s">
        <v>191</v>
      </c>
      <c r="C41" s="323"/>
      <c r="D41" s="324"/>
      <c r="E41" s="325"/>
      <c r="F41" s="326"/>
      <c r="G41" s="325"/>
    </row>
    <row r="42" ht="15.5">
      <c r="A42" s="327" t="s">
        <v>192</v>
      </c>
      <c r="B42" s="337"/>
      <c r="C42" s="338">
        <f>C37+C30</f>
        <v>279</v>
      </c>
      <c r="D42" s="330">
        <f>E42/C42</f>
        <v>0.31182795698924698</v>
      </c>
      <c r="E42" s="338">
        <f>E37+E30</f>
        <v>87</v>
      </c>
      <c r="F42" s="330">
        <f>IF(G42="","",G42/C42)</f>
        <v>0.25448028673835099</v>
      </c>
      <c r="G42" s="338">
        <f>G37+G30</f>
        <v>71</v>
      </c>
    </row>
    <row r="46" ht="14">
      <c r="A46">
        <v>2021</v>
      </c>
      <c r="D46" s="331" t="s">
        <v>21</v>
      </c>
      <c r="E46" s="331" t="s">
        <v>21</v>
      </c>
      <c r="F46" s="331" t="s">
        <v>193</v>
      </c>
      <c r="G46" s="331" t="s">
        <v>193</v>
      </c>
    </row>
    <row r="47" ht="14.5">
      <c r="A47" s="306">
        <v>9</v>
      </c>
      <c r="B47" s="332" t="s">
        <v>177</v>
      </c>
      <c r="C47" s="333">
        <v>76</v>
      </c>
      <c r="D47" s="334">
        <f t="shared" ref="D47:D80" si="242">E47/C47</f>
        <v>0.22368421052631601</v>
      </c>
      <c r="E47" s="335">
        <v>17</v>
      </c>
      <c r="F47" s="336">
        <f t="shared" ref="F47:F80" si="243">G47/C47</f>
        <v>0.36842105263157898</v>
      </c>
      <c r="G47" s="335">
        <v>28</v>
      </c>
      <c r="H47" s="339">
        <v>76</v>
      </c>
    </row>
    <row r="48" ht="14.5">
      <c r="A48" s="306"/>
      <c r="B48" s="307" t="s">
        <v>178</v>
      </c>
      <c r="C48" s="308">
        <v>45</v>
      </c>
      <c r="D48" s="309">
        <f t="shared" si="242"/>
        <v>0.46666666666666701</v>
      </c>
      <c r="E48" s="310">
        <v>21</v>
      </c>
      <c r="F48" s="311">
        <f t="shared" si="243"/>
        <v>0.31111111111111101</v>
      </c>
      <c r="G48" s="310">
        <v>14</v>
      </c>
      <c r="H48" s="340">
        <v>45</v>
      </c>
    </row>
    <row r="49" ht="14.5">
      <c r="A49" s="306"/>
      <c r="B49" s="307" t="s">
        <v>179</v>
      </c>
      <c r="C49" s="308">
        <v>16</v>
      </c>
      <c r="D49" s="309">
        <f t="shared" si="242"/>
        <v>0.3125</v>
      </c>
      <c r="E49" s="310">
        <v>5</v>
      </c>
      <c r="F49" s="311">
        <f t="shared" si="243"/>
        <v>0.1875</v>
      </c>
      <c r="G49" s="310">
        <v>3</v>
      </c>
      <c r="H49" s="340">
        <v>16</v>
      </c>
    </row>
    <row r="50" ht="14.5">
      <c r="A50" s="306"/>
      <c r="B50" s="307" t="s">
        <v>180</v>
      </c>
      <c r="C50" s="308">
        <v>56</v>
      </c>
      <c r="D50" s="309">
        <f t="shared" si="242"/>
        <v>0.214285714285714</v>
      </c>
      <c r="E50" s="310">
        <v>12</v>
      </c>
      <c r="F50" s="311">
        <f t="shared" si="243"/>
        <v>0.17857142857142899</v>
      </c>
      <c r="G50" s="310">
        <v>10</v>
      </c>
      <c r="H50" s="340">
        <v>56</v>
      </c>
    </row>
    <row r="51" s="305" customFormat="1" ht="14.5">
      <c r="A51" s="306"/>
      <c r="B51" s="316" t="s">
        <v>182</v>
      </c>
      <c r="C51" s="317">
        <f>SUM(C47:C50)</f>
        <v>193</v>
      </c>
      <c r="D51" s="318">
        <f t="shared" si="242"/>
        <v>0.284974093264249</v>
      </c>
      <c r="E51" s="317">
        <f>SUM(E47:E50)</f>
        <v>55</v>
      </c>
      <c r="F51" s="318">
        <f t="shared" si="243"/>
        <v>0.284974093264249</v>
      </c>
      <c r="G51" s="317">
        <f>SUM(G47:G50)</f>
        <v>55</v>
      </c>
      <c r="H51" s="340"/>
    </row>
    <row r="52" s="305" customFormat="1" ht="14.5">
      <c r="A52" s="306"/>
      <c r="B52" s="316"/>
      <c r="C52" s="317"/>
      <c r="D52" s="318"/>
      <c r="E52" s="317"/>
      <c r="F52" s="318"/>
      <c r="G52" s="317"/>
      <c r="H52" s="341"/>
    </row>
    <row r="53" ht="14.5">
      <c r="A53" s="306"/>
      <c r="B53" s="307" t="s">
        <v>183</v>
      </c>
      <c r="C53" s="308">
        <v>13</v>
      </c>
      <c r="D53" s="309">
        <f t="shared" si="242"/>
        <v>0.53846153846153799</v>
      </c>
      <c r="E53" s="310">
        <v>7</v>
      </c>
      <c r="F53" s="311">
        <f t="shared" si="243"/>
        <v>0.46153846153846201</v>
      </c>
      <c r="G53" s="310">
        <v>6</v>
      </c>
      <c r="H53" s="342">
        <v>193</v>
      </c>
    </row>
    <row r="54" ht="14.5">
      <c r="A54" s="306"/>
      <c r="B54" s="307" t="s">
        <v>184</v>
      </c>
      <c r="C54" s="308">
        <v>24</v>
      </c>
      <c r="D54" s="309">
        <f t="shared" si="242"/>
        <v>0.29166666666666702</v>
      </c>
      <c r="E54" s="310">
        <v>7</v>
      </c>
      <c r="F54" s="311">
        <f t="shared" si="243"/>
        <v>0.29166666666666702</v>
      </c>
      <c r="G54" s="310">
        <v>7</v>
      </c>
      <c r="H54" s="343">
        <v>13</v>
      </c>
    </row>
    <row r="55" ht="14.5">
      <c r="A55" s="306"/>
      <c r="B55" s="307" t="s">
        <v>185</v>
      </c>
      <c r="C55" s="308">
        <v>33</v>
      </c>
      <c r="D55" s="309">
        <f t="shared" si="242"/>
        <v>0</v>
      </c>
      <c r="E55" s="310">
        <v>0</v>
      </c>
      <c r="F55" s="311">
        <f t="shared" si="243"/>
        <v>0.21212121212121199</v>
      </c>
      <c r="G55" s="310">
        <v>7</v>
      </c>
      <c r="H55" s="340">
        <v>24</v>
      </c>
    </row>
    <row r="56" ht="14.5">
      <c r="A56" s="306"/>
      <c r="B56" s="307" t="s">
        <v>194</v>
      </c>
      <c r="C56" s="308">
        <v>32</v>
      </c>
      <c r="D56" s="309">
        <f t="shared" si="242"/>
        <v>0.15625</v>
      </c>
      <c r="E56" s="310">
        <v>5</v>
      </c>
      <c r="F56" s="311">
        <f t="shared" si="243"/>
        <v>0.375</v>
      </c>
      <c r="G56" s="310">
        <v>12</v>
      </c>
      <c r="H56" s="340">
        <v>33</v>
      </c>
    </row>
    <row r="57" s="305" customFormat="1" ht="14.5">
      <c r="A57" s="306"/>
      <c r="B57" s="316" t="s">
        <v>190</v>
      </c>
      <c r="C57" s="305">
        <f>SUM(C53:C56)</f>
        <v>102</v>
      </c>
      <c r="D57" s="318">
        <f t="shared" si="242"/>
        <v>0.18627450980392199</v>
      </c>
      <c r="E57" s="305">
        <f>SUM(E53:E56)</f>
        <v>19</v>
      </c>
      <c r="F57" s="318">
        <f t="shared" si="243"/>
        <v>0.31372549019607798</v>
      </c>
      <c r="G57" s="305">
        <f>SUM(G53:G56)</f>
        <v>32</v>
      </c>
      <c r="H57" s="340">
        <v>32</v>
      </c>
    </row>
    <row r="58" ht="14.5">
      <c r="A58" s="306"/>
      <c r="B58" s="321" t="s">
        <v>191</v>
      </c>
      <c r="C58" s="313"/>
      <c r="D58" s="314"/>
      <c r="E58" s="315"/>
      <c r="F58" s="311"/>
      <c r="G58" s="315"/>
      <c r="H58" s="344"/>
    </row>
    <row r="59" ht="14.5">
      <c r="A59" s="306"/>
      <c r="B59" s="322" t="s">
        <v>191</v>
      </c>
      <c r="C59" s="323"/>
      <c r="D59" s="324"/>
      <c r="E59" s="325"/>
      <c r="F59" s="326"/>
      <c r="G59" s="325"/>
      <c r="H59" s="342">
        <v>102</v>
      </c>
    </row>
    <row r="60" ht="15.5">
      <c r="A60" s="327" t="s">
        <v>192</v>
      </c>
      <c r="B60" s="328"/>
      <c r="C60" s="338">
        <f>C57+C51</f>
        <v>295</v>
      </c>
      <c r="D60" s="330">
        <f t="shared" si="242"/>
        <v>0.25084745762711902</v>
      </c>
      <c r="E60" s="338">
        <f>E57+E51</f>
        <v>74</v>
      </c>
      <c r="F60" s="330">
        <f t="shared" si="243"/>
        <v>0.29491525423728798</v>
      </c>
      <c r="G60" s="338">
        <f>G57+G51</f>
        <v>87</v>
      </c>
      <c r="H60" s="345">
        <v>295</v>
      </c>
    </row>
    <row r="64" ht="14">
      <c r="A64">
        <v>2020</v>
      </c>
    </row>
    <row r="65" ht="14.5">
      <c r="A65" s="306">
        <v>8</v>
      </c>
      <c r="B65" s="332" t="s">
        <v>177</v>
      </c>
      <c r="C65" s="333">
        <v>31</v>
      </c>
      <c r="D65" s="334">
        <v>0.32258064516128998</v>
      </c>
      <c r="E65" s="335">
        <v>10</v>
      </c>
      <c r="F65" s="336">
        <v>0.32258064516128998</v>
      </c>
      <c r="G65" s="335">
        <v>10</v>
      </c>
    </row>
    <row r="66" ht="14.5">
      <c r="A66" s="306"/>
      <c r="B66" s="307" t="s">
        <v>178</v>
      </c>
      <c r="C66" s="308">
        <v>25</v>
      </c>
      <c r="D66" s="309">
        <v>0.47999999999999998</v>
      </c>
      <c r="E66" s="310">
        <v>12</v>
      </c>
      <c r="F66" s="311">
        <v>0.35999999999999999</v>
      </c>
      <c r="G66" s="310">
        <v>12</v>
      </c>
    </row>
    <row r="67" ht="14.5">
      <c r="A67" s="306"/>
      <c r="B67" s="307" t="s">
        <v>179</v>
      </c>
      <c r="C67" s="308">
        <v>18</v>
      </c>
      <c r="D67" s="309">
        <v>0.5</v>
      </c>
      <c r="E67" s="310">
        <v>9</v>
      </c>
      <c r="F67" s="311">
        <v>0.16666666666666699</v>
      </c>
      <c r="G67" s="310">
        <v>9</v>
      </c>
    </row>
    <row r="68" ht="14.5">
      <c r="A68" s="306"/>
      <c r="B68" s="307"/>
      <c r="C68" s="308"/>
      <c r="D68" s="309"/>
      <c r="E68" s="310"/>
      <c r="F68" s="311"/>
      <c r="G68" s="310"/>
    </row>
    <row r="69" s="305" customFormat="1" ht="14.5">
      <c r="A69" s="306"/>
      <c r="B69" s="316" t="s">
        <v>182</v>
      </c>
      <c r="C69" s="317">
        <f>SUM(C65:C68)</f>
        <v>74</v>
      </c>
      <c r="D69" s="318">
        <f t="shared" si="242"/>
        <v>0.41891891891891903</v>
      </c>
      <c r="E69" s="317">
        <f>SUM(E65:E68)</f>
        <v>31</v>
      </c>
      <c r="F69" s="318">
        <f t="shared" si="243"/>
        <v>0.41891891891891903</v>
      </c>
      <c r="G69" s="317">
        <f>SUM(G65:G68)</f>
        <v>31</v>
      </c>
    </row>
    <row r="70" ht="14.5">
      <c r="A70" s="306"/>
      <c r="B70" s="307"/>
      <c r="C70" s="308"/>
      <c r="D70" s="309"/>
      <c r="E70" s="310"/>
      <c r="F70" s="311"/>
      <c r="G70" s="310"/>
    </row>
    <row r="71" ht="14.5">
      <c r="A71" s="306"/>
      <c r="B71" s="307" t="s">
        <v>183</v>
      </c>
      <c r="C71" s="308">
        <v>14</v>
      </c>
      <c r="D71" s="309">
        <v>0.071428571428571397</v>
      </c>
      <c r="E71" s="310">
        <v>1</v>
      </c>
      <c r="F71" s="311">
        <v>0.071428571428571397</v>
      </c>
      <c r="G71" s="310">
        <v>1</v>
      </c>
    </row>
    <row r="72" ht="14.5">
      <c r="A72" s="306"/>
      <c r="B72" s="307" t="s">
        <v>184</v>
      </c>
      <c r="C72" s="308">
        <v>24</v>
      </c>
      <c r="D72" s="309">
        <v>0.041666666666666699</v>
      </c>
      <c r="E72" s="310">
        <v>1</v>
      </c>
      <c r="F72" s="311">
        <v>0.20833333333333301</v>
      </c>
      <c r="G72" s="310">
        <v>1</v>
      </c>
    </row>
    <row r="73" ht="14.5">
      <c r="A73" s="306"/>
      <c r="B73" s="307" t="s">
        <v>185</v>
      </c>
      <c r="C73" s="308">
        <v>29</v>
      </c>
      <c r="D73" s="309">
        <v>0</v>
      </c>
      <c r="E73" s="310">
        <v>0</v>
      </c>
      <c r="F73" s="311">
        <v>0.41379310344827602</v>
      </c>
      <c r="G73" s="310">
        <v>0</v>
      </c>
    </row>
    <row r="74" ht="14.5">
      <c r="A74" s="306"/>
      <c r="B74" s="307" t="s">
        <v>194</v>
      </c>
      <c r="C74" s="308">
        <v>27</v>
      </c>
      <c r="D74" s="309">
        <v>0.25925925925925902</v>
      </c>
      <c r="E74" s="310">
        <v>7</v>
      </c>
      <c r="F74" s="311">
        <v>0.48148148148148101</v>
      </c>
      <c r="G74" s="310">
        <v>7</v>
      </c>
    </row>
    <row r="75" s="305" customFormat="1" ht="14.5">
      <c r="A75" s="306"/>
      <c r="B75" s="316" t="s">
        <v>190</v>
      </c>
      <c r="C75" s="305">
        <f>SUM(C71:C74)</f>
        <v>94</v>
      </c>
      <c r="D75" s="318">
        <f t="shared" si="242"/>
        <v>0.095744680851063801</v>
      </c>
      <c r="E75" s="305">
        <f>SUM(E71:E74)</f>
        <v>9</v>
      </c>
      <c r="F75" s="318">
        <f t="shared" si="243"/>
        <v>0.095744680851063801</v>
      </c>
      <c r="G75" s="305">
        <f>SUM(G71:G74)</f>
        <v>9</v>
      </c>
    </row>
    <row r="76" ht="14.5">
      <c r="A76" s="306"/>
      <c r="B76" s="307" t="s">
        <v>195</v>
      </c>
      <c r="C76" s="346"/>
      <c r="D76" s="309">
        <v>0.25925925925925902</v>
      </c>
      <c r="E76" s="347"/>
      <c r="F76" s="311">
        <v>0.48148148148148101</v>
      </c>
      <c r="G76" s="347"/>
    </row>
    <row r="77" ht="14.5">
      <c r="A77" s="306"/>
      <c r="B77" s="321" t="s">
        <v>191</v>
      </c>
      <c r="C77" s="313"/>
      <c r="D77" s="314"/>
      <c r="E77" s="315"/>
      <c r="F77" s="311"/>
      <c r="G77" s="315"/>
    </row>
    <row r="78" ht="14.5">
      <c r="A78" s="306"/>
      <c r="B78" s="321" t="s">
        <v>191</v>
      </c>
      <c r="C78" s="313"/>
      <c r="D78" s="314"/>
      <c r="E78" s="315"/>
      <c r="F78" s="311"/>
      <c r="G78" s="315"/>
    </row>
    <row r="79" ht="14.5">
      <c r="A79" s="306"/>
      <c r="B79" s="322" t="s">
        <v>191</v>
      </c>
      <c r="C79" s="323"/>
      <c r="D79" s="324"/>
      <c r="E79" s="325"/>
      <c r="F79" s="326"/>
      <c r="G79" s="325"/>
    </row>
    <row r="80" ht="15.5">
      <c r="A80" s="327" t="s">
        <v>192</v>
      </c>
      <c r="B80" s="328"/>
      <c r="C80" s="338">
        <f>C75+C69</f>
        <v>168</v>
      </c>
      <c r="D80" s="330">
        <f t="shared" si="242"/>
        <v>0.238095238095238</v>
      </c>
      <c r="E80" s="338">
        <f>E75+E69</f>
        <v>40</v>
      </c>
      <c r="F80" s="330">
        <f t="shared" si="243"/>
        <v>0.238095238095238</v>
      </c>
      <c r="G80" s="338">
        <f>G75+G69</f>
        <v>40</v>
      </c>
    </row>
    <row r="83" ht="14">
      <c r="C83">
        <v>31</v>
      </c>
      <c r="D83">
        <v>23</v>
      </c>
      <c r="E83">
        <v>0.32258064516128998</v>
      </c>
      <c r="F83">
        <v>10</v>
      </c>
      <c r="G83">
        <v>0.32258064516128998</v>
      </c>
      <c r="H83">
        <v>10</v>
      </c>
    </row>
    <row r="84" ht="14">
      <c r="C84">
        <v>25</v>
      </c>
      <c r="D84">
        <v>13</v>
      </c>
      <c r="E84">
        <v>0.47999999999999998</v>
      </c>
      <c r="F84">
        <v>12</v>
      </c>
      <c r="G84">
        <v>0.35999999999999999</v>
      </c>
      <c r="H84">
        <v>9</v>
      </c>
    </row>
    <row r="85" ht="14">
      <c r="C85">
        <v>18</v>
      </c>
      <c r="D85">
        <v>10</v>
      </c>
      <c r="E85">
        <v>0.5</v>
      </c>
      <c r="F85">
        <v>9</v>
      </c>
      <c r="G85">
        <v>0.16666666666666699</v>
      </c>
      <c r="H85">
        <v>3</v>
      </c>
    </row>
    <row r="86" ht="14">
      <c r="E86">
        <v>0.5</v>
      </c>
      <c r="G86">
        <v>0.16666666666666699</v>
      </c>
    </row>
    <row r="87" ht="14">
      <c r="C87">
        <v>14</v>
      </c>
      <c r="D87">
        <v>9</v>
      </c>
      <c r="E87">
        <v>0.071428571428571397</v>
      </c>
      <c r="F87">
        <v>1</v>
      </c>
      <c r="G87">
        <v>0.071428571428571397</v>
      </c>
      <c r="H87">
        <v>1</v>
      </c>
    </row>
    <row r="88" ht="14">
      <c r="C88">
        <v>24</v>
      </c>
      <c r="D88">
        <v>16</v>
      </c>
      <c r="E88">
        <v>0.041666666666666699</v>
      </c>
      <c r="F88">
        <v>1</v>
      </c>
      <c r="G88">
        <v>0.20833333333333301</v>
      </c>
      <c r="H88">
        <v>5</v>
      </c>
    </row>
    <row r="89" ht="14">
      <c r="C89">
        <v>29</v>
      </c>
      <c r="D89">
        <v>21</v>
      </c>
      <c r="E89">
        <v>0</v>
      </c>
      <c r="F89">
        <v>0</v>
      </c>
      <c r="G89">
        <v>0.41379310344827602</v>
      </c>
      <c r="H89">
        <v>12</v>
      </c>
    </row>
    <row r="90" ht="14">
      <c r="C90">
        <v>27</v>
      </c>
      <c r="D90">
        <v>17</v>
      </c>
      <c r="E90">
        <v>0.25925925925925902</v>
      </c>
      <c r="F90">
        <v>7</v>
      </c>
      <c r="G90">
        <v>0.48148148148148101</v>
      </c>
      <c r="H90">
        <v>13</v>
      </c>
    </row>
    <row r="91" ht="14">
      <c r="E91">
        <v>0.25925925925925902</v>
      </c>
      <c r="G91">
        <v>0.48148148148148101</v>
      </c>
    </row>
    <row r="92" ht="14">
      <c r="E92">
        <v>0.25925925925925902</v>
      </c>
      <c r="G92">
        <v>0.48148148148148101</v>
      </c>
    </row>
    <row r="93" ht="14">
      <c r="C93">
        <v>4</v>
      </c>
      <c r="D93">
        <v>2</v>
      </c>
      <c r="E93">
        <v>0.5</v>
      </c>
      <c r="F93">
        <v>2</v>
      </c>
      <c r="G93">
        <v>0</v>
      </c>
      <c r="H93">
        <v>0</v>
      </c>
    </row>
  </sheetData>
  <mergeCells count="9">
    <mergeCell ref="A2:A4"/>
    <mergeCell ref="B2:B4"/>
    <mergeCell ref="D2:D4"/>
    <mergeCell ref="E2:E4"/>
    <mergeCell ref="F2:F4"/>
    <mergeCell ref="G2:G4"/>
    <mergeCell ref="A26:A41"/>
    <mergeCell ref="A47:A59"/>
    <mergeCell ref="A65:A79"/>
  </mergeCells>
  <printOptions headings="0" gridLines="0" horizontalCentered="0" verticalCentered="0"/>
  <pageMargins left="0.69999999999999996" right="0.69999999999999996" top="0.75" bottom="0.75" header="0.51180555555555496" footer="0.51180555555555496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aboveAverage="0" rank="0" text="" id="{00750029-009C-4507-900F-006F00E9009D}">
            <xm:f>$E5=""</xm:f>
            <x14:dxf>
              <font>
                <color rgb="FFF2F2F2"/>
              </font>
            </x14:dxf>
          </x14:cfRule>
          <xm:sqref>B20:B22 B11:B18 B5:B9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A1" zoomScale="65" workbookViewId="0">
      <selection activeCell="A7" activeCellId="0" sqref="A7"/>
    </sheetView>
  </sheetViews>
  <sheetFormatPr defaultColWidth="10.4609375" defaultRowHeight="14"/>
  <cols>
    <col customWidth="1" min="2" max="2" style="0" width="41.920000000000002"/>
    <col customWidth="0" min="8" max="8" style="348" width="10.470000000000001"/>
  </cols>
  <sheetData>
    <row r="1" ht="13.800000000000001"/>
    <row r="2" ht="14">
      <c r="A2">
        <v>2024</v>
      </c>
    </row>
    <row r="3" ht="25.399999999999999" customHeight="1">
      <c r="A3" s="298" t="s">
        <v>169</v>
      </c>
      <c r="B3" s="299" t="s">
        <v>170</v>
      </c>
      <c r="C3" s="300" t="s">
        <v>171</v>
      </c>
      <c r="D3" s="301" t="s">
        <v>172</v>
      </c>
      <c r="E3" s="302" t="s">
        <v>173</v>
      </c>
      <c r="F3" s="301" t="s">
        <v>174</v>
      </c>
      <c r="G3" s="302" t="s">
        <v>175</v>
      </c>
      <c r="H3" s="349" t="s">
        <v>197</v>
      </c>
    </row>
    <row r="4" ht="15">
      <c r="A4" s="298"/>
      <c r="B4" s="299"/>
      <c r="C4" s="303"/>
      <c r="D4" s="301"/>
      <c r="E4" s="302"/>
      <c r="F4" s="301"/>
      <c r="G4" s="302"/>
      <c r="H4" s="349"/>
    </row>
    <row r="5" ht="15">
      <c r="A5" s="298"/>
      <c r="B5" s="299"/>
      <c r="C5" s="304" t="s">
        <v>176</v>
      </c>
      <c r="D5" s="301"/>
      <c r="E5" s="302"/>
      <c r="F5" s="301"/>
      <c r="G5" s="302"/>
      <c r="H5" s="349"/>
    </row>
    <row r="6" s="305" customFormat="1" ht="15">
      <c r="A6" s="306">
        <v>12</v>
      </c>
      <c r="B6" s="307" t="s">
        <v>177</v>
      </c>
      <c r="C6" s="308">
        <f>LA_RO_BIOCOOP!AO35</f>
        <v>64</v>
      </c>
      <c r="D6" s="309">
        <f t="shared" ref="D6:D9" si="244">IF(E6="","",E6/C6)</f>
        <v>0.421875</v>
      </c>
      <c r="E6" s="310">
        <f>LA_RO_BIOCOOP!AP35</f>
        <v>27</v>
      </c>
      <c r="F6" s="311">
        <f t="shared" ref="F6:F9" si="245">IF(G6="","",G6/C6)</f>
        <v>0.390625</v>
      </c>
      <c r="G6" s="310">
        <f>LA_RO_BIOCOOP!AQ35</f>
        <v>25</v>
      </c>
      <c r="H6" s="350">
        <f>LA_RO_BIOCOOP!AO38</f>
        <v>34</v>
      </c>
    </row>
    <row r="7" ht="15">
      <c r="A7" s="306"/>
      <c r="B7" s="307" t="s">
        <v>178</v>
      </c>
      <c r="C7" s="308">
        <f>LA_RO_POSTE!AC46</f>
        <v>46</v>
      </c>
      <c r="D7" s="309">
        <f t="shared" si="244"/>
        <v>0.52173913043478304</v>
      </c>
      <c r="E7" s="310">
        <f>LA_RO_POSTE!AD46</f>
        <v>24</v>
      </c>
      <c r="F7" s="311">
        <f t="shared" si="245"/>
        <v>0.282608695652174</v>
      </c>
      <c r="G7" s="310">
        <f>LA_RO_POSTE!AE46</f>
        <v>13</v>
      </c>
      <c r="H7" s="348">
        <f>LA_RO_POSTE!AC49</f>
        <v>30</v>
      </c>
    </row>
    <row r="8" ht="15">
      <c r="A8" s="306"/>
      <c r="B8" s="307" t="s">
        <v>198</v>
      </c>
      <c r="C8" s="308">
        <f>LA_RO_ENILV!BA45</f>
        <v>24</v>
      </c>
      <c r="D8" s="309">
        <f t="shared" si="244"/>
        <v>0.29166666666666702</v>
      </c>
      <c r="E8" s="310">
        <f>LA_RO_ENILV!BB45</f>
        <v>7</v>
      </c>
      <c r="F8" s="311">
        <f t="shared" si="245"/>
        <v>0.20833333333333301</v>
      </c>
      <c r="G8" s="310">
        <f>LA_RO_ENILV!BC45</f>
        <v>5</v>
      </c>
      <c r="H8" s="348">
        <f>LA_RO_ENILV!BA57</f>
        <v>12</v>
      </c>
    </row>
    <row r="9" ht="15">
      <c r="A9" s="306"/>
      <c r="B9" s="307" t="s">
        <v>199</v>
      </c>
      <c r="C9" s="308">
        <f>LA_RO_gare!AG44</f>
        <v>48</v>
      </c>
      <c r="D9" s="309">
        <f t="shared" si="244"/>
        <v>0.47916666666666702</v>
      </c>
      <c r="E9" s="310">
        <f>LA_RO_gare!AH44</f>
        <v>23</v>
      </c>
      <c r="F9" s="311">
        <f t="shared" si="245"/>
        <v>0.27083333333333298</v>
      </c>
      <c r="G9" s="310">
        <f>LA_RO_gare!AI44</f>
        <v>13</v>
      </c>
      <c r="H9" s="348">
        <f>LA_RO_gare!AG47</f>
        <v>34</v>
      </c>
    </row>
    <row r="10" ht="15">
      <c r="A10" s="306"/>
      <c r="B10" s="307" t="s">
        <v>181</v>
      </c>
      <c r="C10" s="313">
        <f>'LA RO ANDREV 24'!M43</f>
        <v>31</v>
      </c>
      <c r="D10" s="314"/>
      <c r="E10" s="315">
        <f>'LA RO ANDREV 24'!N43</f>
        <v>15</v>
      </c>
      <c r="F10" s="311"/>
      <c r="G10" s="315">
        <f>'LA RO ANDREV 24'!O43</f>
        <v>13</v>
      </c>
      <c r="H10" s="348">
        <f>'LA RO ANDREV 24'!M47</f>
        <v>18</v>
      </c>
    </row>
    <row r="11" s="305" customFormat="1" ht="15">
      <c r="A11" s="351"/>
      <c r="B11" s="352" t="s">
        <v>182</v>
      </c>
      <c r="C11" s="353">
        <f>SUBTOTAL(9,C6:C10)</f>
        <v>213</v>
      </c>
      <c r="D11" s="354">
        <f>E11/C11</f>
        <v>0.45070422535211302</v>
      </c>
      <c r="E11" s="353">
        <f>SUBTOTAL(9,E6:E10)</f>
        <v>96</v>
      </c>
      <c r="F11" s="354">
        <f>G11/C11</f>
        <v>0.323943661971831</v>
      </c>
      <c r="G11" s="353">
        <f>SUBTOTAL(9,G6:G10)</f>
        <v>69</v>
      </c>
      <c r="H11" s="350"/>
    </row>
    <row r="12" s="305" customFormat="1" ht="15.5">
      <c r="A12" s="306"/>
      <c r="B12" s="319"/>
      <c r="C12" s="317"/>
      <c r="D12" s="318"/>
      <c r="E12" s="317"/>
      <c r="F12" s="318"/>
      <c r="G12" s="317"/>
      <c r="H12" s="350"/>
    </row>
    <row r="13" ht="15">
      <c r="A13" s="306"/>
      <c r="B13" s="307" t="s">
        <v>183</v>
      </c>
      <c r="C13" s="308">
        <f>ARENT_PAPETERIE!AC41</f>
        <v>12</v>
      </c>
      <c r="D13" s="309">
        <f t="shared" ref="D13:D17" si="246">IF(E13="","",E13/C13)</f>
        <v>0.16666666666666699</v>
      </c>
      <c r="E13" s="310">
        <f>ARENT_PAPETERIE!AD41</f>
        <v>2</v>
      </c>
      <c r="F13" s="311">
        <f t="shared" ref="F13:F17" si="247">IF(G13="","",G13/C13)</f>
        <v>0.25</v>
      </c>
      <c r="G13" s="310">
        <f>ARENT_PAPETERIE!AE41</f>
        <v>3</v>
      </c>
      <c r="H13" s="348">
        <f>ARENT_PAPETERIE!AC44</f>
        <v>5</v>
      </c>
    </row>
    <row r="14" ht="15">
      <c r="A14" s="306"/>
      <c r="B14" s="307" t="s">
        <v>184</v>
      </c>
      <c r="C14" s="308">
        <f>ST_PI_BORNE_DESSY!AC34</f>
        <v>14</v>
      </c>
      <c r="D14" s="309">
        <f t="shared" si="246"/>
        <v>0.57142857142857095</v>
      </c>
      <c r="E14" s="310">
        <f>ST_PI_BORNE_DESSY!AD34</f>
        <v>8</v>
      </c>
      <c r="F14" s="311">
        <f t="shared" si="247"/>
        <v>0.214285714285714</v>
      </c>
      <c r="G14" s="310">
        <f>ST_PI_BORNE_DESSY!AE34</f>
        <v>3</v>
      </c>
      <c r="H14" s="348">
        <f>ST_PI_BORNE_DESSY!AC37</f>
        <v>10</v>
      </c>
    </row>
    <row r="15" ht="15">
      <c r="A15" s="306"/>
      <c r="B15" s="307" t="s">
        <v>186</v>
      </c>
      <c r="C15" s="308">
        <f>ST_PI_BORNE_RD1203!Y94</f>
        <v>37</v>
      </c>
      <c r="D15" s="309">
        <f t="shared" si="246"/>
        <v>0.21621621621621601</v>
      </c>
      <c r="E15" s="310">
        <f>ST_PI_BORNE_RD1203!Z94</f>
        <v>8</v>
      </c>
      <c r="F15" s="311">
        <f t="shared" si="247"/>
        <v>0.18918918918918901</v>
      </c>
      <c r="G15" s="310">
        <f>ST_PI_BORNE_RD1203!AA94</f>
        <v>7</v>
      </c>
      <c r="H15" s="348">
        <f>ST_PI_BORNE_RD1203!Y97</f>
        <v>20</v>
      </c>
    </row>
    <row r="16" ht="15">
      <c r="A16" s="306"/>
      <c r="B16" s="307" t="s">
        <v>188</v>
      </c>
      <c r="C16" s="308">
        <f>ST_PI_M_BRICOLAGE!U41</f>
        <v>33</v>
      </c>
      <c r="D16" s="309">
        <f t="shared" si="246"/>
        <v>0.30303030303030298</v>
      </c>
      <c r="E16" s="310">
        <f>ST_PI_M_BRICOLAGE!V41</f>
        <v>10</v>
      </c>
      <c r="F16" s="311">
        <f t="shared" si="247"/>
        <v>0.090909090909090898</v>
      </c>
      <c r="G16" s="310">
        <f>ST_PI_M_BRICOLAGE!W41</f>
        <v>3</v>
      </c>
      <c r="H16" s="348">
        <f>ST_PI_BORNE_RD1203!Y97</f>
        <v>20</v>
      </c>
    </row>
    <row r="17" ht="15">
      <c r="A17" s="306"/>
      <c r="B17" s="320" t="s">
        <v>189</v>
      </c>
      <c r="C17" s="313"/>
      <c r="D17" s="309" t="str">
        <f t="shared" si="246"/>
        <v/>
      </c>
      <c r="E17" s="315"/>
      <c r="F17" s="311" t="str">
        <f t="shared" si="247"/>
        <v/>
      </c>
      <c r="G17" s="315"/>
    </row>
    <row r="18" s="305" customFormat="1" ht="13.800000000000001">
      <c r="B18" s="305" t="s">
        <v>200</v>
      </c>
      <c r="C18" s="353">
        <f>SUBTOTAL(9,C12:C17)</f>
        <v>96</v>
      </c>
      <c r="D18" s="318">
        <f>E18/C18</f>
        <v>0.29166666666666702</v>
      </c>
      <c r="E18" s="353">
        <f>SUBTOTAL(9,E12:E17)</f>
        <v>28</v>
      </c>
      <c r="F18" s="318">
        <f>G18/C18</f>
        <v>0.16666666666666699</v>
      </c>
      <c r="G18" s="353">
        <f>SUBTOTAL(9,G12:G17)</f>
        <v>16</v>
      </c>
      <c r="H18" s="350"/>
    </row>
    <row r="19" s="305" customFormat="1" ht="13.800000000000001">
      <c r="D19" s="318"/>
      <c r="F19" s="318"/>
      <c r="H19" s="350"/>
    </row>
    <row r="20" ht="15">
      <c r="A20" s="306"/>
      <c r="B20" s="307" t="s">
        <v>185</v>
      </c>
      <c r="C20" s="308">
        <f>BO_BORNE_PRISON!M32</f>
        <v>29</v>
      </c>
      <c r="D20" s="309">
        <f>IF(E20="","",E20/C20)</f>
        <v>0.10344827586206901</v>
      </c>
      <c r="E20" s="310">
        <f>BO_BORNE_PRISON!N32</f>
        <v>3</v>
      </c>
      <c r="F20" s="311">
        <f>IF(G20="","",G20/C20)</f>
        <v>0.34482758620689702</v>
      </c>
      <c r="G20" s="310">
        <f>BO_BORNE_PRISON!O32</f>
        <v>10</v>
      </c>
      <c r="H20" s="348">
        <f>BO_BORNE_PRISON!M35</f>
        <v>21</v>
      </c>
    </row>
    <row r="21" ht="15">
      <c r="A21" s="306"/>
      <c r="B21" s="307" t="s">
        <v>201</v>
      </c>
      <c r="C21" s="313">
        <f>AYZE!M32</f>
        <v>45</v>
      </c>
      <c r="D21" s="314"/>
      <c r="E21" s="315">
        <f>AYZE!N32</f>
        <v>8</v>
      </c>
      <c r="F21" s="311"/>
      <c r="G21" s="315">
        <f>AYZE!O32</f>
        <v>11</v>
      </c>
      <c r="H21" s="348">
        <f>AYZE!M35</f>
        <v>32</v>
      </c>
    </row>
    <row r="22" s="305" customFormat="1" ht="15">
      <c r="A22" s="351"/>
      <c r="B22" s="352" t="s">
        <v>202</v>
      </c>
      <c r="C22" s="353">
        <f>SUBTOTAL(9,C20:C21)</f>
        <v>74</v>
      </c>
      <c r="D22" s="354">
        <f>E22/C22</f>
        <v>0.14864864864864899</v>
      </c>
      <c r="E22" s="353">
        <f>SUBTOTAL(9,E20:E21)</f>
        <v>11</v>
      </c>
      <c r="F22" s="354">
        <f>G22/C22</f>
        <v>0.28378378378378399</v>
      </c>
      <c r="G22" s="353">
        <f>SUBTOTAL(9,G20:G21)</f>
        <v>21</v>
      </c>
      <c r="H22" s="350"/>
    </row>
    <row r="23" ht="15">
      <c r="A23" s="306"/>
      <c r="B23" s="322"/>
      <c r="C23" s="325"/>
      <c r="D23" s="324"/>
      <c r="E23" s="325"/>
      <c r="F23" s="326"/>
      <c r="G23" s="325"/>
    </row>
    <row r="24" ht="15">
      <c r="A24" s="327" t="s">
        <v>192</v>
      </c>
      <c r="B24" s="328"/>
      <c r="C24" s="353">
        <f>SUBTOTAL(9,C6:C23)</f>
        <v>383</v>
      </c>
      <c r="D24" s="330">
        <f>E24/C24</f>
        <v>0.35248041775456901</v>
      </c>
      <c r="E24" s="353">
        <f>SUBTOTAL(9,E6:E23)</f>
        <v>135</v>
      </c>
      <c r="F24" s="330">
        <f>G24/C24</f>
        <v>0.27676240208877301</v>
      </c>
      <c r="G24" s="353">
        <f>SUBTOTAL(9,G6:G23)</f>
        <v>106</v>
      </c>
    </row>
    <row r="27" ht="13.800000000000001">
      <c r="A27">
        <v>2022</v>
      </c>
      <c r="D27" s="331" t="s">
        <v>21</v>
      </c>
      <c r="E27" s="331" t="s">
        <v>21</v>
      </c>
      <c r="F27" s="331" t="s">
        <v>193</v>
      </c>
      <c r="G27" s="331" t="s">
        <v>193</v>
      </c>
    </row>
    <row r="28" ht="13.800000000000001">
      <c r="A28" s="306">
        <v>11</v>
      </c>
      <c r="B28" s="332" t="s">
        <v>177</v>
      </c>
      <c r="C28" s="333">
        <v>59</v>
      </c>
      <c r="D28" s="334">
        <f t="shared" ref="D28:D31" si="248">IF(E28="","",E28/C28)</f>
        <v>0.47457627118644102</v>
      </c>
      <c r="E28" s="335">
        <v>28</v>
      </c>
      <c r="F28" s="336">
        <f t="shared" ref="F28:F31" si="249">IF(G28="","",G28/C28)</f>
        <v>0.338983050847458</v>
      </c>
      <c r="G28" s="335">
        <v>20</v>
      </c>
    </row>
    <row r="29" ht="13.800000000000001">
      <c r="A29" s="306"/>
      <c r="B29" s="307" t="s">
        <v>178</v>
      </c>
      <c r="C29" s="308">
        <v>32</v>
      </c>
      <c r="D29" s="309">
        <f t="shared" si="248"/>
        <v>0.34375</v>
      </c>
      <c r="E29" s="310">
        <v>11</v>
      </c>
      <c r="F29" s="311">
        <f t="shared" si="249"/>
        <v>0.1875</v>
      </c>
      <c r="G29" s="310">
        <v>6</v>
      </c>
    </row>
    <row r="30" ht="13.800000000000001">
      <c r="A30" s="306"/>
      <c r="B30" s="307" t="s">
        <v>179</v>
      </c>
      <c r="C30" s="308">
        <v>21</v>
      </c>
      <c r="D30" s="309">
        <f t="shared" si="248"/>
        <v>0.19047619047618999</v>
      </c>
      <c r="E30" s="310">
        <v>4</v>
      </c>
      <c r="F30" s="311">
        <f t="shared" si="249"/>
        <v>0.238095238095238</v>
      </c>
      <c r="G30" s="310">
        <v>5</v>
      </c>
    </row>
    <row r="31" ht="13.800000000000001">
      <c r="A31" s="306"/>
      <c r="B31" s="307" t="s">
        <v>180</v>
      </c>
      <c r="C31" s="308">
        <v>55</v>
      </c>
      <c r="D31" s="309">
        <f t="shared" si="248"/>
        <v>0.32727272727272699</v>
      </c>
      <c r="E31" s="310">
        <v>18</v>
      </c>
      <c r="F31" s="311">
        <f t="shared" si="249"/>
        <v>0.32727272727272699</v>
      </c>
      <c r="G31" s="310">
        <v>18</v>
      </c>
    </row>
    <row r="32" s="305" customFormat="1" ht="13.800000000000001">
      <c r="A32" s="306"/>
      <c r="B32" s="316" t="s">
        <v>182</v>
      </c>
      <c r="C32" s="317">
        <f>SUM(C28:C31)</f>
        <v>167</v>
      </c>
      <c r="D32" s="318">
        <f>E32/C32</f>
        <v>0.36526946107784403</v>
      </c>
      <c r="E32" s="317">
        <f>SUM(E28:E31)</f>
        <v>61</v>
      </c>
      <c r="F32" s="318">
        <f>G32/C32</f>
        <v>0.29341317365269498</v>
      </c>
      <c r="G32" s="317">
        <f>SUM(G28:G31)</f>
        <v>49</v>
      </c>
      <c r="H32" s="350"/>
    </row>
    <row r="33" ht="13.800000000000001">
      <c r="A33" s="306"/>
      <c r="B33" s="307"/>
      <c r="C33" s="308"/>
      <c r="D33" s="309"/>
      <c r="E33" s="310"/>
      <c r="F33" s="311"/>
      <c r="G33" s="310"/>
    </row>
    <row r="34" ht="13.800000000000001">
      <c r="A34" s="306"/>
      <c r="B34" s="307" t="s">
        <v>184</v>
      </c>
      <c r="C34" s="308">
        <v>20</v>
      </c>
      <c r="D34" s="309">
        <f t="shared" ref="D34:D38" si="250">IF(E34="","",E34/C34)</f>
        <v>0.25</v>
      </c>
      <c r="E34" s="310">
        <v>5</v>
      </c>
      <c r="F34" s="311">
        <f t="shared" ref="F34:F38" si="251">IF(G34="","",G34/C34)</f>
        <v>0.20000000000000001</v>
      </c>
      <c r="G34" s="310">
        <v>4</v>
      </c>
    </row>
    <row r="35" ht="13.800000000000001">
      <c r="A35" s="306"/>
      <c r="B35" s="307" t="s">
        <v>185</v>
      </c>
      <c r="C35" s="308">
        <v>20</v>
      </c>
      <c r="D35" s="309">
        <f t="shared" si="250"/>
        <v>0.25</v>
      </c>
      <c r="E35" s="310">
        <v>5</v>
      </c>
      <c r="F35" s="311">
        <f t="shared" si="251"/>
        <v>0.25</v>
      </c>
      <c r="G35" s="310">
        <v>5</v>
      </c>
    </row>
    <row r="36" ht="13.800000000000001">
      <c r="A36" s="306"/>
      <c r="B36" s="307" t="s">
        <v>194</v>
      </c>
      <c r="C36" s="308">
        <v>35</v>
      </c>
      <c r="D36" s="309">
        <f t="shared" si="250"/>
        <v>0.314285714285714</v>
      </c>
      <c r="E36" s="310">
        <v>11</v>
      </c>
      <c r="F36" s="311">
        <f t="shared" si="251"/>
        <v>0.22857142857142901</v>
      </c>
      <c r="G36" s="310">
        <v>8</v>
      </c>
    </row>
    <row r="37" ht="13.800000000000001">
      <c r="A37" s="306"/>
      <c r="B37" s="307" t="s">
        <v>195</v>
      </c>
      <c r="C37" s="308">
        <v>15</v>
      </c>
      <c r="D37" s="309">
        <f t="shared" si="250"/>
        <v>0.20000000000000001</v>
      </c>
      <c r="E37" s="310">
        <v>3</v>
      </c>
      <c r="F37" s="311" t="str">
        <f t="shared" si="251"/>
        <v/>
      </c>
      <c r="G37" s="310"/>
    </row>
    <row r="38" ht="13.800000000000001">
      <c r="A38" s="306"/>
      <c r="B38" s="307" t="s">
        <v>196</v>
      </c>
      <c r="C38" s="308">
        <v>22</v>
      </c>
      <c r="D38" s="309">
        <f t="shared" si="250"/>
        <v>0.090909090909090898</v>
      </c>
      <c r="E38" s="310">
        <v>2</v>
      </c>
      <c r="F38" s="311">
        <f t="shared" si="251"/>
        <v>0.22727272727272699</v>
      </c>
      <c r="G38" s="310">
        <v>5</v>
      </c>
    </row>
    <row r="39" s="305" customFormat="1" ht="13.800000000000001">
      <c r="A39" s="306"/>
      <c r="B39" s="316" t="s">
        <v>190</v>
      </c>
      <c r="C39" s="305">
        <f>SUM(C34:C38)</f>
        <v>112</v>
      </c>
      <c r="D39" s="318">
        <f>E39/C39</f>
        <v>0.23214285714285701</v>
      </c>
      <c r="E39" s="305">
        <f>SUM(E34:E38)</f>
        <v>26</v>
      </c>
      <c r="F39" s="318">
        <f>G39/C39</f>
        <v>0.19642857142857101</v>
      </c>
      <c r="G39" s="305">
        <f>SUM(G34:G38)</f>
        <v>22</v>
      </c>
      <c r="H39" s="350"/>
    </row>
    <row r="40" ht="13.800000000000001">
      <c r="A40" s="306"/>
      <c r="B40" s="307" t="s">
        <v>189</v>
      </c>
      <c r="C40" s="313"/>
      <c r="D40" s="309" t="str">
        <f>IF(E40="","",E40/C40)</f>
        <v/>
      </c>
      <c r="E40" s="315"/>
      <c r="F40" s="311" t="str">
        <f>IF(G40="","",G40/C40)</f>
        <v/>
      </c>
      <c r="G40" s="315"/>
    </row>
    <row r="41" ht="13.800000000000001">
      <c r="A41" s="306"/>
      <c r="B41" s="321" t="s">
        <v>191</v>
      </c>
      <c r="C41" s="313"/>
      <c r="D41" s="314"/>
      <c r="E41" s="315"/>
      <c r="F41" s="311"/>
      <c r="G41" s="315"/>
    </row>
    <row r="42" ht="13.800000000000001">
      <c r="A42" s="306"/>
      <c r="B42" s="321" t="s">
        <v>191</v>
      </c>
      <c r="C42" s="313"/>
      <c r="D42" s="314"/>
      <c r="E42" s="315"/>
      <c r="F42" s="311"/>
      <c r="G42" s="315"/>
    </row>
    <row r="43" ht="13.800000000000001">
      <c r="A43" s="306"/>
      <c r="B43" s="322" t="s">
        <v>191</v>
      </c>
      <c r="C43" s="323"/>
      <c r="D43" s="324"/>
      <c r="E43" s="325"/>
      <c r="F43" s="326"/>
      <c r="G43" s="325"/>
    </row>
    <row r="44" ht="15">
      <c r="A44" s="327" t="s">
        <v>192</v>
      </c>
      <c r="B44" s="337"/>
      <c r="C44" s="338">
        <f>C39+C32</f>
        <v>279</v>
      </c>
      <c r="D44" s="330">
        <f>E44/C44</f>
        <v>0.31182795698924698</v>
      </c>
      <c r="E44" s="338">
        <f>E39+E32</f>
        <v>87</v>
      </c>
      <c r="F44" s="330">
        <f>IF(G44="","",G44/C44)</f>
        <v>0.25448028673835099</v>
      </c>
      <c r="G44" s="338">
        <f>G39+G32</f>
        <v>71</v>
      </c>
    </row>
    <row r="45" ht="13.800000000000001"/>
    <row r="46" ht="13.800000000000001"/>
    <row r="47" ht="13.800000000000001"/>
    <row r="48" ht="13.800000000000001">
      <c r="A48">
        <v>2021</v>
      </c>
      <c r="D48" s="331" t="s">
        <v>21</v>
      </c>
      <c r="E48" s="331" t="s">
        <v>21</v>
      </c>
      <c r="F48" s="331" t="s">
        <v>193</v>
      </c>
      <c r="G48" s="331" t="s">
        <v>193</v>
      </c>
    </row>
    <row r="49" ht="13.800000000000001">
      <c r="A49" s="306">
        <v>9</v>
      </c>
      <c r="B49" s="332" t="s">
        <v>177</v>
      </c>
      <c r="C49" s="333">
        <v>76</v>
      </c>
      <c r="D49" s="334">
        <f t="shared" ref="D49:D82" si="252">E49/C49</f>
        <v>0.22368421052631601</v>
      </c>
      <c r="E49" s="335">
        <v>17</v>
      </c>
      <c r="F49" s="336">
        <f t="shared" ref="F49:F82" si="253">G49/C49</f>
        <v>0.36842105263157898</v>
      </c>
      <c r="G49" s="335">
        <v>28</v>
      </c>
      <c r="H49" s="355"/>
    </row>
    <row r="50" ht="13.800000000000001">
      <c r="A50" s="306"/>
      <c r="B50" s="307" t="s">
        <v>178</v>
      </c>
      <c r="C50" s="308">
        <v>45</v>
      </c>
      <c r="D50" s="309">
        <f t="shared" si="252"/>
        <v>0.46666666666666701</v>
      </c>
      <c r="E50" s="310">
        <v>21</v>
      </c>
      <c r="F50" s="311">
        <f t="shared" si="253"/>
        <v>0.31111111111111101</v>
      </c>
      <c r="G50" s="310">
        <v>14</v>
      </c>
      <c r="H50" s="356"/>
    </row>
    <row r="51" ht="13.800000000000001">
      <c r="A51" s="306"/>
      <c r="B51" s="307" t="s">
        <v>179</v>
      </c>
      <c r="C51" s="308">
        <v>16</v>
      </c>
      <c r="D51" s="309">
        <f t="shared" si="252"/>
        <v>0.3125</v>
      </c>
      <c r="E51" s="310">
        <v>5</v>
      </c>
      <c r="F51" s="311">
        <f t="shared" si="253"/>
        <v>0.1875</v>
      </c>
      <c r="G51" s="310">
        <v>3</v>
      </c>
      <c r="H51" s="356"/>
    </row>
    <row r="52" ht="13.800000000000001">
      <c r="A52" s="306"/>
      <c r="B52" s="307" t="s">
        <v>180</v>
      </c>
      <c r="C52" s="308">
        <v>56</v>
      </c>
      <c r="D52" s="309">
        <f t="shared" si="252"/>
        <v>0.214285714285714</v>
      </c>
      <c r="E52" s="310">
        <v>12</v>
      </c>
      <c r="F52" s="311">
        <f t="shared" si="253"/>
        <v>0.17857142857142899</v>
      </c>
      <c r="G52" s="310">
        <v>10</v>
      </c>
      <c r="H52" s="356"/>
    </row>
    <row r="53" s="305" customFormat="1" ht="13.800000000000001">
      <c r="A53" s="306"/>
      <c r="B53" s="316" t="s">
        <v>182</v>
      </c>
      <c r="C53" s="317">
        <f>SUM(C49:C52)</f>
        <v>193</v>
      </c>
      <c r="D53" s="318">
        <f t="shared" si="252"/>
        <v>0.284974093264249</v>
      </c>
      <c r="E53" s="317">
        <f>SUM(E49:E52)</f>
        <v>55</v>
      </c>
      <c r="F53" s="318">
        <f t="shared" si="253"/>
        <v>0.284974093264249</v>
      </c>
      <c r="G53" s="317">
        <f>SUM(G49:G52)</f>
        <v>55</v>
      </c>
      <c r="H53" s="356"/>
    </row>
    <row r="54" s="305" customFormat="1" ht="13.800000000000001">
      <c r="A54" s="306"/>
      <c r="B54" s="316"/>
      <c r="C54" s="317"/>
      <c r="D54" s="318"/>
      <c r="E54" s="317"/>
      <c r="F54" s="318"/>
      <c r="G54" s="317"/>
      <c r="H54" s="357"/>
    </row>
    <row r="55" ht="13.800000000000001">
      <c r="A55" s="306"/>
      <c r="B55" s="307" t="s">
        <v>183</v>
      </c>
      <c r="C55" s="308">
        <v>13</v>
      </c>
      <c r="D55" s="309">
        <f t="shared" si="252"/>
        <v>0.53846153846153799</v>
      </c>
      <c r="E55" s="310">
        <v>7</v>
      </c>
      <c r="F55" s="311">
        <f t="shared" si="253"/>
        <v>0.46153846153846201</v>
      </c>
      <c r="G55" s="310">
        <v>6</v>
      </c>
      <c r="H55" s="358"/>
    </row>
    <row r="56" ht="13.800000000000001">
      <c r="A56" s="306"/>
      <c r="B56" s="307" t="s">
        <v>184</v>
      </c>
      <c r="C56" s="308">
        <v>24</v>
      </c>
      <c r="D56" s="309">
        <f t="shared" si="252"/>
        <v>0.29166666666666702</v>
      </c>
      <c r="E56" s="310">
        <v>7</v>
      </c>
      <c r="F56" s="311">
        <f t="shared" si="253"/>
        <v>0.29166666666666702</v>
      </c>
      <c r="G56" s="310">
        <v>7</v>
      </c>
      <c r="H56" s="359"/>
    </row>
    <row r="57" ht="13.800000000000001">
      <c r="A57" s="306"/>
      <c r="B57" s="307" t="s">
        <v>185</v>
      </c>
      <c r="C57" s="308">
        <v>33</v>
      </c>
      <c r="D57" s="309">
        <f t="shared" si="252"/>
        <v>0</v>
      </c>
      <c r="E57" s="310">
        <v>0</v>
      </c>
      <c r="F57" s="311">
        <f t="shared" si="253"/>
        <v>0.21212121212121199</v>
      </c>
      <c r="G57" s="310">
        <v>7</v>
      </c>
      <c r="H57" s="356"/>
    </row>
    <row r="58" ht="13.800000000000001">
      <c r="A58" s="306"/>
      <c r="B58" s="307" t="s">
        <v>194</v>
      </c>
      <c r="C58" s="308">
        <v>32</v>
      </c>
      <c r="D58" s="309">
        <f t="shared" si="252"/>
        <v>0.15625</v>
      </c>
      <c r="E58" s="310">
        <v>5</v>
      </c>
      <c r="F58" s="311">
        <f t="shared" si="253"/>
        <v>0.375</v>
      </c>
      <c r="G58" s="310">
        <v>12</v>
      </c>
      <c r="H58" s="356"/>
    </row>
    <row r="59" s="305" customFormat="1" ht="13.800000000000001">
      <c r="A59" s="306"/>
      <c r="B59" s="316" t="s">
        <v>190</v>
      </c>
      <c r="C59" s="305">
        <f>SUM(C55:C58)</f>
        <v>102</v>
      </c>
      <c r="D59" s="318">
        <f t="shared" si="252"/>
        <v>0.18627450980392199</v>
      </c>
      <c r="E59" s="305">
        <f>SUM(E55:E58)</f>
        <v>19</v>
      </c>
      <c r="F59" s="318">
        <f t="shared" si="253"/>
        <v>0.31372549019607798</v>
      </c>
      <c r="G59" s="305">
        <f>SUM(G55:G58)</f>
        <v>32</v>
      </c>
      <c r="H59" s="356"/>
    </row>
    <row r="60" ht="13.800000000000001">
      <c r="A60" s="306"/>
      <c r="B60" s="321" t="s">
        <v>191</v>
      </c>
      <c r="C60" s="313"/>
      <c r="D60" s="314"/>
      <c r="E60" s="315"/>
      <c r="F60" s="311"/>
      <c r="G60" s="315"/>
      <c r="H60" s="360"/>
    </row>
    <row r="61" ht="13.800000000000001">
      <c r="A61" s="306"/>
      <c r="B61" s="322" t="s">
        <v>191</v>
      </c>
      <c r="C61" s="323"/>
      <c r="D61" s="324"/>
      <c r="E61" s="325"/>
      <c r="F61" s="326"/>
      <c r="G61" s="325"/>
      <c r="H61" s="358"/>
    </row>
    <row r="62" ht="15">
      <c r="A62" s="327" t="s">
        <v>192</v>
      </c>
      <c r="B62" s="328"/>
      <c r="C62" s="338">
        <f>C59+C53</f>
        <v>295</v>
      </c>
      <c r="D62" s="330">
        <f t="shared" si="252"/>
        <v>0.25084745762711902</v>
      </c>
      <c r="E62" s="338">
        <f>E59+E53</f>
        <v>74</v>
      </c>
      <c r="F62" s="330">
        <f t="shared" si="253"/>
        <v>0.29491525423728798</v>
      </c>
      <c r="G62" s="338">
        <f>G59+G53</f>
        <v>87</v>
      </c>
      <c r="H62" s="361"/>
    </row>
    <row r="63" ht="13.800000000000001"/>
    <row r="64" ht="13.800000000000001"/>
    <row r="66" ht="14">
      <c r="A66">
        <v>2020</v>
      </c>
    </row>
    <row r="67" ht="14.5">
      <c r="A67" s="306">
        <v>8</v>
      </c>
      <c r="B67" s="332" t="s">
        <v>177</v>
      </c>
      <c r="C67" s="333">
        <v>31</v>
      </c>
      <c r="D67" s="334">
        <v>0.32258064516128998</v>
      </c>
      <c r="E67" s="335">
        <v>10</v>
      </c>
      <c r="F67" s="336">
        <v>0.32258064516128998</v>
      </c>
      <c r="G67" s="335">
        <v>10</v>
      </c>
    </row>
    <row r="68" ht="14.5">
      <c r="A68" s="306"/>
      <c r="B68" s="307" t="s">
        <v>178</v>
      </c>
      <c r="C68" s="308">
        <v>25</v>
      </c>
      <c r="D68" s="309">
        <v>0.47999999999999998</v>
      </c>
      <c r="E68" s="310">
        <v>12</v>
      </c>
      <c r="F68" s="311">
        <v>0.35999999999999999</v>
      </c>
      <c r="G68" s="310">
        <v>12</v>
      </c>
    </row>
    <row r="69" ht="14.5">
      <c r="A69" s="306"/>
      <c r="B69" s="307" t="s">
        <v>179</v>
      </c>
      <c r="C69" s="308">
        <v>18</v>
      </c>
      <c r="D69" s="309">
        <v>0.5</v>
      </c>
      <c r="E69" s="310">
        <v>9</v>
      </c>
      <c r="F69" s="311">
        <v>0.16666666666666699</v>
      </c>
      <c r="G69" s="310">
        <v>9</v>
      </c>
    </row>
    <row r="70" ht="14.5">
      <c r="A70" s="306"/>
      <c r="B70" s="307"/>
      <c r="C70" s="308"/>
      <c r="D70" s="309"/>
      <c r="E70" s="310"/>
      <c r="F70" s="311"/>
      <c r="G70" s="310"/>
    </row>
    <row r="71" s="305" customFormat="1" ht="14.5">
      <c r="A71" s="306"/>
      <c r="B71" s="316" t="s">
        <v>182</v>
      </c>
      <c r="C71" s="317">
        <f>SUM(C67:C70)</f>
        <v>74</v>
      </c>
      <c r="D71" s="318">
        <f t="shared" si="252"/>
        <v>0.41891891891891903</v>
      </c>
      <c r="E71" s="317">
        <f>SUM(E67:E70)</f>
        <v>31</v>
      </c>
      <c r="F71" s="318">
        <f t="shared" si="253"/>
        <v>0.41891891891891903</v>
      </c>
      <c r="G71" s="317">
        <f>SUM(G67:G70)</f>
        <v>31</v>
      </c>
      <c r="H71" s="350"/>
    </row>
    <row r="72" ht="14.5">
      <c r="A72" s="306"/>
      <c r="B72" s="307"/>
      <c r="C72" s="308"/>
      <c r="D72" s="309"/>
      <c r="E72" s="310"/>
      <c r="F72" s="311"/>
      <c r="G72" s="310"/>
    </row>
    <row r="73" ht="14.5">
      <c r="A73" s="306"/>
      <c r="B73" s="307" t="s">
        <v>183</v>
      </c>
      <c r="C73" s="308">
        <v>14</v>
      </c>
      <c r="D73" s="309">
        <v>0.071428571428571397</v>
      </c>
      <c r="E73" s="310">
        <v>1</v>
      </c>
      <c r="F73" s="311">
        <v>0.071428571428571397</v>
      </c>
      <c r="G73" s="310">
        <v>1</v>
      </c>
    </row>
    <row r="74" ht="14.5">
      <c r="A74" s="306"/>
      <c r="B74" s="307" t="s">
        <v>184</v>
      </c>
      <c r="C74" s="308">
        <v>24</v>
      </c>
      <c r="D74" s="309">
        <v>0.041666666666666699</v>
      </c>
      <c r="E74" s="310">
        <v>1</v>
      </c>
      <c r="F74" s="311">
        <v>0.20833333333333301</v>
      </c>
      <c r="G74" s="310">
        <v>1</v>
      </c>
    </row>
    <row r="75" ht="14.5">
      <c r="A75" s="306"/>
      <c r="B75" s="307" t="s">
        <v>185</v>
      </c>
      <c r="C75" s="308">
        <v>29</v>
      </c>
      <c r="D75" s="309">
        <v>0</v>
      </c>
      <c r="E75" s="310">
        <v>0</v>
      </c>
      <c r="F75" s="311">
        <v>0.41379310344827602</v>
      </c>
      <c r="G75" s="310">
        <v>0</v>
      </c>
    </row>
    <row r="76" ht="14.5">
      <c r="A76" s="306"/>
      <c r="B76" s="307" t="s">
        <v>194</v>
      </c>
      <c r="C76" s="308">
        <v>27</v>
      </c>
      <c r="D76" s="309">
        <v>0.25925925925925902</v>
      </c>
      <c r="E76" s="310">
        <v>7</v>
      </c>
      <c r="F76" s="311">
        <v>0.48148148148148101</v>
      </c>
      <c r="G76" s="310">
        <v>7</v>
      </c>
    </row>
    <row r="77" s="305" customFormat="1" ht="14.5">
      <c r="A77" s="306"/>
      <c r="B77" s="316" t="s">
        <v>190</v>
      </c>
      <c r="C77" s="305">
        <f>SUM(C73:C76)</f>
        <v>94</v>
      </c>
      <c r="D77" s="318">
        <f t="shared" si="252"/>
        <v>0.095744680851063801</v>
      </c>
      <c r="E77" s="305">
        <f>SUM(E73:E76)</f>
        <v>9</v>
      </c>
      <c r="F77" s="318">
        <f t="shared" si="253"/>
        <v>0.095744680851063801</v>
      </c>
      <c r="G77" s="305">
        <f>SUM(G73:G76)</f>
        <v>9</v>
      </c>
      <c r="H77" s="350"/>
    </row>
    <row r="78" ht="14.5">
      <c r="A78" s="306"/>
      <c r="B78" s="307" t="s">
        <v>195</v>
      </c>
      <c r="C78" s="346"/>
      <c r="D78" s="309">
        <v>0.25925925925925902</v>
      </c>
      <c r="E78" s="347"/>
      <c r="F78" s="311">
        <v>0.48148148148148101</v>
      </c>
      <c r="G78" s="347"/>
    </row>
    <row r="79" ht="14.5">
      <c r="A79" s="306"/>
      <c r="B79" s="321" t="s">
        <v>191</v>
      </c>
      <c r="C79" s="313"/>
      <c r="D79" s="314"/>
      <c r="E79" s="315"/>
      <c r="F79" s="311"/>
      <c r="G79" s="315"/>
    </row>
    <row r="80" ht="14.5">
      <c r="A80" s="306"/>
      <c r="B80" s="321" t="s">
        <v>191</v>
      </c>
      <c r="C80" s="313"/>
      <c r="D80" s="314"/>
      <c r="E80" s="315"/>
      <c r="F80" s="311"/>
      <c r="G80" s="315"/>
    </row>
    <row r="81" ht="14.5">
      <c r="A81" s="306"/>
      <c r="B81" s="322" t="s">
        <v>191</v>
      </c>
      <c r="C81" s="323"/>
      <c r="D81" s="324"/>
      <c r="E81" s="325"/>
      <c r="F81" s="326"/>
      <c r="G81" s="325"/>
    </row>
    <row r="82" ht="15.5">
      <c r="A82" s="327" t="s">
        <v>192</v>
      </c>
      <c r="B82" s="328"/>
      <c r="C82" s="338">
        <f>C77+C71</f>
        <v>168</v>
      </c>
      <c r="D82" s="330">
        <f t="shared" si="252"/>
        <v>0.238095238095238</v>
      </c>
      <c r="E82" s="338">
        <f>E77+E71</f>
        <v>40</v>
      </c>
      <c r="F82" s="330">
        <f t="shared" si="253"/>
        <v>0.238095238095238</v>
      </c>
      <c r="G82" s="338">
        <f>G77+G71</f>
        <v>40</v>
      </c>
    </row>
    <row r="85" ht="14">
      <c r="C85">
        <v>31</v>
      </c>
      <c r="D85">
        <v>23</v>
      </c>
      <c r="E85">
        <v>0.32258064516128998</v>
      </c>
      <c r="F85">
        <v>10</v>
      </c>
      <c r="G85">
        <v>0.32258064516128998</v>
      </c>
      <c r="H85" s="348">
        <v>10</v>
      </c>
    </row>
    <row r="86" ht="14">
      <c r="C86">
        <v>25</v>
      </c>
      <c r="D86">
        <v>13</v>
      </c>
      <c r="E86">
        <v>0.47999999999999998</v>
      </c>
      <c r="F86">
        <v>12</v>
      </c>
      <c r="G86">
        <v>0.35999999999999999</v>
      </c>
      <c r="H86" s="348">
        <v>9</v>
      </c>
    </row>
    <row r="87" ht="14">
      <c r="C87">
        <v>18</v>
      </c>
      <c r="D87">
        <v>10</v>
      </c>
      <c r="E87">
        <v>0.5</v>
      </c>
      <c r="F87">
        <v>9</v>
      </c>
      <c r="G87">
        <v>0.16666666666666699</v>
      </c>
      <c r="H87" s="348">
        <v>3</v>
      </c>
    </row>
    <row r="88" ht="14">
      <c r="E88">
        <v>0.5</v>
      </c>
      <c r="G88">
        <v>0.16666666666666699</v>
      </c>
    </row>
    <row r="89" ht="14">
      <c r="C89">
        <v>14</v>
      </c>
      <c r="D89">
        <v>9</v>
      </c>
      <c r="E89">
        <v>0.071428571428571397</v>
      </c>
      <c r="F89">
        <v>1</v>
      </c>
      <c r="G89">
        <v>0.071428571428571397</v>
      </c>
      <c r="H89" s="348">
        <v>1</v>
      </c>
    </row>
    <row r="90" ht="14">
      <c r="C90">
        <v>24</v>
      </c>
      <c r="D90">
        <v>16</v>
      </c>
      <c r="E90">
        <v>0.041666666666666699</v>
      </c>
      <c r="F90">
        <v>1</v>
      </c>
      <c r="G90">
        <v>0.20833333333333301</v>
      </c>
      <c r="H90" s="348">
        <v>5</v>
      </c>
    </row>
    <row r="91" ht="14">
      <c r="C91">
        <v>29</v>
      </c>
      <c r="D91">
        <v>21</v>
      </c>
      <c r="E91">
        <v>0</v>
      </c>
      <c r="F91">
        <v>0</v>
      </c>
      <c r="G91">
        <v>0.41379310344827602</v>
      </c>
      <c r="H91" s="348">
        <v>12</v>
      </c>
    </row>
    <row r="92" ht="14">
      <c r="C92">
        <v>27</v>
      </c>
      <c r="D92">
        <v>17</v>
      </c>
      <c r="E92">
        <v>0.25925925925925902</v>
      </c>
      <c r="F92">
        <v>7</v>
      </c>
      <c r="G92">
        <v>0.48148148148148101</v>
      </c>
      <c r="H92" s="348">
        <v>13</v>
      </c>
    </row>
    <row r="93" ht="14">
      <c r="E93">
        <v>0.25925925925925902</v>
      </c>
      <c r="G93">
        <v>0.48148148148148101</v>
      </c>
    </row>
    <row r="94" ht="14">
      <c r="E94">
        <v>0.25925925925925902</v>
      </c>
      <c r="G94">
        <v>0.48148148148148101</v>
      </c>
    </row>
    <row r="95" ht="14">
      <c r="C95">
        <v>4</v>
      </c>
      <c r="D95">
        <v>2</v>
      </c>
      <c r="E95">
        <v>0.5</v>
      </c>
      <c r="F95">
        <v>2</v>
      </c>
      <c r="G95">
        <v>0</v>
      </c>
      <c r="H95" s="348">
        <v>0</v>
      </c>
    </row>
    <row r="1048575" ht="12.800000000000001"/>
    <row r="1048576" ht="12.800000000000001"/>
  </sheetData>
  <mergeCells count="10">
    <mergeCell ref="A3:A5"/>
    <mergeCell ref="B3:B5"/>
    <mergeCell ref="D3:D5"/>
    <mergeCell ref="E3:E5"/>
    <mergeCell ref="F3:F5"/>
    <mergeCell ref="G3:G5"/>
    <mergeCell ref="H3:H5"/>
    <mergeCell ref="A28:A43"/>
    <mergeCell ref="A49:A61"/>
    <mergeCell ref="A67:A81"/>
  </mergeCells>
  <printOptions headings="0" gridLines="0" horizontalCentered="0" verticalCentered="0"/>
  <pageMargins left="0.69999999999999996" right="0.69999999999999996" top="0.75" bottom="0.75" header="0.51180555555555496" footer="0.51180555555555496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rowBreaks count="1" manualBreakCount="1">
    <brk id="25" man="1" max="16383" min="0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aboveAverage="0" rank="0" text="" id="{006C003E-003C-4C1B-AEA9-00A500D30093}">
            <xm:f>$E6=""</xm:f>
            <x14:dxf>
              <font>
                <color rgb="FFF2F2F2"/>
              </font>
            </x14:dxf>
          </x14:cfRule>
          <xm:sqref>B20:B24 B6:B17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pageBreakPreview" topLeftCell="A1" zoomScale="65" workbookViewId="0">
      <selection activeCell="H3" activeCellId="0" sqref="H3"/>
    </sheetView>
  </sheetViews>
  <sheetFormatPr defaultColWidth="10.4609375" defaultRowHeight="14.25"/>
  <cols>
    <col customWidth="1" min="1" max="1" style="0" width="38.5"/>
  </cols>
  <sheetData>
    <row r="1" ht="19.5">
      <c r="A1" s="362" t="s">
        <v>203</v>
      </c>
    </row>
    <row r="2" ht="13.800000000000001">
      <c r="B2" s="363"/>
      <c r="C2" s="363" t="s">
        <v>204</v>
      </c>
      <c r="D2" s="364" t="s">
        <v>205</v>
      </c>
      <c r="E2" s="364" t="s">
        <v>205</v>
      </c>
      <c r="F2" s="364" t="s">
        <v>206</v>
      </c>
      <c r="G2" s="364" t="s">
        <v>205</v>
      </c>
      <c r="H2" s="364" t="s">
        <v>207</v>
      </c>
    </row>
    <row r="3" ht="19.5">
      <c r="A3" s="362"/>
      <c r="B3" s="363"/>
      <c r="C3" s="363"/>
      <c r="D3" s="364"/>
      <c r="E3" s="364"/>
      <c r="F3" s="364"/>
      <c r="G3" s="364"/>
      <c r="H3" s="364" t="s">
        <v>208</v>
      </c>
    </row>
    <row r="4" ht="14">
      <c r="A4" s="364" t="s">
        <v>209</v>
      </c>
      <c r="B4" s="363"/>
      <c r="C4" s="363"/>
      <c r="D4" s="364">
        <v>7</v>
      </c>
      <c r="E4" s="364">
        <v>8</v>
      </c>
      <c r="F4" s="364">
        <v>10</v>
      </c>
      <c r="G4" s="364">
        <v>9</v>
      </c>
      <c r="H4" s="364">
        <v>11</v>
      </c>
    </row>
    <row r="5" ht="16.5">
      <c r="A5" s="365" t="s">
        <v>210</v>
      </c>
      <c r="B5" s="366" t="s">
        <v>211</v>
      </c>
      <c r="C5" s="366"/>
      <c r="D5" s="367">
        <v>2020</v>
      </c>
      <c r="E5" s="367">
        <v>2021</v>
      </c>
      <c r="F5" s="367">
        <v>2022</v>
      </c>
      <c r="G5" s="367">
        <v>2023</v>
      </c>
      <c r="H5" s="367">
        <v>2024</v>
      </c>
    </row>
    <row r="6" ht="14">
      <c r="A6" s="368" t="s">
        <v>212</v>
      </c>
      <c r="B6" s="369" t="s">
        <v>213</v>
      </c>
      <c r="C6" s="370" t="s">
        <v>214</v>
      </c>
      <c r="D6" s="367"/>
      <c r="E6" s="367"/>
      <c r="F6" s="367"/>
      <c r="G6" s="367"/>
      <c r="H6" s="367"/>
    </row>
    <row r="7" ht="13.800000000000001">
      <c r="A7" s="371" t="s">
        <v>1</v>
      </c>
      <c r="B7" s="372" t="s">
        <v>215</v>
      </c>
      <c r="C7" s="373" t="s">
        <v>216</v>
      </c>
      <c r="D7" s="339">
        <v>31</v>
      </c>
      <c r="E7" s="339">
        <v>56</v>
      </c>
      <c r="F7" s="339">
        <v>59</v>
      </c>
      <c r="G7" s="339">
        <v>68</v>
      </c>
      <c r="H7" s="340">
        <f>'Ciclable 2024'!C6</f>
        <v>64</v>
      </c>
    </row>
    <row r="8" ht="13.800000000000001">
      <c r="A8" s="374" t="s">
        <v>46</v>
      </c>
      <c r="B8" s="375" t="s">
        <v>215</v>
      </c>
      <c r="C8" s="376" t="s">
        <v>216</v>
      </c>
      <c r="D8" s="340">
        <v>25</v>
      </c>
      <c r="E8" s="340">
        <v>45</v>
      </c>
      <c r="F8" s="340">
        <v>32</v>
      </c>
      <c r="G8" s="340">
        <v>47</v>
      </c>
      <c r="H8" s="340">
        <f>'Ciclable 2024'!C7</f>
        <v>46</v>
      </c>
    </row>
    <row r="9" ht="13.800000000000001">
      <c r="A9" s="374" t="s">
        <v>217</v>
      </c>
      <c r="B9" s="375" t="s">
        <v>215</v>
      </c>
      <c r="C9" s="376" t="s">
        <v>216</v>
      </c>
      <c r="D9" s="340">
        <v>18</v>
      </c>
      <c r="E9" s="340">
        <v>16</v>
      </c>
      <c r="F9" s="340">
        <v>21</v>
      </c>
      <c r="G9" s="377"/>
      <c r="H9" s="340">
        <f>'Ciclable 2024'!C8</f>
        <v>24</v>
      </c>
    </row>
    <row r="10" ht="13.800000000000001">
      <c r="A10" s="374" t="s">
        <v>218</v>
      </c>
      <c r="B10" s="375" t="s">
        <v>215</v>
      </c>
      <c r="C10" s="376" t="s">
        <v>219</v>
      </c>
      <c r="D10" s="377"/>
      <c r="E10" s="340">
        <v>56</v>
      </c>
      <c r="F10" s="340">
        <v>55</v>
      </c>
      <c r="G10" s="340">
        <v>53</v>
      </c>
      <c r="H10" s="340">
        <f>'Ciclable 2024'!C9</f>
        <v>48</v>
      </c>
    </row>
    <row r="11" ht="13.800000000000001">
      <c r="A11" s="374" t="s">
        <v>220</v>
      </c>
      <c r="B11" s="375"/>
      <c r="C11" s="376"/>
      <c r="D11" s="377"/>
      <c r="E11" s="377"/>
      <c r="F11" s="377"/>
      <c r="G11" s="378">
        <v>26</v>
      </c>
      <c r="H11" s="340">
        <f>'Ciclable 2024'!C10</f>
        <v>31</v>
      </c>
    </row>
    <row r="12" ht="14">
      <c r="A12" s="374" t="s">
        <v>221</v>
      </c>
      <c r="B12" s="375" t="s">
        <v>215</v>
      </c>
      <c r="C12" s="376" t="s">
        <v>216</v>
      </c>
      <c r="D12" s="377"/>
      <c r="E12" s="377"/>
      <c r="F12" s="378">
        <v>15</v>
      </c>
      <c r="G12" s="377"/>
      <c r="H12" s="377"/>
    </row>
    <row r="13" ht="14">
      <c r="A13" s="379" t="s">
        <v>222</v>
      </c>
      <c r="B13" s="380"/>
      <c r="C13" s="381"/>
      <c r="D13" s="342">
        <f>SUBTOTAL(9,D7:D12)</f>
        <v>74</v>
      </c>
      <c r="E13" s="342">
        <f>SUBTOTAL(9,E7:E12)</f>
        <v>173</v>
      </c>
      <c r="F13" s="342">
        <f>SUBTOTAL(9,F7:F12)</f>
        <v>182</v>
      </c>
      <c r="G13" s="342">
        <f>SUBTOTAL(9,G7:G12)</f>
        <v>194</v>
      </c>
      <c r="H13" s="342">
        <f>SUBTOTAL(9,H7:H12)</f>
        <v>213</v>
      </c>
    </row>
    <row r="14" ht="13.800000000000001">
      <c r="A14" s="382" t="s">
        <v>110</v>
      </c>
      <c r="B14" s="383" t="s">
        <v>215</v>
      </c>
      <c r="C14" s="384" t="s">
        <v>216</v>
      </c>
      <c r="D14" s="343">
        <v>14</v>
      </c>
      <c r="E14" s="343">
        <v>13</v>
      </c>
      <c r="F14" s="343">
        <v>6</v>
      </c>
      <c r="G14" s="343">
        <v>26</v>
      </c>
      <c r="H14" s="343">
        <f>'Ciclable 2024'!C13</f>
        <v>12</v>
      </c>
    </row>
    <row r="15" ht="13.800000000000001">
      <c r="A15" s="374" t="s">
        <v>223</v>
      </c>
      <c r="B15" s="375" t="s">
        <v>215</v>
      </c>
      <c r="C15" s="376" t="s">
        <v>219</v>
      </c>
      <c r="D15" s="340">
        <v>24</v>
      </c>
      <c r="E15" s="340">
        <v>24</v>
      </c>
      <c r="F15" s="340">
        <v>20</v>
      </c>
      <c r="G15" s="340">
        <v>49</v>
      </c>
      <c r="H15" s="343">
        <f>'Ciclable 2024'!C14</f>
        <v>14</v>
      </c>
    </row>
    <row r="16" ht="13.800000000000001">
      <c r="A16" s="374" t="s">
        <v>224</v>
      </c>
      <c r="B16" s="375" t="s">
        <v>215</v>
      </c>
      <c r="C16" s="376" t="s">
        <v>216</v>
      </c>
      <c r="D16" s="340">
        <v>27</v>
      </c>
      <c r="E16" s="340">
        <v>32</v>
      </c>
      <c r="F16" s="340">
        <v>35</v>
      </c>
      <c r="G16" s="340">
        <v>59</v>
      </c>
      <c r="H16" s="343">
        <f>'Ciclable 2024'!C15</f>
        <v>37</v>
      </c>
    </row>
    <row r="17" ht="13.800000000000001">
      <c r="A17" s="374" t="s">
        <v>225</v>
      </c>
      <c r="B17" s="385"/>
      <c r="C17" s="386"/>
      <c r="D17" s="377"/>
      <c r="E17" s="377"/>
      <c r="F17" s="344">
        <v>22</v>
      </c>
      <c r="G17" s="344">
        <v>37</v>
      </c>
      <c r="H17" s="343">
        <f>'Ciclable 2024'!C16</f>
        <v>33</v>
      </c>
    </row>
    <row r="18" ht="14">
      <c r="A18" s="379" t="s">
        <v>226</v>
      </c>
      <c r="B18" s="380"/>
      <c r="C18" s="381"/>
      <c r="D18" s="342">
        <f>SUBTOTAL(9,D14:D17)</f>
        <v>65</v>
      </c>
      <c r="E18" s="342">
        <f>SUBTOTAL(9,E14:E17)</f>
        <v>69</v>
      </c>
      <c r="F18" s="342">
        <f>SUBTOTAL(9,F14:F17)</f>
        <v>83</v>
      </c>
      <c r="G18" s="342">
        <f>SUBTOTAL(9,G14:G17)</f>
        <v>171</v>
      </c>
      <c r="H18" s="342">
        <f>SUBTOTAL(9,H14:H17)</f>
        <v>96</v>
      </c>
    </row>
    <row r="19" ht="13.800000000000001">
      <c r="A19" s="382" t="s">
        <v>227</v>
      </c>
      <c r="B19" s="375" t="s">
        <v>215</v>
      </c>
      <c r="C19" s="376" t="s">
        <v>216</v>
      </c>
      <c r="D19" s="340">
        <v>29</v>
      </c>
      <c r="E19" s="340">
        <v>33</v>
      </c>
      <c r="F19" s="340">
        <v>20</v>
      </c>
      <c r="G19" s="340">
        <v>47</v>
      </c>
      <c r="H19" s="340">
        <f>'Ciclable 2024'!C20</f>
        <v>29</v>
      </c>
    </row>
    <row r="20" ht="13.800000000000001">
      <c r="A20" s="374" t="s">
        <v>228</v>
      </c>
      <c r="B20" s="375" t="s">
        <v>215</v>
      </c>
      <c r="C20" s="376" t="s">
        <v>216</v>
      </c>
      <c r="D20" s="377"/>
      <c r="E20" s="377"/>
      <c r="F20" s="377"/>
      <c r="G20" s="377"/>
      <c r="H20" s="378">
        <f>'Ciclable 2024'!C21</f>
        <v>45</v>
      </c>
    </row>
    <row r="21" ht="14">
      <c r="A21" s="387" t="s">
        <v>229</v>
      </c>
      <c r="B21" s="385"/>
      <c r="C21" s="386"/>
      <c r="D21" s="342">
        <f>SUBTOTAL(9,D19:D20)</f>
        <v>29</v>
      </c>
      <c r="E21" s="342">
        <f>SUBTOTAL(9,E19:E20)</f>
        <v>33</v>
      </c>
      <c r="F21" s="342">
        <f>SUBTOTAL(9,F19:F20)</f>
        <v>20</v>
      </c>
      <c r="G21" s="342">
        <f>SUM(G19:G20)</f>
        <v>47</v>
      </c>
      <c r="H21" s="342">
        <f>SUM(H19:H20)</f>
        <v>74</v>
      </c>
    </row>
    <row r="22" ht="14">
      <c r="A22" s="388" t="s">
        <v>27</v>
      </c>
      <c r="B22" s="389"/>
      <c r="C22" s="390"/>
      <c r="D22" s="345">
        <f>SUBTOTAL(9,D7:D21)</f>
        <v>168</v>
      </c>
      <c r="E22" s="345">
        <f>SUBTOTAL(9,E7:E21)</f>
        <v>275</v>
      </c>
      <c r="F22" s="345">
        <f>SUBTOTAL(9,F7:F21)</f>
        <v>285</v>
      </c>
      <c r="G22" s="345">
        <f>SUBTOTAL(9,G7:G20)</f>
        <v>412</v>
      </c>
      <c r="H22" s="345">
        <f>SUBTOTAL(9,H7:H20)</f>
        <v>383</v>
      </c>
    </row>
    <row r="23" ht="13.800000000000001">
      <c r="A23" s="391" t="s">
        <v>230</v>
      </c>
      <c r="B23" s="392"/>
      <c r="C23" s="393"/>
      <c r="D23" s="394"/>
      <c r="E23" s="394">
        <f>E7+E8+E9+E14+E15+E16+E19</f>
        <v>219</v>
      </c>
      <c r="F23" s="394">
        <f>F7+F8+F9+F10+F14+F15+F16+F19</f>
        <v>248</v>
      </c>
      <c r="G23" s="394">
        <f>G7+G8+G10+G14+G15+G16+G17+G19</f>
        <v>386</v>
      </c>
      <c r="H23" s="394">
        <f>H7+H8+H10+H11+H14+H15+H16+H17+H19</f>
        <v>314</v>
      </c>
      <c r="I23">
        <f>H23/G23</f>
        <v>0.81347150259067302</v>
      </c>
    </row>
    <row r="24" ht="13.800000000000001">
      <c r="A24" s="395" t="s">
        <v>231</v>
      </c>
      <c r="B24" s="396"/>
      <c r="C24" s="397"/>
      <c r="D24" s="398"/>
      <c r="E24" s="399">
        <f>E23/D22</f>
        <v>1.3035714285714299</v>
      </c>
      <c r="F24" s="399">
        <f>F23/E22</f>
        <v>0.90181818181818196</v>
      </c>
      <c r="G24" s="399">
        <f>G23/F22</f>
        <v>1.35438596491228</v>
      </c>
      <c r="H24" s="399">
        <f>H23/G22</f>
        <v>0.76213592233009697</v>
      </c>
    </row>
    <row r="25" ht="13.800000000000001">
      <c r="A25" s="400"/>
      <c r="B25" s="401"/>
      <c r="C25" s="401"/>
      <c r="D25" s="402"/>
      <c r="E25" s="402"/>
      <c r="F25" s="402"/>
      <c r="G25" s="402"/>
      <c r="H25" s="402"/>
    </row>
    <row r="26" ht="13.800000000000001">
      <c r="B26" t="s">
        <v>27</v>
      </c>
      <c r="C26" t="s">
        <v>232</v>
      </c>
      <c r="D26" s="403">
        <v>0.23999999999999999</v>
      </c>
      <c r="E26" s="403">
        <v>0.25</v>
      </c>
      <c r="F26" s="403">
        <v>0.31</v>
      </c>
      <c r="G26" s="403">
        <v>0.31</v>
      </c>
      <c r="H26" s="403">
        <f>'Ciclable 2024'!D24</f>
        <v>0.35248041775456901</v>
      </c>
    </row>
    <row r="27" ht="14">
      <c r="B27" t="s">
        <v>27</v>
      </c>
      <c r="C27" t="s">
        <v>233</v>
      </c>
      <c r="D27" s="403">
        <v>0.31</v>
      </c>
      <c r="E27" s="403">
        <v>0.28999999999999998</v>
      </c>
      <c r="F27" s="403">
        <v>0.25</v>
      </c>
      <c r="G27" s="403">
        <v>0.28000000000000003</v>
      </c>
      <c r="H27" s="403">
        <f>'Ciclable 2024'!F24</f>
        <v>0.27676240208877301</v>
      </c>
    </row>
    <row r="28" ht="14">
      <c r="B28" s="379" t="s">
        <v>222</v>
      </c>
      <c r="C28" t="s">
        <v>232</v>
      </c>
      <c r="D28" s="403"/>
      <c r="E28" s="403">
        <v>0.28000000000000003</v>
      </c>
      <c r="F28" s="403">
        <v>0.37</v>
      </c>
      <c r="G28" s="403">
        <v>0.38</v>
      </c>
      <c r="H28" s="403"/>
    </row>
    <row r="29" ht="14">
      <c r="C29" t="s">
        <v>233</v>
      </c>
      <c r="D29" s="403"/>
      <c r="E29" s="403">
        <v>0.28000000000000003</v>
      </c>
      <c r="F29" s="403">
        <v>0.28999999999999998</v>
      </c>
      <c r="G29" s="403">
        <v>0.23999999999999999</v>
      </c>
      <c r="H29" s="403"/>
    </row>
    <row r="30" ht="14">
      <c r="B30" s="387" t="s">
        <v>234</v>
      </c>
      <c r="C30" t="s">
        <v>232</v>
      </c>
      <c r="D30" s="403"/>
      <c r="E30" s="403">
        <v>0.19</v>
      </c>
      <c r="F30" s="403">
        <v>0.23000000000000001</v>
      </c>
      <c r="G30" s="403">
        <v>0.23999999999999999</v>
      </c>
      <c r="H30" s="403"/>
    </row>
    <row r="31" ht="14">
      <c r="C31" t="s">
        <v>233</v>
      </c>
      <c r="D31" s="403"/>
      <c r="E31" s="403">
        <v>0.31</v>
      </c>
      <c r="F31" s="403">
        <v>0.20000000000000001</v>
      </c>
      <c r="G31" s="403">
        <v>0.32000000000000001</v>
      </c>
      <c r="H31" s="403"/>
    </row>
    <row r="35" ht="14">
      <c r="C35" t="s">
        <v>27</v>
      </c>
      <c r="G35" t="s">
        <v>235</v>
      </c>
      <c r="H35" t="s">
        <v>235</v>
      </c>
      <c r="L35" t="s">
        <v>236</v>
      </c>
    </row>
    <row r="36" ht="14">
      <c r="B36" t="s">
        <v>237</v>
      </c>
      <c r="C36" t="s">
        <v>238</v>
      </c>
      <c r="D36" t="s">
        <v>239</v>
      </c>
      <c r="E36" t="s">
        <v>232</v>
      </c>
      <c r="F36" t="s">
        <v>237</v>
      </c>
      <c r="G36" t="s">
        <v>238</v>
      </c>
      <c r="H36" t="s">
        <v>238</v>
      </c>
      <c r="I36" t="s">
        <v>239</v>
      </c>
      <c r="J36" t="s">
        <v>232</v>
      </c>
      <c r="K36" t="s">
        <v>237</v>
      </c>
      <c r="L36" t="s">
        <v>240</v>
      </c>
      <c r="M36" t="s">
        <v>239</v>
      </c>
      <c r="N36" t="s">
        <v>232</v>
      </c>
    </row>
    <row r="37" ht="14">
      <c r="A37">
        <v>2020</v>
      </c>
      <c r="B37" s="404">
        <f>D4</f>
        <v>7</v>
      </c>
      <c r="C37" s="404">
        <f>D22</f>
        <v>168</v>
      </c>
      <c r="D37" s="403">
        <f>D27</f>
        <v>0.31</v>
      </c>
      <c r="E37">
        <v>24</v>
      </c>
      <c r="F37">
        <v>3</v>
      </c>
      <c r="G37">
        <v>74</v>
      </c>
      <c r="H37">
        <v>74</v>
      </c>
      <c r="K37">
        <v>4</v>
      </c>
      <c r="L37">
        <v>94</v>
      </c>
    </row>
    <row r="38" ht="14">
      <c r="A38">
        <v>2021</v>
      </c>
      <c r="B38" s="404">
        <f>E4</f>
        <v>8</v>
      </c>
      <c r="C38" s="404">
        <f>E22</f>
        <v>275</v>
      </c>
      <c r="D38">
        <v>29</v>
      </c>
      <c r="E38">
        <v>25</v>
      </c>
      <c r="F38">
        <v>4</v>
      </c>
      <c r="G38">
        <v>173</v>
      </c>
      <c r="H38">
        <v>173</v>
      </c>
      <c r="I38">
        <v>28</v>
      </c>
      <c r="J38">
        <v>28</v>
      </c>
      <c r="K38">
        <v>4</v>
      </c>
      <c r="L38">
        <v>102</v>
      </c>
      <c r="M38">
        <v>31</v>
      </c>
      <c r="N38">
        <v>19</v>
      </c>
    </row>
    <row r="39" ht="14">
      <c r="A39">
        <v>2022</v>
      </c>
      <c r="B39" s="404">
        <f>F4</f>
        <v>10</v>
      </c>
      <c r="C39" s="404">
        <f>F22</f>
        <v>285</v>
      </c>
      <c r="D39">
        <v>25</v>
      </c>
      <c r="E39">
        <v>31</v>
      </c>
      <c r="F39">
        <v>5</v>
      </c>
      <c r="G39">
        <v>182</v>
      </c>
      <c r="H39">
        <v>182</v>
      </c>
      <c r="I39">
        <v>29</v>
      </c>
      <c r="J39">
        <v>37</v>
      </c>
      <c r="K39">
        <v>5</v>
      </c>
      <c r="L39">
        <v>103</v>
      </c>
      <c r="M39">
        <v>20</v>
      </c>
      <c r="N39">
        <v>23</v>
      </c>
    </row>
    <row r="40" ht="14">
      <c r="A40">
        <v>2023</v>
      </c>
      <c r="B40" s="404">
        <f>G4</f>
        <v>9</v>
      </c>
      <c r="C40" s="404">
        <f>G22</f>
        <v>412</v>
      </c>
      <c r="D40">
        <v>28</v>
      </c>
      <c r="E40">
        <v>31</v>
      </c>
      <c r="F40">
        <v>4</v>
      </c>
      <c r="G40">
        <v>194</v>
      </c>
      <c r="H40">
        <v>194</v>
      </c>
      <c r="I40">
        <v>24</v>
      </c>
      <c r="J40">
        <v>38</v>
      </c>
      <c r="K40">
        <v>5</v>
      </c>
      <c r="L40">
        <v>218</v>
      </c>
      <c r="M40">
        <v>32</v>
      </c>
      <c r="N40">
        <v>24</v>
      </c>
    </row>
    <row r="41" ht="14">
      <c r="A41">
        <v>2024</v>
      </c>
      <c r="B41" s="404">
        <f>H4</f>
        <v>11</v>
      </c>
      <c r="C41" s="404">
        <f>H22</f>
        <v>383</v>
      </c>
    </row>
  </sheetData>
  <mergeCells count="6">
    <mergeCell ref="B5:C5"/>
    <mergeCell ref="D5:D6"/>
    <mergeCell ref="E5:E6"/>
    <mergeCell ref="F5:F6"/>
    <mergeCell ref="G5:G6"/>
    <mergeCell ref="H5:H6"/>
  </mergeCells>
  <printOptions headings="0" gridLines="0" horizontalCentered="0" verticalCentered="0"/>
  <pageMargins left="0.69999999999999996" right="0.69999999999999996" top="0.75" bottom="0.75" header="0.51180555555555496" footer="0.51180555555555496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onlyoffice/8.3.3.18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</dc:creator>
  <dc:description/>
  <dc:language>fr-FR</dc:language>
  <cp:lastModifiedBy>Vjollca Ahmeti</cp:lastModifiedBy>
  <cp:revision>88</cp:revision>
  <dcterms:created xsi:type="dcterms:W3CDTF">2013-06-07T11:50:48Z</dcterms:created>
  <dcterms:modified xsi:type="dcterms:W3CDTF">2025-05-30T11:37:12Z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b221a-6e97-4d92-b656-ecf531a71c86_ActionId">
    <vt:lpwstr>d7dfd2b7-bfa0-46ba-88b3-9bbc057c8d3c</vt:lpwstr>
  </property>
  <property fmtid="{D5CDD505-2E9C-101B-9397-08002B2CF9AE}" pid="3" name="MSIP_Label_afcb221a-6e97-4d92-b656-ecf531a71c86_ContentBits">
    <vt:lpwstr>0</vt:lpwstr>
  </property>
  <property fmtid="{D5CDD505-2E9C-101B-9397-08002B2CF9AE}" pid="4" name="MSIP_Label_afcb221a-6e97-4d92-b656-ecf531a71c86_Enabled">
    <vt:lpwstr>true</vt:lpwstr>
  </property>
  <property fmtid="{D5CDD505-2E9C-101B-9397-08002B2CF9AE}" pid="5" name="MSIP_Label_afcb221a-6e97-4d92-b656-ecf531a71c86_Method">
    <vt:lpwstr>Standard</vt:lpwstr>
  </property>
  <property fmtid="{D5CDD505-2E9C-101B-9397-08002B2CF9AE}" pid="6" name="MSIP_Label_afcb221a-6e97-4d92-b656-ecf531a71c86_Name">
    <vt:lpwstr>General</vt:lpwstr>
  </property>
  <property fmtid="{D5CDD505-2E9C-101B-9397-08002B2CF9AE}" pid="7" name="MSIP_Label_afcb221a-6e97-4d92-b656-ecf531a71c86_SetDate">
    <vt:lpwstr>2024-05-29T09:31:30Z</vt:lpwstr>
  </property>
  <property fmtid="{D5CDD505-2E9C-101B-9397-08002B2CF9AE}" pid="8" name="MSIP_Label_afcb221a-6e97-4d92-b656-ecf531a71c86_SiteId">
    <vt:lpwstr>6f2633ea-c60d-4a07-be1c-b5cd19f27133</vt:lpwstr>
  </property>
</Properties>
</file>