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Z Perso\VELO\CICLABLE\COMPTAGES 2022\"/>
    </mc:Choice>
  </mc:AlternateContent>
  <xr:revisionPtr revIDLastSave="0" documentId="13_ncr:1_{8E16D870-AC6D-40FA-8251-68A553276879}" xr6:coauthVersionLast="47" xr6:coauthVersionMax="47" xr10:uidLastSave="{00000000-0000-0000-0000-000000000000}"/>
  <bookViews>
    <workbookView xWindow="28680" yWindow="-120" windowWidth="29040" windowHeight="15840" firstSheet="6" activeTab="13" xr2:uid="{00000000-000D-0000-FFFF-FFFF00000000}"/>
  </bookViews>
  <sheets>
    <sheet name="LA_RO_BIOCOOP" sheetId="1" r:id="rId1"/>
    <sheet name="LA_RO_POSTE" sheetId="2" r:id="rId2"/>
    <sheet name="LA_RO_ENILV" sheetId="3" r:id="rId3"/>
    <sheet name="LA_RO_SNCF" sheetId="4" r:id="rId4"/>
    <sheet name="AMANCY SOUS TERRAIN" sheetId="15" r:id="rId5"/>
    <sheet name="ARENT_PAPETERIE" sheetId="6" r:id="rId6"/>
    <sheet name="ST_PI_BORNE_DESSY" sheetId="7" r:id="rId7"/>
    <sheet name="BO_BORNE_TUCINGE" sheetId="8" r:id="rId8"/>
    <sheet name="ST_PI_BORNE_RD1203" sheetId="9" r:id="rId9"/>
    <sheet name="ST PI M BRICOLAGE" sheetId="17" r:id="rId10"/>
    <sheet name="SYNTHESE" sheetId="10" r:id="rId11"/>
    <sheet name="2020 2021 2022" sheetId="11" r:id="rId12"/>
    <sheet name="2020 2021" sheetId="18" r:id="rId13"/>
    <sheet name="DIFFUSION" sheetId="12" r:id="rId14"/>
  </sheets>
  <definedNames>
    <definedName name="_xlnm.Print_Area" localSheetId="11">'2020 2021 2022'!$A$1:$F$21</definedName>
    <definedName name="_xlnm.Print_Area" localSheetId="4">'AMANCY SOUS TERRAIN'!$A$1:$R$25</definedName>
    <definedName name="_xlnm.Print_Area" localSheetId="5">ARENT_PAPETERIE!$A$1:$AX$26</definedName>
    <definedName name="_xlnm.Print_Area" localSheetId="7">BO_BORNE_TUCINGE!$A$1:$J$26</definedName>
    <definedName name="_xlnm.Print_Area" localSheetId="0">LA_RO_BIOCOOP!$A$1:$AL$25</definedName>
    <definedName name="_xlnm.Print_Area" localSheetId="2">LA_RO_ENILV!$A$1:$AX$26</definedName>
    <definedName name="_xlnm.Print_Area" localSheetId="1">LA_RO_POSTE!$A$1:$BV$27</definedName>
    <definedName name="_xlnm.Print_Area" localSheetId="3">LA_RO_SNCF!$A$1:$AX$27</definedName>
    <definedName name="_xlnm.Print_Area" localSheetId="9">'ST PI M BRICOLAGE'!$A$1:$J$20</definedName>
    <definedName name="_xlnm.Print_Area" localSheetId="6">ST_PI_BORNE_DESSY!$A$1:$Z$24</definedName>
    <definedName name="_xlnm.Print_Area" localSheetId="8">ST_PI_BORNE_RD1203!$A$1:$BJ$25,ST_PI_BORNE_RD1203!$A$27:$BJ$52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8" i="11" l="1"/>
  <c r="F10" i="12"/>
  <c r="F19" i="12"/>
  <c r="E19" i="11"/>
  <c r="E21" i="11" s="1"/>
  <c r="F19" i="11"/>
  <c r="F20" i="11" s="1"/>
  <c r="F17" i="11"/>
  <c r="D16" i="11"/>
  <c r="E16" i="11"/>
  <c r="F16" i="11"/>
  <c r="E15" i="18"/>
  <c r="E16" i="18" s="1"/>
  <c r="E8" i="18"/>
  <c r="D8" i="18"/>
  <c r="D15" i="18" s="1"/>
  <c r="D16" i="18" s="1"/>
  <c r="E6" i="10"/>
  <c r="H15" i="10"/>
  <c r="K15" i="10"/>
  <c r="J15" i="10" s="1"/>
  <c r="I15" i="10"/>
  <c r="E15" i="10"/>
  <c r="D15" i="10"/>
  <c r="A15" i="10"/>
  <c r="I10" i="10"/>
  <c r="W32" i="15"/>
  <c r="W33" i="15"/>
  <c r="W34" i="15"/>
  <c r="W35" i="15"/>
  <c r="W36" i="15" s="1"/>
  <c r="W47" i="15" s="1"/>
  <c r="W37" i="15"/>
  <c r="W31" i="15"/>
  <c r="V32" i="15"/>
  <c r="V33" i="15"/>
  <c r="V34" i="15"/>
  <c r="V35" i="15"/>
  <c r="V36" i="15" s="1"/>
  <c r="V31" i="15"/>
  <c r="E10" i="10"/>
  <c r="D10" i="10"/>
  <c r="D28" i="17"/>
  <c r="E28" i="17"/>
  <c r="F28" i="17"/>
  <c r="G28" i="17"/>
  <c r="L28" i="17" s="1"/>
  <c r="H28" i="17"/>
  <c r="I28" i="17"/>
  <c r="J28" i="17"/>
  <c r="C28" i="17"/>
  <c r="D29" i="17"/>
  <c r="E29" i="17"/>
  <c r="F29" i="17"/>
  <c r="G29" i="17"/>
  <c r="L29" i="17" s="1"/>
  <c r="L40" i="17" s="1"/>
  <c r="H29" i="17"/>
  <c r="I29" i="17"/>
  <c r="J29" i="17"/>
  <c r="D30" i="17"/>
  <c r="E30" i="17"/>
  <c r="F30" i="17"/>
  <c r="G30" i="17"/>
  <c r="H30" i="17"/>
  <c r="I30" i="17"/>
  <c r="J30" i="17"/>
  <c r="C30" i="17"/>
  <c r="C29" i="17"/>
  <c r="D27" i="17"/>
  <c r="E27" i="17"/>
  <c r="F27" i="17"/>
  <c r="G27" i="17"/>
  <c r="H27" i="17"/>
  <c r="I27" i="17"/>
  <c r="J27" i="17"/>
  <c r="C27" i="17"/>
  <c r="D31" i="17"/>
  <c r="E31" i="17"/>
  <c r="F31" i="17"/>
  <c r="H31" i="17"/>
  <c r="I31" i="17"/>
  <c r="J31" i="17"/>
  <c r="D26" i="17"/>
  <c r="E26" i="17"/>
  <c r="F26" i="17"/>
  <c r="G26" i="17"/>
  <c r="H26" i="17"/>
  <c r="I26" i="17"/>
  <c r="J26" i="17"/>
  <c r="N28" i="17"/>
  <c r="K26" i="17"/>
  <c r="C26" i="17"/>
  <c r="U36" i="15"/>
  <c r="U32" i="15"/>
  <c r="U33" i="15"/>
  <c r="U34" i="15"/>
  <c r="U35" i="15"/>
  <c r="U31" i="15"/>
  <c r="AU38" i="4"/>
  <c r="AU39" i="4"/>
  <c r="AW40" i="4"/>
  <c r="AW41" i="4"/>
  <c r="AW42" i="4"/>
  <c r="AW43" i="4"/>
  <c r="AV40" i="4"/>
  <c r="AV41" i="4"/>
  <c r="AV42" i="4"/>
  <c r="AV43" i="4"/>
  <c r="AU40" i="4"/>
  <c r="BA40" i="4" s="1"/>
  <c r="AU41" i="4"/>
  <c r="AC48" i="7"/>
  <c r="AC44" i="7"/>
  <c r="AC45" i="7"/>
  <c r="AC46" i="7"/>
  <c r="AC47" i="7"/>
  <c r="AC43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C36" i="7"/>
  <c r="C35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C34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C33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C32" i="7"/>
  <c r="AI40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X42" i="4"/>
  <c r="BC42" i="4" s="1"/>
  <c r="C42" i="4"/>
  <c r="D42" i="4"/>
  <c r="BC42" i="2"/>
  <c r="BD42" i="2"/>
  <c r="BE42" i="2"/>
  <c r="BF42" i="2"/>
  <c r="BC41" i="2"/>
  <c r="BD41" i="2"/>
  <c r="BE41" i="2"/>
  <c r="BF41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C39" i="2"/>
  <c r="BD39" i="2"/>
  <c r="BE39" i="2"/>
  <c r="BF39" i="2"/>
  <c r="BC38" i="2"/>
  <c r="BD38" i="2"/>
  <c r="BE38" i="2"/>
  <c r="BF38" i="2"/>
  <c r="BC37" i="2"/>
  <c r="BD37" i="2"/>
  <c r="BE37" i="2"/>
  <c r="BF37" i="2"/>
  <c r="N26" i="17"/>
  <c r="N37" i="17" s="1"/>
  <c r="N43" i="17" s="1"/>
  <c r="K43" i="17"/>
  <c r="N30" i="17"/>
  <c r="N41" i="17" s="1"/>
  <c r="N29" i="17"/>
  <c r="N27" i="17"/>
  <c r="O33" i="17"/>
  <c r="U48" i="15"/>
  <c r="Y38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S35" i="15"/>
  <c r="S46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X35" i="15"/>
  <c r="X46" i="15"/>
  <c r="D35" i="15"/>
  <c r="C35" i="15"/>
  <c r="S34" i="15"/>
  <c r="S45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X34" i="15"/>
  <c r="D34" i="15"/>
  <c r="C34" i="15"/>
  <c r="V45" i="15"/>
  <c r="S33" i="15"/>
  <c r="S44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X33" i="15"/>
  <c r="D33" i="15"/>
  <c r="C33" i="15"/>
  <c r="S32" i="15"/>
  <c r="S43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X32" i="15"/>
  <c r="D32" i="15"/>
  <c r="C32" i="15"/>
  <c r="S31" i="15"/>
  <c r="S42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X31" i="15"/>
  <c r="X42" i="15"/>
  <c r="X48" i="15"/>
  <c r="D31" i="15"/>
  <c r="C31" i="15"/>
  <c r="V42" i="15"/>
  <c r="V48" i="15"/>
  <c r="O28" i="15"/>
  <c r="K28" i="15"/>
  <c r="G28" i="15"/>
  <c r="C28" i="15"/>
  <c r="K27" i="15"/>
  <c r="C27" i="15"/>
  <c r="A14" i="10"/>
  <c r="A13" i="10"/>
  <c r="F12" i="10"/>
  <c r="A12" i="10"/>
  <c r="A11" i="10"/>
  <c r="A9" i="10"/>
  <c r="A8" i="10"/>
  <c r="A7" i="10"/>
  <c r="A6" i="10"/>
  <c r="D19" i="12"/>
  <c r="E19" i="12"/>
  <c r="D10" i="12"/>
  <c r="E10" i="12"/>
  <c r="BK78" i="9"/>
  <c r="BK77" i="9"/>
  <c r="BJ77" i="9"/>
  <c r="BI77" i="9"/>
  <c r="BH77" i="9"/>
  <c r="BG77" i="9"/>
  <c r="BF77" i="9"/>
  <c r="BE77" i="9"/>
  <c r="BD77" i="9"/>
  <c r="BC77" i="9"/>
  <c r="BB77" i="9"/>
  <c r="BA77" i="9"/>
  <c r="AZ77" i="9"/>
  <c r="AY77" i="9"/>
  <c r="AX77" i="9"/>
  <c r="AW77" i="9"/>
  <c r="AV77" i="9"/>
  <c r="AU77" i="9"/>
  <c r="AT77" i="9"/>
  <c r="AS77" i="9"/>
  <c r="AR77" i="9"/>
  <c r="AQ77" i="9"/>
  <c r="AP77" i="9"/>
  <c r="AO77" i="9"/>
  <c r="AN77" i="9"/>
  <c r="AM77" i="9"/>
  <c r="AL77" i="9"/>
  <c r="AK77" i="9"/>
  <c r="AJ77" i="9"/>
  <c r="AI77" i="9"/>
  <c r="AH77" i="9"/>
  <c r="AG77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K76" i="9"/>
  <c r="BJ76" i="9"/>
  <c r="BI76" i="9"/>
  <c r="BH76" i="9"/>
  <c r="BG76" i="9"/>
  <c r="BF76" i="9"/>
  <c r="BE76" i="9"/>
  <c r="BD76" i="9"/>
  <c r="BC76" i="9"/>
  <c r="BB76" i="9"/>
  <c r="BA76" i="9"/>
  <c r="AZ76" i="9"/>
  <c r="AY76" i="9"/>
  <c r="AX76" i="9"/>
  <c r="AW76" i="9"/>
  <c r="AV76" i="9"/>
  <c r="AU76" i="9"/>
  <c r="AT76" i="9"/>
  <c r="AS76" i="9"/>
  <c r="AR76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K75" i="9"/>
  <c r="BJ75" i="9"/>
  <c r="BI75" i="9"/>
  <c r="BH75" i="9"/>
  <c r="BG75" i="9"/>
  <c r="BF75" i="9"/>
  <c r="BE75" i="9"/>
  <c r="BD75" i="9"/>
  <c r="BC75" i="9"/>
  <c r="BB75" i="9"/>
  <c r="BA75" i="9"/>
  <c r="AZ75" i="9"/>
  <c r="AY75" i="9"/>
  <c r="AX75" i="9"/>
  <c r="AW75" i="9"/>
  <c r="AV75" i="9"/>
  <c r="AU75" i="9"/>
  <c r="AT75" i="9"/>
  <c r="AS75" i="9"/>
  <c r="AR75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BP64" i="9"/>
  <c r="BN64" i="9"/>
  <c r="BP76" i="9"/>
  <c r="D75" i="9"/>
  <c r="C75" i="9"/>
  <c r="BK74" i="9"/>
  <c r="BJ74" i="9"/>
  <c r="BJ78" i="9"/>
  <c r="BI74" i="9"/>
  <c r="BH74" i="9"/>
  <c r="BG74" i="9"/>
  <c r="BF74" i="9"/>
  <c r="BF78" i="9"/>
  <c r="BE74" i="9"/>
  <c r="BD74" i="9"/>
  <c r="BC74" i="9"/>
  <c r="BB74" i="9"/>
  <c r="BB78" i="9"/>
  <c r="BA74" i="9"/>
  <c r="AZ74" i="9"/>
  <c r="AY74" i="9"/>
  <c r="AX74" i="9"/>
  <c r="AX78" i="9"/>
  <c r="AW74" i="9"/>
  <c r="AV74" i="9"/>
  <c r="AU74" i="9"/>
  <c r="AT74" i="9"/>
  <c r="AT78" i="9"/>
  <c r="AS74" i="9"/>
  <c r="AR74" i="9"/>
  <c r="AQ74" i="9"/>
  <c r="AP74" i="9"/>
  <c r="AP78" i="9"/>
  <c r="AO74" i="9"/>
  <c r="AN74" i="9"/>
  <c r="AM74" i="9"/>
  <c r="AL74" i="9"/>
  <c r="AL78" i="9"/>
  <c r="AK74" i="9"/>
  <c r="AJ74" i="9"/>
  <c r="AI74" i="9"/>
  <c r="AH74" i="9"/>
  <c r="AH78" i="9"/>
  <c r="AG74" i="9"/>
  <c r="AF74" i="9"/>
  <c r="AE74" i="9"/>
  <c r="AD74" i="9"/>
  <c r="AD78" i="9"/>
  <c r="AC74" i="9"/>
  <c r="AB74" i="9"/>
  <c r="AA74" i="9"/>
  <c r="Z74" i="9"/>
  <c r="Z78" i="9"/>
  <c r="Y74" i="9"/>
  <c r="X74" i="9"/>
  <c r="W74" i="9"/>
  <c r="V74" i="9"/>
  <c r="V78" i="9"/>
  <c r="U74" i="9"/>
  <c r="T74" i="9"/>
  <c r="S74" i="9"/>
  <c r="R74" i="9"/>
  <c r="R78" i="9"/>
  <c r="Q74" i="9"/>
  <c r="P74" i="9"/>
  <c r="O74" i="9"/>
  <c r="N74" i="9"/>
  <c r="N78" i="9"/>
  <c r="M74" i="9"/>
  <c r="L74" i="9"/>
  <c r="K74" i="9"/>
  <c r="J74" i="9"/>
  <c r="J78" i="9"/>
  <c r="I74" i="9"/>
  <c r="H74" i="9"/>
  <c r="G74" i="9"/>
  <c r="F74" i="9"/>
  <c r="F78" i="9"/>
  <c r="E74" i="9"/>
  <c r="D74" i="9"/>
  <c r="C74" i="9"/>
  <c r="BK73" i="9"/>
  <c r="BJ73" i="9"/>
  <c r="BI73" i="9"/>
  <c r="BI78" i="9"/>
  <c r="BH73" i="9"/>
  <c r="BH78" i="9"/>
  <c r="BG73" i="9"/>
  <c r="BG78" i="9"/>
  <c r="BF73" i="9"/>
  <c r="BE73" i="9"/>
  <c r="BE78" i="9"/>
  <c r="BD73" i="9"/>
  <c r="BD78" i="9"/>
  <c r="BC73" i="9"/>
  <c r="BC78" i="9"/>
  <c r="BB73" i="9"/>
  <c r="BA73" i="9"/>
  <c r="BA78" i="9"/>
  <c r="AZ73" i="9"/>
  <c r="AZ78" i="9"/>
  <c r="AY73" i="9"/>
  <c r="AY78" i="9"/>
  <c r="AX73" i="9"/>
  <c r="AW73" i="9"/>
  <c r="AW78" i="9"/>
  <c r="AV73" i="9"/>
  <c r="AV78" i="9"/>
  <c r="AU73" i="9"/>
  <c r="AU78" i="9"/>
  <c r="AT73" i="9"/>
  <c r="AS73" i="9"/>
  <c r="AS78" i="9"/>
  <c r="AR73" i="9"/>
  <c r="AR78" i="9"/>
  <c r="AQ73" i="9"/>
  <c r="AQ78" i="9"/>
  <c r="AP73" i="9"/>
  <c r="AO73" i="9"/>
  <c r="AO78" i="9"/>
  <c r="AN73" i="9"/>
  <c r="AN78" i="9"/>
  <c r="AM73" i="9"/>
  <c r="AM78" i="9"/>
  <c r="AL73" i="9"/>
  <c r="AK73" i="9"/>
  <c r="AK78" i="9"/>
  <c r="AJ73" i="9"/>
  <c r="AJ78" i="9"/>
  <c r="AI73" i="9"/>
  <c r="AI78" i="9"/>
  <c r="AH73" i="9"/>
  <c r="AG73" i="9"/>
  <c r="AG78" i="9"/>
  <c r="AF73" i="9"/>
  <c r="AF78" i="9"/>
  <c r="AE73" i="9"/>
  <c r="AE78" i="9"/>
  <c r="AD73" i="9"/>
  <c r="AC73" i="9"/>
  <c r="AC78" i="9"/>
  <c r="AB73" i="9"/>
  <c r="AB78" i="9"/>
  <c r="AA73" i="9"/>
  <c r="AA78" i="9"/>
  <c r="Z73" i="9"/>
  <c r="Y73" i="9"/>
  <c r="Y78" i="9"/>
  <c r="X73" i="9"/>
  <c r="X78" i="9"/>
  <c r="W73" i="9"/>
  <c r="W78" i="9"/>
  <c r="V73" i="9"/>
  <c r="U73" i="9"/>
  <c r="U78" i="9"/>
  <c r="T73" i="9"/>
  <c r="T78" i="9"/>
  <c r="S73" i="9"/>
  <c r="S78" i="9"/>
  <c r="R73" i="9"/>
  <c r="Q73" i="9"/>
  <c r="Q78" i="9"/>
  <c r="P73" i="9"/>
  <c r="P78" i="9"/>
  <c r="O73" i="9"/>
  <c r="O78" i="9"/>
  <c r="N73" i="9"/>
  <c r="M73" i="9"/>
  <c r="M78" i="9"/>
  <c r="L73" i="9"/>
  <c r="L78" i="9"/>
  <c r="K73" i="9"/>
  <c r="K78" i="9"/>
  <c r="J73" i="9"/>
  <c r="I73" i="9"/>
  <c r="I78" i="9"/>
  <c r="H73" i="9"/>
  <c r="H78" i="9"/>
  <c r="G73" i="9"/>
  <c r="G78" i="9"/>
  <c r="F73" i="9"/>
  <c r="E73" i="9"/>
  <c r="E78" i="9"/>
  <c r="D73" i="9"/>
  <c r="D78" i="9"/>
  <c r="C73" i="9"/>
  <c r="C78" i="9"/>
  <c r="BQ69" i="9"/>
  <c r="BK66" i="9"/>
  <c r="BJ66" i="9"/>
  <c r="BI66" i="9"/>
  <c r="BH66" i="9"/>
  <c r="BG66" i="9"/>
  <c r="BF66" i="9"/>
  <c r="BE66" i="9"/>
  <c r="BD66" i="9"/>
  <c r="BC66" i="9"/>
  <c r="BB66" i="9"/>
  <c r="BA66" i="9"/>
  <c r="AZ66" i="9"/>
  <c r="AY66" i="9"/>
  <c r="AX66" i="9"/>
  <c r="AW66" i="9"/>
  <c r="AV66" i="9"/>
  <c r="AU66" i="9"/>
  <c r="AT66" i="9"/>
  <c r="AS66" i="9"/>
  <c r="AR66" i="9"/>
  <c r="AQ66" i="9"/>
  <c r="AP66" i="9"/>
  <c r="AO66" i="9"/>
  <c r="AN66" i="9"/>
  <c r="AM66" i="9"/>
  <c r="AL66" i="9"/>
  <c r="AK66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BR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BN66" i="9"/>
  <c r="D66" i="9"/>
  <c r="BQ66" i="9"/>
  <c r="BM66" i="9"/>
  <c r="BQ78" i="9"/>
  <c r="C66" i="9"/>
  <c r="BP65" i="9"/>
  <c r="BP77" i="9"/>
  <c r="BK65" i="9"/>
  <c r="BJ65" i="9"/>
  <c r="BI65" i="9"/>
  <c r="BH65" i="9"/>
  <c r="BG65" i="9"/>
  <c r="BF65" i="9"/>
  <c r="BE65" i="9"/>
  <c r="BD65" i="9"/>
  <c r="BC65" i="9"/>
  <c r="BB65" i="9"/>
  <c r="BA65" i="9"/>
  <c r="AZ65" i="9"/>
  <c r="AY65" i="9"/>
  <c r="AX65" i="9"/>
  <c r="AW65" i="9"/>
  <c r="AV65" i="9"/>
  <c r="AU65" i="9"/>
  <c r="AT65" i="9"/>
  <c r="AS65" i="9"/>
  <c r="AR65" i="9"/>
  <c r="AQ65" i="9"/>
  <c r="AP65" i="9"/>
  <c r="AO65" i="9"/>
  <c r="AN65" i="9"/>
  <c r="AM65" i="9"/>
  <c r="AL65" i="9"/>
  <c r="AK65" i="9"/>
  <c r="AJ65" i="9"/>
  <c r="AI65" i="9"/>
  <c r="AH65" i="9"/>
  <c r="AG65" i="9"/>
  <c r="AF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BR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BO65" i="9"/>
  <c r="BM65" i="9"/>
  <c r="BO77" i="9"/>
  <c r="D65" i="9"/>
  <c r="C65" i="9"/>
  <c r="BO64" i="9"/>
  <c r="BM64" i="9"/>
  <c r="BO76" i="9"/>
  <c r="BK64" i="9"/>
  <c r="BJ64" i="9"/>
  <c r="BI64" i="9"/>
  <c r="BH64" i="9"/>
  <c r="BG64" i="9"/>
  <c r="BF64" i="9"/>
  <c r="BE64" i="9"/>
  <c r="BD64" i="9"/>
  <c r="BC64" i="9"/>
  <c r="BB64" i="9"/>
  <c r="BA64" i="9"/>
  <c r="AZ64" i="9"/>
  <c r="AY64" i="9"/>
  <c r="AX64" i="9"/>
  <c r="AW64" i="9"/>
  <c r="AV64" i="9"/>
  <c r="AU64" i="9"/>
  <c r="AT64" i="9"/>
  <c r="AS64" i="9"/>
  <c r="AR64" i="9"/>
  <c r="AQ64" i="9"/>
  <c r="AP64" i="9"/>
  <c r="AO64" i="9"/>
  <c r="AN64" i="9"/>
  <c r="AM64" i="9"/>
  <c r="AL64" i="9"/>
  <c r="AK64" i="9"/>
  <c r="AJ64" i="9"/>
  <c r="AI64" i="9"/>
  <c r="AH64" i="9"/>
  <c r="AG64" i="9"/>
  <c r="AF64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N76" i="9"/>
  <c r="AI63" i="9"/>
  <c r="AK63" i="9"/>
  <c r="AY63" i="9"/>
  <c r="BN63" i="9"/>
  <c r="BK63" i="9"/>
  <c r="BJ63" i="9"/>
  <c r="BI63" i="9"/>
  <c r="BI67" i="9"/>
  <c r="BH63" i="9"/>
  <c r="BG63" i="9"/>
  <c r="BG67" i="9"/>
  <c r="BF63" i="9"/>
  <c r="BE63" i="9"/>
  <c r="BE67" i="9"/>
  <c r="BD63" i="9"/>
  <c r="BC63" i="9"/>
  <c r="BC67" i="9"/>
  <c r="BB63" i="9"/>
  <c r="BA63" i="9"/>
  <c r="BA67" i="9"/>
  <c r="AZ63" i="9"/>
  <c r="AY67" i="9"/>
  <c r="AX63" i="9"/>
  <c r="AW63" i="9"/>
  <c r="AW67" i="9"/>
  <c r="AV63" i="9"/>
  <c r="AU63" i="9"/>
  <c r="AU67" i="9"/>
  <c r="AT63" i="9"/>
  <c r="AS63" i="9"/>
  <c r="AS67" i="9"/>
  <c r="AR63" i="9"/>
  <c r="AQ63" i="9"/>
  <c r="AQ67" i="9"/>
  <c r="AP63" i="9"/>
  <c r="AO63" i="9"/>
  <c r="AO67" i="9"/>
  <c r="AN63" i="9"/>
  <c r="AM63" i="9"/>
  <c r="AM67" i="9"/>
  <c r="AL63" i="9"/>
  <c r="AK67" i="9"/>
  <c r="AJ63" i="9"/>
  <c r="AI67" i="9"/>
  <c r="AH63" i="9"/>
  <c r="AG63" i="9"/>
  <c r="AG67" i="9"/>
  <c r="AF63" i="9"/>
  <c r="AE63" i="9"/>
  <c r="AE62" i="9"/>
  <c r="AE67" i="9"/>
  <c r="AD63" i="9"/>
  <c r="AC63" i="9"/>
  <c r="AC67" i="9"/>
  <c r="AB63" i="9"/>
  <c r="AA63" i="9"/>
  <c r="AA67" i="9"/>
  <c r="Z63" i="9"/>
  <c r="Y63" i="9"/>
  <c r="Y67" i="9"/>
  <c r="X63" i="9"/>
  <c r="W63" i="9"/>
  <c r="W67" i="9"/>
  <c r="V63" i="9"/>
  <c r="U63" i="9"/>
  <c r="U67" i="9"/>
  <c r="T63" i="9"/>
  <c r="S63" i="9"/>
  <c r="S67" i="9"/>
  <c r="R63" i="9"/>
  <c r="Q63" i="9"/>
  <c r="Q67" i="9"/>
  <c r="P63" i="9"/>
  <c r="O63" i="9"/>
  <c r="O67" i="9"/>
  <c r="N63" i="9"/>
  <c r="M63" i="9"/>
  <c r="M67" i="9"/>
  <c r="L63" i="9"/>
  <c r="K63" i="9"/>
  <c r="K67" i="9"/>
  <c r="J63" i="9"/>
  <c r="I63" i="9"/>
  <c r="I67" i="9"/>
  <c r="H63" i="9"/>
  <c r="G63" i="9"/>
  <c r="G67" i="9"/>
  <c r="F63" i="9"/>
  <c r="E63" i="9"/>
  <c r="D63" i="9"/>
  <c r="C63" i="9"/>
  <c r="BQ63" i="9"/>
  <c r="BK62" i="9"/>
  <c r="BJ62" i="9"/>
  <c r="BJ67" i="9"/>
  <c r="BI62" i="9"/>
  <c r="BH62" i="9"/>
  <c r="BH67" i="9"/>
  <c r="BG62" i="9"/>
  <c r="BF62" i="9"/>
  <c r="BF67" i="9"/>
  <c r="BE62" i="9"/>
  <c r="BD62" i="9"/>
  <c r="BD67" i="9"/>
  <c r="BC62" i="9"/>
  <c r="BB62" i="9"/>
  <c r="BB67" i="9"/>
  <c r="BA62" i="9"/>
  <c r="AZ62" i="9"/>
  <c r="AZ67" i="9"/>
  <c r="AY62" i="9"/>
  <c r="AX62" i="9"/>
  <c r="AX67" i="9"/>
  <c r="AW62" i="9"/>
  <c r="AV62" i="9"/>
  <c r="AV67" i="9"/>
  <c r="AU62" i="9"/>
  <c r="AT62" i="9"/>
  <c r="AT67" i="9"/>
  <c r="AS62" i="9"/>
  <c r="AR62" i="9"/>
  <c r="AR67" i="9"/>
  <c r="AQ62" i="9"/>
  <c r="AP62" i="9"/>
  <c r="AP67" i="9"/>
  <c r="AO62" i="9"/>
  <c r="AN62" i="9"/>
  <c r="AN67" i="9"/>
  <c r="AM62" i="9"/>
  <c r="AL62" i="9"/>
  <c r="AL67" i="9"/>
  <c r="AK62" i="9"/>
  <c r="AJ62" i="9"/>
  <c r="AJ67" i="9"/>
  <c r="AI62" i="9"/>
  <c r="AH62" i="9"/>
  <c r="AH67" i="9"/>
  <c r="AG62" i="9"/>
  <c r="AF62" i="9"/>
  <c r="AF67" i="9"/>
  <c r="AD62" i="9"/>
  <c r="AD67" i="9"/>
  <c r="AC62" i="9"/>
  <c r="AB62" i="9"/>
  <c r="AB67" i="9"/>
  <c r="AA62" i="9"/>
  <c r="Z62" i="9"/>
  <c r="Z67" i="9"/>
  <c r="Y62" i="9"/>
  <c r="X62" i="9"/>
  <c r="X67" i="9"/>
  <c r="W62" i="9"/>
  <c r="V62" i="9"/>
  <c r="V67" i="9"/>
  <c r="U62" i="9"/>
  <c r="T62" i="9"/>
  <c r="S62" i="9"/>
  <c r="R62" i="9"/>
  <c r="R67" i="9"/>
  <c r="Q62" i="9"/>
  <c r="P62" i="9"/>
  <c r="P67" i="9"/>
  <c r="O62" i="9"/>
  <c r="N62" i="9"/>
  <c r="N67" i="9"/>
  <c r="M62" i="9"/>
  <c r="L62" i="9"/>
  <c r="L67" i="9"/>
  <c r="K62" i="9"/>
  <c r="J62" i="9"/>
  <c r="J67" i="9"/>
  <c r="I62" i="9"/>
  <c r="H62" i="9"/>
  <c r="H67" i="9"/>
  <c r="G62" i="9"/>
  <c r="F62" i="9"/>
  <c r="F67" i="9"/>
  <c r="E62" i="9"/>
  <c r="BN62" i="9"/>
  <c r="BM62" i="9"/>
  <c r="BN73" i="9"/>
  <c r="D62" i="9"/>
  <c r="D67" i="9"/>
  <c r="C62" i="9"/>
  <c r="M49" i="8"/>
  <c r="J35" i="8"/>
  <c r="O35" i="8"/>
  <c r="M35" i="8"/>
  <c r="O46" i="8"/>
  <c r="K44" i="8"/>
  <c r="Q39" i="8"/>
  <c r="J37" i="8"/>
  <c r="I37" i="8"/>
  <c r="H37" i="8"/>
  <c r="G37" i="8"/>
  <c r="F37" i="8"/>
  <c r="E37" i="8"/>
  <c r="D37" i="8"/>
  <c r="C37" i="8"/>
  <c r="M37" i="8"/>
  <c r="D13" i="10"/>
  <c r="E36" i="8"/>
  <c r="P36" i="8"/>
  <c r="K36" i="8"/>
  <c r="K47" i="8"/>
  <c r="J36" i="8"/>
  <c r="I36" i="8"/>
  <c r="H36" i="8"/>
  <c r="G36" i="8"/>
  <c r="F36" i="8"/>
  <c r="O36" i="8"/>
  <c r="M36" i="8"/>
  <c r="O47" i="8"/>
  <c r="O49" i="8"/>
  <c r="D36" i="8"/>
  <c r="C36" i="8"/>
  <c r="G35" i="8"/>
  <c r="H35" i="8"/>
  <c r="Q35" i="8"/>
  <c r="Q46" i="8"/>
  <c r="P35" i="8"/>
  <c r="P46" i="8"/>
  <c r="K35" i="8"/>
  <c r="K46" i="8"/>
  <c r="I35" i="8"/>
  <c r="F35" i="8"/>
  <c r="E35" i="8"/>
  <c r="D35" i="8"/>
  <c r="C35" i="8"/>
  <c r="P34" i="8"/>
  <c r="K34" i="8"/>
  <c r="K45" i="8"/>
  <c r="J34" i="8"/>
  <c r="I34" i="8"/>
  <c r="H34" i="8"/>
  <c r="G34" i="8"/>
  <c r="Q34" i="8"/>
  <c r="F34" i="8"/>
  <c r="E34" i="8"/>
  <c r="D34" i="8"/>
  <c r="C34" i="8"/>
  <c r="J33" i="8"/>
  <c r="Q33" i="8"/>
  <c r="K33" i="8"/>
  <c r="I33" i="8"/>
  <c r="H33" i="8"/>
  <c r="G33" i="8"/>
  <c r="F33" i="8"/>
  <c r="E33" i="8"/>
  <c r="O33" i="8"/>
  <c r="D33" i="8"/>
  <c r="C33" i="8"/>
  <c r="M33" i="8"/>
  <c r="N33" i="8"/>
  <c r="N32" i="8"/>
  <c r="N43" i="8"/>
  <c r="N49" i="8"/>
  <c r="K32" i="8"/>
  <c r="K43" i="8"/>
  <c r="J32" i="8"/>
  <c r="I32" i="8"/>
  <c r="H32" i="8"/>
  <c r="G32" i="8"/>
  <c r="Q32" i="8"/>
  <c r="Q43" i="8"/>
  <c r="Q49" i="8"/>
  <c r="F32" i="8"/>
  <c r="E32" i="8"/>
  <c r="P32" i="8"/>
  <c r="P43" i="8"/>
  <c r="P49" i="8"/>
  <c r="D32" i="8"/>
  <c r="C32" i="8"/>
  <c r="M32" i="8"/>
  <c r="G29" i="8"/>
  <c r="C29" i="8"/>
  <c r="C28" i="8"/>
  <c r="AC49" i="7"/>
  <c r="AA49" i="7"/>
  <c r="AG34" i="7"/>
  <c r="AC34" i="7"/>
  <c r="AG45" i="7"/>
  <c r="AF34" i="7"/>
  <c r="AD34" i="7"/>
  <c r="AF45" i="7"/>
  <c r="AH39" i="7"/>
  <c r="AG39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AH36" i="7"/>
  <c r="AC36" i="7"/>
  <c r="AH47" i="7"/>
  <c r="AG36" i="7"/>
  <c r="AG47" i="7"/>
  <c r="AF36" i="7"/>
  <c r="AD36" i="7"/>
  <c r="AF47" i="7"/>
  <c r="AE36" i="7"/>
  <c r="AE47" i="7"/>
  <c r="AD47" i="7"/>
  <c r="AA36" i="7"/>
  <c r="AA47" i="7"/>
  <c r="AH35" i="7"/>
  <c r="AC35" i="7"/>
  <c r="AH46" i="7"/>
  <c r="AG35" i="7"/>
  <c r="AG46" i="7"/>
  <c r="AF35" i="7"/>
  <c r="AD35" i="7"/>
  <c r="AF46" i="7"/>
  <c r="AE35" i="7"/>
  <c r="AE46" i="7"/>
  <c r="AD46" i="7"/>
  <c r="AA35" i="7"/>
  <c r="AA46" i="7"/>
  <c r="AH34" i="7"/>
  <c r="AG44" i="7"/>
  <c r="AF44" i="7"/>
  <c r="AE34" i="7"/>
  <c r="AE45" i="7"/>
  <c r="G12" i="10"/>
  <c r="AA34" i="7"/>
  <c r="AA45" i="7"/>
  <c r="AH33" i="7"/>
  <c r="AG33" i="7"/>
  <c r="AF33" i="7"/>
  <c r="AE33" i="7"/>
  <c r="AD33" i="7"/>
  <c r="AC33" i="7"/>
  <c r="AC32" i="7"/>
  <c r="AC38" i="7"/>
  <c r="E12" i="10"/>
  <c r="AA33" i="7"/>
  <c r="AA44" i="7"/>
  <c r="AH32" i="7"/>
  <c r="AH43" i="7"/>
  <c r="AG32" i="7"/>
  <c r="AG37" i="7"/>
  <c r="AG48" i="7"/>
  <c r="AF32" i="7"/>
  <c r="AF37" i="7"/>
  <c r="AD37" i="7"/>
  <c r="AF48" i="7"/>
  <c r="AE32" i="7"/>
  <c r="AE43" i="7"/>
  <c r="AD32" i="7"/>
  <c r="AD43" i="7"/>
  <c r="AA32" i="7"/>
  <c r="AA43" i="7"/>
  <c r="W29" i="7"/>
  <c r="S29" i="7"/>
  <c r="O29" i="7"/>
  <c r="K29" i="7"/>
  <c r="G29" i="7"/>
  <c r="C29" i="7"/>
  <c r="S28" i="7"/>
  <c r="K28" i="7"/>
  <c r="C28" i="7"/>
  <c r="U43" i="6"/>
  <c r="BD43" i="6"/>
  <c r="BB43" i="6"/>
  <c r="BD54" i="6"/>
  <c r="AY53" i="6"/>
  <c r="U38" i="6"/>
  <c r="BE38" i="6"/>
  <c r="BA38" i="6"/>
  <c r="BE49" i="6"/>
  <c r="AY49" i="6"/>
  <c r="BE45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E42" i="6"/>
  <c r="BE53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A42" i="6"/>
  <c r="BD41" i="6"/>
  <c r="BD52" i="6"/>
  <c r="AY41" i="6"/>
  <c r="AY52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BC41" i="6"/>
  <c r="BC52" i="6"/>
  <c r="E41" i="6"/>
  <c r="D41" i="6"/>
  <c r="C41" i="6"/>
  <c r="AY40" i="6"/>
  <c r="AY51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BE40" i="6"/>
  <c r="L40" i="6"/>
  <c r="K40" i="6"/>
  <c r="J40" i="6"/>
  <c r="I40" i="6"/>
  <c r="H40" i="6"/>
  <c r="G40" i="6"/>
  <c r="F40" i="6"/>
  <c r="E40" i="6"/>
  <c r="D40" i="6"/>
  <c r="C40" i="6"/>
  <c r="BD39" i="6"/>
  <c r="BC39" i="6"/>
  <c r="AY39" i="6"/>
  <c r="AY50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BE39" i="6"/>
  <c r="J39" i="6"/>
  <c r="I39" i="6"/>
  <c r="H39" i="6"/>
  <c r="G39" i="6"/>
  <c r="F39" i="6"/>
  <c r="E39" i="6"/>
  <c r="D39" i="6"/>
  <c r="C39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AU35" i="6"/>
  <c r="AQ35" i="6"/>
  <c r="AM35" i="6"/>
  <c r="AI35" i="6"/>
  <c r="AE35" i="6"/>
  <c r="AA35" i="6"/>
  <c r="W35" i="6"/>
  <c r="S35" i="6"/>
  <c r="O35" i="6"/>
  <c r="K35" i="6"/>
  <c r="G35" i="6"/>
  <c r="C35" i="6"/>
  <c r="AM34" i="6"/>
  <c r="AA34" i="6"/>
  <c r="O34" i="6"/>
  <c r="C34" i="6"/>
  <c r="AY42" i="4"/>
  <c r="AY53" i="4"/>
  <c r="AA41" i="4"/>
  <c r="AC41" i="4"/>
  <c r="AG41" i="4"/>
  <c r="C41" i="4"/>
  <c r="E41" i="4"/>
  <c r="G41" i="4"/>
  <c r="I41" i="4"/>
  <c r="K41" i="4"/>
  <c r="M41" i="4"/>
  <c r="O41" i="4"/>
  <c r="Q41" i="4"/>
  <c r="S41" i="4"/>
  <c r="U41" i="4"/>
  <c r="W41" i="4"/>
  <c r="Y41" i="4"/>
  <c r="AE41" i="4"/>
  <c r="AI41" i="4"/>
  <c r="AK41" i="4"/>
  <c r="AM41" i="4"/>
  <c r="AO41" i="4"/>
  <c r="AQ41" i="4"/>
  <c r="AS41" i="4"/>
  <c r="BB41" i="4"/>
  <c r="AB41" i="4"/>
  <c r="AD41" i="4"/>
  <c r="AR41" i="4"/>
  <c r="AT41" i="4"/>
  <c r="D41" i="4"/>
  <c r="F41" i="4"/>
  <c r="H41" i="4"/>
  <c r="J41" i="4"/>
  <c r="L41" i="4"/>
  <c r="N41" i="4"/>
  <c r="P41" i="4"/>
  <c r="R41" i="4"/>
  <c r="T41" i="4"/>
  <c r="V41" i="4"/>
  <c r="X41" i="4"/>
  <c r="Z41" i="4"/>
  <c r="AF41" i="4"/>
  <c r="AH41" i="4"/>
  <c r="AJ41" i="4"/>
  <c r="AL41" i="4"/>
  <c r="AN41" i="4"/>
  <c r="AP41" i="4"/>
  <c r="AX41" i="4"/>
  <c r="BC41" i="4" s="1"/>
  <c r="AY41" i="4"/>
  <c r="AY52" i="4"/>
  <c r="I40" i="4"/>
  <c r="Y40" i="4"/>
  <c r="E40" i="4"/>
  <c r="M40" i="4"/>
  <c r="Q40" i="4"/>
  <c r="U40" i="4"/>
  <c r="AC40" i="4"/>
  <c r="AG40" i="4"/>
  <c r="AK40" i="4"/>
  <c r="AO40" i="4"/>
  <c r="AS40" i="4"/>
  <c r="BD40" i="4"/>
  <c r="C40" i="4"/>
  <c r="G40" i="4"/>
  <c r="K40" i="4"/>
  <c r="O40" i="4"/>
  <c r="S40" i="4"/>
  <c r="W40" i="4"/>
  <c r="AA40" i="4"/>
  <c r="AE40" i="4"/>
  <c r="AM40" i="4"/>
  <c r="AQ40" i="4"/>
  <c r="BB40" i="4"/>
  <c r="BE45" i="4"/>
  <c r="K43" i="4"/>
  <c r="T43" i="4"/>
  <c r="L43" i="4"/>
  <c r="M43" i="4"/>
  <c r="N43" i="4"/>
  <c r="AA43" i="4"/>
  <c r="AC43" i="4"/>
  <c r="AN43" i="4"/>
  <c r="S43" i="4"/>
  <c r="V43" i="4"/>
  <c r="AB43" i="4"/>
  <c r="AD43" i="4"/>
  <c r="AR43" i="4"/>
  <c r="AT43" i="4"/>
  <c r="U43" i="4"/>
  <c r="AM43" i="4"/>
  <c r="AO43" i="4"/>
  <c r="AP43" i="4"/>
  <c r="AQ43" i="4"/>
  <c r="AS43" i="4"/>
  <c r="AU43" i="4"/>
  <c r="AX43" i="4"/>
  <c r="BE43" i="4" s="1"/>
  <c r="H43" i="4"/>
  <c r="I43" i="4"/>
  <c r="Y43" i="4"/>
  <c r="AF43" i="4"/>
  <c r="AH43" i="4"/>
  <c r="AI43" i="4"/>
  <c r="AG43" i="4"/>
  <c r="C43" i="4"/>
  <c r="D43" i="4"/>
  <c r="E43" i="4"/>
  <c r="F43" i="4"/>
  <c r="G43" i="4"/>
  <c r="J43" i="4"/>
  <c r="O43" i="4"/>
  <c r="P43" i="4"/>
  <c r="Q43" i="4"/>
  <c r="R43" i="4"/>
  <c r="W43" i="4"/>
  <c r="X43" i="4"/>
  <c r="Z43" i="4"/>
  <c r="AE43" i="4"/>
  <c r="AJ43" i="4"/>
  <c r="AK43" i="4"/>
  <c r="AL43" i="4"/>
  <c r="BB42" i="4"/>
  <c r="BE42" i="4"/>
  <c r="T40" i="4"/>
  <c r="V40" i="4"/>
  <c r="AD40" i="4"/>
  <c r="AR40" i="4"/>
  <c r="AN40" i="4"/>
  <c r="L40" i="4"/>
  <c r="N40" i="4"/>
  <c r="AB40" i="4"/>
  <c r="AP40" i="4"/>
  <c r="AT40" i="4"/>
  <c r="AX40" i="4"/>
  <c r="BE40" i="4"/>
  <c r="AY40" i="4"/>
  <c r="AY51" i="4"/>
  <c r="AL40" i="4"/>
  <c r="AJ40" i="4"/>
  <c r="AH40" i="4"/>
  <c r="AF40" i="4"/>
  <c r="Z40" i="4"/>
  <c r="X40" i="4"/>
  <c r="R40" i="4"/>
  <c r="P40" i="4"/>
  <c r="J40" i="4"/>
  <c r="H40" i="4"/>
  <c r="F40" i="4"/>
  <c r="BC40" i="4"/>
  <c r="D40" i="4"/>
  <c r="AY39" i="4"/>
  <c r="AY50" i="4"/>
  <c r="AX39" i="4"/>
  <c r="AW39" i="4"/>
  <c r="BA39" i="4" s="1"/>
  <c r="AV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BD39" i="4"/>
  <c r="D39" i="4"/>
  <c r="C39" i="4"/>
  <c r="T38" i="4"/>
  <c r="L38" i="4"/>
  <c r="AA38" i="4"/>
  <c r="AC38" i="4"/>
  <c r="AN38" i="4"/>
  <c r="K38" i="4"/>
  <c r="M38" i="4"/>
  <c r="N38" i="4"/>
  <c r="S38" i="4"/>
  <c r="U38" i="4"/>
  <c r="V38" i="4"/>
  <c r="AB38" i="4"/>
  <c r="AD38" i="4"/>
  <c r="AM38" i="4"/>
  <c r="AO38" i="4"/>
  <c r="AP38" i="4"/>
  <c r="AQ38" i="4"/>
  <c r="AR38" i="4"/>
  <c r="AS38" i="4"/>
  <c r="AT38" i="4"/>
  <c r="AV38" i="4"/>
  <c r="AW38" i="4"/>
  <c r="AX38" i="4"/>
  <c r="BE38" i="4"/>
  <c r="BE49" i="4" s="1"/>
  <c r="C38" i="4"/>
  <c r="D38" i="4"/>
  <c r="E38" i="4"/>
  <c r="F38" i="4"/>
  <c r="G38" i="4"/>
  <c r="H38" i="4"/>
  <c r="I38" i="4"/>
  <c r="J38" i="4"/>
  <c r="O38" i="4"/>
  <c r="P38" i="4"/>
  <c r="Q38" i="4"/>
  <c r="R38" i="4"/>
  <c r="W38" i="4"/>
  <c r="X38" i="4"/>
  <c r="Y38" i="4"/>
  <c r="Z38" i="4"/>
  <c r="AE38" i="4"/>
  <c r="AF38" i="4"/>
  <c r="AG38" i="4"/>
  <c r="AH38" i="4"/>
  <c r="AI38" i="4"/>
  <c r="AJ38" i="4"/>
  <c r="AK38" i="4"/>
  <c r="AL38" i="4"/>
  <c r="BA38" i="4"/>
  <c r="BC49" i="4" s="1"/>
  <c r="BD38" i="4"/>
  <c r="BB38" i="4"/>
  <c r="BD49" i="4" s="1"/>
  <c r="AY38" i="4"/>
  <c r="AY49" i="4"/>
  <c r="BC38" i="4"/>
  <c r="BB49" i="4"/>
  <c r="AU35" i="4"/>
  <c r="AQ35" i="4"/>
  <c r="AM35" i="4"/>
  <c r="AI35" i="4"/>
  <c r="AE35" i="4"/>
  <c r="AA35" i="4"/>
  <c r="W35" i="4"/>
  <c r="S35" i="4"/>
  <c r="O35" i="4"/>
  <c r="K35" i="4"/>
  <c r="G35" i="4"/>
  <c r="C35" i="4"/>
  <c r="AM34" i="4"/>
  <c r="AA34" i="4"/>
  <c r="O34" i="4"/>
  <c r="C34" i="4"/>
  <c r="BD53" i="3"/>
  <c r="N42" i="3"/>
  <c r="AL42" i="3"/>
  <c r="F42" i="3"/>
  <c r="BC42" i="3"/>
  <c r="AI42" i="3"/>
  <c r="BA42" i="3"/>
  <c r="BC53" i="3"/>
  <c r="Y41" i="3"/>
  <c r="BD41" i="3"/>
  <c r="AI41" i="3"/>
  <c r="BB41" i="3"/>
  <c r="BD52" i="3"/>
  <c r="AY52" i="3"/>
  <c r="BB50" i="3"/>
  <c r="BE45" i="3"/>
  <c r="Y43" i="3"/>
  <c r="BD43" i="3"/>
  <c r="AI43" i="3"/>
  <c r="BB43" i="3"/>
  <c r="BD54" i="3"/>
  <c r="N43" i="3"/>
  <c r="AL43" i="3"/>
  <c r="F43" i="3"/>
  <c r="BC43" i="3"/>
  <c r="K8" i="10"/>
  <c r="K43" i="3"/>
  <c r="L43" i="3"/>
  <c r="D43" i="3"/>
  <c r="T43" i="3"/>
  <c r="BA43" i="3"/>
  <c r="D8" i="10"/>
  <c r="AX43" i="3"/>
  <c r="AW43" i="3"/>
  <c r="AV43" i="3"/>
  <c r="AU43" i="3"/>
  <c r="AT43" i="3"/>
  <c r="AS43" i="3"/>
  <c r="AR43" i="3"/>
  <c r="AQ43" i="3"/>
  <c r="AP43" i="3"/>
  <c r="AO43" i="3"/>
  <c r="AN43" i="3"/>
  <c r="AM43" i="3"/>
  <c r="AK43" i="3"/>
  <c r="AJ43" i="3"/>
  <c r="AH43" i="3"/>
  <c r="AG43" i="3"/>
  <c r="AF43" i="3"/>
  <c r="AE43" i="3"/>
  <c r="AD43" i="3"/>
  <c r="AC43" i="3"/>
  <c r="AB43" i="3"/>
  <c r="AA43" i="3"/>
  <c r="Z43" i="3"/>
  <c r="X43" i="3"/>
  <c r="W43" i="3"/>
  <c r="V43" i="3"/>
  <c r="U43" i="3"/>
  <c r="S43" i="3"/>
  <c r="R43" i="3"/>
  <c r="Q43" i="3"/>
  <c r="P43" i="3"/>
  <c r="O43" i="3"/>
  <c r="M43" i="3"/>
  <c r="BE43" i="3"/>
  <c r="BE54" i="3"/>
  <c r="J43" i="3"/>
  <c r="I43" i="3"/>
  <c r="H43" i="3"/>
  <c r="G43" i="3"/>
  <c r="E43" i="3"/>
  <c r="C43" i="3"/>
  <c r="BD42" i="3"/>
  <c r="AY42" i="3"/>
  <c r="AY53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K42" i="3"/>
  <c r="AJ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M42" i="3"/>
  <c r="L42" i="3"/>
  <c r="K42" i="3"/>
  <c r="BE42" i="3"/>
  <c r="BE53" i="3"/>
  <c r="J42" i="3"/>
  <c r="I42" i="3"/>
  <c r="H42" i="3"/>
  <c r="G42" i="3"/>
  <c r="E42" i="3"/>
  <c r="D42" i="3"/>
  <c r="C42" i="3"/>
  <c r="BB42" i="3"/>
  <c r="BB53" i="3"/>
  <c r="K41" i="3"/>
  <c r="L41" i="3"/>
  <c r="N41" i="3"/>
  <c r="AL41" i="3"/>
  <c r="BA41" i="3"/>
  <c r="BB52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K41" i="3"/>
  <c r="AJ41" i="3"/>
  <c r="AH41" i="3"/>
  <c r="AG41" i="3"/>
  <c r="AF41" i="3"/>
  <c r="AE41" i="3"/>
  <c r="AD41" i="3"/>
  <c r="AC41" i="3"/>
  <c r="AB41" i="3"/>
  <c r="AA41" i="3"/>
  <c r="Z41" i="3"/>
  <c r="X41" i="3"/>
  <c r="W41" i="3"/>
  <c r="V41" i="3"/>
  <c r="U41" i="3"/>
  <c r="T41" i="3"/>
  <c r="S41" i="3"/>
  <c r="R41" i="3"/>
  <c r="Q41" i="3"/>
  <c r="P41" i="3"/>
  <c r="O41" i="3"/>
  <c r="M41" i="3"/>
  <c r="J41" i="3"/>
  <c r="I41" i="3"/>
  <c r="H41" i="3"/>
  <c r="G41" i="3"/>
  <c r="F41" i="3"/>
  <c r="E41" i="3"/>
  <c r="D41" i="3"/>
  <c r="C41" i="3"/>
  <c r="L40" i="3"/>
  <c r="BE40" i="3"/>
  <c r="BA40" i="3"/>
  <c r="BE50" i="3"/>
  <c r="BD40" i="3"/>
  <c r="AY40" i="3"/>
  <c r="AY51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K40" i="3"/>
  <c r="J40" i="3"/>
  <c r="I40" i="3"/>
  <c r="H40" i="3"/>
  <c r="G40" i="3"/>
  <c r="F40" i="3"/>
  <c r="BC40" i="3"/>
  <c r="BC51" i="3"/>
  <c r="E40" i="3"/>
  <c r="D40" i="3"/>
  <c r="C40" i="3"/>
  <c r="BB40" i="3"/>
  <c r="BB51" i="3"/>
  <c r="AY39" i="3"/>
  <c r="AY50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T38" i="3"/>
  <c r="BE38" i="3"/>
  <c r="BA38" i="3"/>
  <c r="BE49" i="3"/>
  <c r="BD38" i="3"/>
  <c r="BD49" i="3"/>
  <c r="AY38" i="3"/>
  <c r="AY49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BC38" i="3"/>
  <c r="BC49" i="3"/>
  <c r="E38" i="3"/>
  <c r="D38" i="3"/>
  <c r="C38" i="3"/>
  <c r="BB38" i="3"/>
  <c r="BB49" i="3"/>
  <c r="AU35" i="3"/>
  <c r="AQ35" i="3"/>
  <c r="AM35" i="3"/>
  <c r="AI35" i="3"/>
  <c r="AE35" i="3"/>
  <c r="AA35" i="3"/>
  <c r="W35" i="3"/>
  <c r="S35" i="3"/>
  <c r="O35" i="3"/>
  <c r="K35" i="3"/>
  <c r="G35" i="3"/>
  <c r="C35" i="3"/>
  <c r="AM34" i="3"/>
  <c r="AA34" i="3"/>
  <c r="O34" i="3"/>
  <c r="C34" i="3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G48" i="2"/>
  <c r="F42" i="2"/>
  <c r="E42" i="2"/>
  <c r="CB42" i="2"/>
  <c r="C42" i="2"/>
  <c r="BZ42" i="2"/>
  <c r="CB53" i="2"/>
  <c r="D42" i="2"/>
  <c r="BA41" i="2"/>
  <c r="CB41" i="2"/>
  <c r="BZ41" i="2"/>
  <c r="CB52" i="2"/>
  <c r="BW41" i="2"/>
  <c r="BW52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B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CA41" i="2"/>
  <c r="BY41" i="2"/>
  <c r="CA52" i="2"/>
  <c r="D41" i="2"/>
  <c r="C41" i="2"/>
  <c r="BZ52" i="2"/>
  <c r="BW40" i="2"/>
  <c r="BW51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CB40" i="2"/>
  <c r="BZ40" i="2"/>
  <c r="CB51" i="2"/>
  <c r="D40" i="2"/>
  <c r="C40" i="2"/>
  <c r="BY40" i="2"/>
  <c r="BZ51" i="2"/>
  <c r="AW39" i="2"/>
  <c r="CB39" i="2"/>
  <c r="BW39" i="2"/>
  <c r="BW50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B39" i="2"/>
  <c r="BA39" i="2"/>
  <c r="AZ39" i="2"/>
  <c r="AY39" i="2"/>
  <c r="AX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CA39" i="2"/>
  <c r="BY39" i="2"/>
  <c r="CA50" i="2"/>
  <c r="D39" i="2"/>
  <c r="CC39" i="2"/>
  <c r="CC49" i="2"/>
  <c r="C39" i="2"/>
  <c r="BW38" i="2"/>
  <c r="BW49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CB38" i="2"/>
  <c r="D38" i="2"/>
  <c r="C38" i="2"/>
  <c r="I37" i="2"/>
  <c r="AS37" i="2"/>
  <c r="CB37" i="2"/>
  <c r="AY37" i="2"/>
  <c r="BZ37" i="2"/>
  <c r="CB48" i="2"/>
  <c r="BW37" i="2"/>
  <c r="BW48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B37" i="2"/>
  <c r="BA37" i="2"/>
  <c r="AZ37" i="2"/>
  <c r="AX37" i="2"/>
  <c r="AW37" i="2"/>
  <c r="AV37" i="2"/>
  <c r="AU37" i="2"/>
  <c r="AT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H37" i="2"/>
  <c r="G37" i="2"/>
  <c r="F37" i="2"/>
  <c r="E37" i="2"/>
  <c r="CA37" i="2"/>
  <c r="BY37" i="2"/>
  <c r="CA48" i="2"/>
  <c r="D37" i="2"/>
  <c r="CC37" i="2"/>
  <c r="CC48" i="2"/>
  <c r="C37" i="2"/>
  <c r="BS34" i="2"/>
  <c r="BO34" i="2"/>
  <c r="BK34" i="2"/>
  <c r="BG34" i="2"/>
  <c r="AY34" i="2"/>
  <c r="AU34" i="2"/>
  <c r="AQ34" i="2"/>
  <c r="AM34" i="2"/>
  <c r="AI34" i="2"/>
  <c r="AE34" i="2"/>
  <c r="AA34" i="2"/>
  <c r="W34" i="2"/>
  <c r="S34" i="2"/>
  <c r="O34" i="2"/>
  <c r="K34" i="2"/>
  <c r="G34" i="2"/>
  <c r="C34" i="2"/>
  <c r="BG33" i="2"/>
  <c r="AQ33" i="2"/>
  <c r="AE33" i="2"/>
  <c r="S33" i="2"/>
  <c r="C33" i="2"/>
  <c r="AM54" i="1"/>
  <c r="AS46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AR44" i="1"/>
  <c r="AP44" i="1"/>
  <c r="AR55" i="1"/>
  <c r="D44" i="1"/>
  <c r="C44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AR43" i="1"/>
  <c r="AP43" i="1"/>
  <c r="AR54" i="1"/>
  <c r="D43" i="1"/>
  <c r="C43" i="1"/>
  <c r="AS43" i="1"/>
  <c r="AO43" i="1"/>
  <c r="AS54" i="1"/>
  <c r="I42" i="1"/>
  <c r="M42" i="1"/>
  <c r="U42" i="1"/>
  <c r="Y42" i="1"/>
  <c r="AR42" i="1"/>
  <c r="S42" i="1"/>
  <c r="W42" i="1"/>
  <c r="AI42" i="1"/>
  <c r="AP42" i="1"/>
  <c r="AR53" i="1"/>
  <c r="AM42" i="1"/>
  <c r="AM53" i="1"/>
  <c r="AL42" i="1"/>
  <c r="AK42" i="1"/>
  <c r="AJ42" i="1"/>
  <c r="AH42" i="1"/>
  <c r="AG42" i="1"/>
  <c r="AF42" i="1"/>
  <c r="AE42" i="1"/>
  <c r="AD42" i="1"/>
  <c r="AC42" i="1"/>
  <c r="AB42" i="1"/>
  <c r="AA42" i="1"/>
  <c r="Z42" i="1"/>
  <c r="X42" i="1"/>
  <c r="V42" i="1"/>
  <c r="T42" i="1"/>
  <c r="R42" i="1"/>
  <c r="Q42" i="1"/>
  <c r="P42" i="1"/>
  <c r="O42" i="1"/>
  <c r="N42" i="1"/>
  <c r="L42" i="1"/>
  <c r="K42" i="1"/>
  <c r="J42" i="1"/>
  <c r="H42" i="1"/>
  <c r="G42" i="1"/>
  <c r="F42" i="1"/>
  <c r="E42" i="1"/>
  <c r="AQ42" i="1"/>
  <c r="AO42" i="1"/>
  <c r="AQ53" i="1"/>
  <c r="D42" i="1"/>
  <c r="C42" i="1"/>
  <c r="AP53" i="1"/>
  <c r="AM41" i="1"/>
  <c r="AM52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AR41" i="1"/>
  <c r="D41" i="1"/>
  <c r="C41" i="1"/>
  <c r="AS41" i="1"/>
  <c r="I40" i="1"/>
  <c r="M40" i="1"/>
  <c r="Y40" i="1"/>
  <c r="AR40" i="1"/>
  <c r="AM40" i="1"/>
  <c r="AM51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X40" i="1"/>
  <c r="W40" i="1"/>
  <c r="V40" i="1"/>
  <c r="U40" i="1"/>
  <c r="T40" i="1"/>
  <c r="S40" i="1"/>
  <c r="R40" i="1"/>
  <c r="Q40" i="1"/>
  <c r="P40" i="1"/>
  <c r="O40" i="1"/>
  <c r="N40" i="1"/>
  <c r="L40" i="1"/>
  <c r="K40" i="1"/>
  <c r="J40" i="1"/>
  <c r="H40" i="1"/>
  <c r="G40" i="1"/>
  <c r="F40" i="1"/>
  <c r="E40" i="1"/>
  <c r="AQ40" i="1"/>
  <c r="D40" i="1"/>
  <c r="C40" i="1"/>
  <c r="AO40" i="1"/>
  <c r="AM39" i="1"/>
  <c r="AM50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AQ39" i="1"/>
  <c r="AO39" i="1"/>
  <c r="AQ50" i="1"/>
  <c r="D39" i="1"/>
  <c r="C39" i="1"/>
  <c r="AS39" i="1"/>
  <c r="AS50" i="1"/>
  <c r="AI36" i="1"/>
  <c r="AE36" i="1"/>
  <c r="AA36" i="1"/>
  <c r="W36" i="1"/>
  <c r="S36" i="1"/>
  <c r="O36" i="1"/>
  <c r="K36" i="1"/>
  <c r="G36" i="1"/>
  <c r="C36" i="1"/>
  <c r="AA35" i="1"/>
  <c r="O35" i="1"/>
  <c r="C35" i="1"/>
  <c r="CA42" i="2"/>
  <c r="K7" i="10"/>
  <c r="CA49" i="2"/>
  <c r="BZ48" i="2"/>
  <c r="BZ39" i="2"/>
  <c r="W45" i="15"/>
  <c r="V43" i="15"/>
  <c r="W42" i="15"/>
  <c r="Y33" i="15"/>
  <c r="Y44" i="15"/>
  <c r="Y34" i="15"/>
  <c r="Y45" i="15"/>
  <c r="U37" i="15"/>
  <c r="Y31" i="15"/>
  <c r="Y42" i="15"/>
  <c r="Y48" i="15"/>
  <c r="Y35" i="15"/>
  <c r="Y36" i="15"/>
  <c r="Y47" i="15"/>
  <c r="Y32" i="15"/>
  <c r="Y43" i="15"/>
  <c r="X44" i="15"/>
  <c r="X43" i="15"/>
  <c r="X45" i="15"/>
  <c r="X36" i="15"/>
  <c r="X47" i="15"/>
  <c r="Y46" i="15"/>
  <c r="V44" i="15"/>
  <c r="AE44" i="7"/>
  <c r="AE37" i="7"/>
  <c r="I6" i="10"/>
  <c r="I17" i="10" s="1"/>
  <c r="AO44" i="1"/>
  <c r="AP55" i="1"/>
  <c r="BA41" i="6"/>
  <c r="BA40" i="6"/>
  <c r="BA44" i="6"/>
  <c r="AP41" i="1"/>
  <c r="AR52" i="1"/>
  <c r="AR51" i="1"/>
  <c r="BE51" i="6"/>
  <c r="BE50" i="6"/>
  <c r="AO41" i="1"/>
  <c r="AS52" i="1"/>
  <c r="AS51" i="1"/>
  <c r="AP52" i="1"/>
  <c r="AP54" i="1"/>
  <c r="D6" i="10"/>
  <c r="AS44" i="1"/>
  <c r="AS55" i="1"/>
  <c r="CC50" i="2"/>
  <c r="BD39" i="3"/>
  <c r="BC39" i="3"/>
  <c r="BE51" i="3"/>
  <c r="BC39" i="4"/>
  <c r="AH45" i="7"/>
  <c r="AH37" i="7"/>
  <c r="AH48" i="7"/>
  <c r="K12" i="10"/>
  <c r="AE48" i="7"/>
  <c r="AH44" i="7"/>
  <c r="AS40" i="1"/>
  <c r="AQ43" i="1"/>
  <c r="AQ54" i="1"/>
  <c r="CC40" i="2"/>
  <c r="CC51" i="2"/>
  <c r="BC50" i="3"/>
  <c r="BE43" i="6"/>
  <c r="BA43" i="6"/>
  <c r="BE54" i="6"/>
  <c r="D11" i="10"/>
  <c r="AF38" i="7"/>
  <c r="AF49" i="7"/>
  <c r="N36" i="8"/>
  <c r="P47" i="8"/>
  <c r="BQ65" i="9"/>
  <c r="BQ77" i="9"/>
  <c r="BN65" i="9"/>
  <c r="BN77" i="9"/>
  <c r="AR39" i="1"/>
  <c r="AP39" i="1"/>
  <c r="AR50" i="1"/>
  <c r="AP40" i="1"/>
  <c r="AP51" i="1"/>
  <c r="AQ44" i="1"/>
  <c r="CC38" i="2"/>
  <c r="BY42" i="2"/>
  <c r="CA53" i="2"/>
  <c r="BE41" i="3"/>
  <c r="BE52" i="3"/>
  <c r="I8" i="10"/>
  <c r="BB54" i="3"/>
  <c r="BC54" i="3"/>
  <c r="BD42" i="4"/>
  <c r="BD38" i="6"/>
  <c r="BB38" i="6"/>
  <c r="BD49" i="6"/>
  <c r="BC38" i="6"/>
  <c r="BC49" i="6"/>
  <c r="BB49" i="6"/>
  <c r="AG38" i="7"/>
  <c r="AG49" i="7"/>
  <c r="AF43" i="7"/>
  <c r="O37" i="8"/>
  <c r="AP50" i="1"/>
  <c r="CA38" i="2"/>
  <c r="I7" i="10"/>
  <c r="BZ53" i="2"/>
  <c r="BD40" i="6"/>
  <c r="BC40" i="6"/>
  <c r="AD45" i="7"/>
  <c r="AD44" i="7"/>
  <c r="AQ41" i="1"/>
  <c r="AS42" i="1"/>
  <c r="AS53" i="1"/>
  <c r="I11" i="10"/>
  <c r="H11" i="10" s="1"/>
  <c r="BB54" i="6"/>
  <c r="BM63" i="9"/>
  <c r="BQ74" i="9"/>
  <c r="BQ75" i="9"/>
  <c r="BN78" i="9"/>
  <c r="G6" i="10"/>
  <c r="BZ38" i="2"/>
  <c r="CB50" i="2"/>
  <c r="CB49" i="2"/>
  <c r="CA40" i="2"/>
  <c r="CA51" i="2"/>
  <c r="CC41" i="2"/>
  <c r="CC52" i="2"/>
  <c r="BA39" i="3"/>
  <c r="BE39" i="3"/>
  <c r="BB39" i="3"/>
  <c r="BD51" i="3"/>
  <c r="BD50" i="3"/>
  <c r="BC41" i="3"/>
  <c r="BC52" i="3"/>
  <c r="BE39" i="4"/>
  <c r="BB39" i="4"/>
  <c r="BD41" i="4"/>
  <c r="BD52" i="4" s="1"/>
  <c r="BD43" i="4"/>
  <c r="BB43" i="4"/>
  <c r="BB40" i="6"/>
  <c r="AC37" i="7"/>
  <c r="D12" i="10"/>
  <c r="M34" i="8"/>
  <c r="N34" i="8"/>
  <c r="Q45" i="8"/>
  <c r="Q44" i="8"/>
  <c r="D7" i="10"/>
  <c r="CC42" i="2"/>
  <c r="CC53" i="2"/>
  <c r="BE41" i="4"/>
  <c r="BB41" i="6"/>
  <c r="BB52" i="6"/>
  <c r="BE41" i="6"/>
  <c r="BE52" i="6"/>
  <c r="AE38" i="7"/>
  <c r="AE49" i="7"/>
  <c r="AH38" i="7"/>
  <c r="AH49" i="7"/>
  <c r="AD38" i="7"/>
  <c r="AD49" i="7"/>
  <c r="AG43" i="7"/>
  <c r="P45" i="8"/>
  <c r="P44" i="8"/>
  <c r="BN75" i="9"/>
  <c r="BN74" i="9"/>
  <c r="BY38" i="2"/>
  <c r="BB39" i="6"/>
  <c r="BA39" i="6"/>
  <c r="BD44" i="6"/>
  <c r="BD55" i="6"/>
  <c r="BD42" i="6"/>
  <c r="BD53" i="6"/>
  <c r="BC42" i="6"/>
  <c r="BC53" i="6"/>
  <c r="BB42" i="6"/>
  <c r="BB53" i="6"/>
  <c r="BC43" i="6"/>
  <c r="O34" i="8"/>
  <c r="N35" i="8"/>
  <c r="N46" i="8"/>
  <c r="O32" i="8"/>
  <c r="O43" i="8"/>
  <c r="Q36" i="8"/>
  <c r="BR62" i="9"/>
  <c r="BR64" i="9"/>
  <c r="BR67" i="9"/>
  <c r="T67" i="9"/>
  <c r="BO63" i="9"/>
  <c r="E67" i="9"/>
  <c r="BP63" i="9"/>
  <c r="BR63" i="9"/>
  <c r="P33" i="8"/>
  <c r="P37" i="8"/>
  <c r="N37" i="8"/>
  <c r="P48" i="8"/>
  <c r="BQ62" i="9"/>
  <c r="BQ73" i="9"/>
  <c r="BO62" i="9"/>
  <c r="BO73" i="9"/>
  <c r="G14" i="10"/>
  <c r="BQ64" i="9"/>
  <c r="BQ76" i="9"/>
  <c r="BO66" i="9"/>
  <c r="C67" i="9"/>
  <c r="BP62" i="9"/>
  <c r="BP73" i="9"/>
  <c r="BP66" i="9"/>
  <c r="BZ50" i="2"/>
  <c r="BZ49" i="2"/>
  <c r="W43" i="15"/>
  <c r="W44" i="15"/>
  <c r="BQ67" i="9"/>
  <c r="BM67" i="9"/>
  <c r="D14" i="10"/>
  <c r="N45" i="8"/>
  <c r="N44" i="8"/>
  <c r="BB50" i="6"/>
  <c r="BB51" i="6"/>
  <c r="CB43" i="2"/>
  <c r="BW43" i="2"/>
  <c r="CA43" i="2"/>
  <c r="BY43" i="2"/>
  <c r="CA54" i="2"/>
  <c r="BZ43" i="2"/>
  <c r="CC43" i="2"/>
  <c r="E7" i="10"/>
  <c r="K13" i="10"/>
  <c r="J13" i="10" s="1"/>
  <c r="O48" i="8"/>
  <c r="BC44" i="6"/>
  <c r="BC55" i="6"/>
  <c r="BP67" i="9"/>
  <c r="BP78" i="9"/>
  <c r="BO67" i="9"/>
  <c r="K14" i="10"/>
  <c r="J14" i="10" s="1"/>
  <c r="BO78" i="9"/>
  <c r="Q47" i="8"/>
  <c r="Q37" i="8"/>
  <c r="Q48" i="8"/>
  <c r="G13" i="10"/>
  <c r="G8" i="10"/>
  <c r="K6" i="10"/>
  <c r="J6" i="10" s="1"/>
  <c r="AQ55" i="1"/>
  <c r="BB44" i="6"/>
  <c r="BB55" i="6"/>
  <c r="BE44" i="6"/>
  <c r="BE55" i="6"/>
  <c r="BQ68" i="9"/>
  <c r="BM68" i="9"/>
  <c r="E14" i="10"/>
  <c r="BP68" i="9"/>
  <c r="BP79" i="9"/>
  <c r="BK68" i="9"/>
  <c r="BO68" i="9"/>
  <c r="BO79" i="9"/>
  <c r="BR68" i="9"/>
  <c r="BN68" i="9"/>
  <c r="BN79" i="9"/>
  <c r="N38" i="8"/>
  <c r="M38" i="8"/>
  <c r="E13" i="10"/>
  <c r="Q38" i="8"/>
  <c r="K38" i="8"/>
  <c r="O38" i="8"/>
  <c r="P38" i="8"/>
  <c r="O44" i="8"/>
  <c r="O45" i="8"/>
  <c r="I12" i="10"/>
  <c r="H12" i="10" s="1"/>
  <c r="AD48" i="7"/>
  <c r="BD44" i="3"/>
  <c r="AY44" i="3"/>
  <c r="BC44" i="3"/>
  <c r="BA44" i="3"/>
  <c r="BC55" i="3"/>
  <c r="BB44" i="3"/>
  <c r="BB55" i="3"/>
  <c r="E8" i="10"/>
  <c r="BE44" i="3"/>
  <c r="BC50" i="6"/>
  <c r="BC51" i="6"/>
  <c r="AY44" i="6"/>
  <c r="AY55" i="6"/>
  <c r="BO75" i="9"/>
  <c r="BO74" i="9"/>
  <c r="I9" i="10"/>
  <c r="G11" i="10"/>
  <c r="BN67" i="9"/>
  <c r="I14" i="10"/>
  <c r="N47" i="8"/>
  <c r="BP75" i="9"/>
  <c r="BP74" i="9"/>
  <c r="K11" i="10"/>
  <c r="J11" i="10" s="1"/>
  <c r="BC54" i="6"/>
  <c r="AQ52" i="1"/>
  <c r="AQ51" i="1"/>
  <c r="BD51" i="6"/>
  <c r="BD50" i="6"/>
  <c r="G7" i="10"/>
  <c r="AS45" i="1"/>
  <c r="AO45" i="1"/>
  <c r="AQ45" i="1"/>
  <c r="AP45" i="1"/>
  <c r="AQ56" i="1"/>
  <c r="AM45" i="1"/>
  <c r="AM56" i="1"/>
  <c r="AR45" i="1"/>
  <c r="AR56" i="1"/>
  <c r="H6" i="10"/>
  <c r="CC54" i="2"/>
  <c r="CB54" i="2"/>
  <c r="BZ54" i="2"/>
  <c r="F14" i="10"/>
  <c r="BK79" i="9"/>
  <c r="AS56" i="1"/>
  <c r="AP56" i="1"/>
  <c r="BE55" i="3"/>
  <c r="F8" i="10"/>
  <c r="AY55" i="3"/>
  <c r="F13" i="10"/>
  <c r="K49" i="8"/>
  <c r="I13" i="10"/>
  <c r="N48" i="8"/>
  <c r="BD55" i="3"/>
  <c r="BM79" i="9"/>
  <c r="BQ79" i="9"/>
  <c r="F7" i="10"/>
  <c r="BW54" i="2"/>
  <c r="F21" i="12" l="1"/>
  <c r="D21" i="12"/>
  <c r="E21" i="12"/>
  <c r="E17" i="10"/>
  <c r="H7" i="10"/>
  <c r="H8" i="10"/>
  <c r="J7" i="10"/>
  <c r="F16" i="18"/>
  <c r="F8" i="18"/>
  <c r="H13" i="10"/>
  <c r="H14" i="10"/>
  <c r="J8" i="10"/>
  <c r="J12" i="10"/>
  <c r="H10" i="10"/>
  <c r="W46" i="15"/>
  <c r="W48" i="15" s="1"/>
  <c r="V46" i="15"/>
  <c r="V47" i="15"/>
  <c r="G31" i="17"/>
  <c r="C31" i="17"/>
  <c r="N39" i="17"/>
  <c r="N38" i="17"/>
  <c r="N31" i="17"/>
  <c r="O29" i="17"/>
  <c r="O28" i="17"/>
  <c r="L27" i="17"/>
  <c r="M27" i="17"/>
  <c r="O30" i="17"/>
  <c r="L26" i="17"/>
  <c r="L37" i="17" s="1"/>
  <c r="L43" i="17" s="1"/>
  <c r="K29" i="17"/>
  <c r="O40" i="17" s="1"/>
  <c r="K28" i="17"/>
  <c r="L38" i="17" s="1"/>
  <c r="N40" i="17"/>
  <c r="L30" i="17"/>
  <c r="M26" i="17"/>
  <c r="M37" i="17" s="1"/>
  <c r="O27" i="17"/>
  <c r="O26" i="17"/>
  <c r="O37" i="17" s="1"/>
  <c r="O43" i="17" s="1"/>
  <c r="M30" i="17"/>
  <c r="K27" i="17"/>
  <c r="K30" i="17"/>
  <c r="M29" i="17"/>
  <c r="M28" i="17"/>
  <c r="S37" i="15"/>
  <c r="S48" i="15" s="1"/>
  <c r="X37" i="15"/>
  <c r="V37" i="15"/>
  <c r="Y37" i="15"/>
  <c r="BD53" i="4"/>
  <c r="BA42" i="4"/>
  <c r="BC53" i="4" s="1"/>
  <c r="BA41" i="4"/>
  <c r="BC52" i="4" s="1"/>
  <c r="BC43" i="4"/>
  <c r="K9" i="10" s="1"/>
  <c r="K17" i="10" s="1"/>
  <c r="BD54" i="4"/>
  <c r="BD51" i="4"/>
  <c r="BC51" i="4"/>
  <c r="BB51" i="4"/>
  <c r="BE51" i="4"/>
  <c r="BE50" i="4"/>
  <c r="BB50" i="4"/>
  <c r="BC50" i="4"/>
  <c r="G9" i="10"/>
  <c r="G17" i="10" s="1"/>
  <c r="BE44" i="4"/>
  <c r="BC44" i="4"/>
  <c r="BA44" i="4"/>
  <c r="BB44" i="4"/>
  <c r="BD44" i="4"/>
  <c r="BB52" i="4"/>
  <c r="BE52" i="4"/>
  <c r="BA43" i="4"/>
  <c r="BB54" i="4" s="1"/>
  <c r="BD50" i="4"/>
  <c r="O39" i="17" l="1"/>
  <c r="L39" i="17"/>
  <c r="M40" i="17"/>
  <c r="K31" i="17"/>
  <c r="O38" i="17"/>
  <c r="N32" i="17"/>
  <c r="K32" i="17"/>
  <c r="O31" i="17"/>
  <c r="O42" i="17" s="1"/>
  <c r="L41" i="17"/>
  <c r="L31" i="17"/>
  <c r="L32" i="17"/>
  <c r="M41" i="17"/>
  <c r="M43" i="17" s="1"/>
  <c r="O41" i="17"/>
  <c r="M32" i="17"/>
  <c r="O32" i="17"/>
  <c r="M38" i="17"/>
  <c r="M31" i="17"/>
  <c r="M39" i="17"/>
  <c r="AY44" i="4"/>
  <c r="AY55" i="4" s="1"/>
  <c r="BE53" i="4"/>
  <c r="BB53" i="4"/>
  <c r="BC55" i="4"/>
  <c r="BC54" i="4"/>
  <c r="BB55" i="4"/>
  <c r="D9" i="10"/>
  <c r="BD55" i="4"/>
  <c r="BE55" i="4"/>
  <c r="BE54" i="4"/>
  <c r="H9" i="10" l="1"/>
  <c r="D17" i="10"/>
  <c r="M42" i="17"/>
  <c r="L42" i="17"/>
  <c r="N42" i="17"/>
  <c r="J9" i="10"/>
  <c r="H17" i="10"/>
  <c r="J17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7" authorId="0" shapeId="0" xr:uid="{00000000-0006-0000-0900-000001000000}">
      <text>
        <r>
          <rPr>
            <sz val="11"/>
            <color rgb="FF000000"/>
            <rFont val="Arial"/>
            <family val="2"/>
          </rPr>
          <t xml:space="preserve">Yannick ROGUET:
</t>
        </r>
        <r>
          <rPr>
            <sz val="9"/>
            <color rgb="FF000000"/>
            <rFont val="Arial1"/>
          </rPr>
          <t>formule à remplir manuelement en fonction de la majorité de la colonne</t>
        </r>
      </text>
    </comment>
  </commentList>
</comments>
</file>

<file path=xl/sharedStrings.xml><?xml version="1.0" encoding="utf-8"?>
<sst xmlns="http://schemas.openxmlformats.org/spreadsheetml/2006/main" count="2289" uniqueCount="215">
  <si>
    <t>Lieu :</t>
  </si>
  <si>
    <t>La Roche Face Biocoop</t>
  </si>
  <si>
    <t>Date :</t>
  </si>
  <si>
    <t>Nom des personnes participant au comptage :</t>
  </si>
  <si>
    <t>Météo :</t>
  </si>
  <si>
    <t>Remarques :</t>
  </si>
  <si>
    <t>PRINCIPE D’UTILISATION : pour chaque intervalle de temps, comptabiliser VAE/vélo dans la colonne H/F</t>
  </si>
  <si>
    <t>De La Gare (Fg St Bernard) vers</t>
  </si>
  <si>
    <t>Du Pont du Foron vers</t>
  </si>
  <si>
    <t>Du Rd Point La Poste vers</t>
  </si>
  <si>
    <t>Rd Pt Poste</t>
  </si>
  <si>
    <t>Rue Perrine</t>
  </si>
  <si>
    <t>Pont du Foron</t>
  </si>
  <si>
    <t>La Gare</t>
  </si>
  <si>
    <t>H</t>
  </si>
  <si>
    <t>F</t>
  </si>
  <si>
    <t>Heure</t>
  </si>
  <si>
    <t>Minute</t>
  </si>
  <si>
    <t>VAE</t>
  </si>
  <si>
    <t>vélo</t>
  </si>
  <si>
    <t>30 – 45</t>
  </si>
  <si>
    <t xml:space="preserve"> 45 - 59</t>
  </si>
  <si>
    <t>00 – 15</t>
  </si>
  <si>
    <t>15 – 30</t>
  </si>
  <si>
    <t>45 – 59</t>
  </si>
  <si>
    <t>Vélo sur trottoir</t>
  </si>
  <si>
    <t>Vélo Spécial (Cargo/Carriole…)</t>
  </si>
  <si>
    <t>Enfant</t>
  </si>
  <si>
    <t>2 roues hors vélo (trottinette, skate...)</t>
  </si>
  <si>
    <t>TOTAL</t>
  </si>
  <si>
    <t>Nombre de VAE dans le total</t>
  </si>
  <si>
    <t>Nombre de femmes dans le total</t>
  </si>
  <si>
    <t>Nombre de VAE chez les femmes</t>
  </si>
  <si>
    <t>Cycles direc La Gare</t>
  </si>
  <si>
    <t>Période</t>
  </si>
  <si>
    <t>6:30 à 7:00</t>
  </si>
  <si>
    <t>7:00 à 7:30</t>
  </si>
  <si>
    <t>7:30 à 8:00</t>
  </si>
  <si>
    <t>8:00 à 8:30</t>
  </si>
  <si>
    <t>8:30 à 9:00</t>
  </si>
  <si>
    <t>Part des VAE dans le total</t>
  </si>
  <si>
    <t>Part des femmes dans le total</t>
  </si>
  <si>
    <t>Part des VAE chez les femmes</t>
  </si>
  <si>
    <t>voir heure de pointe</t>
  </si>
  <si>
    <t>Rond Point La Poste</t>
  </si>
  <si>
    <t>De Bonneville vers</t>
  </si>
  <si>
    <t>DeGrenette (contre-sens)</t>
  </si>
  <si>
    <t>De MJC vers</t>
  </si>
  <si>
    <t>Grenette</t>
  </si>
  <si>
    <t>Office Tourisme</t>
  </si>
  <si>
    <t>Pompiers</t>
  </si>
  <si>
    <t>Parking</t>
  </si>
  <si>
    <t>Bonneville</t>
  </si>
  <si>
    <t>Place Grenette</t>
  </si>
  <si>
    <t>Office tourisme</t>
  </si>
  <si>
    <t>Cycle sur rte Bonneville</t>
  </si>
  <si>
    <t>Remarque</t>
  </si>
  <si>
    <t>La Roche Rond-Point ENILV</t>
  </si>
  <si>
    <t>Principe d'utilisation pour chaque intervalle de temps, Marquer une croix vélo ou VAE dans la colonne H ou F</t>
  </si>
  <si>
    <t>Du centre (La Roche) vers</t>
  </si>
  <si>
    <t>D'Eteaux av Gambetta vers</t>
  </si>
  <si>
    <t>De Reignier vers</t>
  </si>
  <si>
    <t>Av Gambetta Eteaux</t>
  </si>
  <si>
    <t>Reignier</t>
  </si>
  <si>
    <t>La Roche</t>
  </si>
  <si>
    <t>Cycles sur route de Reignier</t>
  </si>
  <si>
    <t>34 piétons plus 32 étudiants piétons en direction lycée</t>
  </si>
  <si>
    <t>et seulement 2 écoliers- 2 enfants comptés qui étaient sur le trottoir avec 1 parent</t>
  </si>
  <si>
    <t>2 des 3 femmes circulaient sur le trottoir !</t>
  </si>
  <si>
    <t>3 cyclosportifs</t>
  </si>
  <si>
    <t>La Roche Gare/Passage à niveau</t>
  </si>
  <si>
    <t>D’Eteaux vers</t>
  </si>
  <si>
    <t>De av Lucien Rannard vers</t>
  </si>
  <si>
    <t>De av J Jaurès vers</t>
  </si>
  <si>
    <t>Av L Rannard</t>
  </si>
  <si>
    <t>Av J Jaurès</t>
  </si>
  <si>
    <t>Eteaux</t>
  </si>
  <si>
    <t>De La Roche vers</t>
  </si>
  <si>
    <t>Arenthon La Papeterie</t>
  </si>
  <si>
    <t>Bea</t>
  </si>
  <si>
    <t>De Arenthon vers</t>
  </si>
  <si>
    <t>De Rte Papeterie vers</t>
  </si>
  <si>
    <t>De TNA vers</t>
  </si>
  <si>
    <t>TNA</t>
  </si>
  <si>
    <t>Rte Papeterie</t>
  </si>
  <si>
    <t>Arenthon</t>
  </si>
  <si>
    <t>St Pierre Franchissement du Borne Dessy</t>
  </si>
  <si>
    <t>De Rte Gorges du Borne vers</t>
  </si>
  <si>
    <t>De Avenue des Digues vers</t>
  </si>
  <si>
    <t>Av des Digues</t>
  </si>
  <si>
    <t>Rte Gorges du Borne</t>
  </si>
  <si>
    <t>mn</t>
  </si>
  <si>
    <t>Cycles sur rte de Dessy</t>
  </si>
  <si>
    <t>Cycles sur rte des Digues</t>
  </si>
  <si>
    <t>Bonneville Franchissement du Borne Tucinge</t>
  </si>
  <si>
    <t>Pont du Borne</t>
  </si>
  <si>
    <t>Depuis Bonneville</t>
  </si>
  <si>
    <t>Depuis St Pierre</t>
  </si>
  <si>
    <t>Cycles en direction de Bonneville</t>
  </si>
  <si>
    <t>2 enfants + 3 trotinnettes</t>
  </si>
  <si>
    <t>Mardi jour de marché peut expliquer le pic de fréquance de 8 à 9</t>
  </si>
  <si>
    <t>Beaucoup plus de piétons que de vélos</t>
  </si>
  <si>
    <t>St Pierre Pont sur le Borne Principal - RD 1203</t>
  </si>
  <si>
    <t>côté La Roche</t>
  </si>
  <si>
    <t>côté Bonneville</t>
  </si>
  <si>
    <t>De S Stade vers</t>
  </si>
  <si>
    <t>De B Bonneville vers</t>
  </si>
  <si>
    <t>De P Prison vers</t>
  </si>
  <si>
    <t>B Bonneville</t>
  </si>
  <si>
    <t>P Prison</t>
  </si>
  <si>
    <t>T Tucinges</t>
  </si>
  <si>
    <t>R La Roche</t>
  </si>
  <si>
    <t>D Digues</t>
  </si>
  <si>
    <t>S Stade</t>
  </si>
  <si>
    <t>2 roues hors vélo</t>
  </si>
  <si>
    <t>Et cocher en bas de la grille si déplacement sur trottoir  et/ou si enfant  et/ou si 2 roues hors vélo (trottinette, skate, ets)</t>
  </si>
  <si>
    <t>De T Toisinges vers</t>
  </si>
  <si>
    <t>De R La Roche vers</t>
  </si>
  <si>
    <t>De D Digues vers</t>
  </si>
  <si>
    <t>Cycles en direction de Bonneville ou La Roche</t>
  </si>
  <si>
    <t>sur piste cyclable des Digues</t>
  </si>
  <si>
    <t>7h30 7h30</t>
  </si>
  <si>
    <t>SECTEUR "NATENV"</t>
  </si>
  <si>
    <t>Période comptée</t>
  </si>
  <si>
    <t>NB total
de vélos</t>
  </si>
  <si>
    <t>Heure de pointe</t>
  </si>
  <si>
    <t>Nombre</t>
  </si>
  <si>
    <t>VAE / total</t>
  </si>
  <si>
    <t>Femmes / total</t>
  </si>
  <si>
    <t>COMMUNE Nom du carrefour</t>
  </si>
  <si>
    <t>Début</t>
  </si>
  <si>
    <t>Fin</t>
  </si>
  <si>
    <t>de 830à830 à 9h7</t>
  </si>
  <si>
    <t>%</t>
  </si>
  <si>
    <t>6h30</t>
  </si>
  <si>
    <t>9h00</t>
  </si>
  <si>
    <t>8:00 9:00</t>
  </si>
  <si>
    <t>8h35</t>
  </si>
  <si>
    <t>7:30 à 8:30</t>
  </si>
  <si>
    <t>de 8:00 à 9:00</t>
  </si>
  <si>
    <t>8 points de comptage</t>
  </si>
  <si>
    <t>points de comptage tenus par 9 bénévoles NATENV/La Fabrique à Biclou/PRET</t>
  </si>
  <si>
    <t>COMPTAGES VELO 2020/2021 COMPARATIF</t>
  </si>
  <si>
    <t>de 8 à 9h</t>
  </si>
  <si>
    <t>La Roche Rond-Point La Poste</t>
  </si>
  <si>
    <t>8:00 à 9:00</t>
  </si>
  <si>
    <t>Arenthon La Papeterie RD19/TNA</t>
  </si>
  <si>
    <t>Scientrier Carrefour Pont de Bellecombe</t>
  </si>
  <si>
    <t>Amancy Giratoire de la Coriandre- RD903 et 1203</t>
  </si>
  <si>
    <t>de 7:00 à 8:00</t>
  </si>
  <si>
    <t>Horaire comptage</t>
  </si>
  <si>
    <t>COMMUNE Nom du point de comptage</t>
  </si>
  <si>
    <t>2021 La Roche Gare/Passage à niveau</t>
  </si>
  <si>
    <t>De Gare et av Gare vers</t>
  </si>
  <si>
    <t>Gare/av Gare</t>
  </si>
  <si>
    <t>Rajouter aussi en bas de la feuille si déplacement vélo sur trottoir et/ou si enfant</t>
  </si>
  <si>
    <t>Comptabiliser en bas de la grille si 2 roues hors vélo qui ne sont pas cochés dans la grille (trottinette, skate, ets)</t>
  </si>
  <si>
    <t>De Toisinges vers</t>
  </si>
  <si>
    <t>De Digues vers</t>
  </si>
  <si>
    <t>De Stade vers</t>
  </si>
  <si>
    <t>De Prison vers</t>
  </si>
  <si>
    <t>Av Libération
Enilv</t>
  </si>
  <si>
    <t>De Av Libération Enilv vers</t>
  </si>
  <si>
    <t>La Roche Rond-Point ENILV - St Renan</t>
  </si>
  <si>
    <t>RN 1203</t>
  </si>
  <si>
    <t>Passage souterrain</t>
  </si>
  <si>
    <t>Direct Bonneville</t>
  </si>
  <si>
    <t>Direct La Roche</t>
  </si>
  <si>
    <t>Direct Amancy</t>
  </si>
  <si>
    <t>Direct Vozerier</t>
  </si>
  <si>
    <t>Rajouter aussi en bas de la feuille si enfant</t>
  </si>
  <si>
    <t>Amancy Vozerier Sous terrain</t>
  </si>
  <si>
    <t>La Base</t>
  </si>
  <si>
    <t>De J Jaurès</t>
  </si>
  <si>
    <t>De Office  Tourisme vers</t>
  </si>
  <si>
    <t>De La Base(contre-sens)</t>
  </si>
  <si>
    <t>PISTE CYCLABLE</t>
  </si>
  <si>
    <t>ROINT-POINT</t>
  </si>
  <si>
    <t>De La Roche vers Bonnevile</t>
  </si>
  <si>
    <t>De Bonneville vers La Roche</t>
  </si>
  <si>
    <t>5 de gareà rue Perrine, en fait 4 en contre-sens</t>
  </si>
  <si>
    <t>20 - 6 comptés avec vélos - 14 sur trottoir non comptés</t>
  </si>
  <si>
    <t>SYNTHESE DES COMPTAGES DU 2022</t>
  </si>
  <si>
    <t>2022 J Jaures masqué</t>
  </si>
  <si>
    <t>4 écoliers</t>
  </si>
  <si>
    <t>J jaurèsregroupé ici</t>
  </si>
  <si>
    <t>15 – 20</t>
  </si>
  <si>
    <t>De Avenue de Monaz vers</t>
  </si>
  <si>
    <t>Av de Monaz</t>
  </si>
  <si>
    <t>St Pierre en face Franchissement du Borne au 245 Rte des Gorges du Borne</t>
  </si>
  <si>
    <t>1 vélo cargo</t>
  </si>
  <si>
    <t>1 en aller/retour Stade/Tucinges</t>
  </si>
  <si>
    <t>REFAIRE LA FEUILLE BEAUCOUP DE TRAJETS ST PIERRE ZI et calculs reports faux</t>
  </si>
  <si>
    <t>Amancy Sous-Terrain</t>
  </si>
  <si>
    <t>8h30</t>
  </si>
  <si>
    <t>St Pierre Mr Bricolage</t>
  </si>
  <si>
    <t>10 points de comptage</t>
  </si>
  <si>
    <t>points de comptage tenus par 11 bénévoles NATENV/La Fabrique à Biclou/PRET</t>
  </si>
  <si>
    <t>COMPTAGES VELO 2020/2021/2022 COMPARATIF</t>
  </si>
  <si>
    <t>Comparatif 2022/2021</t>
  </si>
  <si>
    <t>TOTAL sans les nouveaux points 2022</t>
  </si>
  <si>
    <t>TOTAL sans les nouveaux points 2021</t>
  </si>
  <si>
    <t>Comparatif 2021/2020</t>
  </si>
  <si>
    <t>Comparatif 2022/2020</t>
  </si>
  <si>
    <t>SYNTHESE DES COMPTAGES 2022</t>
  </si>
  <si>
    <t>31/05/22 Temps très nuageux, menaçant, fortes pluies l'après-midi</t>
  </si>
  <si>
    <r>
      <t>2021 1</t>
    </r>
    <r>
      <rPr>
        <vertAlign val="superscript"/>
        <sz val="11"/>
        <color rgb="FF000000"/>
        <rFont val="Arial"/>
        <family val="2"/>
      </rPr>
      <t>er</t>
    </r>
    <r>
      <rPr>
        <sz val="11"/>
        <color rgb="FF000000"/>
        <rFont val="Arial"/>
        <family val="2"/>
      </rPr>
      <t xml:space="preserve"> juin - Grand beau – 8 points de comptage tenus par 9 bénévoles NATENV/La Fabrique à Biclou/PRET</t>
    </r>
  </si>
  <si>
    <t>2022 31 mai - Temps menaçant – 10 points de comptage tenus par 11 bénévoles NATENV/La Fabrique à Biclou/PRET</t>
  </si>
  <si>
    <t>2022 Amancy Vozerier</t>
  </si>
  <si>
    <t>2022 St Pierre Mr Bricolage</t>
  </si>
  <si>
    <t>2020 16 juin - Grand beau – 7 points de comptage tenus par 10 bénévoles NATENV/La Fabrique à Biclou</t>
  </si>
  <si>
    <t>CICLABLE COMPTE</t>
  </si>
  <si>
    <t>2 nouveaux points 2022 en italique</t>
  </si>
  <si>
    <t>Amancy Vozerier Sous-Terrain</t>
  </si>
  <si>
    <t>nombre de point de comptage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</si>
</sst>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&quot; &quot;%"/>
    <numFmt numFmtId="165" formatCode="0&quot; &quot;%"/>
    <numFmt numFmtId="166" formatCode="dd/mm/yy"/>
    <numFmt numFmtId="167" formatCode="#,##0.00&quot; &quot;[$€-40C];[Red]&quot;-&quot;#,##0.00&quot; &quot;[$€-40C]"/>
  </numFmts>
  <fonts count="45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b/>
      <i/>
      <sz val="16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i/>
      <u/>
      <sz val="10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6"/>
      <color rgb="FF000000"/>
      <name val="Ubuntu"/>
      <family val="2"/>
    </font>
    <font>
      <b/>
      <sz val="20"/>
      <color rgb="FF000000"/>
      <name val="Ubuntu"/>
      <family val="2"/>
    </font>
    <font>
      <sz val="16"/>
      <color rgb="FF000000"/>
      <name val="Ubuntu"/>
      <family val="2"/>
    </font>
    <font>
      <b/>
      <sz val="22"/>
      <color rgb="FF000000"/>
      <name val="Ubuntu"/>
      <family val="2"/>
    </font>
    <font>
      <b/>
      <sz val="26"/>
      <color rgb="FF000000"/>
      <name val="Ubuntu"/>
      <family val="2"/>
    </font>
    <font>
      <b/>
      <sz val="18"/>
      <color rgb="FF000000"/>
      <name val="Ubuntu"/>
      <family val="2"/>
    </font>
    <font>
      <b/>
      <sz val="24"/>
      <color rgb="FF000000"/>
      <name val="Ubuntu"/>
      <family val="2"/>
    </font>
    <font>
      <b/>
      <sz val="14"/>
      <color rgb="FF000000"/>
      <name val="Ubuntu"/>
      <family val="2"/>
    </font>
    <font>
      <b/>
      <sz val="16"/>
      <color rgb="FF000000"/>
      <name val="Arial"/>
      <family val="2"/>
    </font>
    <font>
      <sz val="18"/>
      <color rgb="FF000000"/>
      <name val="Ubuntu"/>
      <family val="2"/>
    </font>
    <font>
      <sz val="12"/>
      <color rgb="FF000000"/>
      <name val="Ubuntu"/>
      <family val="2"/>
    </font>
    <font>
      <vertAlign val="superscript"/>
      <sz val="11"/>
      <color rgb="FF000000"/>
      <name val="Arial"/>
      <family val="2"/>
    </font>
    <font>
      <sz val="9"/>
      <color rgb="FF000000"/>
      <name val="Arial"/>
      <family val="2"/>
    </font>
    <font>
      <b/>
      <sz val="14"/>
      <color rgb="FFFFFFFF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1"/>
    </font>
    <font>
      <sz val="9"/>
      <color rgb="FFFF0000"/>
      <name val="Arial"/>
      <family val="2"/>
    </font>
    <font>
      <sz val="11"/>
      <color rgb="FFFF0000"/>
      <name val="Arial"/>
      <family val="2"/>
    </font>
    <font>
      <b/>
      <sz val="14"/>
      <color rgb="FFFFFFFF"/>
      <name val="Arial1"/>
    </font>
    <font>
      <b/>
      <sz val="9"/>
      <color rgb="FF000000"/>
      <name val="Arial1"/>
    </font>
    <font>
      <b/>
      <sz val="11"/>
      <color rgb="FF000000"/>
      <name val="Arial1"/>
    </font>
    <font>
      <sz val="11"/>
      <color rgb="FF000000"/>
      <name val="Arial1"/>
    </font>
    <font>
      <sz val="14"/>
      <color rgb="FF000000"/>
      <name val="Arial"/>
      <family val="2"/>
    </font>
    <font>
      <sz val="16"/>
      <color rgb="FF000000"/>
      <name val="Arial"/>
      <family val="2"/>
    </font>
    <font>
      <i/>
      <sz val="11"/>
      <color rgb="FF000000"/>
      <name val="Arial"/>
      <family val="2"/>
    </font>
    <font>
      <i/>
      <sz val="9"/>
      <color rgb="FF000000"/>
      <name val="Arial"/>
      <family val="2"/>
    </font>
    <font>
      <strike/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medium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medium">
        <color rgb="FF000000"/>
      </right>
      <top style="dashed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23">
    <xf numFmtId="0" fontId="0" fillId="0" borderId="0"/>
    <xf numFmtId="0" fontId="14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165" fontId="1" fillId="0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>
      <alignment horizontal="center"/>
    </xf>
    <xf numFmtId="0" fontId="12" fillId="0" borderId="0"/>
    <xf numFmtId="0" fontId="13" fillId="8" borderId="0"/>
    <xf numFmtId="0" fontId="15" fillId="0" borderId="0"/>
    <xf numFmtId="0" fontId="16" fillId="0" borderId="0"/>
    <xf numFmtId="167" fontId="16" fillId="0" borderId="0"/>
    <xf numFmtId="0" fontId="1" fillId="0" borderId="0"/>
    <xf numFmtId="0" fontId="1" fillId="0" borderId="0"/>
    <xf numFmtId="0" fontId="4" fillId="0" borderId="0"/>
  </cellStyleXfs>
  <cellXfs count="298">
    <xf numFmtId="0" fontId="0" fillId="0" borderId="0" xfId="0"/>
    <xf numFmtId="0" fontId="17" fillId="9" borderId="0" xfId="0" applyFont="1" applyFill="1" applyAlignment="1">
      <alignment horizontal="left" vertical="center"/>
    </xf>
    <xf numFmtId="0" fontId="18" fillId="9" borderId="0" xfId="0" applyFont="1" applyFill="1" applyAlignment="1">
      <alignment vertical="center"/>
    </xf>
    <xf numFmtId="0" fontId="19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17" fillId="9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17" fillId="9" borderId="0" xfId="0" applyFont="1" applyFill="1" applyAlignment="1">
      <alignment vertical="center"/>
    </xf>
    <xf numFmtId="0" fontId="20" fillId="0" borderId="0" xfId="0" applyFont="1"/>
    <xf numFmtId="0" fontId="0" fillId="9" borderId="0" xfId="0" applyFill="1"/>
    <xf numFmtId="0" fontId="19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21" fillId="10" borderId="0" xfId="0" applyFont="1" applyFill="1" applyAlignment="1">
      <alignment horizontal="left" vertical="center"/>
    </xf>
    <xf numFmtId="0" fontId="22" fillId="10" borderId="0" xfId="0" applyFont="1" applyFill="1" applyAlignment="1">
      <alignment horizontal="left" vertical="center"/>
    </xf>
    <xf numFmtId="0" fontId="17" fillId="10" borderId="0" xfId="0" applyFont="1" applyFill="1" applyAlignment="1">
      <alignment horizontal="left" vertical="center"/>
    </xf>
    <xf numFmtId="0" fontId="23" fillId="9" borderId="0" xfId="0" applyFont="1" applyFill="1" applyAlignment="1">
      <alignment horizontal="center" vertical="center" wrapText="1"/>
    </xf>
    <xf numFmtId="0" fontId="23" fillId="10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center" vertical="center" wrapText="1"/>
    </xf>
    <xf numFmtId="0" fontId="22" fillId="10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23" fillId="10" borderId="4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10" borderId="4" xfId="0" applyFont="1" applyFill="1" applyBorder="1" applyAlignment="1">
      <alignment horizontal="right"/>
    </xf>
    <xf numFmtId="0" fontId="17" fillId="0" borderId="4" xfId="0" applyFont="1" applyBorder="1" applyAlignment="1">
      <alignment horizontal="center" vertical="center"/>
    </xf>
    <xf numFmtId="0" fontId="19" fillId="9" borderId="0" xfId="0" applyFont="1" applyFill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4" fillId="10" borderId="0" xfId="0" applyFont="1" applyFill="1" applyAlignment="1">
      <alignment horizontal="left" vertical="center"/>
    </xf>
    <xf numFmtId="0" fontId="17" fillId="9" borderId="9" xfId="0" applyFont="1" applyFill="1" applyBorder="1" applyAlignment="1">
      <alignment horizontal="left" vertical="center"/>
    </xf>
    <xf numFmtId="0" fontId="17" fillId="9" borderId="4" xfId="0" applyFont="1" applyFill="1" applyBorder="1" applyAlignment="1">
      <alignment horizontal="center" vertical="center"/>
    </xf>
    <xf numFmtId="0" fontId="22" fillId="9" borderId="4" xfId="0" applyFont="1" applyFill="1" applyBorder="1" applyAlignment="1">
      <alignment horizontal="center" vertical="center"/>
    </xf>
    <xf numFmtId="3" fontId="26" fillId="9" borderId="4" xfId="8" applyNumberFormat="1" applyFont="1" applyFill="1" applyBorder="1" applyAlignment="1">
      <alignment horizontal="center" vertical="center"/>
    </xf>
    <xf numFmtId="3" fontId="22" fillId="9" borderId="4" xfId="8" applyNumberFormat="1" applyFont="1" applyFill="1" applyBorder="1" applyAlignment="1">
      <alignment horizontal="center" vertical="center"/>
    </xf>
    <xf numFmtId="3" fontId="22" fillId="11" borderId="4" xfId="8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165" fontId="26" fillId="9" borderId="4" xfId="8" applyFont="1" applyFill="1" applyBorder="1" applyAlignment="1">
      <alignment horizontal="center" vertical="center"/>
    </xf>
    <xf numFmtId="165" fontId="26" fillId="10" borderId="4" xfId="8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65" fontId="17" fillId="9" borderId="4" xfId="0" applyNumberFormat="1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27" fillId="10" borderId="5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4" fillId="9" borderId="0" xfId="0" applyFont="1" applyFill="1" applyAlignment="1">
      <alignment horizontal="left" vertical="center"/>
    </xf>
    <xf numFmtId="0" fontId="17" fillId="10" borderId="9" xfId="0" applyFont="1" applyFill="1" applyBorder="1" applyAlignment="1">
      <alignment horizontal="left" vertical="center"/>
    </xf>
    <xf numFmtId="0" fontId="26" fillId="0" borderId="4" xfId="0" applyFont="1" applyBorder="1" applyAlignment="1">
      <alignment horizontal="center" vertical="center"/>
    </xf>
    <xf numFmtId="1" fontId="26" fillId="0" borderId="11" xfId="8" applyNumberFormat="1" applyFont="1" applyFill="1" applyBorder="1" applyAlignment="1">
      <alignment horizontal="left" vertical="center"/>
    </xf>
    <xf numFmtId="1" fontId="26" fillId="0" borderId="0" xfId="8" applyNumberFormat="1" applyFont="1" applyFill="1" applyAlignment="1">
      <alignment horizontal="center" vertical="center"/>
    </xf>
    <xf numFmtId="0" fontId="22" fillId="11" borderId="4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10" borderId="4" xfId="0" applyFont="1" applyFill="1" applyBorder="1" applyAlignment="1">
      <alignment horizontal="center" vertical="center"/>
    </xf>
    <xf numFmtId="49" fontId="19" fillId="9" borderId="0" xfId="0" applyNumberFormat="1" applyFont="1" applyFill="1" applyAlignment="1">
      <alignment vertical="center"/>
    </xf>
    <xf numFmtId="0" fontId="22" fillId="9" borderId="0" xfId="0" applyFont="1" applyFill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7" fillId="9" borderId="0" xfId="0" applyFont="1" applyFill="1" applyAlignment="1">
      <alignment horizontal="right"/>
    </xf>
    <xf numFmtId="0" fontId="19" fillId="9" borderId="12" xfId="0" applyFont="1" applyFill="1" applyBorder="1" applyAlignment="1">
      <alignment vertical="center"/>
    </xf>
    <xf numFmtId="0" fontId="19" fillId="9" borderId="13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49" fontId="19" fillId="0" borderId="0" xfId="0" applyNumberFormat="1" applyFont="1" applyAlignment="1">
      <alignment vertical="center"/>
    </xf>
    <xf numFmtId="0" fontId="22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6" fontId="19" fillId="9" borderId="0" xfId="0" applyNumberFormat="1" applyFont="1" applyFill="1" applyAlignment="1">
      <alignment vertical="center"/>
    </xf>
    <xf numFmtId="0" fontId="21" fillId="9" borderId="0" xfId="0" applyFont="1" applyFill="1" applyAlignment="1">
      <alignment horizontal="left" vertical="center"/>
    </xf>
    <xf numFmtId="0" fontId="17" fillId="10" borderId="4" xfId="0" applyFont="1" applyFill="1" applyBorder="1" applyAlignment="1">
      <alignment horizontal="center"/>
    </xf>
    <xf numFmtId="0" fontId="17" fillId="9" borderId="14" xfId="0" applyFont="1" applyFill="1" applyBorder="1" applyAlignment="1">
      <alignment horizontal="left" vertical="center"/>
    </xf>
    <xf numFmtId="3" fontId="17" fillId="9" borderId="4" xfId="0" applyNumberFormat="1" applyFont="1" applyFill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1" fontId="26" fillId="0" borderId="0" xfId="8" applyNumberFormat="1" applyFont="1" applyFill="1" applyAlignment="1">
      <alignment vertical="center" wrapText="1"/>
    </xf>
    <xf numFmtId="1" fontId="26" fillId="0" borderId="15" xfId="8" applyNumberFormat="1" applyFont="1" applyFill="1" applyBorder="1" applyAlignment="1">
      <alignment vertical="center" wrapText="1"/>
    </xf>
    <xf numFmtId="0" fontId="17" fillId="9" borderId="16" xfId="0" applyFont="1" applyFill="1" applyBorder="1" applyAlignment="1">
      <alignment horizontal="left" vertical="center"/>
    </xf>
    <xf numFmtId="0" fontId="19" fillId="9" borderId="16" xfId="0" applyFont="1" applyFill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9" fillId="9" borderId="17" xfId="0" applyFont="1" applyFill="1" applyBorder="1" applyAlignment="1">
      <alignment vertical="center"/>
    </xf>
    <xf numFmtId="0" fontId="17" fillId="0" borderId="11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25" fillId="10" borderId="10" xfId="0" applyFont="1" applyFill="1" applyBorder="1" applyAlignment="1">
      <alignment horizontal="center" vertical="center" wrapText="1"/>
    </xf>
    <xf numFmtId="0" fontId="25" fillId="10" borderId="0" xfId="0" applyFont="1" applyFill="1" applyAlignment="1">
      <alignment horizontal="center" vertical="center" wrapText="1"/>
    </xf>
    <xf numFmtId="165" fontId="26" fillId="9" borderId="11" xfId="8" applyFont="1" applyFill="1" applyBorder="1" applyAlignment="1">
      <alignment horizontal="center" vertical="center"/>
    </xf>
    <xf numFmtId="165" fontId="26" fillId="10" borderId="11" xfId="8" applyFont="1" applyFill="1" applyBorder="1" applyAlignment="1">
      <alignment horizontal="center" vertical="center"/>
    </xf>
    <xf numFmtId="165" fontId="17" fillId="9" borderId="11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0" fillId="12" borderId="18" xfId="0" applyFont="1" applyFill="1" applyBorder="1" applyAlignment="1">
      <alignment vertical="center"/>
    </xf>
    <xf numFmtId="0" fontId="32" fillId="10" borderId="22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0" fillId="10" borderId="18" xfId="0" applyFill="1" applyBorder="1" applyAlignment="1">
      <alignment vertical="center"/>
    </xf>
    <xf numFmtId="0" fontId="31" fillId="10" borderId="23" xfId="0" applyFont="1" applyFill="1" applyBorder="1" applyAlignment="1">
      <alignment horizontal="center" vertical="center"/>
    </xf>
    <xf numFmtId="0" fontId="31" fillId="10" borderId="24" xfId="0" applyFont="1" applyFill="1" applyBorder="1" applyAlignment="1">
      <alignment horizontal="center" vertical="center"/>
    </xf>
    <xf numFmtId="0" fontId="32" fillId="10" borderId="24" xfId="0" applyFont="1" applyFill="1" applyBorder="1" applyAlignment="1">
      <alignment horizontal="center" vertical="center"/>
    </xf>
    <xf numFmtId="0" fontId="32" fillId="10" borderId="25" xfId="0" applyFont="1" applyFill="1" applyBorder="1" applyAlignment="1">
      <alignment horizontal="center" vertical="center"/>
    </xf>
    <xf numFmtId="0" fontId="32" fillId="10" borderId="24" xfId="0" applyFont="1" applyFill="1" applyBorder="1" applyAlignment="1">
      <alignment horizontal="center" vertical="center" wrapText="1"/>
    </xf>
    <xf numFmtId="3" fontId="32" fillId="10" borderId="24" xfId="0" applyNumberFormat="1" applyFont="1" applyFill="1" applyBorder="1" applyAlignment="1">
      <alignment horizontal="center" vertical="center" wrapText="1"/>
    </xf>
    <xf numFmtId="0" fontId="0" fillId="10" borderId="26" xfId="0" applyFill="1" applyBorder="1" applyAlignment="1">
      <alignment vertical="center"/>
    </xf>
    <xf numFmtId="0" fontId="29" fillId="0" borderId="27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3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165" fontId="0" fillId="0" borderId="28" xfId="8" applyFont="1" applyFill="1" applyBorder="1" applyAlignment="1">
      <alignment horizontal="center" vertical="center"/>
    </xf>
    <xf numFmtId="165" fontId="0" fillId="0" borderId="4" xfId="8" applyFont="1" applyFill="1" applyBorder="1" applyAlignment="1">
      <alignment horizontal="center" vertical="center"/>
    </xf>
    <xf numFmtId="0" fontId="0" fillId="10" borderId="29" xfId="0" applyFill="1" applyBorder="1" applyAlignment="1">
      <alignment vertical="center"/>
    </xf>
    <xf numFmtId="0" fontId="29" fillId="0" borderId="3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13" borderId="6" xfId="0" applyNumberFormat="1" applyFill="1" applyBorder="1" applyAlignment="1">
      <alignment horizontal="center" vertical="center"/>
    </xf>
    <xf numFmtId="0" fontId="32" fillId="10" borderId="18" xfId="0" applyFont="1" applyFill="1" applyBorder="1" applyAlignment="1">
      <alignment vertical="center"/>
    </xf>
    <xf numFmtId="0" fontId="31" fillId="0" borderId="31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3" fontId="32" fillId="0" borderId="20" xfId="0" applyNumberFormat="1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3" fontId="32" fillId="13" borderId="20" xfId="0" applyNumberFormat="1" applyFont="1" applyFill="1" applyBorder="1" applyAlignment="1">
      <alignment horizontal="center" vertical="center"/>
    </xf>
    <xf numFmtId="165" fontId="32" fillId="0" borderId="20" xfId="8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164" fontId="0" fillId="0" borderId="28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36" fillId="12" borderId="18" xfId="0" applyFont="1" applyFill="1" applyBorder="1" applyAlignment="1">
      <alignment vertical="center"/>
    </xf>
    <xf numFmtId="0" fontId="38" fillId="10" borderId="22" xfId="0" applyFont="1" applyFill="1" applyBorder="1" applyAlignment="1">
      <alignment horizontal="center" vertical="center"/>
    </xf>
    <xf numFmtId="0" fontId="39" fillId="10" borderId="18" xfId="0" applyFont="1" applyFill="1" applyBorder="1" applyAlignment="1">
      <alignment vertical="center"/>
    </xf>
    <xf numFmtId="0" fontId="37" fillId="10" borderId="32" xfId="0" applyFont="1" applyFill="1" applyBorder="1" applyAlignment="1">
      <alignment horizontal="center" vertical="center"/>
    </xf>
    <xf numFmtId="0" fontId="37" fillId="10" borderId="33" xfId="0" applyFont="1" applyFill="1" applyBorder="1" applyAlignment="1">
      <alignment horizontal="center" vertical="center"/>
    </xf>
    <xf numFmtId="0" fontId="38" fillId="10" borderId="34" xfId="0" applyFont="1" applyFill="1" applyBorder="1" applyAlignment="1">
      <alignment horizontal="center" vertical="center"/>
    </xf>
    <xf numFmtId="0" fontId="38" fillId="10" borderId="33" xfId="0" applyFont="1" applyFill="1" applyBorder="1" applyAlignment="1">
      <alignment horizontal="center" vertical="center"/>
    </xf>
    <xf numFmtId="0" fontId="38" fillId="10" borderId="25" xfId="0" applyFont="1" applyFill="1" applyBorder="1" applyAlignment="1">
      <alignment horizontal="center" vertical="center"/>
    </xf>
    <xf numFmtId="0" fontId="38" fillId="10" borderId="34" xfId="0" applyFont="1" applyFill="1" applyBorder="1" applyAlignment="1">
      <alignment horizontal="center" vertical="center" wrapText="1"/>
    </xf>
    <xf numFmtId="3" fontId="38" fillId="10" borderId="33" xfId="0" applyNumberFormat="1" applyFont="1" applyFill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165" fontId="39" fillId="0" borderId="37" xfId="8" applyFont="1" applyFill="1" applyBorder="1" applyAlignment="1" applyProtection="1">
      <alignment horizontal="center" vertical="center"/>
    </xf>
    <xf numFmtId="3" fontId="0" fillId="0" borderId="36" xfId="0" applyNumberForma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165" fontId="39" fillId="0" borderId="40" xfId="8" applyFont="1" applyFill="1" applyBorder="1" applyAlignment="1" applyProtection="1">
      <alignment horizontal="center" vertical="center"/>
    </xf>
    <xf numFmtId="3" fontId="0" fillId="0" borderId="39" xfId="0" applyNumberFormat="1" applyBorder="1" applyAlignment="1">
      <alignment horizontal="center" vertical="center"/>
    </xf>
    <xf numFmtId="3" fontId="32" fillId="0" borderId="4" xfId="0" applyNumberFormat="1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20" fillId="14" borderId="0" xfId="0" applyFont="1" applyFill="1" applyAlignment="1">
      <alignment horizontal="left" vertical="center"/>
    </xf>
    <xf numFmtId="0" fontId="19" fillId="14" borderId="0" xfId="0" applyFont="1" applyFill="1" applyAlignment="1">
      <alignment vertical="center"/>
    </xf>
    <xf numFmtId="0" fontId="0" fillId="14" borderId="0" xfId="0" applyFill="1" applyAlignment="1">
      <alignment vertical="center"/>
    </xf>
    <xf numFmtId="0" fontId="0" fillId="15" borderId="0" xfId="0" applyFill="1" applyAlignment="1">
      <alignment vertical="center"/>
    </xf>
    <xf numFmtId="0" fontId="0" fillId="15" borderId="0" xfId="0" applyFill="1"/>
    <xf numFmtId="0" fontId="21" fillId="14" borderId="0" xfId="0" applyFont="1" applyFill="1" applyAlignment="1">
      <alignment horizontal="left" vertical="center"/>
    </xf>
    <xf numFmtId="0" fontId="0" fillId="0" borderId="0" xfId="0" applyAlignment="1"/>
    <xf numFmtId="0" fontId="17" fillId="10" borderId="3" xfId="0" applyFont="1" applyFill="1" applyBorder="1" applyAlignment="1">
      <alignment vertical="center" wrapText="1"/>
    </xf>
    <xf numFmtId="0" fontId="17" fillId="10" borderId="50" xfId="0" applyFont="1" applyFill="1" applyBorder="1" applyAlignment="1">
      <alignment vertical="center" wrapText="1"/>
    </xf>
    <xf numFmtId="0" fontId="17" fillId="10" borderId="51" xfId="0" applyFont="1" applyFill="1" applyBorder="1" applyAlignment="1">
      <alignment horizontal="center" vertical="center"/>
    </xf>
    <xf numFmtId="0" fontId="17" fillId="10" borderId="52" xfId="0" applyFont="1" applyFill="1" applyBorder="1" applyAlignment="1">
      <alignment horizontal="center" vertical="center"/>
    </xf>
    <xf numFmtId="0" fontId="0" fillId="0" borderId="55" xfId="0" applyBorder="1" applyAlignment="1">
      <alignment horizontal="left" vertical="center"/>
    </xf>
    <xf numFmtId="0" fontId="19" fillId="0" borderId="43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0" fontId="19" fillId="0" borderId="62" xfId="0" applyFont="1" applyBorder="1" applyAlignment="1">
      <alignment horizontal="center" vertical="center"/>
    </xf>
    <xf numFmtId="0" fontId="19" fillId="0" borderId="63" xfId="0" applyFont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0" fontId="19" fillId="0" borderId="66" xfId="0" applyFont="1" applyBorder="1" applyAlignment="1">
      <alignment horizontal="center" vertical="center"/>
    </xf>
    <xf numFmtId="0" fontId="17" fillId="0" borderId="56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9" fillId="0" borderId="7" xfId="0" applyFont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3" fontId="32" fillId="10" borderId="20" xfId="0" applyNumberFormat="1" applyFont="1" applyFill="1" applyBorder="1" applyAlignment="1">
      <alignment horizontal="center" vertical="center" wrapText="1"/>
    </xf>
    <xf numFmtId="3" fontId="38" fillId="10" borderId="20" xfId="0" applyNumberFormat="1" applyFont="1" applyFill="1" applyBorder="1" applyAlignment="1">
      <alignment horizontal="center" vertical="center" wrapText="1"/>
    </xf>
    <xf numFmtId="0" fontId="40" fillId="0" borderId="7" xfId="0" applyFont="1" applyBorder="1" applyAlignment="1">
      <alignment horizontal="left" vertical="center"/>
    </xf>
    <xf numFmtId="0" fontId="41" fillId="0" borderId="7" xfId="0" applyFont="1" applyBorder="1" applyAlignment="1">
      <alignment horizontal="left" vertical="center"/>
    </xf>
    <xf numFmtId="0" fontId="23" fillId="16" borderId="2" xfId="0" applyFont="1" applyFill="1" applyBorder="1" applyAlignment="1">
      <alignment horizontal="center" vertical="center" wrapText="1"/>
    </xf>
    <xf numFmtId="0" fontId="27" fillId="16" borderId="5" xfId="0" applyFont="1" applyFill="1" applyBorder="1" applyAlignment="1">
      <alignment horizontal="center" vertical="center"/>
    </xf>
    <xf numFmtId="0" fontId="19" fillId="17" borderId="4" xfId="0" applyFont="1" applyFill="1" applyBorder="1" applyAlignment="1">
      <alignment horizontal="center" vertical="center"/>
    </xf>
    <xf numFmtId="0" fontId="17" fillId="17" borderId="4" xfId="0" applyFont="1" applyFill="1" applyBorder="1" applyAlignment="1">
      <alignment horizontal="center" vertical="center"/>
    </xf>
    <xf numFmtId="0" fontId="23" fillId="16" borderId="57" xfId="0" applyFont="1" applyFill="1" applyBorder="1" applyAlignment="1">
      <alignment horizontal="center" vertical="center" wrapText="1"/>
    </xf>
    <xf numFmtId="0" fontId="23" fillId="16" borderId="10" xfId="0" applyFont="1" applyFill="1" applyBorder="1" applyAlignment="1">
      <alignment horizontal="center" vertical="center" wrapText="1"/>
    </xf>
    <xf numFmtId="0" fontId="23" fillId="16" borderId="60" xfId="0" applyFont="1" applyFill="1" applyBorder="1" applyAlignment="1">
      <alignment horizontal="center" vertical="center" wrapText="1"/>
    </xf>
    <xf numFmtId="0" fontId="17" fillId="18" borderId="0" xfId="0" applyFont="1" applyFill="1" applyAlignment="1">
      <alignment vertical="center"/>
    </xf>
    <xf numFmtId="0" fontId="17" fillId="10" borderId="67" xfId="0" applyFont="1" applyFill="1" applyBorder="1" applyAlignment="1">
      <alignment horizontal="center" vertical="center"/>
    </xf>
    <xf numFmtId="166" fontId="17" fillId="9" borderId="0" xfId="0" applyNumberFormat="1" applyFont="1" applyFill="1" applyAlignment="1">
      <alignment vertical="center"/>
    </xf>
    <xf numFmtId="0" fontId="0" fillId="10" borderId="68" xfId="0" applyFill="1" applyBorder="1" applyAlignment="1">
      <alignment vertical="center"/>
    </xf>
    <xf numFmtId="0" fontId="29" fillId="0" borderId="69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13" borderId="11" xfId="0" applyNumberFormat="1" applyFill="1" applyBorder="1" applyAlignment="1">
      <alignment horizontal="center" vertical="center"/>
    </xf>
    <xf numFmtId="165" fontId="0" fillId="0" borderId="3" xfId="8" applyFont="1" applyFill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3" fontId="42" fillId="0" borderId="4" xfId="0" applyNumberFormat="1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0" fontId="42" fillId="0" borderId="0" xfId="0" applyFont="1"/>
    <xf numFmtId="0" fontId="43" fillId="0" borderId="69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3" fontId="42" fillId="0" borderId="3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3" fontId="0" fillId="0" borderId="70" xfId="0" applyNumberFormat="1" applyBorder="1" applyAlignment="1">
      <alignment horizontal="center" vertical="center"/>
    </xf>
    <xf numFmtId="0" fontId="34" fillId="0" borderId="0" xfId="0" applyFont="1" applyBorder="1" applyAlignment="1">
      <alignment vertical="center"/>
    </xf>
    <xf numFmtId="9" fontId="0" fillId="0" borderId="0" xfId="0" applyNumberFormat="1" applyBorder="1" applyAlignment="1">
      <alignment horizontal="center" vertical="center"/>
    </xf>
    <xf numFmtId="0" fontId="35" fillId="0" borderId="15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9" fontId="0" fillId="0" borderId="9" xfId="0" applyNumberFormat="1" applyBorder="1" applyAlignment="1">
      <alignment horizontal="center" vertical="center"/>
    </xf>
    <xf numFmtId="0" fontId="35" fillId="0" borderId="71" xfId="0" applyFont="1" applyBorder="1" applyAlignment="1">
      <alignment vertical="center"/>
    </xf>
    <xf numFmtId="0" fontId="31" fillId="0" borderId="72" xfId="0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32" fillId="10" borderId="20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0" fillId="0" borderId="0" xfId="0" applyFont="1" applyAlignment="1">
      <alignment vertical="center"/>
    </xf>
    <xf numFmtId="9" fontId="0" fillId="0" borderId="70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3" fontId="32" fillId="0" borderId="73" xfId="0" applyNumberFormat="1" applyFont="1" applyBorder="1" applyAlignment="1">
      <alignment horizontal="center" vertical="center"/>
    </xf>
    <xf numFmtId="0" fontId="0" fillId="10" borderId="74" xfId="0" applyFill="1" applyBorder="1" applyAlignment="1">
      <alignment vertical="center"/>
    </xf>
    <xf numFmtId="0" fontId="29" fillId="0" borderId="75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10" borderId="77" xfId="0" applyFill="1" applyBorder="1" applyAlignment="1">
      <alignment vertical="center"/>
    </xf>
    <xf numFmtId="0" fontId="29" fillId="0" borderId="52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10" borderId="78" xfId="0" applyFill="1" applyBorder="1" applyAlignment="1">
      <alignment vertical="center"/>
    </xf>
    <xf numFmtId="0" fontId="29" fillId="0" borderId="76" xfId="0" applyFont="1" applyBorder="1" applyAlignment="1">
      <alignment horizontal="center" vertical="center"/>
    </xf>
    <xf numFmtId="0" fontId="29" fillId="0" borderId="79" xfId="0" applyFont="1" applyBorder="1" applyAlignment="1">
      <alignment horizontal="center" vertical="center"/>
    </xf>
    <xf numFmtId="3" fontId="32" fillId="0" borderId="79" xfId="0" applyNumberFormat="1" applyFont="1" applyBorder="1" applyAlignment="1">
      <alignment horizontal="center" vertical="center"/>
    </xf>
    <xf numFmtId="3" fontId="44" fillId="0" borderId="80" xfId="0" applyNumberFormat="1" applyFont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25" fillId="10" borderId="4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5" fillId="9" borderId="6" xfId="0" applyFont="1" applyFill="1" applyBorder="1" applyAlignment="1">
      <alignment horizontal="center" vertical="center" wrapText="1"/>
    </xf>
    <xf numFmtId="0" fontId="25" fillId="9" borderId="7" xfId="0" applyFont="1" applyFill="1" applyBorder="1" applyAlignment="1">
      <alignment horizontal="center" vertical="center" wrapText="1"/>
    </xf>
    <xf numFmtId="0" fontId="25" fillId="10" borderId="7" xfId="0" applyFont="1" applyFill="1" applyBorder="1" applyAlignment="1">
      <alignment horizontal="center" vertical="center" wrapText="1"/>
    </xf>
    <xf numFmtId="0" fontId="25" fillId="10" borderId="8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17" fillId="16" borderId="3" xfId="0" applyFont="1" applyFill="1" applyBorder="1" applyAlignment="1">
      <alignment horizontal="center" vertical="center" wrapText="1"/>
    </xf>
    <xf numFmtId="0" fontId="25" fillId="10" borderId="6" xfId="0" applyFont="1" applyFill="1" applyBorder="1" applyAlignment="1">
      <alignment horizontal="center" vertical="center" wrapText="1"/>
    </xf>
    <xf numFmtId="0" fontId="25" fillId="10" borderId="4" xfId="0" applyFont="1" applyFill="1" applyBorder="1" applyAlignment="1">
      <alignment horizontal="center" vertical="center"/>
    </xf>
    <xf numFmtId="0" fontId="0" fillId="10" borderId="4" xfId="0" applyFill="1" applyBorder="1"/>
    <xf numFmtId="0" fontId="17" fillId="11" borderId="4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0" fontId="23" fillId="10" borderId="57" xfId="0" applyFont="1" applyFill="1" applyBorder="1" applyAlignment="1">
      <alignment horizontal="center" vertical="center"/>
    </xf>
    <xf numFmtId="0" fontId="23" fillId="10" borderId="10" xfId="0" applyFont="1" applyFill="1" applyBorder="1" applyAlignment="1">
      <alignment horizontal="center" vertical="center"/>
    </xf>
    <xf numFmtId="0" fontId="23" fillId="10" borderId="58" xfId="0" applyFont="1" applyFill="1" applyBorder="1" applyAlignment="1">
      <alignment horizontal="center" vertical="center"/>
    </xf>
    <xf numFmtId="0" fontId="23" fillId="10" borderId="59" xfId="0" applyFont="1" applyFill="1" applyBorder="1" applyAlignment="1">
      <alignment horizontal="center" vertical="center"/>
    </xf>
    <xf numFmtId="0" fontId="23" fillId="10" borderId="60" xfId="0" applyFont="1" applyFill="1" applyBorder="1" applyAlignment="1">
      <alignment horizontal="center" vertical="center"/>
    </xf>
    <xf numFmtId="0" fontId="22" fillId="10" borderId="11" xfId="0" applyFont="1" applyFill="1" applyBorder="1" applyAlignment="1">
      <alignment horizontal="center" vertical="center" wrapText="1"/>
    </xf>
    <xf numFmtId="0" fontId="22" fillId="10" borderId="0" xfId="0" applyFont="1" applyFill="1" applyBorder="1" applyAlignment="1">
      <alignment horizontal="center" vertical="center" wrapText="1"/>
    </xf>
    <xf numFmtId="0" fontId="22" fillId="10" borderId="15" xfId="0" applyFont="1" applyFill="1" applyBorder="1" applyAlignment="1">
      <alignment horizontal="center" vertical="center" wrapText="1"/>
    </xf>
    <xf numFmtId="0" fontId="22" fillId="10" borderId="53" xfId="0" applyFont="1" applyFill="1" applyBorder="1" applyAlignment="1">
      <alignment horizontal="center" vertical="center" wrapText="1"/>
    </xf>
    <xf numFmtId="0" fontId="22" fillId="10" borderId="54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15" xfId="0" applyFont="1" applyFill="1" applyBorder="1" applyAlignment="1">
      <alignment horizontal="center" vertical="center" wrapText="1"/>
    </xf>
    <xf numFmtId="0" fontId="23" fillId="10" borderId="57" xfId="0" applyFont="1" applyFill="1" applyBorder="1" applyAlignment="1">
      <alignment horizontal="center" vertical="center" wrapText="1"/>
    </xf>
    <xf numFmtId="0" fontId="23" fillId="10" borderId="10" xfId="0" applyFont="1" applyFill="1" applyBorder="1" applyAlignment="1">
      <alignment horizontal="center" vertical="center" wrapText="1"/>
    </xf>
    <xf numFmtId="0" fontId="23" fillId="10" borderId="60" xfId="0" applyFont="1" applyFill="1" applyBorder="1" applyAlignment="1">
      <alignment horizontal="center" vertical="center" wrapText="1"/>
    </xf>
    <xf numFmtId="0" fontId="17" fillId="10" borderId="54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31" fillId="10" borderId="19" xfId="0" applyFont="1" applyFill="1" applyBorder="1" applyAlignment="1">
      <alignment horizontal="center" vertical="center"/>
    </xf>
    <xf numFmtId="3" fontId="32" fillId="10" borderId="20" xfId="0" applyNumberFormat="1" applyFont="1" applyFill="1" applyBorder="1" applyAlignment="1">
      <alignment horizontal="center" vertical="center" wrapText="1"/>
    </xf>
    <xf numFmtId="0" fontId="32" fillId="10" borderId="21" xfId="0" applyFont="1" applyFill="1" applyBorder="1" applyAlignment="1">
      <alignment horizontal="center" vertical="center"/>
    </xf>
    <xf numFmtId="0" fontId="37" fillId="10" borderId="19" xfId="0" applyFont="1" applyFill="1" applyBorder="1" applyAlignment="1">
      <alignment horizontal="center" vertical="center"/>
    </xf>
    <xf numFmtId="3" fontId="38" fillId="10" borderId="20" xfId="0" applyNumberFormat="1" applyFont="1" applyFill="1" applyBorder="1" applyAlignment="1">
      <alignment horizontal="center" vertical="center" wrapText="1"/>
    </xf>
    <xf numFmtId="0" fontId="38" fillId="10" borderId="21" xfId="0" applyFont="1" applyFill="1" applyBorder="1" applyAlignment="1">
      <alignment horizontal="center" vertical="center"/>
    </xf>
    <xf numFmtId="3" fontId="32" fillId="10" borderId="24" xfId="0" applyNumberFormat="1" applyFont="1" applyFill="1" applyBorder="1" applyAlignment="1">
      <alignment horizontal="center" vertical="center" wrapText="1"/>
    </xf>
    <xf numFmtId="0" fontId="42" fillId="19" borderId="29" xfId="0" applyFont="1" applyFill="1" applyBorder="1" applyAlignment="1">
      <alignment vertical="center"/>
    </xf>
    <xf numFmtId="3" fontId="42" fillId="20" borderId="0" xfId="0" applyNumberFormat="1" applyFont="1" applyFill="1" applyAlignment="1">
      <alignment horizontal="center" vertical="center"/>
    </xf>
  </cellXfs>
  <cellStyles count="23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Excel Built-in Percent" xfId="8" xr:uid="{00000000-0005-0000-0000-000006000000}"/>
    <cellStyle name="Footnote" xfId="9" xr:uid="{00000000-0005-0000-0000-000007000000}"/>
    <cellStyle name="Good" xfId="10" xr:uid="{00000000-0005-0000-0000-000008000000}"/>
    <cellStyle name="Heading" xfId="11" xr:uid="{00000000-0005-0000-0000-000009000000}"/>
    <cellStyle name="Heading 1" xfId="12" xr:uid="{00000000-0005-0000-0000-00000A000000}"/>
    <cellStyle name="Heading 2" xfId="13" xr:uid="{00000000-0005-0000-0000-00000B000000}"/>
    <cellStyle name="Heading 3" xfId="14" xr:uid="{00000000-0005-0000-0000-00000C000000}"/>
    <cellStyle name="Hyperlink" xfId="15" xr:uid="{00000000-0005-0000-0000-00000D000000}"/>
    <cellStyle name="Neutral" xfId="16" xr:uid="{00000000-0005-0000-0000-00000E000000}"/>
    <cellStyle name="Normal" xfId="0" builtinId="0" customBuiltin="1"/>
    <cellStyle name="Note" xfId="1" builtinId="10" customBuiltin="1"/>
    <cellStyle name="Result" xfId="17" xr:uid="{00000000-0005-0000-0000-000011000000}"/>
    <cellStyle name="Result 4" xfId="18" xr:uid="{00000000-0005-0000-0000-000012000000}"/>
    <cellStyle name="Result2" xfId="19" xr:uid="{00000000-0005-0000-0000-000013000000}"/>
    <cellStyle name="Status" xfId="20" xr:uid="{00000000-0005-0000-0000-000014000000}"/>
    <cellStyle name="Text" xfId="21" xr:uid="{00000000-0005-0000-0000-000015000000}"/>
    <cellStyle name="Warning" xfId="22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6"/>
  <sheetViews>
    <sheetView topLeftCell="A28" zoomScale="50" zoomScaleNormal="50" workbookViewId="0">
      <selection activeCell="AO41" sqref="AO41"/>
    </sheetView>
  </sheetViews>
  <sheetFormatPr baseColWidth="10" defaultRowHeight="14.25"/>
  <cols>
    <col min="1" max="1" width="6.5" style="6" customWidth="1"/>
    <col min="2" max="2" width="11.125" style="6" customWidth="1"/>
    <col min="3" max="38" width="6.75" style="6" customWidth="1"/>
    <col min="39" max="39" width="15.875" style="4" customWidth="1"/>
    <col min="40" max="40" width="6.75" style="4" customWidth="1"/>
    <col min="41" max="43" width="26" style="4" customWidth="1"/>
    <col min="44" max="45" width="26" style="6" customWidth="1"/>
    <col min="46" max="1023" width="11.125" style="6" customWidth="1"/>
    <col min="1024" max="1024" width="11" style="6" customWidth="1"/>
  </cols>
  <sheetData>
    <row r="1" spans="1:45" ht="52.5" customHeight="1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3"/>
      <c r="K1" s="4"/>
      <c r="L1" s="4"/>
      <c r="M1" s="4"/>
      <c r="N1" s="4"/>
      <c r="O1" s="5" t="s">
        <v>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  <c r="AF1" s="4"/>
      <c r="AG1" s="3"/>
      <c r="AH1" s="3"/>
      <c r="AI1" s="4"/>
      <c r="AJ1" s="4"/>
      <c r="AK1" s="4"/>
      <c r="AL1" s="4"/>
    </row>
    <row r="2" spans="1:45" ht="52.5" customHeight="1">
      <c r="A2" s="1" t="s">
        <v>3</v>
      </c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/>
      <c r="AF2" s="3"/>
      <c r="AG2" s="3"/>
      <c r="AH2" s="3"/>
      <c r="AI2" s="4"/>
      <c r="AJ2" s="4"/>
      <c r="AK2" s="4"/>
      <c r="AL2" s="4"/>
    </row>
    <row r="3" spans="1:45" ht="52.5" customHeight="1">
      <c r="A3" s="1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7" t="s">
        <v>5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4"/>
      <c r="AK3" s="4"/>
      <c r="AL3" s="4"/>
    </row>
    <row r="4" spans="1:45" customFormat="1" ht="19.5" customHeight="1">
      <c r="A4" s="8"/>
      <c r="AM4" s="9"/>
      <c r="AN4" s="9"/>
      <c r="AO4" s="9"/>
      <c r="AP4" s="9"/>
      <c r="AQ4" s="9"/>
    </row>
    <row r="5" spans="1:45" ht="25.5" customHeight="1">
      <c r="A5" s="167" t="s">
        <v>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1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1"/>
      <c r="AR5" s="11"/>
      <c r="AS5" s="11"/>
    </row>
    <row r="6" spans="1:45" ht="25.5" customHeight="1">
      <c r="A6" s="167" t="s">
        <v>155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1"/>
      <c r="AR6" s="11"/>
      <c r="AS6" s="11"/>
    </row>
    <row r="7" spans="1:45" ht="36.75" customHeight="1">
      <c r="A7" s="167" t="s">
        <v>156</v>
      </c>
      <c r="B7" s="10"/>
      <c r="C7" s="10"/>
      <c r="D7" s="10"/>
      <c r="E7" s="10"/>
      <c r="F7" s="10"/>
      <c r="G7" s="12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1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1"/>
      <c r="AR7" s="11"/>
      <c r="AS7" s="11"/>
    </row>
    <row r="8" spans="1:45" ht="16.899999999999999" customHeight="1">
      <c r="A8" s="1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1"/>
      <c r="AR8" s="11"/>
      <c r="AS8" s="11"/>
    </row>
    <row r="9" spans="1:45" ht="32.25" customHeight="1">
      <c r="A9" s="14"/>
      <c r="B9" s="10"/>
      <c r="C9" s="264" t="s">
        <v>7</v>
      </c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 t="s">
        <v>8</v>
      </c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  <c r="AA9" s="264" t="s">
        <v>9</v>
      </c>
      <c r="AB9" s="264"/>
      <c r="AC9" s="264"/>
      <c r="AD9" s="264"/>
      <c r="AE9" s="264"/>
      <c r="AF9" s="264"/>
      <c r="AG9" s="264"/>
      <c r="AH9" s="264"/>
      <c r="AI9" s="264"/>
      <c r="AJ9" s="264"/>
      <c r="AK9" s="264"/>
      <c r="AL9" s="264"/>
      <c r="AM9" s="15"/>
      <c r="AN9" s="15"/>
      <c r="AO9" s="15"/>
      <c r="AP9" s="15"/>
      <c r="AQ9" s="15"/>
      <c r="AR9" s="16"/>
      <c r="AS9" s="16"/>
    </row>
    <row r="10" spans="1:45" ht="22.7" customHeight="1">
      <c r="A10" s="14"/>
      <c r="B10" s="10"/>
      <c r="C10" s="259" t="s">
        <v>10</v>
      </c>
      <c r="D10" s="259"/>
      <c r="E10" s="259"/>
      <c r="F10" s="259"/>
      <c r="G10" s="259" t="s">
        <v>11</v>
      </c>
      <c r="H10" s="259"/>
      <c r="I10" s="259"/>
      <c r="J10" s="259"/>
      <c r="K10" s="259" t="s">
        <v>12</v>
      </c>
      <c r="L10" s="259"/>
      <c r="M10" s="259"/>
      <c r="N10" s="259"/>
      <c r="O10" s="259" t="s">
        <v>11</v>
      </c>
      <c r="P10" s="259"/>
      <c r="Q10" s="259"/>
      <c r="R10" s="259"/>
      <c r="S10" s="259" t="s">
        <v>10</v>
      </c>
      <c r="T10" s="259"/>
      <c r="U10" s="259"/>
      <c r="V10" s="259"/>
      <c r="W10" s="259" t="s">
        <v>13</v>
      </c>
      <c r="X10" s="259"/>
      <c r="Y10" s="259"/>
      <c r="Z10" s="259"/>
      <c r="AA10" s="259" t="s">
        <v>11</v>
      </c>
      <c r="AB10" s="259"/>
      <c r="AC10" s="259"/>
      <c r="AD10" s="259"/>
      <c r="AE10" s="259" t="s">
        <v>12</v>
      </c>
      <c r="AF10" s="259"/>
      <c r="AG10" s="259"/>
      <c r="AH10" s="259"/>
      <c r="AI10" s="259" t="s">
        <v>13</v>
      </c>
      <c r="AJ10" s="259"/>
      <c r="AK10" s="259"/>
      <c r="AL10" s="259"/>
      <c r="AM10" s="17"/>
      <c r="AN10" s="17"/>
      <c r="AO10" s="17"/>
      <c r="AP10" s="17"/>
      <c r="AQ10" s="17"/>
      <c r="AR10" s="18"/>
      <c r="AS10" s="18"/>
    </row>
    <row r="11" spans="1:45" ht="18.600000000000001" customHeight="1">
      <c r="A11" s="14"/>
      <c r="B11" s="10"/>
      <c r="C11" s="258" t="s">
        <v>14</v>
      </c>
      <c r="D11" s="258"/>
      <c r="E11" s="258" t="s">
        <v>15</v>
      </c>
      <c r="F11" s="258"/>
      <c r="G11" s="258" t="s">
        <v>14</v>
      </c>
      <c r="H11" s="258"/>
      <c r="I11" s="258" t="s">
        <v>15</v>
      </c>
      <c r="J11" s="258"/>
      <c r="K11" s="258" t="s">
        <v>14</v>
      </c>
      <c r="L11" s="258"/>
      <c r="M11" s="258" t="s">
        <v>15</v>
      </c>
      <c r="N11" s="258"/>
      <c r="O11" s="258" t="s">
        <v>14</v>
      </c>
      <c r="P11" s="258"/>
      <c r="Q11" s="258" t="s">
        <v>15</v>
      </c>
      <c r="R11" s="258"/>
      <c r="S11" s="258" t="s">
        <v>14</v>
      </c>
      <c r="T11" s="258"/>
      <c r="U11" s="258" t="s">
        <v>15</v>
      </c>
      <c r="V11" s="258"/>
      <c r="W11" s="258" t="s">
        <v>14</v>
      </c>
      <c r="X11" s="258"/>
      <c r="Y11" s="258" t="s">
        <v>15</v>
      </c>
      <c r="Z11" s="258"/>
      <c r="AA11" s="258" t="s">
        <v>14</v>
      </c>
      <c r="AB11" s="258"/>
      <c r="AC11" s="258" t="s">
        <v>15</v>
      </c>
      <c r="AD11" s="258"/>
      <c r="AE11" s="258" t="s">
        <v>14</v>
      </c>
      <c r="AF11" s="258"/>
      <c r="AG11" s="258" t="s">
        <v>15</v>
      </c>
      <c r="AH11" s="258"/>
      <c r="AI11" s="258" t="s">
        <v>14</v>
      </c>
      <c r="AJ11" s="258"/>
      <c r="AK11" s="258" t="s">
        <v>15</v>
      </c>
      <c r="AL11" s="258"/>
      <c r="AM11" s="19"/>
      <c r="AN11" s="19"/>
      <c r="AO11" s="19"/>
      <c r="AP11" s="19"/>
      <c r="AQ11" s="19"/>
      <c r="AR11" s="20"/>
      <c r="AS11" s="20"/>
    </row>
    <row r="12" spans="1:45" ht="20.25">
      <c r="A12" s="21" t="s">
        <v>16</v>
      </c>
      <c r="B12" s="21" t="s">
        <v>17</v>
      </c>
      <c r="C12" s="22" t="s">
        <v>18</v>
      </c>
      <c r="D12" s="22" t="s">
        <v>19</v>
      </c>
      <c r="E12" s="22" t="s">
        <v>18</v>
      </c>
      <c r="F12" s="22" t="s">
        <v>19</v>
      </c>
      <c r="G12" s="22" t="s">
        <v>18</v>
      </c>
      <c r="H12" s="22" t="s">
        <v>19</v>
      </c>
      <c r="I12" s="22" t="s">
        <v>18</v>
      </c>
      <c r="J12" s="22" t="s">
        <v>19</v>
      </c>
      <c r="K12" s="22" t="s">
        <v>18</v>
      </c>
      <c r="L12" s="22" t="s">
        <v>19</v>
      </c>
      <c r="M12" s="22" t="s">
        <v>18</v>
      </c>
      <c r="N12" s="22" t="s">
        <v>19</v>
      </c>
      <c r="O12" s="22" t="s">
        <v>18</v>
      </c>
      <c r="P12" s="22" t="s">
        <v>19</v>
      </c>
      <c r="Q12" s="22" t="s">
        <v>18</v>
      </c>
      <c r="R12" s="22" t="s">
        <v>19</v>
      </c>
      <c r="S12" s="22" t="s">
        <v>18</v>
      </c>
      <c r="T12" s="22" t="s">
        <v>19</v>
      </c>
      <c r="U12" s="22" t="s">
        <v>18</v>
      </c>
      <c r="V12" s="22" t="s">
        <v>19</v>
      </c>
      <c r="W12" s="22" t="s">
        <v>18</v>
      </c>
      <c r="X12" s="22" t="s">
        <v>19</v>
      </c>
      <c r="Y12" s="22" t="s">
        <v>18</v>
      </c>
      <c r="Z12" s="22" t="s">
        <v>19</v>
      </c>
      <c r="AA12" s="22" t="s">
        <v>18</v>
      </c>
      <c r="AB12" s="22" t="s">
        <v>19</v>
      </c>
      <c r="AC12" s="22" t="s">
        <v>18</v>
      </c>
      <c r="AD12" s="22" t="s">
        <v>19</v>
      </c>
      <c r="AE12" s="22" t="s">
        <v>18</v>
      </c>
      <c r="AF12" s="22" t="s">
        <v>19</v>
      </c>
      <c r="AG12" s="22" t="s">
        <v>18</v>
      </c>
      <c r="AH12" s="22" t="s">
        <v>19</v>
      </c>
      <c r="AI12" s="22" t="s">
        <v>18</v>
      </c>
      <c r="AJ12" s="22" t="s">
        <v>19</v>
      </c>
      <c r="AK12" s="22" t="s">
        <v>18</v>
      </c>
      <c r="AL12" s="22" t="s">
        <v>19</v>
      </c>
      <c r="AM12" s="23"/>
      <c r="AN12" s="23"/>
      <c r="AO12" s="23"/>
      <c r="AP12" s="23"/>
      <c r="AQ12" s="23"/>
      <c r="AR12" s="24"/>
      <c r="AS12" s="24"/>
    </row>
    <row r="13" spans="1:45" ht="54.95" customHeight="1">
      <c r="A13" s="25">
        <v>6</v>
      </c>
      <c r="B13" s="21" t="s">
        <v>20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>
        <v>1</v>
      </c>
      <c r="Y13" s="26">
        <v>1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>
        <v>1</v>
      </c>
      <c r="AL13" s="26">
        <v>1</v>
      </c>
      <c r="AM13" s="27"/>
      <c r="AN13" s="27"/>
      <c r="AO13" s="27"/>
      <c r="AP13" s="27"/>
      <c r="AQ13" s="27"/>
      <c r="AR13" s="28"/>
      <c r="AS13" s="28"/>
    </row>
    <row r="14" spans="1:45" ht="54.95" customHeight="1">
      <c r="A14" s="21"/>
      <c r="B14" s="21" t="s">
        <v>21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>
        <v>1</v>
      </c>
      <c r="T14" s="26">
        <v>1</v>
      </c>
      <c r="U14" s="26">
        <v>1</v>
      </c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7"/>
      <c r="AN14" s="27"/>
      <c r="AO14" s="27"/>
      <c r="AP14" s="27"/>
      <c r="AQ14" s="27"/>
      <c r="AR14" s="28"/>
      <c r="AS14" s="28"/>
    </row>
    <row r="15" spans="1:45" ht="54.95" customHeight="1">
      <c r="A15" s="25">
        <v>7</v>
      </c>
      <c r="B15" s="21" t="s">
        <v>22</v>
      </c>
      <c r="C15" s="26"/>
      <c r="D15" s="26"/>
      <c r="E15" s="26"/>
      <c r="F15" s="26"/>
      <c r="G15" s="26"/>
      <c r="H15" s="26"/>
      <c r="I15" s="26"/>
      <c r="J15" s="26">
        <v>1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>
        <v>1</v>
      </c>
      <c r="AJ15" s="26"/>
      <c r="AK15" s="26"/>
      <c r="AL15" s="26"/>
      <c r="AM15" s="27"/>
      <c r="AN15" s="27"/>
      <c r="AO15" s="27"/>
      <c r="AP15" s="27"/>
      <c r="AQ15" s="27"/>
      <c r="AR15" s="28"/>
      <c r="AS15" s="28"/>
    </row>
    <row r="16" spans="1:45" ht="54.95" customHeight="1">
      <c r="A16" s="21"/>
      <c r="B16" s="21" t="s">
        <v>23</v>
      </c>
      <c r="C16" s="26"/>
      <c r="D16" s="26"/>
      <c r="E16" s="26"/>
      <c r="F16" s="26"/>
      <c r="G16" s="26"/>
      <c r="H16" s="26">
        <v>1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>
        <v>1</v>
      </c>
      <c r="U16" s="26"/>
      <c r="V16" s="26"/>
      <c r="W16" s="26"/>
      <c r="X16" s="26">
        <v>1</v>
      </c>
      <c r="Y16" s="26">
        <v>1</v>
      </c>
      <c r="Z16" s="26"/>
      <c r="AA16" s="26"/>
      <c r="AB16" s="26"/>
      <c r="AC16" s="26"/>
      <c r="AD16" s="26"/>
      <c r="AE16" s="26"/>
      <c r="AF16" s="26">
        <v>1</v>
      </c>
      <c r="AG16" s="26"/>
      <c r="AH16" s="26"/>
      <c r="AI16" s="26"/>
      <c r="AJ16" s="26">
        <v>1</v>
      </c>
      <c r="AK16" s="26"/>
      <c r="AL16" s="26"/>
      <c r="AM16" s="27"/>
      <c r="AN16" s="27"/>
      <c r="AO16" s="27"/>
      <c r="AP16" s="27"/>
      <c r="AQ16" s="27"/>
      <c r="AR16" s="28"/>
      <c r="AS16" s="28"/>
    </row>
    <row r="17" spans="1:45" ht="54.95" customHeight="1">
      <c r="A17" s="21"/>
      <c r="B17" s="21" t="s">
        <v>20</v>
      </c>
      <c r="C17" s="26"/>
      <c r="D17" s="26">
        <v>1</v>
      </c>
      <c r="E17" s="26"/>
      <c r="F17" s="26">
        <v>1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>
        <v>3</v>
      </c>
      <c r="U17" s="26"/>
      <c r="V17" s="26"/>
      <c r="W17" s="26">
        <v>1</v>
      </c>
      <c r="X17" s="26">
        <v>1</v>
      </c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7"/>
      <c r="AN17" s="27"/>
      <c r="AO17" s="27"/>
      <c r="AP17" s="27"/>
      <c r="AQ17" s="27"/>
      <c r="AR17" s="28"/>
      <c r="AS17" s="28"/>
    </row>
    <row r="18" spans="1:45" ht="54.95" customHeight="1">
      <c r="A18" s="21"/>
      <c r="B18" s="21" t="s">
        <v>24</v>
      </c>
      <c r="C18" s="26"/>
      <c r="D18" s="26">
        <v>1</v>
      </c>
      <c r="E18" s="26">
        <v>1</v>
      </c>
      <c r="F18" s="26"/>
      <c r="G18" s="26"/>
      <c r="H18" s="26"/>
      <c r="I18" s="26">
        <v>1</v>
      </c>
      <c r="J18" s="26"/>
      <c r="K18" s="26"/>
      <c r="L18" s="26"/>
      <c r="M18" s="26"/>
      <c r="N18" s="26"/>
      <c r="O18" s="26"/>
      <c r="P18" s="26"/>
      <c r="Q18" s="26"/>
      <c r="R18" s="26"/>
      <c r="S18" s="26">
        <v>1</v>
      </c>
      <c r="T18" s="26"/>
      <c r="U18" s="26"/>
      <c r="V18" s="26"/>
      <c r="W18" s="26"/>
      <c r="X18" s="26">
        <v>4</v>
      </c>
      <c r="Y18" s="26">
        <v>1</v>
      </c>
      <c r="Z18" s="26">
        <v>1</v>
      </c>
      <c r="AA18" s="26"/>
      <c r="AB18" s="26"/>
      <c r="AC18" s="26"/>
      <c r="AD18" s="26"/>
      <c r="AE18" s="26"/>
      <c r="AF18" s="26">
        <v>1</v>
      </c>
      <c r="AG18" s="26"/>
      <c r="AH18" s="26"/>
      <c r="AI18" s="26">
        <v>2</v>
      </c>
      <c r="AJ18" s="26">
        <v>1</v>
      </c>
      <c r="AK18" s="26"/>
      <c r="AL18" s="26"/>
      <c r="AM18" s="27"/>
      <c r="AN18" s="27"/>
      <c r="AO18" s="27"/>
      <c r="AP18" s="27"/>
      <c r="AQ18" s="27"/>
      <c r="AR18" s="28"/>
      <c r="AS18" s="28"/>
    </row>
    <row r="19" spans="1:45" ht="54.95" customHeight="1">
      <c r="A19" s="25">
        <v>8</v>
      </c>
      <c r="B19" s="21" t="s">
        <v>22</v>
      </c>
      <c r="C19" s="26"/>
      <c r="D19" s="26"/>
      <c r="E19" s="26"/>
      <c r="F19" s="26"/>
      <c r="G19" s="26"/>
      <c r="H19" s="26"/>
      <c r="I19" s="26"/>
      <c r="J19" s="26"/>
      <c r="K19" s="26">
        <v>1</v>
      </c>
      <c r="L19" s="26">
        <v>3</v>
      </c>
      <c r="M19" s="26"/>
      <c r="N19" s="26"/>
      <c r="O19" s="26"/>
      <c r="P19" s="26"/>
      <c r="Q19" s="26"/>
      <c r="R19" s="26"/>
      <c r="S19" s="26">
        <v>1</v>
      </c>
      <c r="T19" s="26"/>
      <c r="U19" s="26">
        <v>1</v>
      </c>
      <c r="V19" s="26">
        <v>1</v>
      </c>
      <c r="W19" s="26"/>
      <c r="X19" s="26"/>
      <c r="Y19" s="26">
        <v>1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7"/>
      <c r="AN19" s="27"/>
      <c r="AO19" s="27"/>
      <c r="AP19" s="27"/>
      <c r="AQ19" s="27"/>
      <c r="AR19" s="28"/>
      <c r="AS19" s="28"/>
    </row>
    <row r="20" spans="1:45" ht="54.95" customHeight="1">
      <c r="A20" s="21"/>
      <c r="B20" s="21" t="s">
        <v>23</v>
      </c>
      <c r="C20" s="26"/>
      <c r="D20" s="26"/>
      <c r="E20" s="26"/>
      <c r="F20" s="26"/>
      <c r="G20" s="26"/>
      <c r="H20" s="26"/>
      <c r="I20" s="26"/>
      <c r="J20" s="26"/>
      <c r="K20" s="26">
        <v>1</v>
      </c>
      <c r="L20" s="26"/>
      <c r="M20" s="26">
        <v>1</v>
      </c>
      <c r="N20" s="26"/>
      <c r="O20" s="26"/>
      <c r="P20" s="26"/>
      <c r="Q20" s="26"/>
      <c r="R20" s="26"/>
      <c r="S20" s="26">
        <v>1</v>
      </c>
      <c r="T20" s="26"/>
      <c r="U20" s="26"/>
      <c r="V20" s="26"/>
      <c r="W20" s="26">
        <v>2</v>
      </c>
      <c r="X20" s="26">
        <v>1</v>
      </c>
      <c r="Y20" s="26">
        <v>1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>
        <v>1</v>
      </c>
      <c r="AJ20" s="26"/>
      <c r="AK20" s="26"/>
      <c r="AL20" s="26"/>
      <c r="AM20" s="27"/>
      <c r="AN20" s="27"/>
      <c r="AO20" s="27"/>
      <c r="AP20" s="27"/>
      <c r="AQ20" s="27"/>
      <c r="AR20" s="28"/>
      <c r="AS20" s="28"/>
    </row>
    <row r="21" spans="1:45" ht="54.95" customHeight="1">
      <c r="A21" s="21"/>
      <c r="B21" s="21" t="s">
        <v>20</v>
      </c>
      <c r="C21" s="26"/>
      <c r="D21" s="26">
        <v>1</v>
      </c>
      <c r="E21" s="26"/>
      <c r="F21" s="26"/>
      <c r="G21" s="26"/>
      <c r="H21" s="26"/>
      <c r="I21" s="26">
        <v>1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>
        <v>1</v>
      </c>
      <c r="U21" s="26">
        <v>1</v>
      </c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7"/>
      <c r="AN21" s="27"/>
      <c r="AO21" s="27"/>
      <c r="AP21" s="27"/>
      <c r="AQ21" s="27"/>
      <c r="AR21" s="28"/>
      <c r="AS21" s="28"/>
    </row>
    <row r="22" spans="1:45" ht="54.95" customHeight="1">
      <c r="A22" s="29">
        <v>9</v>
      </c>
      <c r="B22" s="21" t="s">
        <v>24</v>
      </c>
      <c r="C22" s="26"/>
      <c r="D22" s="26"/>
      <c r="E22" s="26"/>
      <c r="F22" s="26"/>
      <c r="G22" s="26"/>
      <c r="H22" s="26"/>
      <c r="I22" s="26">
        <v>1</v>
      </c>
      <c r="J22" s="26"/>
      <c r="K22" s="26"/>
      <c r="L22" s="26">
        <v>1</v>
      </c>
      <c r="M22" s="26">
        <v>1</v>
      </c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30"/>
      <c r="AJ22" s="30"/>
      <c r="AK22" s="30"/>
      <c r="AL22" s="30"/>
      <c r="AM22" s="31"/>
      <c r="AN22" s="27"/>
      <c r="AO22" s="27"/>
      <c r="AP22" s="27"/>
      <c r="AQ22" s="27"/>
      <c r="AR22" s="28"/>
      <c r="AS22" s="28"/>
    </row>
    <row r="23" spans="1:45" customFormat="1" ht="7.5" customHeight="1">
      <c r="AM23" s="9"/>
      <c r="AN23" s="9"/>
      <c r="AO23" s="9"/>
      <c r="AP23" s="9"/>
      <c r="AQ23" s="9"/>
    </row>
    <row r="24" spans="1:45" s="36" customFormat="1" ht="39.75" customHeight="1">
      <c r="A24" s="32" t="s">
        <v>25</v>
      </c>
      <c r="B24" s="33"/>
      <c r="C24" s="33"/>
      <c r="D24" s="33"/>
      <c r="E24" s="33"/>
      <c r="F24" s="195">
        <v>12</v>
      </c>
      <c r="G24" s="195"/>
      <c r="H24" s="195"/>
      <c r="I24" s="195" t="s">
        <v>180</v>
      </c>
      <c r="J24" s="195"/>
      <c r="K24" s="195"/>
      <c r="L24" s="195"/>
      <c r="M24" s="195"/>
      <c r="N24" s="33"/>
      <c r="O24" s="33"/>
      <c r="P24" s="33"/>
      <c r="Q24" s="33"/>
      <c r="R24" s="33"/>
      <c r="S24" s="33"/>
      <c r="T24" s="33"/>
      <c r="U24" s="32" t="s">
        <v>26</v>
      </c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4"/>
      <c r="AM24" s="35"/>
      <c r="AN24" s="35"/>
      <c r="AO24" s="35"/>
      <c r="AP24" s="35"/>
      <c r="AQ24" s="35"/>
    </row>
    <row r="25" spans="1:45" s="36" customFormat="1" ht="39.75" customHeight="1">
      <c r="A25" s="32" t="s">
        <v>27</v>
      </c>
      <c r="B25" s="33"/>
      <c r="C25" s="33"/>
      <c r="D25" s="33"/>
      <c r="E25" s="33"/>
      <c r="F25" s="195">
        <v>6</v>
      </c>
      <c r="G25" s="195"/>
      <c r="H25" s="195"/>
      <c r="I25" s="195"/>
      <c r="J25" s="195"/>
      <c r="K25" s="195"/>
      <c r="L25" s="195"/>
      <c r="M25" s="195"/>
      <c r="N25" s="33"/>
      <c r="O25" s="33"/>
      <c r="P25" s="33"/>
      <c r="Q25" s="33"/>
      <c r="R25" s="33"/>
      <c r="S25" s="33"/>
      <c r="T25" s="33"/>
      <c r="U25" s="32" t="s">
        <v>28</v>
      </c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195" t="s">
        <v>181</v>
      </c>
      <c r="AG25" s="33"/>
      <c r="AH25" s="33"/>
      <c r="AI25" s="33"/>
      <c r="AJ25" s="33"/>
      <c r="AK25" s="33"/>
      <c r="AL25" s="34"/>
      <c r="AM25" s="35"/>
      <c r="AN25" s="35"/>
      <c r="AO25" s="35"/>
      <c r="AP25" s="35"/>
      <c r="AQ25" s="35"/>
    </row>
    <row r="26" spans="1:45" ht="54.95" customHeight="1">
      <c r="A26" s="24"/>
      <c r="B26" s="24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7"/>
      <c r="AN26" s="27"/>
      <c r="AO26" s="27"/>
      <c r="AP26" s="27"/>
      <c r="AQ26" s="27"/>
      <c r="AR26" s="28"/>
      <c r="AS26" s="28"/>
    </row>
    <row r="27" spans="1:45" ht="54.95" customHeight="1">
      <c r="A27" s="24"/>
      <c r="B27" s="24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7"/>
      <c r="AN27" s="27"/>
      <c r="AO27" s="27"/>
      <c r="AP27" s="27"/>
      <c r="AQ27" s="27"/>
      <c r="AR27" s="28"/>
      <c r="AS27" s="28"/>
    </row>
    <row r="28" spans="1:45" ht="54.95" customHeight="1">
      <c r="A28" s="24"/>
      <c r="B28" s="24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7"/>
      <c r="AN28" s="27"/>
      <c r="AO28" s="27"/>
      <c r="AP28" s="27"/>
      <c r="AQ28" s="27"/>
      <c r="AR28" s="28"/>
      <c r="AS28" s="28"/>
    </row>
    <row r="29" spans="1:45" ht="54.95" customHeight="1">
      <c r="A29" s="24"/>
      <c r="B29" s="24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7"/>
      <c r="AN29" s="27"/>
      <c r="AO29" s="27"/>
      <c r="AP29" s="27"/>
      <c r="AQ29" s="27"/>
      <c r="AR29" s="28"/>
      <c r="AS29" s="28"/>
    </row>
    <row r="30" spans="1:45" ht="54.95" customHeight="1">
      <c r="A30" s="24"/>
      <c r="B30" s="24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7"/>
      <c r="AN30" s="27"/>
      <c r="AO30" s="27"/>
      <c r="AP30" s="27"/>
      <c r="AQ30" s="27"/>
      <c r="AR30" s="28"/>
      <c r="AS30" s="28"/>
    </row>
    <row r="31" spans="1:45" ht="54.95" customHeight="1">
      <c r="A31" s="24"/>
      <c r="B31" s="24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7"/>
      <c r="AN31" s="27"/>
      <c r="AO31" s="27"/>
      <c r="AP31" s="27"/>
      <c r="AQ31" s="27"/>
      <c r="AR31" s="28"/>
      <c r="AS31" s="28"/>
    </row>
    <row r="32" spans="1:45" ht="54.95" customHeight="1">
      <c r="A32" s="24"/>
      <c r="B32" s="24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7"/>
      <c r="AN32" s="27"/>
      <c r="AO32" s="27"/>
      <c r="AP32" s="27"/>
      <c r="AQ32" s="27"/>
      <c r="AR32" s="28"/>
      <c r="AS32" s="28"/>
    </row>
    <row r="33" spans="1:45" ht="54.95" customHeight="1">
      <c r="A33" s="24"/>
      <c r="B33" s="24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7"/>
      <c r="AN33" s="27"/>
      <c r="AO33" s="27"/>
      <c r="AP33" s="27"/>
      <c r="AQ33" s="27"/>
      <c r="AR33" s="28"/>
      <c r="AS33" s="28"/>
    </row>
    <row r="34" spans="1:45" ht="25.5" customHeight="1">
      <c r="A34" s="37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1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1"/>
      <c r="AR34" s="11"/>
      <c r="AS34" s="11"/>
    </row>
    <row r="35" spans="1:45" ht="32.25" customHeight="1">
      <c r="A35" s="14"/>
      <c r="B35" s="10"/>
      <c r="C35" s="264" t="str">
        <f>C9</f>
        <v>De La Gare (Fg St Bernard) vers</v>
      </c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 t="str">
        <f>O9</f>
        <v>Du Pont du Foron vers</v>
      </c>
      <c r="P35" s="264"/>
      <c r="Q35" s="264"/>
      <c r="R35" s="264"/>
      <c r="S35" s="264"/>
      <c r="T35" s="264"/>
      <c r="U35" s="264"/>
      <c r="V35" s="264"/>
      <c r="W35" s="264"/>
      <c r="X35" s="264"/>
      <c r="Y35" s="264"/>
      <c r="Z35" s="264"/>
      <c r="AA35" s="264" t="str">
        <f>AA9</f>
        <v>Du Rd Point La Poste vers</v>
      </c>
      <c r="AB35" s="264"/>
      <c r="AC35" s="264"/>
      <c r="AD35" s="264"/>
      <c r="AE35" s="264"/>
      <c r="AF35" s="264"/>
      <c r="AG35" s="264"/>
      <c r="AH35" s="264"/>
      <c r="AI35" s="264"/>
      <c r="AJ35" s="264"/>
      <c r="AK35" s="264"/>
      <c r="AL35" s="264"/>
      <c r="AM35" s="1"/>
      <c r="AN35" s="3"/>
      <c r="AO35" s="256" t="s">
        <v>29</v>
      </c>
      <c r="AP35" s="260" t="s">
        <v>30</v>
      </c>
      <c r="AQ35" s="261" t="s">
        <v>31</v>
      </c>
      <c r="AR35" s="262" t="s">
        <v>32</v>
      </c>
      <c r="AS35" s="263" t="s">
        <v>33</v>
      </c>
    </row>
    <row r="36" spans="1:45" ht="22.7" customHeight="1">
      <c r="A36" s="14"/>
      <c r="B36" s="10"/>
      <c r="C36" s="259" t="str">
        <f>C10</f>
        <v>Rd Pt Poste</v>
      </c>
      <c r="D36" s="259"/>
      <c r="E36" s="259"/>
      <c r="F36" s="259"/>
      <c r="G36" s="259" t="str">
        <f>G10</f>
        <v>Rue Perrine</v>
      </c>
      <c r="H36" s="259"/>
      <c r="I36" s="259"/>
      <c r="J36" s="259"/>
      <c r="K36" s="259" t="str">
        <f>K10</f>
        <v>Pont du Foron</v>
      </c>
      <c r="L36" s="259"/>
      <c r="M36" s="259"/>
      <c r="N36" s="259"/>
      <c r="O36" s="259" t="str">
        <f>O10</f>
        <v>Rue Perrine</v>
      </c>
      <c r="P36" s="259"/>
      <c r="Q36" s="259"/>
      <c r="R36" s="259"/>
      <c r="S36" s="259" t="str">
        <f>S10</f>
        <v>Rd Pt Poste</v>
      </c>
      <c r="T36" s="259"/>
      <c r="U36" s="259"/>
      <c r="V36" s="259"/>
      <c r="W36" s="259" t="str">
        <f>W10</f>
        <v>La Gare</v>
      </c>
      <c r="X36" s="259"/>
      <c r="Y36" s="259"/>
      <c r="Z36" s="259"/>
      <c r="AA36" s="259" t="str">
        <f>AA10</f>
        <v>Rue Perrine</v>
      </c>
      <c r="AB36" s="259"/>
      <c r="AC36" s="259"/>
      <c r="AD36" s="259"/>
      <c r="AE36" s="259" t="str">
        <f>AE10</f>
        <v>Pont du Foron</v>
      </c>
      <c r="AF36" s="259"/>
      <c r="AG36" s="259"/>
      <c r="AH36" s="259"/>
      <c r="AI36" s="259" t="str">
        <f>AI10</f>
        <v>La Gare</v>
      </c>
      <c r="AJ36" s="259"/>
      <c r="AK36" s="259"/>
      <c r="AL36" s="259"/>
      <c r="AM36" s="1"/>
      <c r="AN36" s="3"/>
      <c r="AO36" s="256"/>
      <c r="AP36" s="260"/>
      <c r="AQ36" s="261"/>
      <c r="AR36" s="262"/>
      <c r="AS36" s="263"/>
    </row>
    <row r="37" spans="1:45" ht="18.600000000000001" customHeight="1">
      <c r="A37" s="14"/>
      <c r="B37" s="10"/>
      <c r="C37" s="258" t="s">
        <v>14</v>
      </c>
      <c r="D37" s="258"/>
      <c r="E37" s="258" t="s">
        <v>15</v>
      </c>
      <c r="F37" s="258"/>
      <c r="G37" s="258" t="s">
        <v>14</v>
      </c>
      <c r="H37" s="258"/>
      <c r="I37" s="258" t="s">
        <v>15</v>
      </c>
      <c r="J37" s="258"/>
      <c r="K37" s="258" t="s">
        <v>14</v>
      </c>
      <c r="L37" s="258"/>
      <c r="M37" s="258" t="s">
        <v>15</v>
      </c>
      <c r="N37" s="258"/>
      <c r="O37" s="258" t="s">
        <v>14</v>
      </c>
      <c r="P37" s="258"/>
      <c r="Q37" s="258" t="s">
        <v>15</v>
      </c>
      <c r="R37" s="258"/>
      <c r="S37" s="258" t="s">
        <v>14</v>
      </c>
      <c r="T37" s="258"/>
      <c r="U37" s="258" t="s">
        <v>15</v>
      </c>
      <c r="V37" s="258"/>
      <c r="W37" s="258" t="s">
        <v>14</v>
      </c>
      <c r="X37" s="258"/>
      <c r="Y37" s="258" t="s">
        <v>15</v>
      </c>
      <c r="Z37" s="258"/>
      <c r="AA37" s="258" t="s">
        <v>14</v>
      </c>
      <c r="AB37" s="258"/>
      <c r="AC37" s="258" t="s">
        <v>15</v>
      </c>
      <c r="AD37" s="258"/>
      <c r="AE37" s="258" t="s">
        <v>14</v>
      </c>
      <c r="AF37" s="258"/>
      <c r="AG37" s="258" t="s">
        <v>15</v>
      </c>
      <c r="AH37" s="258"/>
      <c r="AI37" s="258" t="s">
        <v>14</v>
      </c>
      <c r="AJ37" s="258"/>
      <c r="AK37" s="258" t="s">
        <v>15</v>
      </c>
      <c r="AL37" s="258"/>
      <c r="AM37" s="38"/>
      <c r="AN37" s="3"/>
      <c r="AO37" s="256"/>
      <c r="AP37" s="260"/>
      <c r="AQ37" s="261"/>
      <c r="AR37" s="262"/>
      <c r="AS37" s="263"/>
    </row>
    <row r="38" spans="1:45" ht="20.25">
      <c r="A38" s="257" t="s">
        <v>34</v>
      </c>
      <c r="B38" s="257"/>
      <c r="C38" s="22" t="s">
        <v>18</v>
      </c>
      <c r="D38" s="22" t="s">
        <v>19</v>
      </c>
      <c r="E38" s="22" t="s">
        <v>18</v>
      </c>
      <c r="F38" s="22" t="s">
        <v>19</v>
      </c>
      <c r="G38" s="22" t="s">
        <v>18</v>
      </c>
      <c r="H38" s="22" t="s">
        <v>19</v>
      </c>
      <c r="I38" s="22" t="s">
        <v>18</v>
      </c>
      <c r="J38" s="22" t="s">
        <v>19</v>
      </c>
      <c r="K38" s="22" t="s">
        <v>18</v>
      </c>
      <c r="L38" s="22" t="s">
        <v>19</v>
      </c>
      <c r="M38" s="22" t="s">
        <v>18</v>
      </c>
      <c r="N38" s="22" t="s">
        <v>19</v>
      </c>
      <c r="O38" s="22" t="s">
        <v>18</v>
      </c>
      <c r="P38" s="22" t="s">
        <v>19</v>
      </c>
      <c r="Q38" s="22" t="s">
        <v>18</v>
      </c>
      <c r="R38" s="22" t="s">
        <v>19</v>
      </c>
      <c r="S38" s="22" t="s">
        <v>18</v>
      </c>
      <c r="T38" s="22" t="s">
        <v>19</v>
      </c>
      <c r="U38" s="22" t="s">
        <v>18</v>
      </c>
      <c r="V38" s="22" t="s">
        <v>19</v>
      </c>
      <c r="W38" s="22" t="s">
        <v>18</v>
      </c>
      <c r="X38" s="22" t="s">
        <v>19</v>
      </c>
      <c r="Y38" s="22" t="s">
        <v>18</v>
      </c>
      <c r="Z38" s="22" t="s">
        <v>19</v>
      </c>
      <c r="AA38" s="22" t="s">
        <v>18</v>
      </c>
      <c r="AB38" s="22" t="s">
        <v>19</v>
      </c>
      <c r="AC38" s="22" t="s">
        <v>18</v>
      </c>
      <c r="AD38" s="22" t="s">
        <v>19</v>
      </c>
      <c r="AE38" s="22" t="s">
        <v>18</v>
      </c>
      <c r="AF38" s="22" t="s">
        <v>19</v>
      </c>
      <c r="AG38" s="22" t="s">
        <v>18</v>
      </c>
      <c r="AH38" s="22" t="s">
        <v>19</v>
      </c>
      <c r="AI38" s="22" t="s">
        <v>18</v>
      </c>
      <c r="AJ38" s="22" t="s">
        <v>19</v>
      </c>
      <c r="AK38" s="22" t="s">
        <v>18</v>
      </c>
      <c r="AL38" s="22" t="s">
        <v>19</v>
      </c>
      <c r="AM38" s="253" t="s">
        <v>34</v>
      </c>
      <c r="AN38" s="253"/>
      <c r="AO38" s="256"/>
      <c r="AP38" s="260"/>
      <c r="AQ38" s="261"/>
      <c r="AR38" s="262"/>
      <c r="AS38" s="263"/>
    </row>
    <row r="39" spans="1:45" ht="54.95" customHeight="1">
      <c r="A39" s="257" t="s">
        <v>35</v>
      </c>
      <c r="B39" s="257"/>
      <c r="C39" s="26">
        <f t="shared" ref="C39:AL39" si="0">SUM(C13:C14)</f>
        <v>0</v>
      </c>
      <c r="D39" s="26">
        <f t="shared" si="0"/>
        <v>0</v>
      </c>
      <c r="E39" s="26">
        <f t="shared" si="0"/>
        <v>0</v>
      </c>
      <c r="F39" s="26">
        <f t="shared" si="0"/>
        <v>0</v>
      </c>
      <c r="G39" s="26">
        <f t="shared" si="0"/>
        <v>0</v>
      </c>
      <c r="H39" s="26">
        <f t="shared" si="0"/>
        <v>0</v>
      </c>
      <c r="I39" s="26">
        <f t="shared" si="0"/>
        <v>0</v>
      </c>
      <c r="J39" s="26">
        <f t="shared" si="0"/>
        <v>0</v>
      </c>
      <c r="K39" s="26">
        <f t="shared" si="0"/>
        <v>0</v>
      </c>
      <c r="L39" s="26">
        <f t="shared" si="0"/>
        <v>0</v>
      </c>
      <c r="M39" s="26">
        <f t="shared" si="0"/>
        <v>0</v>
      </c>
      <c r="N39" s="26">
        <f t="shared" si="0"/>
        <v>0</v>
      </c>
      <c r="O39" s="26">
        <f t="shared" si="0"/>
        <v>0</v>
      </c>
      <c r="P39" s="26">
        <f t="shared" si="0"/>
        <v>0</v>
      </c>
      <c r="Q39" s="26">
        <f t="shared" si="0"/>
        <v>0</v>
      </c>
      <c r="R39" s="26">
        <f t="shared" si="0"/>
        <v>0</v>
      </c>
      <c r="S39" s="26">
        <f t="shared" si="0"/>
        <v>1</v>
      </c>
      <c r="T39" s="26">
        <f t="shared" si="0"/>
        <v>1</v>
      </c>
      <c r="U39" s="26">
        <f t="shared" si="0"/>
        <v>1</v>
      </c>
      <c r="V39" s="26">
        <f t="shared" si="0"/>
        <v>0</v>
      </c>
      <c r="W39" s="26">
        <f t="shared" si="0"/>
        <v>0</v>
      </c>
      <c r="X39" s="26">
        <f t="shared" si="0"/>
        <v>1</v>
      </c>
      <c r="Y39" s="26">
        <f t="shared" si="0"/>
        <v>1</v>
      </c>
      <c r="Z39" s="26">
        <f t="shared" si="0"/>
        <v>0</v>
      </c>
      <c r="AA39" s="26">
        <f t="shared" si="0"/>
        <v>0</v>
      </c>
      <c r="AB39" s="26">
        <f t="shared" si="0"/>
        <v>0</v>
      </c>
      <c r="AC39" s="26">
        <f t="shared" si="0"/>
        <v>0</v>
      </c>
      <c r="AD39" s="26">
        <f t="shared" si="0"/>
        <v>0</v>
      </c>
      <c r="AE39" s="26">
        <f t="shared" si="0"/>
        <v>0</v>
      </c>
      <c r="AF39" s="26">
        <f t="shared" si="0"/>
        <v>0</v>
      </c>
      <c r="AG39" s="26">
        <f t="shared" si="0"/>
        <v>0</v>
      </c>
      <c r="AH39" s="26">
        <f t="shared" si="0"/>
        <v>0</v>
      </c>
      <c r="AI39" s="26">
        <f t="shared" si="0"/>
        <v>0</v>
      </c>
      <c r="AJ39" s="26">
        <f t="shared" si="0"/>
        <v>0</v>
      </c>
      <c r="AK39" s="26">
        <f t="shared" si="0"/>
        <v>1</v>
      </c>
      <c r="AL39" s="26">
        <f t="shared" si="0"/>
        <v>1</v>
      </c>
      <c r="AM39" s="253" t="str">
        <f>A39</f>
        <v>6:30 à 7:00</v>
      </c>
      <c r="AN39" s="253"/>
      <c r="AO39" s="40">
        <f t="shared" ref="AO39:AO44" si="1">SUM(C39:AL39)</f>
        <v>7</v>
      </c>
      <c r="AP39" s="41">
        <f t="shared" ref="AP39:AP44" si="2">C39+E39+G39+I39+K39+M39+O39+Q39+S39+U39+W39+Y39+AA39+AC39+AE39+AG39+AI39+AK39</f>
        <v>4</v>
      </c>
      <c r="AQ39" s="41">
        <f t="shared" ref="AQ39:AQ44" si="3">E39+F39+I39+J39+M39+N39+Q39+R39+U39+V39+Y39+Z39+AC39+AD39+AG39+AH39+AK39+AL39</f>
        <v>4</v>
      </c>
      <c r="AR39" s="41">
        <f t="shared" ref="AR39:AR44" si="4">E39+I39+M39+Q39+U39+Y39+AC39+AG39+AK39</f>
        <v>3</v>
      </c>
      <c r="AS39" s="41">
        <f t="shared" ref="AS39:AS44" si="5">SUM(C39:N39)+SUM(W39:Z39)+SUM(AI39:AL39)</f>
        <v>4</v>
      </c>
    </row>
    <row r="40" spans="1:45" ht="54.95" customHeight="1">
      <c r="A40" s="257" t="s">
        <v>36</v>
      </c>
      <c r="B40" s="257"/>
      <c r="C40" s="26">
        <f t="shared" ref="C40:AL40" si="6">SUM(C15:C16)</f>
        <v>0</v>
      </c>
      <c r="D40" s="26">
        <f t="shared" si="6"/>
        <v>0</v>
      </c>
      <c r="E40" s="26">
        <f t="shared" si="6"/>
        <v>0</v>
      </c>
      <c r="F40" s="26">
        <f t="shared" si="6"/>
        <v>0</v>
      </c>
      <c r="G40" s="26">
        <f t="shared" si="6"/>
        <v>0</v>
      </c>
      <c r="H40" s="26">
        <f t="shared" si="6"/>
        <v>1</v>
      </c>
      <c r="I40" s="26">
        <f t="shared" si="6"/>
        <v>0</v>
      </c>
      <c r="J40" s="26">
        <f t="shared" si="6"/>
        <v>1</v>
      </c>
      <c r="K40" s="26">
        <f t="shared" si="6"/>
        <v>0</v>
      </c>
      <c r="L40" s="26">
        <f t="shared" si="6"/>
        <v>0</v>
      </c>
      <c r="M40" s="26">
        <f t="shared" si="6"/>
        <v>0</v>
      </c>
      <c r="N40" s="26">
        <f t="shared" si="6"/>
        <v>0</v>
      </c>
      <c r="O40" s="26">
        <f t="shared" si="6"/>
        <v>0</v>
      </c>
      <c r="P40" s="26">
        <f t="shared" si="6"/>
        <v>0</v>
      </c>
      <c r="Q40" s="26">
        <f t="shared" si="6"/>
        <v>0</v>
      </c>
      <c r="R40" s="26">
        <f t="shared" si="6"/>
        <v>0</v>
      </c>
      <c r="S40" s="26">
        <f t="shared" si="6"/>
        <v>0</v>
      </c>
      <c r="T40" s="26">
        <f t="shared" si="6"/>
        <v>1</v>
      </c>
      <c r="U40" s="26">
        <f t="shared" si="6"/>
        <v>0</v>
      </c>
      <c r="V40" s="26">
        <f t="shared" si="6"/>
        <v>0</v>
      </c>
      <c r="W40" s="26">
        <f t="shared" si="6"/>
        <v>0</v>
      </c>
      <c r="X40" s="26">
        <f t="shared" si="6"/>
        <v>1</v>
      </c>
      <c r="Y40" s="26">
        <f t="shared" si="6"/>
        <v>1</v>
      </c>
      <c r="Z40" s="26">
        <f t="shared" si="6"/>
        <v>0</v>
      </c>
      <c r="AA40" s="26">
        <f t="shared" si="6"/>
        <v>0</v>
      </c>
      <c r="AB40" s="26">
        <f t="shared" si="6"/>
        <v>0</v>
      </c>
      <c r="AC40" s="26">
        <f t="shared" si="6"/>
        <v>0</v>
      </c>
      <c r="AD40" s="26">
        <f t="shared" si="6"/>
        <v>0</v>
      </c>
      <c r="AE40" s="26">
        <f t="shared" si="6"/>
        <v>0</v>
      </c>
      <c r="AF40" s="26">
        <f t="shared" si="6"/>
        <v>1</v>
      </c>
      <c r="AG40" s="26">
        <f t="shared" si="6"/>
        <v>0</v>
      </c>
      <c r="AH40" s="26">
        <f t="shared" si="6"/>
        <v>0</v>
      </c>
      <c r="AI40" s="26">
        <f t="shared" si="6"/>
        <v>1</v>
      </c>
      <c r="AJ40" s="26">
        <f t="shared" si="6"/>
        <v>1</v>
      </c>
      <c r="AK40" s="26">
        <f t="shared" si="6"/>
        <v>0</v>
      </c>
      <c r="AL40" s="26">
        <f t="shared" si="6"/>
        <v>0</v>
      </c>
      <c r="AM40" s="253" t="str">
        <f>A40</f>
        <v>7:00 à 7:30</v>
      </c>
      <c r="AN40" s="253"/>
      <c r="AO40" s="40">
        <f t="shared" si="1"/>
        <v>8</v>
      </c>
      <c r="AP40" s="41">
        <f t="shared" si="2"/>
        <v>2</v>
      </c>
      <c r="AQ40" s="41">
        <f t="shared" si="3"/>
        <v>2</v>
      </c>
      <c r="AR40" s="41">
        <f t="shared" si="4"/>
        <v>1</v>
      </c>
      <c r="AS40" s="41">
        <f t="shared" si="5"/>
        <v>6</v>
      </c>
    </row>
    <row r="41" spans="1:45" ht="54.95" customHeight="1">
      <c r="A41" s="257" t="s">
        <v>37</v>
      </c>
      <c r="B41" s="257"/>
      <c r="C41" s="26">
        <f t="shared" ref="C41:AL41" si="7">SUM(C17:C18)</f>
        <v>0</v>
      </c>
      <c r="D41" s="26">
        <f t="shared" si="7"/>
        <v>2</v>
      </c>
      <c r="E41" s="26">
        <f t="shared" si="7"/>
        <v>1</v>
      </c>
      <c r="F41" s="26">
        <f t="shared" si="7"/>
        <v>1</v>
      </c>
      <c r="G41" s="26">
        <f t="shared" si="7"/>
        <v>0</v>
      </c>
      <c r="H41" s="26">
        <f t="shared" si="7"/>
        <v>0</v>
      </c>
      <c r="I41" s="26">
        <f t="shared" si="7"/>
        <v>1</v>
      </c>
      <c r="J41" s="26">
        <f t="shared" si="7"/>
        <v>0</v>
      </c>
      <c r="K41" s="26">
        <f t="shared" si="7"/>
        <v>0</v>
      </c>
      <c r="L41" s="26">
        <f t="shared" si="7"/>
        <v>0</v>
      </c>
      <c r="M41" s="26">
        <f t="shared" si="7"/>
        <v>0</v>
      </c>
      <c r="N41" s="26">
        <f t="shared" si="7"/>
        <v>0</v>
      </c>
      <c r="O41" s="26">
        <f t="shared" si="7"/>
        <v>0</v>
      </c>
      <c r="P41" s="26">
        <f t="shared" si="7"/>
        <v>0</v>
      </c>
      <c r="Q41" s="26">
        <f t="shared" si="7"/>
        <v>0</v>
      </c>
      <c r="R41" s="26">
        <f t="shared" si="7"/>
        <v>0</v>
      </c>
      <c r="S41" s="26">
        <f t="shared" si="7"/>
        <v>1</v>
      </c>
      <c r="T41" s="26">
        <f t="shared" si="7"/>
        <v>3</v>
      </c>
      <c r="U41" s="26">
        <f t="shared" si="7"/>
        <v>0</v>
      </c>
      <c r="V41" s="26">
        <f t="shared" si="7"/>
        <v>0</v>
      </c>
      <c r="W41" s="26">
        <f t="shared" si="7"/>
        <v>1</v>
      </c>
      <c r="X41" s="26">
        <f t="shared" si="7"/>
        <v>5</v>
      </c>
      <c r="Y41" s="26">
        <f t="shared" si="7"/>
        <v>1</v>
      </c>
      <c r="Z41" s="26">
        <f t="shared" si="7"/>
        <v>1</v>
      </c>
      <c r="AA41" s="26">
        <f t="shared" si="7"/>
        <v>0</v>
      </c>
      <c r="AB41" s="26">
        <f t="shared" si="7"/>
        <v>0</v>
      </c>
      <c r="AC41" s="26">
        <f t="shared" si="7"/>
        <v>0</v>
      </c>
      <c r="AD41" s="26">
        <f t="shared" si="7"/>
        <v>0</v>
      </c>
      <c r="AE41" s="26">
        <f t="shared" si="7"/>
        <v>0</v>
      </c>
      <c r="AF41" s="26">
        <f t="shared" si="7"/>
        <v>1</v>
      </c>
      <c r="AG41" s="26">
        <f t="shared" si="7"/>
        <v>0</v>
      </c>
      <c r="AH41" s="26">
        <f t="shared" si="7"/>
        <v>0</v>
      </c>
      <c r="AI41" s="26">
        <f t="shared" si="7"/>
        <v>2</v>
      </c>
      <c r="AJ41" s="26">
        <f t="shared" si="7"/>
        <v>1</v>
      </c>
      <c r="AK41" s="26">
        <f t="shared" si="7"/>
        <v>0</v>
      </c>
      <c r="AL41" s="26">
        <f t="shared" si="7"/>
        <v>0</v>
      </c>
      <c r="AM41" s="253" t="str">
        <f>A41</f>
        <v>7:30 à 8:00</v>
      </c>
      <c r="AN41" s="253"/>
      <c r="AO41" s="40">
        <f t="shared" si="1"/>
        <v>21</v>
      </c>
      <c r="AP41" s="41">
        <f t="shared" si="2"/>
        <v>7</v>
      </c>
      <c r="AQ41" s="41">
        <f t="shared" si="3"/>
        <v>5</v>
      </c>
      <c r="AR41" s="41">
        <f t="shared" si="4"/>
        <v>3</v>
      </c>
      <c r="AS41" s="41">
        <f t="shared" si="5"/>
        <v>16</v>
      </c>
    </row>
    <row r="42" spans="1:45" ht="54.95" customHeight="1">
      <c r="A42" s="257" t="s">
        <v>38</v>
      </c>
      <c r="B42" s="257"/>
      <c r="C42" s="26">
        <f t="shared" ref="C42:AL42" si="8">SUM(C19:C20)</f>
        <v>0</v>
      </c>
      <c r="D42" s="26">
        <f t="shared" si="8"/>
        <v>0</v>
      </c>
      <c r="E42" s="26">
        <f t="shared" si="8"/>
        <v>0</v>
      </c>
      <c r="F42" s="26">
        <f t="shared" si="8"/>
        <v>0</v>
      </c>
      <c r="G42" s="26">
        <f t="shared" si="8"/>
        <v>0</v>
      </c>
      <c r="H42" s="26">
        <f t="shared" si="8"/>
        <v>0</v>
      </c>
      <c r="I42" s="26">
        <f t="shared" si="8"/>
        <v>0</v>
      </c>
      <c r="J42" s="26">
        <f t="shared" si="8"/>
        <v>0</v>
      </c>
      <c r="K42" s="26">
        <f t="shared" si="8"/>
        <v>2</v>
      </c>
      <c r="L42" s="26">
        <f t="shared" si="8"/>
        <v>3</v>
      </c>
      <c r="M42" s="26">
        <f t="shared" si="8"/>
        <v>1</v>
      </c>
      <c r="N42" s="26">
        <f t="shared" si="8"/>
        <v>0</v>
      </c>
      <c r="O42" s="26">
        <f t="shared" si="8"/>
        <v>0</v>
      </c>
      <c r="P42" s="26">
        <f t="shared" si="8"/>
        <v>0</v>
      </c>
      <c r="Q42" s="26">
        <f t="shared" si="8"/>
        <v>0</v>
      </c>
      <c r="R42" s="26">
        <f t="shared" si="8"/>
        <v>0</v>
      </c>
      <c r="S42" s="26">
        <f t="shared" si="8"/>
        <v>2</v>
      </c>
      <c r="T42" s="26">
        <f t="shared" si="8"/>
        <v>0</v>
      </c>
      <c r="U42" s="26">
        <f t="shared" si="8"/>
        <v>1</v>
      </c>
      <c r="V42" s="26">
        <f t="shared" si="8"/>
        <v>1</v>
      </c>
      <c r="W42" s="26">
        <f t="shared" si="8"/>
        <v>2</v>
      </c>
      <c r="X42" s="26">
        <f t="shared" si="8"/>
        <v>1</v>
      </c>
      <c r="Y42" s="26">
        <f t="shared" si="8"/>
        <v>2</v>
      </c>
      <c r="Z42" s="26">
        <f t="shared" si="8"/>
        <v>0</v>
      </c>
      <c r="AA42" s="26">
        <f t="shared" si="8"/>
        <v>0</v>
      </c>
      <c r="AB42" s="26">
        <f t="shared" si="8"/>
        <v>0</v>
      </c>
      <c r="AC42" s="26">
        <f t="shared" si="8"/>
        <v>0</v>
      </c>
      <c r="AD42" s="26">
        <f t="shared" si="8"/>
        <v>0</v>
      </c>
      <c r="AE42" s="26">
        <f t="shared" si="8"/>
        <v>0</v>
      </c>
      <c r="AF42" s="26">
        <f t="shared" si="8"/>
        <v>0</v>
      </c>
      <c r="AG42" s="26">
        <f t="shared" si="8"/>
        <v>0</v>
      </c>
      <c r="AH42" s="26">
        <f t="shared" si="8"/>
        <v>0</v>
      </c>
      <c r="AI42" s="26">
        <f t="shared" si="8"/>
        <v>1</v>
      </c>
      <c r="AJ42" s="26">
        <f t="shared" si="8"/>
        <v>0</v>
      </c>
      <c r="AK42" s="26">
        <f t="shared" si="8"/>
        <v>0</v>
      </c>
      <c r="AL42" s="26">
        <f t="shared" si="8"/>
        <v>0</v>
      </c>
      <c r="AM42" s="253" t="str">
        <f>A42</f>
        <v>8:00 à 8:30</v>
      </c>
      <c r="AN42" s="253"/>
      <c r="AO42" s="40">
        <f t="shared" si="1"/>
        <v>16</v>
      </c>
      <c r="AP42" s="41">
        <f t="shared" si="2"/>
        <v>11</v>
      </c>
      <c r="AQ42" s="41">
        <f t="shared" si="3"/>
        <v>5</v>
      </c>
      <c r="AR42" s="41">
        <f t="shared" si="4"/>
        <v>4</v>
      </c>
      <c r="AS42" s="41">
        <f t="shared" si="5"/>
        <v>12</v>
      </c>
    </row>
    <row r="43" spans="1:45" ht="54.95" customHeight="1">
      <c r="A43" s="257" t="s">
        <v>39</v>
      </c>
      <c r="B43" s="257"/>
      <c r="C43" s="26">
        <f t="shared" ref="C43:AL43" si="9">SUM(C21:C22)</f>
        <v>0</v>
      </c>
      <c r="D43" s="26">
        <f t="shared" si="9"/>
        <v>1</v>
      </c>
      <c r="E43" s="26">
        <f t="shared" si="9"/>
        <v>0</v>
      </c>
      <c r="F43" s="26">
        <f t="shared" si="9"/>
        <v>0</v>
      </c>
      <c r="G43" s="26">
        <f t="shared" si="9"/>
        <v>0</v>
      </c>
      <c r="H43" s="26">
        <f t="shared" si="9"/>
        <v>0</v>
      </c>
      <c r="I43" s="26">
        <f t="shared" si="9"/>
        <v>2</v>
      </c>
      <c r="J43" s="26">
        <f t="shared" si="9"/>
        <v>0</v>
      </c>
      <c r="K43" s="26">
        <f t="shared" si="9"/>
        <v>0</v>
      </c>
      <c r="L43" s="26">
        <f t="shared" si="9"/>
        <v>1</v>
      </c>
      <c r="M43" s="26">
        <f t="shared" si="9"/>
        <v>1</v>
      </c>
      <c r="N43" s="26">
        <f t="shared" si="9"/>
        <v>0</v>
      </c>
      <c r="O43" s="26">
        <f t="shared" si="9"/>
        <v>0</v>
      </c>
      <c r="P43" s="26">
        <f t="shared" si="9"/>
        <v>0</v>
      </c>
      <c r="Q43" s="26">
        <f t="shared" si="9"/>
        <v>0</v>
      </c>
      <c r="R43" s="26">
        <f t="shared" si="9"/>
        <v>0</v>
      </c>
      <c r="S43" s="26">
        <f t="shared" si="9"/>
        <v>0</v>
      </c>
      <c r="T43" s="26">
        <f t="shared" si="9"/>
        <v>1</v>
      </c>
      <c r="U43" s="26">
        <f t="shared" si="9"/>
        <v>1</v>
      </c>
      <c r="V43" s="26">
        <f t="shared" si="9"/>
        <v>0</v>
      </c>
      <c r="W43" s="26">
        <f t="shared" si="9"/>
        <v>0</v>
      </c>
      <c r="X43" s="26">
        <f t="shared" si="9"/>
        <v>0</v>
      </c>
      <c r="Y43" s="26">
        <f t="shared" si="9"/>
        <v>0</v>
      </c>
      <c r="Z43" s="26">
        <f t="shared" si="9"/>
        <v>0</v>
      </c>
      <c r="AA43" s="26">
        <f t="shared" si="9"/>
        <v>0</v>
      </c>
      <c r="AB43" s="26">
        <f t="shared" si="9"/>
        <v>0</v>
      </c>
      <c r="AC43" s="26">
        <f t="shared" si="9"/>
        <v>0</v>
      </c>
      <c r="AD43" s="26">
        <f t="shared" si="9"/>
        <v>0</v>
      </c>
      <c r="AE43" s="26">
        <f t="shared" si="9"/>
        <v>0</v>
      </c>
      <c r="AF43" s="26">
        <f t="shared" si="9"/>
        <v>0</v>
      </c>
      <c r="AG43" s="26">
        <f t="shared" si="9"/>
        <v>0</v>
      </c>
      <c r="AH43" s="26">
        <f t="shared" si="9"/>
        <v>0</v>
      </c>
      <c r="AI43" s="26">
        <f t="shared" si="9"/>
        <v>0</v>
      </c>
      <c r="AJ43" s="26">
        <f t="shared" si="9"/>
        <v>0</v>
      </c>
      <c r="AK43" s="26">
        <f t="shared" si="9"/>
        <v>0</v>
      </c>
      <c r="AL43" s="26">
        <f t="shared" si="9"/>
        <v>0</v>
      </c>
      <c r="AM43" s="253" t="str">
        <f>A43</f>
        <v>8:30 à 9:00</v>
      </c>
      <c r="AN43" s="253"/>
      <c r="AO43" s="40">
        <f t="shared" si="1"/>
        <v>7</v>
      </c>
      <c r="AP43" s="41">
        <f t="shared" si="2"/>
        <v>4</v>
      </c>
      <c r="AQ43" s="41">
        <f t="shared" si="3"/>
        <v>4</v>
      </c>
      <c r="AR43" s="41">
        <f t="shared" si="4"/>
        <v>4</v>
      </c>
      <c r="AS43" s="41">
        <f t="shared" si="5"/>
        <v>5</v>
      </c>
    </row>
    <row r="44" spans="1:45" ht="54.95" customHeight="1">
      <c r="A44" s="257" t="s">
        <v>29</v>
      </c>
      <c r="B44" s="257"/>
      <c r="C44" s="30">
        <f t="shared" ref="C44:AL44" si="10">SUM(C13:C22)</f>
        <v>0</v>
      </c>
      <c r="D44" s="30">
        <f t="shared" si="10"/>
        <v>3</v>
      </c>
      <c r="E44" s="30">
        <f t="shared" si="10"/>
        <v>1</v>
      </c>
      <c r="F44" s="30">
        <f t="shared" si="10"/>
        <v>1</v>
      </c>
      <c r="G44" s="30">
        <f t="shared" si="10"/>
        <v>0</v>
      </c>
      <c r="H44" s="30">
        <f t="shared" si="10"/>
        <v>1</v>
      </c>
      <c r="I44" s="30">
        <f t="shared" si="10"/>
        <v>3</v>
      </c>
      <c r="J44" s="30">
        <f t="shared" si="10"/>
        <v>1</v>
      </c>
      <c r="K44" s="30">
        <f t="shared" si="10"/>
        <v>2</v>
      </c>
      <c r="L44" s="30">
        <f t="shared" si="10"/>
        <v>4</v>
      </c>
      <c r="M44" s="30">
        <f t="shared" si="10"/>
        <v>2</v>
      </c>
      <c r="N44" s="30">
        <f t="shared" si="10"/>
        <v>0</v>
      </c>
      <c r="O44" s="30">
        <f t="shared" si="10"/>
        <v>0</v>
      </c>
      <c r="P44" s="30">
        <f t="shared" si="10"/>
        <v>0</v>
      </c>
      <c r="Q44" s="30">
        <f t="shared" si="10"/>
        <v>0</v>
      </c>
      <c r="R44" s="30">
        <f t="shared" si="10"/>
        <v>0</v>
      </c>
      <c r="S44" s="30">
        <f t="shared" si="10"/>
        <v>4</v>
      </c>
      <c r="T44" s="30">
        <f t="shared" si="10"/>
        <v>6</v>
      </c>
      <c r="U44" s="30">
        <f t="shared" si="10"/>
        <v>3</v>
      </c>
      <c r="V44" s="30">
        <f t="shared" si="10"/>
        <v>1</v>
      </c>
      <c r="W44" s="30">
        <f t="shared" si="10"/>
        <v>3</v>
      </c>
      <c r="X44" s="30">
        <f t="shared" si="10"/>
        <v>8</v>
      </c>
      <c r="Y44" s="30">
        <f t="shared" si="10"/>
        <v>5</v>
      </c>
      <c r="Z44" s="30">
        <f t="shared" si="10"/>
        <v>1</v>
      </c>
      <c r="AA44" s="30">
        <f t="shared" si="10"/>
        <v>0</v>
      </c>
      <c r="AB44" s="30">
        <f t="shared" si="10"/>
        <v>0</v>
      </c>
      <c r="AC44" s="30">
        <f t="shared" si="10"/>
        <v>0</v>
      </c>
      <c r="AD44" s="30">
        <f t="shared" si="10"/>
        <v>0</v>
      </c>
      <c r="AE44" s="30">
        <f t="shared" si="10"/>
        <v>0</v>
      </c>
      <c r="AF44" s="30">
        <f t="shared" si="10"/>
        <v>2</v>
      </c>
      <c r="AG44" s="30">
        <f t="shared" si="10"/>
        <v>0</v>
      </c>
      <c r="AH44" s="30">
        <f t="shared" si="10"/>
        <v>0</v>
      </c>
      <c r="AI44" s="30">
        <f t="shared" si="10"/>
        <v>4</v>
      </c>
      <c r="AJ44" s="30">
        <f t="shared" si="10"/>
        <v>2</v>
      </c>
      <c r="AK44" s="30">
        <f t="shared" si="10"/>
        <v>1</v>
      </c>
      <c r="AL44" s="30">
        <f t="shared" si="10"/>
        <v>1</v>
      </c>
      <c r="AM44" s="253" t="s">
        <v>29</v>
      </c>
      <c r="AN44" s="253"/>
      <c r="AO44" s="40">
        <f t="shared" si="1"/>
        <v>59</v>
      </c>
      <c r="AP44" s="42">
        <f t="shared" si="2"/>
        <v>28</v>
      </c>
      <c r="AQ44" s="42">
        <f t="shared" si="3"/>
        <v>20</v>
      </c>
      <c r="AR44" s="43">
        <f t="shared" si="4"/>
        <v>15</v>
      </c>
      <c r="AS44" s="43">
        <f t="shared" si="5"/>
        <v>43</v>
      </c>
    </row>
    <row r="45" spans="1:45" ht="54.95" customHeight="1">
      <c r="A45" s="44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4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253" t="str">
        <f>IF($AO$42=MAX($AO$39:$AO$43),AM42,IF($AO$41=MAX($AO$39:$AO$43),AM41,IF($AO$40=MAX($AO$39:$AO$43),AM40,IF($AN$39=MAX($AO$39:$AO$43),AM39,IF($AO$43=MAX($AO$39:$AO$43),AM43)))))</f>
        <v>7:30 à 8:00</v>
      </c>
      <c r="AN45" s="253"/>
      <c r="AO45" s="39">
        <f>IF($AO$42=MAX($AO$39:$AO$43),AO42,IF($AO$41=MAX($AO$39:$AO$43),AO41,IF($AO$40=MAX($AO$39:$AO$43),AO40,IF($AN$39=MAX($AO$39:$AO$43),AO39,IF($AO$43=MAX($AO$39:$AO$43),AO43)))))</f>
        <v>21</v>
      </c>
      <c r="AP45" s="39">
        <f>IF($AO$42=MAX($AO$39:$AO$43),AP42,IF($AO$41=MAX($AO$39:$AO$43),AP41,IF($AO$40=MAX($AO$39:$AO$43),AP40,IF($AN$39=MAX($AO$39:$AO$43),AP39,IF($AO$43=MAX($AO$39:$AO$43),AP43)))))</f>
        <v>7</v>
      </c>
      <c r="AQ45" s="39">
        <f>IF($AO$42=MAX($AO$39:$AO$43),AQ42,IF($AO$41=MAX($AO$39:$AO$43),AQ41,IF($AO$40=MAX($AO$39:$AO$43),AQ40,IF($AN$39=MAX($AO$39:$AO$43),AQ39,IF($AO$43=MAX($AO$39:$AO$43),AQ43)))))</f>
        <v>5</v>
      </c>
      <c r="AR45" s="39">
        <f>IF($AO$42=MAX($AO$39:$AO$43),AR42,IF($AO$41=MAX($AO$39:$AO$43),AR41,IF($AO$40=MAX($AO$39:$AO$43),AR40,IF($AN$39=MAX($AO$39:$AO$43),AR39,IF($AO$43=MAX($AO$39:$AO$43),AR43)))))</f>
        <v>3</v>
      </c>
      <c r="AS45" s="39">
        <f>IF($AO$42=MAX($AO$39:$AO$43),AS42,IF($AO$41=MAX($AO$39:$AO$43),AS41,IF($AO$40=MAX($AO$39:$AO$43),AS40,IF($AN$39=MAX($AO$39:$AO$43),AS39,IF($AO$43=MAX($AO$39:$AO$43),AS43)))))</f>
        <v>16</v>
      </c>
    </row>
    <row r="46" spans="1:45" ht="20.25">
      <c r="A46" s="46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6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1"/>
      <c r="AN46" s="3"/>
      <c r="AO46" s="256" t="s">
        <v>29</v>
      </c>
      <c r="AP46" s="255" t="s">
        <v>40</v>
      </c>
      <c r="AQ46" s="255" t="s">
        <v>41</v>
      </c>
      <c r="AR46" s="254" t="s">
        <v>42</v>
      </c>
      <c r="AS46" s="254" t="str">
        <f>AS35</f>
        <v>Cycles direc La Gare</v>
      </c>
    </row>
    <row r="47" spans="1:45" ht="20.25">
      <c r="A47" s="46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1"/>
      <c r="AN47" s="3"/>
      <c r="AO47" s="256"/>
      <c r="AP47" s="255"/>
      <c r="AQ47" s="255"/>
      <c r="AR47" s="254"/>
      <c r="AS47" s="254"/>
    </row>
    <row r="48" spans="1:45" ht="20.25">
      <c r="A48" s="46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38"/>
      <c r="AN48" s="3"/>
      <c r="AO48" s="256"/>
      <c r="AP48" s="255"/>
      <c r="AQ48" s="255"/>
      <c r="AR48" s="254"/>
      <c r="AS48" s="254"/>
    </row>
    <row r="49" spans="1:45" ht="20.25">
      <c r="A49" s="46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253" t="s">
        <v>34</v>
      </c>
      <c r="AN49" s="253"/>
      <c r="AO49" s="256"/>
      <c r="AP49" s="255"/>
      <c r="AQ49" s="255"/>
      <c r="AR49" s="254"/>
      <c r="AS49" s="254"/>
    </row>
    <row r="50" spans="1:45" ht="39.950000000000003" customHeight="1">
      <c r="A50" s="46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253" t="str">
        <f>AM39</f>
        <v>6:30 à 7:00</v>
      </c>
      <c r="AN50" s="253"/>
      <c r="AO50" s="40"/>
      <c r="AP50" s="48">
        <f t="shared" ref="AP50:AP55" si="11">IF(AP39=0,0,AP39/AO39)</f>
        <v>0.5714285714285714</v>
      </c>
      <c r="AQ50" s="48">
        <f>IF(AQ39=0,0,AQ39/AO39)</f>
        <v>0.5714285714285714</v>
      </c>
      <c r="AR50" s="48">
        <f>IF(AR39=0,0,AR39/AP39)</f>
        <v>0.75</v>
      </c>
      <c r="AS50" s="48">
        <f>IF(AS39=0,0,AS39/AO39)</f>
        <v>0.5714285714285714</v>
      </c>
    </row>
    <row r="51" spans="1:45" ht="39.950000000000003" customHeight="1">
      <c r="A51" s="46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253" t="str">
        <f>AM40</f>
        <v>7:00 à 7:30</v>
      </c>
      <c r="AN51" s="253"/>
      <c r="AO51" s="40"/>
      <c r="AP51" s="48">
        <f t="shared" si="11"/>
        <v>0.25</v>
      </c>
      <c r="AQ51" s="48">
        <f>IF(AQ41=0,0,AQ41/AO41)</f>
        <v>0.23809523809523808</v>
      </c>
      <c r="AR51" s="48">
        <f>IF(AR41=0,0,AR41/AP41)</f>
        <v>0.42857142857142855</v>
      </c>
      <c r="AS51" s="48">
        <f>IF(AS41=0,0,AS41/AO41)</f>
        <v>0.76190476190476186</v>
      </c>
    </row>
    <row r="52" spans="1:45" ht="39.950000000000003" customHeight="1">
      <c r="A52" s="46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253" t="str">
        <f>AM41</f>
        <v>7:30 à 8:00</v>
      </c>
      <c r="AN52" s="253"/>
      <c r="AO52" s="40"/>
      <c r="AP52" s="48">
        <f t="shared" si="11"/>
        <v>0.33333333333333331</v>
      </c>
      <c r="AQ52" s="48">
        <f t="shared" ref="AQ52:AR55" si="12">IF(AQ41=0,0,AQ41/AO41)</f>
        <v>0.23809523809523808</v>
      </c>
      <c r="AR52" s="48">
        <f t="shared" si="12"/>
        <v>0.42857142857142855</v>
      </c>
      <c r="AS52" s="48">
        <f>IF(AS41=0,0,AS41/AO41)</f>
        <v>0.76190476190476186</v>
      </c>
    </row>
    <row r="53" spans="1:45" ht="39.950000000000003" customHeight="1">
      <c r="A53" s="46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253" t="str">
        <f>AM42</f>
        <v>8:00 à 8:30</v>
      </c>
      <c r="AN53" s="253"/>
      <c r="AO53" s="40"/>
      <c r="AP53" s="48">
        <f t="shared" si="11"/>
        <v>0.6875</v>
      </c>
      <c r="AQ53" s="48">
        <f t="shared" si="12"/>
        <v>0.3125</v>
      </c>
      <c r="AR53" s="48">
        <f t="shared" si="12"/>
        <v>0.36363636363636365</v>
      </c>
      <c r="AS53" s="48">
        <f>IF(AS42=0,0,AS42/AO42)</f>
        <v>0.75</v>
      </c>
    </row>
    <row r="54" spans="1:45" ht="39.950000000000003" customHeight="1">
      <c r="F54" s="47"/>
      <c r="K54" s="47"/>
      <c r="L54" s="47"/>
      <c r="M54" s="47"/>
      <c r="N54" s="47"/>
      <c r="O54" s="47"/>
      <c r="P54" s="47"/>
      <c r="Q54" s="47"/>
      <c r="AA54" s="47"/>
      <c r="AB54" s="47"/>
      <c r="AC54" s="47"/>
      <c r="AM54" s="253" t="str">
        <f>AM43</f>
        <v>8:30 à 9:00</v>
      </c>
      <c r="AN54" s="253"/>
      <c r="AO54" s="40"/>
      <c r="AP54" s="48">
        <f t="shared" si="11"/>
        <v>0.5714285714285714</v>
      </c>
      <c r="AQ54" s="48">
        <f t="shared" si="12"/>
        <v>0.5714285714285714</v>
      </c>
      <c r="AR54" s="48">
        <f t="shared" si="12"/>
        <v>1</v>
      </c>
      <c r="AS54" s="48">
        <f>IF(AS43=0,0,AS43/AO43)</f>
        <v>0.7142857142857143</v>
      </c>
    </row>
    <row r="55" spans="1:45" ht="39.950000000000003" customHeight="1">
      <c r="F55" s="47"/>
      <c r="K55" s="47"/>
      <c r="L55" s="47"/>
      <c r="M55" s="47"/>
      <c r="N55" s="47"/>
      <c r="O55" s="47"/>
      <c r="P55" s="47"/>
      <c r="Q55" s="47"/>
      <c r="AA55" s="47"/>
      <c r="AB55" s="47"/>
      <c r="AC55" s="47"/>
      <c r="AM55" s="253" t="s">
        <v>29</v>
      </c>
      <c r="AN55" s="253"/>
      <c r="AO55" s="40"/>
      <c r="AP55" s="48">
        <f t="shared" si="11"/>
        <v>0.47457627118644069</v>
      </c>
      <c r="AQ55" s="48">
        <f t="shared" si="12"/>
        <v>0.33898305084745761</v>
      </c>
      <c r="AR55" s="49">
        <f t="shared" si="12"/>
        <v>0.5357142857142857</v>
      </c>
      <c r="AS55" s="49">
        <f>IF(AS44=0,0,AS44/AO44)</f>
        <v>0.72881355932203384</v>
      </c>
    </row>
    <row r="56" spans="1:45" ht="39.950000000000003" customHeight="1">
      <c r="AK56" s="50" t="s">
        <v>43</v>
      </c>
      <c r="AM56" s="253" t="str">
        <f>AM45</f>
        <v>7:30 à 8:00</v>
      </c>
      <c r="AN56" s="253"/>
      <c r="AO56" s="39"/>
      <c r="AP56" s="51">
        <f>AP45/AO45</f>
        <v>0.33333333333333331</v>
      </c>
      <c r="AQ56" s="51">
        <f>AQ45/AP45</f>
        <v>0.7142857142857143</v>
      </c>
      <c r="AR56" s="51">
        <f>AR45/AO45</f>
        <v>0.14285714285714285</v>
      </c>
      <c r="AS56" s="51">
        <f>AS45/AO45</f>
        <v>0.76190476190476186</v>
      </c>
    </row>
  </sheetData>
  <mergeCells count="93">
    <mergeCell ref="C9:N9"/>
    <mergeCell ref="O9:Z9"/>
    <mergeCell ref="AA9:AL9"/>
    <mergeCell ref="C10:F10"/>
    <mergeCell ref="G10:J10"/>
    <mergeCell ref="K10:N10"/>
    <mergeCell ref="O10:R10"/>
    <mergeCell ref="S10:V10"/>
    <mergeCell ref="W10:Z10"/>
    <mergeCell ref="AA10:AD10"/>
    <mergeCell ref="AE10:AH10"/>
    <mergeCell ref="AI10:AL10"/>
    <mergeCell ref="C11:D11"/>
    <mergeCell ref="E11:F11"/>
    <mergeCell ref="G11:H11"/>
    <mergeCell ref="I11:J11"/>
    <mergeCell ref="K11:L11"/>
    <mergeCell ref="AI11:AJ11"/>
    <mergeCell ref="AK11:AL11"/>
    <mergeCell ref="C35:N35"/>
    <mergeCell ref="O35:Z35"/>
    <mergeCell ref="AA35:AL35"/>
    <mergeCell ref="S11:T11"/>
    <mergeCell ref="U11:V11"/>
    <mergeCell ref="W11:X11"/>
    <mergeCell ref="Y11:Z11"/>
    <mergeCell ref="AA11:AB11"/>
    <mergeCell ref="AC11:AD11"/>
    <mergeCell ref="M11:N11"/>
    <mergeCell ref="O11:P11"/>
    <mergeCell ref="Q11:R11"/>
    <mergeCell ref="AE11:AF11"/>
    <mergeCell ref="AG11:AH11"/>
    <mergeCell ref="AO35:AO38"/>
    <mergeCell ref="AP35:AP38"/>
    <mergeCell ref="AQ35:AQ38"/>
    <mergeCell ref="AR35:AR38"/>
    <mergeCell ref="AS35:AS38"/>
    <mergeCell ref="W36:Z36"/>
    <mergeCell ref="AA36:AD36"/>
    <mergeCell ref="AE36:AH36"/>
    <mergeCell ref="AI36:AL36"/>
    <mergeCell ref="C37:D37"/>
    <mergeCell ref="E37:F37"/>
    <mergeCell ref="G37:H37"/>
    <mergeCell ref="I37:J37"/>
    <mergeCell ref="K37:L37"/>
    <mergeCell ref="M37:N37"/>
    <mergeCell ref="C36:F36"/>
    <mergeCell ref="G36:J36"/>
    <mergeCell ref="K36:N36"/>
    <mergeCell ref="O36:R36"/>
    <mergeCell ref="S36:V36"/>
    <mergeCell ref="AK37:AL37"/>
    <mergeCell ref="AI37:AJ37"/>
    <mergeCell ref="A38:B38"/>
    <mergeCell ref="AM38:AN38"/>
    <mergeCell ref="A39:B39"/>
    <mergeCell ref="AM39:AN39"/>
    <mergeCell ref="Y37:Z37"/>
    <mergeCell ref="AA37:AB37"/>
    <mergeCell ref="AC37:AD37"/>
    <mergeCell ref="AE37:AF37"/>
    <mergeCell ref="AG37:AH37"/>
    <mergeCell ref="O37:P37"/>
    <mergeCell ref="Q37:R37"/>
    <mergeCell ref="S37:T37"/>
    <mergeCell ref="U37:V37"/>
    <mergeCell ref="W37:X37"/>
    <mergeCell ref="A40:B40"/>
    <mergeCell ref="AM40:AN40"/>
    <mergeCell ref="A41:B41"/>
    <mergeCell ref="AM41:AN41"/>
    <mergeCell ref="A42:B42"/>
    <mergeCell ref="AM42:AN42"/>
    <mergeCell ref="AS46:AS49"/>
    <mergeCell ref="AM49:AN49"/>
    <mergeCell ref="AM50:AN50"/>
    <mergeCell ref="A43:B43"/>
    <mergeCell ref="AM43:AN43"/>
    <mergeCell ref="A44:B44"/>
    <mergeCell ref="AM44:AN44"/>
    <mergeCell ref="AM45:AN45"/>
    <mergeCell ref="AM55:AN55"/>
    <mergeCell ref="AM56:AN56"/>
    <mergeCell ref="AR46:AR49"/>
    <mergeCell ref="AM51:AN51"/>
    <mergeCell ref="AM52:AN52"/>
    <mergeCell ref="AQ46:AQ49"/>
    <mergeCell ref="AM53:AN53"/>
    <mergeCell ref="AM54:AN54"/>
    <mergeCell ref="AO46:AO49"/>
    <mergeCell ref="AP46:AP49"/>
  </mergeCells>
  <pageMargins left="0.39370078740157477" right="0.39370078740157477" top="0.78740157480314954" bottom="0.78740157480314954" header="0.39370078740157477" footer="0.39370078740157477"/>
  <pageSetup paperSize="9" scale="49" fitToWidth="0" fitToHeight="0" pageOrder="overThenDown" orientation="landscape" useFirstPageNumber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N54"/>
  <sheetViews>
    <sheetView topLeftCell="A16" zoomScale="50" zoomScaleNormal="50" workbookViewId="0">
      <selection activeCell="BY41" sqref="BY41"/>
    </sheetView>
  </sheetViews>
  <sheetFormatPr baseColWidth="10" defaultRowHeight="14.25"/>
  <cols>
    <col min="1" max="1" width="4.625" style="6" customWidth="1"/>
    <col min="2" max="2" width="11.125" style="6" customWidth="1"/>
    <col min="3" max="14" width="4.75" style="6" customWidth="1"/>
    <col min="15" max="18" width="4.75" style="6" hidden="1" customWidth="1"/>
    <col min="19" max="58" width="4.75" style="6" customWidth="1"/>
    <col min="59" max="74" width="4.75" style="6" hidden="1" customWidth="1"/>
    <col min="75" max="77" width="11.125" style="6" customWidth="1"/>
    <col min="78" max="81" width="16.875" style="6" customWidth="1"/>
    <col min="82" max="1027" width="11.125" style="6" customWidth="1"/>
    <col min="1028" max="1028" width="11" style="6" customWidth="1"/>
  </cols>
  <sheetData>
    <row r="1" spans="1:1028" ht="52.5" customHeight="1">
      <c r="A1" s="1"/>
      <c r="B1" s="2" t="s">
        <v>44</v>
      </c>
      <c r="C1" s="3"/>
      <c r="D1" s="3"/>
      <c r="E1" s="3"/>
      <c r="F1" s="4"/>
      <c r="G1" s="3"/>
      <c r="I1" s="3"/>
      <c r="J1" s="3"/>
      <c r="K1" s="4"/>
      <c r="L1" s="4"/>
      <c r="M1" s="5" t="s">
        <v>2</v>
      </c>
      <c r="N1" s="3"/>
      <c r="O1" s="5" t="s">
        <v>2</v>
      </c>
      <c r="P1" s="3"/>
      <c r="Q1" s="3"/>
      <c r="R1" s="3"/>
      <c r="S1" s="3"/>
      <c r="T1" s="3"/>
      <c r="U1" s="3"/>
      <c r="V1" s="3"/>
      <c r="W1" s="3"/>
      <c r="X1" s="204" t="s">
        <v>183</v>
      </c>
      <c r="Y1" s="3"/>
      <c r="Z1" s="3"/>
      <c r="AA1" s="3"/>
      <c r="AB1" s="3"/>
      <c r="AC1" s="3"/>
      <c r="AD1" s="3"/>
      <c r="AE1" s="4"/>
      <c r="AF1" s="4"/>
      <c r="AG1" s="3"/>
      <c r="AH1" s="3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1028" ht="52.5" customHeight="1">
      <c r="A2" s="1" t="s">
        <v>3</v>
      </c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/>
      <c r="AF2" s="3"/>
      <c r="AG2" s="3"/>
      <c r="AH2" s="3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1028" ht="52.5" customHeight="1">
      <c r="A3" s="1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7" t="s">
        <v>5</v>
      </c>
      <c r="O3" s="3"/>
      <c r="P3" s="7" t="s">
        <v>5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1028" ht="25.5" customHeight="1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</row>
    <row r="5" spans="1:1028" s="171" customFormat="1" ht="25.5" customHeight="1">
      <c r="A5" s="167" t="s">
        <v>6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9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K5" s="168"/>
      <c r="AL5" s="169"/>
      <c r="AM5" s="169"/>
      <c r="AN5" s="169"/>
      <c r="AO5" s="169"/>
      <c r="AP5" s="169"/>
      <c r="AQ5" s="169"/>
      <c r="AR5" s="169"/>
      <c r="AS5" s="169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70"/>
      <c r="BG5" s="170"/>
      <c r="BH5" s="170"/>
      <c r="BI5" s="170"/>
      <c r="BJ5" s="170"/>
      <c r="BK5" s="170"/>
      <c r="BL5" s="170"/>
      <c r="BM5" s="170"/>
      <c r="BN5" s="170"/>
      <c r="BO5" s="170"/>
      <c r="BP5" s="170"/>
      <c r="BQ5" s="170"/>
      <c r="BR5" s="170"/>
      <c r="BS5" s="170"/>
      <c r="BT5" s="170"/>
      <c r="BU5" s="170"/>
      <c r="BV5" s="170"/>
      <c r="BW5" s="170"/>
      <c r="BX5" s="170"/>
      <c r="BY5" s="170"/>
      <c r="BZ5" s="170"/>
      <c r="CA5" s="170"/>
      <c r="CB5" s="170"/>
      <c r="CC5" s="170"/>
      <c r="CD5" s="170"/>
      <c r="CE5" s="170"/>
      <c r="CF5" s="170"/>
      <c r="CG5" s="170"/>
      <c r="CH5" s="170"/>
      <c r="CI5" s="170"/>
      <c r="CJ5" s="170"/>
      <c r="CK5" s="170"/>
      <c r="CL5" s="170"/>
      <c r="CM5" s="170"/>
      <c r="CN5" s="170"/>
      <c r="CO5" s="170"/>
      <c r="CP5" s="170"/>
      <c r="CQ5" s="170"/>
      <c r="CR5" s="170"/>
      <c r="CS5" s="170"/>
      <c r="CT5" s="170"/>
      <c r="CU5" s="170"/>
      <c r="CV5" s="170"/>
      <c r="CW5" s="170"/>
      <c r="CX5" s="170"/>
      <c r="CY5" s="170"/>
      <c r="CZ5" s="170"/>
      <c r="DA5" s="170"/>
      <c r="DB5" s="170"/>
      <c r="DC5" s="170"/>
      <c r="DD5" s="170"/>
      <c r="DE5" s="170"/>
      <c r="DF5" s="170"/>
      <c r="DG5" s="170"/>
      <c r="DH5" s="170"/>
      <c r="DI5" s="170"/>
      <c r="DJ5" s="170"/>
      <c r="DK5" s="170"/>
      <c r="DL5" s="170"/>
      <c r="DM5" s="170"/>
      <c r="DN5" s="170"/>
      <c r="DO5" s="170"/>
      <c r="DP5" s="170"/>
      <c r="DQ5" s="170"/>
      <c r="DR5" s="170"/>
      <c r="DS5" s="170"/>
      <c r="DT5" s="170"/>
      <c r="DU5" s="170"/>
      <c r="DV5" s="170"/>
      <c r="DW5" s="170"/>
      <c r="DX5" s="170"/>
      <c r="DY5" s="170"/>
      <c r="DZ5" s="170"/>
      <c r="EA5" s="170"/>
      <c r="EB5" s="170"/>
      <c r="EC5" s="170"/>
      <c r="ED5" s="170"/>
      <c r="EE5" s="170"/>
      <c r="EF5" s="170"/>
      <c r="EG5" s="170"/>
      <c r="EH5" s="170"/>
      <c r="EI5" s="170"/>
      <c r="EJ5" s="170"/>
      <c r="EK5" s="170"/>
      <c r="EL5" s="170"/>
      <c r="EM5" s="170"/>
      <c r="EN5" s="170"/>
      <c r="EO5" s="170"/>
      <c r="EP5" s="170"/>
      <c r="EQ5" s="170"/>
      <c r="ER5" s="170"/>
      <c r="ES5" s="170"/>
      <c r="ET5" s="170"/>
      <c r="EU5" s="170"/>
      <c r="EV5" s="170"/>
      <c r="EW5" s="170"/>
      <c r="EX5" s="170"/>
      <c r="EY5" s="170"/>
      <c r="EZ5" s="170"/>
      <c r="FA5" s="170"/>
      <c r="FB5" s="170"/>
      <c r="FC5" s="170"/>
      <c r="FD5" s="170"/>
      <c r="FE5" s="170"/>
      <c r="FF5" s="170"/>
      <c r="FG5" s="170"/>
      <c r="FH5" s="170"/>
      <c r="FI5" s="170"/>
      <c r="FJ5" s="170"/>
      <c r="FK5" s="170"/>
      <c r="FL5" s="170"/>
      <c r="FM5" s="170"/>
      <c r="FN5" s="170"/>
      <c r="FO5" s="170"/>
      <c r="FP5" s="170"/>
      <c r="FQ5" s="170"/>
      <c r="FR5" s="170"/>
      <c r="FS5" s="170"/>
      <c r="FT5" s="170"/>
      <c r="FU5" s="170"/>
      <c r="FV5" s="170"/>
      <c r="FW5" s="170"/>
      <c r="FX5" s="170"/>
      <c r="FY5" s="170"/>
      <c r="FZ5" s="170"/>
      <c r="GA5" s="170"/>
      <c r="GB5" s="170"/>
      <c r="GC5" s="170"/>
      <c r="GD5" s="170"/>
      <c r="GE5" s="170"/>
      <c r="GF5" s="170"/>
      <c r="GG5" s="170"/>
      <c r="GH5" s="170"/>
      <c r="GI5" s="170"/>
      <c r="GJ5" s="170"/>
      <c r="GK5" s="170"/>
      <c r="GL5" s="170"/>
      <c r="GM5" s="170"/>
      <c r="GN5" s="170"/>
      <c r="GO5" s="170"/>
      <c r="GP5" s="170"/>
      <c r="GQ5" s="170"/>
      <c r="GR5" s="170"/>
      <c r="GS5" s="170"/>
      <c r="GT5" s="170"/>
      <c r="GU5" s="170"/>
      <c r="GV5" s="170"/>
      <c r="GW5" s="170"/>
      <c r="GX5" s="170"/>
      <c r="GY5" s="170"/>
      <c r="GZ5" s="170"/>
      <c r="HA5" s="170"/>
      <c r="HB5" s="170"/>
      <c r="HC5" s="170"/>
      <c r="HD5" s="170"/>
      <c r="HE5" s="170"/>
      <c r="HF5" s="170"/>
      <c r="HG5" s="170"/>
      <c r="HH5" s="170"/>
      <c r="HI5" s="170"/>
      <c r="HJ5" s="170"/>
      <c r="HK5" s="170"/>
      <c r="HL5" s="170"/>
      <c r="HM5" s="170"/>
      <c r="HN5" s="170"/>
      <c r="HO5" s="170"/>
      <c r="HP5" s="170"/>
      <c r="HQ5" s="170"/>
      <c r="HR5" s="170"/>
      <c r="HS5" s="170"/>
      <c r="HT5" s="170"/>
      <c r="HU5" s="170"/>
      <c r="HV5" s="170"/>
      <c r="HW5" s="170"/>
      <c r="HX5" s="170"/>
      <c r="HY5" s="170"/>
      <c r="HZ5" s="170"/>
      <c r="IA5" s="170"/>
      <c r="IB5" s="170"/>
      <c r="IC5" s="170"/>
      <c r="ID5" s="170"/>
      <c r="IE5" s="170"/>
      <c r="IF5" s="170"/>
      <c r="IG5" s="170"/>
      <c r="IH5" s="170"/>
      <c r="II5" s="170"/>
      <c r="IJ5" s="170"/>
      <c r="IK5" s="170"/>
      <c r="IL5" s="170"/>
      <c r="IM5" s="170"/>
      <c r="IN5" s="170"/>
      <c r="IO5" s="170"/>
      <c r="IP5" s="170"/>
      <c r="IQ5" s="170"/>
      <c r="IR5" s="170"/>
      <c r="IS5" s="170"/>
      <c r="IT5" s="170"/>
      <c r="IU5" s="170"/>
      <c r="IV5" s="170"/>
      <c r="IW5" s="170"/>
      <c r="IX5" s="170"/>
      <c r="IY5" s="170"/>
      <c r="IZ5" s="170"/>
      <c r="JA5" s="170"/>
      <c r="JB5" s="170"/>
      <c r="JC5" s="170"/>
      <c r="JD5" s="170"/>
      <c r="JE5" s="170"/>
      <c r="JF5" s="170"/>
      <c r="JG5" s="170"/>
      <c r="JH5" s="170"/>
      <c r="JI5" s="170"/>
      <c r="JJ5" s="170"/>
      <c r="JK5" s="170"/>
      <c r="JL5" s="170"/>
      <c r="JM5" s="170"/>
      <c r="JN5" s="170"/>
      <c r="JO5" s="170"/>
      <c r="JP5" s="170"/>
      <c r="JQ5" s="170"/>
      <c r="JR5" s="170"/>
      <c r="JS5" s="170"/>
      <c r="JT5" s="170"/>
      <c r="JU5" s="170"/>
      <c r="JV5" s="170"/>
      <c r="JW5" s="170"/>
      <c r="JX5" s="170"/>
      <c r="JY5" s="170"/>
      <c r="JZ5" s="170"/>
      <c r="KA5" s="170"/>
      <c r="KB5" s="170"/>
      <c r="KC5" s="170"/>
      <c r="KD5" s="170"/>
      <c r="KE5" s="170"/>
      <c r="KF5" s="170"/>
      <c r="KG5" s="170"/>
      <c r="KH5" s="170"/>
      <c r="KI5" s="170"/>
      <c r="KJ5" s="170"/>
      <c r="KK5" s="170"/>
      <c r="KL5" s="170"/>
      <c r="KM5" s="170"/>
      <c r="KN5" s="170"/>
      <c r="KO5" s="170"/>
      <c r="KP5" s="170"/>
      <c r="KQ5" s="170"/>
      <c r="KR5" s="170"/>
      <c r="KS5" s="170"/>
      <c r="KT5" s="170"/>
      <c r="KU5" s="170"/>
      <c r="KV5" s="170"/>
      <c r="KW5" s="170"/>
      <c r="KX5" s="170"/>
      <c r="KY5" s="170"/>
      <c r="KZ5" s="170"/>
      <c r="LA5" s="170"/>
      <c r="LB5" s="170"/>
      <c r="LC5" s="170"/>
      <c r="LD5" s="170"/>
      <c r="LE5" s="170"/>
      <c r="LF5" s="170"/>
      <c r="LG5" s="170"/>
      <c r="LH5" s="170"/>
      <c r="LI5" s="170"/>
      <c r="LJ5" s="170"/>
      <c r="LK5" s="170"/>
      <c r="LL5" s="170"/>
      <c r="LM5" s="170"/>
      <c r="LN5" s="170"/>
      <c r="LO5" s="170"/>
      <c r="LP5" s="170"/>
      <c r="LQ5" s="170"/>
      <c r="LR5" s="170"/>
      <c r="LS5" s="170"/>
      <c r="LT5" s="170"/>
      <c r="LU5" s="170"/>
      <c r="LV5" s="170"/>
      <c r="LW5" s="170"/>
      <c r="LX5" s="170"/>
      <c r="LY5" s="170"/>
      <c r="LZ5" s="170"/>
      <c r="MA5" s="170"/>
      <c r="MB5" s="170"/>
      <c r="MC5" s="170"/>
      <c r="MD5" s="170"/>
      <c r="ME5" s="170"/>
      <c r="MF5" s="170"/>
      <c r="MG5" s="170"/>
      <c r="MH5" s="170"/>
      <c r="MI5" s="170"/>
      <c r="MJ5" s="170"/>
      <c r="MK5" s="170"/>
      <c r="ML5" s="170"/>
      <c r="MM5" s="170"/>
      <c r="MN5" s="170"/>
      <c r="MO5" s="170"/>
      <c r="MP5" s="170"/>
      <c r="MQ5" s="170"/>
      <c r="MR5" s="170"/>
      <c r="MS5" s="170"/>
      <c r="MT5" s="170"/>
      <c r="MU5" s="170"/>
      <c r="MV5" s="170"/>
      <c r="MW5" s="170"/>
      <c r="MX5" s="170"/>
      <c r="MY5" s="170"/>
      <c r="MZ5" s="170"/>
      <c r="NA5" s="170"/>
      <c r="NB5" s="170"/>
      <c r="NC5" s="170"/>
      <c r="ND5" s="170"/>
      <c r="NE5" s="170"/>
      <c r="NF5" s="170"/>
      <c r="NG5" s="170"/>
      <c r="NH5" s="170"/>
      <c r="NI5" s="170"/>
      <c r="NJ5" s="170"/>
      <c r="NK5" s="170"/>
      <c r="NL5" s="170"/>
      <c r="NM5" s="170"/>
      <c r="NN5" s="170"/>
      <c r="NO5" s="170"/>
      <c r="NP5" s="170"/>
      <c r="NQ5" s="170"/>
      <c r="NR5" s="170"/>
      <c r="NS5" s="170"/>
      <c r="NT5" s="170"/>
      <c r="NU5" s="170"/>
      <c r="NV5" s="170"/>
      <c r="NW5" s="170"/>
      <c r="NX5" s="170"/>
      <c r="NY5" s="170"/>
      <c r="NZ5" s="170"/>
      <c r="OA5" s="170"/>
      <c r="OB5" s="170"/>
      <c r="OC5" s="170"/>
      <c r="OD5" s="170"/>
      <c r="OE5" s="170"/>
      <c r="OF5" s="170"/>
      <c r="OG5" s="170"/>
      <c r="OH5" s="170"/>
      <c r="OI5" s="170"/>
      <c r="OJ5" s="170"/>
      <c r="OK5" s="170"/>
      <c r="OL5" s="170"/>
      <c r="OM5" s="170"/>
      <c r="ON5" s="170"/>
      <c r="OO5" s="170"/>
      <c r="OP5" s="170"/>
      <c r="OQ5" s="170"/>
      <c r="OR5" s="170"/>
      <c r="OS5" s="170"/>
      <c r="OT5" s="170"/>
      <c r="OU5" s="170"/>
      <c r="OV5" s="170"/>
      <c r="OW5" s="170"/>
      <c r="OX5" s="170"/>
      <c r="OY5" s="170"/>
      <c r="OZ5" s="170"/>
      <c r="PA5" s="170"/>
      <c r="PB5" s="170"/>
      <c r="PC5" s="170"/>
      <c r="PD5" s="170"/>
      <c r="PE5" s="170"/>
      <c r="PF5" s="170"/>
      <c r="PG5" s="170"/>
      <c r="PH5" s="170"/>
      <c r="PI5" s="170"/>
      <c r="PJ5" s="170"/>
      <c r="PK5" s="170"/>
      <c r="PL5" s="170"/>
      <c r="PM5" s="170"/>
      <c r="PN5" s="170"/>
      <c r="PO5" s="170"/>
      <c r="PP5" s="170"/>
      <c r="PQ5" s="170"/>
      <c r="PR5" s="170"/>
      <c r="PS5" s="170"/>
      <c r="PT5" s="170"/>
      <c r="PU5" s="170"/>
      <c r="PV5" s="170"/>
      <c r="PW5" s="170"/>
      <c r="PX5" s="170"/>
      <c r="PY5" s="170"/>
      <c r="PZ5" s="170"/>
      <c r="QA5" s="170"/>
      <c r="QB5" s="170"/>
      <c r="QC5" s="170"/>
      <c r="QD5" s="170"/>
      <c r="QE5" s="170"/>
      <c r="QF5" s="170"/>
      <c r="QG5" s="170"/>
      <c r="QH5" s="170"/>
      <c r="QI5" s="170"/>
      <c r="QJ5" s="170"/>
      <c r="QK5" s="170"/>
      <c r="QL5" s="170"/>
      <c r="QM5" s="170"/>
      <c r="QN5" s="170"/>
      <c r="QO5" s="170"/>
      <c r="QP5" s="170"/>
      <c r="QQ5" s="170"/>
      <c r="QR5" s="170"/>
      <c r="QS5" s="170"/>
      <c r="QT5" s="170"/>
      <c r="QU5" s="170"/>
      <c r="QV5" s="170"/>
      <c r="QW5" s="170"/>
      <c r="QX5" s="170"/>
      <c r="QY5" s="170"/>
      <c r="QZ5" s="170"/>
      <c r="RA5" s="170"/>
      <c r="RB5" s="170"/>
      <c r="RC5" s="170"/>
      <c r="RD5" s="170"/>
      <c r="RE5" s="170"/>
      <c r="RF5" s="170"/>
      <c r="RG5" s="170"/>
      <c r="RH5" s="170"/>
      <c r="RI5" s="170"/>
      <c r="RJ5" s="170"/>
      <c r="RK5" s="170"/>
      <c r="RL5" s="170"/>
      <c r="RM5" s="170"/>
      <c r="RN5" s="170"/>
      <c r="RO5" s="170"/>
      <c r="RP5" s="170"/>
      <c r="RQ5" s="170"/>
      <c r="RR5" s="170"/>
      <c r="RS5" s="170"/>
      <c r="RT5" s="170"/>
      <c r="RU5" s="170"/>
      <c r="RV5" s="170"/>
      <c r="RW5" s="170"/>
      <c r="RX5" s="170"/>
      <c r="RY5" s="170"/>
      <c r="RZ5" s="170"/>
      <c r="SA5" s="170"/>
      <c r="SB5" s="170"/>
      <c r="SC5" s="170"/>
      <c r="SD5" s="170"/>
      <c r="SE5" s="170"/>
      <c r="SF5" s="170"/>
      <c r="SG5" s="170"/>
      <c r="SH5" s="170"/>
      <c r="SI5" s="170"/>
      <c r="SJ5" s="170"/>
      <c r="SK5" s="170"/>
      <c r="SL5" s="170"/>
      <c r="SM5" s="170"/>
      <c r="SN5" s="170"/>
      <c r="SO5" s="170"/>
      <c r="SP5" s="170"/>
      <c r="SQ5" s="170"/>
      <c r="SR5" s="170"/>
      <c r="SS5" s="170"/>
      <c r="ST5" s="170"/>
      <c r="SU5" s="170"/>
      <c r="SV5" s="170"/>
      <c r="SW5" s="170"/>
      <c r="SX5" s="170"/>
      <c r="SY5" s="170"/>
      <c r="SZ5" s="170"/>
      <c r="TA5" s="170"/>
      <c r="TB5" s="170"/>
      <c r="TC5" s="170"/>
      <c r="TD5" s="170"/>
      <c r="TE5" s="170"/>
      <c r="TF5" s="170"/>
      <c r="TG5" s="170"/>
      <c r="TH5" s="170"/>
      <c r="TI5" s="170"/>
      <c r="TJ5" s="170"/>
      <c r="TK5" s="170"/>
      <c r="TL5" s="170"/>
      <c r="TM5" s="170"/>
      <c r="TN5" s="170"/>
      <c r="TO5" s="170"/>
      <c r="TP5" s="170"/>
      <c r="TQ5" s="170"/>
      <c r="TR5" s="170"/>
      <c r="TS5" s="170"/>
      <c r="TT5" s="170"/>
      <c r="TU5" s="170"/>
      <c r="TV5" s="170"/>
      <c r="TW5" s="170"/>
      <c r="TX5" s="170"/>
      <c r="TY5" s="170"/>
      <c r="TZ5" s="170"/>
      <c r="UA5" s="170"/>
      <c r="UB5" s="170"/>
      <c r="UC5" s="170"/>
      <c r="UD5" s="170"/>
      <c r="UE5" s="170"/>
      <c r="UF5" s="170"/>
      <c r="UG5" s="170"/>
      <c r="UH5" s="170"/>
      <c r="UI5" s="170"/>
      <c r="UJ5" s="170"/>
      <c r="UK5" s="170"/>
      <c r="UL5" s="170"/>
      <c r="UM5" s="170"/>
      <c r="UN5" s="170"/>
      <c r="UO5" s="170"/>
      <c r="UP5" s="170"/>
      <c r="UQ5" s="170"/>
      <c r="UR5" s="170"/>
      <c r="US5" s="170"/>
      <c r="UT5" s="170"/>
      <c r="UU5" s="170"/>
      <c r="UV5" s="170"/>
      <c r="UW5" s="170"/>
      <c r="UX5" s="170"/>
      <c r="UY5" s="170"/>
      <c r="UZ5" s="170"/>
      <c r="VA5" s="170"/>
      <c r="VB5" s="170"/>
      <c r="VC5" s="170"/>
      <c r="VD5" s="170"/>
      <c r="VE5" s="170"/>
      <c r="VF5" s="170"/>
      <c r="VG5" s="170"/>
      <c r="VH5" s="170"/>
      <c r="VI5" s="170"/>
      <c r="VJ5" s="170"/>
      <c r="VK5" s="170"/>
      <c r="VL5" s="170"/>
      <c r="VM5" s="170"/>
      <c r="VN5" s="170"/>
      <c r="VO5" s="170"/>
      <c r="VP5" s="170"/>
      <c r="VQ5" s="170"/>
      <c r="VR5" s="170"/>
      <c r="VS5" s="170"/>
      <c r="VT5" s="170"/>
      <c r="VU5" s="170"/>
      <c r="VV5" s="170"/>
      <c r="VW5" s="170"/>
      <c r="VX5" s="170"/>
      <c r="VY5" s="170"/>
      <c r="VZ5" s="170"/>
      <c r="WA5" s="170"/>
      <c r="WB5" s="170"/>
      <c r="WC5" s="170"/>
      <c r="WD5" s="170"/>
      <c r="WE5" s="170"/>
      <c r="WF5" s="170"/>
      <c r="WG5" s="170"/>
      <c r="WH5" s="170"/>
      <c r="WI5" s="170"/>
      <c r="WJ5" s="170"/>
      <c r="WK5" s="170"/>
      <c r="WL5" s="170"/>
      <c r="WM5" s="170"/>
      <c r="WN5" s="170"/>
      <c r="WO5" s="170"/>
      <c r="WP5" s="170"/>
      <c r="WQ5" s="170"/>
      <c r="WR5" s="170"/>
      <c r="WS5" s="170"/>
      <c r="WT5" s="170"/>
      <c r="WU5" s="170"/>
      <c r="WV5" s="170"/>
      <c r="WW5" s="170"/>
      <c r="WX5" s="170"/>
      <c r="WY5" s="170"/>
      <c r="WZ5" s="170"/>
      <c r="XA5" s="170"/>
      <c r="XB5" s="170"/>
      <c r="XC5" s="170"/>
      <c r="XD5" s="170"/>
      <c r="XE5" s="170"/>
      <c r="XF5" s="170"/>
      <c r="XG5" s="170"/>
      <c r="XH5" s="170"/>
      <c r="XI5" s="170"/>
      <c r="XJ5" s="170"/>
      <c r="XK5" s="170"/>
      <c r="XL5" s="170"/>
      <c r="XM5" s="170"/>
      <c r="XN5" s="170"/>
      <c r="XO5" s="170"/>
      <c r="XP5" s="170"/>
      <c r="XQ5" s="170"/>
      <c r="XR5" s="170"/>
      <c r="XS5" s="170"/>
      <c r="XT5" s="170"/>
      <c r="XU5" s="170"/>
      <c r="XV5" s="170"/>
      <c r="XW5" s="170"/>
      <c r="XX5" s="170"/>
      <c r="XY5" s="170"/>
      <c r="XZ5" s="170"/>
      <c r="YA5" s="170"/>
      <c r="YB5" s="170"/>
      <c r="YC5" s="170"/>
      <c r="YD5" s="170"/>
      <c r="YE5" s="170"/>
      <c r="YF5" s="170"/>
      <c r="YG5" s="170"/>
      <c r="YH5" s="170"/>
      <c r="YI5" s="170"/>
      <c r="YJ5" s="170"/>
      <c r="YK5" s="170"/>
      <c r="YL5" s="170"/>
      <c r="YM5" s="170"/>
      <c r="YN5" s="170"/>
      <c r="YO5" s="170"/>
      <c r="YP5" s="170"/>
      <c r="YQ5" s="170"/>
      <c r="YR5" s="170"/>
      <c r="YS5" s="170"/>
      <c r="YT5" s="170"/>
      <c r="YU5" s="170"/>
      <c r="YV5" s="170"/>
      <c r="YW5" s="170"/>
      <c r="YX5" s="170"/>
      <c r="YY5" s="170"/>
      <c r="YZ5" s="170"/>
      <c r="ZA5" s="170"/>
      <c r="ZB5" s="170"/>
      <c r="ZC5" s="170"/>
      <c r="ZD5" s="170"/>
      <c r="ZE5" s="170"/>
      <c r="ZF5" s="170"/>
      <c r="ZG5" s="170"/>
      <c r="ZH5" s="170"/>
      <c r="ZI5" s="170"/>
      <c r="ZJ5" s="170"/>
      <c r="ZK5" s="170"/>
      <c r="ZL5" s="170"/>
      <c r="ZM5" s="170"/>
      <c r="ZN5" s="170"/>
      <c r="ZO5" s="170"/>
      <c r="ZP5" s="170"/>
      <c r="ZQ5" s="170"/>
      <c r="ZR5" s="170"/>
      <c r="ZS5" s="170"/>
      <c r="ZT5" s="170"/>
      <c r="ZU5" s="170"/>
      <c r="ZV5" s="170"/>
      <c r="ZW5" s="170"/>
      <c r="ZX5" s="170"/>
      <c r="ZY5" s="170"/>
      <c r="ZZ5" s="170"/>
      <c r="AAA5" s="170"/>
      <c r="AAB5" s="170"/>
      <c r="AAC5" s="170"/>
      <c r="AAD5" s="170"/>
      <c r="AAE5" s="170"/>
      <c r="AAF5" s="170"/>
      <c r="AAG5" s="170"/>
      <c r="AAH5" s="170"/>
      <c r="AAI5" s="170"/>
      <c r="AAJ5" s="170"/>
      <c r="AAK5" s="170"/>
      <c r="AAL5" s="170"/>
      <c r="AAM5" s="170"/>
      <c r="AAN5" s="170"/>
      <c r="AAO5" s="170"/>
      <c r="AAP5" s="170"/>
      <c r="AAQ5" s="170"/>
      <c r="AAR5" s="170"/>
      <c r="AAS5" s="170"/>
      <c r="AAT5" s="170"/>
      <c r="AAU5" s="170"/>
      <c r="AAV5" s="170"/>
      <c r="AAW5" s="170"/>
      <c r="AAX5" s="170"/>
      <c r="AAY5" s="170"/>
      <c r="AAZ5" s="170"/>
      <c r="ABA5" s="170"/>
      <c r="ABB5" s="170"/>
      <c r="ABC5" s="170"/>
      <c r="ABD5" s="170"/>
      <c r="ABE5" s="170"/>
      <c r="ABF5" s="170"/>
      <c r="ABG5" s="170"/>
      <c r="ABH5" s="170"/>
      <c r="ABI5" s="170"/>
      <c r="ABJ5" s="170"/>
      <c r="ABK5" s="170"/>
      <c r="ABL5" s="170"/>
      <c r="ABM5" s="170"/>
      <c r="ABN5" s="170"/>
      <c r="ABO5" s="170"/>
      <c r="ABP5" s="170"/>
      <c r="ABQ5" s="170"/>
      <c r="ABR5" s="170"/>
      <c r="ABS5" s="170"/>
      <c r="ABT5" s="170"/>
      <c r="ABU5" s="170"/>
      <c r="ABV5" s="170"/>
      <c r="ABW5" s="170"/>
      <c r="ABX5" s="170"/>
      <c r="ABY5" s="170"/>
      <c r="ABZ5" s="170"/>
      <c r="ACA5" s="170"/>
      <c r="ACB5" s="170"/>
      <c r="ACC5" s="170"/>
      <c r="ACD5" s="170"/>
      <c r="ACE5" s="170"/>
      <c r="ACF5" s="170"/>
      <c r="ACG5" s="170"/>
      <c r="ACH5" s="170"/>
      <c r="ACI5" s="170"/>
      <c r="ACJ5" s="170"/>
      <c r="ACK5" s="170"/>
      <c r="ACL5" s="170"/>
      <c r="ACM5" s="170"/>
      <c r="ACN5" s="170"/>
      <c r="ACO5" s="170"/>
      <c r="ACP5" s="170"/>
      <c r="ACQ5" s="170"/>
      <c r="ACR5" s="170"/>
      <c r="ACS5" s="170"/>
      <c r="ACT5" s="170"/>
      <c r="ACU5" s="170"/>
      <c r="ACV5" s="170"/>
      <c r="ACW5" s="170"/>
      <c r="ACX5" s="170"/>
      <c r="ACY5" s="170"/>
      <c r="ACZ5" s="170"/>
      <c r="ADA5" s="170"/>
      <c r="ADB5" s="170"/>
      <c r="ADC5" s="170"/>
      <c r="ADD5" s="170"/>
      <c r="ADE5" s="170"/>
      <c r="ADF5" s="170"/>
      <c r="ADG5" s="170"/>
      <c r="ADH5" s="170"/>
      <c r="ADI5" s="170"/>
      <c r="ADJ5" s="170"/>
      <c r="ADK5" s="170"/>
      <c r="ADL5" s="170"/>
      <c r="ADM5" s="170"/>
      <c r="ADN5" s="170"/>
      <c r="ADO5" s="170"/>
      <c r="ADP5" s="170"/>
      <c r="ADQ5" s="170"/>
      <c r="ADR5" s="170"/>
      <c r="ADS5" s="170"/>
      <c r="ADT5" s="170"/>
      <c r="ADU5" s="170"/>
      <c r="ADV5" s="170"/>
      <c r="ADW5" s="170"/>
      <c r="ADX5" s="170"/>
      <c r="ADY5" s="170"/>
      <c r="ADZ5" s="170"/>
      <c r="AEA5" s="170"/>
      <c r="AEB5" s="170"/>
      <c r="AEC5" s="170"/>
      <c r="AED5" s="170"/>
      <c r="AEE5" s="170"/>
      <c r="AEF5" s="170"/>
      <c r="AEG5" s="170"/>
      <c r="AEH5" s="170"/>
      <c r="AEI5" s="170"/>
      <c r="AEJ5" s="170"/>
      <c r="AEK5" s="170"/>
      <c r="AEL5" s="170"/>
      <c r="AEM5" s="170"/>
      <c r="AEN5" s="170"/>
      <c r="AEO5" s="170"/>
      <c r="AEP5" s="170"/>
      <c r="AEQ5" s="170"/>
      <c r="AER5" s="170"/>
      <c r="AES5" s="170"/>
      <c r="AET5" s="170"/>
      <c r="AEU5" s="170"/>
      <c r="AEV5" s="170"/>
      <c r="AEW5" s="170"/>
      <c r="AEX5" s="170"/>
      <c r="AEY5" s="170"/>
      <c r="AEZ5" s="170"/>
      <c r="AFA5" s="170"/>
      <c r="AFB5" s="170"/>
      <c r="AFC5" s="170"/>
      <c r="AFD5" s="170"/>
      <c r="AFE5" s="170"/>
      <c r="AFF5" s="170"/>
      <c r="AFG5" s="170"/>
      <c r="AFH5" s="170"/>
      <c r="AFI5" s="170"/>
      <c r="AFJ5" s="170"/>
      <c r="AFK5" s="170"/>
      <c r="AFL5" s="170"/>
      <c r="AFM5" s="170"/>
      <c r="AFN5" s="170"/>
      <c r="AFO5" s="170"/>
      <c r="AFP5" s="170"/>
      <c r="AFQ5" s="170"/>
      <c r="AFR5" s="170"/>
      <c r="AFS5" s="170"/>
      <c r="AFT5" s="170"/>
      <c r="AFU5" s="170"/>
      <c r="AFV5" s="170"/>
      <c r="AFW5" s="170"/>
      <c r="AFX5" s="170"/>
      <c r="AFY5" s="170"/>
      <c r="AFZ5" s="170"/>
      <c r="AGA5" s="170"/>
      <c r="AGB5" s="170"/>
      <c r="AGC5" s="170"/>
      <c r="AGD5" s="170"/>
      <c r="AGE5" s="170"/>
      <c r="AGF5" s="170"/>
      <c r="AGG5" s="170"/>
      <c r="AGH5" s="170"/>
      <c r="AGI5" s="170"/>
      <c r="AGJ5" s="170"/>
      <c r="AGK5" s="170"/>
      <c r="AGL5" s="170"/>
      <c r="AGM5" s="170"/>
      <c r="AGN5" s="170"/>
      <c r="AGO5" s="170"/>
      <c r="AGP5" s="170"/>
      <c r="AGQ5" s="170"/>
      <c r="AGR5" s="170"/>
      <c r="AGS5" s="170"/>
      <c r="AGT5" s="170"/>
      <c r="AGU5" s="170"/>
      <c r="AGV5" s="170"/>
      <c r="AGW5" s="170"/>
      <c r="AGX5" s="170"/>
      <c r="AGY5" s="170"/>
      <c r="AGZ5" s="170"/>
      <c r="AHA5" s="170"/>
      <c r="AHB5" s="170"/>
      <c r="AHC5" s="170"/>
      <c r="AHD5" s="170"/>
      <c r="AHE5" s="170"/>
      <c r="AHF5" s="170"/>
      <c r="AHG5" s="170"/>
      <c r="AHH5" s="170"/>
      <c r="AHI5" s="170"/>
      <c r="AHJ5" s="170"/>
      <c r="AHK5" s="170"/>
      <c r="AHL5" s="170"/>
      <c r="AHM5" s="170"/>
      <c r="AHN5" s="170"/>
      <c r="AHO5" s="170"/>
      <c r="AHP5" s="170"/>
      <c r="AHQ5" s="170"/>
      <c r="AHR5" s="170"/>
      <c r="AHS5" s="170"/>
      <c r="AHT5" s="170"/>
      <c r="AHU5" s="170"/>
      <c r="AHV5" s="170"/>
      <c r="AHW5" s="170"/>
      <c r="AHX5" s="170"/>
      <c r="AHY5" s="170"/>
      <c r="AHZ5" s="170"/>
      <c r="AIA5" s="170"/>
      <c r="AIB5" s="170"/>
      <c r="AIC5" s="170"/>
      <c r="AID5" s="170"/>
      <c r="AIE5" s="170"/>
      <c r="AIF5" s="170"/>
      <c r="AIG5" s="170"/>
      <c r="AIH5" s="170"/>
      <c r="AII5" s="170"/>
      <c r="AIJ5" s="170"/>
      <c r="AIK5" s="170"/>
      <c r="AIL5" s="170"/>
      <c r="AIM5" s="170"/>
      <c r="AIN5" s="170"/>
      <c r="AIO5" s="170"/>
      <c r="AIP5" s="170"/>
      <c r="AIQ5" s="170"/>
      <c r="AIR5" s="170"/>
      <c r="AIS5" s="170"/>
      <c r="AIT5" s="170"/>
      <c r="AIU5" s="170"/>
      <c r="AIV5" s="170"/>
      <c r="AIW5" s="170"/>
      <c r="AIX5" s="170"/>
      <c r="AIY5" s="170"/>
      <c r="AIZ5" s="170"/>
      <c r="AJA5" s="170"/>
      <c r="AJB5" s="170"/>
      <c r="AJC5" s="170"/>
      <c r="AJD5" s="170"/>
      <c r="AJE5" s="170"/>
      <c r="AJF5" s="170"/>
      <c r="AJG5" s="170"/>
      <c r="AJH5" s="170"/>
      <c r="AJI5" s="170"/>
      <c r="AJJ5" s="170"/>
      <c r="AJK5" s="170"/>
      <c r="AJL5" s="170"/>
      <c r="AJM5" s="170"/>
      <c r="AJN5" s="170"/>
      <c r="AJO5" s="170"/>
      <c r="AJP5" s="170"/>
      <c r="AJQ5" s="170"/>
      <c r="AJR5" s="170"/>
      <c r="AJS5" s="170"/>
      <c r="AJT5" s="170"/>
      <c r="AJU5" s="170"/>
      <c r="AJV5" s="170"/>
      <c r="AJW5" s="170"/>
      <c r="AJX5" s="170"/>
      <c r="AJY5" s="170"/>
      <c r="AJZ5" s="170"/>
      <c r="AKA5" s="170"/>
      <c r="AKB5" s="170"/>
      <c r="AKC5" s="170"/>
      <c r="AKD5" s="170"/>
      <c r="AKE5" s="170"/>
      <c r="AKF5" s="170"/>
      <c r="AKG5" s="170"/>
      <c r="AKH5" s="170"/>
      <c r="AKI5" s="170"/>
      <c r="AKJ5" s="170"/>
      <c r="AKK5" s="170"/>
      <c r="AKL5" s="170"/>
      <c r="AKM5" s="170"/>
      <c r="AKN5" s="170"/>
      <c r="AKO5" s="170"/>
      <c r="AKP5" s="170"/>
      <c r="AKQ5" s="170"/>
      <c r="AKR5" s="170"/>
      <c r="AKS5" s="170"/>
      <c r="AKT5" s="170"/>
      <c r="AKU5" s="170"/>
      <c r="AKV5" s="170"/>
      <c r="AKW5" s="170"/>
      <c r="AKX5" s="170"/>
      <c r="AKY5" s="170"/>
      <c r="AKZ5" s="170"/>
      <c r="ALA5" s="170"/>
      <c r="ALB5" s="170"/>
      <c r="ALC5" s="170"/>
      <c r="ALD5" s="170"/>
      <c r="ALE5" s="170"/>
      <c r="ALF5" s="170"/>
      <c r="ALG5" s="170"/>
      <c r="ALH5" s="170"/>
      <c r="ALI5" s="170"/>
      <c r="ALJ5" s="170"/>
      <c r="ALK5" s="170"/>
      <c r="ALL5" s="170"/>
      <c r="ALM5" s="170"/>
      <c r="ALN5" s="170"/>
      <c r="ALO5" s="170"/>
      <c r="ALP5" s="170"/>
      <c r="ALQ5" s="170"/>
      <c r="ALR5" s="170"/>
      <c r="ALS5" s="170"/>
      <c r="ALT5" s="170"/>
      <c r="ALU5" s="170"/>
      <c r="ALV5" s="170"/>
      <c r="ALW5" s="170"/>
      <c r="ALX5" s="170"/>
      <c r="ALY5" s="170"/>
      <c r="ALZ5" s="170"/>
      <c r="AMA5" s="170"/>
      <c r="AMB5" s="170"/>
      <c r="AMC5" s="170"/>
      <c r="AMD5" s="170"/>
      <c r="AME5" s="170"/>
      <c r="AMF5" s="170"/>
      <c r="AMG5" s="170"/>
      <c r="AMH5" s="170"/>
      <c r="AMI5" s="170"/>
      <c r="AMJ5" s="170"/>
      <c r="AMK5" s="170"/>
      <c r="AML5" s="170"/>
      <c r="AMM5" s="170"/>
      <c r="AMN5" s="170"/>
    </row>
    <row r="6" spans="1:1028" s="171" customFormat="1" ht="25.5" customHeight="1">
      <c r="A6" s="167" t="s">
        <v>155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9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9"/>
      <c r="AM6" s="169"/>
      <c r="AN6" s="169"/>
      <c r="AO6" s="169"/>
      <c r="AP6" s="169"/>
      <c r="AQ6" s="169"/>
      <c r="AR6" s="169"/>
      <c r="AS6" s="169"/>
      <c r="AT6" s="170"/>
      <c r="AU6" s="170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70"/>
      <c r="BG6" s="170"/>
      <c r="BH6" s="170"/>
      <c r="BI6" s="170"/>
      <c r="BJ6" s="170"/>
      <c r="BK6" s="170"/>
      <c r="BL6" s="170"/>
      <c r="BM6" s="170"/>
      <c r="BN6" s="170"/>
      <c r="BO6" s="170"/>
      <c r="BP6" s="170"/>
      <c r="BQ6" s="170"/>
      <c r="BR6" s="170"/>
      <c r="BS6" s="170"/>
      <c r="BT6" s="170"/>
      <c r="BU6" s="170"/>
      <c r="BV6" s="170"/>
      <c r="BW6" s="170"/>
      <c r="BX6" s="170"/>
      <c r="BY6" s="170"/>
      <c r="BZ6" s="170"/>
      <c r="CA6" s="170"/>
      <c r="CB6" s="170"/>
      <c r="CC6" s="170"/>
      <c r="CD6" s="170"/>
      <c r="CE6" s="170"/>
      <c r="CF6" s="170"/>
      <c r="CG6" s="170"/>
      <c r="CH6" s="170"/>
      <c r="CI6" s="170"/>
      <c r="CJ6" s="170"/>
      <c r="CK6" s="170"/>
      <c r="CL6" s="170"/>
      <c r="CM6" s="170"/>
      <c r="CN6" s="170"/>
      <c r="CO6" s="170"/>
      <c r="CP6" s="170"/>
      <c r="CQ6" s="170"/>
      <c r="CR6" s="170"/>
      <c r="CS6" s="170"/>
      <c r="CT6" s="170"/>
      <c r="CU6" s="170"/>
      <c r="CV6" s="170"/>
      <c r="CW6" s="170"/>
      <c r="CX6" s="170"/>
      <c r="CY6" s="170"/>
      <c r="CZ6" s="170"/>
      <c r="DA6" s="170"/>
      <c r="DB6" s="170"/>
      <c r="DC6" s="170"/>
      <c r="DD6" s="170"/>
      <c r="DE6" s="170"/>
      <c r="DF6" s="170"/>
      <c r="DG6" s="170"/>
      <c r="DH6" s="170"/>
      <c r="DI6" s="170"/>
      <c r="DJ6" s="170"/>
      <c r="DK6" s="170"/>
      <c r="DL6" s="170"/>
      <c r="DM6" s="170"/>
      <c r="DN6" s="170"/>
      <c r="DO6" s="170"/>
      <c r="DP6" s="170"/>
      <c r="DQ6" s="170"/>
      <c r="DR6" s="170"/>
      <c r="DS6" s="170"/>
      <c r="DT6" s="170"/>
      <c r="DU6" s="170"/>
      <c r="DV6" s="170"/>
      <c r="DW6" s="170"/>
      <c r="DX6" s="170"/>
      <c r="DY6" s="170"/>
      <c r="DZ6" s="170"/>
      <c r="EA6" s="170"/>
      <c r="EB6" s="170"/>
      <c r="EC6" s="170"/>
      <c r="ED6" s="170"/>
      <c r="EE6" s="170"/>
      <c r="EF6" s="170"/>
      <c r="EG6" s="170"/>
      <c r="EH6" s="170"/>
      <c r="EI6" s="170"/>
      <c r="EJ6" s="170"/>
      <c r="EK6" s="170"/>
      <c r="EL6" s="170"/>
      <c r="EM6" s="170"/>
      <c r="EN6" s="170"/>
      <c r="EO6" s="170"/>
      <c r="EP6" s="170"/>
      <c r="EQ6" s="170"/>
      <c r="ER6" s="170"/>
      <c r="ES6" s="170"/>
      <c r="ET6" s="170"/>
      <c r="EU6" s="170"/>
      <c r="EV6" s="170"/>
      <c r="EW6" s="170"/>
      <c r="EX6" s="170"/>
      <c r="EY6" s="170"/>
      <c r="EZ6" s="170"/>
      <c r="FA6" s="170"/>
      <c r="FB6" s="170"/>
      <c r="FC6" s="170"/>
      <c r="FD6" s="170"/>
      <c r="FE6" s="170"/>
      <c r="FF6" s="170"/>
      <c r="FG6" s="170"/>
      <c r="FH6" s="170"/>
      <c r="FI6" s="170"/>
      <c r="FJ6" s="170"/>
      <c r="FK6" s="170"/>
      <c r="FL6" s="170"/>
      <c r="FM6" s="170"/>
      <c r="FN6" s="170"/>
      <c r="FO6" s="170"/>
      <c r="FP6" s="170"/>
      <c r="FQ6" s="170"/>
      <c r="FR6" s="170"/>
      <c r="FS6" s="170"/>
      <c r="FT6" s="170"/>
      <c r="FU6" s="170"/>
      <c r="FV6" s="170"/>
      <c r="FW6" s="170"/>
      <c r="FX6" s="170"/>
      <c r="FY6" s="170"/>
      <c r="FZ6" s="170"/>
      <c r="GA6" s="170"/>
      <c r="GB6" s="170"/>
      <c r="GC6" s="170"/>
      <c r="GD6" s="170"/>
      <c r="GE6" s="170"/>
      <c r="GF6" s="170"/>
      <c r="GG6" s="170"/>
      <c r="GH6" s="170"/>
      <c r="GI6" s="170"/>
      <c r="GJ6" s="170"/>
      <c r="GK6" s="170"/>
      <c r="GL6" s="170"/>
      <c r="GM6" s="170"/>
      <c r="GN6" s="170"/>
      <c r="GO6" s="170"/>
      <c r="GP6" s="170"/>
      <c r="GQ6" s="170"/>
      <c r="GR6" s="170"/>
      <c r="GS6" s="170"/>
      <c r="GT6" s="170"/>
      <c r="GU6" s="170"/>
      <c r="GV6" s="170"/>
      <c r="GW6" s="170"/>
      <c r="GX6" s="170"/>
      <c r="GY6" s="170"/>
      <c r="GZ6" s="170"/>
      <c r="HA6" s="170"/>
      <c r="HB6" s="170"/>
      <c r="HC6" s="170"/>
      <c r="HD6" s="170"/>
      <c r="HE6" s="170"/>
      <c r="HF6" s="170"/>
      <c r="HG6" s="170"/>
      <c r="HH6" s="170"/>
      <c r="HI6" s="170"/>
      <c r="HJ6" s="170"/>
      <c r="HK6" s="170"/>
      <c r="HL6" s="170"/>
      <c r="HM6" s="170"/>
      <c r="HN6" s="170"/>
      <c r="HO6" s="170"/>
      <c r="HP6" s="170"/>
      <c r="HQ6" s="170"/>
      <c r="HR6" s="170"/>
      <c r="HS6" s="170"/>
      <c r="HT6" s="170"/>
      <c r="HU6" s="170"/>
      <c r="HV6" s="170"/>
      <c r="HW6" s="170"/>
      <c r="HX6" s="170"/>
      <c r="HY6" s="170"/>
      <c r="HZ6" s="170"/>
      <c r="IA6" s="170"/>
      <c r="IB6" s="170"/>
      <c r="IC6" s="170"/>
      <c r="ID6" s="170"/>
      <c r="IE6" s="170"/>
      <c r="IF6" s="170"/>
      <c r="IG6" s="170"/>
      <c r="IH6" s="170"/>
      <c r="II6" s="170"/>
      <c r="IJ6" s="170"/>
      <c r="IK6" s="170"/>
      <c r="IL6" s="170"/>
      <c r="IM6" s="170"/>
      <c r="IN6" s="170"/>
      <c r="IO6" s="170"/>
      <c r="IP6" s="170"/>
      <c r="IQ6" s="170"/>
      <c r="IR6" s="170"/>
      <c r="IS6" s="170"/>
      <c r="IT6" s="170"/>
      <c r="IU6" s="170"/>
      <c r="IV6" s="170"/>
      <c r="IW6" s="170"/>
      <c r="IX6" s="170"/>
      <c r="IY6" s="170"/>
      <c r="IZ6" s="170"/>
      <c r="JA6" s="170"/>
      <c r="JB6" s="170"/>
      <c r="JC6" s="170"/>
      <c r="JD6" s="170"/>
      <c r="JE6" s="170"/>
      <c r="JF6" s="170"/>
      <c r="JG6" s="170"/>
      <c r="JH6" s="170"/>
      <c r="JI6" s="170"/>
      <c r="JJ6" s="170"/>
      <c r="JK6" s="170"/>
      <c r="JL6" s="170"/>
      <c r="JM6" s="170"/>
      <c r="JN6" s="170"/>
      <c r="JO6" s="170"/>
      <c r="JP6" s="170"/>
      <c r="JQ6" s="170"/>
      <c r="JR6" s="170"/>
      <c r="JS6" s="170"/>
      <c r="JT6" s="170"/>
      <c r="JU6" s="170"/>
      <c r="JV6" s="170"/>
      <c r="JW6" s="170"/>
      <c r="JX6" s="170"/>
      <c r="JY6" s="170"/>
      <c r="JZ6" s="170"/>
      <c r="KA6" s="170"/>
      <c r="KB6" s="170"/>
      <c r="KC6" s="170"/>
      <c r="KD6" s="170"/>
      <c r="KE6" s="170"/>
      <c r="KF6" s="170"/>
      <c r="KG6" s="170"/>
      <c r="KH6" s="170"/>
      <c r="KI6" s="170"/>
      <c r="KJ6" s="170"/>
      <c r="KK6" s="170"/>
      <c r="KL6" s="170"/>
      <c r="KM6" s="170"/>
      <c r="KN6" s="170"/>
      <c r="KO6" s="170"/>
      <c r="KP6" s="170"/>
      <c r="KQ6" s="170"/>
      <c r="KR6" s="170"/>
      <c r="KS6" s="170"/>
      <c r="KT6" s="170"/>
      <c r="KU6" s="170"/>
      <c r="KV6" s="170"/>
      <c r="KW6" s="170"/>
      <c r="KX6" s="170"/>
      <c r="KY6" s="170"/>
      <c r="KZ6" s="170"/>
      <c r="LA6" s="170"/>
      <c r="LB6" s="170"/>
      <c r="LC6" s="170"/>
      <c r="LD6" s="170"/>
      <c r="LE6" s="170"/>
      <c r="LF6" s="170"/>
      <c r="LG6" s="170"/>
      <c r="LH6" s="170"/>
      <c r="LI6" s="170"/>
      <c r="LJ6" s="170"/>
      <c r="LK6" s="170"/>
      <c r="LL6" s="170"/>
      <c r="LM6" s="170"/>
      <c r="LN6" s="170"/>
      <c r="LO6" s="170"/>
      <c r="LP6" s="170"/>
      <c r="LQ6" s="170"/>
      <c r="LR6" s="170"/>
      <c r="LS6" s="170"/>
      <c r="LT6" s="170"/>
      <c r="LU6" s="170"/>
      <c r="LV6" s="170"/>
      <c r="LW6" s="170"/>
      <c r="LX6" s="170"/>
      <c r="LY6" s="170"/>
      <c r="LZ6" s="170"/>
      <c r="MA6" s="170"/>
      <c r="MB6" s="170"/>
      <c r="MC6" s="170"/>
      <c r="MD6" s="170"/>
      <c r="ME6" s="170"/>
      <c r="MF6" s="170"/>
      <c r="MG6" s="170"/>
      <c r="MH6" s="170"/>
      <c r="MI6" s="170"/>
      <c r="MJ6" s="170"/>
      <c r="MK6" s="170"/>
      <c r="ML6" s="170"/>
      <c r="MM6" s="170"/>
      <c r="MN6" s="170"/>
      <c r="MO6" s="170"/>
      <c r="MP6" s="170"/>
      <c r="MQ6" s="170"/>
      <c r="MR6" s="170"/>
      <c r="MS6" s="170"/>
      <c r="MT6" s="170"/>
      <c r="MU6" s="170"/>
      <c r="MV6" s="170"/>
      <c r="MW6" s="170"/>
      <c r="MX6" s="170"/>
      <c r="MY6" s="170"/>
      <c r="MZ6" s="170"/>
      <c r="NA6" s="170"/>
      <c r="NB6" s="170"/>
      <c r="NC6" s="170"/>
      <c r="ND6" s="170"/>
      <c r="NE6" s="170"/>
      <c r="NF6" s="170"/>
      <c r="NG6" s="170"/>
      <c r="NH6" s="170"/>
      <c r="NI6" s="170"/>
      <c r="NJ6" s="170"/>
      <c r="NK6" s="170"/>
      <c r="NL6" s="170"/>
      <c r="NM6" s="170"/>
      <c r="NN6" s="170"/>
      <c r="NO6" s="170"/>
      <c r="NP6" s="170"/>
      <c r="NQ6" s="170"/>
      <c r="NR6" s="170"/>
      <c r="NS6" s="170"/>
      <c r="NT6" s="170"/>
      <c r="NU6" s="170"/>
      <c r="NV6" s="170"/>
      <c r="NW6" s="170"/>
      <c r="NX6" s="170"/>
      <c r="NY6" s="170"/>
      <c r="NZ6" s="170"/>
      <c r="OA6" s="170"/>
      <c r="OB6" s="170"/>
      <c r="OC6" s="170"/>
      <c r="OD6" s="170"/>
      <c r="OE6" s="170"/>
      <c r="OF6" s="170"/>
      <c r="OG6" s="170"/>
      <c r="OH6" s="170"/>
      <c r="OI6" s="170"/>
      <c r="OJ6" s="170"/>
      <c r="OK6" s="170"/>
      <c r="OL6" s="170"/>
      <c r="OM6" s="170"/>
      <c r="ON6" s="170"/>
      <c r="OO6" s="170"/>
      <c r="OP6" s="170"/>
      <c r="OQ6" s="170"/>
      <c r="OR6" s="170"/>
      <c r="OS6" s="170"/>
      <c r="OT6" s="170"/>
      <c r="OU6" s="170"/>
      <c r="OV6" s="170"/>
      <c r="OW6" s="170"/>
      <c r="OX6" s="170"/>
      <c r="OY6" s="170"/>
      <c r="OZ6" s="170"/>
      <c r="PA6" s="170"/>
      <c r="PB6" s="170"/>
      <c r="PC6" s="170"/>
      <c r="PD6" s="170"/>
      <c r="PE6" s="170"/>
      <c r="PF6" s="170"/>
      <c r="PG6" s="170"/>
      <c r="PH6" s="170"/>
      <c r="PI6" s="170"/>
      <c r="PJ6" s="170"/>
      <c r="PK6" s="170"/>
      <c r="PL6" s="170"/>
      <c r="PM6" s="170"/>
      <c r="PN6" s="170"/>
      <c r="PO6" s="170"/>
      <c r="PP6" s="170"/>
      <c r="PQ6" s="170"/>
      <c r="PR6" s="170"/>
      <c r="PS6" s="170"/>
      <c r="PT6" s="170"/>
      <c r="PU6" s="170"/>
      <c r="PV6" s="170"/>
      <c r="PW6" s="170"/>
      <c r="PX6" s="170"/>
      <c r="PY6" s="170"/>
      <c r="PZ6" s="170"/>
      <c r="QA6" s="170"/>
      <c r="QB6" s="170"/>
      <c r="QC6" s="170"/>
      <c r="QD6" s="170"/>
      <c r="QE6" s="170"/>
      <c r="QF6" s="170"/>
      <c r="QG6" s="170"/>
      <c r="QH6" s="170"/>
      <c r="QI6" s="170"/>
      <c r="QJ6" s="170"/>
      <c r="QK6" s="170"/>
      <c r="QL6" s="170"/>
      <c r="QM6" s="170"/>
      <c r="QN6" s="170"/>
      <c r="QO6" s="170"/>
      <c r="QP6" s="170"/>
      <c r="QQ6" s="170"/>
      <c r="QR6" s="170"/>
      <c r="QS6" s="170"/>
      <c r="QT6" s="170"/>
      <c r="QU6" s="170"/>
      <c r="QV6" s="170"/>
      <c r="QW6" s="170"/>
      <c r="QX6" s="170"/>
      <c r="QY6" s="170"/>
      <c r="QZ6" s="170"/>
      <c r="RA6" s="170"/>
      <c r="RB6" s="170"/>
      <c r="RC6" s="170"/>
      <c r="RD6" s="170"/>
      <c r="RE6" s="170"/>
      <c r="RF6" s="170"/>
      <c r="RG6" s="170"/>
      <c r="RH6" s="170"/>
      <c r="RI6" s="170"/>
      <c r="RJ6" s="170"/>
      <c r="RK6" s="170"/>
      <c r="RL6" s="170"/>
      <c r="RM6" s="170"/>
      <c r="RN6" s="170"/>
      <c r="RO6" s="170"/>
      <c r="RP6" s="170"/>
      <c r="RQ6" s="170"/>
      <c r="RR6" s="170"/>
      <c r="RS6" s="170"/>
      <c r="RT6" s="170"/>
      <c r="RU6" s="170"/>
      <c r="RV6" s="170"/>
      <c r="RW6" s="170"/>
      <c r="RX6" s="170"/>
      <c r="RY6" s="170"/>
      <c r="RZ6" s="170"/>
      <c r="SA6" s="170"/>
      <c r="SB6" s="170"/>
      <c r="SC6" s="170"/>
      <c r="SD6" s="170"/>
      <c r="SE6" s="170"/>
      <c r="SF6" s="170"/>
      <c r="SG6" s="170"/>
      <c r="SH6" s="170"/>
      <c r="SI6" s="170"/>
      <c r="SJ6" s="170"/>
      <c r="SK6" s="170"/>
      <c r="SL6" s="170"/>
      <c r="SM6" s="170"/>
      <c r="SN6" s="170"/>
      <c r="SO6" s="170"/>
      <c r="SP6" s="170"/>
      <c r="SQ6" s="170"/>
      <c r="SR6" s="170"/>
      <c r="SS6" s="170"/>
      <c r="ST6" s="170"/>
      <c r="SU6" s="170"/>
      <c r="SV6" s="170"/>
      <c r="SW6" s="170"/>
      <c r="SX6" s="170"/>
      <c r="SY6" s="170"/>
      <c r="SZ6" s="170"/>
      <c r="TA6" s="170"/>
      <c r="TB6" s="170"/>
      <c r="TC6" s="170"/>
      <c r="TD6" s="170"/>
      <c r="TE6" s="170"/>
      <c r="TF6" s="170"/>
      <c r="TG6" s="170"/>
      <c r="TH6" s="170"/>
      <c r="TI6" s="170"/>
      <c r="TJ6" s="170"/>
      <c r="TK6" s="170"/>
      <c r="TL6" s="170"/>
      <c r="TM6" s="170"/>
      <c r="TN6" s="170"/>
      <c r="TO6" s="170"/>
      <c r="TP6" s="170"/>
      <c r="TQ6" s="170"/>
      <c r="TR6" s="170"/>
      <c r="TS6" s="170"/>
      <c r="TT6" s="170"/>
      <c r="TU6" s="170"/>
      <c r="TV6" s="170"/>
      <c r="TW6" s="170"/>
      <c r="TX6" s="170"/>
      <c r="TY6" s="170"/>
      <c r="TZ6" s="170"/>
      <c r="UA6" s="170"/>
      <c r="UB6" s="170"/>
      <c r="UC6" s="170"/>
      <c r="UD6" s="170"/>
      <c r="UE6" s="170"/>
      <c r="UF6" s="170"/>
      <c r="UG6" s="170"/>
      <c r="UH6" s="170"/>
      <c r="UI6" s="170"/>
      <c r="UJ6" s="170"/>
      <c r="UK6" s="170"/>
      <c r="UL6" s="170"/>
      <c r="UM6" s="170"/>
      <c r="UN6" s="170"/>
      <c r="UO6" s="170"/>
      <c r="UP6" s="170"/>
      <c r="UQ6" s="170"/>
      <c r="UR6" s="170"/>
      <c r="US6" s="170"/>
      <c r="UT6" s="170"/>
      <c r="UU6" s="170"/>
      <c r="UV6" s="170"/>
      <c r="UW6" s="170"/>
      <c r="UX6" s="170"/>
      <c r="UY6" s="170"/>
      <c r="UZ6" s="170"/>
      <c r="VA6" s="170"/>
      <c r="VB6" s="170"/>
      <c r="VC6" s="170"/>
      <c r="VD6" s="170"/>
      <c r="VE6" s="170"/>
      <c r="VF6" s="170"/>
      <c r="VG6" s="170"/>
      <c r="VH6" s="170"/>
      <c r="VI6" s="170"/>
      <c r="VJ6" s="170"/>
      <c r="VK6" s="170"/>
      <c r="VL6" s="170"/>
      <c r="VM6" s="170"/>
      <c r="VN6" s="170"/>
      <c r="VO6" s="170"/>
      <c r="VP6" s="170"/>
      <c r="VQ6" s="170"/>
      <c r="VR6" s="170"/>
      <c r="VS6" s="170"/>
      <c r="VT6" s="170"/>
      <c r="VU6" s="170"/>
      <c r="VV6" s="170"/>
      <c r="VW6" s="170"/>
      <c r="VX6" s="170"/>
      <c r="VY6" s="170"/>
      <c r="VZ6" s="170"/>
      <c r="WA6" s="170"/>
      <c r="WB6" s="170"/>
      <c r="WC6" s="170"/>
      <c r="WD6" s="170"/>
      <c r="WE6" s="170"/>
      <c r="WF6" s="170"/>
      <c r="WG6" s="170"/>
      <c r="WH6" s="170"/>
      <c r="WI6" s="170"/>
      <c r="WJ6" s="170"/>
      <c r="WK6" s="170"/>
      <c r="WL6" s="170"/>
      <c r="WM6" s="170"/>
      <c r="WN6" s="170"/>
      <c r="WO6" s="170"/>
      <c r="WP6" s="170"/>
      <c r="WQ6" s="170"/>
      <c r="WR6" s="170"/>
      <c r="WS6" s="170"/>
      <c r="WT6" s="170"/>
      <c r="WU6" s="170"/>
      <c r="WV6" s="170"/>
      <c r="WW6" s="170"/>
      <c r="WX6" s="170"/>
      <c r="WY6" s="170"/>
      <c r="WZ6" s="170"/>
      <c r="XA6" s="170"/>
      <c r="XB6" s="170"/>
      <c r="XC6" s="170"/>
      <c r="XD6" s="170"/>
      <c r="XE6" s="170"/>
      <c r="XF6" s="170"/>
      <c r="XG6" s="170"/>
      <c r="XH6" s="170"/>
      <c r="XI6" s="170"/>
      <c r="XJ6" s="170"/>
      <c r="XK6" s="170"/>
      <c r="XL6" s="170"/>
      <c r="XM6" s="170"/>
      <c r="XN6" s="170"/>
      <c r="XO6" s="170"/>
      <c r="XP6" s="170"/>
      <c r="XQ6" s="170"/>
      <c r="XR6" s="170"/>
      <c r="XS6" s="170"/>
      <c r="XT6" s="170"/>
      <c r="XU6" s="170"/>
      <c r="XV6" s="170"/>
      <c r="XW6" s="170"/>
      <c r="XX6" s="170"/>
      <c r="XY6" s="170"/>
      <c r="XZ6" s="170"/>
      <c r="YA6" s="170"/>
      <c r="YB6" s="170"/>
      <c r="YC6" s="170"/>
      <c r="YD6" s="170"/>
      <c r="YE6" s="170"/>
      <c r="YF6" s="170"/>
      <c r="YG6" s="170"/>
      <c r="YH6" s="170"/>
      <c r="YI6" s="170"/>
      <c r="YJ6" s="170"/>
      <c r="YK6" s="170"/>
      <c r="YL6" s="170"/>
      <c r="YM6" s="170"/>
      <c r="YN6" s="170"/>
      <c r="YO6" s="170"/>
      <c r="YP6" s="170"/>
      <c r="YQ6" s="170"/>
      <c r="YR6" s="170"/>
      <c r="YS6" s="170"/>
      <c r="YT6" s="170"/>
      <c r="YU6" s="170"/>
      <c r="YV6" s="170"/>
      <c r="YW6" s="170"/>
      <c r="YX6" s="170"/>
      <c r="YY6" s="170"/>
      <c r="YZ6" s="170"/>
      <c r="ZA6" s="170"/>
      <c r="ZB6" s="170"/>
      <c r="ZC6" s="170"/>
      <c r="ZD6" s="170"/>
      <c r="ZE6" s="170"/>
      <c r="ZF6" s="170"/>
      <c r="ZG6" s="170"/>
      <c r="ZH6" s="170"/>
      <c r="ZI6" s="170"/>
      <c r="ZJ6" s="170"/>
      <c r="ZK6" s="170"/>
      <c r="ZL6" s="170"/>
      <c r="ZM6" s="170"/>
      <c r="ZN6" s="170"/>
      <c r="ZO6" s="170"/>
      <c r="ZP6" s="170"/>
      <c r="ZQ6" s="170"/>
      <c r="ZR6" s="170"/>
      <c r="ZS6" s="170"/>
      <c r="ZT6" s="170"/>
      <c r="ZU6" s="170"/>
      <c r="ZV6" s="170"/>
      <c r="ZW6" s="170"/>
      <c r="ZX6" s="170"/>
      <c r="ZY6" s="170"/>
      <c r="ZZ6" s="170"/>
      <c r="AAA6" s="170"/>
      <c r="AAB6" s="170"/>
      <c r="AAC6" s="170"/>
      <c r="AAD6" s="170"/>
      <c r="AAE6" s="170"/>
      <c r="AAF6" s="170"/>
      <c r="AAG6" s="170"/>
      <c r="AAH6" s="170"/>
      <c r="AAI6" s="170"/>
      <c r="AAJ6" s="170"/>
      <c r="AAK6" s="170"/>
      <c r="AAL6" s="170"/>
      <c r="AAM6" s="170"/>
      <c r="AAN6" s="170"/>
      <c r="AAO6" s="170"/>
      <c r="AAP6" s="170"/>
      <c r="AAQ6" s="170"/>
      <c r="AAR6" s="170"/>
      <c r="AAS6" s="170"/>
      <c r="AAT6" s="170"/>
      <c r="AAU6" s="170"/>
      <c r="AAV6" s="170"/>
      <c r="AAW6" s="170"/>
      <c r="AAX6" s="170"/>
      <c r="AAY6" s="170"/>
      <c r="AAZ6" s="170"/>
      <c r="ABA6" s="170"/>
      <c r="ABB6" s="170"/>
      <c r="ABC6" s="170"/>
      <c r="ABD6" s="170"/>
      <c r="ABE6" s="170"/>
      <c r="ABF6" s="170"/>
      <c r="ABG6" s="170"/>
      <c r="ABH6" s="170"/>
      <c r="ABI6" s="170"/>
      <c r="ABJ6" s="170"/>
      <c r="ABK6" s="170"/>
      <c r="ABL6" s="170"/>
      <c r="ABM6" s="170"/>
      <c r="ABN6" s="170"/>
      <c r="ABO6" s="170"/>
      <c r="ABP6" s="170"/>
      <c r="ABQ6" s="170"/>
      <c r="ABR6" s="170"/>
      <c r="ABS6" s="170"/>
      <c r="ABT6" s="170"/>
      <c r="ABU6" s="170"/>
      <c r="ABV6" s="170"/>
      <c r="ABW6" s="170"/>
      <c r="ABX6" s="170"/>
      <c r="ABY6" s="170"/>
      <c r="ABZ6" s="170"/>
      <c r="ACA6" s="170"/>
      <c r="ACB6" s="170"/>
      <c r="ACC6" s="170"/>
      <c r="ACD6" s="170"/>
      <c r="ACE6" s="170"/>
      <c r="ACF6" s="170"/>
      <c r="ACG6" s="170"/>
      <c r="ACH6" s="170"/>
      <c r="ACI6" s="170"/>
      <c r="ACJ6" s="170"/>
      <c r="ACK6" s="170"/>
      <c r="ACL6" s="170"/>
      <c r="ACM6" s="170"/>
      <c r="ACN6" s="170"/>
      <c r="ACO6" s="170"/>
      <c r="ACP6" s="170"/>
      <c r="ACQ6" s="170"/>
      <c r="ACR6" s="170"/>
      <c r="ACS6" s="170"/>
      <c r="ACT6" s="170"/>
      <c r="ACU6" s="170"/>
      <c r="ACV6" s="170"/>
      <c r="ACW6" s="170"/>
      <c r="ACX6" s="170"/>
      <c r="ACY6" s="170"/>
      <c r="ACZ6" s="170"/>
      <c r="ADA6" s="170"/>
      <c r="ADB6" s="170"/>
      <c r="ADC6" s="170"/>
      <c r="ADD6" s="170"/>
      <c r="ADE6" s="170"/>
      <c r="ADF6" s="170"/>
      <c r="ADG6" s="170"/>
      <c r="ADH6" s="170"/>
      <c r="ADI6" s="170"/>
      <c r="ADJ6" s="170"/>
      <c r="ADK6" s="170"/>
      <c r="ADL6" s="170"/>
      <c r="ADM6" s="170"/>
      <c r="ADN6" s="170"/>
      <c r="ADO6" s="170"/>
      <c r="ADP6" s="170"/>
      <c r="ADQ6" s="170"/>
      <c r="ADR6" s="170"/>
      <c r="ADS6" s="170"/>
      <c r="ADT6" s="170"/>
      <c r="ADU6" s="170"/>
      <c r="ADV6" s="170"/>
      <c r="ADW6" s="170"/>
      <c r="ADX6" s="170"/>
      <c r="ADY6" s="170"/>
      <c r="ADZ6" s="170"/>
      <c r="AEA6" s="170"/>
      <c r="AEB6" s="170"/>
      <c r="AEC6" s="170"/>
      <c r="AED6" s="170"/>
      <c r="AEE6" s="170"/>
      <c r="AEF6" s="170"/>
      <c r="AEG6" s="170"/>
      <c r="AEH6" s="170"/>
      <c r="AEI6" s="170"/>
      <c r="AEJ6" s="170"/>
      <c r="AEK6" s="170"/>
      <c r="AEL6" s="170"/>
      <c r="AEM6" s="170"/>
      <c r="AEN6" s="170"/>
      <c r="AEO6" s="170"/>
      <c r="AEP6" s="170"/>
      <c r="AEQ6" s="170"/>
      <c r="AER6" s="170"/>
      <c r="AES6" s="170"/>
      <c r="AET6" s="170"/>
      <c r="AEU6" s="170"/>
      <c r="AEV6" s="170"/>
      <c r="AEW6" s="170"/>
      <c r="AEX6" s="170"/>
      <c r="AEY6" s="170"/>
      <c r="AEZ6" s="170"/>
      <c r="AFA6" s="170"/>
      <c r="AFB6" s="170"/>
      <c r="AFC6" s="170"/>
      <c r="AFD6" s="170"/>
      <c r="AFE6" s="170"/>
      <c r="AFF6" s="170"/>
      <c r="AFG6" s="170"/>
      <c r="AFH6" s="170"/>
      <c r="AFI6" s="170"/>
      <c r="AFJ6" s="170"/>
      <c r="AFK6" s="170"/>
      <c r="AFL6" s="170"/>
      <c r="AFM6" s="170"/>
      <c r="AFN6" s="170"/>
      <c r="AFO6" s="170"/>
      <c r="AFP6" s="170"/>
      <c r="AFQ6" s="170"/>
      <c r="AFR6" s="170"/>
      <c r="AFS6" s="170"/>
      <c r="AFT6" s="170"/>
      <c r="AFU6" s="170"/>
      <c r="AFV6" s="170"/>
      <c r="AFW6" s="170"/>
      <c r="AFX6" s="170"/>
      <c r="AFY6" s="170"/>
      <c r="AFZ6" s="170"/>
      <c r="AGA6" s="170"/>
      <c r="AGB6" s="170"/>
      <c r="AGC6" s="170"/>
      <c r="AGD6" s="170"/>
      <c r="AGE6" s="170"/>
      <c r="AGF6" s="170"/>
      <c r="AGG6" s="170"/>
      <c r="AGH6" s="170"/>
      <c r="AGI6" s="170"/>
      <c r="AGJ6" s="170"/>
      <c r="AGK6" s="170"/>
      <c r="AGL6" s="170"/>
      <c r="AGM6" s="170"/>
      <c r="AGN6" s="170"/>
      <c r="AGO6" s="170"/>
      <c r="AGP6" s="170"/>
      <c r="AGQ6" s="170"/>
      <c r="AGR6" s="170"/>
      <c r="AGS6" s="170"/>
      <c r="AGT6" s="170"/>
      <c r="AGU6" s="170"/>
      <c r="AGV6" s="170"/>
      <c r="AGW6" s="170"/>
      <c r="AGX6" s="170"/>
      <c r="AGY6" s="170"/>
      <c r="AGZ6" s="170"/>
      <c r="AHA6" s="170"/>
      <c r="AHB6" s="170"/>
      <c r="AHC6" s="170"/>
      <c r="AHD6" s="170"/>
      <c r="AHE6" s="170"/>
      <c r="AHF6" s="170"/>
      <c r="AHG6" s="170"/>
      <c r="AHH6" s="170"/>
      <c r="AHI6" s="170"/>
      <c r="AHJ6" s="170"/>
      <c r="AHK6" s="170"/>
      <c r="AHL6" s="170"/>
      <c r="AHM6" s="170"/>
      <c r="AHN6" s="170"/>
      <c r="AHO6" s="170"/>
      <c r="AHP6" s="170"/>
      <c r="AHQ6" s="170"/>
      <c r="AHR6" s="170"/>
      <c r="AHS6" s="170"/>
      <c r="AHT6" s="170"/>
      <c r="AHU6" s="170"/>
      <c r="AHV6" s="170"/>
      <c r="AHW6" s="170"/>
      <c r="AHX6" s="170"/>
      <c r="AHY6" s="170"/>
      <c r="AHZ6" s="170"/>
      <c r="AIA6" s="170"/>
      <c r="AIB6" s="170"/>
      <c r="AIC6" s="170"/>
      <c r="AID6" s="170"/>
      <c r="AIE6" s="170"/>
      <c r="AIF6" s="170"/>
      <c r="AIG6" s="170"/>
      <c r="AIH6" s="170"/>
      <c r="AII6" s="170"/>
      <c r="AIJ6" s="170"/>
      <c r="AIK6" s="170"/>
      <c r="AIL6" s="170"/>
      <c r="AIM6" s="170"/>
      <c r="AIN6" s="170"/>
      <c r="AIO6" s="170"/>
      <c r="AIP6" s="170"/>
      <c r="AIQ6" s="170"/>
      <c r="AIR6" s="170"/>
      <c r="AIS6" s="170"/>
      <c r="AIT6" s="170"/>
      <c r="AIU6" s="170"/>
      <c r="AIV6" s="170"/>
      <c r="AIW6" s="170"/>
      <c r="AIX6" s="170"/>
      <c r="AIY6" s="170"/>
      <c r="AIZ6" s="170"/>
      <c r="AJA6" s="170"/>
      <c r="AJB6" s="170"/>
      <c r="AJC6" s="170"/>
      <c r="AJD6" s="170"/>
      <c r="AJE6" s="170"/>
      <c r="AJF6" s="170"/>
      <c r="AJG6" s="170"/>
      <c r="AJH6" s="170"/>
      <c r="AJI6" s="170"/>
      <c r="AJJ6" s="170"/>
      <c r="AJK6" s="170"/>
      <c r="AJL6" s="170"/>
      <c r="AJM6" s="170"/>
      <c r="AJN6" s="170"/>
      <c r="AJO6" s="170"/>
      <c r="AJP6" s="170"/>
      <c r="AJQ6" s="170"/>
      <c r="AJR6" s="170"/>
      <c r="AJS6" s="170"/>
      <c r="AJT6" s="170"/>
      <c r="AJU6" s="170"/>
      <c r="AJV6" s="170"/>
      <c r="AJW6" s="170"/>
      <c r="AJX6" s="170"/>
      <c r="AJY6" s="170"/>
      <c r="AJZ6" s="170"/>
      <c r="AKA6" s="170"/>
      <c r="AKB6" s="170"/>
      <c r="AKC6" s="170"/>
      <c r="AKD6" s="170"/>
      <c r="AKE6" s="170"/>
      <c r="AKF6" s="170"/>
      <c r="AKG6" s="170"/>
      <c r="AKH6" s="170"/>
      <c r="AKI6" s="170"/>
      <c r="AKJ6" s="170"/>
      <c r="AKK6" s="170"/>
      <c r="AKL6" s="170"/>
      <c r="AKM6" s="170"/>
      <c r="AKN6" s="170"/>
      <c r="AKO6" s="170"/>
      <c r="AKP6" s="170"/>
      <c r="AKQ6" s="170"/>
      <c r="AKR6" s="170"/>
      <c r="AKS6" s="170"/>
      <c r="AKT6" s="170"/>
      <c r="AKU6" s="170"/>
      <c r="AKV6" s="170"/>
      <c r="AKW6" s="170"/>
      <c r="AKX6" s="170"/>
      <c r="AKY6" s="170"/>
      <c r="AKZ6" s="170"/>
      <c r="ALA6" s="170"/>
      <c r="ALB6" s="170"/>
      <c r="ALC6" s="170"/>
      <c r="ALD6" s="170"/>
      <c r="ALE6" s="170"/>
      <c r="ALF6" s="170"/>
      <c r="ALG6" s="170"/>
      <c r="ALH6" s="170"/>
      <c r="ALI6" s="170"/>
      <c r="ALJ6" s="170"/>
      <c r="ALK6" s="170"/>
      <c r="ALL6" s="170"/>
      <c r="ALM6" s="170"/>
      <c r="ALN6" s="170"/>
      <c r="ALO6" s="170"/>
      <c r="ALP6" s="170"/>
      <c r="ALQ6" s="170"/>
      <c r="ALR6" s="170"/>
      <c r="ALS6" s="170"/>
      <c r="ALT6" s="170"/>
      <c r="ALU6" s="170"/>
      <c r="ALV6" s="170"/>
      <c r="ALW6" s="170"/>
      <c r="ALX6" s="170"/>
      <c r="ALY6" s="170"/>
      <c r="ALZ6" s="170"/>
      <c r="AMA6" s="170"/>
      <c r="AMB6" s="170"/>
      <c r="AMC6" s="170"/>
      <c r="AMD6" s="170"/>
      <c r="AME6" s="170"/>
      <c r="AMF6" s="170"/>
      <c r="AMG6" s="170"/>
      <c r="AMH6" s="170"/>
      <c r="AMI6" s="170"/>
      <c r="AMJ6" s="170"/>
      <c r="AMK6" s="170"/>
      <c r="AML6" s="170"/>
      <c r="AMM6" s="170"/>
      <c r="AMN6" s="170"/>
    </row>
    <row r="7" spans="1:1028" s="171" customFormat="1" ht="50.65" customHeight="1">
      <c r="A7" s="167" t="s">
        <v>156</v>
      </c>
      <c r="B7" s="168"/>
      <c r="C7" s="168"/>
      <c r="D7" s="168"/>
      <c r="E7" s="168"/>
      <c r="F7" s="168"/>
      <c r="G7" s="172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9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9"/>
      <c r="AM7" s="169"/>
      <c r="AN7" s="169"/>
      <c r="AO7" s="169"/>
      <c r="AP7" s="169"/>
      <c r="AQ7" s="169"/>
      <c r="AR7" s="169"/>
      <c r="AS7" s="169"/>
      <c r="AT7" s="170"/>
      <c r="AU7" s="170"/>
      <c r="AV7" s="170"/>
      <c r="AW7" s="170"/>
      <c r="AX7" s="170"/>
      <c r="AY7" s="170"/>
      <c r="AZ7" s="170"/>
      <c r="BA7" s="170"/>
      <c r="BB7" s="170"/>
      <c r="BC7" s="3" t="s">
        <v>185</v>
      </c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N7" s="170"/>
      <c r="BO7" s="170"/>
      <c r="BP7" s="170"/>
      <c r="BQ7" s="170"/>
      <c r="BR7" s="170"/>
      <c r="BS7" s="170"/>
      <c r="BT7" s="170"/>
      <c r="BU7" s="170"/>
      <c r="BV7" s="170"/>
      <c r="BW7" s="170"/>
      <c r="BX7" s="170"/>
      <c r="BY7" s="170"/>
      <c r="BZ7" s="170"/>
      <c r="CA7" s="170"/>
      <c r="CB7" s="170"/>
      <c r="CC7" s="170"/>
      <c r="CD7" s="170"/>
      <c r="CE7" s="170"/>
      <c r="CF7" s="170"/>
      <c r="CG7" s="170"/>
      <c r="CH7" s="170"/>
      <c r="CI7" s="170"/>
      <c r="CJ7" s="170"/>
      <c r="CK7" s="170"/>
      <c r="CL7" s="170"/>
      <c r="CM7" s="170"/>
      <c r="CN7" s="170"/>
      <c r="CO7" s="170"/>
      <c r="CP7" s="170"/>
      <c r="CQ7" s="170"/>
      <c r="CR7" s="170"/>
      <c r="CS7" s="170"/>
      <c r="CT7" s="170"/>
      <c r="CU7" s="170"/>
      <c r="CV7" s="170"/>
      <c r="CW7" s="170"/>
      <c r="CX7" s="170"/>
      <c r="CY7" s="170"/>
      <c r="CZ7" s="170"/>
      <c r="DA7" s="170"/>
      <c r="DB7" s="170"/>
      <c r="DC7" s="170"/>
      <c r="DD7" s="170"/>
      <c r="DE7" s="170"/>
      <c r="DF7" s="170"/>
      <c r="DG7" s="170"/>
      <c r="DH7" s="170"/>
      <c r="DI7" s="170"/>
      <c r="DJ7" s="170"/>
      <c r="DK7" s="170"/>
      <c r="DL7" s="170"/>
      <c r="DM7" s="170"/>
      <c r="DN7" s="170"/>
      <c r="DO7" s="170"/>
      <c r="DP7" s="170"/>
      <c r="DQ7" s="170"/>
      <c r="DR7" s="170"/>
      <c r="DS7" s="170"/>
      <c r="DT7" s="170"/>
      <c r="DU7" s="170"/>
      <c r="DV7" s="170"/>
      <c r="DW7" s="170"/>
      <c r="DX7" s="170"/>
      <c r="DY7" s="170"/>
      <c r="DZ7" s="170"/>
      <c r="EA7" s="170"/>
      <c r="EB7" s="170"/>
      <c r="EC7" s="170"/>
      <c r="ED7" s="170"/>
      <c r="EE7" s="170"/>
      <c r="EF7" s="170"/>
      <c r="EG7" s="170"/>
      <c r="EH7" s="170"/>
      <c r="EI7" s="170"/>
      <c r="EJ7" s="170"/>
      <c r="EK7" s="170"/>
      <c r="EL7" s="170"/>
      <c r="EM7" s="170"/>
      <c r="EN7" s="170"/>
      <c r="EO7" s="170"/>
      <c r="EP7" s="170"/>
      <c r="EQ7" s="170"/>
      <c r="ER7" s="170"/>
      <c r="ES7" s="170"/>
      <c r="ET7" s="170"/>
      <c r="EU7" s="170"/>
      <c r="EV7" s="170"/>
      <c r="EW7" s="170"/>
      <c r="EX7" s="170"/>
      <c r="EY7" s="170"/>
      <c r="EZ7" s="170"/>
      <c r="FA7" s="170"/>
      <c r="FB7" s="170"/>
      <c r="FC7" s="170"/>
      <c r="FD7" s="170"/>
      <c r="FE7" s="170"/>
      <c r="FF7" s="170"/>
      <c r="FG7" s="170"/>
      <c r="FH7" s="170"/>
      <c r="FI7" s="170"/>
      <c r="FJ7" s="170"/>
      <c r="FK7" s="170"/>
      <c r="FL7" s="170"/>
      <c r="FM7" s="170"/>
      <c r="FN7" s="170"/>
      <c r="FO7" s="170"/>
      <c r="FP7" s="170"/>
      <c r="FQ7" s="170"/>
      <c r="FR7" s="170"/>
      <c r="FS7" s="170"/>
      <c r="FT7" s="170"/>
      <c r="FU7" s="170"/>
      <c r="FV7" s="170"/>
      <c r="FW7" s="170"/>
      <c r="FX7" s="170"/>
      <c r="FY7" s="170"/>
      <c r="FZ7" s="170"/>
      <c r="GA7" s="170"/>
      <c r="GB7" s="170"/>
      <c r="GC7" s="170"/>
      <c r="GD7" s="170"/>
      <c r="GE7" s="170"/>
      <c r="GF7" s="170"/>
      <c r="GG7" s="170"/>
      <c r="GH7" s="170"/>
      <c r="GI7" s="170"/>
      <c r="GJ7" s="170"/>
      <c r="GK7" s="170"/>
      <c r="GL7" s="170"/>
      <c r="GM7" s="170"/>
      <c r="GN7" s="170"/>
      <c r="GO7" s="170"/>
      <c r="GP7" s="170"/>
      <c r="GQ7" s="170"/>
      <c r="GR7" s="170"/>
      <c r="GS7" s="170"/>
      <c r="GT7" s="170"/>
      <c r="GU7" s="170"/>
      <c r="GV7" s="170"/>
      <c r="GW7" s="170"/>
      <c r="GX7" s="170"/>
      <c r="GY7" s="170"/>
      <c r="GZ7" s="170"/>
      <c r="HA7" s="170"/>
      <c r="HB7" s="170"/>
      <c r="HC7" s="170"/>
      <c r="HD7" s="170"/>
      <c r="HE7" s="170"/>
      <c r="HF7" s="170"/>
      <c r="HG7" s="170"/>
      <c r="HH7" s="170"/>
      <c r="HI7" s="170"/>
      <c r="HJ7" s="170"/>
      <c r="HK7" s="170"/>
      <c r="HL7" s="170"/>
      <c r="HM7" s="170"/>
      <c r="HN7" s="170"/>
      <c r="HO7" s="170"/>
      <c r="HP7" s="170"/>
      <c r="HQ7" s="170"/>
      <c r="HR7" s="170"/>
      <c r="HS7" s="170"/>
      <c r="HT7" s="170"/>
      <c r="HU7" s="170"/>
      <c r="HV7" s="170"/>
      <c r="HW7" s="170"/>
      <c r="HX7" s="170"/>
      <c r="HY7" s="170"/>
      <c r="HZ7" s="170"/>
      <c r="IA7" s="170"/>
      <c r="IB7" s="170"/>
      <c r="IC7" s="170"/>
      <c r="ID7" s="170"/>
      <c r="IE7" s="170"/>
      <c r="IF7" s="170"/>
      <c r="IG7" s="170"/>
      <c r="IH7" s="170"/>
      <c r="II7" s="170"/>
      <c r="IJ7" s="170"/>
      <c r="IK7" s="170"/>
      <c r="IL7" s="170"/>
      <c r="IM7" s="170"/>
      <c r="IN7" s="170"/>
      <c r="IO7" s="170"/>
      <c r="IP7" s="170"/>
      <c r="IQ7" s="170"/>
      <c r="IR7" s="170"/>
      <c r="IS7" s="170"/>
      <c r="IT7" s="170"/>
      <c r="IU7" s="170"/>
      <c r="IV7" s="170"/>
      <c r="IW7" s="170"/>
      <c r="IX7" s="170"/>
      <c r="IY7" s="170"/>
      <c r="IZ7" s="170"/>
      <c r="JA7" s="170"/>
      <c r="JB7" s="170"/>
      <c r="JC7" s="170"/>
      <c r="JD7" s="170"/>
      <c r="JE7" s="170"/>
      <c r="JF7" s="170"/>
      <c r="JG7" s="170"/>
      <c r="JH7" s="170"/>
      <c r="JI7" s="170"/>
      <c r="JJ7" s="170"/>
      <c r="JK7" s="170"/>
      <c r="JL7" s="170"/>
      <c r="JM7" s="170"/>
      <c r="JN7" s="170"/>
      <c r="JO7" s="170"/>
      <c r="JP7" s="170"/>
      <c r="JQ7" s="170"/>
      <c r="JR7" s="170"/>
      <c r="JS7" s="170"/>
      <c r="JT7" s="170"/>
      <c r="JU7" s="170"/>
      <c r="JV7" s="170"/>
      <c r="JW7" s="170"/>
      <c r="JX7" s="170"/>
      <c r="JY7" s="170"/>
      <c r="JZ7" s="170"/>
      <c r="KA7" s="170"/>
      <c r="KB7" s="170"/>
      <c r="KC7" s="170"/>
      <c r="KD7" s="170"/>
      <c r="KE7" s="170"/>
      <c r="KF7" s="170"/>
      <c r="KG7" s="170"/>
      <c r="KH7" s="170"/>
      <c r="KI7" s="170"/>
      <c r="KJ7" s="170"/>
      <c r="KK7" s="170"/>
      <c r="KL7" s="170"/>
      <c r="KM7" s="170"/>
      <c r="KN7" s="170"/>
      <c r="KO7" s="170"/>
      <c r="KP7" s="170"/>
      <c r="KQ7" s="170"/>
      <c r="KR7" s="170"/>
      <c r="KS7" s="170"/>
      <c r="KT7" s="170"/>
      <c r="KU7" s="170"/>
      <c r="KV7" s="170"/>
      <c r="KW7" s="170"/>
      <c r="KX7" s="170"/>
      <c r="KY7" s="170"/>
      <c r="KZ7" s="170"/>
      <c r="LA7" s="170"/>
      <c r="LB7" s="170"/>
      <c r="LC7" s="170"/>
      <c r="LD7" s="170"/>
      <c r="LE7" s="170"/>
      <c r="LF7" s="170"/>
      <c r="LG7" s="170"/>
      <c r="LH7" s="170"/>
      <c r="LI7" s="170"/>
      <c r="LJ7" s="170"/>
      <c r="LK7" s="170"/>
      <c r="LL7" s="170"/>
      <c r="LM7" s="170"/>
      <c r="LN7" s="170"/>
      <c r="LO7" s="170"/>
      <c r="LP7" s="170"/>
      <c r="LQ7" s="170"/>
      <c r="LR7" s="170"/>
      <c r="LS7" s="170"/>
      <c r="LT7" s="170"/>
      <c r="LU7" s="170"/>
      <c r="LV7" s="170"/>
      <c r="LW7" s="170"/>
      <c r="LX7" s="170"/>
      <c r="LY7" s="170"/>
      <c r="LZ7" s="170"/>
      <c r="MA7" s="170"/>
      <c r="MB7" s="170"/>
      <c r="MC7" s="170"/>
      <c r="MD7" s="170"/>
      <c r="ME7" s="170"/>
      <c r="MF7" s="170"/>
      <c r="MG7" s="170"/>
      <c r="MH7" s="170"/>
      <c r="MI7" s="170"/>
      <c r="MJ7" s="170"/>
      <c r="MK7" s="170"/>
      <c r="ML7" s="170"/>
      <c r="MM7" s="170"/>
      <c r="MN7" s="170"/>
      <c r="MO7" s="170"/>
      <c r="MP7" s="170"/>
      <c r="MQ7" s="170"/>
      <c r="MR7" s="170"/>
      <c r="MS7" s="170"/>
      <c r="MT7" s="170"/>
      <c r="MU7" s="170"/>
      <c r="MV7" s="170"/>
      <c r="MW7" s="170"/>
      <c r="MX7" s="170"/>
      <c r="MY7" s="170"/>
      <c r="MZ7" s="170"/>
      <c r="NA7" s="170"/>
      <c r="NB7" s="170"/>
      <c r="NC7" s="170"/>
      <c r="ND7" s="170"/>
      <c r="NE7" s="170"/>
      <c r="NF7" s="170"/>
      <c r="NG7" s="170"/>
      <c r="NH7" s="170"/>
      <c r="NI7" s="170"/>
      <c r="NJ7" s="170"/>
      <c r="NK7" s="170"/>
      <c r="NL7" s="170"/>
      <c r="NM7" s="170"/>
      <c r="NN7" s="170"/>
      <c r="NO7" s="170"/>
      <c r="NP7" s="170"/>
      <c r="NQ7" s="170"/>
      <c r="NR7" s="170"/>
      <c r="NS7" s="170"/>
      <c r="NT7" s="170"/>
      <c r="NU7" s="170"/>
      <c r="NV7" s="170"/>
      <c r="NW7" s="170"/>
      <c r="NX7" s="170"/>
      <c r="NY7" s="170"/>
      <c r="NZ7" s="170"/>
      <c r="OA7" s="170"/>
      <c r="OB7" s="170"/>
      <c r="OC7" s="170"/>
      <c r="OD7" s="170"/>
      <c r="OE7" s="170"/>
      <c r="OF7" s="170"/>
      <c r="OG7" s="170"/>
      <c r="OH7" s="170"/>
      <c r="OI7" s="170"/>
      <c r="OJ7" s="170"/>
      <c r="OK7" s="170"/>
      <c r="OL7" s="170"/>
      <c r="OM7" s="170"/>
      <c r="ON7" s="170"/>
      <c r="OO7" s="170"/>
      <c r="OP7" s="170"/>
      <c r="OQ7" s="170"/>
      <c r="OR7" s="170"/>
      <c r="OS7" s="170"/>
      <c r="OT7" s="170"/>
      <c r="OU7" s="170"/>
      <c r="OV7" s="170"/>
      <c r="OW7" s="170"/>
      <c r="OX7" s="170"/>
      <c r="OY7" s="170"/>
      <c r="OZ7" s="170"/>
      <c r="PA7" s="170"/>
      <c r="PB7" s="170"/>
      <c r="PC7" s="170"/>
      <c r="PD7" s="170"/>
      <c r="PE7" s="170"/>
      <c r="PF7" s="170"/>
      <c r="PG7" s="170"/>
      <c r="PH7" s="170"/>
      <c r="PI7" s="170"/>
      <c r="PJ7" s="170"/>
      <c r="PK7" s="170"/>
      <c r="PL7" s="170"/>
      <c r="PM7" s="170"/>
      <c r="PN7" s="170"/>
      <c r="PO7" s="170"/>
      <c r="PP7" s="170"/>
      <c r="PQ7" s="170"/>
      <c r="PR7" s="170"/>
      <c r="PS7" s="170"/>
      <c r="PT7" s="170"/>
      <c r="PU7" s="170"/>
      <c r="PV7" s="170"/>
      <c r="PW7" s="170"/>
      <c r="PX7" s="170"/>
      <c r="PY7" s="170"/>
      <c r="PZ7" s="170"/>
      <c r="QA7" s="170"/>
      <c r="QB7" s="170"/>
      <c r="QC7" s="170"/>
      <c r="QD7" s="170"/>
      <c r="QE7" s="170"/>
      <c r="QF7" s="170"/>
      <c r="QG7" s="170"/>
      <c r="QH7" s="170"/>
      <c r="QI7" s="170"/>
      <c r="QJ7" s="170"/>
      <c r="QK7" s="170"/>
      <c r="QL7" s="170"/>
      <c r="QM7" s="170"/>
      <c r="QN7" s="170"/>
      <c r="QO7" s="170"/>
      <c r="QP7" s="170"/>
      <c r="QQ7" s="170"/>
      <c r="QR7" s="170"/>
      <c r="QS7" s="170"/>
      <c r="QT7" s="170"/>
      <c r="QU7" s="170"/>
      <c r="QV7" s="170"/>
      <c r="QW7" s="170"/>
      <c r="QX7" s="170"/>
      <c r="QY7" s="170"/>
      <c r="QZ7" s="170"/>
      <c r="RA7" s="170"/>
      <c r="RB7" s="170"/>
      <c r="RC7" s="170"/>
      <c r="RD7" s="170"/>
      <c r="RE7" s="170"/>
      <c r="RF7" s="170"/>
      <c r="RG7" s="170"/>
      <c r="RH7" s="170"/>
      <c r="RI7" s="170"/>
      <c r="RJ7" s="170"/>
      <c r="RK7" s="170"/>
      <c r="RL7" s="170"/>
      <c r="RM7" s="170"/>
      <c r="RN7" s="170"/>
      <c r="RO7" s="170"/>
      <c r="RP7" s="170"/>
      <c r="RQ7" s="170"/>
      <c r="RR7" s="170"/>
      <c r="RS7" s="170"/>
      <c r="RT7" s="170"/>
      <c r="RU7" s="170"/>
      <c r="RV7" s="170"/>
      <c r="RW7" s="170"/>
      <c r="RX7" s="170"/>
      <c r="RY7" s="170"/>
      <c r="RZ7" s="170"/>
      <c r="SA7" s="170"/>
      <c r="SB7" s="170"/>
      <c r="SC7" s="170"/>
      <c r="SD7" s="170"/>
      <c r="SE7" s="170"/>
      <c r="SF7" s="170"/>
      <c r="SG7" s="170"/>
      <c r="SH7" s="170"/>
      <c r="SI7" s="170"/>
      <c r="SJ7" s="170"/>
      <c r="SK7" s="170"/>
      <c r="SL7" s="170"/>
      <c r="SM7" s="170"/>
      <c r="SN7" s="170"/>
      <c r="SO7" s="170"/>
      <c r="SP7" s="170"/>
      <c r="SQ7" s="170"/>
      <c r="SR7" s="170"/>
      <c r="SS7" s="170"/>
      <c r="ST7" s="170"/>
      <c r="SU7" s="170"/>
      <c r="SV7" s="170"/>
      <c r="SW7" s="170"/>
      <c r="SX7" s="170"/>
      <c r="SY7" s="170"/>
      <c r="SZ7" s="170"/>
      <c r="TA7" s="170"/>
      <c r="TB7" s="170"/>
      <c r="TC7" s="170"/>
      <c r="TD7" s="170"/>
      <c r="TE7" s="170"/>
      <c r="TF7" s="170"/>
      <c r="TG7" s="170"/>
      <c r="TH7" s="170"/>
      <c r="TI7" s="170"/>
      <c r="TJ7" s="170"/>
      <c r="TK7" s="170"/>
      <c r="TL7" s="170"/>
      <c r="TM7" s="170"/>
      <c r="TN7" s="170"/>
      <c r="TO7" s="170"/>
      <c r="TP7" s="170"/>
      <c r="TQ7" s="170"/>
      <c r="TR7" s="170"/>
      <c r="TS7" s="170"/>
      <c r="TT7" s="170"/>
      <c r="TU7" s="170"/>
      <c r="TV7" s="170"/>
      <c r="TW7" s="170"/>
      <c r="TX7" s="170"/>
      <c r="TY7" s="170"/>
      <c r="TZ7" s="170"/>
      <c r="UA7" s="170"/>
      <c r="UB7" s="170"/>
      <c r="UC7" s="170"/>
      <c r="UD7" s="170"/>
      <c r="UE7" s="170"/>
      <c r="UF7" s="170"/>
      <c r="UG7" s="170"/>
      <c r="UH7" s="170"/>
      <c r="UI7" s="170"/>
      <c r="UJ7" s="170"/>
      <c r="UK7" s="170"/>
      <c r="UL7" s="170"/>
      <c r="UM7" s="170"/>
      <c r="UN7" s="170"/>
      <c r="UO7" s="170"/>
      <c r="UP7" s="170"/>
      <c r="UQ7" s="170"/>
      <c r="UR7" s="170"/>
      <c r="US7" s="170"/>
      <c r="UT7" s="170"/>
      <c r="UU7" s="170"/>
      <c r="UV7" s="170"/>
      <c r="UW7" s="170"/>
      <c r="UX7" s="170"/>
      <c r="UY7" s="170"/>
      <c r="UZ7" s="170"/>
      <c r="VA7" s="170"/>
      <c r="VB7" s="170"/>
      <c r="VC7" s="170"/>
      <c r="VD7" s="170"/>
      <c r="VE7" s="170"/>
      <c r="VF7" s="170"/>
      <c r="VG7" s="170"/>
      <c r="VH7" s="170"/>
      <c r="VI7" s="170"/>
      <c r="VJ7" s="170"/>
      <c r="VK7" s="170"/>
      <c r="VL7" s="170"/>
      <c r="VM7" s="170"/>
      <c r="VN7" s="170"/>
      <c r="VO7" s="170"/>
      <c r="VP7" s="170"/>
      <c r="VQ7" s="170"/>
      <c r="VR7" s="170"/>
      <c r="VS7" s="170"/>
      <c r="VT7" s="170"/>
      <c r="VU7" s="170"/>
      <c r="VV7" s="170"/>
      <c r="VW7" s="170"/>
      <c r="VX7" s="170"/>
      <c r="VY7" s="170"/>
      <c r="VZ7" s="170"/>
      <c r="WA7" s="170"/>
      <c r="WB7" s="170"/>
      <c r="WC7" s="170"/>
      <c r="WD7" s="170"/>
      <c r="WE7" s="170"/>
      <c r="WF7" s="170"/>
      <c r="WG7" s="170"/>
      <c r="WH7" s="170"/>
      <c r="WI7" s="170"/>
      <c r="WJ7" s="170"/>
      <c r="WK7" s="170"/>
      <c r="WL7" s="170"/>
      <c r="WM7" s="170"/>
      <c r="WN7" s="170"/>
      <c r="WO7" s="170"/>
      <c r="WP7" s="170"/>
      <c r="WQ7" s="170"/>
      <c r="WR7" s="170"/>
      <c r="WS7" s="170"/>
      <c r="WT7" s="170"/>
      <c r="WU7" s="170"/>
      <c r="WV7" s="170"/>
      <c r="WW7" s="170"/>
      <c r="WX7" s="170"/>
      <c r="WY7" s="170"/>
      <c r="WZ7" s="170"/>
      <c r="XA7" s="170"/>
      <c r="XB7" s="170"/>
      <c r="XC7" s="170"/>
      <c r="XD7" s="170"/>
      <c r="XE7" s="170"/>
      <c r="XF7" s="170"/>
      <c r="XG7" s="170"/>
      <c r="XH7" s="170"/>
      <c r="XI7" s="170"/>
      <c r="XJ7" s="170"/>
      <c r="XK7" s="170"/>
      <c r="XL7" s="170"/>
      <c r="XM7" s="170"/>
      <c r="XN7" s="170"/>
      <c r="XO7" s="170"/>
      <c r="XP7" s="170"/>
      <c r="XQ7" s="170"/>
      <c r="XR7" s="170"/>
      <c r="XS7" s="170"/>
      <c r="XT7" s="170"/>
      <c r="XU7" s="170"/>
      <c r="XV7" s="170"/>
      <c r="XW7" s="170"/>
      <c r="XX7" s="170"/>
      <c r="XY7" s="170"/>
      <c r="XZ7" s="170"/>
      <c r="YA7" s="170"/>
      <c r="YB7" s="170"/>
      <c r="YC7" s="170"/>
      <c r="YD7" s="170"/>
      <c r="YE7" s="170"/>
      <c r="YF7" s="170"/>
      <c r="YG7" s="170"/>
      <c r="YH7" s="170"/>
      <c r="YI7" s="170"/>
      <c r="YJ7" s="170"/>
      <c r="YK7" s="170"/>
      <c r="YL7" s="170"/>
      <c r="YM7" s="170"/>
      <c r="YN7" s="170"/>
      <c r="YO7" s="170"/>
      <c r="YP7" s="170"/>
      <c r="YQ7" s="170"/>
      <c r="YR7" s="170"/>
      <c r="YS7" s="170"/>
      <c r="YT7" s="170"/>
      <c r="YU7" s="170"/>
      <c r="YV7" s="170"/>
      <c r="YW7" s="170"/>
      <c r="YX7" s="170"/>
      <c r="YY7" s="170"/>
      <c r="YZ7" s="170"/>
      <c r="ZA7" s="170"/>
      <c r="ZB7" s="170"/>
      <c r="ZC7" s="170"/>
      <c r="ZD7" s="170"/>
      <c r="ZE7" s="170"/>
      <c r="ZF7" s="170"/>
      <c r="ZG7" s="170"/>
      <c r="ZH7" s="170"/>
      <c r="ZI7" s="170"/>
      <c r="ZJ7" s="170"/>
      <c r="ZK7" s="170"/>
      <c r="ZL7" s="170"/>
      <c r="ZM7" s="170"/>
      <c r="ZN7" s="170"/>
      <c r="ZO7" s="170"/>
      <c r="ZP7" s="170"/>
      <c r="ZQ7" s="170"/>
      <c r="ZR7" s="170"/>
      <c r="ZS7" s="170"/>
      <c r="ZT7" s="170"/>
      <c r="ZU7" s="170"/>
      <c r="ZV7" s="170"/>
      <c r="ZW7" s="170"/>
      <c r="ZX7" s="170"/>
      <c r="ZY7" s="170"/>
      <c r="ZZ7" s="170"/>
      <c r="AAA7" s="170"/>
      <c r="AAB7" s="170"/>
      <c r="AAC7" s="170"/>
      <c r="AAD7" s="170"/>
      <c r="AAE7" s="170"/>
      <c r="AAF7" s="170"/>
      <c r="AAG7" s="170"/>
      <c r="AAH7" s="170"/>
      <c r="AAI7" s="170"/>
      <c r="AAJ7" s="170"/>
      <c r="AAK7" s="170"/>
      <c r="AAL7" s="170"/>
      <c r="AAM7" s="170"/>
      <c r="AAN7" s="170"/>
      <c r="AAO7" s="170"/>
      <c r="AAP7" s="170"/>
      <c r="AAQ7" s="170"/>
      <c r="AAR7" s="170"/>
      <c r="AAS7" s="170"/>
      <c r="AAT7" s="170"/>
      <c r="AAU7" s="170"/>
      <c r="AAV7" s="170"/>
      <c r="AAW7" s="170"/>
      <c r="AAX7" s="170"/>
      <c r="AAY7" s="170"/>
      <c r="AAZ7" s="170"/>
      <c r="ABA7" s="170"/>
      <c r="ABB7" s="170"/>
      <c r="ABC7" s="170"/>
      <c r="ABD7" s="170"/>
      <c r="ABE7" s="170"/>
      <c r="ABF7" s="170"/>
      <c r="ABG7" s="170"/>
      <c r="ABH7" s="170"/>
      <c r="ABI7" s="170"/>
      <c r="ABJ7" s="170"/>
      <c r="ABK7" s="170"/>
      <c r="ABL7" s="170"/>
      <c r="ABM7" s="170"/>
      <c r="ABN7" s="170"/>
      <c r="ABO7" s="170"/>
      <c r="ABP7" s="170"/>
      <c r="ABQ7" s="170"/>
      <c r="ABR7" s="170"/>
      <c r="ABS7" s="170"/>
      <c r="ABT7" s="170"/>
      <c r="ABU7" s="170"/>
      <c r="ABV7" s="170"/>
      <c r="ABW7" s="170"/>
      <c r="ABX7" s="170"/>
      <c r="ABY7" s="170"/>
      <c r="ABZ7" s="170"/>
      <c r="ACA7" s="170"/>
      <c r="ACB7" s="170"/>
      <c r="ACC7" s="170"/>
      <c r="ACD7" s="170"/>
      <c r="ACE7" s="170"/>
      <c r="ACF7" s="170"/>
      <c r="ACG7" s="170"/>
      <c r="ACH7" s="170"/>
      <c r="ACI7" s="170"/>
      <c r="ACJ7" s="170"/>
      <c r="ACK7" s="170"/>
      <c r="ACL7" s="170"/>
      <c r="ACM7" s="170"/>
      <c r="ACN7" s="170"/>
      <c r="ACO7" s="170"/>
      <c r="ACP7" s="170"/>
      <c r="ACQ7" s="170"/>
      <c r="ACR7" s="170"/>
      <c r="ACS7" s="170"/>
      <c r="ACT7" s="170"/>
      <c r="ACU7" s="170"/>
      <c r="ACV7" s="170"/>
      <c r="ACW7" s="170"/>
      <c r="ACX7" s="170"/>
      <c r="ACY7" s="170"/>
      <c r="ACZ7" s="170"/>
      <c r="ADA7" s="170"/>
      <c r="ADB7" s="170"/>
      <c r="ADC7" s="170"/>
      <c r="ADD7" s="170"/>
      <c r="ADE7" s="170"/>
      <c r="ADF7" s="170"/>
      <c r="ADG7" s="170"/>
      <c r="ADH7" s="170"/>
      <c r="ADI7" s="170"/>
      <c r="ADJ7" s="170"/>
      <c r="ADK7" s="170"/>
      <c r="ADL7" s="170"/>
      <c r="ADM7" s="170"/>
      <c r="ADN7" s="170"/>
      <c r="ADO7" s="170"/>
      <c r="ADP7" s="170"/>
      <c r="ADQ7" s="170"/>
      <c r="ADR7" s="170"/>
      <c r="ADS7" s="170"/>
      <c r="ADT7" s="170"/>
      <c r="ADU7" s="170"/>
      <c r="ADV7" s="170"/>
      <c r="ADW7" s="170"/>
      <c r="ADX7" s="170"/>
      <c r="ADY7" s="170"/>
      <c r="ADZ7" s="170"/>
      <c r="AEA7" s="170"/>
      <c r="AEB7" s="170"/>
      <c r="AEC7" s="170"/>
      <c r="AED7" s="170"/>
      <c r="AEE7" s="170"/>
      <c r="AEF7" s="170"/>
      <c r="AEG7" s="170"/>
      <c r="AEH7" s="170"/>
      <c r="AEI7" s="170"/>
      <c r="AEJ7" s="170"/>
      <c r="AEK7" s="170"/>
      <c r="AEL7" s="170"/>
      <c r="AEM7" s="170"/>
      <c r="AEN7" s="170"/>
      <c r="AEO7" s="170"/>
      <c r="AEP7" s="170"/>
      <c r="AEQ7" s="170"/>
      <c r="AER7" s="170"/>
      <c r="AES7" s="170"/>
      <c r="AET7" s="170"/>
      <c r="AEU7" s="170"/>
      <c r="AEV7" s="170"/>
      <c r="AEW7" s="170"/>
      <c r="AEX7" s="170"/>
      <c r="AEY7" s="170"/>
      <c r="AEZ7" s="170"/>
      <c r="AFA7" s="170"/>
      <c r="AFB7" s="170"/>
      <c r="AFC7" s="170"/>
      <c r="AFD7" s="170"/>
      <c r="AFE7" s="170"/>
      <c r="AFF7" s="170"/>
      <c r="AFG7" s="170"/>
      <c r="AFH7" s="170"/>
      <c r="AFI7" s="170"/>
      <c r="AFJ7" s="170"/>
      <c r="AFK7" s="170"/>
      <c r="AFL7" s="170"/>
      <c r="AFM7" s="170"/>
      <c r="AFN7" s="170"/>
      <c r="AFO7" s="170"/>
      <c r="AFP7" s="170"/>
      <c r="AFQ7" s="170"/>
      <c r="AFR7" s="170"/>
      <c r="AFS7" s="170"/>
      <c r="AFT7" s="170"/>
      <c r="AFU7" s="170"/>
      <c r="AFV7" s="170"/>
      <c r="AFW7" s="170"/>
      <c r="AFX7" s="170"/>
      <c r="AFY7" s="170"/>
      <c r="AFZ7" s="170"/>
      <c r="AGA7" s="170"/>
      <c r="AGB7" s="170"/>
      <c r="AGC7" s="170"/>
      <c r="AGD7" s="170"/>
      <c r="AGE7" s="170"/>
      <c r="AGF7" s="170"/>
      <c r="AGG7" s="170"/>
      <c r="AGH7" s="170"/>
      <c r="AGI7" s="170"/>
      <c r="AGJ7" s="170"/>
      <c r="AGK7" s="170"/>
      <c r="AGL7" s="170"/>
      <c r="AGM7" s="170"/>
      <c r="AGN7" s="170"/>
      <c r="AGO7" s="170"/>
      <c r="AGP7" s="170"/>
      <c r="AGQ7" s="170"/>
      <c r="AGR7" s="170"/>
      <c r="AGS7" s="170"/>
      <c r="AGT7" s="170"/>
      <c r="AGU7" s="170"/>
      <c r="AGV7" s="170"/>
      <c r="AGW7" s="170"/>
      <c r="AGX7" s="170"/>
      <c r="AGY7" s="170"/>
      <c r="AGZ7" s="170"/>
      <c r="AHA7" s="170"/>
      <c r="AHB7" s="170"/>
      <c r="AHC7" s="170"/>
      <c r="AHD7" s="170"/>
      <c r="AHE7" s="170"/>
      <c r="AHF7" s="170"/>
      <c r="AHG7" s="170"/>
      <c r="AHH7" s="170"/>
      <c r="AHI7" s="170"/>
      <c r="AHJ7" s="170"/>
      <c r="AHK7" s="170"/>
      <c r="AHL7" s="170"/>
      <c r="AHM7" s="170"/>
      <c r="AHN7" s="170"/>
      <c r="AHO7" s="170"/>
      <c r="AHP7" s="170"/>
      <c r="AHQ7" s="170"/>
      <c r="AHR7" s="170"/>
      <c r="AHS7" s="170"/>
      <c r="AHT7" s="170"/>
      <c r="AHU7" s="170"/>
      <c r="AHV7" s="170"/>
      <c r="AHW7" s="170"/>
      <c r="AHX7" s="170"/>
      <c r="AHY7" s="170"/>
      <c r="AHZ7" s="170"/>
      <c r="AIA7" s="170"/>
      <c r="AIB7" s="170"/>
      <c r="AIC7" s="170"/>
      <c r="AID7" s="170"/>
      <c r="AIE7" s="170"/>
      <c r="AIF7" s="170"/>
      <c r="AIG7" s="170"/>
      <c r="AIH7" s="170"/>
      <c r="AII7" s="170"/>
      <c r="AIJ7" s="170"/>
      <c r="AIK7" s="170"/>
      <c r="AIL7" s="170"/>
      <c r="AIM7" s="170"/>
      <c r="AIN7" s="170"/>
      <c r="AIO7" s="170"/>
      <c r="AIP7" s="170"/>
      <c r="AIQ7" s="170"/>
      <c r="AIR7" s="170"/>
      <c r="AIS7" s="170"/>
      <c r="AIT7" s="170"/>
      <c r="AIU7" s="170"/>
      <c r="AIV7" s="170"/>
      <c r="AIW7" s="170"/>
      <c r="AIX7" s="170"/>
      <c r="AIY7" s="170"/>
      <c r="AIZ7" s="170"/>
      <c r="AJA7" s="170"/>
      <c r="AJB7" s="170"/>
      <c r="AJC7" s="170"/>
      <c r="AJD7" s="170"/>
      <c r="AJE7" s="170"/>
      <c r="AJF7" s="170"/>
      <c r="AJG7" s="170"/>
      <c r="AJH7" s="170"/>
      <c r="AJI7" s="170"/>
      <c r="AJJ7" s="170"/>
      <c r="AJK7" s="170"/>
      <c r="AJL7" s="170"/>
      <c r="AJM7" s="170"/>
      <c r="AJN7" s="170"/>
      <c r="AJO7" s="170"/>
      <c r="AJP7" s="170"/>
      <c r="AJQ7" s="170"/>
      <c r="AJR7" s="170"/>
      <c r="AJS7" s="170"/>
      <c r="AJT7" s="170"/>
      <c r="AJU7" s="170"/>
      <c r="AJV7" s="170"/>
      <c r="AJW7" s="170"/>
      <c r="AJX7" s="170"/>
      <c r="AJY7" s="170"/>
      <c r="AJZ7" s="170"/>
      <c r="AKA7" s="170"/>
      <c r="AKB7" s="170"/>
      <c r="AKC7" s="170"/>
      <c r="AKD7" s="170"/>
      <c r="AKE7" s="170"/>
      <c r="AKF7" s="170"/>
      <c r="AKG7" s="170"/>
      <c r="AKH7" s="170"/>
      <c r="AKI7" s="170"/>
      <c r="AKJ7" s="170"/>
      <c r="AKK7" s="170"/>
      <c r="AKL7" s="170"/>
      <c r="AKM7" s="170"/>
      <c r="AKN7" s="170"/>
      <c r="AKO7" s="170"/>
      <c r="AKP7" s="170"/>
      <c r="AKQ7" s="170"/>
      <c r="AKR7" s="170"/>
      <c r="AKS7" s="170"/>
      <c r="AKT7" s="170"/>
      <c r="AKU7" s="170"/>
      <c r="AKV7" s="170"/>
      <c r="AKW7" s="170"/>
      <c r="AKX7" s="170"/>
      <c r="AKY7" s="170"/>
      <c r="AKZ7" s="170"/>
      <c r="ALA7" s="170"/>
      <c r="ALB7" s="170"/>
      <c r="ALC7" s="170"/>
      <c r="ALD7" s="170"/>
      <c r="ALE7" s="170"/>
      <c r="ALF7" s="170"/>
      <c r="ALG7" s="170"/>
      <c r="ALH7" s="170"/>
      <c r="ALI7" s="170"/>
      <c r="ALJ7" s="170"/>
      <c r="ALK7" s="170"/>
      <c r="ALL7" s="170"/>
      <c r="ALM7" s="170"/>
      <c r="ALN7" s="170"/>
      <c r="ALO7" s="170"/>
      <c r="ALP7" s="170"/>
      <c r="ALQ7" s="170"/>
      <c r="ALR7" s="170"/>
      <c r="ALS7" s="170"/>
      <c r="ALT7" s="170"/>
      <c r="ALU7" s="170"/>
      <c r="ALV7" s="170"/>
      <c r="ALW7" s="170"/>
      <c r="ALX7" s="170"/>
      <c r="ALY7" s="170"/>
      <c r="ALZ7" s="170"/>
      <c r="AMA7" s="170"/>
      <c r="AMB7" s="170"/>
      <c r="AMC7" s="170"/>
      <c r="AMD7" s="170"/>
      <c r="AME7" s="170"/>
      <c r="AMF7" s="170"/>
      <c r="AMG7" s="170"/>
      <c r="AMH7" s="170"/>
      <c r="AMI7" s="170"/>
      <c r="AMJ7" s="170"/>
      <c r="AMK7" s="170"/>
      <c r="AML7" s="170"/>
      <c r="AMM7" s="170"/>
      <c r="AMN7" s="170"/>
    </row>
    <row r="8" spans="1:1028" ht="16.899999999999999" customHeight="1">
      <c r="A8" s="1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1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1"/>
      <c r="AM8" s="11"/>
      <c r="AN8" s="11"/>
      <c r="AO8" s="11"/>
      <c r="AP8" s="11"/>
      <c r="AQ8" s="11"/>
      <c r="AR8" s="11"/>
      <c r="AS8" s="11"/>
    </row>
    <row r="9" spans="1:1028" ht="60.2" customHeight="1">
      <c r="A9" s="14"/>
      <c r="B9" s="10"/>
      <c r="C9" s="264" t="s">
        <v>45</v>
      </c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 t="s">
        <v>46</v>
      </c>
      <c r="T9" s="264"/>
      <c r="U9" s="264"/>
      <c r="V9" s="264"/>
      <c r="W9" s="264"/>
      <c r="X9" s="264"/>
      <c r="Y9" s="264"/>
      <c r="Z9" s="264"/>
      <c r="AA9" s="264"/>
      <c r="AB9" s="264"/>
      <c r="AC9" s="264"/>
      <c r="AD9" s="264"/>
      <c r="AE9" s="264" t="s">
        <v>175</v>
      </c>
      <c r="AF9" s="264"/>
      <c r="AG9" s="264"/>
      <c r="AH9" s="264"/>
      <c r="AI9" s="264"/>
      <c r="AJ9" s="264"/>
      <c r="AK9" s="264"/>
      <c r="AL9" s="264"/>
      <c r="AM9" s="264"/>
      <c r="AN9" s="264"/>
      <c r="AO9" s="264"/>
      <c r="AP9" s="264"/>
      <c r="AQ9" s="264" t="s">
        <v>174</v>
      </c>
      <c r="AR9" s="264"/>
      <c r="AS9" s="264"/>
      <c r="AT9" s="264"/>
      <c r="AU9" s="264"/>
      <c r="AV9" s="264"/>
      <c r="AW9" s="264"/>
      <c r="AX9" s="264"/>
      <c r="AY9" s="264"/>
      <c r="AZ9" s="264"/>
      <c r="BA9" s="264"/>
      <c r="BB9" s="264"/>
      <c r="BC9" s="201"/>
      <c r="BD9" s="202"/>
      <c r="BE9" s="202"/>
      <c r="BF9" s="203"/>
      <c r="BG9" s="264" t="s">
        <v>47</v>
      </c>
      <c r="BH9" s="264"/>
      <c r="BI9" s="264"/>
      <c r="BJ9" s="264"/>
      <c r="BK9" s="264"/>
      <c r="BL9" s="264"/>
      <c r="BM9" s="264"/>
      <c r="BN9" s="264"/>
      <c r="BO9" s="264"/>
      <c r="BP9" s="264"/>
      <c r="BQ9" s="264"/>
      <c r="BR9" s="264"/>
      <c r="BS9" s="264"/>
      <c r="BT9" s="264"/>
      <c r="BU9" s="264"/>
      <c r="BV9" s="264"/>
    </row>
    <row r="10" spans="1:1028" ht="56.65" customHeight="1">
      <c r="A10" s="14"/>
      <c r="B10" s="10"/>
      <c r="C10" s="259" t="s">
        <v>48</v>
      </c>
      <c r="D10" s="259"/>
      <c r="E10" s="259"/>
      <c r="F10" s="259"/>
      <c r="G10" s="259" t="s">
        <v>49</v>
      </c>
      <c r="H10" s="259"/>
      <c r="I10" s="259"/>
      <c r="J10" s="259"/>
      <c r="K10" s="259" t="s">
        <v>172</v>
      </c>
      <c r="L10" s="259"/>
      <c r="M10" s="259"/>
      <c r="N10" s="259"/>
      <c r="O10" s="259" t="s">
        <v>51</v>
      </c>
      <c r="P10" s="259"/>
      <c r="Q10" s="259"/>
      <c r="R10" s="259"/>
      <c r="S10" s="259" t="s">
        <v>49</v>
      </c>
      <c r="T10" s="259"/>
      <c r="U10" s="259"/>
      <c r="V10" s="259"/>
      <c r="W10" s="259" t="s">
        <v>172</v>
      </c>
      <c r="X10" s="259"/>
      <c r="Y10" s="259"/>
      <c r="Z10" s="259"/>
      <c r="AA10" s="259" t="s">
        <v>52</v>
      </c>
      <c r="AB10" s="259"/>
      <c r="AC10" s="259"/>
      <c r="AD10" s="259"/>
      <c r="AE10" s="259" t="s">
        <v>52</v>
      </c>
      <c r="AF10" s="259"/>
      <c r="AG10" s="259"/>
      <c r="AH10" s="259"/>
      <c r="AI10" s="259" t="s">
        <v>49</v>
      </c>
      <c r="AJ10" s="259"/>
      <c r="AK10" s="259"/>
      <c r="AL10" s="259"/>
      <c r="AM10" s="259" t="s">
        <v>53</v>
      </c>
      <c r="AN10" s="259"/>
      <c r="AO10" s="259"/>
      <c r="AP10" s="259"/>
      <c r="AQ10" s="259" t="s">
        <v>172</v>
      </c>
      <c r="AR10" s="259"/>
      <c r="AS10" s="259"/>
      <c r="AT10" s="259"/>
      <c r="AU10" s="259" t="s">
        <v>52</v>
      </c>
      <c r="AV10" s="259"/>
      <c r="AW10" s="259"/>
      <c r="AX10" s="259"/>
      <c r="AY10" s="259" t="s">
        <v>48</v>
      </c>
      <c r="AZ10" s="259"/>
      <c r="BA10" s="259"/>
      <c r="BB10" s="259"/>
      <c r="BC10" s="265" t="s">
        <v>173</v>
      </c>
      <c r="BD10" s="265"/>
      <c r="BE10" s="265"/>
      <c r="BF10" s="265"/>
      <c r="BG10" s="259" t="s">
        <v>54</v>
      </c>
      <c r="BH10" s="259"/>
      <c r="BI10" s="259"/>
      <c r="BJ10" s="259"/>
      <c r="BK10" s="259" t="s">
        <v>48</v>
      </c>
      <c r="BL10" s="259"/>
      <c r="BM10" s="259"/>
      <c r="BN10" s="259"/>
      <c r="BO10" s="259" t="s">
        <v>52</v>
      </c>
      <c r="BP10" s="259"/>
      <c r="BQ10" s="259"/>
      <c r="BR10" s="259"/>
      <c r="BS10" s="259" t="s">
        <v>50</v>
      </c>
      <c r="BT10" s="259"/>
      <c r="BU10" s="259"/>
      <c r="BV10" s="259"/>
    </row>
    <row r="11" spans="1:1028" ht="18.600000000000001" customHeight="1">
      <c r="A11" s="14"/>
      <c r="B11" s="10"/>
      <c r="C11" s="258" t="s">
        <v>14</v>
      </c>
      <c r="D11" s="258"/>
      <c r="E11" s="258" t="s">
        <v>15</v>
      </c>
      <c r="F11" s="258"/>
      <c r="G11" s="258" t="s">
        <v>14</v>
      </c>
      <c r="H11" s="258"/>
      <c r="I11" s="258" t="s">
        <v>15</v>
      </c>
      <c r="J11" s="258"/>
      <c r="K11" s="258" t="s">
        <v>14</v>
      </c>
      <c r="L11" s="258"/>
      <c r="M11" s="258" t="s">
        <v>15</v>
      </c>
      <c r="N11" s="258"/>
      <c r="O11" s="258" t="s">
        <v>14</v>
      </c>
      <c r="P11" s="258"/>
      <c r="Q11" s="258" t="s">
        <v>15</v>
      </c>
      <c r="R11" s="258"/>
      <c r="S11" s="258" t="s">
        <v>14</v>
      </c>
      <c r="T11" s="258"/>
      <c r="U11" s="258" t="s">
        <v>15</v>
      </c>
      <c r="V11" s="258"/>
      <c r="W11" s="258" t="s">
        <v>14</v>
      </c>
      <c r="X11" s="258"/>
      <c r="Y11" s="258" t="s">
        <v>15</v>
      </c>
      <c r="Z11" s="258"/>
      <c r="AA11" s="258" t="s">
        <v>14</v>
      </c>
      <c r="AB11" s="258"/>
      <c r="AC11" s="258" t="s">
        <v>15</v>
      </c>
      <c r="AD11" s="258"/>
      <c r="AE11" s="258" t="s">
        <v>14</v>
      </c>
      <c r="AF11" s="258"/>
      <c r="AG11" s="258" t="s">
        <v>15</v>
      </c>
      <c r="AH11" s="258"/>
      <c r="AI11" s="258" t="s">
        <v>14</v>
      </c>
      <c r="AJ11" s="258"/>
      <c r="AK11" s="258" t="s">
        <v>15</v>
      </c>
      <c r="AL11" s="258"/>
      <c r="AM11" s="258" t="s">
        <v>14</v>
      </c>
      <c r="AN11" s="258"/>
      <c r="AO11" s="258" t="s">
        <v>15</v>
      </c>
      <c r="AP11" s="258"/>
      <c r="AQ11" s="258" t="s">
        <v>14</v>
      </c>
      <c r="AR11" s="258"/>
      <c r="AS11" s="258" t="s">
        <v>15</v>
      </c>
      <c r="AT11" s="258"/>
      <c r="AU11" s="258" t="s">
        <v>14</v>
      </c>
      <c r="AV11" s="258"/>
      <c r="AW11" s="258" t="s">
        <v>15</v>
      </c>
      <c r="AX11" s="258"/>
      <c r="AY11" s="258" t="s">
        <v>14</v>
      </c>
      <c r="AZ11" s="258"/>
      <c r="BA11" s="258" t="s">
        <v>15</v>
      </c>
      <c r="BB11" s="258"/>
      <c r="BC11" s="266" t="s">
        <v>14</v>
      </c>
      <c r="BD11" s="266"/>
      <c r="BE11" s="266" t="s">
        <v>15</v>
      </c>
      <c r="BF11" s="266"/>
      <c r="BG11" s="258" t="s">
        <v>14</v>
      </c>
      <c r="BH11" s="258"/>
      <c r="BI11" s="258" t="s">
        <v>15</v>
      </c>
      <c r="BJ11" s="258"/>
      <c r="BK11" s="258" t="s">
        <v>14</v>
      </c>
      <c r="BL11" s="258"/>
      <c r="BM11" s="258" t="s">
        <v>15</v>
      </c>
      <c r="BN11" s="258"/>
      <c r="BO11" s="258" t="s">
        <v>14</v>
      </c>
      <c r="BP11" s="258"/>
      <c r="BQ11" s="258" t="s">
        <v>15</v>
      </c>
      <c r="BR11" s="258"/>
      <c r="BS11" s="258" t="s">
        <v>14</v>
      </c>
      <c r="BT11" s="258"/>
      <c r="BU11" s="258" t="s">
        <v>15</v>
      </c>
      <c r="BV11" s="258"/>
    </row>
    <row r="12" spans="1:1028" ht="20.25">
      <c r="A12" s="21" t="s">
        <v>16</v>
      </c>
      <c r="B12" s="21" t="s">
        <v>17</v>
      </c>
      <c r="C12" s="54" t="s">
        <v>18</v>
      </c>
      <c r="D12" s="54" t="s">
        <v>19</v>
      </c>
      <c r="E12" s="54" t="s">
        <v>18</v>
      </c>
      <c r="F12" s="54" t="s">
        <v>19</v>
      </c>
      <c r="G12" s="54" t="s">
        <v>18</v>
      </c>
      <c r="H12" s="54" t="s">
        <v>19</v>
      </c>
      <c r="I12" s="54" t="s">
        <v>18</v>
      </c>
      <c r="J12" s="54" t="s">
        <v>19</v>
      </c>
      <c r="K12" s="54" t="s">
        <v>18</v>
      </c>
      <c r="L12" s="54" t="s">
        <v>19</v>
      </c>
      <c r="M12" s="54" t="s">
        <v>18</v>
      </c>
      <c r="N12" s="54" t="s">
        <v>19</v>
      </c>
      <c r="O12" s="54" t="s">
        <v>18</v>
      </c>
      <c r="P12" s="54" t="s">
        <v>19</v>
      </c>
      <c r="Q12" s="54" t="s">
        <v>18</v>
      </c>
      <c r="R12" s="54" t="s">
        <v>19</v>
      </c>
      <c r="S12" s="54" t="s">
        <v>18</v>
      </c>
      <c r="T12" s="54" t="s">
        <v>19</v>
      </c>
      <c r="U12" s="54" t="s">
        <v>18</v>
      </c>
      <c r="V12" s="54" t="s">
        <v>19</v>
      </c>
      <c r="W12" s="54" t="s">
        <v>18</v>
      </c>
      <c r="X12" s="54" t="s">
        <v>19</v>
      </c>
      <c r="Y12" s="54" t="s">
        <v>18</v>
      </c>
      <c r="Z12" s="54" t="s">
        <v>19</v>
      </c>
      <c r="AA12" s="54" t="s">
        <v>18</v>
      </c>
      <c r="AB12" s="54" t="s">
        <v>19</v>
      </c>
      <c r="AC12" s="54" t="s">
        <v>18</v>
      </c>
      <c r="AD12" s="54" t="s">
        <v>19</v>
      </c>
      <c r="AE12" s="54" t="s">
        <v>18</v>
      </c>
      <c r="AF12" s="54" t="s">
        <v>19</v>
      </c>
      <c r="AG12" s="54" t="s">
        <v>18</v>
      </c>
      <c r="AH12" s="54" t="s">
        <v>19</v>
      </c>
      <c r="AI12" s="54" t="s">
        <v>18</v>
      </c>
      <c r="AJ12" s="54" t="s">
        <v>19</v>
      </c>
      <c r="AK12" s="54" t="s">
        <v>18</v>
      </c>
      <c r="AL12" s="54" t="s">
        <v>19</v>
      </c>
      <c r="AM12" s="54" t="s">
        <v>18</v>
      </c>
      <c r="AN12" s="54" t="s">
        <v>19</v>
      </c>
      <c r="AO12" s="54" t="s">
        <v>18</v>
      </c>
      <c r="AP12" s="54" t="s">
        <v>19</v>
      </c>
      <c r="AQ12" s="54" t="s">
        <v>18</v>
      </c>
      <c r="AR12" s="54" t="s">
        <v>19</v>
      </c>
      <c r="AS12" s="54" t="s">
        <v>18</v>
      </c>
      <c r="AT12" s="54" t="s">
        <v>19</v>
      </c>
      <c r="AU12" s="54" t="s">
        <v>18</v>
      </c>
      <c r="AV12" s="54" t="s">
        <v>19</v>
      </c>
      <c r="AW12" s="54" t="s">
        <v>18</v>
      </c>
      <c r="AX12" s="54" t="s">
        <v>19</v>
      </c>
      <c r="AY12" s="54" t="s">
        <v>18</v>
      </c>
      <c r="AZ12" s="54" t="s">
        <v>19</v>
      </c>
      <c r="BA12" s="54" t="s">
        <v>18</v>
      </c>
      <c r="BB12" s="54" t="s">
        <v>19</v>
      </c>
      <c r="BC12" s="198" t="s">
        <v>18</v>
      </c>
      <c r="BD12" s="198" t="s">
        <v>19</v>
      </c>
      <c r="BE12" s="198" t="s">
        <v>18</v>
      </c>
      <c r="BF12" s="198" t="s">
        <v>19</v>
      </c>
      <c r="BG12" s="54" t="s">
        <v>18</v>
      </c>
      <c r="BH12" s="54" t="s">
        <v>19</v>
      </c>
      <c r="BI12" s="54" t="s">
        <v>18</v>
      </c>
      <c r="BJ12" s="54" t="s">
        <v>19</v>
      </c>
      <c r="BK12" s="54" t="s">
        <v>18</v>
      </c>
      <c r="BL12" s="54" t="s">
        <v>19</v>
      </c>
      <c r="BM12" s="54" t="s">
        <v>18</v>
      </c>
      <c r="BN12" s="54" t="s">
        <v>19</v>
      </c>
      <c r="BO12" s="54" t="s">
        <v>18</v>
      </c>
      <c r="BP12" s="54" t="s">
        <v>19</v>
      </c>
      <c r="BQ12" s="54" t="s">
        <v>18</v>
      </c>
      <c r="BR12" s="54" t="s">
        <v>19</v>
      </c>
      <c r="BS12" s="54" t="s">
        <v>18</v>
      </c>
      <c r="BT12" s="54" t="s">
        <v>19</v>
      </c>
      <c r="BU12" s="54" t="s">
        <v>18</v>
      </c>
      <c r="BV12" s="54" t="s">
        <v>19</v>
      </c>
    </row>
    <row r="13" spans="1:1028" ht="54.95" customHeight="1">
      <c r="A13" s="21">
        <v>6</v>
      </c>
      <c r="B13" s="21" t="s">
        <v>20</v>
      </c>
      <c r="C13" s="26"/>
      <c r="D13" s="26"/>
      <c r="E13" s="26"/>
      <c r="F13" s="26"/>
      <c r="G13" s="26"/>
      <c r="H13" s="26"/>
      <c r="I13" s="26"/>
      <c r="J13" s="26">
        <v>1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>
        <v>1</v>
      </c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</row>
    <row r="14" spans="1:1028" ht="54.95" customHeight="1">
      <c r="A14" s="21"/>
      <c r="B14" s="21" t="s">
        <v>21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>
        <v>1</v>
      </c>
      <c r="AS14" s="26">
        <v>1</v>
      </c>
      <c r="AT14" s="26"/>
      <c r="AU14" s="26"/>
      <c r="AV14" s="26"/>
      <c r="AW14" s="26"/>
      <c r="AX14" s="26"/>
      <c r="AY14" s="26">
        <v>1</v>
      </c>
      <c r="AZ14" s="26">
        <v>1</v>
      </c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</row>
    <row r="15" spans="1:1028" ht="54.95" customHeight="1">
      <c r="A15" s="21">
        <v>7</v>
      </c>
      <c r="B15" s="21" t="s">
        <v>22</v>
      </c>
      <c r="C15" s="26"/>
      <c r="D15" s="26"/>
      <c r="E15" s="26"/>
      <c r="F15" s="26"/>
      <c r="G15" s="26"/>
      <c r="H15" s="26"/>
      <c r="I15" s="26"/>
      <c r="J15" s="26"/>
      <c r="K15" s="26">
        <v>1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</row>
    <row r="16" spans="1:1028" ht="54.95" customHeight="1">
      <c r="A16" s="21"/>
      <c r="B16" s="21" t="s">
        <v>23</v>
      </c>
      <c r="C16" s="26"/>
      <c r="D16" s="26"/>
      <c r="E16" s="26"/>
      <c r="F16" s="26"/>
      <c r="G16" s="26"/>
      <c r="H16" s="26">
        <v>1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</row>
    <row r="17" spans="1:1028" ht="54.95" customHeight="1">
      <c r="A17" s="21"/>
      <c r="B17" s="21" t="s">
        <v>20</v>
      </c>
      <c r="C17" s="26"/>
      <c r="D17" s="26"/>
      <c r="E17" s="26"/>
      <c r="F17" s="26"/>
      <c r="G17" s="26"/>
      <c r="H17" s="26">
        <v>2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>
        <v>1</v>
      </c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>
        <v>1</v>
      </c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</row>
    <row r="18" spans="1:1028" ht="54.95" customHeight="1">
      <c r="A18" s="21"/>
      <c r="B18" s="21" t="s">
        <v>24</v>
      </c>
      <c r="C18" s="26"/>
      <c r="D18" s="26">
        <v>1</v>
      </c>
      <c r="E18" s="26"/>
      <c r="F18" s="26"/>
      <c r="G18" s="26">
        <v>2</v>
      </c>
      <c r="H18" s="26"/>
      <c r="I18" s="26"/>
      <c r="J18" s="26"/>
      <c r="K18" s="26"/>
      <c r="L18" s="26">
        <v>3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>
        <v>1</v>
      </c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>
        <v>1</v>
      </c>
      <c r="AR18" s="26">
        <v>1</v>
      </c>
      <c r="AS18" s="26"/>
      <c r="AT18" s="26"/>
      <c r="AU18" s="26"/>
      <c r="AV18" s="26">
        <v>1</v>
      </c>
      <c r="AW18" s="26">
        <v>1</v>
      </c>
      <c r="AX18" s="26">
        <v>1</v>
      </c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</row>
    <row r="19" spans="1:1028" ht="54.95" customHeight="1">
      <c r="A19" s="21">
        <v>8</v>
      </c>
      <c r="B19" s="21" t="s">
        <v>22</v>
      </c>
      <c r="C19" s="26">
        <v>1</v>
      </c>
      <c r="D19" s="26"/>
      <c r="E19" s="26"/>
      <c r="F19" s="26"/>
      <c r="G19" s="26"/>
      <c r="H19" s="26"/>
      <c r="I19" s="26"/>
      <c r="J19" s="26"/>
      <c r="K19" s="26"/>
      <c r="L19" s="26">
        <v>1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</row>
    <row r="20" spans="1:1028" ht="54.95" customHeight="1">
      <c r="A20" s="21"/>
      <c r="B20" s="21" t="s">
        <v>23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>
        <v>1</v>
      </c>
      <c r="AR20" s="26"/>
      <c r="AS20" s="26">
        <v>1</v>
      </c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</row>
    <row r="21" spans="1:1028" ht="54.95" customHeight="1">
      <c r="A21" s="21"/>
      <c r="B21" s="21" t="s">
        <v>20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>
        <v>1</v>
      </c>
      <c r="AW21" s="26"/>
      <c r="AX21" s="26"/>
      <c r="AY21" s="26"/>
      <c r="AZ21" s="26"/>
      <c r="BA21" s="26">
        <v>1</v>
      </c>
      <c r="BB21" s="26"/>
      <c r="BC21" s="26"/>
      <c r="BD21" s="26"/>
      <c r="BE21" s="26">
        <v>1</v>
      </c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</row>
    <row r="22" spans="1:1028" ht="54.95" customHeight="1">
      <c r="A22" s="21"/>
      <c r="B22" s="21" t="s">
        <v>24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>
        <v>1</v>
      </c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</row>
    <row r="23" spans="1:1028" ht="54.95" hidden="1" customHeight="1">
      <c r="A23" s="21">
        <v>9</v>
      </c>
      <c r="B23" s="21" t="s">
        <v>22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</row>
    <row r="24" spans="1:1028" ht="54.95" hidden="1" customHeight="1">
      <c r="A24" s="21"/>
      <c r="B24" s="21" t="s">
        <v>23</v>
      </c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</row>
    <row r="25" spans="1:1028" ht="13.1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</row>
    <row r="26" spans="1:1028" s="36" customFormat="1" ht="39.75" customHeight="1">
      <c r="A26" s="32" t="s">
        <v>25</v>
      </c>
      <c r="B26" s="33"/>
      <c r="C26" s="33"/>
      <c r="D26" s="33"/>
      <c r="E26" s="33"/>
      <c r="F26" s="33"/>
      <c r="G26" s="196">
        <v>2</v>
      </c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2"/>
      <c r="V26" s="33"/>
      <c r="W26" s="33"/>
      <c r="X26" s="33"/>
      <c r="Y26" s="33"/>
      <c r="Z26" s="33"/>
      <c r="AA26" s="33"/>
      <c r="AB26" s="33"/>
      <c r="AC26" s="33"/>
      <c r="AD26" s="32" t="s">
        <v>26</v>
      </c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2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2"/>
      <c r="BL26" s="33"/>
      <c r="BM26" s="33"/>
      <c r="BN26" s="33"/>
      <c r="BO26" s="33"/>
      <c r="BP26" s="33"/>
      <c r="BQ26" s="33"/>
      <c r="BR26" s="34"/>
    </row>
    <row r="27" spans="1:1028" s="36" customFormat="1" ht="39.75" customHeight="1">
      <c r="A27" s="32" t="s">
        <v>27</v>
      </c>
      <c r="B27" s="33"/>
      <c r="C27" s="33"/>
      <c r="D27" s="33"/>
      <c r="E27" s="33"/>
      <c r="F27" s="33"/>
      <c r="G27" s="196" t="s">
        <v>184</v>
      </c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2"/>
      <c r="V27" s="33"/>
      <c r="W27" s="33"/>
      <c r="X27" s="33"/>
      <c r="Y27" s="33"/>
      <c r="Z27" s="33"/>
      <c r="AA27" s="33"/>
      <c r="AB27" s="33"/>
      <c r="AC27" s="33"/>
      <c r="AD27" s="32" t="s">
        <v>28</v>
      </c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2"/>
      <c r="AR27" s="33"/>
      <c r="AS27" s="33"/>
      <c r="AT27" s="196">
        <v>15</v>
      </c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2"/>
      <c r="BL27" s="33"/>
      <c r="BM27" s="33"/>
      <c r="BN27" s="33"/>
      <c r="BO27" s="33"/>
      <c r="BP27" s="33"/>
      <c r="BQ27" s="33"/>
      <c r="BR27" s="34"/>
    </row>
    <row r="28" spans="1:1028" ht="25.5" customHeight="1">
      <c r="A28" s="57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4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4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4"/>
      <c r="BW28" s="4"/>
      <c r="BX28" s="3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  <c r="AML28" s="4"/>
      <c r="AMM28" s="4"/>
      <c r="AMN28" s="9"/>
    </row>
    <row r="29" spans="1:1028" ht="25.5" customHeight="1">
      <c r="A29" s="5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4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4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4"/>
      <c r="BW29" s="4"/>
      <c r="BX29" s="3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  <c r="AMN29" s="9"/>
    </row>
    <row r="30" spans="1:1028" ht="25.5" customHeight="1">
      <c r="A30" s="5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4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4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4"/>
      <c r="BW30" s="4"/>
      <c r="BX30" s="3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  <c r="AMK30" s="4"/>
      <c r="AML30" s="4"/>
      <c r="AMM30" s="4"/>
      <c r="AMN30" s="9"/>
    </row>
    <row r="31" spans="1:1028" ht="25.5" customHeight="1">
      <c r="A31" s="5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4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4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 t="s">
        <v>185</v>
      </c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4"/>
      <c r="BW31" s="4"/>
      <c r="BX31" s="3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  <c r="AML31" s="4"/>
      <c r="AMM31" s="4"/>
      <c r="AMN31" s="9"/>
    </row>
    <row r="32" spans="1:1028" ht="25.5" customHeight="1">
      <c r="A32" s="57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4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4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  <c r="AMK32" s="4"/>
      <c r="AML32" s="4"/>
      <c r="AMM32" s="4"/>
      <c r="AMN32" s="9"/>
    </row>
    <row r="33" spans="1:84" ht="32.25" customHeight="1">
      <c r="A33" s="14"/>
      <c r="B33" s="10"/>
      <c r="C33" s="264" t="str">
        <f>C9</f>
        <v>De Bonneville vers</v>
      </c>
      <c r="D33" s="264"/>
      <c r="E33" s="264"/>
      <c r="F33" s="264"/>
      <c r="G33" s="264"/>
      <c r="H33" s="264"/>
      <c r="I33" s="264"/>
      <c r="J33" s="264"/>
      <c r="K33" s="264"/>
      <c r="L33" s="264"/>
      <c r="M33" s="264"/>
      <c r="N33" s="264"/>
      <c r="O33" s="264"/>
      <c r="P33" s="264"/>
      <c r="Q33" s="264"/>
      <c r="R33" s="264"/>
      <c r="S33" s="264" t="str">
        <f>S9</f>
        <v>DeGrenette (contre-sens)</v>
      </c>
      <c r="T33" s="264"/>
      <c r="U33" s="264"/>
      <c r="V33" s="264"/>
      <c r="W33" s="264"/>
      <c r="X33" s="264"/>
      <c r="Y33" s="264"/>
      <c r="Z33" s="264"/>
      <c r="AA33" s="264"/>
      <c r="AB33" s="264"/>
      <c r="AC33" s="264"/>
      <c r="AD33" s="264"/>
      <c r="AE33" s="264" t="str">
        <f>AE9</f>
        <v>De La Base(contre-sens)</v>
      </c>
      <c r="AF33" s="264"/>
      <c r="AG33" s="264"/>
      <c r="AH33" s="264"/>
      <c r="AI33" s="264"/>
      <c r="AJ33" s="264"/>
      <c r="AK33" s="264"/>
      <c r="AL33" s="264"/>
      <c r="AM33" s="264"/>
      <c r="AN33" s="264"/>
      <c r="AO33" s="264"/>
      <c r="AP33" s="264"/>
      <c r="AQ33" s="264" t="str">
        <f>AQ9</f>
        <v>De Office  Tourisme vers</v>
      </c>
      <c r="AR33" s="264"/>
      <c r="AS33" s="264"/>
      <c r="AT33" s="264"/>
      <c r="AU33" s="264"/>
      <c r="AV33" s="264"/>
      <c r="AW33" s="264"/>
      <c r="AX33" s="264"/>
      <c r="AY33" s="264"/>
      <c r="AZ33" s="264"/>
      <c r="BA33" s="264"/>
      <c r="BB33" s="264"/>
      <c r="BC33" s="197"/>
      <c r="BD33" s="197"/>
      <c r="BE33" s="197"/>
      <c r="BF33" s="197"/>
      <c r="BG33" s="264" t="str">
        <f>BG9</f>
        <v>De MJC vers</v>
      </c>
      <c r="BH33" s="264"/>
      <c r="BI33" s="264"/>
      <c r="BJ33" s="264"/>
      <c r="BK33" s="264"/>
      <c r="BL33" s="264"/>
      <c r="BM33" s="264"/>
      <c r="BN33" s="264"/>
      <c r="BO33" s="264"/>
      <c r="BP33" s="264"/>
      <c r="BQ33" s="264"/>
      <c r="BR33" s="264"/>
      <c r="BS33" s="264"/>
      <c r="BT33" s="264"/>
      <c r="BU33" s="264"/>
      <c r="BV33" s="264"/>
      <c r="BW33" s="14"/>
      <c r="BX33" s="10"/>
      <c r="BY33" s="268" t="s">
        <v>29</v>
      </c>
      <c r="BZ33" s="267" t="s">
        <v>30</v>
      </c>
      <c r="CA33" s="262" t="s">
        <v>31</v>
      </c>
      <c r="CB33" s="262" t="s">
        <v>32</v>
      </c>
      <c r="CC33" s="263" t="s">
        <v>55</v>
      </c>
      <c r="CD33" s="267" t="s">
        <v>56</v>
      </c>
      <c r="CE33" s="267"/>
      <c r="CF33" s="267"/>
    </row>
    <row r="34" spans="1:84" ht="22.7" customHeight="1">
      <c r="A34" s="14"/>
      <c r="B34" s="10"/>
      <c r="C34" s="259" t="str">
        <f>C10</f>
        <v>Grenette</v>
      </c>
      <c r="D34" s="259"/>
      <c r="E34" s="259"/>
      <c r="F34" s="259"/>
      <c r="G34" s="259" t="str">
        <f>G10</f>
        <v>Office Tourisme</v>
      </c>
      <c r="H34" s="259"/>
      <c r="I34" s="259"/>
      <c r="J34" s="259"/>
      <c r="K34" s="259" t="str">
        <f>K10</f>
        <v>La Base</v>
      </c>
      <c r="L34" s="259"/>
      <c r="M34" s="259"/>
      <c r="N34" s="259"/>
      <c r="O34" s="259" t="str">
        <f>O10</f>
        <v>Parking</v>
      </c>
      <c r="P34" s="259"/>
      <c r="Q34" s="259"/>
      <c r="R34" s="259"/>
      <c r="S34" s="259" t="str">
        <f>S10</f>
        <v>Office Tourisme</v>
      </c>
      <c r="T34" s="259"/>
      <c r="U34" s="259"/>
      <c r="V34" s="259"/>
      <c r="W34" s="259" t="str">
        <f>W10</f>
        <v>La Base</v>
      </c>
      <c r="X34" s="259"/>
      <c r="Y34" s="259"/>
      <c r="Z34" s="259"/>
      <c r="AA34" s="259" t="str">
        <f>AA10</f>
        <v>Bonneville</v>
      </c>
      <c r="AB34" s="259"/>
      <c r="AC34" s="259"/>
      <c r="AD34" s="259"/>
      <c r="AE34" s="259" t="str">
        <f>AE10</f>
        <v>Bonneville</v>
      </c>
      <c r="AF34" s="259"/>
      <c r="AG34" s="259"/>
      <c r="AH34" s="259"/>
      <c r="AI34" s="259" t="str">
        <f>AI10</f>
        <v>Office Tourisme</v>
      </c>
      <c r="AJ34" s="259"/>
      <c r="AK34" s="259"/>
      <c r="AL34" s="259"/>
      <c r="AM34" s="259" t="str">
        <f>AM10</f>
        <v>Place Grenette</v>
      </c>
      <c r="AN34" s="259"/>
      <c r="AO34" s="259"/>
      <c r="AP34" s="259"/>
      <c r="AQ34" s="259" t="str">
        <f>AQ10</f>
        <v>La Base</v>
      </c>
      <c r="AR34" s="259"/>
      <c r="AS34" s="259"/>
      <c r="AT34" s="259"/>
      <c r="AU34" s="259" t="str">
        <f>AU10</f>
        <v>Bonneville</v>
      </c>
      <c r="AV34" s="259"/>
      <c r="AW34" s="259"/>
      <c r="AX34" s="259"/>
      <c r="AY34" s="259" t="str">
        <f>AY10</f>
        <v>Grenette</v>
      </c>
      <c r="AZ34" s="259"/>
      <c r="BA34" s="259"/>
      <c r="BB34" s="259"/>
      <c r="BC34" s="265" t="s">
        <v>173</v>
      </c>
      <c r="BD34" s="265"/>
      <c r="BE34" s="265"/>
      <c r="BF34" s="265"/>
      <c r="BG34" s="259" t="str">
        <f>BG10</f>
        <v>Office tourisme</v>
      </c>
      <c r="BH34" s="259"/>
      <c r="BI34" s="259"/>
      <c r="BJ34" s="259"/>
      <c r="BK34" s="259" t="str">
        <f>BK10</f>
        <v>Grenette</v>
      </c>
      <c r="BL34" s="259"/>
      <c r="BM34" s="259"/>
      <c r="BN34" s="259"/>
      <c r="BO34" s="259" t="str">
        <f>BO10</f>
        <v>Bonneville</v>
      </c>
      <c r="BP34" s="259"/>
      <c r="BQ34" s="259"/>
      <c r="BR34" s="259"/>
      <c r="BS34" s="259" t="str">
        <f>BS10</f>
        <v>Pompiers</v>
      </c>
      <c r="BT34" s="259"/>
      <c r="BU34" s="259"/>
      <c r="BV34" s="259"/>
      <c r="BW34" s="14"/>
      <c r="BX34" s="10"/>
      <c r="BY34" s="268"/>
      <c r="BZ34" s="267"/>
      <c r="CA34" s="262"/>
      <c r="CB34" s="262"/>
      <c r="CC34" s="263"/>
      <c r="CD34" s="267"/>
      <c r="CE34" s="267"/>
      <c r="CF34" s="267"/>
    </row>
    <row r="35" spans="1:84" ht="18.600000000000001" customHeight="1">
      <c r="A35" s="14"/>
      <c r="B35" s="10"/>
      <c r="C35" s="258" t="s">
        <v>14</v>
      </c>
      <c r="D35" s="258"/>
      <c r="E35" s="258" t="s">
        <v>15</v>
      </c>
      <c r="F35" s="258"/>
      <c r="G35" s="258" t="s">
        <v>14</v>
      </c>
      <c r="H35" s="258"/>
      <c r="I35" s="258" t="s">
        <v>15</v>
      </c>
      <c r="J35" s="258"/>
      <c r="K35" s="258" t="s">
        <v>14</v>
      </c>
      <c r="L35" s="258"/>
      <c r="M35" s="258" t="s">
        <v>15</v>
      </c>
      <c r="N35" s="258"/>
      <c r="O35" s="258" t="s">
        <v>14</v>
      </c>
      <c r="P35" s="258"/>
      <c r="Q35" s="258" t="s">
        <v>15</v>
      </c>
      <c r="R35" s="258"/>
      <c r="S35" s="258" t="s">
        <v>14</v>
      </c>
      <c r="T35" s="258"/>
      <c r="U35" s="258" t="s">
        <v>15</v>
      </c>
      <c r="V35" s="258"/>
      <c r="W35" s="258" t="s">
        <v>14</v>
      </c>
      <c r="X35" s="258"/>
      <c r="Y35" s="258" t="s">
        <v>15</v>
      </c>
      <c r="Z35" s="258"/>
      <c r="AA35" s="258" t="s">
        <v>14</v>
      </c>
      <c r="AB35" s="258"/>
      <c r="AC35" s="258" t="s">
        <v>15</v>
      </c>
      <c r="AD35" s="258"/>
      <c r="AE35" s="258" t="s">
        <v>14</v>
      </c>
      <c r="AF35" s="258"/>
      <c r="AG35" s="258" t="s">
        <v>15</v>
      </c>
      <c r="AH35" s="258"/>
      <c r="AI35" s="258" t="s">
        <v>14</v>
      </c>
      <c r="AJ35" s="258"/>
      <c r="AK35" s="258" t="s">
        <v>15</v>
      </c>
      <c r="AL35" s="258"/>
      <c r="AM35" s="258" t="s">
        <v>14</v>
      </c>
      <c r="AN35" s="258"/>
      <c r="AO35" s="258" t="s">
        <v>15</v>
      </c>
      <c r="AP35" s="258"/>
      <c r="AQ35" s="258" t="s">
        <v>14</v>
      </c>
      <c r="AR35" s="258"/>
      <c r="AS35" s="258" t="s">
        <v>15</v>
      </c>
      <c r="AT35" s="258"/>
      <c r="AU35" s="258" t="s">
        <v>14</v>
      </c>
      <c r="AV35" s="258"/>
      <c r="AW35" s="258" t="s">
        <v>15</v>
      </c>
      <c r="AX35" s="258"/>
      <c r="AY35" s="258" t="s">
        <v>14</v>
      </c>
      <c r="AZ35" s="258"/>
      <c r="BA35" s="258" t="s">
        <v>15</v>
      </c>
      <c r="BB35" s="258"/>
      <c r="BC35" s="266" t="s">
        <v>14</v>
      </c>
      <c r="BD35" s="266"/>
      <c r="BE35" s="266" t="s">
        <v>15</v>
      </c>
      <c r="BF35" s="266"/>
      <c r="BG35" s="258" t="s">
        <v>14</v>
      </c>
      <c r="BH35" s="258"/>
      <c r="BI35" s="258" t="s">
        <v>15</v>
      </c>
      <c r="BJ35" s="258"/>
      <c r="BK35" s="258" t="s">
        <v>14</v>
      </c>
      <c r="BL35" s="258"/>
      <c r="BM35" s="258" t="s">
        <v>15</v>
      </c>
      <c r="BN35" s="258"/>
      <c r="BO35" s="258" t="s">
        <v>14</v>
      </c>
      <c r="BP35" s="258"/>
      <c r="BQ35" s="258" t="s">
        <v>15</v>
      </c>
      <c r="BR35" s="258"/>
      <c r="BS35" s="258" t="s">
        <v>14</v>
      </c>
      <c r="BT35" s="258"/>
      <c r="BU35" s="258" t="s">
        <v>15</v>
      </c>
      <c r="BV35" s="258"/>
      <c r="BW35" s="58"/>
      <c r="BX35" s="10"/>
      <c r="BY35" s="268"/>
      <c r="BZ35" s="267"/>
      <c r="CA35" s="262"/>
      <c r="CB35" s="262"/>
      <c r="CC35" s="263"/>
      <c r="CD35" s="267"/>
      <c r="CE35" s="267"/>
      <c r="CF35" s="267"/>
    </row>
    <row r="36" spans="1:84" ht="20.25">
      <c r="A36" s="257" t="s">
        <v>34</v>
      </c>
      <c r="B36" s="257"/>
      <c r="C36" s="22" t="s">
        <v>18</v>
      </c>
      <c r="D36" s="22" t="s">
        <v>19</v>
      </c>
      <c r="E36" s="22" t="s">
        <v>18</v>
      </c>
      <c r="F36" s="22" t="s">
        <v>19</v>
      </c>
      <c r="G36" s="22" t="s">
        <v>18</v>
      </c>
      <c r="H36" s="22" t="s">
        <v>19</v>
      </c>
      <c r="I36" s="22" t="s">
        <v>18</v>
      </c>
      <c r="J36" s="22" t="s">
        <v>19</v>
      </c>
      <c r="K36" s="22" t="s">
        <v>18</v>
      </c>
      <c r="L36" s="22" t="s">
        <v>19</v>
      </c>
      <c r="M36" s="22" t="s">
        <v>18</v>
      </c>
      <c r="N36" s="22" t="s">
        <v>19</v>
      </c>
      <c r="O36" s="22" t="s">
        <v>18</v>
      </c>
      <c r="P36" s="22" t="s">
        <v>19</v>
      </c>
      <c r="Q36" s="22" t="s">
        <v>18</v>
      </c>
      <c r="R36" s="22" t="s">
        <v>19</v>
      </c>
      <c r="S36" s="22" t="s">
        <v>18</v>
      </c>
      <c r="T36" s="22" t="s">
        <v>19</v>
      </c>
      <c r="U36" s="22" t="s">
        <v>18</v>
      </c>
      <c r="V36" s="22" t="s">
        <v>19</v>
      </c>
      <c r="W36" s="22" t="s">
        <v>18</v>
      </c>
      <c r="X36" s="22" t="s">
        <v>19</v>
      </c>
      <c r="Y36" s="22" t="s">
        <v>18</v>
      </c>
      <c r="Z36" s="22" t="s">
        <v>19</v>
      </c>
      <c r="AA36" s="22" t="s">
        <v>18</v>
      </c>
      <c r="AB36" s="22" t="s">
        <v>19</v>
      </c>
      <c r="AC36" s="22" t="s">
        <v>18</v>
      </c>
      <c r="AD36" s="22" t="s">
        <v>19</v>
      </c>
      <c r="AE36" s="22" t="s">
        <v>18</v>
      </c>
      <c r="AF36" s="22" t="s">
        <v>19</v>
      </c>
      <c r="AG36" s="22" t="s">
        <v>18</v>
      </c>
      <c r="AH36" s="22" t="s">
        <v>19</v>
      </c>
      <c r="AI36" s="22" t="s">
        <v>18</v>
      </c>
      <c r="AJ36" s="22" t="s">
        <v>19</v>
      </c>
      <c r="AK36" s="22" t="s">
        <v>18</v>
      </c>
      <c r="AL36" s="22" t="s">
        <v>19</v>
      </c>
      <c r="AM36" s="22" t="s">
        <v>18</v>
      </c>
      <c r="AN36" s="22" t="s">
        <v>19</v>
      </c>
      <c r="AO36" s="22" t="s">
        <v>18</v>
      </c>
      <c r="AP36" s="22" t="s">
        <v>19</v>
      </c>
      <c r="AQ36" s="22" t="s">
        <v>18</v>
      </c>
      <c r="AR36" s="22" t="s">
        <v>19</v>
      </c>
      <c r="AS36" s="22" t="s">
        <v>18</v>
      </c>
      <c r="AT36" s="22" t="s">
        <v>19</v>
      </c>
      <c r="AU36" s="22" t="s">
        <v>18</v>
      </c>
      <c r="AV36" s="22" t="s">
        <v>19</v>
      </c>
      <c r="AW36" s="22" t="s">
        <v>18</v>
      </c>
      <c r="AX36" s="22" t="s">
        <v>19</v>
      </c>
      <c r="AY36" s="22" t="s">
        <v>18</v>
      </c>
      <c r="AZ36" s="22" t="s">
        <v>19</v>
      </c>
      <c r="BA36" s="22" t="s">
        <v>18</v>
      </c>
      <c r="BB36" s="22" t="s">
        <v>19</v>
      </c>
      <c r="BC36" s="198" t="s">
        <v>18</v>
      </c>
      <c r="BD36" s="198" t="s">
        <v>19</v>
      </c>
      <c r="BE36" s="198" t="s">
        <v>18</v>
      </c>
      <c r="BF36" s="198" t="s">
        <v>19</v>
      </c>
      <c r="BG36" s="22" t="s">
        <v>18</v>
      </c>
      <c r="BH36" s="22" t="s">
        <v>19</v>
      </c>
      <c r="BI36" s="22" t="s">
        <v>18</v>
      </c>
      <c r="BJ36" s="22" t="s">
        <v>19</v>
      </c>
      <c r="BK36" s="22" t="s">
        <v>18</v>
      </c>
      <c r="BL36" s="22" t="s">
        <v>19</v>
      </c>
      <c r="BM36" s="22" t="s">
        <v>18</v>
      </c>
      <c r="BN36" s="22" t="s">
        <v>19</v>
      </c>
      <c r="BO36" s="22" t="s">
        <v>18</v>
      </c>
      <c r="BP36" s="22" t="s">
        <v>19</v>
      </c>
      <c r="BQ36" s="22" t="s">
        <v>18</v>
      </c>
      <c r="BR36" s="22" t="s">
        <v>19</v>
      </c>
      <c r="BS36" s="22" t="s">
        <v>18</v>
      </c>
      <c r="BT36" s="22" t="s">
        <v>19</v>
      </c>
      <c r="BU36" s="22" t="s">
        <v>18</v>
      </c>
      <c r="BV36" s="22" t="s">
        <v>19</v>
      </c>
      <c r="BW36" s="257" t="s">
        <v>34</v>
      </c>
      <c r="BX36" s="257"/>
      <c r="BY36" s="268"/>
      <c r="BZ36" s="267"/>
      <c r="CA36" s="262"/>
      <c r="CB36" s="262"/>
      <c r="CC36" s="263"/>
      <c r="CD36" s="267"/>
      <c r="CE36" s="267"/>
      <c r="CF36" s="267"/>
    </row>
    <row r="37" spans="1:84" ht="54.95" customHeight="1">
      <c r="A37" s="257" t="s">
        <v>35</v>
      </c>
      <c r="B37" s="257"/>
      <c r="C37" s="26">
        <f t="shared" ref="C37:AH37" si="0">SUM(C13:C14)</f>
        <v>0</v>
      </c>
      <c r="D37" s="26">
        <f t="shared" si="0"/>
        <v>0</v>
      </c>
      <c r="E37" s="26">
        <f t="shared" si="0"/>
        <v>0</v>
      </c>
      <c r="F37" s="26">
        <f t="shared" si="0"/>
        <v>0</v>
      </c>
      <c r="G37" s="26">
        <f t="shared" si="0"/>
        <v>0</v>
      </c>
      <c r="H37" s="26">
        <f t="shared" si="0"/>
        <v>0</v>
      </c>
      <c r="I37" s="26">
        <f t="shared" si="0"/>
        <v>0</v>
      </c>
      <c r="J37" s="26">
        <f t="shared" si="0"/>
        <v>1</v>
      </c>
      <c r="K37" s="26">
        <f t="shared" si="0"/>
        <v>0</v>
      </c>
      <c r="L37" s="26">
        <f t="shared" si="0"/>
        <v>0</v>
      </c>
      <c r="M37" s="26">
        <f t="shared" si="0"/>
        <v>0</v>
      </c>
      <c r="N37" s="26">
        <f t="shared" si="0"/>
        <v>0</v>
      </c>
      <c r="O37" s="26">
        <f t="shared" si="0"/>
        <v>0</v>
      </c>
      <c r="P37" s="26">
        <f t="shared" si="0"/>
        <v>0</v>
      </c>
      <c r="Q37" s="26">
        <f t="shared" si="0"/>
        <v>0</v>
      </c>
      <c r="R37" s="26">
        <f t="shared" si="0"/>
        <v>0</v>
      </c>
      <c r="S37" s="26">
        <f t="shared" si="0"/>
        <v>0</v>
      </c>
      <c r="T37" s="26">
        <f t="shared" si="0"/>
        <v>0</v>
      </c>
      <c r="U37" s="26">
        <f t="shared" si="0"/>
        <v>0</v>
      </c>
      <c r="V37" s="26">
        <f t="shared" si="0"/>
        <v>0</v>
      </c>
      <c r="W37" s="26">
        <f t="shared" si="0"/>
        <v>0</v>
      </c>
      <c r="X37" s="26">
        <f t="shared" si="0"/>
        <v>0</v>
      </c>
      <c r="Y37" s="26">
        <f t="shared" si="0"/>
        <v>0</v>
      </c>
      <c r="Z37" s="26">
        <f t="shared" si="0"/>
        <v>0</v>
      </c>
      <c r="AA37" s="26">
        <f t="shared" si="0"/>
        <v>0</v>
      </c>
      <c r="AB37" s="26">
        <f t="shared" si="0"/>
        <v>0</v>
      </c>
      <c r="AC37" s="26">
        <f t="shared" si="0"/>
        <v>0</v>
      </c>
      <c r="AD37" s="26">
        <f t="shared" si="0"/>
        <v>0</v>
      </c>
      <c r="AE37" s="26">
        <f t="shared" si="0"/>
        <v>0</v>
      </c>
      <c r="AF37" s="26">
        <f t="shared" si="0"/>
        <v>0</v>
      </c>
      <c r="AG37" s="26">
        <f t="shared" si="0"/>
        <v>0</v>
      </c>
      <c r="AH37" s="26">
        <f t="shared" si="0"/>
        <v>0</v>
      </c>
      <c r="AI37" s="26">
        <f t="shared" ref="AI37:BV37" si="1">SUM(AI13:AI14)</f>
        <v>0</v>
      </c>
      <c r="AJ37" s="26">
        <f t="shared" si="1"/>
        <v>0</v>
      </c>
      <c r="AK37" s="26">
        <f t="shared" si="1"/>
        <v>0</v>
      </c>
      <c r="AL37" s="26">
        <f t="shared" si="1"/>
        <v>0</v>
      </c>
      <c r="AM37" s="26">
        <f t="shared" si="1"/>
        <v>0</v>
      </c>
      <c r="AN37" s="26">
        <f t="shared" si="1"/>
        <v>0</v>
      </c>
      <c r="AO37" s="26">
        <f t="shared" si="1"/>
        <v>0</v>
      </c>
      <c r="AP37" s="26">
        <f t="shared" si="1"/>
        <v>0</v>
      </c>
      <c r="AQ37" s="26">
        <f t="shared" si="1"/>
        <v>0</v>
      </c>
      <c r="AR37" s="26">
        <f t="shared" si="1"/>
        <v>1</v>
      </c>
      <c r="AS37" s="26">
        <f t="shared" si="1"/>
        <v>1</v>
      </c>
      <c r="AT37" s="26">
        <f t="shared" si="1"/>
        <v>0</v>
      </c>
      <c r="AU37" s="26">
        <f t="shared" si="1"/>
        <v>0</v>
      </c>
      <c r="AV37" s="26">
        <f t="shared" si="1"/>
        <v>1</v>
      </c>
      <c r="AW37" s="26">
        <f t="shared" si="1"/>
        <v>0</v>
      </c>
      <c r="AX37" s="26">
        <f t="shared" si="1"/>
        <v>0</v>
      </c>
      <c r="AY37" s="26">
        <f t="shared" si="1"/>
        <v>1</v>
      </c>
      <c r="AZ37" s="26">
        <f t="shared" si="1"/>
        <v>1</v>
      </c>
      <c r="BA37" s="26">
        <f t="shared" si="1"/>
        <v>0</v>
      </c>
      <c r="BB37" s="26">
        <f t="shared" si="1"/>
        <v>0</v>
      </c>
      <c r="BC37" s="199">
        <f t="shared" si="1"/>
        <v>0</v>
      </c>
      <c r="BD37" s="199">
        <f t="shared" si="1"/>
        <v>0</v>
      </c>
      <c r="BE37" s="199">
        <f t="shared" si="1"/>
        <v>0</v>
      </c>
      <c r="BF37" s="199">
        <f t="shared" si="1"/>
        <v>0</v>
      </c>
      <c r="BG37" s="26">
        <f t="shared" si="1"/>
        <v>0</v>
      </c>
      <c r="BH37" s="26">
        <f t="shared" si="1"/>
        <v>0</v>
      </c>
      <c r="BI37" s="26">
        <f t="shared" si="1"/>
        <v>0</v>
      </c>
      <c r="BJ37" s="26">
        <f t="shared" si="1"/>
        <v>0</v>
      </c>
      <c r="BK37" s="26">
        <f t="shared" si="1"/>
        <v>0</v>
      </c>
      <c r="BL37" s="26">
        <f t="shared" si="1"/>
        <v>0</v>
      </c>
      <c r="BM37" s="26">
        <f t="shared" si="1"/>
        <v>0</v>
      </c>
      <c r="BN37" s="26">
        <f t="shared" si="1"/>
        <v>0</v>
      </c>
      <c r="BO37" s="26">
        <f t="shared" si="1"/>
        <v>0</v>
      </c>
      <c r="BP37" s="26">
        <f t="shared" si="1"/>
        <v>0</v>
      </c>
      <c r="BQ37" s="26">
        <f t="shared" si="1"/>
        <v>0</v>
      </c>
      <c r="BR37" s="26">
        <f t="shared" si="1"/>
        <v>0</v>
      </c>
      <c r="BS37" s="26">
        <f t="shared" si="1"/>
        <v>0</v>
      </c>
      <c r="BT37" s="26">
        <f t="shared" si="1"/>
        <v>0</v>
      </c>
      <c r="BU37" s="26">
        <f t="shared" si="1"/>
        <v>0</v>
      </c>
      <c r="BV37" s="26">
        <f t="shared" si="1"/>
        <v>0</v>
      </c>
      <c r="BW37" s="257" t="str">
        <f>A37</f>
        <v>6:30 à 7:00</v>
      </c>
      <c r="BX37" s="257"/>
      <c r="BY37" s="59">
        <f t="shared" ref="BY37:BY42" si="2">SUM(C37:BV37)</f>
        <v>6</v>
      </c>
      <c r="BZ37" s="41">
        <f t="shared" ref="BZ37:BZ42" si="3">C37+E37+G37+I37+K37+M37+O37+Q37+S37+U37+W37+Y37+AA37+AC37+AE37+AG37+AI37+AK37+AM37+AO37+AQ37+AS37+AU37+AW37+AY37+BA37+BG37+BI37+BK37+BM37+BO37+BQ37+BS37+BU37</f>
        <v>2</v>
      </c>
      <c r="CA37" s="41">
        <f t="shared" ref="CA37:CA42" si="4">E37+F37+I37+J37+M37+N37+Q37+R37+U37+V37+Y37+Z37+AC37+AD37+AG37+AH37+AK37+AL37+AO37+AP37+AS37+AT37+AW37+AX37+BA37+BB37+BI37+BJ37+BM37+BN37+BQ37+BR37+BU37+BV37</f>
        <v>2</v>
      </c>
      <c r="CB37" s="41">
        <f t="shared" ref="CB37:CB42" si="5">E37+I37+M37+Q37+U37+Y37+AC37+AG37+AK37+AO37+AS37+AW37+BA37+BI37+BM37+BQ37+BU37</f>
        <v>1</v>
      </c>
      <c r="CC37" s="41">
        <f t="shared" ref="CC37:CC42" si="6">SUM(C37:R37)+SUM(AA37:AH37)+SUM(AU37:AX37)+SUM(BO37:BR37)</f>
        <v>2</v>
      </c>
      <c r="CD37" s="60"/>
      <c r="CE37" s="61"/>
      <c r="CF37" s="61"/>
    </row>
    <row r="38" spans="1:84" ht="54.95" customHeight="1">
      <c r="A38" s="257" t="s">
        <v>36</v>
      </c>
      <c r="B38" s="257"/>
      <c r="C38" s="26">
        <f t="shared" ref="C38:AH38" si="7">SUM(C15:C16)</f>
        <v>0</v>
      </c>
      <c r="D38" s="26">
        <f t="shared" si="7"/>
        <v>0</v>
      </c>
      <c r="E38" s="26">
        <f t="shared" si="7"/>
        <v>0</v>
      </c>
      <c r="F38" s="26">
        <f t="shared" si="7"/>
        <v>0</v>
      </c>
      <c r="G38" s="26">
        <f t="shared" si="7"/>
        <v>0</v>
      </c>
      <c r="H38" s="26">
        <f t="shared" si="7"/>
        <v>1</v>
      </c>
      <c r="I38" s="26">
        <f t="shared" si="7"/>
        <v>0</v>
      </c>
      <c r="J38" s="26">
        <f t="shared" si="7"/>
        <v>0</v>
      </c>
      <c r="K38" s="26">
        <f t="shared" si="7"/>
        <v>1</v>
      </c>
      <c r="L38" s="26">
        <f t="shared" si="7"/>
        <v>0</v>
      </c>
      <c r="M38" s="26">
        <f t="shared" si="7"/>
        <v>0</v>
      </c>
      <c r="N38" s="26">
        <f t="shared" si="7"/>
        <v>0</v>
      </c>
      <c r="O38" s="26">
        <f t="shared" si="7"/>
        <v>0</v>
      </c>
      <c r="P38" s="26">
        <f t="shared" si="7"/>
        <v>0</v>
      </c>
      <c r="Q38" s="26">
        <f t="shared" si="7"/>
        <v>0</v>
      </c>
      <c r="R38" s="26">
        <f t="shared" si="7"/>
        <v>0</v>
      </c>
      <c r="S38" s="26">
        <f t="shared" si="7"/>
        <v>0</v>
      </c>
      <c r="T38" s="26">
        <f t="shared" si="7"/>
        <v>0</v>
      </c>
      <c r="U38" s="26">
        <f t="shared" si="7"/>
        <v>0</v>
      </c>
      <c r="V38" s="26">
        <f t="shared" si="7"/>
        <v>0</v>
      </c>
      <c r="W38" s="26">
        <f t="shared" si="7"/>
        <v>0</v>
      </c>
      <c r="X38" s="26">
        <f t="shared" si="7"/>
        <v>0</v>
      </c>
      <c r="Y38" s="26">
        <f t="shared" si="7"/>
        <v>0</v>
      </c>
      <c r="Z38" s="26">
        <f t="shared" si="7"/>
        <v>0</v>
      </c>
      <c r="AA38" s="26">
        <f t="shared" si="7"/>
        <v>0</v>
      </c>
      <c r="AB38" s="26">
        <f t="shared" si="7"/>
        <v>0</v>
      </c>
      <c r="AC38" s="26">
        <f t="shared" si="7"/>
        <v>0</v>
      </c>
      <c r="AD38" s="26">
        <f t="shared" si="7"/>
        <v>0</v>
      </c>
      <c r="AE38" s="26">
        <f t="shared" si="7"/>
        <v>0</v>
      </c>
      <c r="AF38" s="26">
        <f t="shared" si="7"/>
        <v>0</v>
      </c>
      <c r="AG38" s="26">
        <f t="shared" si="7"/>
        <v>0</v>
      </c>
      <c r="AH38" s="26">
        <f t="shared" si="7"/>
        <v>0</v>
      </c>
      <c r="AI38" s="26">
        <f t="shared" ref="AI38:BV38" si="8">SUM(AI15:AI16)</f>
        <v>0</v>
      </c>
      <c r="AJ38" s="26">
        <f t="shared" si="8"/>
        <v>0</v>
      </c>
      <c r="AK38" s="26">
        <f t="shared" si="8"/>
        <v>0</v>
      </c>
      <c r="AL38" s="26">
        <f t="shared" si="8"/>
        <v>0</v>
      </c>
      <c r="AM38" s="26">
        <f t="shared" si="8"/>
        <v>0</v>
      </c>
      <c r="AN38" s="26">
        <f t="shared" si="8"/>
        <v>0</v>
      </c>
      <c r="AO38" s="26">
        <f t="shared" si="8"/>
        <v>0</v>
      </c>
      <c r="AP38" s="26">
        <f t="shared" si="8"/>
        <v>0</v>
      </c>
      <c r="AQ38" s="26">
        <f t="shared" si="8"/>
        <v>0</v>
      </c>
      <c r="AR38" s="26">
        <f t="shared" si="8"/>
        <v>0</v>
      </c>
      <c r="AS38" s="26">
        <f t="shared" si="8"/>
        <v>0</v>
      </c>
      <c r="AT38" s="26">
        <f t="shared" si="8"/>
        <v>0</v>
      </c>
      <c r="AU38" s="26">
        <f t="shared" si="8"/>
        <v>0</v>
      </c>
      <c r="AV38" s="26">
        <f t="shared" si="8"/>
        <v>0</v>
      </c>
      <c r="AW38" s="26">
        <f t="shared" si="8"/>
        <v>0</v>
      </c>
      <c r="AX38" s="26">
        <f t="shared" si="8"/>
        <v>0</v>
      </c>
      <c r="AY38" s="26">
        <f t="shared" si="8"/>
        <v>0</v>
      </c>
      <c r="AZ38" s="26">
        <f t="shared" si="8"/>
        <v>0</v>
      </c>
      <c r="BA38" s="26">
        <f t="shared" si="8"/>
        <v>0</v>
      </c>
      <c r="BB38" s="26">
        <f t="shared" si="8"/>
        <v>0</v>
      </c>
      <c r="BC38" s="199">
        <f t="shared" si="8"/>
        <v>0</v>
      </c>
      <c r="BD38" s="199">
        <f t="shared" si="8"/>
        <v>0</v>
      </c>
      <c r="BE38" s="199">
        <f t="shared" si="8"/>
        <v>0</v>
      </c>
      <c r="BF38" s="199">
        <f t="shared" si="8"/>
        <v>0</v>
      </c>
      <c r="BG38" s="26">
        <f t="shared" si="8"/>
        <v>0</v>
      </c>
      <c r="BH38" s="26">
        <f t="shared" si="8"/>
        <v>0</v>
      </c>
      <c r="BI38" s="26">
        <f t="shared" si="8"/>
        <v>0</v>
      </c>
      <c r="BJ38" s="26">
        <f t="shared" si="8"/>
        <v>0</v>
      </c>
      <c r="BK38" s="26">
        <f t="shared" si="8"/>
        <v>0</v>
      </c>
      <c r="BL38" s="26">
        <f t="shared" si="8"/>
        <v>0</v>
      </c>
      <c r="BM38" s="26">
        <f t="shared" si="8"/>
        <v>0</v>
      </c>
      <c r="BN38" s="26">
        <f t="shared" si="8"/>
        <v>0</v>
      </c>
      <c r="BO38" s="26">
        <f t="shared" si="8"/>
        <v>0</v>
      </c>
      <c r="BP38" s="26">
        <f t="shared" si="8"/>
        <v>0</v>
      </c>
      <c r="BQ38" s="26">
        <f t="shared" si="8"/>
        <v>0</v>
      </c>
      <c r="BR38" s="26">
        <f t="shared" si="8"/>
        <v>0</v>
      </c>
      <c r="BS38" s="26">
        <f t="shared" si="8"/>
        <v>0</v>
      </c>
      <c r="BT38" s="26">
        <f t="shared" si="8"/>
        <v>0</v>
      </c>
      <c r="BU38" s="26">
        <f t="shared" si="8"/>
        <v>0</v>
      </c>
      <c r="BV38" s="26">
        <f t="shared" si="8"/>
        <v>0</v>
      </c>
      <c r="BW38" s="257" t="str">
        <f>A38</f>
        <v>7:00 à 7:30</v>
      </c>
      <c r="BX38" s="257"/>
      <c r="BY38" s="59">
        <f t="shared" si="2"/>
        <v>2</v>
      </c>
      <c r="BZ38" s="41">
        <f t="shared" si="3"/>
        <v>1</v>
      </c>
      <c r="CA38" s="41">
        <f t="shared" si="4"/>
        <v>0</v>
      </c>
      <c r="CB38" s="41">
        <f t="shared" si="5"/>
        <v>0</v>
      </c>
      <c r="CC38" s="41">
        <f t="shared" si="6"/>
        <v>2</v>
      </c>
      <c r="CD38" s="60"/>
      <c r="CE38" s="61"/>
      <c r="CF38" s="61"/>
    </row>
    <row r="39" spans="1:84" ht="54.95" customHeight="1">
      <c r="A39" s="257" t="s">
        <v>37</v>
      </c>
      <c r="B39" s="257"/>
      <c r="C39" s="26">
        <f t="shared" ref="C39:AH39" si="9">SUM(C17:C18)</f>
        <v>0</v>
      </c>
      <c r="D39" s="26">
        <f t="shared" si="9"/>
        <v>1</v>
      </c>
      <c r="E39" s="26">
        <f t="shared" si="9"/>
        <v>0</v>
      </c>
      <c r="F39" s="26">
        <f t="shared" si="9"/>
        <v>0</v>
      </c>
      <c r="G39" s="26">
        <f t="shared" si="9"/>
        <v>2</v>
      </c>
      <c r="H39" s="26">
        <f t="shared" si="9"/>
        <v>2</v>
      </c>
      <c r="I39" s="26">
        <f t="shared" si="9"/>
        <v>0</v>
      </c>
      <c r="J39" s="26">
        <f t="shared" si="9"/>
        <v>0</v>
      </c>
      <c r="K39" s="26">
        <f t="shared" si="9"/>
        <v>0</v>
      </c>
      <c r="L39" s="26">
        <f t="shared" si="9"/>
        <v>3</v>
      </c>
      <c r="M39" s="26">
        <f t="shared" si="9"/>
        <v>0</v>
      </c>
      <c r="N39" s="26">
        <f t="shared" si="9"/>
        <v>0</v>
      </c>
      <c r="O39" s="26">
        <f t="shared" si="9"/>
        <v>0</v>
      </c>
      <c r="P39" s="26">
        <f t="shared" si="9"/>
        <v>0</v>
      </c>
      <c r="Q39" s="26">
        <f t="shared" si="9"/>
        <v>0</v>
      </c>
      <c r="R39" s="26">
        <f t="shared" si="9"/>
        <v>0</v>
      </c>
      <c r="S39" s="26">
        <f t="shared" si="9"/>
        <v>0</v>
      </c>
      <c r="T39" s="26">
        <f t="shared" si="9"/>
        <v>0</v>
      </c>
      <c r="U39" s="26">
        <f t="shared" si="9"/>
        <v>0</v>
      </c>
      <c r="V39" s="26">
        <f t="shared" si="9"/>
        <v>0</v>
      </c>
      <c r="W39" s="26">
        <f t="shared" si="9"/>
        <v>0</v>
      </c>
      <c r="X39" s="26">
        <f t="shared" si="9"/>
        <v>0</v>
      </c>
      <c r="Y39" s="26">
        <f t="shared" si="9"/>
        <v>0</v>
      </c>
      <c r="Z39" s="26">
        <f t="shared" si="9"/>
        <v>0</v>
      </c>
      <c r="AA39" s="26">
        <f t="shared" si="9"/>
        <v>0</v>
      </c>
      <c r="AB39" s="26">
        <f t="shared" si="9"/>
        <v>0</v>
      </c>
      <c r="AC39" s="26">
        <f t="shared" si="9"/>
        <v>0</v>
      </c>
      <c r="AD39" s="26">
        <f t="shared" si="9"/>
        <v>0</v>
      </c>
      <c r="AE39" s="26">
        <f t="shared" si="9"/>
        <v>0</v>
      </c>
      <c r="AF39" s="26">
        <f t="shared" si="9"/>
        <v>1</v>
      </c>
      <c r="AG39" s="26">
        <f t="shared" si="9"/>
        <v>0</v>
      </c>
      <c r="AH39" s="26">
        <f t="shared" si="9"/>
        <v>0</v>
      </c>
      <c r="AI39" s="26">
        <f t="shared" ref="AI39:BV39" si="10">SUM(AI17:AI18)</f>
        <v>0</v>
      </c>
      <c r="AJ39" s="26">
        <f t="shared" si="10"/>
        <v>0</v>
      </c>
      <c r="AK39" s="26">
        <f t="shared" si="10"/>
        <v>0</v>
      </c>
      <c r="AL39" s="26">
        <f t="shared" si="10"/>
        <v>0</v>
      </c>
      <c r="AM39" s="26">
        <f t="shared" si="10"/>
        <v>0</v>
      </c>
      <c r="AN39" s="26">
        <f t="shared" si="10"/>
        <v>0</v>
      </c>
      <c r="AO39" s="26">
        <f t="shared" si="10"/>
        <v>0</v>
      </c>
      <c r="AP39" s="26">
        <f t="shared" si="10"/>
        <v>0</v>
      </c>
      <c r="AQ39" s="26">
        <f t="shared" si="10"/>
        <v>1</v>
      </c>
      <c r="AR39" s="26">
        <f t="shared" si="10"/>
        <v>2</v>
      </c>
      <c r="AS39" s="26">
        <f t="shared" si="10"/>
        <v>0</v>
      </c>
      <c r="AT39" s="26">
        <f t="shared" si="10"/>
        <v>0</v>
      </c>
      <c r="AU39" s="26">
        <f t="shared" si="10"/>
        <v>0</v>
      </c>
      <c r="AV39" s="26">
        <f t="shared" si="10"/>
        <v>1</v>
      </c>
      <c r="AW39" s="26">
        <f t="shared" si="10"/>
        <v>1</v>
      </c>
      <c r="AX39" s="26">
        <f t="shared" si="10"/>
        <v>1</v>
      </c>
      <c r="AY39" s="26">
        <f t="shared" si="10"/>
        <v>0</v>
      </c>
      <c r="AZ39" s="26">
        <f t="shared" si="10"/>
        <v>0</v>
      </c>
      <c r="BA39" s="26">
        <f t="shared" si="10"/>
        <v>0</v>
      </c>
      <c r="BB39" s="26">
        <f t="shared" si="10"/>
        <v>0</v>
      </c>
      <c r="BC39" s="199">
        <f t="shared" si="10"/>
        <v>1</v>
      </c>
      <c r="BD39" s="199">
        <f t="shared" si="10"/>
        <v>0</v>
      </c>
      <c r="BE39" s="199">
        <f t="shared" si="10"/>
        <v>0</v>
      </c>
      <c r="BF39" s="199">
        <f t="shared" si="10"/>
        <v>0</v>
      </c>
      <c r="BG39" s="26">
        <f t="shared" si="10"/>
        <v>0</v>
      </c>
      <c r="BH39" s="26">
        <f t="shared" si="10"/>
        <v>0</v>
      </c>
      <c r="BI39" s="26">
        <f t="shared" si="10"/>
        <v>0</v>
      </c>
      <c r="BJ39" s="26">
        <f t="shared" si="10"/>
        <v>0</v>
      </c>
      <c r="BK39" s="26">
        <f t="shared" si="10"/>
        <v>0</v>
      </c>
      <c r="BL39" s="26">
        <f t="shared" si="10"/>
        <v>0</v>
      </c>
      <c r="BM39" s="26">
        <f t="shared" si="10"/>
        <v>0</v>
      </c>
      <c r="BN39" s="26">
        <f t="shared" si="10"/>
        <v>0</v>
      </c>
      <c r="BO39" s="26">
        <f t="shared" si="10"/>
        <v>0</v>
      </c>
      <c r="BP39" s="26">
        <f t="shared" si="10"/>
        <v>0</v>
      </c>
      <c r="BQ39" s="26">
        <f t="shared" si="10"/>
        <v>0</v>
      </c>
      <c r="BR39" s="26">
        <f t="shared" si="10"/>
        <v>0</v>
      </c>
      <c r="BS39" s="26">
        <f t="shared" si="10"/>
        <v>0</v>
      </c>
      <c r="BT39" s="26">
        <f t="shared" si="10"/>
        <v>0</v>
      </c>
      <c r="BU39" s="26">
        <f t="shared" si="10"/>
        <v>0</v>
      </c>
      <c r="BV39" s="26">
        <f t="shared" si="10"/>
        <v>0</v>
      </c>
      <c r="BW39" s="257" t="str">
        <f>A39</f>
        <v>7:30 à 8:00</v>
      </c>
      <c r="BX39" s="257"/>
      <c r="BY39" s="59">
        <f t="shared" si="2"/>
        <v>16</v>
      </c>
      <c r="BZ39" s="41">
        <f t="shared" si="3"/>
        <v>4</v>
      </c>
      <c r="CA39" s="41">
        <f t="shared" si="4"/>
        <v>2</v>
      </c>
      <c r="CB39" s="41">
        <f t="shared" si="5"/>
        <v>1</v>
      </c>
      <c r="CC39" s="41">
        <f t="shared" si="6"/>
        <v>12</v>
      </c>
      <c r="CD39" s="60"/>
      <c r="CE39" s="61"/>
      <c r="CF39" s="61"/>
    </row>
    <row r="40" spans="1:84" ht="54.95" customHeight="1">
      <c r="A40" s="257" t="s">
        <v>38</v>
      </c>
      <c r="B40" s="257"/>
      <c r="C40" s="26">
        <f t="shared" ref="C40:AH40" si="11">SUM(C19:C20)</f>
        <v>1</v>
      </c>
      <c r="D40" s="26">
        <f t="shared" si="11"/>
        <v>0</v>
      </c>
      <c r="E40" s="26">
        <f t="shared" si="11"/>
        <v>0</v>
      </c>
      <c r="F40" s="26">
        <f t="shared" si="11"/>
        <v>0</v>
      </c>
      <c r="G40" s="26">
        <f t="shared" si="11"/>
        <v>0</v>
      </c>
      <c r="H40" s="26">
        <f t="shared" si="11"/>
        <v>0</v>
      </c>
      <c r="I40" s="26">
        <f t="shared" si="11"/>
        <v>0</v>
      </c>
      <c r="J40" s="26">
        <f t="shared" si="11"/>
        <v>0</v>
      </c>
      <c r="K40" s="26">
        <f t="shared" si="11"/>
        <v>0</v>
      </c>
      <c r="L40" s="26">
        <f t="shared" si="11"/>
        <v>1</v>
      </c>
      <c r="M40" s="26">
        <f t="shared" si="11"/>
        <v>0</v>
      </c>
      <c r="N40" s="26">
        <f t="shared" si="11"/>
        <v>0</v>
      </c>
      <c r="O40" s="26">
        <f t="shared" si="11"/>
        <v>0</v>
      </c>
      <c r="P40" s="26">
        <f t="shared" si="11"/>
        <v>0</v>
      </c>
      <c r="Q40" s="26">
        <f t="shared" si="11"/>
        <v>0</v>
      </c>
      <c r="R40" s="26">
        <f t="shared" si="11"/>
        <v>0</v>
      </c>
      <c r="S40" s="26">
        <f t="shared" si="11"/>
        <v>0</v>
      </c>
      <c r="T40" s="26">
        <f t="shared" si="11"/>
        <v>0</v>
      </c>
      <c r="U40" s="26">
        <f t="shared" si="11"/>
        <v>0</v>
      </c>
      <c r="V40" s="26">
        <f t="shared" si="11"/>
        <v>0</v>
      </c>
      <c r="W40" s="26">
        <f t="shared" si="11"/>
        <v>0</v>
      </c>
      <c r="X40" s="26">
        <f t="shared" si="11"/>
        <v>0</v>
      </c>
      <c r="Y40" s="26">
        <f t="shared" si="11"/>
        <v>0</v>
      </c>
      <c r="Z40" s="26">
        <f t="shared" si="11"/>
        <v>0</v>
      </c>
      <c r="AA40" s="26">
        <f t="shared" si="11"/>
        <v>0</v>
      </c>
      <c r="AB40" s="26">
        <f t="shared" si="11"/>
        <v>0</v>
      </c>
      <c r="AC40" s="26">
        <f t="shared" si="11"/>
        <v>0</v>
      </c>
      <c r="AD40" s="26">
        <f t="shared" si="11"/>
        <v>0</v>
      </c>
      <c r="AE40" s="26">
        <f t="shared" si="11"/>
        <v>0</v>
      </c>
      <c r="AF40" s="26">
        <f t="shared" si="11"/>
        <v>0</v>
      </c>
      <c r="AG40" s="26">
        <f t="shared" si="11"/>
        <v>0</v>
      </c>
      <c r="AH40" s="26">
        <f t="shared" si="11"/>
        <v>0</v>
      </c>
      <c r="AI40" s="26">
        <f t="shared" ref="AI40:BV40" si="12">SUM(AI19:AI20)</f>
        <v>0</v>
      </c>
      <c r="AJ40" s="26">
        <f t="shared" si="12"/>
        <v>0</v>
      </c>
      <c r="AK40" s="26">
        <f t="shared" si="12"/>
        <v>0</v>
      </c>
      <c r="AL40" s="26">
        <f t="shared" si="12"/>
        <v>0</v>
      </c>
      <c r="AM40" s="26">
        <f t="shared" si="12"/>
        <v>0</v>
      </c>
      <c r="AN40" s="26">
        <f t="shared" si="12"/>
        <v>0</v>
      </c>
      <c r="AO40" s="26">
        <f t="shared" si="12"/>
        <v>0</v>
      </c>
      <c r="AP40" s="26">
        <f t="shared" si="12"/>
        <v>0</v>
      </c>
      <c r="AQ40" s="26">
        <f t="shared" si="12"/>
        <v>1</v>
      </c>
      <c r="AR40" s="26">
        <f t="shared" si="12"/>
        <v>0</v>
      </c>
      <c r="AS40" s="26">
        <f t="shared" si="12"/>
        <v>1</v>
      </c>
      <c r="AT40" s="26">
        <f t="shared" si="12"/>
        <v>0</v>
      </c>
      <c r="AU40" s="26">
        <f t="shared" si="12"/>
        <v>0</v>
      </c>
      <c r="AV40" s="26">
        <f t="shared" si="12"/>
        <v>0</v>
      </c>
      <c r="AW40" s="26">
        <f t="shared" si="12"/>
        <v>0</v>
      </c>
      <c r="AX40" s="26">
        <f t="shared" si="12"/>
        <v>0</v>
      </c>
      <c r="AY40" s="26">
        <f t="shared" si="12"/>
        <v>0</v>
      </c>
      <c r="AZ40" s="26">
        <f t="shared" si="12"/>
        <v>0</v>
      </c>
      <c r="BA40" s="26">
        <f t="shared" si="12"/>
        <v>0</v>
      </c>
      <c r="BB40" s="26">
        <f t="shared" si="12"/>
        <v>0</v>
      </c>
      <c r="BC40" s="199">
        <f t="shared" si="12"/>
        <v>0</v>
      </c>
      <c r="BD40" s="199">
        <f t="shared" si="12"/>
        <v>0</v>
      </c>
      <c r="BE40" s="199">
        <f t="shared" si="12"/>
        <v>0</v>
      </c>
      <c r="BF40" s="199">
        <f t="shared" si="12"/>
        <v>0</v>
      </c>
      <c r="BG40" s="26">
        <f t="shared" si="12"/>
        <v>0</v>
      </c>
      <c r="BH40" s="26">
        <f t="shared" si="12"/>
        <v>0</v>
      </c>
      <c r="BI40" s="26">
        <f t="shared" si="12"/>
        <v>0</v>
      </c>
      <c r="BJ40" s="26">
        <f t="shared" si="12"/>
        <v>0</v>
      </c>
      <c r="BK40" s="26">
        <f t="shared" si="12"/>
        <v>0</v>
      </c>
      <c r="BL40" s="26">
        <f t="shared" si="12"/>
        <v>0</v>
      </c>
      <c r="BM40" s="26">
        <f t="shared" si="12"/>
        <v>0</v>
      </c>
      <c r="BN40" s="26">
        <f t="shared" si="12"/>
        <v>0</v>
      </c>
      <c r="BO40" s="26">
        <f t="shared" si="12"/>
        <v>0</v>
      </c>
      <c r="BP40" s="26">
        <f t="shared" si="12"/>
        <v>0</v>
      </c>
      <c r="BQ40" s="26">
        <f t="shared" si="12"/>
        <v>0</v>
      </c>
      <c r="BR40" s="26">
        <f t="shared" si="12"/>
        <v>0</v>
      </c>
      <c r="BS40" s="26">
        <f t="shared" si="12"/>
        <v>0</v>
      </c>
      <c r="BT40" s="26">
        <f t="shared" si="12"/>
        <v>0</v>
      </c>
      <c r="BU40" s="26">
        <f t="shared" si="12"/>
        <v>0</v>
      </c>
      <c r="BV40" s="26">
        <f t="shared" si="12"/>
        <v>0</v>
      </c>
      <c r="BW40" s="257" t="str">
        <f>A40</f>
        <v>8:00 à 8:30</v>
      </c>
      <c r="BX40" s="257"/>
      <c r="BY40" s="59">
        <f t="shared" si="2"/>
        <v>4</v>
      </c>
      <c r="BZ40" s="41">
        <f t="shared" si="3"/>
        <v>3</v>
      </c>
      <c r="CA40" s="41">
        <f t="shared" si="4"/>
        <v>1</v>
      </c>
      <c r="CB40" s="41">
        <f t="shared" si="5"/>
        <v>1</v>
      </c>
      <c r="CC40" s="41">
        <f t="shared" si="6"/>
        <v>2</v>
      </c>
      <c r="CD40" s="60"/>
      <c r="CE40" s="61"/>
      <c r="CF40" s="61"/>
    </row>
    <row r="41" spans="1:84" ht="54.95" customHeight="1">
      <c r="A41" s="257" t="s">
        <v>39</v>
      </c>
      <c r="B41" s="257"/>
      <c r="C41" s="26">
        <f t="shared" ref="C41:AH41" si="13">SUM(C21:C22)</f>
        <v>0</v>
      </c>
      <c r="D41" s="26">
        <f t="shared" si="13"/>
        <v>0</v>
      </c>
      <c r="E41" s="26">
        <f t="shared" si="13"/>
        <v>0</v>
      </c>
      <c r="F41" s="26">
        <f t="shared" si="13"/>
        <v>0</v>
      </c>
      <c r="G41" s="26">
        <f t="shared" si="13"/>
        <v>0</v>
      </c>
      <c r="H41" s="26">
        <f t="shared" si="13"/>
        <v>0</v>
      </c>
      <c r="I41" s="26">
        <f t="shared" si="13"/>
        <v>0</v>
      </c>
      <c r="J41" s="26">
        <f t="shared" si="13"/>
        <v>0</v>
      </c>
      <c r="K41" s="26">
        <f t="shared" si="13"/>
        <v>0</v>
      </c>
      <c r="L41" s="26">
        <f t="shared" si="13"/>
        <v>0</v>
      </c>
      <c r="M41" s="26">
        <f t="shared" si="13"/>
        <v>0</v>
      </c>
      <c r="N41" s="26">
        <f t="shared" si="13"/>
        <v>0</v>
      </c>
      <c r="O41" s="26">
        <f t="shared" si="13"/>
        <v>0</v>
      </c>
      <c r="P41" s="26">
        <f t="shared" si="13"/>
        <v>0</v>
      </c>
      <c r="Q41" s="26">
        <f t="shared" si="13"/>
        <v>0</v>
      </c>
      <c r="R41" s="26">
        <f t="shared" si="13"/>
        <v>0</v>
      </c>
      <c r="S41" s="26">
        <f t="shared" si="13"/>
        <v>0</v>
      </c>
      <c r="T41" s="26">
        <f t="shared" si="13"/>
        <v>0</v>
      </c>
      <c r="U41" s="26">
        <f t="shared" si="13"/>
        <v>0</v>
      </c>
      <c r="V41" s="26">
        <f t="shared" si="13"/>
        <v>0</v>
      </c>
      <c r="W41" s="26">
        <f t="shared" si="13"/>
        <v>0</v>
      </c>
      <c r="X41" s="26">
        <f t="shared" si="13"/>
        <v>0</v>
      </c>
      <c r="Y41" s="26">
        <f t="shared" si="13"/>
        <v>0</v>
      </c>
      <c r="Z41" s="26">
        <f t="shared" si="13"/>
        <v>0</v>
      </c>
      <c r="AA41" s="26">
        <f t="shared" si="13"/>
        <v>0</v>
      </c>
      <c r="AB41" s="26">
        <f t="shared" si="13"/>
        <v>0</v>
      </c>
      <c r="AC41" s="26">
        <f t="shared" si="13"/>
        <v>0</v>
      </c>
      <c r="AD41" s="26">
        <f t="shared" si="13"/>
        <v>0</v>
      </c>
      <c r="AE41" s="26">
        <f t="shared" si="13"/>
        <v>0</v>
      </c>
      <c r="AF41" s="26">
        <f t="shared" si="13"/>
        <v>0</v>
      </c>
      <c r="AG41" s="26">
        <f t="shared" si="13"/>
        <v>0</v>
      </c>
      <c r="AH41" s="26">
        <f t="shared" si="13"/>
        <v>0</v>
      </c>
      <c r="AI41" s="26">
        <f t="shared" ref="AI41:BV41" si="14">SUM(AI21:AI22)</f>
        <v>0</v>
      </c>
      <c r="AJ41" s="26">
        <f t="shared" si="14"/>
        <v>0</v>
      </c>
      <c r="AK41" s="26">
        <f t="shared" si="14"/>
        <v>0</v>
      </c>
      <c r="AL41" s="26">
        <f t="shared" si="14"/>
        <v>0</v>
      </c>
      <c r="AM41" s="26">
        <f t="shared" si="14"/>
        <v>0</v>
      </c>
      <c r="AN41" s="26">
        <f t="shared" si="14"/>
        <v>0</v>
      </c>
      <c r="AO41" s="26">
        <f t="shared" si="14"/>
        <v>0</v>
      </c>
      <c r="AP41" s="26">
        <f t="shared" si="14"/>
        <v>0</v>
      </c>
      <c r="AQ41" s="26">
        <f t="shared" si="14"/>
        <v>0</v>
      </c>
      <c r="AR41" s="26">
        <f t="shared" si="14"/>
        <v>0</v>
      </c>
      <c r="AS41" s="26">
        <f t="shared" si="14"/>
        <v>0</v>
      </c>
      <c r="AT41" s="26">
        <f t="shared" si="14"/>
        <v>0</v>
      </c>
      <c r="AU41" s="26">
        <f t="shared" si="14"/>
        <v>0</v>
      </c>
      <c r="AV41" s="26">
        <f t="shared" si="14"/>
        <v>1</v>
      </c>
      <c r="AW41" s="26">
        <f t="shared" si="14"/>
        <v>0</v>
      </c>
      <c r="AX41" s="26">
        <f t="shared" si="14"/>
        <v>0</v>
      </c>
      <c r="AY41" s="26">
        <f t="shared" si="14"/>
        <v>0</v>
      </c>
      <c r="AZ41" s="26">
        <f t="shared" si="14"/>
        <v>0</v>
      </c>
      <c r="BA41" s="26">
        <f t="shared" si="14"/>
        <v>1</v>
      </c>
      <c r="BB41" s="26">
        <f t="shared" si="14"/>
        <v>0</v>
      </c>
      <c r="BC41" s="199">
        <f t="shared" si="14"/>
        <v>1</v>
      </c>
      <c r="BD41" s="199">
        <f t="shared" si="14"/>
        <v>0</v>
      </c>
      <c r="BE41" s="199">
        <f t="shared" si="14"/>
        <v>1</v>
      </c>
      <c r="BF41" s="199">
        <f t="shared" si="14"/>
        <v>0</v>
      </c>
      <c r="BG41" s="26">
        <f t="shared" si="14"/>
        <v>0</v>
      </c>
      <c r="BH41" s="26">
        <f t="shared" si="14"/>
        <v>0</v>
      </c>
      <c r="BI41" s="26">
        <f t="shared" si="14"/>
        <v>0</v>
      </c>
      <c r="BJ41" s="26">
        <f t="shared" si="14"/>
        <v>0</v>
      </c>
      <c r="BK41" s="26">
        <f t="shared" si="14"/>
        <v>0</v>
      </c>
      <c r="BL41" s="26">
        <f t="shared" si="14"/>
        <v>0</v>
      </c>
      <c r="BM41" s="26">
        <f t="shared" si="14"/>
        <v>0</v>
      </c>
      <c r="BN41" s="26">
        <f t="shared" si="14"/>
        <v>0</v>
      </c>
      <c r="BO41" s="26">
        <f t="shared" si="14"/>
        <v>0</v>
      </c>
      <c r="BP41" s="26">
        <f t="shared" si="14"/>
        <v>0</v>
      </c>
      <c r="BQ41" s="26">
        <f t="shared" si="14"/>
        <v>0</v>
      </c>
      <c r="BR41" s="26">
        <f t="shared" si="14"/>
        <v>0</v>
      </c>
      <c r="BS41" s="26">
        <f t="shared" si="14"/>
        <v>0</v>
      </c>
      <c r="BT41" s="26">
        <f t="shared" si="14"/>
        <v>0</v>
      </c>
      <c r="BU41" s="26">
        <f t="shared" si="14"/>
        <v>0</v>
      </c>
      <c r="BV41" s="26">
        <f t="shared" si="14"/>
        <v>0</v>
      </c>
      <c r="BW41" s="257" t="str">
        <f>A41</f>
        <v>8:30 à 9:00</v>
      </c>
      <c r="BX41" s="257"/>
      <c r="BY41" s="59">
        <f t="shared" si="2"/>
        <v>4</v>
      </c>
      <c r="BZ41" s="41">
        <f t="shared" si="3"/>
        <v>1</v>
      </c>
      <c r="CA41" s="41">
        <f t="shared" si="4"/>
        <v>1</v>
      </c>
      <c r="CB41" s="41">
        <f t="shared" si="5"/>
        <v>1</v>
      </c>
      <c r="CC41" s="41">
        <f t="shared" si="6"/>
        <v>1</v>
      </c>
      <c r="CD41" s="60"/>
      <c r="CE41" s="61"/>
      <c r="CF41" s="61"/>
    </row>
    <row r="42" spans="1:84" ht="54.95" customHeight="1">
      <c r="A42" s="257" t="s">
        <v>29</v>
      </c>
      <c r="B42" s="257"/>
      <c r="C42" s="30">
        <f t="shared" ref="C42:AH42" si="15">SUM(C13:C24)</f>
        <v>1</v>
      </c>
      <c r="D42" s="30">
        <f t="shared" si="15"/>
        <v>1</v>
      </c>
      <c r="E42" s="30">
        <f t="shared" si="15"/>
        <v>0</v>
      </c>
      <c r="F42" s="30">
        <f t="shared" si="15"/>
        <v>0</v>
      </c>
      <c r="G42" s="30">
        <f t="shared" si="15"/>
        <v>2</v>
      </c>
      <c r="H42" s="30">
        <f t="shared" si="15"/>
        <v>3</v>
      </c>
      <c r="I42" s="30">
        <f t="shared" si="15"/>
        <v>0</v>
      </c>
      <c r="J42" s="30">
        <f t="shared" si="15"/>
        <v>1</v>
      </c>
      <c r="K42" s="30">
        <f t="shared" si="15"/>
        <v>1</v>
      </c>
      <c r="L42" s="30">
        <f t="shared" si="15"/>
        <v>4</v>
      </c>
      <c r="M42" s="30">
        <f t="shared" si="15"/>
        <v>0</v>
      </c>
      <c r="N42" s="30">
        <f t="shared" si="15"/>
        <v>0</v>
      </c>
      <c r="O42" s="30">
        <f t="shared" si="15"/>
        <v>0</v>
      </c>
      <c r="P42" s="30">
        <f t="shared" si="15"/>
        <v>0</v>
      </c>
      <c r="Q42" s="30">
        <f t="shared" si="15"/>
        <v>0</v>
      </c>
      <c r="R42" s="30">
        <f t="shared" si="15"/>
        <v>0</v>
      </c>
      <c r="S42" s="30">
        <f t="shared" si="15"/>
        <v>0</v>
      </c>
      <c r="T42" s="30">
        <f t="shared" si="15"/>
        <v>0</v>
      </c>
      <c r="U42" s="30">
        <f t="shared" si="15"/>
        <v>0</v>
      </c>
      <c r="V42" s="30">
        <f t="shared" si="15"/>
        <v>0</v>
      </c>
      <c r="W42" s="30">
        <f t="shared" si="15"/>
        <v>0</v>
      </c>
      <c r="X42" s="30">
        <f t="shared" si="15"/>
        <v>0</v>
      </c>
      <c r="Y42" s="30">
        <f t="shared" si="15"/>
        <v>0</v>
      </c>
      <c r="Z42" s="30">
        <f t="shared" si="15"/>
        <v>0</v>
      </c>
      <c r="AA42" s="30">
        <f t="shared" si="15"/>
        <v>0</v>
      </c>
      <c r="AB42" s="30">
        <f t="shared" si="15"/>
        <v>0</v>
      </c>
      <c r="AC42" s="30">
        <f t="shared" si="15"/>
        <v>0</v>
      </c>
      <c r="AD42" s="30">
        <f t="shared" si="15"/>
        <v>0</v>
      </c>
      <c r="AE42" s="30">
        <f t="shared" si="15"/>
        <v>0</v>
      </c>
      <c r="AF42" s="30">
        <f t="shared" si="15"/>
        <v>1</v>
      </c>
      <c r="AG42" s="30">
        <f t="shared" si="15"/>
        <v>0</v>
      </c>
      <c r="AH42" s="30">
        <f t="shared" si="15"/>
        <v>0</v>
      </c>
      <c r="AI42" s="30">
        <f t="shared" ref="AI42:BV42" si="16">SUM(AI13:AI24)</f>
        <v>0</v>
      </c>
      <c r="AJ42" s="30">
        <f t="shared" si="16"/>
        <v>0</v>
      </c>
      <c r="AK42" s="30">
        <f t="shared" si="16"/>
        <v>0</v>
      </c>
      <c r="AL42" s="30">
        <f t="shared" si="16"/>
        <v>0</v>
      </c>
      <c r="AM42" s="30">
        <f t="shared" si="16"/>
        <v>0</v>
      </c>
      <c r="AN42" s="30">
        <f t="shared" si="16"/>
        <v>0</v>
      </c>
      <c r="AO42" s="30">
        <f t="shared" si="16"/>
        <v>0</v>
      </c>
      <c r="AP42" s="30">
        <f t="shared" si="16"/>
        <v>0</v>
      </c>
      <c r="AQ42" s="30">
        <f t="shared" si="16"/>
        <v>2</v>
      </c>
      <c r="AR42" s="30">
        <f t="shared" si="16"/>
        <v>3</v>
      </c>
      <c r="AS42" s="30">
        <f t="shared" si="16"/>
        <v>2</v>
      </c>
      <c r="AT42" s="30">
        <f t="shared" si="16"/>
        <v>0</v>
      </c>
      <c r="AU42" s="30">
        <f t="shared" si="16"/>
        <v>0</v>
      </c>
      <c r="AV42" s="30">
        <f t="shared" si="16"/>
        <v>3</v>
      </c>
      <c r="AW42" s="30">
        <f t="shared" si="16"/>
        <v>1</v>
      </c>
      <c r="AX42" s="30">
        <f t="shared" si="16"/>
        <v>1</v>
      </c>
      <c r="AY42" s="30">
        <f t="shared" si="16"/>
        <v>1</v>
      </c>
      <c r="AZ42" s="30">
        <f t="shared" si="16"/>
        <v>1</v>
      </c>
      <c r="BA42" s="30">
        <f t="shared" si="16"/>
        <v>1</v>
      </c>
      <c r="BB42" s="30">
        <f t="shared" si="16"/>
        <v>0</v>
      </c>
      <c r="BC42" s="200">
        <f t="shared" si="16"/>
        <v>2</v>
      </c>
      <c r="BD42" s="200">
        <f t="shared" si="16"/>
        <v>0</v>
      </c>
      <c r="BE42" s="200">
        <f t="shared" si="16"/>
        <v>1</v>
      </c>
      <c r="BF42" s="200">
        <f t="shared" si="16"/>
        <v>0</v>
      </c>
      <c r="BG42" s="30">
        <f t="shared" si="16"/>
        <v>0</v>
      </c>
      <c r="BH42" s="30">
        <f t="shared" si="16"/>
        <v>0</v>
      </c>
      <c r="BI42" s="30">
        <f t="shared" si="16"/>
        <v>0</v>
      </c>
      <c r="BJ42" s="30">
        <f t="shared" si="16"/>
        <v>0</v>
      </c>
      <c r="BK42" s="30">
        <f t="shared" si="16"/>
        <v>0</v>
      </c>
      <c r="BL42" s="30">
        <f t="shared" si="16"/>
        <v>0</v>
      </c>
      <c r="BM42" s="30">
        <f t="shared" si="16"/>
        <v>0</v>
      </c>
      <c r="BN42" s="30">
        <f t="shared" si="16"/>
        <v>0</v>
      </c>
      <c r="BO42" s="30">
        <f t="shared" si="16"/>
        <v>0</v>
      </c>
      <c r="BP42" s="30">
        <f t="shared" si="16"/>
        <v>0</v>
      </c>
      <c r="BQ42" s="30">
        <f t="shared" si="16"/>
        <v>0</v>
      </c>
      <c r="BR42" s="30">
        <f t="shared" si="16"/>
        <v>0</v>
      </c>
      <c r="BS42" s="30">
        <f t="shared" si="16"/>
        <v>0</v>
      </c>
      <c r="BT42" s="30">
        <f t="shared" si="16"/>
        <v>0</v>
      </c>
      <c r="BU42" s="30">
        <f t="shared" si="16"/>
        <v>0</v>
      </c>
      <c r="BV42" s="30">
        <f t="shared" si="16"/>
        <v>0</v>
      </c>
      <c r="BW42" s="270" t="s">
        <v>29</v>
      </c>
      <c r="BX42" s="270"/>
      <c r="BY42" s="62">
        <f t="shared" si="2"/>
        <v>32</v>
      </c>
      <c r="BZ42" s="43">
        <f t="shared" si="3"/>
        <v>11</v>
      </c>
      <c r="CA42" s="43">
        <f t="shared" si="4"/>
        <v>6</v>
      </c>
      <c r="CB42" s="43">
        <f t="shared" si="5"/>
        <v>4</v>
      </c>
      <c r="CC42" s="43">
        <f t="shared" si="6"/>
        <v>19</v>
      </c>
      <c r="CD42" s="60"/>
      <c r="CE42" s="61"/>
      <c r="CF42" s="61"/>
    </row>
    <row r="43" spans="1:84" ht="53.25" customHeight="1">
      <c r="A43" s="44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4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257" t="str">
        <f>IF($BY$37=MAX($BY$37:$BY$41),BW37,IF($BY$38=MAX($BY$37:$BY$41),BW38,IF($BY$39=MAX($BY$37:$BY$41),BW39,IF($BY$40=MAX($BY$37:$BY$41),BW40,IF($BY$41=MAX($BY$37:$BY$41),BW41)))))</f>
        <v>7:30 à 8:00</v>
      </c>
      <c r="BX43" s="257"/>
      <c r="BY43" s="39">
        <f>IF($BY$37=MAX($BY$37:$BY$41),BY37,IF($BY$38=MAX($BY$37:$BY$41),BY38,IF($BY$39=MAX($BY$37:$BY$41),BY39,IF($BY$40=MAX($BY$37:$BY$41),BY40,IF($BY$41=MAX($BY$37:$BY$41),BY41)))))</f>
        <v>16</v>
      </c>
      <c r="BZ43" s="39">
        <f>IF($BY$37=MAX($BY$37:$BY$41),BZ37,IF($BY$38=MAX($BY$37:$BY$41),BZ38,IF($BY$39=MAX($BY$37:$BY$41),BZ39,IF($BY$40=MAX($BY$37:$BY$41),BZ40,IF($BY$41=MAX($BY$37:$BY$41),BZ41)))))</f>
        <v>4</v>
      </c>
      <c r="CA43" s="39">
        <f>IF($BY$37=MAX($BY$37:$BY$41),CA37,IF($BY$38=MAX($BY$37:$BY$41),CA38,IF($BY$39=MAX($BY$37:$BY$41),CA39,IF($BY$40=MAX($BY$37:$BY$41),CA40,IF($BY$41=MAX($BY$37:$BY$41),CA41)))))</f>
        <v>2</v>
      </c>
      <c r="CB43" s="39">
        <f>IF($BY$37=MAX($BY$37:$BY$41),CB37,IF($BY$38=MAX($BY$37:$BY$41),CB38,IF($BY$39=MAX($BY$37:$BY$41),CB39,IF($BY$40=MAX($BY$37:$BY$41),CB40,IF($BY$41=MAX($BY$37:$BY$41),CB41)))))</f>
        <v>1</v>
      </c>
      <c r="CC43" s="39">
        <f>IF($BY$37=MAX($BY$37:$BY$41),CC37,IF($BY$38=MAX($BY$37:$BY$41),CC38,IF($BY$39=MAX($BY$37:$BY$41),CC39,IF($BY$40=MAX($BY$37:$BY$41),CC40,IF($BY$41=MAX($BY$37:$BY$41),CC41)))))</f>
        <v>12</v>
      </c>
      <c r="CD43" s="60"/>
      <c r="CE43" s="61"/>
      <c r="CF43" s="61"/>
    </row>
    <row r="44" spans="1:84" ht="20.25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6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14"/>
      <c r="BX44" s="10"/>
      <c r="BY44" s="268" t="s">
        <v>29</v>
      </c>
      <c r="BZ44" s="254" t="s">
        <v>40</v>
      </c>
      <c r="CA44" s="254" t="s">
        <v>41</v>
      </c>
      <c r="CB44" s="254" t="s">
        <v>42</v>
      </c>
      <c r="CC44" s="269"/>
      <c r="CD44" s="267" t="s">
        <v>56</v>
      </c>
      <c r="CE44" s="267"/>
      <c r="CF44" s="267"/>
    </row>
    <row r="45" spans="1:84" ht="20.25">
      <c r="A45" s="46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14"/>
      <c r="BX45" s="10"/>
      <c r="BY45" s="268"/>
      <c r="BZ45" s="254"/>
      <c r="CA45" s="254"/>
      <c r="CB45" s="254"/>
      <c r="CC45" s="269"/>
      <c r="CD45" s="267"/>
      <c r="CE45" s="267"/>
      <c r="CF45" s="267"/>
    </row>
    <row r="46" spans="1:84" ht="20.25">
      <c r="A46" s="46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58"/>
      <c r="BX46" s="10"/>
      <c r="BY46" s="268"/>
      <c r="BZ46" s="254"/>
      <c r="CA46" s="254"/>
      <c r="CB46" s="254"/>
      <c r="CC46" s="269"/>
      <c r="CD46" s="267"/>
      <c r="CE46" s="267"/>
      <c r="CF46" s="267"/>
    </row>
    <row r="47" spans="1:84" ht="21.75">
      <c r="A47" s="46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257" t="s">
        <v>34</v>
      </c>
      <c r="BX47" s="257"/>
      <c r="BY47" s="268"/>
      <c r="BZ47" s="254"/>
      <c r="CA47" s="254"/>
      <c r="CB47" s="254"/>
      <c r="CC47" s="269"/>
      <c r="CD47" s="267"/>
      <c r="CE47" s="267"/>
      <c r="CF47" s="267"/>
    </row>
    <row r="48" spans="1:84" ht="45" customHeight="1">
      <c r="A48" s="46"/>
      <c r="B48" s="47"/>
      <c r="C48" s="47"/>
      <c r="D48" s="47"/>
      <c r="E48" s="47"/>
      <c r="F48" s="47"/>
      <c r="G48" s="47">
        <f>SUM(G42:J42,AQ42:BB42)</f>
        <v>21</v>
      </c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257" t="str">
        <f>BW37</f>
        <v>6:30 à 7:00</v>
      </c>
      <c r="BX48" s="257"/>
      <c r="BY48" s="63"/>
      <c r="BZ48" s="48">
        <f>IF(BZ37=0,0,BZ37/BY37)</f>
        <v>0.33333333333333331</v>
      </c>
      <c r="CA48" s="48">
        <f>IF(CA37=0,0,CA37/BY37)</f>
        <v>0.33333333333333331</v>
      </c>
      <c r="CB48" s="48">
        <f>IF(CB37=0,0,CB37/BZ37)</f>
        <v>0.5</v>
      </c>
      <c r="CC48" s="48">
        <f>IF(CC37=0,0,CC37/BY37)</f>
        <v>0.33333333333333331</v>
      </c>
      <c r="CD48" s="60"/>
      <c r="CE48" s="61"/>
      <c r="CF48" s="61"/>
    </row>
    <row r="49" spans="1:84" ht="45" customHeight="1">
      <c r="A49" s="46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257" t="str">
        <f>BW38</f>
        <v>7:00 à 7:30</v>
      </c>
      <c r="BX49" s="257"/>
      <c r="BY49" s="63"/>
      <c r="BZ49" s="48">
        <f>IF(BZ39=0,0,BZ39/BY39)</f>
        <v>0.25</v>
      </c>
      <c r="CA49" s="48">
        <f>IF(CA39=0,0,CA39/BY39)</f>
        <v>0.125</v>
      </c>
      <c r="CB49" s="48">
        <f>IF(CB39=0,0,CB39/BZ39)</f>
        <v>0.25</v>
      </c>
      <c r="CC49" s="48">
        <f>IF(CC39=0,0,CC39/BY39)</f>
        <v>0.75</v>
      </c>
      <c r="CD49" s="60"/>
      <c r="CE49" s="61"/>
      <c r="CF49" s="61"/>
    </row>
    <row r="50" spans="1:84" ht="45" customHeight="1">
      <c r="A50" s="46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257" t="str">
        <f>BW39</f>
        <v>7:30 à 8:00</v>
      </c>
      <c r="BX50" s="257"/>
      <c r="BY50" s="63"/>
      <c r="BZ50" s="48">
        <f>IF(BZ39=0,0,BZ39/BY39)</f>
        <v>0.25</v>
      </c>
      <c r="CA50" s="48">
        <f t="shared" ref="CA50:CB53" si="17">IF(CA39=0,0,CA39/BY39)</f>
        <v>0.125</v>
      </c>
      <c r="CB50" s="48">
        <f t="shared" si="17"/>
        <v>0.25</v>
      </c>
      <c r="CC50" s="48">
        <f>IF(CC39=0,0,CC39/BY39)</f>
        <v>0.75</v>
      </c>
      <c r="CD50" s="60"/>
      <c r="CE50" s="61"/>
      <c r="CF50" s="61"/>
    </row>
    <row r="51" spans="1:84" ht="45" customHeight="1">
      <c r="A51" s="46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257" t="str">
        <f>BW40</f>
        <v>8:00 à 8:30</v>
      </c>
      <c r="BX51" s="257"/>
      <c r="BY51" s="63"/>
      <c r="BZ51" s="48">
        <f>IF(BZ40=0,0,BZ40/BY40)</f>
        <v>0.75</v>
      </c>
      <c r="CA51" s="48">
        <f t="shared" si="17"/>
        <v>0.25</v>
      </c>
      <c r="CB51" s="48">
        <f t="shared" si="17"/>
        <v>0.33333333333333331</v>
      </c>
      <c r="CC51" s="48">
        <f>IF(CC40=0,0,CC40/BY40)</f>
        <v>0.5</v>
      </c>
      <c r="CD51" s="60"/>
      <c r="CE51" s="61"/>
      <c r="CF51" s="61"/>
    </row>
    <row r="52" spans="1:84" ht="45" customHeight="1">
      <c r="F52" s="47"/>
      <c r="O52" s="47"/>
      <c r="P52" s="47"/>
      <c r="Q52" s="47"/>
      <c r="R52" s="47"/>
      <c r="S52" s="47"/>
      <c r="T52" s="47"/>
      <c r="U52" s="47"/>
      <c r="AE52" s="47"/>
      <c r="AF52" s="47"/>
      <c r="AG52" s="47"/>
      <c r="AT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W52" s="257" t="str">
        <f>BW41</f>
        <v>8:30 à 9:00</v>
      </c>
      <c r="BX52" s="257"/>
      <c r="BY52" s="63"/>
      <c r="BZ52" s="48">
        <f>IF(BZ41=0,0,BZ41/BY41)</f>
        <v>0.25</v>
      </c>
      <c r="CA52" s="48">
        <f t="shared" si="17"/>
        <v>0.25</v>
      </c>
      <c r="CB52" s="48">
        <f t="shared" si="17"/>
        <v>1</v>
      </c>
      <c r="CC52" s="48">
        <f>IF(CC41=0,0,CC41/BY41)</f>
        <v>0.25</v>
      </c>
      <c r="CD52" s="60"/>
      <c r="CE52" s="61"/>
      <c r="CF52" s="61"/>
    </row>
    <row r="53" spans="1:84" ht="45" customHeight="1">
      <c r="F53" s="47"/>
      <c r="O53" s="47"/>
      <c r="P53" s="47"/>
      <c r="Q53" s="47"/>
      <c r="R53" s="47"/>
      <c r="S53" s="47"/>
      <c r="T53" s="47"/>
      <c r="U53" s="47"/>
      <c r="AE53" s="47"/>
      <c r="AF53" s="47"/>
      <c r="AG53" s="47"/>
      <c r="AT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W53" s="257" t="s">
        <v>29</v>
      </c>
      <c r="BX53" s="257"/>
      <c r="BY53" s="64"/>
      <c r="BZ53" s="49">
        <f>IF(BZ42=0,0,BZ42/BY42)</f>
        <v>0.34375</v>
      </c>
      <c r="CA53" s="49">
        <f t="shared" si="17"/>
        <v>0.1875</v>
      </c>
      <c r="CB53" s="49">
        <f t="shared" si="17"/>
        <v>0.36363636363636365</v>
      </c>
      <c r="CC53" s="49">
        <f>IF(CC42=0,0,CC42/BY42)</f>
        <v>0.59375</v>
      </c>
      <c r="CD53" s="60"/>
      <c r="CE53" s="61"/>
      <c r="CF53" s="61"/>
    </row>
    <row r="54" spans="1:84" ht="45" customHeight="1">
      <c r="BU54" s="50" t="s">
        <v>43</v>
      </c>
      <c r="BW54" s="257" t="str">
        <f>BW43</f>
        <v>7:30 à 8:00</v>
      </c>
      <c r="BX54" s="257"/>
      <c r="BY54" s="39"/>
      <c r="BZ54" s="51">
        <f>BZ43/$BY$43</f>
        <v>0.25</v>
      </c>
      <c r="CA54" s="51">
        <f>CA43/$BY$43</f>
        <v>0.125</v>
      </c>
      <c r="CB54" s="51">
        <f>CB43/$BY$43</f>
        <v>6.25E-2</v>
      </c>
      <c r="CC54" s="51">
        <f>CC43/$BY$43</f>
        <v>0.75</v>
      </c>
      <c r="CD54" s="60"/>
      <c r="CE54" s="61"/>
      <c r="CF54" s="61"/>
    </row>
  </sheetData>
  <mergeCells count="153">
    <mergeCell ref="C9:R9"/>
    <mergeCell ref="S9:AD9"/>
    <mergeCell ref="AE9:AP9"/>
    <mergeCell ref="AQ9:BB9"/>
    <mergeCell ref="BG9:BV9"/>
    <mergeCell ref="C10:F10"/>
    <mergeCell ref="G10:J10"/>
    <mergeCell ref="K10:N10"/>
    <mergeCell ref="O10:R10"/>
    <mergeCell ref="S10:V10"/>
    <mergeCell ref="AU10:AX10"/>
    <mergeCell ref="AY10:BB10"/>
    <mergeCell ref="BG10:BJ10"/>
    <mergeCell ref="BK10:BN10"/>
    <mergeCell ref="BO10:BR10"/>
    <mergeCell ref="BS10:BV10"/>
    <mergeCell ref="W10:Z10"/>
    <mergeCell ref="AA10:AD10"/>
    <mergeCell ref="AE10:AH10"/>
    <mergeCell ref="AI10:AL10"/>
    <mergeCell ref="AM10:AP10"/>
    <mergeCell ref="AQ10:AT10"/>
    <mergeCell ref="BC10:BF10"/>
    <mergeCell ref="Q11:R11"/>
    <mergeCell ref="S11:T11"/>
    <mergeCell ref="U11:V11"/>
    <mergeCell ref="W11:X11"/>
    <mergeCell ref="Y11:Z11"/>
    <mergeCell ref="C11:D11"/>
    <mergeCell ref="E11:F11"/>
    <mergeCell ref="G11:H11"/>
    <mergeCell ref="I11:J11"/>
    <mergeCell ref="K11:L11"/>
    <mergeCell ref="M11:N11"/>
    <mergeCell ref="C33:R33"/>
    <mergeCell ref="S33:AD33"/>
    <mergeCell ref="AE33:AP33"/>
    <mergeCell ref="AQ33:BB33"/>
    <mergeCell ref="BG33:BV33"/>
    <mergeCell ref="AY11:AZ11"/>
    <mergeCell ref="BA11:BB11"/>
    <mergeCell ref="BG11:BH11"/>
    <mergeCell ref="BI11:BJ11"/>
    <mergeCell ref="BK11:BL11"/>
    <mergeCell ref="BM11:BN11"/>
    <mergeCell ref="AM11:AN11"/>
    <mergeCell ref="AO11:AP11"/>
    <mergeCell ref="AQ11:AR11"/>
    <mergeCell ref="AS11:AT11"/>
    <mergeCell ref="AU11:AV11"/>
    <mergeCell ref="AW11:AX11"/>
    <mergeCell ref="AA11:AB11"/>
    <mergeCell ref="AC11:AD11"/>
    <mergeCell ref="AE11:AF11"/>
    <mergeCell ref="AG11:AH11"/>
    <mergeCell ref="AI11:AJ11"/>
    <mergeCell ref="AK11:AL11"/>
    <mergeCell ref="O11:P11"/>
    <mergeCell ref="CA33:CA36"/>
    <mergeCell ref="CB33:CB36"/>
    <mergeCell ref="CC33:CC36"/>
    <mergeCell ref="CD33:CF36"/>
    <mergeCell ref="BO11:BP11"/>
    <mergeCell ref="BQ11:BR11"/>
    <mergeCell ref="BS11:BT11"/>
    <mergeCell ref="BU11:BV11"/>
    <mergeCell ref="BW36:BX36"/>
    <mergeCell ref="BU35:BV35"/>
    <mergeCell ref="BY33:BY36"/>
    <mergeCell ref="BZ33:BZ36"/>
    <mergeCell ref="AY34:BB34"/>
    <mergeCell ref="BG34:BJ34"/>
    <mergeCell ref="BK34:BN34"/>
    <mergeCell ref="BO34:BR34"/>
    <mergeCell ref="BS34:BV34"/>
    <mergeCell ref="C35:D35"/>
    <mergeCell ref="E35:F35"/>
    <mergeCell ref="G35:H35"/>
    <mergeCell ref="I35:J35"/>
    <mergeCell ref="K35:L35"/>
    <mergeCell ref="AA34:AD34"/>
    <mergeCell ref="AE34:AH34"/>
    <mergeCell ref="AI34:AL34"/>
    <mergeCell ref="AM34:AP34"/>
    <mergeCell ref="AQ34:AT34"/>
    <mergeCell ref="AU34:AX34"/>
    <mergeCell ref="C34:F34"/>
    <mergeCell ref="G34:J34"/>
    <mergeCell ref="K34:N34"/>
    <mergeCell ref="O34:R34"/>
    <mergeCell ref="S34:V34"/>
    <mergeCell ref="W34:Z34"/>
    <mergeCell ref="AU35:AV35"/>
    <mergeCell ref="Y35:Z35"/>
    <mergeCell ref="A40:B40"/>
    <mergeCell ref="BW40:BX40"/>
    <mergeCell ref="A41:B41"/>
    <mergeCell ref="BW41:BX41"/>
    <mergeCell ref="A42:B42"/>
    <mergeCell ref="BW42:BX42"/>
    <mergeCell ref="A37:B37"/>
    <mergeCell ref="BW37:BX37"/>
    <mergeCell ref="A38:B38"/>
    <mergeCell ref="BW38:BX38"/>
    <mergeCell ref="A39:B39"/>
    <mergeCell ref="BW39:BX39"/>
    <mergeCell ref="A36:B36"/>
    <mergeCell ref="AW35:AX35"/>
    <mergeCell ref="AY35:AZ35"/>
    <mergeCell ref="BA35:BB35"/>
    <mergeCell ref="BG35:BH35"/>
    <mergeCell ref="BI35:BJ35"/>
    <mergeCell ref="BK35:BL35"/>
    <mergeCell ref="AK35:AL35"/>
    <mergeCell ref="AM35:AN35"/>
    <mergeCell ref="AO35:AP35"/>
    <mergeCell ref="AQ35:AR35"/>
    <mergeCell ref="AS35:AT35"/>
    <mergeCell ref="AA35:AB35"/>
    <mergeCell ref="AC35:AD35"/>
    <mergeCell ref="AE35:AF35"/>
    <mergeCell ref="AG35:AH35"/>
    <mergeCell ref="AI35:AJ35"/>
    <mergeCell ref="M35:N35"/>
    <mergeCell ref="O35:P35"/>
    <mergeCell ref="Q35:R35"/>
    <mergeCell ref="S35:T35"/>
    <mergeCell ref="U35:V35"/>
    <mergeCell ref="W35:X35"/>
    <mergeCell ref="BC34:BF34"/>
    <mergeCell ref="BC35:BD35"/>
    <mergeCell ref="BE35:BF35"/>
    <mergeCell ref="BC11:BD11"/>
    <mergeCell ref="BE11:BF11"/>
    <mergeCell ref="BW52:BX52"/>
    <mergeCell ref="BW53:BX53"/>
    <mergeCell ref="BW54:BX54"/>
    <mergeCell ref="CD44:CF47"/>
    <mergeCell ref="BW47:BX47"/>
    <mergeCell ref="BW48:BX48"/>
    <mergeCell ref="BW49:BX49"/>
    <mergeCell ref="BW50:BX50"/>
    <mergeCell ref="BW51:BX51"/>
    <mergeCell ref="BW43:BX43"/>
    <mergeCell ref="BY44:BY47"/>
    <mergeCell ref="BZ44:BZ47"/>
    <mergeCell ref="CA44:CA47"/>
    <mergeCell ref="CB44:CB47"/>
    <mergeCell ref="CC44:CC47"/>
    <mergeCell ref="BM35:BN35"/>
    <mergeCell ref="BO35:BP35"/>
    <mergeCell ref="BQ35:BR35"/>
    <mergeCell ref="BS35:BT35"/>
  </mergeCells>
  <pageMargins left="0.19645669291338586" right="0.19645669291338586" top="0.59015748031496063" bottom="0.59015748031496063" header="0.19645669291338586" footer="0.19645669291338586"/>
  <pageSetup paperSize="9" scale="48" pageOrder="overThenDown" orientation="landscape" useFirstPageNumber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55"/>
  <sheetViews>
    <sheetView topLeftCell="A19" zoomScale="50" zoomScaleNormal="50" workbookViewId="0">
      <selection activeCell="F24" sqref="F24"/>
    </sheetView>
  </sheetViews>
  <sheetFormatPr baseColWidth="10" defaultRowHeight="14.25"/>
  <cols>
    <col min="1" max="1" width="4.625" style="6" customWidth="1"/>
    <col min="2" max="2" width="12.5" style="6" customWidth="1"/>
    <col min="3" max="50" width="5.625" style="6" customWidth="1"/>
    <col min="51" max="51" width="8.75" style="6" customWidth="1"/>
    <col min="52" max="52" width="14.125" style="6" customWidth="1"/>
    <col min="53" max="57" width="21" style="6" customWidth="1"/>
    <col min="58" max="60" width="36.125" style="6" customWidth="1"/>
    <col min="61" max="61" width="10.75" style="6" customWidth="1"/>
    <col min="62" max="1023" width="11.125" style="6" customWidth="1"/>
    <col min="1024" max="1024" width="11" style="6" customWidth="1"/>
  </cols>
  <sheetData>
    <row r="1" spans="1:60" s="9" customFormat="1" ht="52.5" customHeight="1">
      <c r="A1" s="1"/>
      <c r="B1" s="2" t="s">
        <v>163</v>
      </c>
      <c r="C1" s="3"/>
      <c r="D1" s="3"/>
      <c r="E1" s="3"/>
      <c r="F1" s="4"/>
      <c r="G1" s="3"/>
      <c r="H1" s="3"/>
      <c r="I1" s="3"/>
      <c r="J1" s="3"/>
      <c r="K1" s="4"/>
      <c r="L1" s="4"/>
      <c r="M1" s="4"/>
      <c r="N1" s="4"/>
      <c r="O1" s="5" t="s">
        <v>2</v>
      </c>
      <c r="P1" s="6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spans="1:60" s="9" customFormat="1" ht="52.5" customHeight="1">
      <c r="A2" s="1" t="s">
        <v>3</v>
      </c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</row>
    <row r="3" spans="1:60" s="9" customFormat="1" ht="52.5" customHeight="1">
      <c r="A3" s="1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</row>
    <row r="4" spans="1:60" s="9" customFormat="1" ht="52.5" customHeight="1">
      <c r="A4" s="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 spans="1:60" s="9" customFormat="1" ht="25.5" customHeight="1">
      <c r="A5" s="66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4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</row>
    <row r="6" spans="1:60" s="9" customFormat="1" ht="25.5" customHeight="1">
      <c r="A6" s="167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4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4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</row>
    <row r="7" spans="1:60" s="9" customFormat="1" ht="25.5" customHeight="1">
      <c r="A7" s="167" t="s">
        <v>155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4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</row>
    <row r="8" spans="1:60" s="9" customFormat="1" ht="25.5" customHeight="1">
      <c r="A8" s="167" t="s">
        <v>156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4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</row>
    <row r="9" spans="1:60" s="9" customFormat="1" ht="25.5" customHeight="1">
      <c r="A9" s="6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4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4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</row>
    <row r="10" spans="1:60" s="9" customFormat="1" ht="32.25" customHeight="1">
      <c r="A10" s="1"/>
      <c r="B10" s="3"/>
      <c r="C10" s="264" t="s">
        <v>59</v>
      </c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 t="s">
        <v>60</v>
      </c>
      <c r="P10" s="264"/>
      <c r="Q10" s="264"/>
      <c r="R10" s="264"/>
      <c r="S10" s="264"/>
      <c r="T10" s="264"/>
      <c r="U10" s="264"/>
      <c r="V10" s="264"/>
      <c r="W10" s="264"/>
      <c r="X10" s="264"/>
      <c r="Y10" s="264"/>
      <c r="Z10" s="264"/>
      <c r="AA10" s="264" t="s">
        <v>162</v>
      </c>
      <c r="AB10" s="264"/>
      <c r="AC10" s="264"/>
      <c r="AD10" s="264"/>
      <c r="AE10" s="264"/>
      <c r="AF10" s="264"/>
      <c r="AG10" s="264"/>
      <c r="AH10" s="264"/>
      <c r="AI10" s="264"/>
      <c r="AJ10" s="264"/>
      <c r="AK10" s="264"/>
      <c r="AL10" s="264"/>
      <c r="AM10" s="264" t="s">
        <v>61</v>
      </c>
      <c r="AN10" s="264"/>
      <c r="AO10" s="264"/>
      <c r="AP10" s="264"/>
      <c r="AQ10" s="264"/>
      <c r="AR10" s="264"/>
      <c r="AS10" s="264"/>
      <c r="AT10" s="264"/>
      <c r="AU10" s="264"/>
      <c r="AV10" s="264"/>
      <c r="AW10" s="264"/>
      <c r="AX10" s="264"/>
      <c r="AY10" s="15"/>
      <c r="AZ10" s="15"/>
      <c r="BA10" s="15"/>
      <c r="BB10" s="15"/>
      <c r="BC10" s="15"/>
      <c r="BD10" s="15"/>
      <c r="BE10" s="15"/>
      <c r="BF10" s="15"/>
      <c r="BG10" s="15"/>
      <c r="BH10" s="15"/>
    </row>
    <row r="11" spans="1:60" s="9" customFormat="1" ht="51.2" customHeight="1">
      <c r="A11" s="1"/>
      <c r="B11" s="3"/>
      <c r="C11" s="259" t="s">
        <v>62</v>
      </c>
      <c r="D11" s="259"/>
      <c r="E11" s="259"/>
      <c r="F11" s="259"/>
      <c r="G11" s="259" t="s">
        <v>161</v>
      </c>
      <c r="H11" s="259"/>
      <c r="I11" s="259"/>
      <c r="J11" s="259"/>
      <c r="K11" s="259" t="s">
        <v>63</v>
      </c>
      <c r="L11" s="259"/>
      <c r="M11" s="259"/>
      <c r="N11" s="259"/>
      <c r="O11" s="259" t="s">
        <v>161</v>
      </c>
      <c r="P11" s="259"/>
      <c r="Q11" s="259"/>
      <c r="R11" s="259"/>
      <c r="S11" s="259" t="s">
        <v>63</v>
      </c>
      <c r="T11" s="259"/>
      <c r="U11" s="259"/>
      <c r="V11" s="259"/>
      <c r="W11" s="259" t="s">
        <v>64</v>
      </c>
      <c r="X11" s="259"/>
      <c r="Y11" s="259"/>
      <c r="Z11" s="259"/>
      <c r="AA11" s="259" t="s">
        <v>63</v>
      </c>
      <c r="AB11" s="259"/>
      <c r="AC11" s="259"/>
      <c r="AD11" s="259"/>
      <c r="AE11" s="259" t="s">
        <v>64</v>
      </c>
      <c r="AF11" s="259"/>
      <c r="AG11" s="259"/>
      <c r="AH11" s="259"/>
      <c r="AI11" s="259" t="s">
        <v>62</v>
      </c>
      <c r="AJ11" s="259"/>
      <c r="AK11" s="259"/>
      <c r="AL11" s="259"/>
      <c r="AM11" s="259" t="s">
        <v>64</v>
      </c>
      <c r="AN11" s="259"/>
      <c r="AO11" s="259"/>
      <c r="AP11" s="259"/>
      <c r="AQ11" s="259" t="s">
        <v>62</v>
      </c>
      <c r="AR11" s="259"/>
      <c r="AS11" s="259"/>
      <c r="AT11" s="259"/>
      <c r="AU11" s="259" t="s">
        <v>161</v>
      </c>
      <c r="AV11" s="259"/>
      <c r="AW11" s="259"/>
      <c r="AX11" s="259"/>
      <c r="AY11" s="17"/>
      <c r="AZ11" s="17"/>
      <c r="BA11" s="17"/>
      <c r="BB11" s="17"/>
      <c r="BC11" s="17"/>
      <c r="BD11" s="17"/>
      <c r="BE11" s="17"/>
      <c r="BF11" s="17"/>
      <c r="BG11" s="17"/>
      <c r="BH11" s="17"/>
    </row>
    <row r="12" spans="1:60" s="9" customFormat="1" ht="18.600000000000001" customHeight="1">
      <c r="A12" s="1"/>
      <c r="B12" s="3"/>
      <c r="C12" s="258" t="s">
        <v>14</v>
      </c>
      <c r="D12" s="258"/>
      <c r="E12" s="258" t="s">
        <v>15</v>
      </c>
      <c r="F12" s="258"/>
      <c r="G12" s="258" t="s">
        <v>14</v>
      </c>
      <c r="H12" s="258"/>
      <c r="I12" s="258" t="s">
        <v>15</v>
      </c>
      <c r="J12" s="258"/>
      <c r="K12" s="258" t="s">
        <v>14</v>
      </c>
      <c r="L12" s="258"/>
      <c r="M12" s="258" t="s">
        <v>15</v>
      </c>
      <c r="N12" s="258"/>
      <c r="O12" s="258" t="s">
        <v>14</v>
      </c>
      <c r="P12" s="258"/>
      <c r="Q12" s="258" t="s">
        <v>15</v>
      </c>
      <c r="R12" s="258"/>
      <c r="S12" s="258" t="s">
        <v>14</v>
      </c>
      <c r="T12" s="258"/>
      <c r="U12" s="258" t="s">
        <v>15</v>
      </c>
      <c r="V12" s="258"/>
      <c r="W12" s="258" t="s">
        <v>14</v>
      </c>
      <c r="X12" s="258"/>
      <c r="Y12" s="258" t="s">
        <v>15</v>
      </c>
      <c r="Z12" s="258"/>
      <c r="AA12" s="258" t="s">
        <v>14</v>
      </c>
      <c r="AB12" s="258"/>
      <c r="AC12" s="258" t="s">
        <v>15</v>
      </c>
      <c r="AD12" s="258"/>
      <c r="AE12" s="258" t="s">
        <v>14</v>
      </c>
      <c r="AF12" s="258"/>
      <c r="AG12" s="258" t="s">
        <v>15</v>
      </c>
      <c r="AH12" s="258"/>
      <c r="AI12" s="258" t="s">
        <v>14</v>
      </c>
      <c r="AJ12" s="258"/>
      <c r="AK12" s="258" t="s">
        <v>15</v>
      </c>
      <c r="AL12" s="258"/>
      <c r="AM12" s="258" t="s">
        <v>14</v>
      </c>
      <c r="AN12" s="258"/>
      <c r="AO12" s="258" t="s">
        <v>15</v>
      </c>
      <c r="AP12" s="258"/>
      <c r="AQ12" s="258" t="s">
        <v>14</v>
      </c>
      <c r="AR12" s="258"/>
      <c r="AS12" s="258" t="s">
        <v>15</v>
      </c>
      <c r="AT12" s="258"/>
      <c r="AU12" s="258" t="s">
        <v>14</v>
      </c>
      <c r="AV12" s="258"/>
      <c r="AW12" s="258" t="s">
        <v>15</v>
      </c>
      <c r="AX12" s="258"/>
      <c r="AY12" s="19"/>
      <c r="AZ12" s="19"/>
      <c r="BA12" s="19"/>
      <c r="BB12" s="19"/>
      <c r="BC12" s="19"/>
      <c r="BD12" s="19"/>
      <c r="BE12" s="19"/>
      <c r="BF12" s="19"/>
      <c r="BG12" s="19"/>
      <c r="BH12" s="19"/>
    </row>
    <row r="13" spans="1:60" s="9" customFormat="1" ht="20.25">
      <c r="A13" s="21" t="s">
        <v>14</v>
      </c>
      <c r="B13" s="21" t="s">
        <v>17</v>
      </c>
      <c r="C13" s="22" t="s">
        <v>18</v>
      </c>
      <c r="D13" s="22" t="s">
        <v>19</v>
      </c>
      <c r="E13" s="22" t="s">
        <v>18</v>
      </c>
      <c r="F13" s="22" t="s">
        <v>19</v>
      </c>
      <c r="G13" s="22" t="s">
        <v>18</v>
      </c>
      <c r="H13" s="22" t="s">
        <v>19</v>
      </c>
      <c r="I13" s="22" t="s">
        <v>18</v>
      </c>
      <c r="J13" s="22" t="s">
        <v>19</v>
      </c>
      <c r="K13" s="22" t="s">
        <v>18</v>
      </c>
      <c r="L13" s="22" t="s">
        <v>19</v>
      </c>
      <c r="M13" s="22" t="s">
        <v>18</v>
      </c>
      <c r="N13" s="22" t="s">
        <v>19</v>
      </c>
      <c r="O13" s="22" t="s">
        <v>18</v>
      </c>
      <c r="P13" s="22" t="s">
        <v>19</v>
      </c>
      <c r="Q13" s="22" t="s">
        <v>18</v>
      </c>
      <c r="R13" s="22" t="s">
        <v>19</v>
      </c>
      <c r="S13" s="22" t="s">
        <v>18</v>
      </c>
      <c r="T13" s="22" t="s">
        <v>19</v>
      </c>
      <c r="U13" s="22" t="s">
        <v>18</v>
      </c>
      <c r="V13" s="22" t="s">
        <v>19</v>
      </c>
      <c r="W13" s="22" t="s">
        <v>18</v>
      </c>
      <c r="X13" s="22" t="s">
        <v>19</v>
      </c>
      <c r="Y13" s="22" t="s">
        <v>18</v>
      </c>
      <c r="Z13" s="22" t="s">
        <v>19</v>
      </c>
      <c r="AA13" s="22" t="s">
        <v>18</v>
      </c>
      <c r="AB13" s="22" t="s">
        <v>19</v>
      </c>
      <c r="AC13" s="22" t="s">
        <v>18</v>
      </c>
      <c r="AD13" s="22" t="s">
        <v>19</v>
      </c>
      <c r="AE13" s="22" t="s">
        <v>18</v>
      </c>
      <c r="AF13" s="22" t="s">
        <v>19</v>
      </c>
      <c r="AG13" s="22" t="s">
        <v>18</v>
      </c>
      <c r="AH13" s="22" t="s">
        <v>19</v>
      </c>
      <c r="AI13" s="22" t="s">
        <v>18</v>
      </c>
      <c r="AJ13" s="22" t="s">
        <v>19</v>
      </c>
      <c r="AK13" s="22" t="s">
        <v>18</v>
      </c>
      <c r="AL13" s="22" t="s">
        <v>19</v>
      </c>
      <c r="AM13" s="22" t="s">
        <v>18</v>
      </c>
      <c r="AN13" s="22" t="s">
        <v>19</v>
      </c>
      <c r="AO13" s="22" t="s">
        <v>18</v>
      </c>
      <c r="AP13" s="22" t="s">
        <v>19</v>
      </c>
      <c r="AQ13" s="22" t="s">
        <v>18</v>
      </c>
      <c r="AR13" s="22" t="s">
        <v>19</v>
      </c>
      <c r="AS13" s="22" t="s">
        <v>18</v>
      </c>
      <c r="AT13" s="22" t="s">
        <v>19</v>
      </c>
      <c r="AU13" s="22" t="s">
        <v>18</v>
      </c>
      <c r="AV13" s="22" t="s">
        <v>19</v>
      </c>
      <c r="AW13" s="22" t="s">
        <v>18</v>
      </c>
      <c r="AX13" s="22" t="s">
        <v>19</v>
      </c>
      <c r="AY13" s="23"/>
      <c r="AZ13" s="23"/>
      <c r="BA13" s="23"/>
      <c r="BB13" s="23"/>
      <c r="BC13" s="23"/>
      <c r="BD13" s="23"/>
      <c r="BE13" s="23"/>
      <c r="BF13" s="23"/>
      <c r="BG13" s="23"/>
      <c r="BH13" s="23"/>
    </row>
    <row r="14" spans="1:60" ht="54.95" customHeight="1">
      <c r="A14" s="25">
        <v>6</v>
      </c>
      <c r="B14" s="21" t="s">
        <v>20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8"/>
      <c r="AZ14" s="28"/>
      <c r="BA14" s="28"/>
      <c r="BB14" s="28"/>
      <c r="BC14" s="28"/>
      <c r="BD14" s="28"/>
      <c r="BE14" s="28"/>
      <c r="BF14" s="28"/>
      <c r="BG14" s="28"/>
      <c r="BH14" s="28"/>
    </row>
    <row r="15" spans="1:60" ht="54.95" customHeight="1">
      <c r="A15" s="21"/>
      <c r="B15" s="21" t="s">
        <v>21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>
        <v>2</v>
      </c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8"/>
      <c r="AZ15" s="28"/>
      <c r="BA15" s="28"/>
      <c r="BB15" s="28"/>
      <c r="BC15" s="28"/>
      <c r="BD15" s="28"/>
      <c r="BE15" s="28"/>
      <c r="BF15" s="28"/>
      <c r="BG15" s="28"/>
      <c r="BH15" s="28"/>
    </row>
    <row r="16" spans="1:60" ht="54.95" customHeight="1">
      <c r="A16" s="25">
        <v>7</v>
      </c>
      <c r="B16" s="21" t="s">
        <v>22</v>
      </c>
      <c r="C16" s="26"/>
      <c r="D16" s="26"/>
      <c r="E16" s="26"/>
      <c r="F16" s="26"/>
      <c r="G16" s="26"/>
      <c r="H16" s="26"/>
      <c r="I16" s="26"/>
      <c r="J16" s="26"/>
      <c r="K16" s="26">
        <v>1</v>
      </c>
      <c r="L16" s="26">
        <v>2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8"/>
      <c r="AZ16" s="28"/>
      <c r="BA16" s="28"/>
      <c r="BB16" s="28"/>
      <c r="BC16" s="28"/>
      <c r="BD16" s="28"/>
      <c r="BE16" s="28"/>
      <c r="BF16" s="28"/>
      <c r="BG16" s="28"/>
      <c r="BH16" s="28"/>
    </row>
    <row r="17" spans="1:72" ht="54.95" customHeight="1">
      <c r="A17" s="21"/>
      <c r="B17" s="21" t="s">
        <v>23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8"/>
      <c r="AZ17" s="28"/>
      <c r="BA17" s="28"/>
      <c r="BB17" s="28"/>
      <c r="BC17" s="28"/>
      <c r="BD17" s="28"/>
      <c r="BE17" s="28"/>
      <c r="BF17" s="28"/>
      <c r="BG17" s="28"/>
      <c r="BH17" s="28"/>
    </row>
    <row r="18" spans="1:72" ht="54.95" customHeight="1">
      <c r="A18" s="21"/>
      <c r="B18" s="21" t="s">
        <v>20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8"/>
      <c r="AZ18" s="28"/>
      <c r="BA18" s="28"/>
      <c r="BB18" s="28"/>
      <c r="BC18" s="28"/>
      <c r="BD18" s="28"/>
      <c r="BE18" s="28"/>
      <c r="BF18" s="28"/>
      <c r="BG18" s="28"/>
      <c r="BH18" s="28"/>
    </row>
    <row r="19" spans="1:72" ht="54.95" customHeight="1">
      <c r="A19" s="21"/>
      <c r="B19" s="21" t="s">
        <v>24</v>
      </c>
      <c r="C19" s="26"/>
      <c r="D19" s="26">
        <v>3</v>
      </c>
      <c r="E19" s="26"/>
      <c r="F19" s="26"/>
      <c r="G19" s="26"/>
      <c r="H19" s="26"/>
      <c r="I19" s="26"/>
      <c r="J19" s="26"/>
      <c r="K19" s="26"/>
      <c r="L19" s="26">
        <v>3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8"/>
      <c r="AZ19" s="28"/>
      <c r="BA19" s="28"/>
      <c r="BB19" s="28"/>
      <c r="BC19" s="28"/>
      <c r="BD19" s="28"/>
      <c r="BE19" s="28"/>
      <c r="BF19" s="28"/>
      <c r="BG19" s="28"/>
      <c r="BH19" s="28"/>
    </row>
    <row r="20" spans="1:72" ht="54.95" customHeight="1">
      <c r="A20" s="25">
        <v>8</v>
      </c>
      <c r="B20" s="21" t="s">
        <v>22</v>
      </c>
      <c r="C20" s="26"/>
      <c r="D20" s="26"/>
      <c r="E20" s="26"/>
      <c r="F20" s="26"/>
      <c r="G20" s="26"/>
      <c r="H20" s="26"/>
      <c r="I20" s="26"/>
      <c r="J20" s="26"/>
      <c r="K20" s="26">
        <v>1</v>
      </c>
      <c r="L20" s="26">
        <v>1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>
        <v>1</v>
      </c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8"/>
      <c r="AZ20" s="28"/>
      <c r="BA20" s="28"/>
      <c r="BB20" s="28"/>
      <c r="BC20" s="28"/>
      <c r="BD20" s="28"/>
      <c r="BE20" s="28"/>
      <c r="BF20" s="28"/>
      <c r="BG20" s="28"/>
      <c r="BH20" s="28"/>
    </row>
    <row r="21" spans="1:72" ht="54.95" customHeight="1">
      <c r="A21" s="21"/>
      <c r="B21" s="21" t="s">
        <v>23</v>
      </c>
      <c r="C21" s="26"/>
      <c r="D21" s="26"/>
      <c r="E21" s="26"/>
      <c r="F21" s="26"/>
      <c r="G21" s="26"/>
      <c r="H21" s="26"/>
      <c r="I21" s="26"/>
      <c r="J21" s="26"/>
      <c r="K21" s="26"/>
      <c r="L21" s="26">
        <v>2</v>
      </c>
      <c r="M21" s="26"/>
      <c r="N21" s="26">
        <v>1</v>
      </c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>
        <v>1</v>
      </c>
      <c r="AJ21" s="26"/>
      <c r="AK21" s="26"/>
      <c r="AL21" s="26">
        <v>1</v>
      </c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8"/>
      <c r="AZ21" s="28"/>
      <c r="BA21" s="28"/>
      <c r="BB21" s="28"/>
      <c r="BC21" s="28"/>
      <c r="BD21" s="28"/>
      <c r="BE21" s="28"/>
      <c r="BF21" s="28"/>
      <c r="BG21" s="28"/>
      <c r="BH21" s="28"/>
    </row>
    <row r="22" spans="1:72" ht="54.95" customHeight="1">
      <c r="A22" s="21"/>
      <c r="B22" s="21" t="s">
        <v>20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>
        <v>1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8"/>
      <c r="AZ22" s="28"/>
      <c r="BA22" s="28"/>
      <c r="BB22" s="28"/>
      <c r="BC22" s="28"/>
      <c r="BD22" s="28"/>
      <c r="BE22" s="28"/>
      <c r="BF22" s="28"/>
      <c r="BG22" s="28"/>
      <c r="BH22" s="28"/>
    </row>
    <row r="23" spans="1:72" ht="52.35" customHeight="1">
      <c r="A23" s="29">
        <v>9</v>
      </c>
      <c r="B23" s="21" t="s">
        <v>24</v>
      </c>
      <c r="C23" s="26"/>
      <c r="D23" s="26"/>
      <c r="E23" s="26"/>
      <c r="F23" s="26">
        <v>1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8"/>
      <c r="AZ23" s="28"/>
      <c r="BA23" s="28"/>
      <c r="BB23" s="28"/>
      <c r="BC23" s="28"/>
      <c r="BD23" s="28"/>
      <c r="BE23" s="28"/>
      <c r="BF23" s="28"/>
      <c r="BG23" s="28"/>
      <c r="BH23" s="28"/>
    </row>
    <row r="24" spans="1:72" ht="10.5" customHeight="1">
      <c r="A24" s="68"/>
      <c r="B24" s="23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</row>
    <row r="25" spans="1:72" s="36" customFormat="1" ht="39.75" customHeight="1">
      <c r="A25" s="32" t="s">
        <v>25</v>
      </c>
      <c r="B25" s="33"/>
      <c r="C25" s="33"/>
      <c r="D25" s="33"/>
      <c r="E25" s="33"/>
      <c r="F25" s="33"/>
      <c r="G25" s="196">
        <v>4</v>
      </c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2" t="s">
        <v>26</v>
      </c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4"/>
    </row>
    <row r="26" spans="1:72" s="36" customFormat="1" ht="39.75" customHeight="1">
      <c r="A26" s="32" t="s">
        <v>27</v>
      </c>
      <c r="B26" s="33"/>
      <c r="C26" s="33"/>
      <c r="D26" s="33"/>
      <c r="E26" s="33"/>
      <c r="F26" s="33"/>
      <c r="G26" s="196">
        <v>1</v>
      </c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2" t="s">
        <v>28</v>
      </c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196">
        <v>4</v>
      </c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4"/>
    </row>
    <row r="27" spans="1:72" ht="25.5" customHeight="1">
      <c r="A27" s="37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1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1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1"/>
      <c r="BT27" s="3"/>
    </row>
    <row r="28" spans="1:72" ht="25.5" customHeight="1">
      <c r="A28" s="37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1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1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1"/>
      <c r="BT28" s="3"/>
    </row>
    <row r="29" spans="1:72" ht="25.5" customHeight="1">
      <c r="A29" s="37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1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1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1"/>
      <c r="BT29" s="3"/>
    </row>
    <row r="30" spans="1:72" ht="25.5" customHeight="1">
      <c r="A30" s="37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1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1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1"/>
      <c r="BT30" s="3"/>
    </row>
    <row r="31" spans="1:72" ht="25.5" customHeight="1">
      <c r="A31" s="37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1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1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1"/>
      <c r="BT31" s="3"/>
    </row>
    <row r="32" spans="1:72" ht="25.5" customHeight="1">
      <c r="A32" s="37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1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1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1"/>
      <c r="BT32" s="3"/>
    </row>
    <row r="33" spans="1:61" ht="25.5" customHeight="1">
      <c r="A33" s="37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1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1" ht="32.25" customHeight="1">
      <c r="A34" s="14"/>
      <c r="B34" s="10"/>
      <c r="C34" s="264" t="str">
        <f>C10</f>
        <v>Du centre (La Roche) vers</v>
      </c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 t="str">
        <f>O10</f>
        <v>D'Eteaux av Gambetta vers</v>
      </c>
      <c r="P34" s="264"/>
      <c r="Q34" s="264"/>
      <c r="R34" s="264"/>
      <c r="S34" s="264"/>
      <c r="T34" s="264"/>
      <c r="U34" s="264"/>
      <c r="V34" s="264"/>
      <c r="W34" s="264"/>
      <c r="X34" s="264"/>
      <c r="Y34" s="264"/>
      <c r="Z34" s="264"/>
      <c r="AA34" s="264" t="str">
        <f>AA10</f>
        <v>De Av Libération Enilv vers</v>
      </c>
      <c r="AB34" s="264"/>
      <c r="AC34" s="264"/>
      <c r="AD34" s="264"/>
      <c r="AE34" s="264"/>
      <c r="AF34" s="264"/>
      <c r="AG34" s="264"/>
      <c r="AH34" s="264"/>
      <c r="AI34" s="264"/>
      <c r="AJ34" s="264"/>
      <c r="AK34" s="264"/>
      <c r="AL34" s="264"/>
      <c r="AM34" s="264" t="str">
        <f>AM10</f>
        <v>De Reignier vers</v>
      </c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  <c r="AZ34" s="10"/>
      <c r="BA34" s="268" t="s">
        <v>29</v>
      </c>
      <c r="BB34" s="267" t="s">
        <v>30</v>
      </c>
      <c r="BC34" s="262" t="s">
        <v>31</v>
      </c>
      <c r="BD34" s="262" t="s">
        <v>32</v>
      </c>
      <c r="BE34" s="263" t="s">
        <v>65</v>
      </c>
      <c r="BF34" s="267" t="s">
        <v>56</v>
      </c>
      <c r="BG34" s="267"/>
      <c r="BH34" s="267"/>
    </row>
    <row r="35" spans="1:61" ht="46.7" customHeight="1">
      <c r="A35" s="14"/>
      <c r="B35" s="10"/>
      <c r="C35" s="259" t="str">
        <f>C11</f>
        <v>Av Gambetta Eteaux</v>
      </c>
      <c r="D35" s="259"/>
      <c r="E35" s="259"/>
      <c r="F35" s="259"/>
      <c r="G35" s="259" t="str">
        <f>G11</f>
        <v>Av Libération
Enilv</v>
      </c>
      <c r="H35" s="259"/>
      <c r="I35" s="259"/>
      <c r="J35" s="259"/>
      <c r="K35" s="259" t="str">
        <f>K11</f>
        <v>Reignier</v>
      </c>
      <c r="L35" s="259"/>
      <c r="M35" s="259"/>
      <c r="N35" s="259"/>
      <c r="O35" s="259" t="str">
        <f>O11</f>
        <v>Av Libération
Enilv</v>
      </c>
      <c r="P35" s="259"/>
      <c r="Q35" s="259"/>
      <c r="R35" s="259"/>
      <c r="S35" s="259" t="str">
        <f>S11</f>
        <v>Reignier</v>
      </c>
      <c r="T35" s="259"/>
      <c r="U35" s="259"/>
      <c r="V35" s="259"/>
      <c r="W35" s="259" t="str">
        <f>W11</f>
        <v>La Roche</v>
      </c>
      <c r="X35" s="259"/>
      <c r="Y35" s="259"/>
      <c r="Z35" s="259"/>
      <c r="AA35" s="259" t="str">
        <f>AA11</f>
        <v>Reignier</v>
      </c>
      <c r="AB35" s="259"/>
      <c r="AC35" s="259"/>
      <c r="AD35" s="259"/>
      <c r="AE35" s="259" t="str">
        <f>AE11</f>
        <v>La Roche</v>
      </c>
      <c r="AF35" s="259"/>
      <c r="AG35" s="259"/>
      <c r="AH35" s="259"/>
      <c r="AI35" s="259" t="str">
        <f>AI11</f>
        <v>Av Gambetta Eteaux</v>
      </c>
      <c r="AJ35" s="259"/>
      <c r="AK35" s="259"/>
      <c r="AL35" s="259"/>
      <c r="AM35" s="259" t="str">
        <f>AM11</f>
        <v>La Roche</v>
      </c>
      <c r="AN35" s="259"/>
      <c r="AO35" s="259"/>
      <c r="AP35" s="259"/>
      <c r="AQ35" s="259" t="str">
        <f>AQ11</f>
        <v>Av Gambetta Eteaux</v>
      </c>
      <c r="AR35" s="259"/>
      <c r="AS35" s="259"/>
      <c r="AT35" s="259"/>
      <c r="AU35" s="259" t="str">
        <f>AU11</f>
        <v>Av Libération
Enilv</v>
      </c>
      <c r="AV35" s="259"/>
      <c r="AW35" s="259"/>
      <c r="AX35" s="259"/>
      <c r="AY35" s="14"/>
      <c r="AZ35" s="10"/>
      <c r="BA35" s="268"/>
      <c r="BB35" s="267"/>
      <c r="BC35" s="262"/>
      <c r="BD35" s="262"/>
      <c r="BE35" s="263"/>
      <c r="BF35" s="267"/>
      <c r="BG35" s="267"/>
      <c r="BH35" s="267"/>
    </row>
    <row r="36" spans="1:61" ht="18.600000000000001" customHeight="1">
      <c r="A36" s="14"/>
      <c r="B36" s="10"/>
      <c r="C36" s="258" t="s">
        <v>14</v>
      </c>
      <c r="D36" s="258"/>
      <c r="E36" s="258" t="s">
        <v>15</v>
      </c>
      <c r="F36" s="258"/>
      <c r="G36" s="258" t="s">
        <v>14</v>
      </c>
      <c r="H36" s="258"/>
      <c r="I36" s="258" t="s">
        <v>15</v>
      </c>
      <c r="J36" s="258"/>
      <c r="K36" s="258" t="s">
        <v>14</v>
      </c>
      <c r="L36" s="258"/>
      <c r="M36" s="258" t="s">
        <v>15</v>
      </c>
      <c r="N36" s="258"/>
      <c r="O36" s="258" t="s">
        <v>14</v>
      </c>
      <c r="P36" s="258"/>
      <c r="Q36" s="258" t="s">
        <v>15</v>
      </c>
      <c r="R36" s="258"/>
      <c r="S36" s="258" t="s">
        <v>14</v>
      </c>
      <c r="T36" s="258"/>
      <c r="U36" s="258" t="s">
        <v>15</v>
      </c>
      <c r="V36" s="258"/>
      <c r="W36" s="258" t="s">
        <v>14</v>
      </c>
      <c r="X36" s="258"/>
      <c r="Y36" s="258" t="s">
        <v>15</v>
      </c>
      <c r="Z36" s="258"/>
      <c r="AA36" s="258" t="s">
        <v>14</v>
      </c>
      <c r="AB36" s="258"/>
      <c r="AC36" s="258" t="s">
        <v>15</v>
      </c>
      <c r="AD36" s="258"/>
      <c r="AE36" s="258" t="s">
        <v>14</v>
      </c>
      <c r="AF36" s="258"/>
      <c r="AG36" s="258" t="s">
        <v>15</v>
      </c>
      <c r="AH36" s="258"/>
      <c r="AI36" s="258" t="s">
        <v>14</v>
      </c>
      <c r="AJ36" s="258"/>
      <c r="AK36" s="258" t="s">
        <v>15</v>
      </c>
      <c r="AL36" s="258"/>
      <c r="AM36" s="258" t="s">
        <v>14</v>
      </c>
      <c r="AN36" s="258"/>
      <c r="AO36" s="258" t="s">
        <v>15</v>
      </c>
      <c r="AP36" s="258"/>
      <c r="AQ36" s="258" t="s">
        <v>14</v>
      </c>
      <c r="AR36" s="258"/>
      <c r="AS36" s="258" t="s">
        <v>15</v>
      </c>
      <c r="AT36" s="258"/>
      <c r="AU36" s="258" t="s">
        <v>14</v>
      </c>
      <c r="AV36" s="258"/>
      <c r="AW36" s="258" t="s">
        <v>15</v>
      </c>
      <c r="AX36" s="258"/>
      <c r="AY36" s="58"/>
      <c r="AZ36" s="10"/>
      <c r="BA36" s="268"/>
      <c r="BB36" s="267"/>
      <c r="BC36" s="262"/>
      <c r="BD36" s="262"/>
      <c r="BE36" s="263"/>
      <c r="BF36" s="267"/>
      <c r="BG36" s="267"/>
      <c r="BH36" s="267"/>
    </row>
    <row r="37" spans="1:61" ht="20.25">
      <c r="A37" s="257" t="s">
        <v>34</v>
      </c>
      <c r="B37" s="257"/>
      <c r="C37" s="22" t="s">
        <v>18</v>
      </c>
      <c r="D37" s="22" t="s">
        <v>19</v>
      </c>
      <c r="E37" s="22" t="s">
        <v>18</v>
      </c>
      <c r="F37" s="22" t="s">
        <v>19</v>
      </c>
      <c r="G37" s="22" t="s">
        <v>18</v>
      </c>
      <c r="H37" s="22" t="s">
        <v>19</v>
      </c>
      <c r="I37" s="22" t="s">
        <v>18</v>
      </c>
      <c r="J37" s="22" t="s">
        <v>19</v>
      </c>
      <c r="K37" s="22" t="s">
        <v>18</v>
      </c>
      <c r="L37" s="22" t="s">
        <v>19</v>
      </c>
      <c r="M37" s="22" t="s">
        <v>18</v>
      </c>
      <c r="N37" s="22" t="s">
        <v>19</v>
      </c>
      <c r="O37" s="22" t="s">
        <v>18</v>
      </c>
      <c r="P37" s="22" t="s">
        <v>19</v>
      </c>
      <c r="Q37" s="22" t="s">
        <v>18</v>
      </c>
      <c r="R37" s="22" t="s">
        <v>19</v>
      </c>
      <c r="S37" s="22" t="s">
        <v>18</v>
      </c>
      <c r="T37" s="22" t="s">
        <v>19</v>
      </c>
      <c r="U37" s="22" t="s">
        <v>18</v>
      </c>
      <c r="V37" s="22" t="s">
        <v>19</v>
      </c>
      <c r="W37" s="22" t="s">
        <v>18</v>
      </c>
      <c r="X37" s="22" t="s">
        <v>19</v>
      </c>
      <c r="Y37" s="22" t="s">
        <v>18</v>
      </c>
      <c r="Z37" s="22" t="s">
        <v>19</v>
      </c>
      <c r="AA37" s="22" t="s">
        <v>18</v>
      </c>
      <c r="AB37" s="22" t="s">
        <v>19</v>
      </c>
      <c r="AC37" s="22" t="s">
        <v>18</v>
      </c>
      <c r="AD37" s="22" t="s">
        <v>19</v>
      </c>
      <c r="AE37" s="22" t="s">
        <v>18</v>
      </c>
      <c r="AF37" s="22" t="s">
        <v>19</v>
      </c>
      <c r="AG37" s="22" t="s">
        <v>18</v>
      </c>
      <c r="AH37" s="22" t="s">
        <v>19</v>
      </c>
      <c r="AI37" s="22" t="s">
        <v>18</v>
      </c>
      <c r="AJ37" s="22" t="s">
        <v>19</v>
      </c>
      <c r="AK37" s="22" t="s">
        <v>18</v>
      </c>
      <c r="AL37" s="22" t="s">
        <v>19</v>
      </c>
      <c r="AM37" s="22" t="s">
        <v>18</v>
      </c>
      <c r="AN37" s="22" t="s">
        <v>19</v>
      </c>
      <c r="AO37" s="22" t="s">
        <v>18</v>
      </c>
      <c r="AP37" s="22" t="s">
        <v>19</v>
      </c>
      <c r="AQ37" s="22" t="s">
        <v>18</v>
      </c>
      <c r="AR37" s="22" t="s">
        <v>19</v>
      </c>
      <c r="AS37" s="22" t="s">
        <v>18</v>
      </c>
      <c r="AT37" s="22" t="s">
        <v>19</v>
      </c>
      <c r="AU37" s="22" t="s">
        <v>18</v>
      </c>
      <c r="AV37" s="22" t="s">
        <v>19</v>
      </c>
      <c r="AW37" s="22" t="s">
        <v>18</v>
      </c>
      <c r="AX37" s="22" t="s">
        <v>19</v>
      </c>
      <c r="AY37" s="257" t="s">
        <v>34</v>
      </c>
      <c r="AZ37" s="257"/>
      <c r="BA37" s="268"/>
      <c r="BB37" s="267"/>
      <c r="BC37" s="262"/>
      <c r="BD37" s="262"/>
      <c r="BE37" s="263"/>
      <c r="BF37" s="267"/>
      <c r="BG37" s="267"/>
      <c r="BH37" s="267"/>
    </row>
    <row r="38" spans="1:61" ht="54.95" customHeight="1">
      <c r="A38" s="257" t="s">
        <v>35</v>
      </c>
      <c r="B38" s="257"/>
      <c r="C38" s="26">
        <f t="shared" ref="C38:AX38" si="0">SUM(C14:C15)</f>
        <v>0</v>
      </c>
      <c r="D38" s="26">
        <f t="shared" si="0"/>
        <v>0</v>
      </c>
      <c r="E38" s="26">
        <f t="shared" si="0"/>
        <v>0</v>
      </c>
      <c r="F38" s="26">
        <f t="shared" si="0"/>
        <v>0</v>
      </c>
      <c r="G38" s="26">
        <f t="shared" si="0"/>
        <v>0</v>
      </c>
      <c r="H38" s="26">
        <f t="shared" si="0"/>
        <v>0</v>
      </c>
      <c r="I38" s="26">
        <f t="shared" si="0"/>
        <v>0</v>
      </c>
      <c r="J38" s="26">
        <f t="shared" si="0"/>
        <v>0</v>
      </c>
      <c r="K38" s="26">
        <f t="shared" si="0"/>
        <v>0</v>
      </c>
      <c r="L38" s="26">
        <f t="shared" si="0"/>
        <v>0</v>
      </c>
      <c r="M38" s="26">
        <f t="shared" si="0"/>
        <v>0</v>
      </c>
      <c r="N38" s="26">
        <f t="shared" si="0"/>
        <v>0</v>
      </c>
      <c r="O38" s="26">
        <f t="shared" si="0"/>
        <v>0</v>
      </c>
      <c r="P38" s="26">
        <f t="shared" si="0"/>
        <v>0</v>
      </c>
      <c r="Q38" s="26">
        <f t="shared" si="0"/>
        <v>0</v>
      </c>
      <c r="R38" s="26">
        <f t="shared" si="0"/>
        <v>0</v>
      </c>
      <c r="S38" s="26">
        <f t="shared" si="0"/>
        <v>0</v>
      </c>
      <c r="T38" s="26">
        <f t="shared" si="0"/>
        <v>2</v>
      </c>
      <c r="U38" s="26">
        <f t="shared" si="0"/>
        <v>0</v>
      </c>
      <c r="V38" s="26">
        <f t="shared" si="0"/>
        <v>0</v>
      </c>
      <c r="W38" s="26">
        <f t="shared" si="0"/>
        <v>0</v>
      </c>
      <c r="X38" s="26">
        <f t="shared" si="0"/>
        <v>0</v>
      </c>
      <c r="Y38" s="26">
        <f t="shared" si="0"/>
        <v>0</v>
      </c>
      <c r="Z38" s="26">
        <f t="shared" si="0"/>
        <v>0</v>
      </c>
      <c r="AA38" s="26">
        <f t="shared" si="0"/>
        <v>0</v>
      </c>
      <c r="AB38" s="26">
        <f t="shared" si="0"/>
        <v>0</v>
      </c>
      <c r="AC38" s="26">
        <f t="shared" si="0"/>
        <v>0</v>
      </c>
      <c r="AD38" s="26">
        <f t="shared" si="0"/>
        <v>0</v>
      </c>
      <c r="AE38" s="26">
        <f t="shared" si="0"/>
        <v>0</v>
      </c>
      <c r="AF38" s="26">
        <f t="shared" si="0"/>
        <v>0</v>
      </c>
      <c r="AG38" s="26">
        <f t="shared" si="0"/>
        <v>0</v>
      </c>
      <c r="AH38" s="26">
        <f t="shared" si="0"/>
        <v>0</v>
      </c>
      <c r="AI38" s="26">
        <f t="shared" si="0"/>
        <v>0</v>
      </c>
      <c r="AJ38" s="26">
        <f t="shared" si="0"/>
        <v>0</v>
      </c>
      <c r="AK38" s="26">
        <f t="shared" si="0"/>
        <v>0</v>
      </c>
      <c r="AL38" s="26">
        <f t="shared" si="0"/>
        <v>0</v>
      </c>
      <c r="AM38" s="26">
        <f t="shared" si="0"/>
        <v>0</v>
      </c>
      <c r="AN38" s="26">
        <f t="shared" si="0"/>
        <v>0</v>
      </c>
      <c r="AO38" s="26">
        <f t="shared" si="0"/>
        <v>0</v>
      </c>
      <c r="AP38" s="26">
        <f t="shared" si="0"/>
        <v>0</v>
      </c>
      <c r="AQ38" s="26">
        <f t="shared" si="0"/>
        <v>0</v>
      </c>
      <c r="AR38" s="26">
        <f t="shared" si="0"/>
        <v>0</v>
      </c>
      <c r="AS38" s="26">
        <f t="shared" si="0"/>
        <v>0</v>
      </c>
      <c r="AT38" s="26">
        <f t="shared" si="0"/>
        <v>0</v>
      </c>
      <c r="AU38" s="26">
        <f t="shared" si="0"/>
        <v>0</v>
      </c>
      <c r="AV38" s="26">
        <f t="shared" si="0"/>
        <v>0</v>
      </c>
      <c r="AW38" s="26">
        <f t="shared" si="0"/>
        <v>0</v>
      </c>
      <c r="AX38" s="26">
        <f t="shared" si="0"/>
        <v>0</v>
      </c>
      <c r="AY38" s="257" t="str">
        <f>A38</f>
        <v>6:30 à 7:00</v>
      </c>
      <c r="AZ38" s="257"/>
      <c r="BA38" s="59">
        <f t="shared" ref="BA38:BA43" si="1">SUM(C38:AX38)</f>
        <v>2</v>
      </c>
      <c r="BB38" s="41">
        <f t="shared" ref="BB38:BB43" si="2">C38+E38+G38+I38+K38+M38+O38+Q38+S38+U38+W38+Y38+AA38+AC38+AE38+AG38+AI38+AK38+AM38+AO38+AQ38+AS38+AU38+AW38</f>
        <v>0</v>
      </c>
      <c r="BC38" s="41">
        <f t="shared" ref="BC38:BC43" si="3">E38+F38+I38+J38+M38+N38+Q38+R38+U38+V38+Y38+Z38+AC38+AD38+AG38+AH38+AK38+AL38+AO38+AP38+AS38+AT38+AW38+AX38</f>
        <v>0</v>
      </c>
      <c r="BD38" s="41">
        <f t="shared" ref="BD38:BD43" si="4">E38+I38+M38+Q38+U38+Y38+AC38+AG38+AK38+AO38+AS38+AW38</f>
        <v>0</v>
      </c>
      <c r="BE38" s="41">
        <f t="shared" ref="BE38:BE43" si="5">SUM(K38:N38)+SUM(S38:V38)+SUM(AA38:AD38)+SUM(AM38:AX38)</f>
        <v>2</v>
      </c>
      <c r="BF38" s="69" t="s">
        <v>66</v>
      </c>
      <c r="BG38" s="61"/>
      <c r="BH38" s="61"/>
    </row>
    <row r="39" spans="1:61" ht="54.95" customHeight="1">
      <c r="A39" s="257" t="s">
        <v>36</v>
      </c>
      <c r="B39" s="257"/>
      <c r="C39" s="26">
        <f t="shared" ref="C39:AX39" si="6">SUM(C16:C17)</f>
        <v>0</v>
      </c>
      <c r="D39" s="26">
        <f t="shared" si="6"/>
        <v>0</v>
      </c>
      <c r="E39" s="26">
        <f t="shared" si="6"/>
        <v>0</v>
      </c>
      <c r="F39" s="26">
        <f t="shared" si="6"/>
        <v>0</v>
      </c>
      <c r="G39" s="26">
        <f t="shared" si="6"/>
        <v>0</v>
      </c>
      <c r="H39" s="26">
        <f t="shared" si="6"/>
        <v>0</v>
      </c>
      <c r="I39" s="26">
        <f t="shared" si="6"/>
        <v>0</v>
      </c>
      <c r="J39" s="26">
        <f t="shared" si="6"/>
        <v>0</v>
      </c>
      <c r="K39" s="26">
        <f t="shared" si="6"/>
        <v>1</v>
      </c>
      <c r="L39" s="26">
        <f t="shared" si="6"/>
        <v>2</v>
      </c>
      <c r="M39" s="26">
        <f t="shared" si="6"/>
        <v>0</v>
      </c>
      <c r="N39" s="26">
        <f t="shared" si="6"/>
        <v>0</v>
      </c>
      <c r="O39" s="26">
        <f t="shared" si="6"/>
        <v>0</v>
      </c>
      <c r="P39" s="26">
        <f t="shared" si="6"/>
        <v>0</v>
      </c>
      <c r="Q39" s="26">
        <f t="shared" si="6"/>
        <v>0</v>
      </c>
      <c r="R39" s="26">
        <f t="shared" si="6"/>
        <v>0</v>
      </c>
      <c r="S39" s="26">
        <f t="shared" si="6"/>
        <v>0</v>
      </c>
      <c r="T39" s="26">
        <f t="shared" si="6"/>
        <v>0</v>
      </c>
      <c r="U39" s="26">
        <f t="shared" si="6"/>
        <v>0</v>
      </c>
      <c r="V39" s="26">
        <f t="shared" si="6"/>
        <v>0</v>
      </c>
      <c r="W39" s="26">
        <f t="shared" si="6"/>
        <v>0</v>
      </c>
      <c r="X39" s="26">
        <f t="shared" si="6"/>
        <v>0</v>
      </c>
      <c r="Y39" s="26">
        <f t="shared" si="6"/>
        <v>0</v>
      </c>
      <c r="Z39" s="26">
        <f t="shared" si="6"/>
        <v>0</v>
      </c>
      <c r="AA39" s="26">
        <f t="shared" si="6"/>
        <v>0</v>
      </c>
      <c r="AB39" s="26">
        <f t="shared" si="6"/>
        <v>0</v>
      </c>
      <c r="AC39" s="26">
        <f t="shared" si="6"/>
        <v>0</v>
      </c>
      <c r="AD39" s="26">
        <f t="shared" si="6"/>
        <v>0</v>
      </c>
      <c r="AE39" s="26">
        <f t="shared" si="6"/>
        <v>0</v>
      </c>
      <c r="AF39" s="26">
        <f t="shared" si="6"/>
        <v>0</v>
      </c>
      <c r="AG39" s="26">
        <f t="shared" si="6"/>
        <v>0</v>
      </c>
      <c r="AH39" s="26">
        <f t="shared" si="6"/>
        <v>0</v>
      </c>
      <c r="AI39" s="26">
        <f t="shared" si="6"/>
        <v>0</v>
      </c>
      <c r="AJ39" s="26">
        <f t="shared" si="6"/>
        <v>0</v>
      </c>
      <c r="AK39" s="26">
        <f t="shared" si="6"/>
        <v>0</v>
      </c>
      <c r="AL39" s="26">
        <f t="shared" si="6"/>
        <v>0</v>
      </c>
      <c r="AM39" s="26">
        <f t="shared" si="6"/>
        <v>0</v>
      </c>
      <c r="AN39" s="26">
        <f t="shared" si="6"/>
        <v>0</v>
      </c>
      <c r="AO39" s="26">
        <f t="shared" si="6"/>
        <v>0</v>
      </c>
      <c r="AP39" s="26">
        <f t="shared" si="6"/>
        <v>0</v>
      </c>
      <c r="AQ39" s="26">
        <f t="shared" si="6"/>
        <v>0</v>
      </c>
      <c r="AR39" s="26">
        <f t="shared" si="6"/>
        <v>0</v>
      </c>
      <c r="AS39" s="26">
        <f t="shared" si="6"/>
        <v>0</v>
      </c>
      <c r="AT39" s="26">
        <f t="shared" si="6"/>
        <v>0</v>
      </c>
      <c r="AU39" s="26">
        <f t="shared" si="6"/>
        <v>0</v>
      </c>
      <c r="AV39" s="26">
        <f t="shared" si="6"/>
        <v>0</v>
      </c>
      <c r="AW39" s="26">
        <f t="shared" si="6"/>
        <v>0</v>
      </c>
      <c r="AX39" s="26">
        <f t="shared" si="6"/>
        <v>0</v>
      </c>
      <c r="AY39" s="257" t="str">
        <f>A39</f>
        <v>7:00 à 7:30</v>
      </c>
      <c r="AZ39" s="257"/>
      <c r="BA39" s="59">
        <f t="shared" si="1"/>
        <v>3</v>
      </c>
      <c r="BB39" s="41">
        <f t="shared" si="2"/>
        <v>1</v>
      </c>
      <c r="BC39" s="41">
        <f t="shared" si="3"/>
        <v>0</v>
      </c>
      <c r="BD39" s="41">
        <f t="shared" si="4"/>
        <v>0</v>
      </c>
      <c r="BE39" s="41">
        <f t="shared" si="5"/>
        <v>3</v>
      </c>
      <c r="BF39" s="69" t="s">
        <v>67</v>
      </c>
      <c r="BG39" s="61"/>
      <c r="BH39" s="61"/>
    </row>
    <row r="40" spans="1:61" ht="54.95" customHeight="1">
      <c r="A40" s="257" t="s">
        <v>37</v>
      </c>
      <c r="B40" s="257"/>
      <c r="C40" s="26">
        <f t="shared" ref="C40:AX40" si="7">SUM(C18:C19)</f>
        <v>0</v>
      </c>
      <c r="D40" s="26">
        <f t="shared" si="7"/>
        <v>3</v>
      </c>
      <c r="E40" s="26">
        <f t="shared" si="7"/>
        <v>0</v>
      </c>
      <c r="F40" s="26">
        <f t="shared" si="7"/>
        <v>0</v>
      </c>
      <c r="G40" s="26">
        <f t="shared" si="7"/>
        <v>0</v>
      </c>
      <c r="H40" s="26">
        <f t="shared" si="7"/>
        <v>0</v>
      </c>
      <c r="I40" s="26">
        <f t="shared" si="7"/>
        <v>0</v>
      </c>
      <c r="J40" s="26">
        <f t="shared" si="7"/>
        <v>0</v>
      </c>
      <c r="K40" s="26">
        <f t="shared" si="7"/>
        <v>0</v>
      </c>
      <c r="L40" s="26">
        <f t="shared" si="7"/>
        <v>3</v>
      </c>
      <c r="M40" s="26">
        <f t="shared" si="7"/>
        <v>0</v>
      </c>
      <c r="N40" s="26">
        <f t="shared" si="7"/>
        <v>0</v>
      </c>
      <c r="O40" s="26">
        <f t="shared" si="7"/>
        <v>0</v>
      </c>
      <c r="P40" s="26">
        <f t="shared" si="7"/>
        <v>0</v>
      </c>
      <c r="Q40" s="26">
        <f t="shared" si="7"/>
        <v>0</v>
      </c>
      <c r="R40" s="26">
        <f t="shared" si="7"/>
        <v>0</v>
      </c>
      <c r="S40" s="26">
        <f t="shared" si="7"/>
        <v>0</v>
      </c>
      <c r="T40" s="26">
        <f t="shared" si="7"/>
        <v>0</v>
      </c>
      <c r="U40" s="26">
        <f t="shared" si="7"/>
        <v>0</v>
      </c>
      <c r="V40" s="26">
        <f t="shared" si="7"/>
        <v>0</v>
      </c>
      <c r="W40" s="26">
        <f t="shared" si="7"/>
        <v>0</v>
      </c>
      <c r="X40" s="26">
        <f t="shared" si="7"/>
        <v>0</v>
      </c>
      <c r="Y40" s="26">
        <f t="shared" si="7"/>
        <v>0</v>
      </c>
      <c r="Z40" s="26">
        <f t="shared" si="7"/>
        <v>0</v>
      </c>
      <c r="AA40" s="26">
        <f t="shared" si="7"/>
        <v>0</v>
      </c>
      <c r="AB40" s="26">
        <f t="shared" si="7"/>
        <v>0</v>
      </c>
      <c r="AC40" s="26">
        <f t="shared" si="7"/>
        <v>0</v>
      </c>
      <c r="AD40" s="26">
        <f t="shared" si="7"/>
        <v>0</v>
      </c>
      <c r="AE40" s="26">
        <f t="shared" si="7"/>
        <v>0</v>
      </c>
      <c r="AF40" s="26">
        <f t="shared" si="7"/>
        <v>0</v>
      </c>
      <c r="AG40" s="26">
        <f t="shared" si="7"/>
        <v>0</v>
      </c>
      <c r="AH40" s="26">
        <f t="shared" si="7"/>
        <v>0</v>
      </c>
      <c r="AI40" s="26">
        <f t="shared" si="7"/>
        <v>0</v>
      </c>
      <c r="AJ40" s="26">
        <f t="shared" si="7"/>
        <v>0</v>
      </c>
      <c r="AK40" s="26">
        <f t="shared" si="7"/>
        <v>0</v>
      </c>
      <c r="AL40" s="26">
        <f t="shared" si="7"/>
        <v>0</v>
      </c>
      <c r="AM40" s="26">
        <f t="shared" si="7"/>
        <v>0</v>
      </c>
      <c r="AN40" s="26">
        <f t="shared" si="7"/>
        <v>0</v>
      </c>
      <c r="AO40" s="26">
        <f t="shared" si="7"/>
        <v>0</v>
      </c>
      <c r="AP40" s="26">
        <f t="shared" si="7"/>
        <v>0</v>
      </c>
      <c r="AQ40" s="26">
        <f t="shared" si="7"/>
        <v>0</v>
      </c>
      <c r="AR40" s="26">
        <f t="shared" si="7"/>
        <v>0</v>
      </c>
      <c r="AS40" s="26">
        <f t="shared" si="7"/>
        <v>0</v>
      </c>
      <c r="AT40" s="26">
        <f t="shared" si="7"/>
        <v>0</v>
      </c>
      <c r="AU40" s="26">
        <f t="shared" si="7"/>
        <v>0</v>
      </c>
      <c r="AV40" s="26">
        <f t="shared" si="7"/>
        <v>0</v>
      </c>
      <c r="AW40" s="26">
        <f t="shared" si="7"/>
        <v>0</v>
      </c>
      <c r="AX40" s="26">
        <f t="shared" si="7"/>
        <v>0</v>
      </c>
      <c r="AY40" s="257" t="str">
        <f>A40</f>
        <v>7:30 à 8:00</v>
      </c>
      <c r="AZ40" s="257"/>
      <c r="BA40" s="59">
        <f t="shared" si="1"/>
        <v>6</v>
      </c>
      <c r="BB40" s="41">
        <f t="shared" si="2"/>
        <v>0</v>
      </c>
      <c r="BC40" s="41">
        <f t="shared" si="3"/>
        <v>0</v>
      </c>
      <c r="BD40" s="41">
        <f t="shared" si="4"/>
        <v>0</v>
      </c>
      <c r="BE40" s="41">
        <f t="shared" si="5"/>
        <v>3</v>
      </c>
      <c r="BF40" s="69" t="s">
        <v>67</v>
      </c>
      <c r="BG40" s="61"/>
      <c r="BH40" s="61"/>
    </row>
    <row r="41" spans="1:61" ht="54.95" customHeight="1">
      <c r="A41" s="257" t="s">
        <v>38</v>
      </c>
      <c r="B41" s="257"/>
      <c r="C41" s="26">
        <f t="shared" ref="C41:AX41" si="8">SUM(C20:C21)</f>
        <v>0</v>
      </c>
      <c r="D41" s="26">
        <f t="shared" si="8"/>
        <v>0</v>
      </c>
      <c r="E41" s="26">
        <f t="shared" si="8"/>
        <v>0</v>
      </c>
      <c r="F41" s="26">
        <f t="shared" si="8"/>
        <v>0</v>
      </c>
      <c r="G41" s="26">
        <f t="shared" si="8"/>
        <v>0</v>
      </c>
      <c r="H41" s="26">
        <f t="shared" si="8"/>
        <v>0</v>
      </c>
      <c r="I41" s="26">
        <f t="shared" si="8"/>
        <v>0</v>
      </c>
      <c r="J41" s="26">
        <f t="shared" si="8"/>
        <v>0</v>
      </c>
      <c r="K41" s="26">
        <f t="shared" si="8"/>
        <v>1</v>
      </c>
      <c r="L41" s="26">
        <f t="shared" si="8"/>
        <v>3</v>
      </c>
      <c r="M41" s="26">
        <f t="shared" si="8"/>
        <v>0</v>
      </c>
      <c r="N41" s="26">
        <f t="shared" si="8"/>
        <v>1</v>
      </c>
      <c r="O41" s="26">
        <f t="shared" si="8"/>
        <v>0</v>
      </c>
      <c r="P41" s="26">
        <f t="shared" si="8"/>
        <v>0</v>
      </c>
      <c r="Q41" s="26">
        <f t="shared" si="8"/>
        <v>0</v>
      </c>
      <c r="R41" s="26">
        <f t="shared" si="8"/>
        <v>0</v>
      </c>
      <c r="S41" s="26">
        <f t="shared" si="8"/>
        <v>0</v>
      </c>
      <c r="T41" s="26">
        <f t="shared" si="8"/>
        <v>0</v>
      </c>
      <c r="U41" s="26">
        <f t="shared" si="8"/>
        <v>0</v>
      </c>
      <c r="V41" s="26">
        <f t="shared" si="8"/>
        <v>0</v>
      </c>
      <c r="W41" s="26">
        <f t="shared" si="8"/>
        <v>0</v>
      </c>
      <c r="X41" s="26">
        <f t="shared" si="8"/>
        <v>0</v>
      </c>
      <c r="Y41" s="26">
        <f t="shared" si="8"/>
        <v>1</v>
      </c>
      <c r="Z41" s="26">
        <f t="shared" si="8"/>
        <v>0</v>
      </c>
      <c r="AA41" s="26">
        <f t="shared" si="8"/>
        <v>0</v>
      </c>
      <c r="AB41" s="26">
        <f t="shared" si="8"/>
        <v>0</v>
      </c>
      <c r="AC41" s="26">
        <f t="shared" si="8"/>
        <v>0</v>
      </c>
      <c r="AD41" s="26">
        <f t="shared" si="8"/>
        <v>0</v>
      </c>
      <c r="AE41" s="26">
        <f t="shared" si="8"/>
        <v>0</v>
      </c>
      <c r="AF41" s="26">
        <f t="shared" si="8"/>
        <v>0</v>
      </c>
      <c r="AG41" s="26">
        <f t="shared" si="8"/>
        <v>0</v>
      </c>
      <c r="AH41" s="26">
        <f t="shared" si="8"/>
        <v>0</v>
      </c>
      <c r="AI41" s="26">
        <f t="shared" si="8"/>
        <v>1</v>
      </c>
      <c r="AJ41" s="26">
        <f t="shared" si="8"/>
        <v>0</v>
      </c>
      <c r="AK41" s="26">
        <f t="shared" si="8"/>
        <v>0</v>
      </c>
      <c r="AL41" s="26">
        <f t="shared" si="8"/>
        <v>1</v>
      </c>
      <c r="AM41" s="26">
        <f t="shared" si="8"/>
        <v>0</v>
      </c>
      <c r="AN41" s="26">
        <f t="shared" si="8"/>
        <v>0</v>
      </c>
      <c r="AO41" s="26">
        <f t="shared" si="8"/>
        <v>0</v>
      </c>
      <c r="AP41" s="26">
        <f t="shared" si="8"/>
        <v>0</v>
      </c>
      <c r="AQ41" s="26">
        <f t="shared" si="8"/>
        <v>0</v>
      </c>
      <c r="AR41" s="26">
        <f t="shared" si="8"/>
        <v>0</v>
      </c>
      <c r="AS41" s="26">
        <f t="shared" si="8"/>
        <v>0</v>
      </c>
      <c r="AT41" s="26">
        <f t="shared" si="8"/>
        <v>0</v>
      </c>
      <c r="AU41" s="26">
        <f t="shared" si="8"/>
        <v>0</v>
      </c>
      <c r="AV41" s="26">
        <f t="shared" si="8"/>
        <v>0</v>
      </c>
      <c r="AW41" s="26">
        <f t="shared" si="8"/>
        <v>0</v>
      </c>
      <c r="AX41" s="26">
        <f t="shared" si="8"/>
        <v>0</v>
      </c>
      <c r="AY41" s="257" t="str">
        <f>A41</f>
        <v>8:00 à 8:30</v>
      </c>
      <c r="AZ41" s="257"/>
      <c r="BA41" s="59">
        <f t="shared" si="1"/>
        <v>8</v>
      </c>
      <c r="BB41" s="41">
        <f t="shared" si="2"/>
        <v>3</v>
      </c>
      <c r="BC41" s="41">
        <f t="shared" si="3"/>
        <v>3</v>
      </c>
      <c r="BD41" s="41">
        <f t="shared" si="4"/>
        <v>1</v>
      </c>
      <c r="BE41" s="41">
        <f t="shared" si="5"/>
        <v>5</v>
      </c>
      <c r="BF41" s="60" t="s">
        <v>68</v>
      </c>
      <c r="BG41" s="61"/>
      <c r="BH41" s="61"/>
    </row>
    <row r="42" spans="1:61" ht="54.95" customHeight="1">
      <c r="A42" s="257" t="s">
        <v>39</v>
      </c>
      <c r="B42" s="257"/>
      <c r="C42" s="26">
        <f t="shared" ref="C42:AX42" si="9">SUM(C21:C23)</f>
        <v>0</v>
      </c>
      <c r="D42" s="26">
        <f t="shared" si="9"/>
        <v>0</v>
      </c>
      <c r="E42" s="26">
        <f t="shared" si="9"/>
        <v>0</v>
      </c>
      <c r="F42" s="26">
        <f t="shared" si="9"/>
        <v>1</v>
      </c>
      <c r="G42" s="26">
        <f t="shared" si="9"/>
        <v>0</v>
      </c>
      <c r="H42" s="26">
        <f t="shared" si="9"/>
        <v>0</v>
      </c>
      <c r="I42" s="26">
        <f t="shared" si="9"/>
        <v>0</v>
      </c>
      <c r="J42" s="26">
        <f t="shared" si="9"/>
        <v>0</v>
      </c>
      <c r="K42" s="26">
        <f t="shared" si="9"/>
        <v>0</v>
      </c>
      <c r="L42" s="26">
        <f t="shared" si="9"/>
        <v>2</v>
      </c>
      <c r="M42" s="26">
        <f t="shared" si="9"/>
        <v>0</v>
      </c>
      <c r="N42" s="26">
        <f t="shared" si="9"/>
        <v>2</v>
      </c>
      <c r="O42" s="26">
        <f t="shared" si="9"/>
        <v>0</v>
      </c>
      <c r="P42" s="26">
        <f t="shared" si="9"/>
        <v>0</v>
      </c>
      <c r="Q42" s="26">
        <f t="shared" si="9"/>
        <v>0</v>
      </c>
      <c r="R42" s="26">
        <f t="shared" si="9"/>
        <v>0</v>
      </c>
      <c r="S42" s="26">
        <f t="shared" si="9"/>
        <v>0</v>
      </c>
      <c r="T42" s="26">
        <f t="shared" si="9"/>
        <v>0</v>
      </c>
      <c r="U42" s="26">
        <f t="shared" si="9"/>
        <v>0</v>
      </c>
      <c r="V42" s="26">
        <f t="shared" si="9"/>
        <v>0</v>
      </c>
      <c r="W42" s="26">
        <f t="shared" si="9"/>
        <v>0</v>
      </c>
      <c r="X42" s="26">
        <f t="shared" si="9"/>
        <v>0</v>
      </c>
      <c r="Y42" s="26">
        <f t="shared" si="9"/>
        <v>0</v>
      </c>
      <c r="Z42" s="26">
        <f t="shared" si="9"/>
        <v>0</v>
      </c>
      <c r="AA42" s="26">
        <f t="shared" si="9"/>
        <v>0</v>
      </c>
      <c r="AB42" s="26">
        <f t="shared" si="9"/>
        <v>0</v>
      </c>
      <c r="AC42" s="26">
        <f t="shared" si="9"/>
        <v>0</v>
      </c>
      <c r="AD42" s="26">
        <f t="shared" si="9"/>
        <v>0</v>
      </c>
      <c r="AE42" s="26">
        <f t="shared" si="9"/>
        <v>0</v>
      </c>
      <c r="AF42" s="26">
        <f t="shared" si="9"/>
        <v>0</v>
      </c>
      <c r="AG42" s="26">
        <f t="shared" si="9"/>
        <v>0</v>
      </c>
      <c r="AH42" s="26">
        <f t="shared" si="9"/>
        <v>0</v>
      </c>
      <c r="AI42" s="26">
        <f t="shared" si="9"/>
        <v>1</v>
      </c>
      <c r="AJ42" s="26">
        <f t="shared" si="9"/>
        <v>0</v>
      </c>
      <c r="AK42" s="26">
        <f t="shared" si="9"/>
        <v>0</v>
      </c>
      <c r="AL42" s="26">
        <f t="shared" si="9"/>
        <v>1</v>
      </c>
      <c r="AM42" s="26">
        <f t="shared" si="9"/>
        <v>0</v>
      </c>
      <c r="AN42" s="26">
        <f t="shared" si="9"/>
        <v>0</v>
      </c>
      <c r="AO42" s="26">
        <f t="shared" si="9"/>
        <v>0</v>
      </c>
      <c r="AP42" s="26">
        <f t="shared" si="9"/>
        <v>0</v>
      </c>
      <c r="AQ42" s="26">
        <f t="shared" si="9"/>
        <v>0</v>
      </c>
      <c r="AR42" s="26">
        <f t="shared" si="9"/>
        <v>0</v>
      </c>
      <c r="AS42" s="26">
        <f t="shared" si="9"/>
        <v>0</v>
      </c>
      <c r="AT42" s="26">
        <f t="shared" si="9"/>
        <v>0</v>
      </c>
      <c r="AU42" s="26">
        <f t="shared" si="9"/>
        <v>0</v>
      </c>
      <c r="AV42" s="26">
        <f t="shared" si="9"/>
        <v>0</v>
      </c>
      <c r="AW42" s="26">
        <f t="shared" si="9"/>
        <v>0</v>
      </c>
      <c r="AX42" s="26">
        <f t="shared" si="9"/>
        <v>0</v>
      </c>
      <c r="AY42" s="257" t="str">
        <f>A42</f>
        <v>8:30 à 9:00</v>
      </c>
      <c r="AZ42" s="257"/>
      <c r="BA42" s="59">
        <f t="shared" si="1"/>
        <v>7</v>
      </c>
      <c r="BB42" s="41">
        <f t="shared" si="2"/>
        <v>1</v>
      </c>
      <c r="BC42" s="41">
        <f t="shared" si="3"/>
        <v>4</v>
      </c>
      <c r="BD42" s="41">
        <f t="shared" si="4"/>
        <v>0</v>
      </c>
      <c r="BE42" s="41">
        <f t="shared" si="5"/>
        <v>4</v>
      </c>
      <c r="BF42" s="70" t="s">
        <v>69</v>
      </c>
      <c r="BG42" s="61"/>
      <c r="BH42" s="61"/>
    </row>
    <row r="43" spans="1:61" ht="54.95" customHeight="1">
      <c r="A43" s="257" t="s">
        <v>29</v>
      </c>
      <c r="B43" s="257"/>
      <c r="C43" s="30">
        <f t="shared" ref="C43:AX43" si="10">SUM(C14:C23)</f>
        <v>0</v>
      </c>
      <c r="D43" s="30">
        <f t="shared" si="10"/>
        <v>3</v>
      </c>
      <c r="E43" s="30">
        <f t="shared" si="10"/>
        <v>0</v>
      </c>
      <c r="F43" s="30">
        <f t="shared" si="10"/>
        <v>1</v>
      </c>
      <c r="G43" s="30">
        <f t="shared" si="10"/>
        <v>0</v>
      </c>
      <c r="H43" s="30">
        <f t="shared" si="10"/>
        <v>0</v>
      </c>
      <c r="I43" s="30">
        <f t="shared" si="10"/>
        <v>0</v>
      </c>
      <c r="J43" s="30">
        <f t="shared" si="10"/>
        <v>0</v>
      </c>
      <c r="K43" s="30">
        <f t="shared" si="10"/>
        <v>2</v>
      </c>
      <c r="L43" s="30">
        <f t="shared" si="10"/>
        <v>8</v>
      </c>
      <c r="M43" s="30">
        <f t="shared" si="10"/>
        <v>0</v>
      </c>
      <c r="N43" s="30">
        <f t="shared" si="10"/>
        <v>2</v>
      </c>
      <c r="O43" s="30">
        <f t="shared" si="10"/>
        <v>0</v>
      </c>
      <c r="P43" s="30">
        <f t="shared" si="10"/>
        <v>0</v>
      </c>
      <c r="Q43" s="30">
        <f t="shared" si="10"/>
        <v>0</v>
      </c>
      <c r="R43" s="30">
        <f t="shared" si="10"/>
        <v>0</v>
      </c>
      <c r="S43" s="30">
        <f t="shared" si="10"/>
        <v>0</v>
      </c>
      <c r="T43" s="30">
        <f t="shared" si="10"/>
        <v>2</v>
      </c>
      <c r="U43" s="30">
        <f t="shared" si="10"/>
        <v>0</v>
      </c>
      <c r="V43" s="30">
        <f t="shared" si="10"/>
        <v>0</v>
      </c>
      <c r="W43" s="30">
        <f t="shared" si="10"/>
        <v>0</v>
      </c>
      <c r="X43" s="30">
        <f t="shared" si="10"/>
        <v>0</v>
      </c>
      <c r="Y43" s="30">
        <f t="shared" si="10"/>
        <v>1</v>
      </c>
      <c r="Z43" s="30">
        <f t="shared" si="10"/>
        <v>0</v>
      </c>
      <c r="AA43" s="30">
        <f t="shared" si="10"/>
        <v>0</v>
      </c>
      <c r="AB43" s="30">
        <f t="shared" si="10"/>
        <v>0</v>
      </c>
      <c r="AC43" s="30">
        <f t="shared" si="10"/>
        <v>0</v>
      </c>
      <c r="AD43" s="30">
        <f t="shared" si="10"/>
        <v>0</v>
      </c>
      <c r="AE43" s="30">
        <f t="shared" si="10"/>
        <v>0</v>
      </c>
      <c r="AF43" s="30">
        <f t="shared" si="10"/>
        <v>0</v>
      </c>
      <c r="AG43" s="30">
        <f t="shared" si="10"/>
        <v>0</v>
      </c>
      <c r="AH43" s="30">
        <f t="shared" si="10"/>
        <v>0</v>
      </c>
      <c r="AI43" s="30">
        <f t="shared" si="10"/>
        <v>1</v>
      </c>
      <c r="AJ43" s="30">
        <f t="shared" si="10"/>
        <v>0</v>
      </c>
      <c r="AK43" s="30">
        <f t="shared" si="10"/>
        <v>0</v>
      </c>
      <c r="AL43" s="30">
        <f t="shared" si="10"/>
        <v>1</v>
      </c>
      <c r="AM43" s="30">
        <f t="shared" si="10"/>
        <v>0</v>
      </c>
      <c r="AN43" s="30">
        <f t="shared" si="10"/>
        <v>0</v>
      </c>
      <c r="AO43" s="30">
        <f t="shared" si="10"/>
        <v>0</v>
      </c>
      <c r="AP43" s="30">
        <f t="shared" si="10"/>
        <v>0</v>
      </c>
      <c r="AQ43" s="30">
        <f t="shared" si="10"/>
        <v>0</v>
      </c>
      <c r="AR43" s="30">
        <f t="shared" si="10"/>
        <v>0</v>
      </c>
      <c r="AS43" s="30">
        <f t="shared" si="10"/>
        <v>0</v>
      </c>
      <c r="AT43" s="30">
        <f t="shared" si="10"/>
        <v>0</v>
      </c>
      <c r="AU43" s="30">
        <f t="shared" si="10"/>
        <v>0</v>
      </c>
      <c r="AV43" s="30">
        <f t="shared" si="10"/>
        <v>0</v>
      </c>
      <c r="AW43" s="30">
        <f t="shared" si="10"/>
        <v>0</v>
      </c>
      <c r="AX43" s="30">
        <f t="shared" si="10"/>
        <v>0</v>
      </c>
      <c r="AY43" s="270" t="s">
        <v>29</v>
      </c>
      <c r="AZ43" s="270"/>
      <c r="BA43" s="62">
        <f t="shared" si="1"/>
        <v>21</v>
      </c>
      <c r="BB43" s="43">
        <f t="shared" si="2"/>
        <v>4</v>
      </c>
      <c r="BC43" s="43">
        <f t="shared" si="3"/>
        <v>5</v>
      </c>
      <c r="BD43" s="43">
        <f t="shared" si="4"/>
        <v>1</v>
      </c>
      <c r="BE43" s="43">
        <f t="shared" si="5"/>
        <v>14</v>
      </c>
      <c r="BF43" s="60"/>
      <c r="BG43" s="61"/>
      <c r="BH43" s="61"/>
    </row>
    <row r="44" spans="1:61" ht="42.75" customHeight="1">
      <c r="A44" s="44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4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4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257" t="str">
        <f>IF($BA$38=MAX($BA$38:$BA$42),AY38,IF($BA$39=MAX($BA$38:$BA$42),AY39,IF($BA$40=MAX($BA$38:$BA$42),AY40,IF($BA$41=MAX($BA$38:$BA$42),AY41,IF($BA$42=MAX($BA$38:$BA$42),AY42,AY41)))))</f>
        <v>8:00 à 8:30</v>
      </c>
      <c r="AZ44" s="257"/>
      <c r="BA44" s="39">
        <f>IF($BA$38=MAX($BA$38:$BA$42),BA38,IF($BA$39=MAX($BA$38:$BA$42),BA39,IF($BA$40=MAX($BA$38:$BA$42),BA40,IF($BA$41=MAX($BA$38:$BA$42),BA41,IF($BA$42=MAX($BA$38:$BA$42),BA42,BA41)))))</f>
        <v>8</v>
      </c>
      <c r="BB44" s="39">
        <f>IF($BA$38=MAX($BA$38:$BA$42),BB38,IF($BA$39=MAX($BA$38:$BA$42),BB39,IF($BA$40=MAX($BA$38:$BA$42),BB40,IF($BA$41=MAX($BA$38:$BA$42),BB41,IF($BA$42=MAX($BA$38:$BA$42),BB42,BB41)))))</f>
        <v>3</v>
      </c>
      <c r="BC44" s="39">
        <f>IF($BA$38=MAX($BA$38:$BA$42),BC38,IF($BA$39=MAX($BA$38:$BA$42),BC39,IF($BA$40=MAX($BA$38:$BA$42),BC40,IF($BA$41=MAX($BA$38:$BA$42),BC41,IF($BA$42=MAX($BA$38:$BA$42),BC42,BC41)))))</f>
        <v>3</v>
      </c>
      <c r="BD44" s="39">
        <f>IF($BA$38=MAX($BA$38:$BA$42),BD38,IF($BA$39=MAX($BA$38:$BA$42),BD39,IF($BA$40=MAX($BA$38:$BA$42),BD40,IF($BA$41=MAX($BA$38:$BA$42),BD41,IF($BA$42=MAX($BA$38:$BA$42),BD42,BD41)))))</f>
        <v>1</v>
      </c>
      <c r="BE44" s="39">
        <f>IF($BA$38=MAX($BA$38:$BA$42),BE38,IF($BA$39=MAX($BA$38:$BA$42),BE39,IF($BA$40=MAX($BA$38:$BA$42),BE40,IF($BA$41=MAX($BA$38:$BA$42),BE41,IF($BA$42=MAX($BA$38:$BA$42),BE42,BE41)))))</f>
        <v>5</v>
      </c>
      <c r="BF44" s="60"/>
      <c r="BG44" s="61"/>
      <c r="BH44" s="61"/>
    </row>
    <row r="45" spans="1:61" ht="20.25">
      <c r="A45" s="46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6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6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14"/>
      <c r="AZ45" s="10"/>
      <c r="BA45" s="268" t="s">
        <v>29</v>
      </c>
      <c r="BB45" s="254" t="s">
        <v>40</v>
      </c>
      <c r="BC45" s="254" t="s">
        <v>41</v>
      </c>
      <c r="BD45" s="254" t="s">
        <v>42</v>
      </c>
      <c r="BE45" s="254" t="str">
        <f>BE34</f>
        <v>Cycles sur route de Reignier</v>
      </c>
      <c r="BF45" s="267" t="s">
        <v>56</v>
      </c>
      <c r="BG45" s="267"/>
      <c r="BH45" s="267"/>
    </row>
    <row r="46" spans="1:61" ht="20.25">
      <c r="A46" s="46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14"/>
      <c r="AZ46" s="10"/>
      <c r="BA46" s="268"/>
      <c r="BB46" s="254"/>
      <c r="BC46" s="254"/>
      <c r="BD46" s="254"/>
      <c r="BE46" s="254"/>
      <c r="BF46" s="267"/>
      <c r="BG46" s="267"/>
      <c r="BH46" s="267"/>
      <c r="BI46" s="47"/>
    </row>
    <row r="47" spans="1:61" ht="20.25">
      <c r="A47" s="46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58"/>
      <c r="AZ47" s="10"/>
      <c r="BA47" s="268"/>
      <c r="BB47" s="254"/>
      <c r="BC47" s="254"/>
      <c r="BD47" s="254"/>
      <c r="BE47" s="254"/>
      <c r="BF47" s="267"/>
      <c r="BG47" s="267"/>
      <c r="BH47" s="267"/>
      <c r="BI47" s="47"/>
    </row>
    <row r="48" spans="1:61" ht="20.25">
      <c r="A48" s="46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257" t="s">
        <v>34</v>
      </c>
      <c r="AZ48" s="257"/>
      <c r="BA48" s="268"/>
      <c r="BB48" s="254"/>
      <c r="BC48" s="254"/>
      <c r="BD48" s="254"/>
      <c r="BE48" s="254"/>
      <c r="BF48" s="267"/>
      <c r="BG48" s="267"/>
      <c r="BH48" s="267"/>
      <c r="BI48" s="47"/>
    </row>
    <row r="49" spans="1:61" ht="35.1" customHeight="1">
      <c r="A49" s="46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257" t="str">
        <f>AY38</f>
        <v>6:30 à 7:00</v>
      </c>
      <c r="AZ49" s="257"/>
      <c r="BA49" s="63"/>
      <c r="BB49" s="48">
        <f>IF(BB38=0,0,BB38/BA38)</f>
        <v>0</v>
      </c>
      <c r="BC49" s="48">
        <f>IF(BC38=0,0,BC38/BA38)</f>
        <v>0</v>
      </c>
      <c r="BD49" s="48">
        <f>IF(BD38=0,0,BD38/BB38)</f>
        <v>0</v>
      </c>
      <c r="BE49" s="48">
        <f>IF(BE38=0,0,BE38/BA38)</f>
        <v>1</v>
      </c>
      <c r="BF49" s="60"/>
      <c r="BG49" s="61"/>
      <c r="BH49" s="61"/>
      <c r="BI49" s="47"/>
    </row>
    <row r="50" spans="1:61" ht="35.1" customHeight="1">
      <c r="A50" s="46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257" t="str">
        <f>AY39</f>
        <v>7:00 à 7:30</v>
      </c>
      <c r="AZ50" s="257"/>
      <c r="BA50" s="63"/>
      <c r="BB50" s="48">
        <f>IF(BB40=0,0,BB40/BA40)</f>
        <v>0</v>
      </c>
      <c r="BC50" s="48">
        <f>IF(BC40=0,0,BC40/BA40)</f>
        <v>0</v>
      </c>
      <c r="BD50" s="48">
        <f>IF(BD40=0,0,BD40/BB40)</f>
        <v>0</v>
      </c>
      <c r="BE50" s="48">
        <f>IF(BE40=0,0,BE40/BA40)</f>
        <v>0.5</v>
      </c>
      <c r="BF50" s="60"/>
      <c r="BG50" s="61"/>
      <c r="BH50" s="61"/>
      <c r="BI50" s="47"/>
    </row>
    <row r="51" spans="1:61" ht="35.1" customHeight="1">
      <c r="A51" s="46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257" t="str">
        <f>AY40</f>
        <v>7:30 à 8:00</v>
      </c>
      <c r="AZ51" s="257"/>
      <c r="BA51" s="63"/>
      <c r="BB51" s="48">
        <f>IF(BB40=0,0,BB40/BA40)</f>
        <v>0</v>
      </c>
      <c r="BC51" s="48">
        <f t="shared" ref="BC51:BD54" si="11">IF(BC40=0,0,BC40/BA40)</f>
        <v>0</v>
      </c>
      <c r="BD51" s="48">
        <f t="shared" si="11"/>
        <v>0</v>
      </c>
      <c r="BE51" s="48">
        <f>IF(BE40=0,0,BE40/BA40)</f>
        <v>0.5</v>
      </c>
      <c r="BF51" s="60"/>
      <c r="BG51" s="61"/>
      <c r="BH51" s="61"/>
      <c r="BI51" s="47"/>
    </row>
    <row r="52" spans="1:61" ht="35.1" customHeight="1">
      <c r="A52" s="46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257" t="str">
        <f>AY41</f>
        <v>8:00 à 8:30</v>
      </c>
      <c r="AZ52" s="257"/>
      <c r="BA52" s="63"/>
      <c r="BB52" s="48">
        <f>IF(BB41=0,0,BB41/BA41)</f>
        <v>0.375</v>
      </c>
      <c r="BC52" s="48">
        <f t="shared" si="11"/>
        <v>0.375</v>
      </c>
      <c r="BD52" s="48">
        <f t="shared" si="11"/>
        <v>0.33333333333333331</v>
      </c>
      <c r="BE52" s="48">
        <f>IF(BE41=0,0,BE41/BA41)</f>
        <v>0.625</v>
      </c>
      <c r="BF52" s="60"/>
      <c r="BG52" s="61"/>
      <c r="BH52" s="61"/>
      <c r="BI52" s="47"/>
    </row>
    <row r="53" spans="1:61" ht="35.1" customHeight="1">
      <c r="F53" s="47"/>
      <c r="K53" s="47"/>
      <c r="L53" s="47"/>
      <c r="M53" s="47"/>
      <c r="N53" s="47"/>
      <c r="O53" s="47"/>
      <c r="P53" s="47"/>
      <c r="Q53" s="47"/>
      <c r="AA53" s="47"/>
      <c r="AB53" s="47"/>
      <c r="AC53" s="47"/>
      <c r="AM53" s="47"/>
      <c r="AN53" s="47"/>
      <c r="AO53" s="47"/>
      <c r="AY53" s="257" t="str">
        <f>AY42</f>
        <v>8:30 à 9:00</v>
      </c>
      <c r="AZ53" s="257"/>
      <c r="BA53" s="63"/>
      <c r="BB53" s="48">
        <f>IF(BB42=0,0,BB42/BA42)</f>
        <v>0.14285714285714285</v>
      </c>
      <c r="BC53" s="48">
        <f t="shared" si="11"/>
        <v>0.5714285714285714</v>
      </c>
      <c r="BD53" s="48">
        <f t="shared" si="11"/>
        <v>0</v>
      </c>
      <c r="BE53" s="48">
        <f>IF(BE42=0,0,BE42/BA42)</f>
        <v>0.5714285714285714</v>
      </c>
      <c r="BF53" s="60"/>
      <c r="BG53" s="61"/>
      <c r="BH53" s="61"/>
    </row>
    <row r="54" spans="1:61" ht="35.1" customHeight="1">
      <c r="F54" s="47"/>
      <c r="K54" s="47"/>
      <c r="L54" s="47"/>
      <c r="M54" s="47"/>
      <c r="N54" s="47"/>
      <c r="O54" s="47"/>
      <c r="P54" s="47"/>
      <c r="Q54" s="47"/>
      <c r="AA54" s="47"/>
      <c r="AB54" s="47"/>
      <c r="AC54" s="47"/>
      <c r="AM54" s="47"/>
      <c r="AN54" s="47"/>
      <c r="AO54" s="47"/>
      <c r="AY54" s="271" t="s">
        <v>29</v>
      </c>
      <c r="AZ54" s="271"/>
      <c r="BA54" s="59"/>
      <c r="BB54" s="48">
        <f>IF(BB43=0,0,BB43/BA43)</f>
        <v>0.19047619047619047</v>
      </c>
      <c r="BC54" s="48">
        <f t="shared" si="11"/>
        <v>0.23809523809523808</v>
      </c>
      <c r="BD54" s="48">
        <f t="shared" si="11"/>
        <v>0.25</v>
      </c>
      <c r="BE54" s="48">
        <f>IF(BE43=0,0,BE43/BA43)</f>
        <v>0.66666666666666663</v>
      </c>
      <c r="BF54" s="60"/>
      <c r="BG54" s="61"/>
      <c r="BH54" s="61"/>
    </row>
    <row r="55" spans="1:61" ht="35.1" customHeight="1">
      <c r="AV55" s="50" t="s">
        <v>43</v>
      </c>
      <c r="AY55" s="257" t="str">
        <f>AY44</f>
        <v>8:00 à 8:30</v>
      </c>
      <c r="AZ55" s="257"/>
      <c r="BA55" s="39"/>
      <c r="BB55" s="51">
        <f>BB44/$BA$44</f>
        <v>0.375</v>
      </c>
      <c r="BC55" s="51">
        <f>BC44/$BA$44</f>
        <v>0.375</v>
      </c>
      <c r="BD55" s="51">
        <f>BD44/$BA$44</f>
        <v>0.125</v>
      </c>
      <c r="BE55" s="51">
        <f>BE44/$BA$44</f>
        <v>0.625</v>
      </c>
      <c r="BF55" s="60"/>
      <c r="BG55" s="61"/>
      <c r="BH55" s="61"/>
    </row>
  </sheetData>
  <mergeCells count="115">
    <mergeCell ref="AA11:AD11"/>
    <mergeCell ref="AE11:AH11"/>
    <mergeCell ref="AI11:AL11"/>
    <mergeCell ref="AM11:AP11"/>
    <mergeCell ref="AQ11:AT11"/>
    <mergeCell ref="AU11:AX11"/>
    <mergeCell ref="C10:N10"/>
    <mergeCell ref="O10:Z10"/>
    <mergeCell ref="AA10:AL10"/>
    <mergeCell ref="AM10:AX10"/>
    <mergeCell ref="C11:F11"/>
    <mergeCell ref="G11:J11"/>
    <mergeCell ref="K11:N11"/>
    <mergeCell ref="O11:R11"/>
    <mergeCell ref="S11:V11"/>
    <mergeCell ref="W11:Z11"/>
    <mergeCell ref="O12:P12"/>
    <mergeCell ref="Q12:R12"/>
    <mergeCell ref="S12:T12"/>
    <mergeCell ref="U12:V12"/>
    <mergeCell ref="W12:X12"/>
    <mergeCell ref="Y12:Z12"/>
    <mergeCell ref="C12:D12"/>
    <mergeCell ref="E12:F12"/>
    <mergeCell ref="G12:H12"/>
    <mergeCell ref="I12:J12"/>
    <mergeCell ref="K12:L12"/>
    <mergeCell ref="M12:N12"/>
    <mergeCell ref="AM12:AN12"/>
    <mergeCell ref="AO12:AP12"/>
    <mergeCell ref="AQ12:AR12"/>
    <mergeCell ref="AS12:AT12"/>
    <mergeCell ref="AU12:AV12"/>
    <mergeCell ref="AW12:AX12"/>
    <mergeCell ref="AA12:AB12"/>
    <mergeCell ref="AC12:AD12"/>
    <mergeCell ref="AE12:AF12"/>
    <mergeCell ref="AG12:AH12"/>
    <mergeCell ref="AI12:AJ12"/>
    <mergeCell ref="AK12:AL12"/>
    <mergeCell ref="BF34:BH37"/>
    <mergeCell ref="C35:F35"/>
    <mergeCell ref="G35:J35"/>
    <mergeCell ref="K35:N35"/>
    <mergeCell ref="O35:R35"/>
    <mergeCell ref="S35:V35"/>
    <mergeCell ref="W35:Z35"/>
    <mergeCell ref="C34:N34"/>
    <mergeCell ref="O34:Z34"/>
    <mergeCell ref="AA34:AL34"/>
    <mergeCell ref="AM34:AX34"/>
    <mergeCell ref="BA34:BA37"/>
    <mergeCell ref="BB34:BB37"/>
    <mergeCell ref="AA35:AD35"/>
    <mergeCell ref="AE35:AH35"/>
    <mergeCell ref="AI35:AL35"/>
    <mergeCell ref="AM35:AP35"/>
    <mergeCell ref="AQ35:AT35"/>
    <mergeCell ref="AU35:AX35"/>
    <mergeCell ref="C36:D36"/>
    <mergeCell ref="E36:F36"/>
    <mergeCell ref="O36:P36"/>
    <mergeCell ref="Q36:R36"/>
    <mergeCell ref="Y36:Z36"/>
    <mergeCell ref="BE34:BE37"/>
    <mergeCell ref="A40:B40"/>
    <mergeCell ref="AY40:AZ40"/>
    <mergeCell ref="AQ36:AR36"/>
    <mergeCell ref="AS36:AT36"/>
    <mergeCell ref="AU36:AV36"/>
    <mergeCell ref="AW36:AX36"/>
    <mergeCell ref="A37:B37"/>
    <mergeCell ref="AY37:AZ37"/>
    <mergeCell ref="AE36:AF36"/>
    <mergeCell ref="AG36:AH36"/>
    <mergeCell ref="AI36:AJ36"/>
    <mergeCell ref="AK36:AL36"/>
    <mergeCell ref="AM36:AN36"/>
    <mergeCell ref="AO36:AP36"/>
    <mergeCell ref="S36:T36"/>
    <mergeCell ref="U36:V36"/>
    <mergeCell ref="W36:X36"/>
    <mergeCell ref="AY44:AZ44"/>
    <mergeCell ref="BA45:BA48"/>
    <mergeCell ref="BB45:BB48"/>
    <mergeCell ref="A38:B38"/>
    <mergeCell ref="AY38:AZ38"/>
    <mergeCell ref="A39:B39"/>
    <mergeCell ref="AY39:AZ39"/>
    <mergeCell ref="BC34:BC37"/>
    <mergeCell ref="BD34:BD37"/>
    <mergeCell ref="A41:B41"/>
    <mergeCell ref="AY41:AZ41"/>
    <mergeCell ref="A42:B42"/>
    <mergeCell ref="AY42:AZ42"/>
    <mergeCell ref="A43:B43"/>
    <mergeCell ref="AY43:AZ43"/>
    <mergeCell ref="AA36:AB36"/>
    <mergeCell ref="AC36:AD36"/>
    <mergeCell ref="G36:H36"/>
    <mergeCell ref="I36:J36"/>
    <mergeCell ref="K36:L36"/>
    <mergeCell ref="M36:N36"/>
    <mergeCell ref="AY53:AZ53"/>
    <mergeCell ref="AY54:AZ54"/>
    <mergeCell ref="AY55:AZ55"/>
    <mergeCell ref="BF45:BH48"/>
    <mergeCell ref="AY48:AZ48"/>
    <mergeCell ref="AY49:AZ49"/>
    <mergeCell ref="AY50:AZ50"/>
    <mergeCell ref="AY51:AZ51"/>
    <mergeCell ref="AY52:AZ52"/>
    <mergeCell ref="BC45:BC48"/>
    <mergeCell ref="BD45:BD48"/>
    <mergeCell ref="BE45:BE48"/>
  </mergeCells>
  <pageMargins left="0.19645669291338586" right="0.19645669291338586" top="0.59015748031496063" bottom="0.59015748031496063" header="0.19645669291338586" footer="0.19645669291338586"/>
  <pageSetup paperSize="9" scale="46" fitToWidth="0" fitToHeight="0" pageOrder="overThenDown" orientation="landscape" useFirstPageNumber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56"/>
  <sheetViews>
    <sheetView topLeftCell="A22" zoomScale="50" zoomScaleNormal="50" workbookViewId="0">
      <selection activeCell="S40" sqref="S40"/>
    </sheetView>
  </sheetViews>
  <sheetFormatPr baseColWidth="10" defaultRowHeight="14.25"/>
  <cols>
    <col min="1" max="1" width="4.625" style="6" customWidth="1"/>
    <col min="2" max="2" width="13.5" style="6" customWidth="1"/>
    <col min="3" max="14" width="6.25" style="6" customWidth="1"/>
    <col min="15" max="49" width="5.25" style="6" customWidth="1"/>
    <col min="50" max="50" width="3.75" style="6" customWidth="1"/>
    <col min="51" max="51" width="8.75" style="6" customWidth="1"/>
    <col min="52" max="52" width="14.125" style="6" customWidth="1"/>
    <col min="53" max="57" width="21" style="6" customWidth="1"/>
    <col min="58" max="60" width="36.125" style="6" customWidth="1"/>
    <col min="61" max="61" width="10.75" style="6" customWidth="1"/>
    <col min="62" max="1023" width="11.125" style="6" customWidth="1"/>
    <col min="1024" max="1024" width="11" style="6" customWidth="1"/>
  </cols>
  <sheetData>
    <row r="1" spans="1:60" ht="52.5" customHeight="1">
      <c r="A1" s="46"/>
      <c r="B1" s="71" t="s">
        <v>70</v>
      </c>
      <c r="C1" s="47"/>
      <c r="D1" s="47"/>
      <c r="E1" s="47"/>
      <c r="G1" s="47"/>
      <c r="H1" s="47"/>
      <c r="I1" s="47"/>
      <c r="J1" s="47"/>
      <c r="O1" s="72" t="s">
        <v>2</v>
      </c>
      <c r="P1" s="73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</row>
    <row r="2" spans="1:60" ht="52.5" customHeight="1">
      <c r="A2" s="46" t="s">
        <v>3</v>
      </c>
      <c r="B2" s="47"/>
      <c r="C2" s="47"/>
      <c r="D2" s="47"/>
      <c r="E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</row>
    <row r="3" spans="1:60" ht="52.5" customHeight="1">
      <c r="A3" s="46" t="s">
        <v>4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</row>
    <row r="4" spans="1:60" ht="52.5" customHeight="1">
      <c r="A4" s="46" t="s">
        <v>5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</row>
    <row r="5" spans="1:60" ht="25.5" customHeight="1">
      <c r="A5" s="74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</row>
    <row r="6" spans="1:60" ht="25.5" customHeight="1">
      <c r="A6" s="167" t="s">
        <v>6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</row>
    <row r="7" spans="1:60" ht="25.5" customHeight="1">
      <c r="A7" s="167" t="s">
        <v>155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</row>
    <row r="8" spans="1:60" ht="25.5" customHeight="1">
      <c r="A8" s="167" t="s">
        <v>156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</row>
    <row r="9" spans="1:60" ht="25.5" customHeight="1">
      <c r="A9" s="74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</row>
    <row r="10" spans="1:60" customFormat="1" ht="32.25" customHeight="1">
      <c r="A10" s="1"/>
      <c r="B10" s="3"/>
      <c r="C10" s="264" t="s">
        <v>71</v>
      </c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 t="s">
        <v>72</v>
      </c>
      <c r="P10" s="264"/>
      <c r="Q10" s="264"/>
      <c r="R10" s="264"/>
      <c r="S10" s="264"/>
      <c r="T10" s="264"/>
      <c r="U10" s="264"/>
      <c r="V10" s="264"/>
      <c r="W10" s="264"/>
      <c r="X10" s="264"/>
      <c r="Y10" s="264"/>
      <c r="Z10" s="264"/>
      <c r="AA10" s="264" t="s">
        <v>73</v>
      </c>
      <c r="AB10" s="264"/>
      <c r="AC10" s="264"/>
      <c r="AD10" s="264"/>
      <c r="AE10" s="264"/>
      <c r="AF10" s="264"/>
      <c r="AG10" s="264"/>
      <c r="AH10" s="264"/>
      <c r="AI10" s="264"/>
      <c r="AJ10" s="264"/>
      <c r="AK10" s="264"/>
      <c r="AL10" s="264"/>
      <c r="AM10" s="264" t="s">
        <v>153</v>
      </c>
      <c r="AN10" s="264"/>
      <c r="AO10" s="264"/>
      <c r="AP10" s="264"/>
      <c r="AQ10" s="264"/>
      <c r="AR10" s="264"/>
      <c r="AS10" s="264"/>
      <c r="AT10" s="264"/>
      <c r="AU10" s="264"/>
      <c r="AV10" s="264"/>
      <c r="AW10" s="264"/>
      <c r="AX10" s="264"/>
      <c r="AY10" s="16"/>
      <c r="AZ10" s="16"/>
      <c r="BA10" s="16"/>
      <c r="BB10" s="16"/>
      <c r="BC10" s="16"/>
      <c r="BD10" s="16"/>
      <c r="BE10" s="16"/>
      <c r="BF10" s="16"/>
      <c r="BG10" s="16"/>
      <c r="BH10" s="16"/>
    </row>
    <row r="11" spans="1:60" customFormat="1" ht="51.2" customHeight="1">
      <c r="A11" s="1"/>
      <c r="B11" s="3"/>
      <c r="C11" s="259" t="s">
        <v>74</v>
      </c>
      <c r="D11" s="259"/>
      <c r="E11" s="259"/>
      <c r="F11" s="259"/>
      <c r="G11" s="259" t="s">
        <v>75</v>
      </c>
      <c r="H11" s="259"/>
      <c r="I11" s="259"/>
      <c r="J11" s="259"/>
      <c r="K11" s="259" t="s">
        <v>154</v>
      </c>
      <c r="L11" s="259"/>
      <c r="M11" s="259"/>
      <c r="N11" s="259"/>
      <c r="O11" s="259" t="s">
        <v>75</v>
      </c>
      <c r="P11" s="259"/>
      <c r="Q11" s="259"/>
      <c r="R11" s="259"/>
      <c r="S11" s="259" t="s">
        <v>154</v>
      </c>
      <c r="T11" s="259"/>
      <c r="U11" s="259"/>
      <c r="V11" s="259"/>
      <c r="W11" s="259" t="s">
        <v>76</v>
      </c>
      <c r="X11" s="259"/>
      <c r="Y11" s="259"/>
      <c r="Z11" s="259"/>
      <c r="AA11" s="259" t="s">
        <v>154</v>
      </c>
      <c r="AB11" s="259"/>
      <c r="AC11" s="259"/>
      <c r="AD11" s="259"/>
      <c r="AE11" s="259" t="s">
        <v>76</v>
      </c>
      <c r="AF11" s="259"/>
      <c r="AG11" s="259"/>
      <c r="AH11" s="259"/>
      <c r="AI11" s="259" t="s">
        <v>74</v>
      </c>
      <c r="AJ11" s="259"/>
      <c r="AK11" s="259"/>
      <c r="AL11" s="259"/>
      <c r="AM11" s="259" t="s">
        <v>76</v>
      </c>
      <c r="AN11" s="259"/>
      <c r="AO11" s="259"/>
      <c r="AP11" s="259"/>
      <c r="AQ11" s="259" t="s">
        <v>74</v>
      </c>
      <c r="AR11" s="259"/>
      <c r="AS11" s="259"/>
      <c r="AT11" s="259"/>
      <c r="AU11" s="259" t="s">
        <v>75</v>
      </c>
      <c r="AV11" s="259"/>
      <c r="AW11" s="259"/>
      <c r="AX11" s="259"/>
      <c r="AY11" s="18"/>
      <c r="AZ11" s="18"/>
      <c r="BA11" s="18"/>
      <c r="BB11" s="18"/>
      <c r="BC11" s="18"/>
      <c r="BD11" s="18"/>
      <c r="BE11" s="18"/>
      <c r="BF11" s="18"/>
      <c r="BG11" s="18"/>
      <c r="BH11" s="18"/>
    </row>
    <row r="12" spans="1:60" customFormat="1" ht="18.600000000000001" customHeight="1">
      <c r="A12" s="1"/>
      <c r="B12" s="3"/>
      <c r="C12" s="258" t="s">
        <v>14</v>
      </c>
      <c r="D12" s="258"/>
      <c r="E12" s="258" t="s">
        <v>15</v>
      </c>
      <c r="F12" s="258"/>
      <c r="G12" s="258" t="s">
        <v>14</v>
      </c>
      <c r="H12" s="258"/>
      <c r="I12" s="258" t="s">
        <v>15</v>
      </c>
      <c r="J12" s="258"/>
      <c r="K12" s="258" t="s">
        <v>14</v>
      </c>
      <c r="L12" s="258"/>
      <c r="M12" s="258" t="s">
        <v>15</v>
      </c>
      <c r="N12" s="258"/>
      <c r="O12" s="258" t="s">
        <v>14</v>
      </c>
      <c r="P12" s="258"/>
      <c r="Q12" s="258" t="s">
        <v>15</v>
      </c>
      <c r="R12" s="258"/>
      <c r="S12" s="258" t="s">
        <v>14</v>
      </c>
      <c r="T12" s="258"/>
      <c r="U12" s="258" t="s">
        <v>15</v>
      </c>
      <c r="V12" s="258"/>
      <c r="W12" s="258" t="s">
        <v>14</v>
      </c>
      <c r="X12" s="258"/>
      <c r="Y12" s="258" t="s">
        <v>15</v>
      </c>
      <c r="Z12" s="258"/>
      <c r="AA12" s="258" t="s">
        <v>14</v>
      </c>
      <c r="AB12" s="258"/>
      <c r="AC12" s="258" t="s">
        <v>15</v>
      </c>
      <c r="AD12" s="258"/>
      <c r="AE12" s="258" t="s">
        <v>14</v>
      </c>
      <c r="AF12" s="258"/>
      <c r="AG12" s="258" t="s">
        <v>15</v>
      </c>
      <c r="AH12" s="258"/>
      <c r="AI12" s="258" t="s">
        <v>14</v>
      </c>
      <c r="AJ12" s="258"/>
      <c r="AK12" s="258" t="s">
        <v>15</v>
      </c>
      <c r="AL12" s="258"/>
      <c r="AM12" s="258" t="s">
        <v>14</v>
      </c>
      <c r="AN12" s="258"/>
      <c r="AO12" s="258" t="s">
        <v>15</v>
      </c>
      <c r="AP12" s="258"/>
      <c r="AQ12" s="258" t="s">
        <v>14</v>
      </c>
      <c r="AR12" s="258"/>
      <c r="AS12" s="258" t="s">
        <v>15</v>
      </c>
      <c r="AT12" s="258"/>
      <c r="AU12" s="258" t="s">
        <v>14</v>
      </c>
      <c r="AV12" s="258"/>
      <c r="AW12" s="258" t="s">
        <v>15</v>
      </c>
      <c r="AX12" s="258"/>
      <c r="AY12" s="20"/>
      <c r="AZ12" s="20"/>
      <c r="BA12" s="20"/>
      <c r="BB12" s="20"/>
      <c r="BC12" s="20"/>
      <c r="BD12" s="20"/>
      <c r="BE12" s="20"/>
      <c r="BF12" s="20"/>
      <c r="BG12" s="20"/>
      <c r="BH12" s="20"/>
    </row>
    <row r="13" spans="1:60" customFormat="1" ht="20.25">
      <c r="A13" s="21" t="s">
        <v>14</v>
      </c>
      <c r="B13" s="21" t="s">
        <v>17</v>
      </c>
      <c r="C13" s="22" t="s">
        <v>18</v>
      </c>
      <c r="D13" s="22" t="s">
        <v>19</v>
      </c>
      <c r="E13" s="22" t="s">
        <v>18</v>
      </c>
      <c r="F13" s="22" t="s">
        <v>19</v>
      </c>
      <c r="G13" s="22" t="s">
        <v>18</v>
      </c>
      <c r="H13" s="22" t="s">
        <v>19</v>
      </c>
      <c r="I13" s="22" t="s">
        <v>18</v>
      </c>
      <c r="J13" s="22" t="s">
        <v>19</v>
      </c>
      <c r="K13" s="22" t="s">
        <v>18</v>
      </c>
      <c r="L13" s="22" t="s">
        <v>19</v>
      </c>
      <c r="M13" s="22" t="s">
        <v>18</v>
      </c>
      <c r="N13" s="22" t="s">
        <v>19</v>
      </c>
      <c r="O13" s="22" t="s">
        <v>18</v>
      </c>
      <c r="P13" s="22" t="s">
        <v>19</v>
      </c>
      <c r="Q13" s="22" t="s">
        <v>18</v>
      </c>
      <c r="R13" s="22" t="s">
        <v>19</v>
      </c>
      <c r="S13" s="22" t="s">
        <v>18</v>
      </c>
      <c r="T13" s="22" t="s">
        <v>19</v>
      </c>
      <c r="U13" s="22" t="s">
        <v>18</v>
      </c>
      <c r="V13" s="22" t="s">
        <v>19</v>
      </c>
      <c r="W13" s="22" t="s">
        <v>18</v>
      </c>
      <c r="X13" s="22" t="s">
        <v>19</v>
      </c>
      <c r="Y13" s="22" t="s">
        <v>18</v>
      </c>
      <c r="Z13" s="22" t="s">
        <v>19</v>
      </c>
      <c r="AA13" s="22" t="s">
        <v>18</v>
      </c>
      <c r="AB13" s="22" t="s">
        <v>19</v>
      </c>
      <c r="AC13" s="22" t="s">
        <v>18</v>
      </c>
      <c r="AD13" s="22" t="s">
        <v>19</v>
      </c>
      <c r="AE13" s="22" t="s">
        <v>18</v>
      </c>
      <c r="AF13" s="22" t="s">
        <v>19</v>
      </c>
      <c r="AG13" s="22" t="s">
        <v>18</v>
      </c>
      <c r="AH13" s="22" t="s">
        <v>19</v>
      </c>
      <c r="AI13" s="22" t="s">
        <v>18</v>
      </c>
      <c r="AJ13" s="22" t="s">
        <v>19</v>
      </c>
      <c r="AK13" s="22" t="s">
        <v>18</v>
      </c>
      <c r="AL13" s="22" t="s">
        <v>19</v>
      </c>
      <c r="AM13" s="22" t="s">
        <v>18</v>
      </c>
      <c r="AN13" s="22" t="s">
        <v>19</v>
      </c>
      <c r="AO13" s="22" t="s">
        <v>18</v>
      </c>
      <c r="AP13" s="22" t="s">
        <v>19</v>
      </c>
      <c r="AQ13" s="22" t="s">
        <v>18</v>
      </c>
      <c r="AR13" s="22" t="s">
        <v>19</v>
      </c>
      <c r="AS13" s="22" t="s">
        <v>18</v>
      </c>
      <c r="AT13" s="22" t="s">
        <v>19</v>
      </c>
      <c r="AU13" s="22" t="s">
        <v>18</v>
      </c>
      <c r="AV13" s="22" t="s">
        <v>19</v>
      </c>
      <c r="AW13" s="22" t="s">
        <v>18</v>
      </c>
      <c r="AX13" s="22" t="s">
        <v>19</v>
      </c>
      <c r="AY13" s="24"/>
      <c r="AZ13" s="24"/>
      <c r="BA13" s="24"/>
      <c r="BB13" s="24"/>
      <c r="BC13" s="24"/>
      <c r="BD13" s="24"/>
      <c r="BE13" s="24"/>
      <c r="BF13" s="24"/>
      <c r="BG13" s="24"/>
      <c r="BH13" s="24"/>
    </row>
    <row r="14" spans="1:60" customFormat="1" ht="54.95" customHeight="1">
      <c r="A14" s="25">
        <v>6</v>
      </c>
      <c r="B14" s="21" t="s">
        <v>20</v>
      </c>
      <c r="C14" s="155"/>
      <c r="D14" s="156"/>
      <c r="E14" s="156"/>
      <c r="F14" s="156"/>
      <c r="G14" s="156"/>
      <c r="H14" s="156"/>
      <c r="I14" s="156"/>
      <c r="J14" s="156"/>
      <c r="K14" s="156"/>
      <c r="L14" s="156">
        <v>1</v>
      </c>
      <c r="M14" s="156"/>
      <c r="N14" s="156"/>
      <c r="O14" s="156"/>
      <c r="P14" s="156"/>
      <c r="Q14" s="156"/>
      <c r="R14" s="156"/>
      <c r="S14" s="156"/>
      <c r="T14" s="156">
        <v>1</v>
      </c>
      <c r="U14" s="156"/>
      <c r="V14" s="156"/>
      <c r="W14" s="156"/>
      <c r="X14" s="156"/>
      <c r="Y14" s="156"/>
      <c r="Z14" s="156"/>
      <c r="AA14" s="156">
        <v>1</v>
      </c>
      <c r="AB14" s="156"/>
      <c r="AC14" s="156">
        <v>1</v>
      </c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7">
        <v>1</v>
      </c>
      <c r="AV14" s="157"/>
      <c r="AW14" s="157"/>
      <c r="AX14" s="158"/>
      <c r="AY14" s="28"/>
      <c r="AZ14" s="28"/>
      <c r="BA14" s="28"/>
      <c r="BB14" s="28"/>
      <c r="BC14" s="28"/>
      <c r="BD14" s="28"/>
      <c r="BE14" s="28"/>
      <c r="BF14" s="28"/>
      <c r="BG14" s="28"/>
      <c r="BH14" s="28"/>
    </row>
    <row r="15" spans="1:60" customFormat="1" ht="54.95" customHeight="1">
      <c r="A15" s="21"/>
      <c r="B15" s="21" t="s">
        <v>21</v>
      </c>
      <c r="C15" s="159"/>
      <c r="D15" s="160"/>
      <c r="E15" s="160"/>
      <c r="F15" s="160"/>
      <c r="G15" s="160"/>
      <c r="H15" s="160"/>
      <c r="I15" s="160"/>
      <c r="J15" s="160"/>
      <c r="K15" s="160"/>
      <c r="L15" s="160">
        <v>2</v>
      </c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>
        <v>3</v>
      </c>
      <c r="AO15" s="160"/>
      <c r="AP15" s="160"/>
      <c r="AQ15" s="160"/>
      <c r="AR15" s="160"/>
      <c r="AS15" s="160"/>
      <c r="AT15" s="160"/>
      <c r="AU15" s="161">
        <v>1</v>
      </c>
      <c r="AV15" s="161"/>
      <c r="AW15" s="161"/>
      <c r="AX15" s="162"/>
      <c r="AY15" s="28"/>
      <c r="AZ15" s="28"/>
      <c r="BA15" s="28"/>
      <c r="BB15" s="28"/>
      <c r="BC15" s="28"/>
      <c r="BD15" s="28"/>
      <c r="BE15" s="28"/>
      <c r="BF15" s="28"/>
      <c r="BG15" s="28"/>
      <c r="BH15" s="28"/>
    </row>
    <row r="16" spans="1:60" customFormat="1" ht="54.95" customHeight="1">
      <c r="A16" s="25">
        <v>7</v>
      </c>
      <c r="B16" s="21" t="s">
        <v>22</v>
      </c>
      <c r="C16" s="159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>
        <v>1</v>
      </c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>
        <v>1</v>
      </c>
      <c r="AS16" s="160"/>
      <c r="AT16" s="160"/>
      <c r="AU16" s="161"/>
      <c r="AV16" s="161"/>
      <c r="AW16" s="161">
        <v>1</v>
      </c>
      <c r="AX16" s="162"/>
      <c r="AY16" s="28"/>
      <c r="AZ16" s="28"/>
      <c r="BA16" s="28"/>
      <c r="BB16" s="28"/>
      <c r="BC16" s="28"/>
      <c r="BD16" s="28"/>
      <c r="BE16" s="28"/>
      <c r="BF16" s="28"/>
      <c r="BG16" s="28"/>
      <c r="BH16" s="28"/>
    </row>
    <row r="17" spans="1:73" customFormat="1" ht="54.95" customHeight="1">
      <c r="A17" s="21"/>
      <c r="B17" s="21" t="s">
        <v>23</v>
      </c>
      <c r="C17" s="159"/>
      <c r="D17" s="160"/>
      <c r="E17" s="160"/>
      <c r="F17" s="160"/>
      <c r="G17" s="160"/>
      <c r="H17" s="160"/>
      <c r="I17" s="160"/>
      <c r="J17" s="160"/>
      <c r="K17" s="160"/>
      <c r="L17" s="160"/>
      <c r="M17" s="160">
        <v>1</v>
      </c>
      <c r="N17" s="160">
        <v>1</v>
      </c>
      <c r="O17" s="160"/>
      <c r="P17" s="160"/>
      <c r="Q17" s="160"/>
      <c r="R17" s="160"/>
      <c r="S17" s="160">
        <v>1</v>
      </c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>
        <v>1</v>
      </c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>
        <v>1</v>
      </c>
      <c r="AS17" s="160"/>
      <c r="AT17" s="160"/>
      <c r="AU17" s="161"/>
      <c r="AV17" s="161"/>
      <c r="AW17" s="161">
        <v>1</v>
      </c>
      <c r="AX17" s="162"/>
      <c r="AY17" s="28"/>
      <c r="AZ17" s="28"/>
      <c r="BA17" s="28"/>
      <c r="BB17" s="28"/>
      <c r="BC17" s="28"/>
      <c r="BD17" s="28"/>
      <c r="BE17" s="28"/>
      <c r="BF17" s="28"/>
      <c r="BG17" s="28"/>
      <c r="BH17" s="28"/>
    </row>
    <row r="18" spans="1:73" customFormat="1" ht="54.95" customHeight="1">
      <c r="A18" s="21"/>
      <c r="B18" s="21" t="s">
        <v>20</v>
      </c>
      <c r="C18" s="159"/>
      <c r="D18" s="160"/>
      <c r="E18" s="160"/>
      <c r="F18" s="160"/>
      <c r="G18" s="160"/>
      <c r="H18" s="160">
        <v>1</v>
      </c>
      <c r="I18" s="160"/>
      <c r="J18" s="160">
        <v>1</v>
      </c>
      <c r="K18" s="160">
        <v>1</v>
      </c>
      <c r="L18" s="160"/>
      <c r="M18" s="160"/>
      <c r="N18" s="160"/>
      <c r="O18" s="160"/>
      <c r="P18" s="160"/>
      <c r="Q18" s="160"/>
      <c r="R18" s="160"/>
      <c r="S18" s="160"/>
      <c r="T18" s="160">
        <v>2</v>
      </c>
      <c r="U18" s="160"/>
      <c r="V18" s="160"/>
      <c r="W18" s="160"/>
      <c r="X18" s="160"/>
      <c r="Y18" s="160"/>
      <c r="Z18" s="160"/>
      <c r="AA18" s="160"/>
      <c r="AB18" s="160"/>
      <c r="AC18" s="160"/>
      <c r="AD18" s="160">
        <v>1</v>
      </c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1"/>
      <c r="AV18" s="161">
        <v>1</v>
      </c>
      <c r="AW18" s="161"/>
      <c r="AX18" s="162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</row>
    <row r="19" spans="1:73" customFormat="1" ht="54.95" customHeight="1">
      <c r="A19" s="21"/>
      <c r="B19" s="21" t="s">
        <v>24</v>
      </c>
      <c r="C19" s="159"/>
      <c r="D19" s="160">
        <v>1</v>
      </c>
      <c r="E19" s="160"/>
      <c r="F19" s="160"/>
      <c r="G19" s="160"/>
      <c r="H19" s="160">
        <v>1</v>
      </c>
      <c r="I19" s="160">
        <v>1</v>
      </c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>
        <v>1</v>
      </c>
      <c r="W19" s="160"/>
      <c r="X19" s="160"/>
      <c r="Y19" s="160">
        <v>1</v>
      </c>
      <c r="Z19" s="160"/>
      <c r="AA19" s="160"/>
      <c r="AB19" s="160"/>
      <c r="AC19" s="160"/>
      <c r="AD19" s="160"/>
      <c r="AE19" s="160"/>
      <c r="AF19" s="160">
        <v>4</v>
      </c>
      <c r="AG19" s="160"/>
      <c r="AH19" s="160">
        <v>1</v>
      </c>
      <c r="AI19" s="160">
        <v>1</v>
      </c>
      <c r="AJ19" s="160"/>
      <c r="AK19" s="160"/>
      <c r="AL19" s="160"/>
      <c r="AM19" s="160"/>
      <c r="AN19" s="160">
        <v>1</v>
      </c>
      <c r="AO19" s="160"/>
      <c r="AP19" s="160"/>
      <c r="AQ19" s="160"/>
      <c r="AR19" s="160">
        <v>1</v>
      </c>
      <c r="AS19" s="160"/>
      <c r="AT19" s="160"/>
      <c r="AU19" s="161"/>
      <c r="AV19" s="161">
        <v>1</v>
      </c>
      <c r="AW19" s="161"/>
      <c r="AX19" s="162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</row>
    <row r="20" spans="1:73" customFormat="1" ht="54.95" customHeight="1">
      <c r="A20" s="25">
        <v>8</v>
      </c>
      <c r="B20" s="21" t="s">
        <v>22</v>
      </c>
      <c r="C20" s="159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>
        <v>1</v>
      </c>
      <c r="AB20" s="160"/>
      <c r="AC20" s="160"/>
      <c r="AD20" s="160">
        <v>1</v>
      </c>
      <c r="AE20" s="160"/>
      <c r="AF20" s="160"/>
      <c r="AG20" s="160">
        <v>1</v>
      </c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1"/>
      <c r="AV20" s="161">
        <v>1</v>
      </c>
      <c r="AW20" s="161"/>
      <c r="AX20" s="162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</row>
    <row r="21" spans="1:73" customFormat="1" ht="54.95" customHeight="1">
      <c r="A21" s="21"/>
      <c r="B21" s="21" t="s">
        <v>186</v>
      </c>
      <c r="C21" s="159"/>
      <c r="D21" s="160">
        <v>1</v>
      </c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>
        <v>1</v>
      </c>
      <c r="AC21" s="160">
        <v>1</v>
      </c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>
        <v>1</v>
      </c>
      <c r="AS21" s="160"/>
      <c r="AT21" s="160">
        <v>1</v>
      </c>
      <c r="AU21" s="161"/>
      <c r="AV21" s="161">
        <v>1</v>
      </c>
      <c r="AW21" s="161"/>
      <c r="AX21" s="162">
        <v>1</v>
      </c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</row>
    <row r="22" spans="1:73" customFormat="1" ht="54.95" customHeight="1">
      <c r="A22" s="21"/>
      <c r="B22" s="205" t="s">
        <v>20</v>
      </c>
      <c r="C22" s="159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1"/>
      <c r="AV22" s="161"/>
      <c r="AW22" s="161"/>
      <c r="AX22" s="162">
        <v>1</v>
      </c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</row>
    <row r="23" spans="1:73" customFormat="1" ht="51.75" customHeight="1">
      <c r="A23" s="29">
        <v>9</v>
      </c>
      <c r="B23" s="205" t="s">
        <v>24</v>
      </c>
      <c r="C23" s="163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  <c r="AO23" s="164"/>
      <c r="AP23" s="164"/>
      <c r="AQ23" s="164"/>
      <c r="AR23" s="164"/>
      <c r="AS23" s="164"/>
      <c r="AT23" s="164"/>
      <c r="AU23" s="165">
        <v>1</v>
      </c>
      <c r="AV23" s="165"/>
      <c r="AW23" s="165">
        <v>1</v>
      </c>
      <c r="AX23" s="166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</row>
    <row r="24" spans="1:73" customFormat="1" ht="18" customHeight="1">
      <c r="A24" s="68"/>
      <c r="B24" s="23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</row>
    <row r="25" spans="1:73" s="36" customFormat="1" ht="39.75" customHeight="1">
      <c r="A25" s="32" t="s">
        <v>25</v>
      </c>
      <c r="B25" s="33"/>
      <c r="C25" s="33"/>
      <c r="D25" s="33"/>
      <c r="E25" s="33"/>
      <c r="F25" s="33"/>
      <c r="G25" s="196">
        <v>8</v>
      </c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2" t="s">
        <v>26</v>
      </c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196">
        <v>2</v>
      </c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4"/>
    </row>
    <row r="26" spans="1:73" s="36" customFormat="1" ht="39.75" customHeight="1">
      <c r="A26" s="32" t="s">
        <v>27</v>
      </c>
      <c r="B26" s="33"/>
      <c r="C26" s="33"/>
      <c r="D26" s="33"/>
      <c r="E26" s="33"/>
      <c r="F26" s="33"/>
      <c r="G26" s="196">
        <v>6</v>
      </c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2" t="s">
        <v>28</v>
      </c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196">
        <v>18</v>
      </c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4"/>
    </row>
    <row r="27" spans="1:73" customFormat="1" ht="25.5" customHeight="1">
      <c r="A27" s="37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1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1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1"/>
      <c r="BS27" s="6"/>
      <c r="BT27" s="3"/>
    </row>
    <row r="28" spans="1:73" customFormat="1" ht="25.5" customHeight="1">
      <c r="A28" s="37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1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1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1"/>
      <c r="BS28" s="6"/>
      <c r="BT28" s="3"/>
    </row>
    <row r="29" spans="1:73" customFormat="1" ht="25.5" customHeight="1">
      <c r="A29" s="37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1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1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1"/>
      <c r="BS29" s="6"/>
      <c r="BT29" s="3"/>
    </row>
    <row r="30" spans="1:73" customFormat="1" ht="25.5" customHeight="1">
      <c r="A30" s="37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1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1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1"/>
      <c r="BS30" s="6"/>
      <c r="BT30" s="3"/>
    </row>
    <row r="31" spans="1:73" customFormat="1" ht="25.5" customHeight="1">
      <c r="A31" s="37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1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1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1"/>
      <c r="BS31" s="6"/>
      <c r="BT31" s="3"/>
    </row>
    <row r="32" spans="1:73" customFormat="1" ht="25.5" customHeight="1">
      <c r="A32" s="37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1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1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1"/>
      <c r="BS32" s="6"/>
      <c r="BT32" s="3"/>
    </row>
    <row r="33" spans="1:73" customFormat="1" ht="25.5" customHeight="1">
      <c r="A33" s="37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1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</row>
    <row r="34" spans="1:73" customFormat="1" ht="32.25" customHeight="1">
      <c r="A34" s="14"/>
      <c r="B34" s="10"/>
      <c r="C34" s="264" t="str">
        <f>C10</f>
        <v>D’Eteaux vers</v>
      </c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 t="str">
        <f>O10</f>
        <v>De av Lucien Rannard vers</v>
      </c>
      <c r="P34" s="264"/>
      <c r="Q34" s="264"/>
      <c r="R34" s="264"/>
      <c r="S34" s="264"/>
      <c r="T34" s="264"/>
      <c r="U34" s="264"/>
      <c r="V34" s="264"/>
      <c r="W34" s="264"/>
      <c r="X34" s="264"/>
      <c r="Y34" s="264"/>
      <c r="Z34" s="264"/>
      <c r="AA34" s="264" t="str">
        <f>AA10</f>
        <v>De av J Jaurès vers</v>
      </c>
      <c r="AB34" s="264"/>
      <c r="AC34" s="264"/>
      <c r="AD34" s="264"/>
      <c r="AE34" s="264"/>
      <c r="AF34" s="264"/>
      <c r="AG34" s="264"/>
      <c r="AH34" s="264"/>
      <c r="AI34" s="264"/>
      <c r="AJ34" s="264"/>
      <c r="AK34" s="264"/>
      <c r="AL34" s="264"/>
      <c r="AM34" s="264" t="str">
        <f>AM10</f>
        <v>De Gare et av Gare vers</v>
      </c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  <c r="AZ34" s="10"/>
      <c r="BA34" s="268" t="s">
        <v>29</v>
      </c>
      <c r="BB34" s="267" t="s">
        <v>30</v>
      </c>
      <c r="BC34" s="262" t="s">
        <v>31</v>
      </c>
      <c r="BD34" s="262" t="s">
        <v>32</v>
      </c>
      <c r="BE34" s="263" t="s">
        <v>65</v>
      </c>
      <c r="BF34" s="267" t="s">
        <v>56</v>
      </c>
      <c r="BG34" s="267"/>
      <c r="BH34" s="267"/>
      <c r="BI34" s="6"/>
    </row>
    <row r="35" spans="1:73" customFormat="1" ht="46.7" customHeight="1">
      <c r="A35" s="14"/>
      <c r="B35" s="10"/>
      <c r="C35" s="259" t="str">
        <f>C11</f>
        <v>Av L Rannard</v>
      </c>
      <c r="D35" s="259"/>
      <c r="E35" s="259"/>
      <c r="F35" s="259"/>
      <c r="G35" s="259" t="str">
        <f>G11</f>
        <v>Av J Jaurès</v>
      </c>
      <c r="H35" s="259"/>
      <c r="I35" s="259"/>
      <c r="J35" s="259"/>
      <c r="K35" s="259" t="str">
        <f>K11</f>
        <v>Gare/av Gare</v>
      </c>
      <c r="L35" s="259"/>
      <c r="M35" s="259"/>
      <c r="N35" s="259"/>
      <c r="O35" s="259" t="str">
        <f>O11</f>
        <v>Av J Jaurès</v>
      </c>
      <c r="P35" s="259"/>
      <c r="Q35" s="259"/>
      <c r="R35" s="259"/>
      <c r="S35" s="259" t="str">
        <f>S11</f>
        <v>Gare/av Gare</v>
      </c>
      <c r="T35" s="259"/>
      <c r="U35" s="259"/>
      <c r="V35" s="259"/>
      <c r="W35" s="259" t="str">
        <f>W11</f>
        <v>Eteaux</v>
      </c>
      <c r="X35" s="259"/>
      <c r="Y35" s="259"/>
      <c r="Z35" s="259"/>
      <c r="AA35" s="259" t="str">
        <f>AA11</f>
        <v>Gare/av Gare</v>
      </c>
      <c r="AB35" s="259"/>
      <c r="AC35" s="259"/>
      <c r="AD35" s="259"/>
      <c r="AE35" s="259" t="str">
        <f>AE11</f>
        <v>Eteaux</v>
      </c>
      <c r="AF35" s="259"/>
      <c r="AG35" s="259"/>
      <c r="AH35" s="259"/>
      <c r="AI35" s="259" t="str">
        <f>AI11</f>
        <v>Av L Rannard</v>
      </c>
      <c r="AJ35" s="259"/>
      <c r="AK35" s="259"/>
      <c r="AL35" s="259"/>
      <c r="AM35" s="259" t="str">
        <f>AM11</f>
        <v>Eteaux</v>
      </c>
      <c r="AN35" s="259"/>
      <c r="AO35" s="259"/>
      <c r="AP35" s="259"/>
      <c r="AQ35" s="259" t="str">
        <f>AQ11</f>
        <v>Av L Rannard</v>
      </c>
      <c r="AR35" s="259"/>
      <c r="AS35" s="259"/>
      <c r="AT35" s="259"/>
      <c r="AU35" s="259" t="str">
        <f>AU11</f>
        <v>Av J Jaurès</v>
      </c>
      <c r="AV35" s="259"/>
      <c r="AW35" s="259"/>
      <c r="AX35" s="259"/>
      <c r="AY35" s="14"/>
      <c r="AZ35" s="10"/>
      <c r="BA35" s="268"/>
      <c r="BB35" s="267"/>
      <c r="BC35" s="262"/>
      <c r="BD35" s="262"/>
      <c r="BE35" s="263"/>
      <c r="BF35" s="267"/>
      <c r="BG35" s="267"/>
      <c r="BH35" s="267"/>
      <c r="BI35" s="6"/>
    </row>
    <row r="36" spans="1:73" customFormat="1" ht="18.600000000000001" customHeight="1">
      <c r="A36" s="14"/>
      <c r="B36" s="10"/>
      <c r="C36" s="258" t="s">
        <v>14</v>
      </c>
      <c r="D36" s="258"/>
      <c r="E36" s="258" t="s">
        <v>15</v>
      </c>
      <c r="F36" s="258"/>
      <c r="G36" s="258" t="s">
        <v>14</v>
      </c>
      <c r="H36" s="258"/>
      <c r="I36" s="258" t="s">
        <v>15</v>
      </c>
      <c r="J36" s="258"/>
      <c r="K36" s="258" t="s">
        <v>14</v>
      </c>
      <c r="L36" s="258"/>
      <c r="M36" s="258" t="s">
        <v>15</v>
      </c>
      <c r="N36" s="258"/>
      <c r="O36" s="258" t="s">
        <v>14</v>
      </c>
      <c r="P36" s="258"/>
      <c r="Q36" s="258" t="s">
        <v>15</v>
      </c>
      <c r="R36" s="258"/>
      <c r="S36" s="258" t="s">
        <v>14</v>
      </c>
      <c r="T36" s="258"/>
      <c r="U36" s="258" t="s">
        <v>15</v>
      </c>
      <c r="V36" s="258"/>
      <c r="W36" s="258" t="s">
        <v>14</v>
      </c>
      <c r="X36" s="258"/>
      <c r="Y36" s="258" t="s">
        <v>15</v>
      </c>
      <c r="Z36" s="258"/>
      <c r="AA36" s="258" t="s">
        <v>14</v>
      </c>
      <c r="AB36" s="258"/>
      <c r="AC36" s="258" t="s">
        <v>15</v>
      </c>
      <c r="AD36" s="258"/>
      <c r="AE36" s="258" t="s">
        <v>14</v>
      </c>
      <c r="AF36" s="258"/>
      <c r="AG36" s="258" t="s">
        <v>15</v>
      </c>
      <c r="AH36" s="258"/>
      <c r="AI36" s="258" t="s">
        <v>14</v>
      </c>
      <c r="AJ36" s="258"/>
      <c r="AK36" s="258" t="s">
        <v>15</v>
      </c>
      <c r="AL36" s="258"/>
      <c r="AM36" s="258" t="s">
        <v>14</v>
      </c>
      <c r="AN36" s="258"/>
      <c r="AO36" s="258" t="s">
        <v>15</v>
      </c>
      <c r="AP36" s="258"/>
      <c r="AQ36" s="258" t="s">
        <v>14</v>
      </c>
      <c r="AR36" s="258"/>
      <c r="AS36" s="258" t="s">
        <v>15</v>
      </c>
      <c r="AT36" s="258"/>
      <c r="AU36" s="258" t="s">
        <v>14</v>
      </c>
      <c r="AV36" s="258"/>
      <c r="AW36" s="258" t="s">
        <v>15</v>
      </c>
      <c r="AX36" s="258"/>
      <c r="AY36" s="58"/>
      <c r="AZ36" s="10"/>
      <c r="BA36" s="268"/>
      <c r="BB36" s="267"/>
      <c r="BC36" s="262"/>
      <c r="BD36" s="262"/>
      <c r="BE36" s="263"/>
      <c r="BF36" s="267"/>
      <c r="BG36" s="267"/>
      <c r="BH36" s="267"/>
      <c r="BI36" s="6"/>
    </row>
    <row r="37" spans="1:73" customFormat="1" ht="20.25">
      <c r="A37" s="257" t="s">
        <v>34</v>
      </c>
      <c r="B37" s="257"/>
      <c r="C37" s="22" t="s">
        <v>18</v>
      </c>
      <c r="D37" s="22" t="s">
        <v>19</v>
      </c>
      <c r="E37" s="22" t="s">
        <v>18</v>
      </c>
      <c r="F37" s="22" t="s">
        <v>19</v>
      </c>
      <c r="G37" s="22" t="s">
        <v>18</v>
      </c>
      <c r="H37" s="22" t="s">
        <v>19</v>
      </c>
      <c r="I37" s="22" t="s">
        <v>18</v>
      </c>
      <c r="J37" s="22" t="s">
        <v>19</v>
      </c>
      <c r="K37" s="22" t="s">
        <v>18</v>
      </c>
      <c r="L37" s="22" t="s">
        <v>19</v>
      </c>
      <c r="M37" s="22" t="s">
        <v>18</v>
      </c>
      <c r="N37" s="22" t="s">
        <v>19</v>
      </c>
      <c r="O37" s="22" t="s">
        <v>18</v>
      </c>
      <c r="P37" s="22" t="s">
        <v>19</v>
      </c>
      <c r="Q37" s="22" t="s">
        <v>18</v>
      </c>
      <c r="R37" s="22" t="s">
        <v>19</v>
      </c>
      <c r="S37" s="22" t="s">
        <v>18</v>
      </c>
      <c r="T37" s="22" t="s">
        <v>19</v>
      </c>
      <c r="U37" s="22" t="s">
        <v>18</v>
      </c>
      <c r="V37" s="22" t="s">
        <v>19</v>
      </c>
      <c r="W37" s="22" t="s">
        <v>18</v>
      </c>
      <c r="X37" s="22" t="s">
        <v>19</v>
      </c>
      <c r="Y37" s="22" t="s">
        <v>18</v>
      </c>
      <c r="Z37" s="22" t="s">
        <v>19</v>
      </c>
      <c r="AA37" s="22" t="s">
        <v>18</v>
      </c>
      <c r="AB37" s="22" t="s">
        <v>19</v>
      </c>
      <c r="AC37" s="22" t="s">
        <v>18</v>
      </c>
      <c r="AD37" s="22" t="s">
        <v>19</v>
      </c>
      <c r="AE37" s="22" t="s">
        <v>18</v>
      </c>
      <c r="AF37" s="22" t="s">
        <v>19</v>
      </c>
      <c r="AG37" s="22" t="s">
        <v>18</v>
      </c>
      <c r="AH37" s="22" t="s">
        <v>19</v>
      </c>
      <c r="AI37" s="22" t="s">
        <v>18</v>
      </c>
      <c r="AJ37" s="22" t="s">
        <v>19</v>
      </c>
      <c r="AK37" s="22" t="s">
        <v>18</v>
      </c>
      <c r="AL37" s="22" t="s">
        <v>19</v>
      </c>
      <c r="AM37" s="22" t="s">
        <v>18</v>
      </c>
      <c r="AN37" s="22" t="s">
        <v>19</v>
      </c>
      <c r="AO37" s="22" t="s">
        <v>18</v>
      </c>
      <c r="AP37" s="22" t="s">
        <v>19</v>
      </c>
      <c r="AQ37" s="22" t="s">
        <v>18</v>
      </c>
      <c r="AR37" s="22" t="s">
        <v>19</v>
      </c>
      <c r="AS37" s="22" t="s">
        <v>18</v>
      </c>
      <c r="AT37" s="22" t="s">
        <v>19</v>
      </c>
      <c r="AU37" s="22" t="s">
        <v>18</v>
      </c>
      <c r="AV37" s="22" t="s">
        <v>19</v>
      </c>
      <c r="AW37" s="22" t="s">
        <v>18</v>
      </c>
      <c r="AX37" s="22" t="s">
        <v>19</v>
      </c>
      <c r="AY37" s="257" t="s">
        <v>34</v>
      </c>
      <c r="AZ37" s="257"/>
      <c r="BA37" s="268"/>
      <c r="BB37" s="267"/>
      <c r="BC37" s="262"/>
      <c r="BD37" s="262"/>
      <c r="BE37" s="263"/>
      <c r="BF37" s="267"/>
      <c r="BG37" s="267"/>
      <c r="BH37" s="267"/>
      <c r="BI37" s="6"/>
    </row>
    <row r="38" spans="1:73" customFormat="1" ht="54.95" customHeight="1">
      <c r="A38" s="257" t="s">
        <v>35</v>
      </c>
      <c r="B38" s="257"/>
      <c r="C38" s="26">
        <f t="shared" ref="C38:AX38" si="0">SUM(C14:C15)</f>
        <v>0</v>
      </c>
      <c r="D38" s="26">
        <f t="shared" si="0"/>
        <v>0</v>
      </c>
      <c r="E38" s="26">
        <f t="shared" si="0"/>
        <v>0</v>
      </c>
      <c r="F38" s="26">
        <f t="shared" si="0"/>
        <v>0</v>
      </c>
      <c r="G38" s="26">
        <f t="shared" si="0"/>
        <v>0</v>
      </c>
      <c r="H38" s="26">
        <f t="shared" si="0"/>
        <v>0</v>
      </c>
      <c r="I38" s="26">
        <f t="shared" si="0"/>
        <v>0</v>
      </c>
      <c r="J38" s="26">
        <f t="shared" si="0"/>
        <v>0</v>
      </c>
      <c r="K38" s="26">
        <f t="shared" si="0"/>
        <v>0</v>
      </c>
      <c r="L38" s="26">
        <f t="shared" si="0"/>
        <v>3</v>
      </c>
      <c r="M38" s="26">
        <f t="shared" si="0"/>
        <v>0</v>
      </c>
      <c r="N38" s="26">
        <f t="shared" si="0"/>
        <v>0</v>
      </c>
      <c r="O38" s="26">
        <f t="shared" si="0"/>
        <v>0</v>
      </c>
      <c r="P38" s="26">
        <f t="shared" si="0"/>
        <v>0</v>
      </c>
      <c r="Q38" s="26">
        <f t="shared" si="0"/>
        <v>0</v>
      </c>
      <c r="R38" s="26">
        <f t="shared" si="0"/>
        <v>0</v>
      </c>
      <c r="S38" s="26">
        <f t="shared" si="0"/>
        <v>0</v>
      </c>
      <c r="T38" s="26">
        <f t="shared" si="0"/>
        <v>1</v>
      </c>
      <c r="U38" s="26">
        <f t="shared" si="0"/>
        <v>0</v>
      </c>
      <c r="V38" s="26">
        <f t="shared" si="0"/>
        <v>0</v>
      </c>
      <c r="W38" s="26">
        <f t="shared" si="0"/>
        <v>0</v>
      </c>
      <c r="X38" s="26">
        <f t="shared" si="0"/>
        <v>0</v>
      </c>
      <c r="Y38" s="26">
        <f t="shared" si="0"/>
        <v>0</v>
      </c>
      <c r="Z38" s="26">
        <f t="shared" si="0"/>
        <v>0</v>
      </c>
      <c r="AA38" s="26">
        <f t="shared" si="0"/>
        <v>1</v>
      </c>
      <c r="AB38" s="26">
        <f t="shared" si="0"/>
        <v>0</v>
      </c>
      <c r="AC38" s="26">
        <f t="shared" si="0"/>
        <v>1</v>
      </c>
      <c r="AD38" s="26">
        <f t="shared" si="0"/>
        <v>0</v>
      </c>
      <c r="AE38" s="26">
        <f t="shared" si="0"/>
        <v>0</v>
      </c>
      <c r="AF38" s="26">
        <f t="shared" si="0"/>
        <v>0</v>
      </c>
      <c r="AG38" s="26">
        <f t="shared" si="0"/>
        <v>0</v>
      </c>
      <c r="AH38" s="26">
        <f t="shared" si="0"/>
        <v>0</v>
      </c>
      <c r="AI38" s="26">
        <f t="shared" si="0"/>
        <v>0</v>
      </c>
      <c r="AJ38" s="26">
        <f t="shared" si="0"/>
        <v>0</v>
      </c>
      <c r="AK38" s="26">
        <f t="shared" si="0"/>
        <v>0</v>
      </c>
      <c r="AL38" s="26">
        <f t="shared" si="0"/>
        <v>0</v>
      </c>
      <c r="AM38" s="26">
        <f t="shared" si="0"/>
        <v>0</v>
      </c>
      <c r="AN38" s="26">
        <f t="shared" si="0"/>
        <v>3</v>
      </c>
      <c r="AO38" s="26">
        <f t="shared" si="0"/>
        <v>0</v>
      </c>
      <c r="AP38" s="26">
        <f t="shared" si="0"/>
        <v>0</v>
      </c>
      <c r="AQ38" s="26">
        <f t="shared" si="0"/>
        <v>0</v>
      </c>
      <c r="AR38" s="26">
        <f t="shared" si="0"/>
        <v>0</v>
      </c>
      <c r="AS38" s="26">
        <f t="shared" si="0"/>
        <v>0</v>
      </c>
      <c r="AT38" s="26">
        <f t="shared" si="0"/>
        <v>0</v>
      </c>
      <c r="AU38" s="26">
        <f t="shared" si="0"/>
        <v>2</v>
      </c>
      <c r="AV38" s="26">
        <f t="shared" si="0"/>
        <v>0</v>
      </c>
      <c r="AW38" s="26">
        <f t="shared" si="0"/>
        <v>0</v>
      </c>
      <c r="AX38" s="26">
        <f t="shared" si="0"/>
        <v>0</v>
      </c>
      <c r="AY38" s="257" t="str">
        <f>A38</f>
        <v>6:30 à 7:00</v>
      </c>
      <c r="AZ38" s="257"/>
      <c r="BA38" s="59">
        <f t="shared" ref="BA38:BA42" si="1">SUM(C38:AX38)</f>
        <v>11</v>
      </c>
      <c r="BB38" s="41">
        <f t="shared" ref="BB38:BB43" si="2">C38+E38+G38+I38+K38+M38+O38+Q38+S38+U38+W38+Y38+AA38+AC38+AE38+AG38+AI38+AK38+AM38+AO38+AQ38+AS38+AU38+AW38</f>
        <v>4</v>
      </c>
      <c r="BC38" s="41">
        <f t="shared" ref="BC38:BC43" si="3">E38+F38+I38+J38+M38+N38+Q38+R38+U38+V38+Y38+Z38+AC38+AD38+AG38+AH38+AK38+AL38+AO38+AP38+AS38+AT38+AW38+AX38</f>
        <v>1</v>
      </c>
      <c r="BD38" s="41">
        <f t="shared" ref="BD38:BD43" si="4">E38+I38+M38+Q38+U38+Y38+AC38+AG38+AK38+AO38+AS38+AW38</f>
        <v>1</v>
      </c>
      <c r="BE38" s="41">
        <f t="shared" ref="BE38:BE43" si="5">SUM(K38:N38)+SUM(S38:V38)+SUM(AA38:AD38)+SUM(AM38:AX38)</f>
        <v>11</v>
      </c>
      <c r="BF38" s="69"/>
      <c r="BG38" s="61"/>
      <c r="BH38" s="61"/>
      <c r="BI38" s="6"/>
    </row>
    <row r="39" spans="1:73" customFormat="1" ht="54.95" customHeight="1">
      <c r="A39" s="257" t="s">
        <v>36</v>
      </c>
      <c r="B39" s="257"/>
      <c r="C39" s="26">
        <f t="shared" ref="C39:AX39" si="6">SUM(C16:C17)</f>
        <v>0</v>
      </c>
      <c r="D39" s="26">
        <f t="shared" si="6"/>
        <v>0</v>
      </c>
      <c r="E39" s="26">
        <f t="shared" si="6"/>
        <v>0</v>
      </c>
      <c r="F39" s="26">
        <f t="shared" si="6"/>
        <v>0</v>
      </c>
      <c r="G39" s="26">
        <f t="shared" si="6"/>
        <v>0</v>
      </c>
      <c r="H39" s="26">
        <f t="shared" si="6"/>
        <v>0</v>
      </c>
      <c r="I39" s="26">
        <f t="shared" si="6"/>
        <v>0</v>
      </c>
      <c r="J39" s="26">
        <f t="shared" si="6"/>
        <v>0</v>
      </c>
      <c r="K39" s="26">
        <f t="shared" si="6"/>
        <v>0</v>
      </c>
      <c r="L39" s="26">
        <f t="shared" si="6"/>
        <v>0</v>
      </c>
      <c r="M39" s="26">
        <f t="shared" si="6"/>
        <v>1</v>
      </c>
      <c r="N39" s="26">
        <f t="shared" si="6"/>
        <v>1</v>
      </c>
      <c r="O39" s="26">
        <f t="shared" si="6"/>
        <v>0</v>
      </c>
      <c r="P39" s="26">
        <f t="shared" si="6"/>
        <v>0</v>
      </c>
      <c r="Q39" s="26">
        <f t="shared" si="6"/>
        <v>0</v>
      </c>
      <c r="R39" s="26">
        <f t="shared" si="6"/>
        <v>0</v>
      </c>
      <c r="S39" s="26">
        <f t="shared" si="6"/>
        <v>2</v>
      </c>
      <c r="T39" s="26">
        <f t="shared" si="6"/>
        <v>0</v>
      </c>
      <c r="U39" s="26">
        <f t="shared" si="6"/>
        <v>0</v>
      </c>
      <c r="V39" s="26">
        <f t="shared" si="6"/>
        <v>0</v>
      </c>
      <c r="W39" s="26">
        <f t="shared" si="6"/>
        <v>0</v>
      </c>
      <c r="X39" s="26">
        <f t="shared" si="6"/>
        <v>0</v>
      </c>
      <c r="Y39" s="26">
        <f t="shared" si="6"/>
        <v>0</v>
      </c>
      <c r="Z39" s="26">
        <f t="shared" si="6"/>
        <v>0</v>
      </c>
      <c r="AA39" s="26">
        <f t="shared" si="6"/>
        <v>0</v>
      </c>
      <c r="AB39" s="26">
        <f t="shared" si="6"/>
        <v>0</v>
      </c>
      <c r="AC39" s="26">
        <f t="shared" si="6"/>
        <v>0</v>
      </c>
      <c r="AD39" s="26">
        <f t="shared" si="6"/>
        <v>0</v>
      </c>
      <c r="AE39" s="26">
        <f t="shared" si="6"/>
        <v>0</v>
      </c>
      <c r="AF39" s="26">
        <f t="shared" si="6"/>
        <v>1</v>
      </c>
      <c r="AG39" s="26">
        <f t="shared" si="6"/>
        <v>0</v>
      </c>
      <c r="AH39" s="26">
        <f t="shared" si="6"/>
        <v>0</v>
      </c>
      <c r="AI39" s="26">
        <f t="shared" si="6"/>
        <v>0</v>
      </c>
      <c r="AJ39" s="26">
        <f t="shared" si="6"/>
        <v>0</v>
      </c>
      <c r="AK39" s="26">
        <f t="shared" si="6"/>
        <v>0</v>
      </c>
      <c r="AL39" s="26">
        <f t="shared" si="6"/>
        <v>0</v>
      </c>
      <c r="AM39" s="26">
        <f t="shared" si="6"/>
        <v>0</v>
      </c>
      <c r="AN39" s="26">
        <f t="shared" si="6"/>
        <v>0</v>
      </c>
      <c r="AO39" s="26">
        <f t="shared" si="6"/>
        <v>0</v>
      </c>
      <c r="AP39" s="26">
        <f t="shared" si="6"/>
        <v>0</v>
      </c>
      <c r="AQ39" s="26">
        <f t="shared" si="6"/>
        <v>0</v>
      </c>
      <c r="AR39" s="26">
        <f t="shared" si="6"/>
        <v>2</v>
      </c>
      <c r="AS39" s="26">
        <f t="shared" si="6"/>
        <v>0</v>
      </c>
      <c r="AT39" s="26">
        <f t="shared" si="6"/>
        <v>0</v>
      </c>
      <c r="AU39" s="26">
        <f t="shared" si="6"/>
        <v>0</v>
      </c>
      <c r="AV39" s="26">
        <f t="shared" si="6"/>
        <v>0</v>
      </c>
      <c r="AW39" s="26">
        <f t="shared" si="6"/>
        <v>2</v>
      </c>
      <c r="AX39" s="26">
        <f t="shared" si="6"/>
        <v>0</v>
      </c>
      <c r="AY39" s="257" t="str">
        <f>A39</f>
        <v>7:00 à 7:30</v>
      </c>
      <c r="AZ39" s="257"/>
      <c r="BA39" s="59">
        <f t="shared" si="1"/>
        <v>9</v>
      </c>
      <c r="BB39" s="41">
        <f t="shared" si="2"/>
        <v>5</v>
      </c>
      <c r="BC39" s="41">
        <f t="shared" si="3"/>
        <v>4</v>
      </c>
      <c r="BD39" s="41">
        <f t="shared" si="4"/>
        <v>3</v>
      </c>
      <c r="BE39" s="41">
        <f t="shared" si="5"/>
        <v>8</v>
      </c>
      <c r="BF39" s="69"/>
      <c r="BG39" s="61"/>
      <c r="BH39" s="61"/>
      <c r="BI39" s="6"/>
    </row>
    <row r="40" spans="1:73" customFormat="1" ht="54.95" customHeight="1">
      <c r="A40" s="257" t="s">
        <v>37</v>
      </c>
      <c r="B40" s="257"/>
      <c r="C40" s="26">
        <f t="shared" ref="C40:AX40" si="7">SUM(C18:C19)</f>
        <v>0</v>
      </c>
      <c r="D40" s="26">
        <f t="shared" si="7"/>
        <v>1</v>
      </c>
      <c r="E40" s="26">
        <f t="shared" si="7"/>
        <v>0</v>
      </c>
      <c r="F40" s="26">
        <f t="shared" si="7"/>
        <v>0</v>
      </c>
      <c r="G40" s="26">
        <f t="shared" si="7"/>
        <v>0</v>
      </c>
      <c r="H40" s="26">
        <f t="shared" si="7"/>
        <v>2</v>
      </c>
      <c r="I40" s="26">
        <f t="shared" si="7"/>
        <v>1</v>
      </c>
      <c r="J40" s="26">
        <f t="shared" si="7"/>
        <v>1</v>
      </c>
      <c r="K40" s="26">
        <f t="shared" si="7"/>
        <v>1</v>
      </c>
      <c r="L40" s="26">
        <f t="shared" si="7"/>
        <v>0</v>
      </c>
      <c r="M40" s="26">
        <f t="shared" si="7"/>
        <v>0</v>
      </c>
      <c r="N40" s="26">
        <f t="shared" si="7"/>
        <v>0</v>
      </c>
      <c r="O40" s="26">
        <f t="shared" si="7"/>
        <v>0</v>
      </c>
      <c r="P40" s="26">
        <f t="shared" si="7"/>
        <v>0</v>
      </c>
      <c r="Q40" s="26">
        <f t="shared" si="7"/>
        <v>0</v>
      </c>
      <c r="R40" s="26">
        <f t="shared" si="7"/>
        <v>0</v>
      </c>
      <c r="S40" s="26">
        <f t="shared" si="7"/>
        <v>0</v>
      </c>
      <c r="T40" s="26">
        <f t="shared" si="7"/>
        <v>2</v>
      </c>
      <c r="U40" s="26">
        <f t="shared" si="7"/>
        <v>0</v>
      </c>
      <c r="V40" s="26">
        <f t="shared" si="7"/>
        <v>1</v>
      </c>
      <c r="W40" s="26">
        <f t="shared" si="7"/>
        <v>0</v>
      </c>
      <c r="X40" s="26">
        <f t="shared" si="7"/>
        <v>0</v>
      </c>
      <c r="Y40" s="26">
        <f t="shared" si="7"/>
        <v>1</v>
      </c>
      <c r="Z40" s="26">
        <f t="shared" si="7"/>
        <v>0</v>
      </c>
      <c r="AA40" s="26">
        <f t="shared" si="7"/>
        <v>0</v>
      </c>
      <c r="AB40" s="26">
        <f t="shared" si="7"/>
        <v>0</v>
      </c>
      <c r="AC40" s="26">
        <f t="shared" si="7"/>
        <v>0</v>
      </c>
      <c r="AD40" s="26">
        <f t="shared" si="7"/>
        <v>1</v>
      </c>
      <c r="AE40" s="26">
        <f t="shared" si="7"/>
        <v>0</v>
      </c>
      <c r="AF40" s="26">
        <f t="shared" si="7"/>
        <v>4</v>
      </c>
      <c r="AG40" s="26">
        <f t="shared" si="7"/>
        <v>0</v>
      </c>
      <c r="AH40" s="26">
        <f t="shared" si="7"/>
        <v>1</v>
      </c>
      <c r="AI40" s="26">
        <f t="shared" si="7"/>
        <v>1</v>
      </c>
      <c r="AJ40" s="26">
        <f t="shared" si="7"/>
        <v>0</v>
      </c>
      <c r="AK40" s="26">
        <f t="shared" si="7"/>
        <v>0</v>
      </c>
      <c r="AL40" s="26">
        <f t="shared" si="7"/>
        <v>0</v>
      </c>
      <c r="AM40" s="26">
        <f t="shared" si="7"/>
        <v>0</v>
      </c>
      <c r="AN40" s="26">
        <f t="shared" si="7"/>
        <v>1</v>
      </c>
      <c r="AO40" s="26">
        <f t="shared" si="7"/>
        <v>0</v>
      </c>
      <c r="AP40" s="26">
        <f t="shared" si="7"/>
        <v>0</v>
      </c>
      <c r="AQ40" s="26">
        <f t="shared" si="7"/>
        <v>0</v>
      </c>
      <c r="AR40" s="26">
        <f t="shared" si="7"/>
        <v>1</v>
      </c>
      <c r="AS40" s="26">
        <f t="shared" si="7"/>
        <v>0</v>
      </c>
      <c r="AT40" s="26">
        <f t="shared" si="7"/>
        <v>0</v>
      </c>
      <c r="AU40" s="26">
        <f t="shared" si="7"/>
        <v>0</v>
      </c>
      <c r="AV40" s="26">
        <f t="shared" si="7"/>
        <v>2</v>
      </c>
      <c r="AW40" s="26">
        <f t="shared" si="7"/>
        <v>0</v>
      </c>
      <c r="AX40" s="26">
        <f t="shared" si="7"/>
        <v>0</v>
      </c>
      <c r="AY40" s="257" t="str">
        <f>A40</f>
        <v>7:30 à 8:00</v>
      </c>
      <c r="AZ40" s="257"/>
      <c r="BA40" s="59">
        <f t="shared" si="1"/>
        <v>21</v>
      </c>
      <c r="BB40" s="41">
        <f t="shared" si="2"/>
        <v>4</v>
      </c>
      <c r="BC40" s="41">
        <f t="shared" si="3"/>
        <v>6</v>
      </c>
      <c r="BD40" s="41">
        <f t="shared" si="4"/>
        <v>2</v>
      </c>
      <c r="BE40" s="41">
        <f t="shared" si="5"/>
        <v>9</v>
      </c>
      <c r="BF40" s="69"/>
      <c r="BG40" s="61"/>
      <c r="BH40" s="61"/>
      <c r="BI40" s="6"/>
    </row>
    <row r="41" spans="1:73" customFormat="1" ht="54.95" customHeight="1">
      <c r="A41" s="257" t="s">
        <v>38</v>
      </c>
      <c r="B41" s="257"/>
      <c r="C41" s="26">
        <f t="shared" ref="C41:AX41" si="8">SUM(C20:C21)</f>
        <v>0</v>
      </c>
      <c r="D41" s="26">
        <f t="shared" si="8"/>
        <v>1</v>
      </c>
      <c r="E41" s="26">
        <f t="shared" si="8"/>
        <v>0</v>
      </c>
      <c r="F41" s="26">
        <f t="shared" si="8"/>
        <v>0</v>
      </c>
      <c r="G41" s="26">
        <f t="shared" si="8"/>
        <v>0</v>
      </c>
      <c r="H41" s="26">
        <f t="shared" si="8"/>
        <v>0</v>
      </c>
      <c r="I41" s="26">
        <f t="shared" si="8"/>
        <v>0</v>
      </c>
      <c r="J41" s="26">
        <f t="shared" si="8"/>
        <v>0</v>
      </c>
      <c r="K41" s="26">
        <f t="shared" si="8"/>
        <v>0</v>
      </c>
      <c r="L41" s="26">
        <f t="shared" si="8"/>
        <v>0</v>
      </c>
      <c r="M41" s="26">
        <f t="shared" si="8"/>
        <v>0</v>
      </c>
      <c r="N41" s="26">
        <f t="shared" si="8"/>
        <v>0</v>
      </c>
      <c r="O41" s="26">
        <f t="shared" si="8"/>
        <v>0</v>
      </c>
      <c r="P41" s="26">
        <f t="shared" si="8"/>
        <v>0</v>
      </c>
      <c r="Q41" s="26">
        <f t="shared" si="8"/>
        <v>0</v>
      </c>
      <c r="R41" s="26">
        <f t="shared" si="8"/>
        <v>0</v>
      </c>
      <c r="S41" s="26">
        <f t="shared" si="8"/>
        <v>0</v>
      </c>
      <c r="T41" s="26">
        <f t="shared" si="8"/>
        <v>0</v>
      </c>
      <c r="U41" s="26">
        <f t="shared" si="8"/>
        <v>0</v>
      </c>
      <c r="V41" s="26">
        <f t="shared" si="8"/>
        <v>0</v>
      </c>
      <c r="W41" s="26">
        <f t="shared" si="8"/>
        <v>0</v>
      </c>
      <c r="X41" s="26">
        <f t="shared" si="8"/>
        <v>0</v>
      </c>
      <c r="Y41" s="26">
        <f t="shared" si="8"/>
        <v>0</v>
      </c>
      <c r="Z41" s="26">
        <f t="shared" si="8"/>
        <v>0</v>
      </c>
      <c r="AA41" s="26">
        <f t="shared" si="8"/>
        <v>1</v>
      </c>
      <c r="AB41" s="26">
        <f t="shared" si="8"/>
        <v>1</v>
      </c>
      <c r="AC41" s="26">
        <f t="shared" si="8"/>
        <v>1</v>
      </c>
      <c r="AD41" s="26">
        <f t="shared" si="8"/>
        <v>1</v>
      </c>
      <c r="AE41" s="26">
        <f t="shared" si="8"/>
        <v>0</v>
      </c>
      <c r="AF41" s="26">
        <f t="shared" si="8"/>
        <v>0</v>
      </c>
      <c r="AG41" s="26">
        <f t="shared" si="8"/>
        <v>1</v>
      </c>
      <c r="AH41" s="26">
        <f t="shared" si="8"/>
        <v>0</v>
      </c>
      <c r="AI41" s="26">
        <f t="shared" si="8"/>
        <v>0</v>
      </c>
      <c r="AJ41" s="26">
        <f t="shared" si="8"/>
        <v>0</v>
      </c>
      <c r="AK41" s="26">
        <f t="shared" si="8"/>
        <v>0</v>
      </c>
      <c r="AL41" s="26">
        <f t="shared" si="8"/>
        <v>0</v>
      </c>
      <c r="AM41" s="26">
        <f t="shared" si="8"/>
        <v>0</v>
      </c>
      <c r="AN41" s="26">
        <f t="shared" si="8"/>
        <v>0</v>
      </c>
      <c r="AO41" s="26">
        <f t="shared" si="8"/>
        <v>0</v>
      </c>
      <c r="AP41" s="26">
        <f t="shared" si="8"/>
        <v>0</v>
      </c>
      <c r="AQ41" s="26">
        <f t="shared" si="8"/>
        <v>0</v>
      </c>
      <c r="AR41" s="26">
        <f t="shared" si="8"/>
        <v>1</v>
      </c>
      <c r="AS41" s="26">
        <f t="shared" si="8"/>
        <v>0</v>
      </c>
      <c r="AT41" s="26">
        <f t="shared" si="8"/>
        <v>1</v>
      </c>
      <c r="AU41" s="26">
        <f t="shared" si="8"/>
        <v>0</v>
      </c>
      <c r="AV41" s="26">
        <f t="shared" si="8"/>
        <v>2</v>
      </c>
      <c r="AW41" s="26">
        <f t="shared" si="8"/>
        <v>0</v>
      </c>
      <c r="AX41" s="26">
        <f t="shared" si="8"/>
        <v>1</v>
      </c>
      <c r="AY41" s="257" t="str">
        <f>A41</f>
        <v>8:00 à 8:30</v>
      </c>
      <c r="AZ41" s="257"/>
      <c r="BA41" s="59">
        <f t="shared" si="1"/>
        <v>11</v>
      </c>
      <c r="BB41" s="41">
        <f t="shared" si="2"/>
        <v>3</v>
      </c>
      <c r="BC41" s="41">
        <f t="shared" si="3"/>
        <v>5</v>
      </c>
      <c r="BD41" s="41">
        <f t="shared" si="4"/>
        <v>2</v>
      </c>
      <c r="BE41" s="41">
        <f t="shared" si="5"/>
        <v>9</v>
      </c>
      <c r="BF41" s="60"/>
      <c r="BG41" s="61"/>
      <c r="BH41" s="61"/>
      <c r="BI41" s="6"/>
    </row>
    <row r="42" spans="1:73" customFormat="1" ht="54.95" customHeight="1">
      <c r="A42" s="257" t="s">
        <v>39</v>
      </c>
      <c r="B42" s="257"/>
      <c r="C42" s="26">
        <f>SUM(C22:C23)</f>
        <v>0</v>
      </c>
      <c r="D42" s="26">
        <f>SUM(D22:D23)</f>
        <v>0</v>
      </c>
      <c r="E42" s="26">
        <f t="shared" ref="E42:AX42" si="9">SUM(E22:E23)</f>
        <v>0</v>
      </c>
      <c r="F42" s="26">
        <f t="shared" si="9"/>
        <v>0</v>
      </c>
      <c r="G42" s="26">
        <f t="shared" si="9"/>
        <v>0</v>
      </c>
      <c r="H42" s="26">
        <f t="shared" si="9"/>
        <v>0</v>
      </c>
      <c r="I42" s="26">
        <f t="shared" si="9"/>
        <v>0</v>
      </c>
      <c r="J42" s="26">
        <f t="shared" si="9"/>
        <v>0</v>
      </c>
      <c r="K42" s="26">
        <f t="shared" si="9"/>
        <v>0</v>
      </c>
      <c r="L42" s="26">
        <f t="shared" si="9"/>
        <v>0</v>
      </c>
      <c r="M42" s="26">
        <f t="shared" si="9"/>
        <v>0</v>
      </c>
      <c r="N42" s="26">
        <f t="shared" si="9"/>
        <v>0</v>
      </c>
      <c r="O42" s="26">
        <f t="shared" si="9"/>
        <v>0</v>
      </c>
      <c r="P42" s="26">
        <f t="shared" si="9"/>
        <v>0</v>
      </c>
      <c r="Q42" s="26">
        <f t="shared" si="9"/>
        <v>0</v>
      </c>
      <c r="R42" s="26">
        <f t="shared" si="9"/>
        <v>0</v>
      </c>
      <c r="S42" s="26">
        <f t="shared" si="9"/>
        <v>0</v>
      </c>
      <c r="T42" s="26">
        <f t="shared" si="9"/>
        <v>0</v>
      </c>
      <c r="U42" s="26">
        <f t="shared" si="9"/>
        <v>0</v>
      </c>
      <c r="V42" s="26">
        <f t="shared" si="9"/>
        <v>0</v>
      </c>
      <c r="W42" s="26">
        <f t="shared" si="9"/>
        <v>0</v>
      </c>
      <c r="X42" s="26">
        <f t="shared" si="9"/>
        <v>0</v>
      </c>
      <c r="Y42" s="26">
        <f t="shared" si="9"/>
        <v>0</v>
      </c>
      <c r="Z42" s="26">
        <f t="shared" si="9"/>
        <v>0</v>
      </c>
      <c r="AA42" s="26">
        <f t="shared" si="9"/>
        <v>0</v>
      </c>
      <c r="AB42" s="26">
        <f t="shared" si="9"/>
        <v>0</v>
      </c>
      <c r="AC42" s="26">
        <f t="shared" si="9"/>
        <v>0</v>
      </c>
      <c r="AD42" s="26">
        <f t="shared" si="9"/>
        <v>0</v>
      </c>
      <c r="AE42" s="26">
        <f t="shared" si="9"/>
        <v>0</v>
      </c>
      <c r="AF42" s="26">
        <f t="shared" si="9"/>
        <v>0</v>
      </c>
      <c r="AG42" s="26">
        <f t="shared" si="9"/>
        <v>0</v>
      </c>
      <c r="AH42" s="26">
        <f t="shared" si="9"/>
        <v>0</v>
      </c>
      <c r="AI42" s="26">
        <f t="shared" si="9"/>
        <v>0</v>
      </c>
      <c r="AJ42" s="26">
        <f t="shared" si="9"/>
        <v>0</v>
      </c>
      <c r="AK42" s="26">
        <f t="shared" si="9"/>
        <v>0</v>
      </c>
      <c r="AL42" s="26">
        <f t="shared" si="9"/>
        <v>0</v>
      </c>
      <c r="AM42" s="26">
        <f t="shared" si="9"/>
        <v>0</v>
      </c>
      <c r="AN42" s="26">
        <f t="shared" si="9"/>
        <v>0</v>
      </c>
      <c r="AO42" s="26">
        <f t="shared" si="9"/>
        <v>0</v>
      </c>
      <c r="AP42" s="26">
        <f t="shared" si="9"/>
        <v>0</v>
      </c>
      <c r="AQ42" s="26">
        <f t="shared" si="9"/>
        <v>0</v>
      </c>
      <c r="AR42" s="26">
        <f t="shared" si="9"/>
        <v>0</v>
      </c>
      <c r="AS42" s="26">
        <f t="shared" si="9"/>
        <v>0</v>
      </c>
      <c r="AT42" s="26">
        <f t="shared" si="9"/>
        <v>0</v>
      </c>
      <c r="AU42" s="26">
        <f t="shared" si="9"/>
        <v>1</v>
      </c>
      <c r="AV42" s="26">
        <f t="shared" si="9"/>
        <v>0</v>
      </c>
      <c r="AW42" s="26">
        <f t="shared" si="9"/>
        <v>1</v>
      </c>
      <c r="AX42" s="26">
        <f t="shared" si="9"/>
        <v>1</v>
      </c>
      <c r="AY42" s="257" t="str">
        <f>A42</f>
        <v>8:30 à 9:00</v>
      </c>
      <c r="AZ42" s="257"/>
      <c r="BA42" s="59">
        <f t="shared" si="1"/>
        <v>3</v>
      </c>
      <c r="BB42" s="41">
        <f t="shared" si="2"/>
        <v>2</v>
      </c>
      <c r="BC42" s="41">
        <f t="shared" si="3"/>
        <v>2</v>
      </c>
      <c r="BD42" s="41">
        <f t="shared" si="4"/>
        <v>1</v>
      </c>
      <c r="BE42" s="41">
        <f t="shared" si="5"/>
        <v>3</v>
      </c>
      <c r="BF42" s="70"/>
      <c r="BG42" s="61"/>
      <c r="BH42" s="61"/>
      <c r="BI42" s="6"/>
    </row>
    <row r="43" spans="1:73" customFormat="1" ht="54.95" customHeight="1">
      <c r="A43" s="257" t="s">
        <v>29</v>
      </c>
      <c r="B43" s="257"/>
      <c r="C43" s="30">
        <f t="shared" ref="C43:AX43" si="10">SUM(C14:C23)</f>
        <v>0</v>
      </c>
      <c r="D43" s="30">
        <f t="shared" si="10"/>
        <v>2</v>
      </c>
      <c r="E43" s="30">
        <f t="shared" si="10"/>
        <v>0</v>
      </c>
      <c r="F43" s="30">
        <f t="shared" si="10"/>
        <v>0</v>
      </c>
      <c r="G43" s="30">
        <f t="shared" si="10"/>
        <v>0</v>
      </c>
      <c r="H43" s="30">
        <f t="shared" si="10"/>
        <v>2</v>
      </c>
      <c r="I43" s="30">
        <f t="shared" si="10"/>
        <v>1</v>
      </c>
      <c r="J43" s="30">
        <f t="shared" si="10"/>
        <v>1</v>
      </c>
      <c r="K43" s="30">
        <f t="shared" si="10"/>
        <v>1</v>
      </c>
      <c r="L43" s="30">
        <f t="shared" si="10"/>
        <v>3</v>
      </c>
      <c r="M43" s="30">
        <f t="shared" si="10"/>
        <v>1</v>
      </c>
      <c r="N43" s="30">
        <f t="shared" si="10"/>
        <v>1</v>
      </c>
      <c r="O43" s="30">
        <f t="shared" si="10"/>
        <v>0</v>
      </c>
      <c r="P43" s="30">
        <f t="shared" si="10"/>
        <v>0</v>
      </c>
      <c r="Q43" s="30">
        <f t="shared" si="10"/>
        <v>0</v>
      </c>
      <c r="R43" s="30">
        <f t="shared" si="10"/>
        <v>0</v>
      </c>
      <c r="S43" s="30">
        <f t="shared" si="10"/>
        <v>2</v>
      </c>
      <c r="T43" s="30">
        <f t="shared" si="10"/>
        <v>3</v>
      </c>
      <c r="U43" s="30">
        <f t="shared" si="10"/>
        <v>0</v>
      </c>
      <c r="V43" s="30">
        <f t="shared" si="10"/>
        <v>1</v>
      </c>
      <c r="W43" s="30">
        <f t="shared" si="10"/>
        <v>0</v>
      </c>
      <c r="X43" s="30">
        <f t="shared" si="10"/>
        <v>0</v>
      </c>
      <c r="Y43" s="30">
        <f t="shared" si="10"/>
        <v>1</v>
      </c>
      <c r="Z43" s="30">
        <f t="shared" si="10"/>
        <v>0</v>
      </c>
      <c r="AA43" s="30">
        <f t="shared" si="10"/>
        <v>2</v>
      </c>
      <c r="AB43" s="30">
        <f t="shared" si="10"/>
        <v>1</v>
      </c>
      <c r="AC43" s="30">
        <f t="shared" si="10"/>
        <v>2</v>
      </c>
      <c r="AD43" s="30">
        <f t="shared" si="10"/>
        <v>2</v>
      </c>
      <c r="AE43" s="30">
        <f t="shared" si="10"/>
        <v>0</v>
      </c>
      <c r="AF43" s="30">
        <f t="shared" si="10"/>
        <v>5</v>
      </c>
      <c r="AG43" s="30">
        <f t="shared" si="10"/>
        <v>1</v>
      </c>
      <c r="AH43" s="30">
        <f t="shared" si="10"/>
        <v>1</v>
      </c>
      <c r="AI43" s="30">
        <f t="shared" si="10"/>
        <v>1</v>
      </c>
      <c r="AJ43" s="30">
        <f t="shared" si="10"/>
        <v>0</v>
      </c>
      <c r="AK43" s="30">
        <f t="shared" si="10"/>
        <v>0</v>
      </c>
      <c r="AL43" s="30">
        <f t="shared" si="10"/>
        <v>0</v>
      </c>
      <c r="AM43" s="30">
        <f t="shared" si="10"/>
        <v>0</v>
      </c>
      <c r="AN43" s="30">
        <f t="shared" si="10"/>
        <v>4</v>
      </c>
      <c r="AO43" s="30">
        <f t="shared" si="10"/>
        <v>0</v>
      </c>
      <c r="AP43" s="30">
        <f t="shared" si="10"/>
        <v>0</v>
      </c>
      <c r="AQ43" s="30">
        <f t="shared" si="10"/>
        <v>0</v>
      </c>
      <c r="AR43" s="30">
        <f t="shared" si="10"/>
        <v>4</v>
      </c>
      <c r="AS43" s="30">
        <f t="shared" si="10"/>
        <v>0</v>
      </c>
      <c r="AT43" s="30">
        <f t="shared" si="10"/>
        <v>1</v>
      </c>
      <c r="AU43" s="30">
        <f t="shared" si="10"/>
        <v>3</v>
      </c>
      <c r="AV43" s="30">
        <f t="shared" si="10"/>
        <v>4</v>
      </c>
      <c r="AW43" s="30">
        <f t="shared" si="10"/>
        <v>3</v>
      </c>
      <c r="AX43" s="30">
        <f t="shared" si="10"/>
        <v>2</v>
      </c>
      <c r="AY43" s="270" t="s">
        <v>29</v>
      </c>
      <c r="AZ43" s="270"/>
      <c r="BA43" s="62">
        <f>SUM(BA38:BA42)</f>
        <v>55</v>
      </c>
      <c r="BB43" s="43">
        <f t="shared" si="2"/>
        <v>18</v>
      </c>
      <c r="BC43" s="43">
        <f t="shared" si="3"/>
        <v>18</v>
      </c>
      <c r="BD43" s="43">
        <f t="shared" si="4"/>
        <v>9</v>
      </c>
      <c r="BE43" s="43">
        <f t="shared" si="5"/>
        <v>40</v>
      </c>
      <c r="BF43" s="60"/>
      <c r="BG43" s="61"/>
      <c r="BH43" s="61"/>
      <c r="BI43" s="6"/>
    </row>
    <row r="44" spans="1:73" customFormat="1" ht="42.75" customHeight="1">
      <c r="A44" s="44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4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4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257" t="str">
        <f>IF($BA$38=MAX($BA$38:$BA$42),AY38,IF($BA$39=MAX($BA$38:$BA$42),AY39,IF($BA$40=MAX($BA$38:$BA$42),AY40,IF($BA$41=MAX($BA$38:$BA$42),AY41,IF($BA$42=MAX($BA$38:$BA$42),AY42,AY41)))))</f>
        <v>7:30 à 8:00</v>
      </c>
      <c r="AZ44" s="257"/>
      <c r="BA44" s="39">
        <f>IF($BA$38=MAX($BA$38:$BA$42),BA38,IF($BA$39=MAX($BA$38:$BA$42),BA39,IF($BA$40=MAX($BA$38:$BA$42),BA40,IF($BA$41=MAX($BA$38:$BA$42),BA41,IF($BA$42=MAX($BA$38:$BA$42),BA42,BA41)))))</f>
        <v>21</v>
      </c>
      <c r="BB44" s="39">
        <f>IF($BA$38=MAX($BA$38:$BA$42),BB38,IF($BA$39=MAX($BA$38:$BA$42),BB39,IF($BA$40=MAX($BA$38:$BA$42),BB40,IF($BA$41=MAX($BA$38:$BA$42),BB41,IF($BA$42=MAX($BA$38:$BA$42),BB42,BB41)))))</f>
        <v>4</v>
      </c>
      <c r="BC44" s="39">
        <f>IF($BA$38=MAX($BA$38:$BA$42),BC38,IF($BA$39=MAX($BA$38:$BA$42),BC39,IF($BA$40=MAX($BA$38:$BA$42),BC40,IF($BA$41=MAX($BA$38:$BA$42),BC41,IF($BA$42=MAX($BA$38:$BA$42),BC42,BC41)))))</f>
        <v>6</v>
      </c>
      <c r="BD44" s="39">
        <f>IF($BA$38=MAX($BA$38:$BA$42),BD38,IF($BA$39=MAX($BA$38:$BA$42),BD39,IF($BA$40=MAX($BA$38:$BA$42),BD40,IF($BA$41=MAX($BA$38:$BA$42),BD41,IF($BA$42=MAX($BA$38:$BA$42),BD42,BD41)))))</f>
        <v>2</v>
      </c>
      <c r="BE44" s="39">
        <f>IF($BA$38=MAX($BA$38:$BA$42),BE38,IF($BA$39=MAX($BA$38:$BA$42),BE39,IF($BA$40=MAX($BA$38:$BA$42),BE40,IF($BA$41=MAX($BA$38:$BA$42),BE41,IF($BA$42=MAX($BA$38:$BA$42),BE42,BE41)))))</f>
        <v>9</v>
      </c>
      <c r="BF44" s="60"/>
      <c r="BG44" s="61"/>
      <c r="BH44" s="61"/>
      <c r="BI44" s="6"/>
    </row>
    <row r="45" spans="1:73" customFormat="1" ht="20.25">
      <c r="A45" s="46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6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6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14"/>
      <c r="AZ45" s="10"/>
      <c r="BA45" s="268" t="s">
        <v>29</v>
      </c>
      <c r="BB45" s="254" t="s">
        <v>40</v>
      </c>
      <c r="BC45" s="254" t="s">
        <v>41</v>
      </c>
      <c r="BD45" s="254" t="s">
        <v>42</v>
      </c>
      <c r="BE45" s="254" t="str">
        <f>BE34</f>
        <v>Cycles sur route de Reignier</v>
      </c>
      <c r="BF45" s="267" t="s">
        <v>56</v>
      </c>
      <c r="BG45" s="267"/>
      <c r="BH45" s="267"/>
      <c r="BI45" s="6"/>
    </row>
    <row r="46" spans="1:73" customFormat="1" ht="20.25">
      <c r="A46" s="46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14"/>
      <c r="AZ46" s="10"/>
      <c r="BA46" s="268"/>
      <c r="BB46" s="254"/>
      <c r="BC46" s="254"/>
      <c r="BD46" s="254"/>
      <c r="BE46" s="254"/>
      <c r="BF46" s="267"/>
      <c r="BG46" s="267"/>
      <c r="BH46" s="267"/>
      <c r="BI46" s="47"/>
    </row>
    <row r="47" spans="1:73" customFormat="1" ht="20.25">
      <c r="A47" s="46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58"/>
      <c r="AZ47" s="10"/>
      <c r="BA47" s="268"/>
      <c r="BB47" s="254"/>
      <c r="BC47" s="254"/>
      <c r="BD47" s="254"/>
      <c r="BE47" s="254"/>
      <c r="BF47" s="267"/>
      <c r="BG47" s="267"/>
      <c r="BH47" s="267"/>
      <c r="BI47" s="47"/>
    </row>
    <row r="48" spans="1:73" customFormat="1" ht="20.25">
      <c r="A48" s="46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257" t="s">
        <v>34</v>
      </c>
      <c r="AZ48" s="257"/>
      <c r="BA48" s="268"/>
      <c r="BB48" s="254"/>
      <c r="BC48" s="254"/>
      <c r="BD48" s="254"/>
      <c r="BE48" s="254"/>
      <c r="BF48" s="267"/>
      <c r="BG48" s="267"/>
      <c r="BH48" s="267"/>
      <c r="BI48" s="47"/>
    </row>
    <row r="49" spans="1:61" customFormat="1" ht="35.1" customHeight="1">
      <c r="A49" s="46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257" t="str">
        <f>AY38</f>
        <v>6:30 à 7:00</v>
      </c>
      <c r="AZ49" s="257"/>
      <c r="BA49" s="63"/>
      <c r="BB49" s="48">
        <f>IF(BB38=0,0,BB38/BA38)</f>
        <v>0.36363636363636365</v>
      </c>
      <c r="BC49" s="48">
        <f>IF(BC38=0,0,BC38/BA38)</f>
        <v>9.0909090909090912E-2</v>
      </c>
      <c r="BD49" s="48">
        <f>IF(BD38=0,0,BD38/BB38)</f>
        <v>0.25</v>
      </c>
      <c r="BE49" s="48">
        <f>IF(BE38=0,0,BE38/BA38)</f>
        <v>1</v>
      </c>
      <c r="BF49" s="60"/>
      <c r="BG49" s="61"/>
      <c r="BH49" s="61"/>
      <c r="BI49" s="47"/>
    </row>
    <row r="50" spans="1:61" customFormat="1" ht="35.1" customHeight="1">
      <c r="A50" s="46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257" t="str">
        <f>AY39</f>
        <v>7:00 à 7:30</v>
      </c>
      <c r="AZ50" s="257"/>
      <c r="BA50" s="63"/>
      <c r="BB50" s="48">
        <f>IF(BB40=0,0,BB40/BA40)</f>
        <v>0.19047619047619047</v>
      </c>
      <c r="BC50" s="48">
        <f>IF(BC40=0,0,BC40/BA40)</f>
        <v>0.2857142857142857</v>
      </c>
      <c r="BD50" s="48">
        <f>IF(BD40=0,0,BD40/BB40)</f>
        <v>0.5</v>
      </c>
      <c r="BE50" s="48">
        <f>IF(BE40=0,0,BE40/BA40)</f>
        <v>0.42857142857142855</v>
      </c>
      <c r="BF50" s="60"/>
      <c r="BG50" s="61"/>
      <c r="BH50" s="61"/>
      <c r="BI50" s="47"/>
    </row>
    <row r="51" spans="1:61" customFormat="1" ht="35.1" customHeight="1">
      <c r="A51" s="46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257" t="str">
        <f>AY40</f>
        <v>7:30 à 8:00</v>
      </c>
      <c r="AZ51" s="257"/>
      <c r="BA51" s="63"/>
      <c r="BB51" s="48">
        <f>IF(BB40=0,0,BB40/BA40)</f>
        <v>0.19047619047619047</v>
      </c>
      <c r="BC51" s="48">
        <f t="shared" ref="BC51:BD54" si="11">IF(BC40=0,0,BC40/BA40)</f>
        <v>0.2857142857142857</v>
      </c>
      <c r="BD51" s="48">
        <f t="shared" si="11"/>
        <v>0.5</v>
      </c>
      <c r="BE51" s="48">
        <f>IF(BE40=0,0,BE40/BA40)</f>
        <v>0.42857142857142855</v>
      </c>
      <c r="BF51" s="60"/>
      <c r="BG51" s="61"/>
      <c r="BH51" s="61"/>
      <c r="BI51" s="47"/>
    </row>
    <row r="52" spans="1:61" customFormat="1" ht="35.1" customHeight="1">
      <c r="A52" s="46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257" t="str">
        <f>AY41</f>
        <v>8:00 à 8:30</v>
      </c>
      <c r="AZ52" s="257"/>
      <c r="BA52" s="63"/>
      <c r="BB52" s="48">
        <f>IF(BB41=0,0,BB41/BA41)</f>
        <v>0.27272727272727271</v>
      </c>
      <c r="BC52" s="48">
        <f t="shared" si="11"/>
        <v>0.45454545454545453</v>
      </c>
      <c r="BD52" s="48">
        <f t="shared" si="11"/>
        <v>0.66666666666666663</v>
      </c>
      <c r="BE52" s="48">
        <f>IF(BE41=0,0,BE41/BA41)</f>
        <v>0.81818181818181823</v>
      </c>
      <c r="BF52" s="60"/>
      <c r="BG52" s="61"/>
      <c r="BH52" s="61"/>
      <c r="BI52" s="47"/>
    </row>
    <row r="53" spans="1:61" customFormat="1" ht="35.1" customHeight="1">
      <c r="A53" s="6"/>
      <c r="B53" s="6"/>
      <c r="C53" s="6"/>
      <c r="D53" s="6"/>
      <c r="E53" s="6"/>
      <c r="F53" s="47"/>
      <c r="G53" s="6"/>
      <c r="H53" s="6"/>
      <c r="I53" s="6"/>
      <c r="J53" s="6"/>
      <c r="K53" s="47"/>
      <c r="L53" s="47"/>
      <c r="M53" s="47"/>
      <c r="N53" s="47"/>
      <c r="O53" s="47"/>
      <c r="P53" s="47"/>
      <c r="Q53" s="47"/>
      <c r="R53" s="6"/>
      <c r="S53" s="6"/>
      <c r="T53" s="6"/>
      <c r="U53" s="6"/>
      <c r="V53" s="6"/>
      <c r="W53" s="6"/>
      <c r="X53" s="6"/>
      <c r="Y53" s="6"/>
      <c r="Z53" s="6"/>
      <c r="AA53" s="47"/>
      <c r="AB53" s="47"/>
      <c r="AC53" s="47"/>
      <c r="AD53" s="6"/>
      <c r="AE53" s="6"/>
      <c r="AF53" s="6"/>
      <c r="AG53" s="6"/>
      <c r="AH53" s="6"/>
      <c r="AI53" s="6"/>
      <c r="AJ53" s="6"/>
      <c r="AK53" s="6"/>
      <c r="AL53" s="6"/>
      <c r="AM53" s="47"/>
      <c r="AN53" s="47"/>
      <c r="AO53" s="47"/>
      <c r="AP53" s="6"/>
      <c r="AQ53" s="6"/>
      <c r="AR53" s="6"/>
      <c r="AS53" s="6"/>
      <c r="AT53" s="6"/>
      <c r="AU53" s="6"/>
      <c r="AV53" s="6"/>
      <c r="AW53" s="6"/>
      <c r="AX53" s="6"/>
      <c r="AY53" s="257" t="str">
        <f>AY42</f>
        <v>8:30 à 9:00</v>
      </c>
      <c r="AZ53" s="257"/>
      <c r="BA53" s="63"/>
      <c r="BB53" s="48">
        <f>IF(BB42=0,0,BB42/BA42)</f>
        <v>0.66666666666666663</v>
      </c>
      <c r="BC53" s="48">
        <f t="shared" si="11"/>
        <v>0.66666666666666663</v>
      </c>
      <c r="BD53" s="48">
        <f t="shared" si="11"/>
        <v>0.5</v>
      </c>
      <c r="BE53" s="48">
        <f>IF(BE42=0,0,BE42/BA42)</f>
        <v>1</v>
      </c>
      <c r="BF53" s="60"/>
      <c r="BG53" s="61"/>
      <c r="BH53" s="61"/>
      <c r="BI53" s="6"/>
    </row>
    <row r="54" spans="1:61" customFormat="1" ht="35.1" customHeight="1">
      <c r="A54" s="6"/>
      <c r="B54" s="6"/>
      <c r="C54" s="6"/>
      <c r="D54" s="6"/>
      <c r="E54" s="6"/>
      <c r="F54" s="47"/>
      <c r="G54" s="6"/>
      <c r="H54" s="6"/>
      <c r="I54" s="6"/>
      <c r="J54" s="6"/>
      <c r="K54" s="47"/>
      <c r="L54" s="47"/>
      <c r="M54" s="47"/>
      <c r="N54" s="47"/>
      <c r="O54" s="47"/>
      <c r="P54" s="47"/>
      <c r="Q54" s="47"/>
      <c r="R54" s="6"/>
      <c r="S54" s="6"/>
      <c r="T54" s="6"/>
      <c r="U54" s="6"/>
      <c r="V54" s="6"/>
      <c r="W54" s="6"/>
      <c r="X54" s="6"/>
      <c r="Y54" s="6"/>
      <c r="Z54" s="6"/>
      <c r="AA54" s="47"/>
      <c r="AB54" s="47"/>
      <c r="AC54" s="47"/>
      <c r="AD54" s="6"/>
      <c r="AE54" s="6"/>
      <c r="AF54" s="6"/>
      <c r="AG54" s="6"/>
      <c r="AH54" s="6"/>
      <c r="AI54" s="6"/>
      <c r="AJ54" s="6"/>
      <c r="AK54" s="6"/>
      <c r="AL54" s="6"/>
      <c r="AM54" s="47"/>
      <c r="AN54" s="47"/>
      <c r="AO54" s="47"/>
      <c r="AP54" s="6"/>
      <c r="AQ54" s="6"/>
      <c r="AR54" s="6"/>
      <c r="AS54" s="6"/>
      <c r="AT54" s="6"/>
      <c r="AU54" s="6"/>
      <c r="AV54" s="6"/>
      <c r="AW54" s="6"/>
      <c r="AX54" s="6"/>
      <c r="AY54" s="271" t="s">
        <v>29</v>
      </c>
      <c r="AZ54" s="271"/>
      <c r="BA54" s="59"/>
      <c r="BB54" s="48">
        <f>IF(BB43=0,0,BB43/BA43)</f>
        <v>0.32727272727272727</v>
      </c>
      <c r="BC54" s="48">
        <f t="shared" si="11"/>
        <v>0.32727272727272727</v>
      </c>
      <c r="BD54" s="48">
        <f t="shared" si="11"/>
        <v>0.5</v>
      </c>
      <c r="BE54" s="48">
        <f>IF(BE43=0,0,BE43/BA43)</f>
        <v>0.72727272727272729</v>
      </c>
      <c r="BF54" s="60"/>
      <c r="BG54" s="61"/>
      <c r="BH54" s="61"/>
      <c r="BI54" s="6"/>
    </row>
    <row r="55" spans="1:61" customFormat="1" ht="35.1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50" t="s">
        <v>43</v>
      </c>
      <c r="AW55" s="6"/>
      <c r="AX55" s="6"/>
      <c r="AY55" s="257" t="str">
        <f>AY44</f>
        <v>7:30 à 8:00</v>
      </c>
      <c r="AZ55" s="257"/>
      <c r="BA55" s="39"/>
      <c r="BB55" s="51">
        <f>BB44/$BA$44</f>
        <v>0.19047619047619047</v>
      </c>
      <c r="BC55" s="51">
        <f>BC44/$BA$44</f>
        <v>0.2857142857142857</v>
      </c>
      <c r="BD55" s="51">
        <f>BD44/$BA$44</f>
        <v>9.5238095238095233E-2</v>
      </c>
      <c r="BE55" s="51">
        <f>BE44/$BA$44</f>
        <v>0.42857142857142855</v>
      </c>
      <c r="BF55" s="60"/>
      <c r="BG55" s="61"/>
      <c r="BH55" s="61"/>
      <c r="BI55" s="6"/>
    </row>
    <row r="56" spans="1:61" customForma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</row>
  </sheetData>
  <mergeCells count="115">
    <mergeCell ref="AA11:AD11"/>
    <mergeCell ref="AE11:AH11"/>
    <mergeCell ref="AI11:AL11"/>
    <mergeCell ref="AM11:AP11"/>
    <mergeCell ref="AQ11:AT11"/>
    <mergeCell ref="AU11:AX11"/>
    <mergeCell ref="C10:N10"/>
    <mergeCell ref="O10:Z10"/>
    <mergeCell ref="AA10:AL10"/>
    <mergeCell ref="AM10:AX10"/>
    <mergeCell ref="C11:F11"/>
    <mergeCell ref="G11:J11"/>
    <mergeCell ref="K11:N11"/>
    <mergeCell ref="O11:R11"/>
    <mergeCell ref="S11:V11"/>
    <mergeCell ref="W11:Z11"/>
    <mergeCell ref="O12:P12"/>
    <mergeCell ref="Q12:R12"/>
    <mergeCell ref="S12:T12"/>
    <mergeCell ref="U12:V12"/>
    <mergeCell ref="W12:X12"/>
    <mergeCell ref="Y12:Z12"/>
    <mergeCell ref="C12:D12"/>
    <mergeCell ref="E12:F12"/>
    <mergeCell ref="G12:H12"/>
    <mergeCell ref="I12:J12"/>
    <mergeCell ref="K12:L12"/>
    <mergeCell ref="M12:N12"/>
    <mergeCell ref="AM12:AN12"/>
    <mergeCell ref="AO12:AP12"/>
    <mergeCell ref="AQ12:AR12"/>
    <mergeCell ref="AS12:AT12"/>
    <mergeCell ref="AU12:AV12"/>
    <mergeCell ref="AW12:AX12"/>
    <mergeCell ref="AA12:AB12"/>
    <mergeCell ref="AC12:AD12"/>
    <mergeCell ref="AE12:AF12"/>
    <mergeCell ref="AG12:AH12"/>
    <mergeCell ref="AI12:AJ12"/>
    <mergeCell ref="AK12:AL12"/>
    <mergeCell ref="BF34:BH37"/>
    <mergeCell ref="C35:F35"/>
    <mergeCell ref="G35:J35"/>
    <mergeCell ref="K35:N35"/>
    <mergeCell ref="O35:R35"/>
    <mergeCell ref="S35:V35"/>
    <mergeCell ref="W35:Z35"/>
    <mergeCell ref="C34:N34"/>
    <mergeCell ref="O34:Z34"/>
    <mergeCell ref="AA34:AL34"/>
    <mergeCell ref="AM34:AX34"/>
    <mergeCell ref="BA34:BA37"/>
    <mergeCell ref="BB34:BB37"/>
    <mergeCell ref="AA35:AD35"/>
    <mergeCell ref="AE35:AH35"/>
    <mergeCell ref="AI35:AL35"/>
    <mergeCell ref="AM35:AP35"/>
    <mergeCell ref="AQ35:AT35"/>
    <mergeCell ref="AU35:AX35"/>
    <mergeCell ref="C36:D36"/>
    <mergeCell ref="E36:F36"/>
    <mergeCell ref="O36:P36"/>
    <mergeCell ref="Q36:R36"/>
    <mergeCell ref="Y36:Z36"/>
    <mergeCell ref="BE34:BE37"/>
    <mergeCell ref="A40:B40"/>
    <mergeCell ref="AY40:AZ40"/>
    <mergeCell ref="AQ36:AR36"/>
    <mergeCell ref="AS36:AT36"/>
    <mergeCell ref="AU36:AV36"/>
    <mergeCell ref="AW36:AX36"/>
    <mergeCell ref="A37:B37"/>
    <mergeCell ref="AY37:AZ37"/>
    <mergeCell ref="AE36:AF36"/>
    <mergeCell ref="AG36:AH36"/>
    <mergeCell ref="AI36:AJ36"/>
    <mergeCell ref="AK36:AL36"/>
    <mergeCell ref="AM36:AN36"/>
    <mergeCell ref="AO36:AP36"/>
    <mergeCell ref="S36:T36"/>
    <mergeCell ref="U36:V36"/>
    <mergeCell ref="W36:X36"/>
    <mergeCell ref="AY44:AZ44"/>
    <mergeCell ref="BA45:BA48"/>
    <mergeCell ref="BB45:BB48"/>
    <mergeCell ref="A38:B38"/>
    <mergeCell ref="AY38:AZ38"/>
    <mergeCell ref="A39:B39"/>
    <mergeCell ref="AY39:AZ39"/>
    <mergeCell ref="BC34:BC37"/>
    <mergeCell ref="BD34:BD37"/>
    <mergeCell ref="A41:B41"/>
    <mergeCell ref="AY41:AZ41"/>
    <mergeCell ref="A42:B42"/>
    <mergeCell ref="AY42:AZ42"/>
    <mergeCell ref="A43:B43"/>
    <mergeCell ref="AY43:AZ43"/>
    <mergeCell ref="AA36:AB36"/>
    <mergeCell ref="AC36:AD36"/>
    <mergeCell ref="G36:H36"/>
    <mergeCell ref="I36:J36"/>
    <mergeCell ref="K36:L36"/>
    <mergeCell ref="M36:N36"/>
    <mergeCell ref="AY53:AZ53"/>
    <mergeCell ref="AY54:AZ54"/>
    <mergeCell ref="AY55:AZ55"/>
    <mergeCell ref="BF45:BH48"/>
    <mergeCell ref="AY48:AZ48"/>
    <mergeCell ref="AY49:AZ49"/>
    <mergeCell ref="AY50:AZ50"/>
    <mergeCell ref="AY51:AZ51"/>
    <mergeCell ref="AY52:AZ52"/>
    <mergeCell ref="BC45:BC48"/>
    <mergeCell ref="BD45:BD48"/>
    <mergeCell ref="BE45:BE48"/>
  </mergeCells>
  <pageMargins left="0.19645669291338586" right="0.19645669291338586" top="0.59015748031496063" bottom="0.59015748031496063" header="0.19645669291338586" footer="0.19645669291338586"/>
  <pageSetup paperSize="9" scale="46" fitToWidth="0" fitToHeight="0" pageOrder="overThenDown" orientation="landscape" useFirstPageNumber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0572-4B48-4521-A636-A23017D82475}">
  <dimension ref="A1:AMR48"/>
  <sheetViews>
    <sheetView view="pageBreakPreview" topLeftCell="A22" zoomScale="60" zoomScaleNormal="50" workbookViewId="0">
      <selection activeCell="M19" sqref="M19"/>
    </sheetView>
  </sheetViews>
  <sheetFormatPr baseColWidth="10" defaultRowHeight="14.25"/>
  <cols>
    <col min="1" max="1" width="6.5" style="6" customWidth="1"/>
    <col min="2" max="2" width="11.125" style="6" customWidth="1"/>
    <col min="3" max="18" width="13.625" style="6" customWidth="1"/>
    <col min="19" max="20" width="10.75" style="6" customWidth="1"/>
    <col min="21" max="21" width="19.75" style="6" customWidth="1"/>
    <col min="22" max="22" width="21.625" style="6" customWidth="1"/>
    <col min="23" max="23" width="19.75" style="6" customWidth="1"/>
    <col min="24" max="24" width="21.125" style="6" customWidth="1"/>
    <col min="25" max="25" width="23.625" style="6" customWidth="1"/>
    <col min="26" max="1031" width="11.125" style="6" customWidth="1"/>
    <col min="1032" max="1032" width="11" style="6" customWidth="1"/>
  </cols>
  <sheetData>
    <row r="1" spans="1:1032" ht="52.5" customHeight="1">
      <c r="A1" s="1"/>
      <c r="B1" s="2" t="s">
        <v>171</v>
      </c>
      <c r="C1" s="3"/>
      <c r="D1" s="3"/>
      <c r="E1" s="3"/>
      <c r="F1" s="4"/>
      <c r="G1" s="1" t="s">
        <v>2</v>
      </c>
      <c r="H1" s="76"/>
      <c r="I1" s="3"/>
      <c r="J1" s="3"/>
      <c r="K1" s="3"/>
      <c r="L1" s="3"/>
      <c r="M1" s="3"/>
      <c r="N1" s="4"/>
      <c r="O1" s="1"/>
      <c r="P1" s="76"/>
      <c r="Q1" s="3"/>
      <c r="R1" s="3"/>
      <c r="S1" s="4"/>
      <c r="T1" s="4"/>
      <c r="U1" s="4"/>
      <c r="V1" s="4"/>
      <c r="W1" s="9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4"/>
      <c r="AO1" s="3"/>
      <c r="AP1" s="3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9"/>
      <c r="AMQ1" s="9"/>
      <c r="AMR1" s="9"/>
    </row>
    <row r="2" spans="1:1032" ht="52.5" customHeight="1">
      <c r="A2" s="1" t="s">
        <v>3</v>
      </c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4"/>
      <c r="O2" s="3"/>
      <c r="P2" s="3"/>
      <c r="Q2" s="3"/>
      <c r="R2" s="3"/>
      <c r="S2" s="3"/>
      <c r="T2" s="3"/>
      <c r="U2" s="3"/>
      <c r="V2" s="3"/>
      <c r="W2" s="3"/>
      <c r="X2" s="9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4"/>
      <c r="AN2" s="3"/>
      <c r="AO2" s="3"/>
      <c r="AP2" s="3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9"/>
      <c r="AMQ2" s="9"/>
      <c r="AMR2" s="9"/>
    </row>
    <row r="3" spans="1:1032" ht="20.25" customHeight="1">
      <c r="A3" s="1" t="s">
        <v>4</v>
      </c>
      <c r="B3" s="3"/>
      <c r="C3" s="3"/>
      <c r="D3" s="3"/>
      <c r="E3" s="3"/>
      <c r="F3" s="3"/>
      <c r="G3" s="7" t="s">
        <v>5</v>
      </c>
      <c r="H3" s="3"/>
      <c r="I3" s="3"/>
      <c r="J3" s="3"/>
      <c r="K3" s="3"/>
      <c r="L3" s="3"/>
      <c r="M3" s="3"/>
      <c r="N3" s="3"/>
      <c r="O3" s="7"/>
      <c r="P3" s="3"/>
      <c r="Q3" s="3"/>
      <c r="R3" s="3"/>
      <c r="S3" s="3"/>
      <c r="T3" s="3"/>
      <c r="U3" s="3"/>
      <c r="V3" s="3"/>
      <c r="W3" s="3"/>
      <c r="X3" s="9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9"/>
      <c r="AMQ3" s="9"/>
      <c r="AMR3" s="9"/>
    </row>
    <row r="4" spans="1:1032" s="9" customFormat="1" ht="4.5" customHeight="1"/>
    <row r="5" spans="1:1032" ht="32.1" customHeight="1">
      <c r="A5" s="167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4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9"/>
    </row>
    <row r="6" spans="1:1032" ht="32.1" customHeight="1">
      <c r="A6" s="167" t="s">
        <v>170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9"/>
    </row>
    <row r="7" spans="1:1032" ht="32.1" customHeight="1">
      <c r="A7" s="167" t="s">
        <v>156</v>
      </c>
      <c r="B7" s="3"/>
      <c r="C7" s="3"/>
      <c r="D7" s="3"/>
      <c r="E7" s="3"/>
      <c r="F7" s="3"/>
      <c r="G7" s="77"/>
      <c r="H7" s="3"/>
      <c r="I7" s="3"/>
      <c r="J7" s="3"/>
      <c r="K7" s="3"/>
      <c r="L7" s="3"/>
      <c r="M7" s="3"/>
      <c r="N7" s="3"/>
      <c r="O7" s="7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4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9"/>
    </row>
    <row r="8" spans="1:1032" ht="50.65" customHeight="1">
      <c r="A8" s="167"/>
      <c r="B8" s="3"/>
      <c r="C8" s="3"/>
      <c r="D8" s="3"/>
      <c r="E8" s="3"/>
      <c r="F8" s="3"/>
      <c r="G8" s="77"/>
      <c r="H8" s="3"/>
      <c r="I8" s="3"/>
      <c r="J8" s="3"/>
      <c r="K8" s="3"/>
      <c r="L8" s="3"/>
      <c r="M8" s="3"/>
      <c r="N8" s="3"/>
      <c r="O8" s="77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4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9"/>
    </row>
    <row r="9" spans="1:1032" s="173" customFormat="1" ht="30">
      <c r="A9" s="14"/>
      <c r="B9" s="10"/>
      <c r="C9" s="272" t="s">
        <v>164</v>
      </c>
      <c r="D9" s="273"/>
      <c r="E9" s="273"/>
      <c r="F9" s="273"/>
      <c r="G9" s="273"/>
      <c r="H9" s="273"/>
      <c r="I9" s="273"/>
      <c r="J9" s="274"/>
      <c r="K9" s="275" t="s">
        <v>165</v>
      </c>
      <c r="L9" s="273"/>
      <c r="M9" s="273"/>
      <c r="N9" s="273"/>
      <c r="O9" s="273"/>
      <c r="P9" s="273"/>
      <c r="Q9" s="273"/>
      <c r="R9" s="27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  <c r="ALV9" s="6"/>
      <c r="ALW9" s="6"/>
      <c r="ALX9" s="6"/>
      <c r="ALY9" s="6"/>
      <c r="ALZ9" s="6"/>
      <c r="AMA9" s="6"/>
      <c r="AMB9" s="6"/>
      <c r="AMC9" s="6"/>
      <c r="AMD9" s="6"/>
      <c r="AME9" s="6"/>
      <c r="AMF9" s="6"/>
      <c r="AMG9" s="6"/>
      <c r="AMH9" s="6"/>
      <c r="AMI9" s="6"/>
      <c r="AMJ9" s="6"/>
      <c r="AMK9" s="6"/>
      <c r="AML9" s="6"/>
      <c r="AMM9" s="6"/>
      <c r="AMN9" s="6"/>
      <c r="AMO9" s="6"/>
      <c r="AMP9" s="6"/>
      <c r="AMQ9" s="6"/>
      <c r="AMR9" s="6"/>
    </row>
    <row r="10" spans="1:1032" ht="24.75" customHeight="1">
      <c r="A10" s="14"/>
      <c r="B10" s="10"/>
      <c r="C10" s="277" t="s">
        <v>166</v>
      </c>
      <c r="D10" s="278"/>
      <c r="E10" s="278"/>
      <c r="F10" s="279"/>
      <c r="G10" s="277" t="s">
        <v>167</v>
      </c>
      <c r="H10" s="278"/>
      <c r="I10" s="278"/>
      <c r="J10" s="280"/>
      <c r="K10" s="281" t="s">
        <v>168</v>
      </c>
      <c r="L10" s="278"/>
      <c r="M10" s="278"/>
      <c r="N10" s="279"/>
      <c r="O10" s="277" t="s">
        <v>169</v>
      </c>
      <c r="P10" s="278"/>
      <c r="Q10" s="278"/>
      <c r="R10" s="279"/>
    </row>
    <row r="11" spans="1:1032" ht="20.25">
      <c r="A11" s="14"/>
      <c r="B11" s="10"/>
      <c r="C11" s="258" t="s">
        <v>14</v>
      </c>
      <c r="D11" s="258"/>
      <c r="E11" s="282" t="s">
        <v>15</v>
      </c>
      <c r="F11" s="283"/>
      <c r="G11" s="282" t="s">
        <v>14</v>
      </c>
      <c r="H11" s="283"/>
      <c r="I11" s="174" t="s">
        <v>15</v>
      </c>
      <c r="J11" s="175"/>
      <c r="K11" s="287" t="s">
        <v>14</v>
      </c>
      <c r="L11" s="283"/>
      <c r="M11" s="282" t="s">
        <v>15</v>
      </c>
      <c r="N11" s="283"/>
      <c r="O11" s="282" t="s">
        <v>14</v>
      </c>
      <c r="P11" s="283"/>
      <c r="Q11" s="282" t="s">
        <v>15</v>
      </c>
      <c r="R11" s="283"/>
    </row>
    <row r="12" spans="1:1032" ht="20.25">
      <c r="A12" s="52" t="s">
        <v>14</v>
      </c>
      <c r="B12" s="52" t="s">
        <v>17</v>
      </c>
      <c r="C12" s="22" t="s">
        <v>18</v>
      </c>
      <c r="D12" s="22" t="s">
        <v>19</v>
      </c>
      <c r="E12" s="22" t="s">
        <v>18</v>
      </c>
      <c r="F12" s="22" t="s">
        <v>19</v>
      </c>
      <c r="G12" s="22" t="s">
        <v>18</v>
      </c>
      <c r="H12" s="22" t="s">
        <v>19</v>
      </c>
      <c r="I12" s="22" t="s">
        <v>18</v>
      </c>
      <c r="J12" s="176" t="s">
        <v>19</v>
      </c>
      <c r="K12" s="177" t="s">
        <v>18</v>
      </c>
      <c r="L12" s="22" t="s">
        <v>19</v>
      </c>
      <c r="M12" s="22" t="s">
        <v>18</v>
      </c>
      <c r="N12" s="22" t="s">
        <v>19</v>
      </c>
      <c r="O12" s="22" t="s">
        <v>18</v>
      </c>
      <c r="P12" s="22" t="s">
        <v>19</v>
      </c>
      <c r="Q12" s="22" t="s">
        <v>18</v>
      </c>
      <c r="R12" s="22" t="s">
        <v>19</v>
      </c>
    </row>
    <row r="13" spans="1:1032" ht="54.95" customHeight="1">
      <c r="A13" s="25">
        <v>6</v>
      </c>
      <c r="B13" s="52" t="s">
        <v>20</v>
      </c>
      <c r="C13" s="155"/>
      <c r="D13" s="156">
        <v>1</v>
      </c>
      <c r="E13" s="156"/>
      <c r="F13" s="179"/>
      <c r="G13" s="155"/>
      <c r="H13" s="156"/>
      <c r="I13" s="156"/>
      <c r="J13" s="182"/>
      <c r="K13" s="185"/>
      <c r="L13" s="156">
        <v>1</v>
      </c>
      <c r="M13" s="156"/>
      <c r="N13" s="179"/>
      <c r="O13" s="155"/>
      <c r="P13" s="156"/>
      <c r="Q13" s="156"/>
      <c r="R13" s="179"/>
    </row>
    <row r="14" spans="1:1032" ht="54.95" customHeight="1">
      <c r="A14" s="52"/>
      <c r="B14" s="52" t="s">
        <v>21</v>
      </c>
      <c r="C14" s="159"/>
      <c r="D14" s="160"/>
      <c r="E14" s="160"/>
      <c r="F14" s="180"/>
      <c r="G14" s="159"/>
      <c r="H14" s="160"/>
      <c r="I14" s="160"/>
      <c r="J14" s="183"/>
      <c r="K14" s="186"/>
      <c r="L14" s="160"/>
      <c r="M14" s="160"/>
      <c r="N14" s="180"/>
      <c r="O14" s="159"/>
      <c r="P14" s="160"/>
      <c r="Q14" s="160"/>
      <c r="R14" s="180"/>
    </row>
    <row r="15" spans="1:1032" ht="54.95" customHeight="1">
      <c r="A15" s="25">
        <v>7</v>
      </c>
      <c r="B15" s="52" t="s">
        <v>22</v>
      </c>
      <c r="C15" s="159"/>
      <c r="D15" s="160"/>
      <c r="E15" s="160"/>
      <c r="F15" s="180"/>
      <c r="G15" s="159"/>
      <c r="H15" s="160"/>
      <c r="I15" s="160"/>
      <c r="J15" s="183"/>
      <c r="K15" s="186"/>
      <c r="L15" s="160"/>
      <c r="M15" s="160"/>
      <c r="N15" s="180"/>
      <c r="O15" s="159"/>
      <c r="P15" s="160"/>
      <c r="Q15" s="160"/>
      <c r="R15" s="180"/>
    </row>
    <row r="16" spans="1:1032" ht="54.95" customHeight="1">
      <c r="A16" s="52"/>
      <c r="B16" s="52" t="s">
        <v>23</v>
      </c>
      <c r="C16" s="159"/>
      <c r="D16" s="160"/>
      <c r="E16" s="160"/>
      <c r="F16" s="180"/>
      <c r="G16" s="159"/>
      <c r="H16" s="160"/>
      <c r="I16" s="160"/>
      <c r="J16" s="183"/>
      <c r="K16" s="186"/>
      <c r="L16" s="160">
        <v>1</v>
      </c>
      <c r="M16" s="160"/>
      <c r="N16" s="180"/>
      <c r="O16" s="159">
        <v>1</v>
      </c>
      <c r="P16" s="160">
        <v>1</v>
      </c>
      <c r="Q16" s="160"/>
      <c r="R16" s="180"/>
    </row>
    <row r="17" spans="1:1032" ht="54.95" customHeight="1">
      <c r="A17" s="52"/>
      <c r="B17" s="52" t="s">
        <v>20</v>
      </c>
      <c r="C17" s="159"/>
      <c r="D17" s="160"/>
      <c r="E17" s="160"/>
      <c r="F17" s="180"/>
      <c r="G17" s="159"/>
      <c r="H17" s="160"/>
      <c r="I17" s="160"/>
      <c r="J17" s="183"/>
      <c r="K17" s="186">
        <v>1</v>
      </c>
      <c r="L17" s="160"/>
      <c r="M17" s="160"/>
      <c r="N17" s="180"/>
      <c r="O17" s="159"/>
      <c r="P17" s="160"/>
      <c r="Q17" s="160"/>
      <c r="R17" s="180"/>
    </row>
    <row r="18" spans="1:1032" ht="54.95" customHeight="1">
      <c r="A18" s="52"/>
      <c r="B18" s="52" t="s">
        <v>24</v>
      </c>
      <c r="C18" s="159"/>
      <c r="D18" s="160"/>
      <c r="E18" s="160"/>
      <c r="F18" s="180"/>
      <c r="G18" s="159"/>
      <c r="H18" s="160"/>
      <c r="I18" s="160"/>
      <c r="J18" s="183"/>
      <c r="K18" s="186">
        <v>1</v>
      </c>
      <c r="L18" s="160"/>
      <c r="M18" s="160"/>
      <c r="N18" s="180"/>
      <c r="O18" s="159"/>
      <c r="P18" s="160">
        <v>1</v>
      </c>
      <c r="Q18" s="160"/>
      <c r="R18" s="180"/>
    </row>
    <row r="19" spans="1:1032" ht="54.95" customHeight="1">
      <c r="A19" s="25">
        <v>8</v>
      </c>
      <c r="B19" s="52" t="s">
        <v>22</v>
      </c>
      <c r="C19" s="159"/>
      <c r="D19" s="160"/>
      <c r="E19" s="160"/>
      <c r="F19" s="180"/>
      <c r="G19" s="159"/>
      <c r="H19" s="160"/>
      <c r="I19" s="160"/>
      <c r="J19" s="183"/>
      <c r="K19" s="186"/>
      <c r="L19" s="160"/>
      <c r="M19" s="160"/>
      <c r="N19" s="180"/>
      <c r="O19" s="159"/>
      <c r="P19" s="160"/>
      <c r="Q19" s="160"/>
      <c r="R19" s="180"/>
    </row>
    <row r="20" spans="1:1032" ht="54.95" customHeight="1">
      <c r="A20" s="52"/>
      <c r="B20" s="52" t="s">
        <v>23</v>
      </c>
      <c r="C20" s="159"/>
      <c r="D20" s="160"/>
      <c r="E20" s="160"/>
      <c r="F20" s="180"/>
      <c r="G20" s="159"/>
      <c r="H20" s="160"/>
      <c r="I20" s="160"/>
      <c r="J20" s="183"/>
      <c r="K20" s="186"/>
      <c r="L20" s="160">
        <v>5</v>
      </c>
      <c r="M20" s="160"/>
      <c r="N20" s="180"/>
      <c r="O20" s="159"/>
      <c r="P20" s="160">
        <v>2</v>
      </c>
      <c r="Q20" s="160"/>
      <c r="R20" s="180"/>
    </row>
    <row r="21" spans="1:1032" ht="54.95" customHeight="1">
      <c r="A21" s="52"/>
      <c r="B21" s="52" t="s">
        <v>20</v>
      </c>
      <c r="C21" s="159"/>
      <c r="D21" s="160"/>
      <c r="E21" s="160"/>
      <c r="F21" s="180"/>
      <c r="G21" s="159"/>
      <c r="H21" s="160"/>
      <c r="I21" s="160"/>
      <c r="J21" s="183"/>
      <c r="K21" s="186"/>
      <c r="L21" s="160"/>
      <c r="M21" s="160"/>
      <c r="N21" s="180"/>
      <c r="O21" s="159"/>
      <c r="P21" s="160"/>
      <c r="Q21" s="160"/>
      <c r="R21" s="180"/>
    </row>
    <row r="22" spans="1:1032" ht="54.95" customHeight="1">
      <c r="A22" s="78">
        <v>9</v>
      </c>
      <c r="B22" s="52" t="s">
        <v>24</v>
      </c>
      <c r="C22" s="163"/>
      <c r="D22" s="164"/>
      <c r="E22" s="164"/>
      <c r="F22" s="181"/>
      <c r="G22" s="163"/>
      <c r="H22" s="164"/>
      <c r="I22" s="164"/>
      <c r="J22" s="184"/>
      <c r="K22" s="187"/>
      <c r="L22" s="164"/>
      <c r="M22" s="164"/>
      <c r="N22" s="181"/>
      <c r="O22" s="163"/>
      <c r="P22" s="164"/>
      <c r="Q22" s="164"/>
      <c r="R22" s="181"/>
    </row>
    <row r="23" spans="1:1032" ht="12" customHeight="1">
      <c r="A23" s="23"/>
      <c r="B23" s="23"/>
      <c r="C23" s="28"/>
      <c r="D23" s="28"/>
      <c r="E23" s="28"/>
      <c r="F23" s="28"/>
      <c r="G23" s="28"/>
      <c r="H23" s="28"/>
      <c r="I23" s="28"/>
      <c r="J23" s="190"/>
      <c r="K23" s="190"/>
      <c r="L23" s="28"/>
      <c r="M23" s="28"/>
      <c r="N23" s="28"/>
      <c r="O23" s="28"/>
      <c r="P23" s="28"/>
      <c r="Q23" s="28"/>
      <c r="R23" s="28"/>
    </row>
    <row r="24" spans="1:1032" ht="35.1" customHeight="1">
      <c r="A24" s="189" t="s">
        <v>27</v>
      </c>
      <c r="B24" s="33"/>
      <c r="C24" s="33"/>
      <c r="D24" s="33"/>
      <c r="E24" s="33"/>
      <c r="F24" s="33"/>
      <c r="G24" s="81"/>
      <c r="H24" s="33"/>
      <c r="I24" s="33"/>
      <c r="J24" s="178"/>
      <c r="K24" s="188" t="s">
        <v>27</v>
      </c>
      <c r="L24" s="33"/>
      <c r="M24" s="33"/>
      <c r="N24" s="33"/>
      <c r="O24" s="81"/>
      <c r="P24" s="33"/>
      <c r="Q24" s="33"/>
      <c r="R24" s="34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  <c r="IX24" s="36"/>
      <c r="IY24" s="36"/>
      <c r="IZ24" s="36"/>
      <c r="JA24" s="36"/>
      <c r="JB24" s="36"/>
      <c r="JC24" s="36"/>
      <c r="JD24" s="36"/>
      <c r="JE24" s="36"/>
      <c r="JF24" s="36"/>
      <c r="JG24" s="36"/>
      <c r="JH24" s="36"/>
      <c r="JI24" s="36"/>
      <c r="JJ24" s="36"/>
      <c r="JK24" s="36"/>
      <c r="JL24" s="36"/>
      <c r="JM24" s="36"/>
      <c r="JN24" s="36"/>
      <c r="JO24" s="36"/>
      <c r="JP24" s="36"/>
      <c r="JQ24" s="36"/>
      <c r="JR24" s="36"/>
      <c r="JS24" s="36"/>
      <c r="JT24" s="36"/>
      <c r="JU24" s="36"/>
      <c r="JV24" s="36"/>
      <c r="JW24" s="36"/>
      <c r="JX24" s="36"/>
      <c r="JY24" s="36"/>
      <c r="JZ24" s="36"/>
      <c r="KA24" s="36"/>
      <c r="KB24" s="36"/>
      <c r="KC24" s="36"/>
      <c r="KD24" s="36"/>
      <c r="KE24" s="36"/>
      <c r="KF24" s="36"/>
      <c r="KG24" s="36"/>
      <c r="KH24" s="36"/>
      <c r="KI24" s="36"/>
      <c r="KJ24" s="36"/>
      <c r="KK24" s="36"/>
      <c r="KL24" s="36"/>
      <c r="KM24" s="36"/>
      <c r="KN24" s="36"/>
      <c r="KO24" s="36"/>
      <c r="KP24" s="36"/>
      <c r="KQ24" s="36"/>
      <c r="KR24" s="36"/>
      <c r="KS24" s="36"/>
      <c r="KT24" s="36"/>
      <c r="KU24" s="36"/>
      <c r="KV24" s="36"/>
      <c r="KW24" s="36"/>
      <c r="KX24" s="36"/>
      <c r="KY24" s="36"/>
      <c r="KZ24" s="36"/>
      <c r="LA24" s="36"/>
      <c r="LB24" s="36"/>
      <c r="LC24" s="36"/>
      <c r="LD24" s="36"/>
      <c r="LE24" s="36"/>
      <c r="LF24" s="36"/>
      <c r="LG24" s="36"/>
      <c r="LH24" s="36"/>
      <c r="LI24" s="36"/>
      <c r="LJ24" s="36"/>
      <c r="LK24" s="36"/>
      <c r="LL24" s="36"/>
      <c r="LM24" s="36"/>
      <c r="LN24" s="36"/>
      <c r="LO24" s="36"/>
      <c r="LP24" s="36"/>
      <c r="LQ24" s="36"/>
      <c r="LR24" s="36"/>
      <c r="LS24" s="36"/>
      <c r="LT24" s="36"/>
      <c r="LU24" s="36"/>
      <c r="LV24" s="36"/>
      <c r="LW24" s="36"/>
      <c r="LX24" s="36"/>
      <c r="LY24" s="36"/>
      <c r="LZ24" s="36"/>
      <c r="MA24" s="36"/>
      <c r="MB24" s="36"/>
      <c r="MC24" s="36"/>
      <c r="MD24" s="36"/>
      <c r="ME24" s="36"/>
      <c r="MF24" s="36"/>
      <c r="MG24" s="36"/>
      <c r="MH24" s="36"/>
      <c r="MI24" s="36"/>
      <c r="MJ24" s="36"/>
      <c r="MK24" s="36"/>
      <c r="ML24" s="36"/>
      <c r="MM24" s="36"/>
      <c r="MN24" s="36"/>
      <c r="MO24" s="36"/>
      <c r="MP24" s="36"/>
      <c r="MQ24" s="36"/>
      <c r="MR24" s="36"/>
      <c r="MS24" s="36"/>
      <c r="MT24" s="36"/>
      <c r="MU24" s="36"/>
      <c r="MV24" s="36"/>
      <c r="MW24" s="36"/>
      <c r="MX24" s="36"/>
      <c r="MY24" s="36"/>
      <c r="MZ24" s="36"/>
      <c r="NA24" s="36"/>
      <c r="NB24" s="36"/>
      <c r="NC24" s="36"/>
      <c r="ND24" s="36"/>
      <c r="NE24" s="36"/>
      <c r="NF24" s="36"/>
      <c r="NG24" s="36"/>
      <c r="NH24" s="36"/>
      <c r="NI24" s="36"/>
      <c r="NJ24" s="36"/>
      <c r="NK24" s="36"/>
      <c r="NL24" s="36"/>
      <c r="NM24" s="36"/>
      <c r="NN24" s="36"/>
      <c r="NO24" s="36"/>
      <c r="NP24" s="36"/>
      <c r="NQ24" s="36"/>
      <c r="NR24" s="36"/>
      <c r="NS24" s="36"/>
      <c r="NT24" s="36"/>
      <c r="NU24" s="36"/>
      <c r="NV24" s="36"/>
      <c r="NW24" s="36"/>
      <c r="NX24" s="36"/>
      <c r="NY24" s="36"/>
      <c r="NZ24" s="36"/>
      <c r="OA24" s="36"/>
      <c r="OB24" s="36"/>
      <c r="OC24" s="36"/>
      <c r="OD24" s="36"/>
      <c r="OE24" s="36"/>
      <c r="OF24" s="36"/>
      <c r="OG24" s="36"/>
      <c r="OH24" s="36"/>
      <c r="OI24" s="36"/>
      <c r="OJ24" s="36"/>
      <c r="OK24" s="36"/>
      <c r="OL24" s="36"/>
      <c r="OM24" s="36"/>
      <c r="ON24" s="36"/>
      <c r="OO24" s="36"/>
      <c r="OP24" s="36"/>
      <c r="OQ24" s="36"/>
      <c r="OR24" s="36"/>
      <c r="OS24" s="36"/>
      <c r="OT24" s="36"/>
      <c r="OU24" s="36"/>
      <c r="OV24" s="36"/>
      <c r="OW24" s="36"/>
      <c r="OX24" s="36"/>
      <c r="OY24" s="36"/>
      <c r="OZ24" s="36"/>
      <c r="PA24" s="36"/>
      <c r="PB24" s="36"/>
      <c r="PC24" s="36"/>
      <c r="PD24" s="36"/>
      <c r="PE24" s="36"/>
      <c r="PF24" s="36"/>
      <c r="PG24" s="36"/>
      <c r="PH24" s="36"/>
      <c r="PI24" s="36"/>
      <c r="PJ24" s="36"/>
      <c r="PK24" s="36"/>
      <c r="PL24" s="36"/>
      <c r="PM24" s="36"/>
      <c r="PN24" s="36"/>
      <c r="PO24" s="36"/>
      <c r="PP24" s="36"/>
      <c r="PQ24" s="36"/>
      <c r="PR24" s="36"/>
      <c r="PS24" s="36"/>
      <c r="PT24" s="36"/>
      <c r="PU24" s="36"/>
      <c r="PV24" s="36"/>
      <c r="PW24" s="36"/>
      <c r="PX24" s="36"/>
      <c r="PY24" s="36"/>
      <c r="PZ24" s="36"/>
      <c r="QA24" s="36"/>
      <c r="QB24" s="36"/>
      <c r="QC24" s="36"/>
      <c r="QD24" s="36"/>
      <c r="QE24" s="36"/>
      <c r="QF24" s="36"/>
      <c r="QG24" s="36"/>
      <c r="QH24" s="36"/>
      <c r="QI24" s="36"/>
      <c r="QJ24" s="36"/>
      <c r="QK24" s="36"/>
      <c r="QL24" s="36"/>
      <c r="QM24" s="36"/>
      <c r="QN24" s="36"/>
      <c r="QO24" s="36"/>
      <c r="QP24" s="36"/>
      <c r="QQ24" s="36"/>
      <c r="QR24" s="36"/>
      <c r="QS24" s="36"/>
      <c r="QT24" s="36"/>
      <c r="QU24" s="36"/>
      <c r="QV24" s="36"/>
      <c r="QW24" s="36"/>
      <c r="QX24" s="36"/>
      <c r="QY24" s="36"/>
      <c r="QZ24" s="36"/>
      <c r="RA24" s="36"/>
      <c r="RB24" s="36"/>
      <c r="RC24" s="36"/>
      <c r="RD24" s="36"/>
      <c r="RE24" s="36"/>
      <c r="RF24" s="36"/>
      <c r="RG24" s="36"/>
      <c r="RH24" s="36"/>
      <c r="RI24" s="36"/>
      <c r="RJ24" s="36"/>
      <c r="RK24" s="36"/>
      <c r="RL24" s="36"/>
      <c r="RM24" s="36"/>
      <c r="RN24" s="36"/>
      <c r="RO24" s="36"/>
      <c r="RP24" s="36"/>
      <c r="RQ24" s="36"/>
      <c r="RR24" s="36"/>
      <c r="RS24" s="36"/>
      <c r="RT24" s="36"/>
      <c r="RU24" s="36"/>
      <c r="RV24" s="36"/>
      <c r="RW24" s="36"/>
      <c r="RX24" s="36"/>
      <c r="RY24" s="36"/>
      <c r="RZ24" s="36"/>
      <c r="SA24" s="36"/>
      <c r="SB24" s="36"/>
      <c r="SC24" s="36"/>
      <c r="SD24" s="36"/>
      <c r="SE24" s="36"/>
      <c r="SF24" s="36"/>
      <c r="SG24" s="36"/>
      <c r="SH24" s="36"/>
      <c r="SI24" s="36"/>
      <c r="SJ24" s="36"/>
      <c r="SK24" s="36"/>
      <c r="SL24" s="36"/>
      <c r="SM24" s="36"/>
      <c r="SN24" s="36"/>
      <c r="SO24" s="36"/>
      <c r="SP24" s="36"/>
      <c r="SQ24" s="36"/>
      <c r="SR24" s="36"/>
      <c r="SS24" s="36"/>
      <c r="ST24" s="36"/>
      <c r="SU24" s="36"/>
      <c r="SV24" s="36"/>
      <c r="SW24" s="36"/>
      <c r="SX24" s="36"/>
      <c r="SY24" s="36"/>
      <c r="SZ24" s="36"/>
      <c r="TA24" s="36"/>
      <c r="TB24" s="36"/>
      <c r="TC24" s="36"/>
      <c r="TD24" s="36"/>
      <c r="TE24" s="36"/>
      <c r="TF24" s="36"/>
      <c r="TG24" s="36"/>
      <c r="TH24" s="36"/>
      <c r="TI24" s="36"/>
      <c r="TJ24" s="36"/>
      <c r="TK24" s="36"/>
      <c r="TL24" s="36"/>
      <c r="TM24" s="36"/>
      <c r="TN24" s="36"/>
      <c r="TO24" s="36"/>
      <c r="TP24" s="36"/>
      <c r="TQ24" s="36"/>
      <c r="TR24" s="36"/>
      <c r="TS24" s="36"/>
      <c r="TT24" s="36"/>
      <c r="TU24" s="36"/>
      <c r="TV24" s="36"/>
      <c r="TW24" s="36"/>
      <c r="TX24" s="36"/>
      <c r="TY24" s="36"/>
      <c r="TZ24" s="36"/>
      <c r="UA24" s="36"/>
      <c r="UB24" s="36"/>
      <c r="UC24" s="36"/>
      <c r="UD24" s="36"/>
      <c r="UE24" s="36"/>
      <c r="UF24" s="36"/>
      <c r="UG24" s="36"/>
      <c r="UH24" s="36"/>
      <c r="UI24" s="36"/>
      <c r="UJ24" s="36"/>
      <c r="UK24" s="36"/>
      <c r="UL24" s="36"/>
      <c r="UM24" s="36"/>
      <c r="UN24" s="36"/>
      <c r="UO24" s="36"/>
      <c r="UP24" s="36"/>
      <c r="UQ24" s="36"/>
      <c r="UR24" s="36"/>
      <c r="US24" s="36"/>
      <c r="UT24" s="36"/>
      <c r="UU24" s="36"/>
      <c r="UV24" s="36"/>
      <c r="UW24" s="36"/>
      <c r="UX24" s="36"/>
      <c r="UY24" s="36"/>
      <c r="UZ24" s="36"/>
      <c r="VA24" s="36"/>
      <c r="VB24" s="36"/>
      <c r="VC24" s="36"/>
      <c r="VD24" s="36"/>
      <c r="VE24" s="36"/>
      <c r="VF24" s="36"/>
      <c r="VG24" s="36"/>
      <c r="VH24" s="36"/>
      <c r="VI24" s="36"/>
      <c r="VJ24" s="36"/>
      <c r="VK24" s="36"/>
      <c r="VL24" s="36"/>
      <c r="VM24" s="36"/>
      <c r="VN24" s="36"/>
      <c r="VO24" s="36"/>
      <c r="VP24" s="36"/>
      <c r="VQ24" s="36"/>
      <c r="VR24" s="36"/>
      <c r="VS24" s="36"/>
      <c r="VT24" s="36"/>
      <c r="VU24" s="36"/>
      <c r="VV24" s="36"/>
      <c r="VW24" s="36"/>
      <c r="VX24" s="36"/>
      <c r="VY24" s="36"/>
      <c r="VZ24" s="36"/>
      <c r="WA24" s="36"/>
      <c r="WB24" s="36"/>
      <c r="WC24" s="36"/>
      <c r="WD24" s="36"/>
      <c r="WE24" s="36"/>
      <c r="WF24" s="36"/>
      <c r="WG24" s="36"/>
      <c r="WH24" s="36"/>
      <c r="WI24" s="36"/>
      <c r="WJ24" s="36"/>
      <c r="WK24" s="36"/>
      <c r="WL24" s="36"/>
      <c r="WM24" s="36"/>
      <c r="WN24" s="36"/>
      <c r="WO24" s="36"/>
      <c r="WP24" s="36"/>
      <c r="WQ24" s="36"/>
      <c r="WR24" s="36"/>
      <c r="WS24" s="36"/>
      <c r="WT24" s="36"/>
      <c r="WU24" s="36"/>
      <c r="WV24" s="36"/>
      <c r="WW24" s="36"/>
      <c r="WX24" s="36"/>
      <c r="WY24" s="36"/>
      <c r="WZ24" s="36"/>
      <c r="XA24" s="36"/>
      <c r="XB24" s="36"/>
      <c r="XC24" s="36"/>
      <c r="XD24" s="36"/>
      <c r="XE24" s="36"/>
      <c r="XF24" s="36"/>
      <c r="XG24" s="36"/>
      <c r="XH24" s="36"/>
      <c r="XI24" s="36"/>
      <c r="XJ24" s="36"/>
      <c r="XK24" s="36"/>
      <c r="XL24" s="36"/>
      <c r="XM24" s="36"/>
      <c r="XN24" s="36"/>
      <c r="XO24" s="36"/>
      <c r="XP24" s="36"/>
      <c r="XQ24" s="36"/>
      <c r="XR24" s="36"/>
      <c r="XS24" s="36"/>
      <c r="XT24" s="36"/>
      <c r="XU24" s="36"/>
      <c r="XV24" s="36"/>
      <c r="XW24" s="36"/>
      <c r="XX24" s="36"/>
      <c r="XY24" s="36"/>
      <c r="XZ24" s="36"/>
      <c r="YA24" s="36"/>
      <c r="YB24" s="36"/>
      <c r="YC24" s="36"/>
      <c r="YD24" s="36"/>
      <c r="YE24" s="36"/>
      <c r="YF24" s="36"/>
      <c r="YG24" s="36"/>
      <c r="YH24" s="36"/>
      <c r="YI24" s="36"/>
      <c r="YJ24" s="36"/>
      <c r="YK24" s="36"/>
      <c r="YL24" s="36"/>
      <c r="YM24" s="36"/>
      <c r="YN24" s="36"/>
      <c r="YO24" s="36"/>
      <c r="YP24" s="36"/>
      <c r="YQ24" s="36"/>
      <c r="YR24" s="36"/>
      <c r="YS24" s="36"/>
      <c r="YT24" s="36"/>
      <c r="YU24" s="36"/>
      <c r="YV24" s="36"/>
      <c r="YW24" s="36"/>
      <c r="YX24" s="36"/>
      <c r="YY24" s="36"/>
      <c r="YZ24" s="36"/>
      <c r="ZA24" s="36"/>
      <c r="ZB24" s="36"/>
      <c r="ZC24" s="36"/>
      <c r="ZD24" s="36"/>
      <c r="ZE24" s="36"/>
      <c r="ZF24" s="36"/>
      <c r="ZG24" s="36"/>
      <c r="ZH24" s="36"/>
      <c r="ZI24" s="36"/>
      <c r="ZJ24" s="36"/>
      <c r="ZK24" s="36"/>
      <c r="ZL24" s="36"/>
      <c r="ZM24" s="36"/>
      <c r="ZN24" s="36"/>
      <c r="ZO24" s="36"/>
      <c r="ZP24" s="36"/>
      <c r="ZQ24" s="36"/>
      <c r="ZR24" s="36"/>
      <c r="ZS24" s="36"/>
      <c r="ZT24" s="36"/>
      <c r="ZU24" s="36"/>
      <c r="ZV24" s="36"/>
      <c r="ZW24" s="36"/>
      <c r="ZX24" s="36"/>
      <c r="ZY24" s="36"/>
      <c r="ZZ24" s="36"/>
      <c r="AAA24" s="36"/>
      <c r="AAB24" s="36"/>
      <c r="AAC24" s="36"/>
      <c r="AAD24" s="36"/>
      <c r="AAE24" s="36"/>
      <c r="AAF24" s="36"/>
      <c r="AAG24" s="36"/>
      <c r="AAH24" s="36"/>
      <c r="AAI24" s="36"/>
      <c r="AAJ24" s="36"/>
      <c r="AAK24" s="36"/>
      <c r="AAL24" s="36"/>
      <c r="AAM24" s="36"/>
      <c r="AAN24" s="36"/>
      <c r="AAO24" s="36"/>
      <c r="AAP24" s="36"/>
      <c r="AAQ24" s="36"/>
      <c r="AAR24" s="36"/>
      <c r="AAS24" s="36"/>
      <c r="AAT24" s="36"/>
      <c r="AAU24" s="36"/>
      <c r="AAV24" s="36"/>
      <c r="AAW24" s="36"/>
      <c r="AAX24" s="36"/>
      <c r="AAY24" s="36"/>
      <c r="AAZ24" s="36"/>
      <c r="ABA24" s="36"/>
      <c r="ABB24" s="36"/>
      <c r="ABC24" s="36"/>
      <c r="ABD24" s="36"/>
      <c r="ABE24" s="36"/>
      <c r="ABF24" s="36"/>
      <c r="ABG24" s="36"/>
      <c r="ABH24" s="36"/>
      <c r="ABI24" s="36"/>
      <c r="ABJ24" s="36"/>
      <c r="ABK24" s="36"/>
      <c r="ABL24" s="36"/>
      <c r="ABM24" s="36"/>
      <c r="ABN24" s="36"/>
      <c r="ABO24" s="36"/>
      <c r="ABP24" s="36"/>
      <c r="ABQ24" s="36"/>
      <c r="ABR24" s="36"/>
      <c r="ABS24" s="36"/>
      <c r="ABT24" s="36"/>
      <c r="ABU24" s="36"/>
      <c r="ABV24" s="36"/>
      <c r="ABW24" s="36"/>
      <c r="ABX24" s="36"/>
      <c r="ABY24" s="36"/>
      <c r="ABZ24" s="36"/>
      <c r="ACA24" s="36"/>
      <c r="ACB24" s="36"/>
      <c r="ACC24" s="36"/>
      <c r="ACD24" s="36"/>
      <c r="ACE24" s="36"/>
      <c r="ACF24" s="36"/>
      <c r="ACG24" s="36"/>
      <c r="ACH24" s="36"/>
      <c r="ACI24" s="36"/>
      <c r="ACJ24" s="36"/>
      <c r="ACK24" s="36"/>
      <c r="ACL24" s="36"/>
      <c r="ACM24" s="36"/>
      <c r="ACN24" s="36"/>
      <c r="ACO24" s="36"/>
      <c r="ACP24" s="36"/>
      <c r="ACQ24" s="36"/>
      <c r="ACR24" s="36"/>
      <c r="ACS24" s="36"/>
      <c r="ACT24" s="36"/>
      <c r="ACU24" s="36"/>
      <c r="ACV24" s="36"/>
      <c r="ACW24" s="36"/>
      <c r="ACX24" s="36"/>
      <c r="ACY24" s="36"/>
      <c r="ACZ24" s="36"/>
      <c r="ADA24" s="36"/>
      <c r="ADB24" s="36"/>
      <c r="ADC24" s="36"/>
      <c r="ADD24" s="36"/>
      <c r="ADE24" s="36"/>
      <c r="ADF24" s="36"/>
      <c r="ADG24" s="36"/>
      <c r="ADH24" s="36"/>
      <c r="ADI24" s="36"/>
      <c r="ADJ24" s="36"/>
      <c r="ADK24" s="36"/>
      <c r="ADL24" s="36"/>
      <c r="ADM24" s="36"/>
      <c r="ADN24" s="36"/>
      <c r="ADO24" s="36"/>
      <c r="ADP24" s="36"/>
      <c r="ADQ24" s="36"/>
      <c r="ADR24" s="36"/>
      <c r="ADS24" s="36"/>
      <c r="ADT24" s="36"/>
      <c r="ADU24" s="36"/>
      <c r="ADV24" s="36"/>
      <c r="ADW24" s="36"/>
      <c r="ADX24" s="36"/>
      <c r="ADY24" s="36"/>
      <c r="ADZ24" s="36"/>
      <c r="AEA24" s="36"/>
      <c r="AEB24" s="36"/>
      <c r="AEC24" s="36"/>
      <c r="AED24" s="36"/>
      <c r="AEE24" s="36"/>
      <c r="AEF24" s="36"/>
      <c r="AEG24" s="36"/>
      <c r="AEH24" s="36"/>
      <c r="AEI24" s="36"/>
      <c r="AEJ24" s="36"/>
      <c r="AEK24" s="36"/>
      <c r="AEL24" s="36"/>
      <c r="AEM24" s="36"/>
      <c r="AEN24" s="36"/>
      <c r="AEO24" s="36"/>
      <c r="AEP24" s="36"/>
      <c r="AEQ24" s="36"/>
      <c r="AER24" s="36"/>
      <c r="AES24" s="36"/>
      <c r="AET24" s="36"/>
      <c r="AEU24" s="36"/>
      <c r="AEV24" s="36"/>
      <c r="AEW24" s="36"/>
      <c r="AEX24" s="36"/>
      <c r="AEY24" s="36"/>
      <c r="AEZ24" s="36"/>
      <c r="AFA24" s="36"/>
      <c r="AFB24" s="36"/>
      <c r="AFC24" s="36"/>
      <c r="AFD24" s="36"/>
      <c r="AFE24" s="36"/>
      <c r="AFF24" s="36"/>
      <c r="AFG24" s="36"/>
      <c r="AFH24" s="36"/>
      <c r="AFI24" s="36"/>
      <c r="AFJ24" s="36"/>
      <c r="AFK24" s="36"/>
      <c r="AFL24" s="36"/>
      <c r="AFM24" s="36"/>
      <c r="AFN24" s="36"/>
      <c r="AFO24" s="36"/>
      <c r="AFP24" s="36"/>
      <c r="AFQ24" s="36"/>
      <c r="AFR24" s="36"/>
      <c r="AFS24" s="36"/>
      <c r="AFT24" s="36"/>
      <c r="AFU24" s="36"/>
      <c r="AFV24" s="36"/>
      <c r="AFW24" s="36"/>
      <c r="AFX24" s="36"/>
      <c r="AFY24" s="36"/>
      <c r="AFZ24" s="36"/>
      <c r="AGA24" s="36"/>
      <c r="AGB24" s="36"/>
      <c r="AGC24" s="36"/>
      <c r="AGD24" s="36"/>
      <c r="AGE24" s="36"/>
      <c r="AGF24" s="36"/>
      <c r="AGG24" s="36"/>
      <c r="AGH24" s="36"/>
      <c r="AGI24" s="36"/>
      <c r="AGJ24" s="36"/>
      <c r="AGK24" s="36"/>
      <c r="AGL24" s="36"/>
      <c r="AGM24" s="36"/>
      <c r="AGN24" s="36"/>
      <c r="AGO24" s="36"/>
      <c r="AGP24" s="36"/>
      <c r="AGQ24" s="36"/>
      <c r="AGR24" s="36"/>
      <c r="AGS24" s="36"/>
      <c r="AGT24" s="36"/>
      <c r="AGU24" s="36"/>
      <c r="AGV24" s="36"/>
      <c r="AGW24" s="36"/>
      <c r="AGX24" s="36"/>
      <c r="AGY24" s="36"/>
      <c r="AGZ24" s="36"/>
      <c r="AHA24" s="36"/>
      <c r="AHB24" s="36"/>
      <c r="AHC24" s="36"/>
      <c r="AHD24" s="36"/>
      <c r="AHE24" s="36"/>
      <c r="AHF24" s="36"/>
      <c r="AHG24" s="36"/>
      <c r="AHH24" s="36"/>
      <c r="AHI24" s="36"/>
      <c r="AHJ24" s="36"/>
      <c r="AHK24" s="36"/>
      <c r="AHL24" s="36"/>
      <c r="AHM24" s="36"/>
      <c r="AHN24" s="36"/>
      <c r="AHO24" s="36"/>
      <c r="AHP24" s="36"/>
      <c r="AHQ24" s="36"/>
      <c r="AHR24" s="36"/>
      <c r="AHS24" s="36"/>
      <c r="AHT24" s="36"/>
      <c r="AHU24" s="36"/>
      <c r="AHV24" s="36"/>
      <c r="AHW24" s="36"/>
      <c r="AHX24" s="36"/>
      <c r="AHY24" s="36"/>
      <c r="AHZ24" s="36"/>
      <c r="AIA24" s="36"/>
      <c r="AIB24" s="36"/>
      <c r="AIC24" s="36"/>
      <c r="AID24" s="36"/>
      <c r="AIE24" s="36"/>
      <c r="AIF24" s="36"/>
      <c r="AIG24" s="36"/>
      <c r="AIH24" s="36"/>
      <c r="AII24" s="36"/>
      <c r="AIJ24" s="36"/>
      <c r="AIK24" s="36"/>
      <c r="AIL24" s="36"/>
      <c r="AIM24" s="36"/>
      <c r="AIN24" s="36"/>
      <c r="AIO24" s="36"/>
      <c r="AIP24" s="36"/>
      <c r="AIQ24" s="36"/>
      <c r="AIR24" s="36"/>
      <c r="AIS24" s="36"/>
      <c r="AIT24" s="36"/>
      <c r="AIU24" s="36"/>
      <c r="AIV24" s="36"/>
      <c r="AIW24" s="36"/>
      <c r="AIX24" s="36"/>
      <c r="AIY24" s="36"/>
      <c r="AIZ24" s="36"/>
      <c r="AJA24" s="36"/>
      <c r="AJB24" s="36"/>
      <c r="AJC24" s="36"/>
      <c r="AJD24" s="36"/>
      <c r="AJE24" s="36"/>
      <c r="AJF24" s="36"/>
      <c r="AJG24" s="36"/>
      <c r="AJH24" s="36"/>
      <c r="AJI24" s="36"/>
      <c r="AJJ24" s="36"/>
      <c r="AJK24" s="36"/>
      <c r="AJL24" s="36"/>
      <c r="AJM24" s="36"/>
      <c r="AJN24" s="36"/>
      <c r="AJO24" s="36"/>
      <c r="AJP24" s="36"/>
      <c r="AJQ24" s="36"/>
      <c r="AJR24" s="36"/>
      <c r="AJS24" s="36"/>
      <c r="AJT24" s="36"/>
      <c r="AJU24" s="36"/>
      <c r="AJV24" s="36"/>
      <c r="AJW24" s="36"/>
      <c r="AJX24" s="36"/>
      <c r="AJY24" s="36"/>
      <c r="AJZ24" s="36"/>
      <c r="AKA24" s="36"/>
      <c r="AKB24" s="36"/>
      <c r="AKC24" s="36"/>
      <c r="AKD24" s="36"/>
      <c r="AKE24" s="36"/>
      <c r="AKF24" s="36"/>
      <c r="AKG24" s="36"/>
      <c r="AKH24" s="36"/>
      <c r="AKI24" s="36"/>
      <c r="AKJ24" s="36"/>
      <c r="AKK24" s="36"/>
      <c r="AKL24" s="36"/>
      <c r="AKM24" s="36"/>
      <c r="AKN24" s="36"/>
      <c r="AKO24" s="36"/>
      <c r="AKP24" s="36"/>
      <c r="AKQ24" s="36"/>
      <c r="AKR24" s="36"/>
      <c r="AKS24" s="36"/>
      <c r="AKT24" s="36"/>
      <c r="AKU24" s="36"/>
      <c r="AKV24" s="36"/>
      <c r="AKW24" s="36"/>
      <c r="AKX24" s="36"/>
      <c r="AKY24" s="36"/>
      <c r="AKZ24" s="36"/>
      <c r="ALA24" s="36"/>
      <c r="ALB24" s="36"/>
      <c r="ALC24" s="36"/>
      <c r="ALD24" s="36"/>
      <c r="ALE24" s="36"/>
      <c r="ALF24" s="36"/>
      <c r="ALG24" s="36"/>
      <c r="ALH24" s="36"/>
      <c r="ALI24" s="36"/>
      <c r="ALJ24" s="36"/>
      <c r="ALK24" s="36"/>
      <c r="ALL24" s="36"/>
      <c r="ALM24" s="36"/>
      <c r="ALN24" s="36"/>
      <c r="ALO24" s="36"/>
      <c r="ALP24" s="36"/>
      <c r="ALQ24" s="36"/>
      <c r="ALR24" s="36"/>
      <c r="ALS24" s="36"/>
      <c r="ALT24" s="36"/>
      <c r="ALU24" s="36"/>
      <c r="ALV24" s="36"/>
      <c r="ALW24" s="36"/>
      <c r="ALX24" s="36"/>
      <c r="ALY24" s="36"/>
      <c r="ALZ24" s="36"/>
      <c r="AMA24" s="36"/>
      <c r="AMB24" s="36"/>
      <c r="AMC24" s="36"/>
      <c r="AMD24" s="36"/>
      <c r="AME24" s="36"/>
      <c r="AMF24" s="36"/>
      <c r="AMG24" s="36"/>
      <c r="AMH24" s="36"/>
      <c r="AMI24" s="36"/>
      <c r="AMJ24" s="36"/>
      <c r="AMK24" s="36"/>
      <c r="AML24" s="36"/>
      <c r="AMM24"/>
      <c r="AMN24"/>
      <c r="AMO24"/>
      <c r="AMP24"/>
      <c r="AMQ24"/>
      <c r="AMR24"/>
    </row>
    <row r="25" spans="1:1032" ht="35.1" customHeight="1">
      <c r="A25" s="189" t="s">
        <v>28</v>
      </c>
      <c r="B25" s="33"/>
      <c r="C25" s="33"/>
      <c r="D25" s="33"/>
      <c r="E25" s="33"/>
      <c r="F25" s="196">
        <v>3</v>
      </c>
      <c r="G25" s="81"/>
      <c r="H25" s="33"/>
      <c r="I25" s="33"/>
      <c r="J25" s="178"/>
      <c r="K25" s="188" t="s">
        <v>28</v>
      </c>
      <c r="L25" s="33"/>
      <c r="M25" s="33"/>
      <c r="N25" s="33"/>
      <c r="O25" s="81"/>
      <c r="P25" s="33"/>
      <c r="Q25" s="33"/>
      <c r="R25" s="34"/>
      <c r="U25" s="102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  <c r="IX25" s="36"/>
      <c r="IY25" s="36"/>
      <c r="IZ25" s="36"/>
      <c r="JA25" s="36"/>
      <c r="JB25" s="36"/>
      <c r="JC25" s="36"/>
      <c r="JD25" s="36"/>
      <c r="JE25" s="36"/>
      <c r="JF25" s="36"/>
      <c r="JG25" s="36"/>
      <c r="JH25" s="36"/>
      <c r="JI25" s="36"/>
      <c r="JJ25" s="36"/>
      <c r="JK25" s="36"/>
      <c r="JL25" s="36"/>
      <c r="JM25" s="36"/>
      <c r="JN25" s="36"/>
      <c r="JO25" s="36"/>
      <c r="JP25" s="36"/>
      <c r="JQ25" s="36"/>
      <c r="JR25" s="36"/>
      <c r="JS25" s="36"/>
      <c r="JT25" s="36"/>
      <c r="JU25" s="36"/>
      <c r="JV25" s="36"/>
      <c r="JW25" s="36"/>
      <c r="JX25" s="36"/>
      <c r="JY25" s="36"/>
      <c r="JZ25" s="36"/>
      <c r="KA25" s="36"/>
      <c r="KB25" s="36"/>
      <c r="KC25" s="36"/>
      <c r="KD25" s="36"/>
      <c r="KE25" s="36"/>
      <c r="KF25" s="36"/>
      <c r="KG25" s="36"/>
      <c r="KH25" s="36"/>
      <c r="KI25" s="36"/>
      <c r="KJ25" s="36"/>
      <c r="KK25" s="36"/>
      <c r="KL25" s="36"/>
      <c r="KM25" s="36"/>
      <c r="KN25" s="36"/>
      <c r="KO25" s="36"/>
      <c r="KP25" s="36"/>
      <c r="KQ25" s="36"/>
      <c r="KR25" s="36"/>
      <c r="KS25" s="36"/>
      <c r="KT25" s="36"/>
      <c r="KU25" s="36"/>
      <c r="KV25" s="36"/>
      <c r="KW25" s="36"/>
      <c r="KX25" s="36"/>
      <c r="KY25" s="36"/>
      <c r="KZ25" s="36"/>
      <c r="LA25" s="36"/>
      <c r="LB25" s="36"/>
      <c r="LC25" s="36"/>
      <c r="LD25" s="36"/>
      <c r="LE25" s="36"/>
      <c r="LF25" s="36"/>
      <c r="LG25" s="36"/>
      <c r="LH25" s="36"/>
      <c r="LI25" s="36"/>
      <c r="LJ25" s="36"/>
      <c r="LK25" s="36"/>
      <c r="LL25" s="36"/>
      <c r="LM25" s="36"/>
      <c r="LN25" s="36"/>
      <c r="LO25" s="36"/>
      <c r="LP25" s="36"/>
      <c r="LQ25" s="36"/>
      <c r="LR25" s="36"/>
      <c r="LS25" s="36"/>
      <c r="LT25" s="36"/>
      <c r="LU25" s="36"/>
      <c r="LV25" s="36"/>
      <c r="LW25" s="36"/>
      <c r="LX25" s="36"/>
      <c r="LY25" s="36"/>
      <c r="LZ25" s="36"/>
      <c r="MA25" s="36"/>
      <c r="MB25" s="36"/>
      <c r="MC25" s="36"/>
      <c r="MD25" s="36"/>
      <c r="ME25" s="36"/>
      <c r="MF25" s="36"/>
      <c r="MG25" s="36"/>
      <c r="MH25" s="36"/>
      <c r="MI25" s="36"/>
      <c r="MJ25" s="36"/>
      <c r="MK25" s="36"/>
      <c r="ML25" s="36"/>
      <c r="MM25" s="36"/>
      <c r="MN25" s="36"/>
      <c r="MO25" s="36"/>
      <c r="MP25" s="36"/>
      <c r="MQ25" s="36"/>
      <c r="MR25" s="36"/>
      <c r="MS25" s="36"/>
      <c r="MT25" s="36"/>
      <c r="MU25" s="36"/>
      <c r="MV25" s="36"/>
      <c r="MW25" s="36"/>
      <c r="MX25" s="36"/>
      <c r="MY25" s="36"/>
      <c r="MZ25" s="36"/>
      <c r="NA25" s="36"/>
      <c r="NB25" s="36"/>
      <c r="NC25" s="36"/>
      <c r="ND25" s="36"/>
      <c r="NE25" s="36"/>
      <c r="NF25" s="36"/>
      <c r="NG25" s="36"/>
      <c r="NH25" s="36"/>
      <c r="NI25" s="36"/>
      <c r="NJ25" s="36"/>
      <c r="NK25" s="36"/>
      <c r="NL25" s="36"/>
      <c r="NM25" s="36"/>
      <c r="NN25" s="36"/>
      <c r="NO25" s="36"/>
      <c r="NP25" s="36"/>
      <c r="NQ25" s="36"/>
      <c r="NR25" s="36"/>
      <c r="NS25" s="36"/>
      <c r="NT25" s="36"/>
      <c r="NU25" s="36"/>
      <c r="NV25" s="36"/>
      <c r="NW25" s="36"/>
      <c r="NX25" s="36"/>
      <c r="NY25" s="36"/>
      <c r="NZ25" s="36"/>
      <c r="OA25" s="36"/>
      <c r="OB25" s="36"/>
      <c r="OC25" s="36"/>
      <c r="OD25" s="36"/>
      <c r="OE25" s="36"/>
      <c r="OF25" s="36"/>
      <c r="OG25" s="36"/>
      <c r="OH25" s="36"/>
      <c r="OI25" s="36"/>
      <c r="OJ25" s="36"/>
      <c r="OK25" s="36"/>
      <c r="OL25" s="36"/>
      <c r="OM25" s="36"/>
      <c r="ON25" s="36"/>
      <c r="OO25" s="36"/>
      <c r="OP25" s="36"/>
      <c r="OQ25" s="36"/>
      <c r="OR25" s="36"/>
      <c r="OS25" s="36"/>
      <c r="OT25" s="36"/>
      <c r="OU25" s="36"/>
      <c r="OV25" s="36"/>
      <c r="OW25" s="36"/>
      <c r="OX25" s="36"/>
      <c r="OY25" s="36"/>
      <c r="OZ25" s="36"/>
      <c r="PA25" s="36"/>
      <c r="PB25" s="36"/>
      <c r="PC25" s="36"/>
      <c r="PD25" s="36"/>
      <c r="PE25" s="36"/>
      <c r="PF25" s="36"/>
      <c r="PG25" s="36"/>
      <c r="PH25" s="36"/>
      <c r="PI25" s="36"/>
      <c r="PJ25" s="36"/>
      <c r="PK25" s="36"/>
      <c r="PL25" s="36"/>
      <c r="PM25" s="36"/>
      <c r="PN25" s="36"/>
      <c r="PO25" s="36"/>
      <c r="PP25" s="36"/>
      <c r="PQ25" s="36"/>
      <c r="PR25" s="36"/>
      <c r="PS25" s="36"/>
      <c r="PT25" s="36"/>
      <c r="PU25" s="36"/>
      <c r="PV25" s="36"/>
      <c r="PW25" s="36"/>
      <c r="PX25" s="36"/>
      <c r="PY25" s="36"/>
      <c r="PZ25" s="36"/>
      <c r="QA25" s="36"/>
      <c r="QB25" s="36"/>
      <c r="QC25" s="36"/>
      <c r="QD25" s="36"/>
      <c r="QE25" s="36"/>
      <c r="QF25" s="36"/>
      <c r="QG25" s="36"/>
      <c r="QH25" s="36"/>
      <c r="QI25" s="36"/>
      <c r="QJ25" s="36"/>
      <c r="QK25" s="36"/>
      <c r="QL25" s="36"/>
      <c r="QM25" s="36"/>
      <c r="QN25" s="36"/>
      <c r="QO25" s="36"/>
      <c r="QP25" s="36"/>
      <c r="QQ25" s="36"/>
      <c r="QR25" s="36"/>
      <c r="QS25" s="36"/>
      <c r="QT25" s="36"/>
      <c r="QU25" s="36"/>
      <c r="QV25" s="36"/>
      <c r="QW25" s="36"/>
      <c r="QX25" s="36"/>
      <c r="QY25" s="36"/>
      <c r="QZ25" s="36"/>
      <c r="RA25" s="36"/>
      <c r="RB25" s="36"/>
      <c r="RC25" s="36"/>
      <c r="RD25" s="36"/>
      <c r="RE25" s="36"/>
      <c r="RF25" s="36"/>
      <c r="RG25" s="36"/>
      <c r="RH25" s="36"/>
      <c r="RI25" s="36"/>
      <c r="RJ25" s="36"/>
      <c r="RK25" s="36"/>
      <c r="RL25" s="36"/>
      <c r="RM25" s="36"/>
      <c r="RN25" s="36"/>
      <c r="RO25" s="36"/>
      <c r="RP25" s="36"/>
      <c r="RQ25" s="36"/>
      <c r="RR25" s="36"/>
      <c r="RS25" s="36"/>
      <c r="RT25" s="36"/>
      <c r="RU25" s="36"/>
      <c r="RV25" s="36"/>
      <c r="RW25" s="36"/>
      <c r="RX25" s="36"/>
      <c r="RY25" s="36"/>
      <c r="RZ25" s="36"/>
      <c r="SA25" s="36"/>
      <c r="SB25" s="36"/>
      <c r="SC25" s="36"/>
      <c r="SD25" s="36"/>
      <c r="SE25" s="36"/>
      <c r="SF25" s="36"/>
      <c r="SG25" s="36"/>
      <c r="SH25" s="36"/>
      <c r="SI25" s="36"/>
      <c r="SJ25" s="36"/>
      <c r="SK25" s="36"/>
      <c r="SL25" s="36"/>
      <c r="SM25" s="36"/>
      <c r="SN25" s="36"/>
      <c r="SO25" s="36"/>
      <c r="SP25" s="36"/>
      <c r="SQ25" s="36"/>
      <c r="SR25" s="36"/>
      <c r="SS25" s="36"/>
      <c r="ST25" s="36"/>
      <c r="SU25" s="36"/>
      <c r="SV25" s="36"/>
      <c r="SW25" s="36"/>
      <c r="SX25" s="36"/>
      <c r="SY25" s="36"/>
      <c r="SZ25" s="36"/>
      <c r="TA25" s="36"/>
      <c r="TB25" s="36"/>
      <c r="TC25" s="36"/>
      <c r="TD25" s="36"/>
      <c r="TE25" s="36"/>
      <c r="TF25" s="36"/>
      <c r="TG25" s="36"/>
      <c r="TH25" s="36"/>
      <c r="TI25" s="36"/>
      <c r="TJ25" s="36"/>
      <c r="TK25" s="36"/>
      <c r="TL25" s="36"/>
      <c r="TM25" s="36"/>
      <c r="TN25" s="36"/>
      <c r="TO25" s="36"/>
      <c r="TP25" s="36"/>
      <c r="TQ25" s="36"/>
      <c r="TR25" s="36"/>
      <c r="TS25" s="36"/>
      <c r="TT25" s="36"/>
      <c r="TU25" s="36"/>
      <c r="TV25" s="36"/>
      <c r="TW25" s="36"/>
      <c r="TX25" s="36"/>
      <c r="TY25" s="36"/>
      <c r="TZ25" s="36"/>
      <c r="UA25" s="36"/>
      <c r="UB25" s="36"/>
      <c r="UC25" s="36"/>
      <c r="UD25" s="36"/>
      <c r="UE25" s="36"/>
      <c r="UF25" s="36"/>
      <c r="UG25" s="36"/>
      <c r="UH25" s="36"/>
      <c r="UI25" s="36"/>
      <c r="UJ25" s="36"/>
      <c r="UK25" s="36"/>
      <c r="UL25" s="36"/>
      <c r="UM25" s="36"/>
      <c r="UN25" s="36"/>
      <c r="UO25" s="36"/>
      <c r="UP25" s="36"/>
      <c r="UQ25" s="36"/>
      <c r="UR25" s="36"/>
      <c r="US25" s="36"/>
      <c r="UT25" s="36"/>
      <c r="UU25" s="36"/>
      <c r="UV25" s="36"/>
      <c r="UW25" s="36"/>
      <c r="UX25" s="36"/>
      <c r="UY25" s="36"/>
      <c r="UZ25" s="36"/>
      <c r="VA25" s="36"/>
      <c r="VB25" s="36"/>
      <c r="VC25" s="36"/>
      <c r="VD25" s="36"/>
      <c r="VE25" s="36"/>
      <c r="VF25" s="36"/>
      <c r="VG25" s="36"/>
      <c r="VH25" s="36"/>
      <c r="VI25" s="36"/>
      <c r="VJ25" s="36"/>
      <c r="VK25" s="36"/>
      <c r="VL25" s="36"/>
      <c r="VM25" s="36"/>
      <c r="VN25" s="36"/>
      <c r="VO25" s="36"/>
      <c r="VP25" s="36"/>
      <c r="VQ25" s="36"/>
      <c r="VR25" s="36"/>
      <c r="VS25" s="36"/>
      <c r="VT25" s="36"/>
      <c r="VU25" s="36"/>
      <c r="VV25" s="36"/>
      <c r="VW25" s="36"/>
      <c r="VX25" s="36"/>
      <c r="VY25" s="36"/>
      <c r="VZ25" s="36"/>
      <c r="WA25" s="36"/>
      <c r="WB25" s="36"/>
      <c r="WC25" s="36"/>
      <c r="WD25" s="36"/>
      <c r="WE25" s="36"/>
      <c r="WF25" s="36"/>
      <c r="WG25" s="36"/>
      <c r="WH25" s="36"/>
      <c r="WI25" s="36"/>
      <c r="WJ25" s="36"/>
      <c r="WK25" s="36"/>
      <c r="WL25" s="36"/>
      <c r="WM25" s="36"/>
      <c r="WN25" s="36"/>
      <c r="WO25" s="36"/>
      <c r="WP25" s="36"/>
      <c r="WQ25" s="36"/>
      <c r="WR25" s="36"/>
      <c r="WS25" s="36"/>
      <c r="WT25" s="36"/>
      <c r="WU25" s="36"/>
      <c r="WV25" s="36"/>
      <c r="WW25" s="36"/>
      <c r="WX25" s="36"/>
      <c r="WY25" s="36"/>
      <c r="WZ25" s="36"/>
      <c r="XA25" s="36"/>
      <c r="XB25" s="36"/>
      <c r="XC25" s="36"/>
      <c r="XD25" s="36"/>
      <c r="XE25" s="36"/>
      <c r="XF25" s="36"/>
      <c r="XG25" s="36"/>
      <c r="XH25" s="36"/>
      <c r="XI25" s="36"/>
      <c r="XJ25" s="36"/>
      <c r="XK25" s="36"/>
      <c r="XL25" s="36"/>
      <c r="XM25" s="36"/>
      <c r="XN25" s="36"/>
      <c r="XO25" s="36"/>
      <c r="XP25" s="36"/>
      <c r="XQ25" s="36"/>
      <c r="XR25" s="36"/>
      <c r="XS25" s="36"/>
      <c r="XT25" s="36"/>
      <c r="XU25" s="36"/>
      <c r="XV25" s="36"/>
      <c r="XW25" s="36"/>
      <c r="XX25" s="36"/>
      <c r="XY25" s="36"/>
      <c r="XZ25" s="36"/>
      <c r="YA25" s="36"/>
      <c r="YB25" s="36"/>
      <c r="YC25" s="36"/>
      <c r="YD25" s="36"/>
      <c r="YE25" s="36"/>
      <c r="YF25" s="36"/>
      <c r="YG25" s="36"/>
      <c r="YH25" s="36"/>
      <c r="YI25" s="36"/>
      <c r="YJ25" s="36"/>
      <c r="YK25" s="36"/>
      <c r="YL25" s="36"/>
      <c r="YM25" s="36"/>
      <c r="YN25" s="36"/>
      <c r="YO25" s="36"/>
      <c r="YP25" s="36"/>
      <c r="YQ25" s="36"/>
      <c r="YR25" s="36"/>
      <c r="YS25" s="36"/>
      <c r="YT25" s="36"/>
      <c r="YU25" s="36"/>
      <c r="YV25" s="36"/>
      <c r="YW25" s="36"/>
      <c r="YX25" s="36"/>
      <c r="YY25" s="36"/>
      <c r="YZ25" s="36"/>
      <c r="ZA25" s="36"/>
      <c r="ZB25" s="36"/>
      <c r="ZC25" s="36"/>
      <c r="ZD25" s="36"/>
      <c r="ZE25" s="36"/>
      <c r="ZF25" s="36"/>
      <c r="ZG25" s="36"/>
      <c r="ZH25" s="36"/>
      <c r="ZI25" s="36"/>
      <c r="ZJ25" s="36"/>
      <c r="ZK25" s="36"/>
      <c r="ZL25" s="36"/>
      <c r="ZM25" s="36"/>
      <c r="ZN25" s="36"/>
      <c r="ZO25" s="36"/>
      <c r="ZP25" s="36"/>
      <c r="ZQ25" s="36"/>
      <c r="ZR25" s="36"/>
      <c r="ZS25" s="36"/>
      <c r="ZT25" s="36"/>
      <c r="ZU25" s="36"/>
      <c r="ZV25" s="36"/>
      <c r="ZW25" s="36"/>
      <c r="ZX25" s="36"/>
      <c r="ZY25" s="36"/>
      <c r="ZZ25" s="36"/>
      <c r="AAA25" s="36"/>
      <c r="AAB25" s="36"/>
      <c r="AAC25" s="36"/>
      <c r="AAD25" s="36"/>
      <c r="AAE25" s="36"/>
      <c r="AAF25" s="36"/>
      <c r="AAG25" s="36"/>
      <c r="AAH25" s="36"/>
      <c r="AAI25" s="36"/>
      <c r="AAJ25" s="36"/>
      <c r="AAK25" s="36"/>
      <c r="AAL25" s="36"/>
      <c r="AAM25" s="36"/>
      <c r="AAN25" s="36"/>
      <c r="AAO25" s="36"/>
      <c r="AAP25" s="36"/>
      <c r="AAQ25" s="36"/>
      <c r="AAR25" s="36"/>
      <c r="AAS25" s="36"/>
      <c r="AAT25" s="36"/>
      <c r="AAU25" s="36"/>
      <c r="AAV25" s="36"/>
      <c r="AAW25" s="36"/>
      <c r="AAX25" s="36"/>
      <c r="AAY25" s="36"/>
      <c r="AAZ25" s="36"/>
      <c r="ABA25" s="36"/>
      <c r="ABB25" s="36"/>
      <c r="ABC25" s="36"/>
      <c r="ABD25" s="36"/>
      <c r="ABE25" s="36"/>
      <c r="ABF25" s="36"/>
      <c r="ABG25" s="36"/>
      <c r="ABH25" s="36"/>
      <c r="ABI25" s="36"/>
      <c r="ABJ25" s="36"/>
      <c r="ABK25" s="36"/>
      <c r="ABL25" s="36"/>
      <c r="ABM25" s="36"/>
      <c r="ABN25" s="36"/>
      <c r="ABO25" s="36"/>
      <c r="ABP25" s="36"/>
      <c r="ABQ25" s="36"/>
      <c r="ABR25" s="36"/>
      <c r="ABS25" s="36"/>
      <c r="ABT25" s="36"/>
      <c r="ABU25" s="36"/>
      <c r="ABV25" s="36"/>
      <c r="ABW25" s="36"/>
      <c r="ABX25" s="36"/>
      <c r="ABY25" s="36"/>
      <c r="ABZ25" s="36"/>
      <c r="ACA25" s="36"/>
      <c r="ACB25" s="36"/>
      <c r="ACC25" s="36"/>
      <c r="ACD25" s="36"/>
      <c r="ACE25" s="36"/>
      <c r="ACF25" s="36"/>
      <c r="ACG25" s="36"/>
      <c r="ACH25" s="36"/>
      <c r="ACI25" s="36"/>
      <c r="ACJ25" s="36"/>
      <c r="ACK25" s="36"/>
      <c r="ACL25" s="36"/>
      <c r="ACM25" s="36"/>
      <c r="ACN25" s="36"/>
      <c r="ACO25" s="36"/>
      <c r="ACP25" s="36"/>
      <c r="ACQ25" s="36"/>
      <c r="ACR25" s="36"/>
      <c r="ACS25" s="36"/>
      <c r="ACT25" s="36"/>
      <c r="ACU25" s="36"/>
      <c r="ACV25" s="36"/>
      <c r="ACW25" s="36"/>
      <c r="ACX25" s="36"/>
      <c r="ACY25" s="36"/>
      <c r="ACZ25" s="36"/>
      <c r="ADA25" s="36"/>
      <c r="ADB25" s="36"/>
      <c r="ADC25" s="36"/>
      <c r="ADD25" s="36"/>
      <c r="ADE25" s="36"/>
      <c r="ADF25" s="36"/>
      <c r="ADG25" s="36"/>
      <c r="ADH25" s="36"/>
      <c r="ADI25" s="36"/>
      <c r="ADJ25" s="36"/>
      <c r="ADK25" s="36"/>
      <c r="ADL25" s="36"/>
      <c r="ADM25" s="36"/>
      <c r="ADN25" s="36"/>
      <c r="ADO25" s="36"/>
      <c r="ADP25" s="36"/>
      <c r="ADQ25" s="36"/>
      <c r="ADR25" s="36"/>
      <c r="ADS25" s="36"/>
      <c r="ADT25" s="36"/>
      <c r="ADU25" s="36"/>
      <c r="ADV25" s="36"/>
      <c r="ADW25" s="36"/>
      <c r="ADX25" s="36"/>
      <c r="ADY25" s="36"/>
      <c r="ADZ25" s="36"/>
      <c r="AEA25" s="36"/>
      <c r="AEB25" s="36"/>
      <c r="AEC25" s="36"/>
      <c r="AED25" s="36"/>
      <c r="AEE25" s="36"/>
      <c r="AEF25" s="36"/>
      <c r="AEG25" s="36"/>
      <c r="AEH25" s="36"/>
      <c r="AEI25" s="36"/>
      <c r="AEJ25" s="36"/>
      <c r="AEK25" s="36"/>
      <c r="AEL25" s="36"/>
      <c r="AEM25" s="36"/>
      <c r="AEN25" s="36"/>
      <c r="AEO25" s="36"/>
      <c r="AEP25" s="36"/>
      <c r="AEQ25" s="36"/>
      <c r="AER25" s="36"/>
      <c r="AES25" s="36"/>
      <c r="AET25" s="36"/>
      <c r="AEU25" s="36"/>
      <c r="AEV25" s="36"/>
      <c r="AEW25" s="36"/>
      <c r="AEX25" s="36"/>
      <c r="AEY25" s="36"/>
      <c r="AEZ25" s="36"/>
      <c r="AFA25" s="36"/>
      <c r="AFB25" s="36"/>
      <c r="AFC25" s="36"/>
      <c r="AFD25" s="36"/>
      <c r="AFE25" s="36"/>
      <c r="AFF25" s="36"/>
      <c r="AFG25" s="36"/>
      <c r="AFH25" s="36"/>
      <c r="AFI25" s="36"/>
      <c r="AFJ25" s="36"/>
      <c r="AFK25" s="36"/>
      <c r="AFL25" s="36"/>
      <c r="AFM25" s="36"/>
      <c r="AFN25" s="36"/>
      <c r="AFO25" s="36"/>
      <c r="AFP25" s="36"/>
      <c r="AFQ25" s="36"/>
      <c r="AFR25" s="36"/>
      <c r="AFS25" s="36"/>
      <c r="AFT25" s="36"/>
      <c r="AFU25" s="36"/>
      <c r="AFV25" s="36"/>
      <c r="AFW25" s="36"/>
      <c r="AFX25" s="36"/>
      <c r="AFY25" s="36"/>
      <c r="AFZ25" s="36"/>
      <c r="AGA25" s="36"/>
      <c r="AGB25" s="36"/>
      <c r="AGC25" s="36"/>
      <c r="AGD25" s="36"/>
      <c r="AGE25" s="36"/>
      <c r="AGF25" s="36"/>
      <c r="AGG25" s="36"/>
      <c r="AGH25" s="36"/>
      <c r="AGI25" s="36"/>
      <c r="AGJ25" s="36"/>
      <c r="AGK25" s="36"/>
      <c r="AGL25" s="36"/>
      <c r="AGM25" s="36"/>
      <c r="AGN25" s="36"/>
      <c r="AGO25" s="36"/>
      <c r="AGP25" s="36"/>
      <c r="AGQ25" s="36"/>
      <c r="AGR25" s="36"/>
      <c r="AGS25" s="36"/>
      <c r="AGT25" s="36"/>
      <c r="AGU25" s="36"/>
      <c r="AGV25" s="36"/>
      <c r="AGW25" s="36"/>
      <c r="AGX25" s="36"/>
      <c r="AGY25" s="36"/>
      <c r="AGZ25" s="36"/>
      <c r="AHA25" s="36"/>
      <c r="AHB25" s="36"/>
      <c r="AHC25" s="36"/>
      <c r="AHD25" s="36"/>
      <c r="AHE25" s="36"/>
      <c r="AHF25" s="36"/>
      <c r="AHG25" s="36"/>
      <c r="AHH25" s="36"/>
      <c r="AHI25" s="36"/>
      <c r="AHJ25" s="36"/>
      <c r="AHK25" s="36"/>
      <c r="AHL25" s="36"/>
      <c r="AHM25" s="36"/>
      <c r="AHN25" s="36"/>
      <c r="AHO25" s="36"/>
      <c r="AHP25" s="36"/>
      <c r="AHQ25" s="36"/>
      <c r="AHR25" s="36"/>
      <c r="AHS25" s="36"/>
      <c r="AHT25" s="36"/>
      <c r="AHU25" s="36"/>
      <c r="AHV25" s="36"/>
      <c r="AHW25" s="36"/>
      <c r="AHX25" s="36"/>
      <c r="AHY25" s="36"/>
      <c r="AHZ25" s="36"/>
      <c r="AIA25" s="36"/>
      <c r="AIB25" s="36"/>
      <c r="AIC25" s="36"/>
      <c r="AID25" s="36"/>
      <c r="AIE25" s="36"/>
      <c r="AIF25" s="36"/>
      <c r="AIG25" s="36"/>
      <c r="AIH25" s="36"/>
      <c r="AII25" s="36"/>
      <c r="AIJ25" s="36"/>
      <c r="AIK25" s="36"/>
      <c r="AIL25" s="36"/>
      <c r="AIM25" s="36"/>
      <c r="AIN25" s="36"/>
      <c r="AIO25" s="36"/>
      <c r="AIP25" s="36"/>
      <c r="AIQ25" s="36"/>
      <c r="AIR25" s="36"/>
      <c r="AIS25" s="36"/>
      <c r="AIT25" s="36"/>
      <c r="AIU25" s="36"/>
      <c r="AIV25" s="36"/>
      <c r="AIW25" s="36"/>
      <c r="AIX25" s="36"/>
      <c r="AIY25" s="36"/>
      <c r="AIZ25" s="36"/>
      <c r="AJA25" s="36"/>
      <c r="AJB25" s="36"/>
      <c r="AJC25" s="36"/>
      <c r="AJD25" s="36"/>
      <c r="AJE25" s="36"/>
      <c r="AJF25" s="36"/>
      <c r="AJG25" s="36"/>
      <c r="AJH25" s="36"/>
      <c r="AJI25" s="36"/>
      <c r="AJJ25" s="36"/>
      <c r="AJK25" s="36"/>
      <c r="AJL25" s="36"/>
      <c r="AJM25" s="36"/>
      <c r="AJN25" s="36"/>
      <c r="AJO25" s="36"/>
      <c r="AJP25" s="36"/>
      <c r="AJQ25" s="36"/>
      <c r="AJR25" s="36"/>
      <c r="AJS25" s="36"/>
      <c r="AJT25" s="36"/>
      <c r="AJU25" s="36"/>
      <c r="AJV25" s="36"/>
      <c r="AJW25" s="36"/>
      <c r="AJX25" s="36"/>
      <c r="AJY25" s="36"/>
      <c r="AJZ25" s="36"/>
      <c r="AKA25" s="36"/>
      <c r="AKB25" s="36"/>
      <c r="AKC25" s="36"/>
      <c r="AKD25" s="36"/>
      <c r="AKE25" s="36"/>
      <c r="AKF25" s="36"/>
      <c r="AKG25" s="36"/>
      <c r="AKH25" s="36"/>
      <c r="AKI25" s="36"/>
      <c r="AKJ25" s="36"/>
      <c r="AKK25" s="36"/>
      <c r="AKL25" s="36"/>
      <c r="AKM25" s="36"/>
      <c r="AKN25" s="36"/>
      <c r="AKO25" s="36"/>
      <c r="AKP25" s="36"/>
      <c r="AKQ25" s="36"/>
      <c r="AKR25" s="36"/>
      <c r="AKS25" s="36"/>
      <c r="AKT25" s="36"/>
      <c r="AKU25" s="36"/>
      <c r="AKV25" s="36"/>
      <c r="AKW25" s="36"/>
      <c r="AKX25" s="36"/>
      <c r="AKY25" s="36"/>
      <c r="AKZ25" s="36"/>
      <c r="ALA25" s="36"/>
      <c r="ALB25" s="36"/>
      <c r="ALC25" s="36"/>
      <c r="ALD25" s="36"/>
      <c r="ALE25" s="36"/>
      <c r="ALF25" s="36"/>
      <c r="ALG25" s="36"/>
      <c r="ALH25" s="36"/>
      <c r="ALI25" s="36"/>
      <c r="ALJ25" s="36"/>
      <c r="ALK25" s="36"/>
      <c r="ALL25" s="36"/>
      <c r="ALM25" s="36"/>
      <c r="ALN25" s="36"/>
      <c r="ALO25" s="36"/>
      <c r="ALP25" s="36"/>
      <c r="ALQ25" s="36"/>
      <c r="ALR25" s="36"/>
      <c r="ALS25" s="36"/>
      <c r="ALT25" s="36"/>
      <c r="ALU25" s="36"/>
      <c r="ALV25" s="36"/>
      <c r="ALW25" s="36"/>
      <c r="ALX25" s="36"/>
      <c r="ALY25" s="36"/>
      <c r="ALZ25" s="36"/>
      <c r="AMA25" s="36"/>
      <c r="AMB25" s="36"/>
      <c r="AMC25" s="36"/>
      <c r="AMD25" s="36"/>
      <c r="AME25" s="36"/>
      <c r="AMF25" s="36"/>
      <c r="AMG25" s="36"/>
      <c r="AMH25" s="36"/>
      <c r="AMI25" s="36"/>
      <c r="AMJ25" s="36"/>
      <c r="AMK25" s="36"/>
      <c r="AML25" s="36"/>
      <c r="AMM25"/>
      <c r="AMN25"/>
      <c r="AMO25"/>
      <c r="AMP25"/>
      <c r="AMQ25"/>
      <c r="AMR25"/>
    </row>
    <row r="26" spans="1:1032" ht="20.25">
      <c r="A26" s="57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032" ht="30.75" customHeight="1">
      <c r="A27" s="14"/>
      <c r="B27" s="10"/>
      <c r="C27" s="264" t="str">
        <f>C9</f>
        <v>RN 1203</v>
      </c>
      <c r="D27" s="264"/>
      <c r="E27" s="264"/>
      <c r="F27" s="264"/>
      <c r="G27" s="264"/>
      <c r="H27" s="264"/>
      <c r="I27" s="264"/>
      <c r="J27" s="264"/>
      <c r="K27" s="284" t="str">
        <f>K9</f>
        <v>Passage souterrain</v>
      </c>
      <c r="L27" s="285"/>
      <c r="M27" s="285"/>
      <c r="N27" s="285"/>
      <c r="O27" s="285"/>
      <c r="P27" s="285"/>
      <c r="Q27" s="285"/>
      <c r="R27" s="286"/>
      <c r="S27" s="14"/>
      <c r="T27" s="10"/>
      <c r="U27" s="268" t="s">
        <v>29</v>
      </c>
      <c r="V27" s="267" t="s">
        <v>30</v>
      </c>
      <c r="W27" s="262" t="s">
        <v>31</v>
      </c>
      <c r="X27" s="262" t="s">
        <v>32</v>
      </c>
      <c r="Y27" s="263"/>
      <c r="Z27" s="254" t="s">
        <v>56</v>
      </c>
      <c r="AA27" s="254"/>
      <c r="AB27" s="254"/>
      <c r="AC27" s="254"/>
      <c r="AD27" s="254"/>
      <c r="AE27" s="254"/>
      <c r="AF27" s="254"/>
    </row>
    <row r="28" spans="1:1032" ht="24.75" customHeight="1">
      <c r="A28" s="14"/>
      <c r="B28" s="10"/>
      <c r="C28" s="259" t="str">
        <f>C10</f>
        <v>Direct Bonneville</v>
      </c>
      <c r="D28" s="259"/>
      <c r="E28" s="259"/>
      <c r="F28" s="259"/>
      <c r="G28" s="259" t="str">
        <f>G10</f>
        <v>Direct La Roche</v>
      </c>
      <c r="H28" s="259"/>
      <c r="I28" s="259"/>
      <c r="J28" s="259"/>
      <c r="K28" s="277" t="str">
        <f>K10</f>
        <v>Direct Amancy</v>
      </c>
      <c r="L28" s="278"/>
      <c r="M28" s="278"/>
      <c r="N28" s="279"/>
      <c r="O28" s="277" t="str">
        <f>O10</f>
        <v>Direct Vozerier</v>
      </c>
      <c r="P28" s="278"/>
      <c r="Q28" s="278"/>
      <c r="R28" s="279"/>
      <c r="S28" s="14"/>
      <c r="T28" s="10"/>
      <c r="U28" s="268"/>
      <c r="V28" s="267"/>
      <c r="W28" s="262"/>
      <c r="X28" s="262"/>
      <c r="Y28" s="263"/>
      <c r="Z28" s="254"/>
      <c r="AA28" s="254"/>
      <c r="AB28" s="254"/>
      <c r="AC28" s="254"/>
      <c r="AD28" s="254"/>
      <c r="AE28" s="254"/>
      <c r="AF28" s="254"/>
    </row>
    <row r="29" spans="1:1032" ht="20.25">
      <c r="A29" s="14"/>
      <c r="B29" s="10"/>
      <c r="C29" s="258" t="s">
        <v>14</v>
      </c>
      <c r="D29" s="258"/>
      <c r="E29" s="258" t="s">
        <v>15</v>
      </c>
      <c r="F29" s="258"/>
      <c r="G29" s="258" t="s">
        <v>14</v>
      </c>
      <c r="H29" s="258"/>
      <c r="I29" s="258" t="s">
        <v>15</v>
      </c>
      <c r="J29" s="258"/>
      <c r="K29" s="282" t="s">
        <v>14</v>
      </c>
      <c r="L29" s="283"/>
      <c r="M29" s="282" t="s">
        <v>15</v>
      </c>
      <c r="N29" s="283"/>
      <c r="O29" s="282" t="s">
        <v>14</v>
      </c>
      <c r="P29" s="283"/>
      <c r="Q29" s="282" t="s">
        <v>15</v>
      </c>
      <c r="R29" s="283"/>
      <c r="S29" s="58"/>
      <c r="T29" s="10"/>
      <c r="U29" s="268"/>
      <c r="V29" s="267"/>
      <c r="W29" s="262"/>
      <c r="X29" s="262"/>
      <c r="Y29" s="263"/>
      <c r="Z29" s="254"/>
      <c r="AA29" s="254"/>
      <c r="AB29" s="254"/>
      <c r="AC29" s="254"/>
      <c r="AD29" s="254"/>
      <c r="AE29" s="254"/>
      <c r="AF29" s="254"/>
    </row>
    <row r="30" spans="1:1032" ht="21" customHeight="1">
      <c r="A30" s="257" t="s">
        <v>34</v>
      </c>
      <c r="B30" s="257"/>
      <c r="C30" s="22" t="s">
        <v>18</v>
      </c>
      <c r="D30" s="22" t="s">
        <v>19</v>
      </c>
      <c r="E30" s="22" t="s">
        <v>18</v>
      </c>
      <c r="F30" s="22" t="s">
        <v>19</v>
      </c>
      <c r="G30" s="22" t="s">
        <v>18</v>
      </c>
      <c r="H30" s="22" t="s">
        <v>19</v>
      </c>
      <c r="I30" s="22" t="s">
        <v>18</v>
      </c>
      <c r="J30" s="22" t="s">
        <v>19</v>
      </c>
      <c r="K30" s="22" t="s">
        <v>18</v>
      </c>
      <c r="L30" s="22" t="s">
        <v>19</v>
      </c>
      <c r="M30" s="22" t="s">
        <v>18</v>
      </c>
      <c r="N30" s="22" t="s">
        <v>19</v>
      </c>
      <c r="O30" s="22" t="s">
        <v>18</v>
      </c>
      <c r="P30" s="22" t="s">
        <v>19</v>
      </c>
      <c r="Q30" s="22" t="s">
        <v>18</v>
      </c>
      <c r="R30" s="22" t="s">
        <v>19</v>
      </c>
      <c r="S30" s="257" t="s">
        <v>34</v>
      </c>
      <c r="T30" s="257"/>
      <c r="U30" s="268"/>
      <c r="V30" s="267"/>
      <c r="W30" s="262"/>
      <c r="X30" s="262"/>
      <c r="Y30" s="263"/>
      <c r="Z30" s="254"/>
      <c r="AA30" s="254"/>
      <c r="AB30" s="254"/>
      <c r="AC30" s="254"/>
      <c r="AD30" s="254"/>
      <c r="AE30" s="254"/>
      <c r="AF30" s="254"/>
    </row>
    <row r="31" spans="1:1032" ht="35.1" customHeight="1">
      <c r="A31" s="257" t="s">
        <v>35</v>
      </c>
      <c r="B31" s="257"/>
      <c r="C31" s="26">
        <f t="shared" ref="C31:R31" si="0">SUM(C13:C14)</f>
        <v>0</v>
      </c>
      <c r="D31" s="26">
        <f t="shared" si="0"/>
        <v>1</v>
      </c>
      <c r="E31" s="26">
        <f t="shared" si="0"/>
        <v>0</v>
      </c>
      <c r="F31" s="26">
        <f t="shared" si="0"/>
        <v>0</v>
      </c>
      <c r="G31" s="26">
        <f t="shared" si="0"/>
        <v>0</v>
      </c>
      <c r="H31" s="26">
        <f t="shared" si="0"/>
        <v>0</v>
      </c>
      <c r="I31" s="26">
        <f t="shared" si="0"/>
        <v>0</v>
      </c>
      <c r="J31" s="26">
        <f t="shared" si="0"/>
        <v>0</v>
      </c>
      <c r="K31" s="26">
        <f t="shared" si="0"/>
        <v>0</v>
      </c>
      <c r="L31" s="26">
        <f t="shared" si="0"/>
        <v>1</v>
      </c>
      <c r="M31" s="26">
        <f t="shared" si="0"/>
        <v>0</v>
      </c>
      <c r="N31" s="26">
        <f t="shared" si="0"/>
        <v>0</v>
      </c>
      <c r="O31" s="26">
        <f t="shared" si="0"/>
        <v>0</v>
      </c>
      <c r="P31" s="26">
        <f t="shared" si="0"/>
        <v>0</v>
      </c>
      <c r="Q31" s="26">
        <f t="shared" si="0"/>
        <v>0</v>
      </c>
      <c r="R31" s="26">
        <f t="shared" si="0"/>
        <v>0</v>
      </c>
      <c r="S31" s="257" t="str">
        <f>A31</f>
        <v>6:30 à 7:00</v>
      </c>
      <c r="T31" s="257"/>
      <c r="U31" s="63">
        <f>SUM(C31:R31)</f>
        <v>2</v>
      </c>
      <c r="V31" s="41">
        <f>C31+E31+G31+I31+K31+M31+O31+Q31</f>
        <v>0</v>
      </c>
      <c r="W31" s="41">
        <f>E31+F31+I31+J31+M31+N31+Q31+R31</f>
        <v>0</v>
      </c>
      <c r="X31" s="41">
        <f>E31+I31</f>
        <v>0</v>
      </c>
      <c r="Y31" s="41">
        <f>SUM(G31:J31)</f>
        <v>0</v>
      </c>
      <c r="Z31" s="60"/>
      <c r="AA31" s="61"/>
      <c r="AB31" s="61"/>
      <c r="AC31" s="82"/>
      <c r="AD31" s="82"/>
      <c r="AE31" s="82"/>
      <c r="AF31" s="83"/>
    </row>
    <row r="32" spans="1:1032" s="6" customFormat="1" ht="35.1" customHeight="1">
      <c r="A32" s="257" t="s">
        <v>36</v>
      </c>
      <c r="B32" s="257"/>
      <c r="C32" s="26">
        <f t="shared" ref="C32:R32" si="1">SUM(C15:C16)</f>
        <v>0</v>
      </c>
      <c r="D32" s="26">
        <f t="shared" si="1"/>
        <v>0</v>
      </c>
      <c r="E32" s="26">
        <f t="shared" si="1"/>
        <v>0</v>
      </c>
      <c r="F32" s="26">
        <f t="shared" si="1"/>
        <v>0</v>
      </c>
      <c r="G32" s="26">
        <f t="shared" si="1"/>
        <v>0</v>
      </c>
      <c r="H32" s="26">
        <f t="shared" si="1"/>
        <v>0</v>
      </c>
      <c r="I32" s="26">
        <f t="shared" si="1"/>
        <v>0</v>
      </c>
      <c r="J32" s="26">
        <f t="shared" si="1"/>
        <v>0</v>
      </c>
      <c r="K32" s="26">
        <f t="shared" si="1"/>
        <v>0</v>
      </c>
      <c r="L32" s="26">
        <f t="shared" si="1"/>
        <v>1</v>
      </c>
      <c r="M32" s="26">
        <f t="shared" si="1"/>
        <v>0</v>
      </c>
      <c r="N32" s="26">
        <f t="shared" si="1"/>
        <v>0</v>
      </c>
      <c r="O32" s="26">
        <f t="shared" si="1"/>
        <v>1</v>
      </c>
      <c r="P32" s="26">
        <f t="shared" si="1"/>
        <v>1</v>
      </c>
      <c r="Q32" s="26">
        <f t="shared" si="1"/>
        <v>0</v>
      </c>
      <c r="R32" s="26">
        <f t="shared" si="1"/>
        <v>0</v>
      </c>
      <c r="S32" s="257" t="str">
        <f>A32</f>
        <v>7:00 à 7:30</v>
      </c>
      <c r="T32" s="257"/>
      <c r="U32" s="63">
        <f t="shared" ref="U32:U35" si="2">SUM(C32:R32)</f>
        <v>3</v>
      </c>
      <c r="V32" s="41">
        <f t="shared" ref="V32:V35" si="3">C32+E32+G32+I32+K32+M32+O32+Q32</f>
        <v>1</v>
      </c>
      <c r="W32" s="41">
        <f t="shared" ref="W32:W35" si="4">E32+F32+I32+J32+M32+N32+Q32+R32</f>
        <v>0</v>
      </c>
      <c r="X32" s="41">
        <f>E32+I32</f>
        <v>0</v>
      </c>
      <c r="Y32" s="41">
        <f>SUM(G32:J32)</f>
        <v>0</v>
      </c>
      <c r="Z32" s="60"/>
      <c r="AA32" s="61"/>
      <c r="AB32" s="61"/>
      <c r="AC32" s="82"/>
      <c r="AD32" s="82"/>
      <c r="AE32" s="82"/>
      <c r="AF32" s="83"/>
    </row>
    <row r="33" spans="1:32" s="6" customFormat="1" ht="35.1" customHeight="1">
      <c r="A33" s="257" t="s">
        <v>37</v>
      </c>
      <c r="B33" s="257"/>
      <c r="C33" s="26">
        <f t="shared" ref="C33:R33" si="5">SUM(C17:C18)</f>
        <v>0</v>
      </c>
      <c r="D33" s="26">
        <f t="shared" si="5"/>
        <v>0</v>
      </c>
      <c r="E33" s="26">
        <f t="shared" si="5"/>
        <v>0</v>
      </c>
      <c r="F33" s="26">
        <f t="shared" si="5"/>
        <v>0</v>
      </c>
      <c r="G33" s="26">
        <f t="shared" si="5"/>
        <v>0</v>
      </c>
      <c r="H33" s="26">
        <f t="shared" si="5"/>
        <v>0</v>
      </c>
      <c r="I33" s="26">
        <f t="shared" si="5"/>
        <v>0</v>
      </c>
      <c r="J33" s="26">
        <f t="shared" si="5"/>
        <v>0</v>
      </c>
      <c r="K33" s="26">
        <f t="shared" si="5"/>
        <v>2</v>
      </c>
      <c r="L33" s="26">
        <f t="shared" si="5"/>
        <v>0</v>
      </c>
      <c r="M33" s="26">
        <f t="shared" si="5"/>
        <v>0</v>
      </c>
      <c r="N33" s="26">
        <f t="shared" si="5"/>
        <v>0</v>
      </c>
      <c r="O33" s="26">
        <f t="shared" si="5"/>
        <v>0</v>
      </c>
      <c r="P33" s="26">
        <f t="shared" si="5"/>
        <v>1</v>
      </c>
      <c r="Q33" s="26">
        <f t="shared" si="5"/>
        <v>0</v>
      </c>
      <c r="R33" s="26">
        <f t="shared" si="5"/>
        <v>0</v>
      </c>
      <c r="S33" s="257" t="str">
        <f>A33</f>
        <v>7:30 à 8:00</v>
      </c>
      <c r="T33" s="257"/>
      <c r="U33" s="63">
        <f t="shared" si="2"/>
        <v>3</v>
      </c>
      <c r="V33" s="41">
        <f t="shared" si="3"/>
        <v>2</v>
      </c>
      <c r="W33" s="41">
        <f t="shared" si="4"/>
        <v>0</v>
      </c>
      <c r="X33" s="41">
        <f>E33+I33</f>
        <v>0</v>
      </c>
      <c r="Y33" s="41">
        <f>SUM(G33:J33)</f>
        <v>0</v>
      </c>
      <c r="Z33" s="60"/>
      <c r="AA33" s="61"/>
      <c r="AB33" s="61"/>
      <c r="AC33" s="82"/>
      <c r="AD33" s="82"/>
      <c r="AE33" s="82"/>
      <c r="AF33" s="83"/>
    </row>
    <row r="34" spans="1:32" s="6" customFormat="1" ht="35.1" customHeight="1">
      <c r="A34" s="257" t="s">
        <v>38</v>
      </c>
      <c r="B34" s="257"/>
      <c r="C34" s="26">
        <f t="shared" ref="C34:R34" si="6">SUM(C19:C20)</f>
        <v>0</v>
      </c>
      <c r="D34" s="26">
        <f t="shared" si="6"/>
        <v>0</v>
      </c>
      <c r="E34" s="26">
        <f t="shared" si="6"/>
        <v>0</v>
      </c>
      <c r="F34" s="26">
        <f t="shared" si="6"/>
        <v>0</v>
      </c>
      <c r="G34" s="26">
        <f t="shared" si="6"/>
        <v>0</v>
      </c>
      <c r="H34" s="26">
        <f t="shared" si="6"/>
        <v>0</v>
      </c>
      <c r="I34" s="26">
        <f t="shared" si="6"/>
        <v>0</v>
      </c>
      <c r="J34" s="26">
        <f t="shared" si="6"/>
        <v>0</v>
      </c>
      <c r="K34" s="26">
        <f t="shared" si="6"/>
        <v>0</v>
      </c>
      <c r="L34" s="26">
        <f t="shared" si="6"/>
        <v>5</v>
      </c>
      <c r="M34" s="26">
        <f t="shared" si="6"/>
        <v>0</v>
      </c>
      <c r="N34" s="26">
        <f t="shared" si="6"/>
        <v>0</v>
      </c>
      <c r="O34" s="26">
        <f t="shared" si="6"/>
        <v>0</v>
      </c>
      <c r="P34" s="26">
        <f t="shared" si="6"/>
        <v>2</v>
      </c>
      <c r="Q34" s="26">
        <f t="shared" si="6"/>
        <v>0</v>
      </c>
      <c r="R34" s="26">
        <f t="shared" si="6"/>
        <v>0</v>
      </c>
      <c r="S34" s="257" t="str">
        <f>A34</f>
        <v>8:00 à 8:30</v>
      </c>
      <c r="T34" s="257"/>
      <c r="U34" s="63">
        <f t="shared" si="2"/>
        <v>7</v>
      </c>
      <c r="V34" s="41">
        <f t="shared" si="3"/>
        <v>0</v>
      </c>
      <c r="W34" s="41">
        <f t="shared" si="4"/>
        <v>0</v>
      </c>
      <c r="X34" s="41">
        <f>E34+I34</f>
        <v>0</v>
      </c>
      <c r="Y34" s="41">
        <f>SUM(G34:J34)</f>
        <v>0</v>
      </c>
      <c r="Z34" s="60"/>
      <c r="AA34" s="61"/>
      <c r="AB34" s="61"/>
      <c r="AC34" s="82"/>
      <c r="AD34" s="82"/>
      <c r="AE34" s="82"/>
      <c r="AF34" s="83"/>
    </row>
    <row r="35" spans="1:32" s="6" customFormat="1" ht="35.1" customHeight="1">
      <c r="A35" s="257" t="s">
        <v>39</v>
      </c>
      <c r="B35" s="257"/>
      <c r="C35" s="26">
        <f t="shared" ref="C35:R35" si="7">SUM(C21:C22)</f>
        <v>0</v>
      </c>
      <c r="D35" s="26">
        <f t="shared" si="7"/>
        <v>0</v>
      </c>
      <c r="E35" s="26">
        <f t="shared" si="7"/>
        <v>0</v>
      </c>
      <c r="F35" s="26">
        <f t="shared" si="7"/>
        <v>0</v>
      </c>
      <c r="G35" s="26">
        <f t="shared" si="7"/>
        <v>0</v>
      </c>
      <c r="H35" s="26">
        <f t="shared" si="7"/>
        <v>0</v>
      </c>
      <c r="I35" s="26">
        <f t="shared" si="7"/>
        <v>0</v>
      </c>
      <c r="J35" s="26">
        <f t="shared" si="7"/>
        <v>0</v>
      </c>
      <c r="K35" s="26">
        <f t="shared" si="7"/>
        <v>0</v>
      </c>
      <c r="L35" s="26">
        <f t="shared" si="7"/>
        <v>0</v>
      </c>
      <c r="M35" s="26">
        <f t="shared" si="7"/>
        <v>0</v>
      </c>
      <c r="N35" s="26">
        <f t="shared" si="7"/>
        <v>0</v>
      </c>
      <c r="O35" s="26">
        <f t="shared" si="7"/>
        <v>0</v>
      </c>
      <c r="P35" s="26">
        <f t="shared" si="7"/>
        <v>0</v>
      </c>
      <c r="Q35" s="26">
        <f t="shared" si="7"/>
        <v>0</v>
      </c>
      <c r="R35" s="26">
        <f t="shared" si="7"/>
        <v>0</v>
      </c>
      <c r="S35" s="257" t="str">
        <f>A35</f>
        <v>8:30 à 9:00</v>
      </c>
      <c r="T35" s="257"/>
      <c r="U35" s="63">
        <f t="shared" si="2"/>
        <v>0</v>
      </c>
      <c r="V35" s="41">
        <f t="shared" si="3"/>
        <v>0</v>
      </c>
      <c r="W35" s="41">
        <f t="shared" si="4"/>
        <v>0</v>
      </c>
      <c r="X35" s="41">
        <f>E35+I35</f>
        <v>0</v>
      </c>
      <c r="Y35" s="41">
        <f>SUM(G35:J35)</f>
        <v>0</v>
      </c>
      <c r="Z35" s="60"/>
      <c r="AA35" s="61"/>
      <c r="AB35" s="61"/>
      <c r="AC35" s="82"/>
      <c r="AD35" s="82"/>
      <c r="AE35" s="82"/>
      <c r="AF35" s="83"/>
    </row>
    <row r="36" spans="1:32" s="6" customFormat="1" ht="35.1" customHeight="1">
      <c r="A36" s="257" t="s">
        <v>29</v>
      </c>
      <c r="B36" s="257"/>
      <c r="C36" s="30">
        <f t="shared" ref="C36:R36" si="8">SUM(C13:C22)</f>
        <v>0</v>
      </c>
      <c r="D36" s="30">
        <f t="shared" si="8"/>
        <v>1</v>
      </c>
      <c r="E36" s="30">
        <f t="shared" si="8"/>
        <v>0</v>
      </c>
      <c r="F36" s="30">
        <f t="shared" si="8"/>
        <v>0</v>
      </c>
      <c r="G36" s="30">
        <f t="shared" si="8"/>
        <v>0</v>
      </c>
      <c r="H36" s="30">
        <f t="shared" si="8"/>
        <v>0</v>
      </c>
      <c r="I36" s="30">
        <f t="shared" si="8"/>
        <v>0</v>
      </c>
      <c r="J36" s="30">
        <f t="shared" si="8"/>
        <v>0</v>
      </c>
      <c r="K36" s="30">
        <f t="shared" si="8"/>
        <v>2</v>
      </c>
      <c r="L36" s="30">
        <f t="shared" si="8"/>
        <v>7</v>
      </c>
      <c r="M36" s="30">
        <f t="shared" si="8"/>
        <v>0</v>
      </c>
      <c r="N36" s="30">
        <f t="shared" si="8"/>
        <v>0</v>
      </c>
      <c r="O36" s="30">
        <f t="shared" si="8"/>
        <v>1</v>
      </c>
      <c r="P36" s="30">
        <f t="shared" si="8"/>
        <v>4</v>
      </c>
      <c r="Q36" s="30">
        <f t="shared" si="8"/>
        <v>0</v>
      </c>
      <c r="R36" s="30">
        <f t="shared" si="8"/>
        <v>0</v>
      </c>
      <c r="S36" s="270" t="s">
        <v>29</v>
      </c>
      <c r="T36" s="270"/>
      <c r="U36" s="62">
        <f>SUM(C36:R36)</f>
        <v>15</v>
      </c>
      <c r="V36" s="43">
        <f>V35+V34+V33+V32+V31</f>
        <v>3</v>
      </c>
      <c r="W36" s="43">
        <f>W35+W34+W33+W32+W31</f>
        <v>0</v>
      </c>
      <c r="X36" s="43">
        <f>X35+X34+X33+X32+X31</f>
        <v>0</v>
      </c>
      <c r="Y36" s="43">
        <f>Y35+Y33+Y31</f>
        <v>0</v>
      </c>
      <c r="Z36" s="60"/>
      <c r="AA36" s="61"/>
      <c r="AB36" s="61"/>
      <c r="AC36" s="82"/>
      <c r="AD36" s="82"/>
      <c r="AE36" s="82"/>
      <c r="AF36" s="83"/>
    </row>
    <row r="37" spans="1:32" s="6" customFormat="1" ht="35.1" customHeight="1">
      <c r="A37" s="44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257" t="str">
        <f>IF($U$35=MAX($U$31:$U$35),S35,IF($U$34=MAX($U$31:$U$35),S34,IF($U$33=MAX($U$31:$U$35),S33,IF($U$32=MAX($U$31:$U$35),S32,IF($U$31=MAX($U$31:$U$35),S31,S35)))))</f>
        <v>8:00 à 8:30</v>
      </c>
      <c r="T37" s="257"/>
      <c r="U37" s="53">
        <f>IF($U$35=MAX($U$31:$U$35),U35,IF($U$34=MAX($U$31:$U$35),U34,IF($U$33=MAX($U$31:$U$35),U33,IF($U$32=MAX($U$31:$U$35),U32,IF($U$31=MAX($U$31:$U$35),U31,U35)))))</f>
        <v>7</v>
      </c>
      <c r="V37" s="80">
        <f>IF($U$35=MAX($U$31:$U$35),V35,IF($U$34=MAX($U$31:$U$35),V34,IF($U$33=MAX($U$31:$U$35),V33,IF($U$32=MAX($U$31:$U$35),V32,IF($U$31=MAX($U$31:$U$35),V31,V35)))))</f>
        <v>0</v>
      </c>
      <c r="W37" s="80">
        <f>IF($U$35=MAX($U$31:$U$35),W35,IF($U$34=MAX($U$31:$U$35),W34,IF($U$33=MAX($U$31:$U$35),W33,IF($U$32=MAX($U$31:$U$35),W32,IF($U$31=MAX($U$31:$U$35),W31,W35)))))</f>
        <v>0</v>
      </c>
      <c r="X37" s="80">
        <f>IF($U$35=MAX($U$31:$U$35),X35,IF($U$34=MAX($U$31:$U$35),X34,IF($U$33=MAX($U$31:$U$35),X33,IF($U$32=MAX($U$31:$U$35),X32,IF($U$31=MAX($U$31:$U$35),X31,X35)))))</f>
        <v>0</v>
      </c>
      <c r="Y37" s="80">
        <f>IF($U$35=MAX($U$31:$U$35),Y35,IF($U$34=MAX($U$31:$U$35),Y34,IF($U$33=MAX($U$31:$U$35),Y33,IF($U$32=MAX($U$31:$U$35),Y32,IF($U$31=MAX($U$31:$U$35),Y31,Y35)))))</f>
        <v>0</v>
      </c>
      <c r="Z37" s="60"/>
      <c r="AA37" s="61"/>
      <c r="AB37" s="61"/>
      <c r="AC37" s="82"/>
      <c r="AD37" s="82"/>
      <c r="AE37" s="82"/>
      <c r="AF37" s="83"/>
    </row>
    <row r="38" spans="1:32" s="6" customFormat="1" ht="24.95" customHeight="1">
      <c r="A38" s="46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14"/>
      <c r="T38" s="10"/>
      <c r="U38" s="268" t="s">
        <v>29</v>
      </c>
      <c r="V38" s="254" t="s">
        <v>40</v>
      </c>
      <c r="W38" s="254" t="s">
        <v>41</v>
      </c>
      <c r="X38" s="254" t="s">
        <v>42</v>
      </c>
      <c r="Y38" s="254">
        <f>Y27</f>
        <v>0</v>
      </c>
      <c r="Z38" s="254" t="s">
        <v>56</v>
      </c>
      <c r="AA38" s="254"/>
      <c r="AB38" s="254"/>
      <c r="AC38" s="254"/>
      <c r="AD38" s="254"/>
      <c r="AE38" s="254"/>
      <c r="AF38" s="254"/>
    </row>
    <row r="39" spans="1:32" s="6" customFormat="1" ht="24.95" customHeight="1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14"/>
      <c r="T39" s="10"/>
      <c r="U39" s="268"/>
      <c r="V39" s="254"/>
      <c r="W39" s="254"/>
      <c r="X39" s="254"/>
      <c r="Y39" s="254"/>
      <c r="Z39" s="254"/>
      <c r="AA39" s="254"/>
      <c r="AB39" s="254"/>
      <c r="AC39" s="254"/>
      <c r="AD39" s="254"/>
      <c r="AE39" s="254"/>
      <c r="AF39" s="254"/>
    </row>
    <row r="40" spans="1:32" s="6" customFormat="1" ht="24.95" customHeight="1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58"/>
      <c r="T40" s="10"/>
      <c r="U40" s="268"/>
      <c r="V40" s="254"/>
      <c r="W40" s="254"/>
      <c r="X40" s="254"/>
      <c r="Y40" s="254"/>
      <c r="Z40" s="254"/>
      <c r="AA40" s="254"/>
      <c r="AB40" s="254"/>
      <c r="AC40" s="254"/>
      <c r="AD40" s="254"/>
      <c r="AE40" s="254"/>
      <c r="AF40" s="254"/>
    </row>
    <row r="41" spans="1:32" s="6" customFormat="1" ht="35.1" customHeight="1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257" t="s">
        <v>34</v>
      </c>
      <c r="T41" s="257"/>
      <c r="U41" s="268"/>
      <c r="V41" s="254"/>
      <c r="W41" s="254"/>
      <c r="X41" s="254"/>
      <c r="Y41" s="254"/>
      <c r="Z41" s="254"/>
      <c r="AA41" s="254"/>
      <c r="AB41" s="254"/>
      <c r="AC41" s="254"/>
      <c r="AD41" s="254"/>
      <c r="AE41" s="254"/>
      <c r="AF41" s="254"/>
    </row>
    <row r="42" spans="1:32" s="6" customFormat="1" ht="35.1" customHeight="1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257" t="str">
        <f>S31</f>
        <v>6:30 à 7:00</v>
      </c>
      <c r="T42" s="257"/>
      <c r="U42" s="63"/>
      <c r="V42" s="48">
        <f>IF(V31=0,0,V31/U31)</f>
        <v>0</v>
      </c>
      <c r="W42" s="48">
        <f>IF(W31=0,0,W31/U31)</f>
        <v>0</v>
      </c>
      <c r="X42" s="48">
        <f>IF(X31=0,0,X31/V31)</f>
        <v>0</v>
      </c>
      <c r="Y42" s="48">
        <f>IF(Y31=0,0,Y31/U31)</f>
        <v>0</v>
      </c>
      <c r="Z42" s="60"/>
      <c r="AA42" s="61"/>
      <c r="AB42" s="61"/>
      <c r="AC42" s="82"/>
      <c r="AD42" s="82"/>
      <c r="AE42" s="82"/>
      <c r="AF42" s="83"/>
    </row>
    <row r="43" spans="1:32" s="6" customFormat="1" ht="35.1" customHeight="1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257" t="str">
        <f>S32</f>
        <v>7:00 à 7:30</v>
      </c>
      <c r="T43" s="257"/>
      <c r="U43" s="63"/>
      <c r="V43" s="48">
        <f>IF(V33=0,0,V33/U33)</f>
        <v>0.66666666666666663</v>
      </c>
      <c r="W43" s="48">
        <f>IF(W33=0,0,W33/U33)</f>
        <v>0</v>
      </c>
      <c r="X43" s="48">
        <f>IF(X33=0,0,X33/V33)</f>
        <v>0</v>
      </c>
      <c r="Y43" s="48">
        <f>IF(Y33=0,0,Y33/U33)</f>
        <v>0</v>
      </c>
      <c r="Z43" s="60"/>
      <c r="AA43" s="61"/>
      <c r="AB43" s="61"/>
      <c r="AC43" s="82"/>
      <c r="AD43" s="82"/>
      <c r="AE43" s="82"/>
      <c r="AF43" s="83"/>
    </row>
    <row r="44" spans="1:32" s="6" customFormat="1" ht="35.1" customHeight="1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257" t="str">
        <f>S33</f>
        <v>7:30 à 8:00</v>
      </c>
      <c r="T44" s="257"/>
      <c r="U44" s="63"/>
      <c r="V44" s="48">
        <f>IF(V33=0,0,V33/U33)</f>
        <v>0.66666666666666663</v>
      </c>
      <c r="W44" s="48">
        <f t="shared" ref="W44:X47" si="9">IF(W33=0,0,W33/U33)</f>
        <v>0</v>
      </c>
      <c r="X44" s="48">
        <f t="shared" si="9"/>
        <v>0</v>
      </c>
      <c r="Y44" s="48">
        <f>IF(Y33=0,0,Y33/U33)</f>
        <v>0</v>
      </c>
      <c r="Z44" s="60"/>
      <c r="AA44" s="61"/>
      <c r="AB44" s="61"/>
      <c r="AC44" s="82"/>
      <c r="AD44" s="82"/>
      <c r="AE44" s="82"/>
      <c r="AF44" s="83"/>
    </row>
    <row r="45" spans="1:32" s="6" customFormat="1" ht="35.1" customHeight="1">
      <c r="A45" s="46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257" t="str">
        <f>S34</f>
        <v>8:00 à 8:30</v>
      </c>
      <c r="T45" s="257"/>
      <c r="U45" s="63"/>
      <c r="V45" s="48">
        <f>IF(V34=0,0,V34/U34)</f>
        <v>0</v>
      </c>
      <c r="W45" s="48">
        <f t="shared" si="9"/>
        <v>0</v>
      </c>
      <c r="X45" s="48">
        <f t="shared" si="9"/>
        <v>0</v>
      </c>
      <c r="Y45" s="48">
        <f>IF(Y34=0,0,Y34/U34)</f>
        <v>0</v>
      </c>
      <c r="Z45" s="60"/>
      <c r="AA45" s="61"/>
      <c r="AB45" s="61"/>
      <c r="AC45" s="82"/>
      <c r="AD45" s="82"/>
      <c r="AE45" s="82"/>
      <c r="AF45" s="83"/>
    </row>
    <row r="46" spans="1:32" s="6" customFormat="1" ht="35.1" customHeight="1">
      <c r="F46" s="47"/>
      <c r="N46" s="47"/>
      <c r="S46" s="257" t="str">
        <f>S35</f>
        <v>8:30 à 9:00</v>
      </c>
      <c r="T46" s="257"/>
      <c r="U46" s="63"/>
      <c r="V46" s="48">
        <f>IF(V35=0,0,V35/U35)</f>
        <v>0</v>
      </c>
      <c r="W46" s="48">
        <f t="shared" si="9"/>
        <v>0</v>
      </c>
      <c r="X46" s="48">
        <f t="shared" si="9"/>
        <v>0</v>
      </c>
      <c r="Y46" s="48">
        <f>IF(Y35=0,0,Y35/U35)</f>
        <v>0</v>
      </c>
      <c r="Z46" s="60"/>
      <c r="AA46" s="61"/>
      <c r="AB46" s="61"/>
      <c r="AC46" s="82"/>
      <c r="AD46" s="82"/>
      <c r="AE46" s="82"/>
      <c r="AF46" s="83"/>
    </row>
    <row r="47" spans="1:32" s="6" customFormat="1" ht="35.1" customHeight="1">
      <c r="F47" s="47"/>
      <c r="N47" s="47"/>
      <c r="S47" s="257" t="s">
        <v>29</v>
      </c>
      <c r="T47" s="257"/>
      <c r="U47" s="64"/>
      <c r="V47" s="49">
        <f>IF(V36=0,0,V36/U36)</f>
        <v>0.2</v>
      </c>
      <c r="W47" s="49">
        <f t="shared" si="9"/>
        <v>0</v>
      </c>
      <c r="X47" s="49">
        <f t="shared" si="9"/>
        <v>0</v>
      </c>
      <c r="Y47" s="49">
        <f>IF(Y36=0,0,Y36/U36)</f>
        <v>0</v>
      </c>
      <c r="Z47" s="60"/>
      <c r="AA47" s="61"/>
      <c r="AB47" s="61"/>
      <c r="AC47" s="82"/>
      <c r="AD47" s="82"/>
      <c r="AE47" s="82"/>
      <c r="AF47" s="83"/>
    </row>
    <row r="48" spans="1:32" s="6" customFormat="1" ht="35.1" customHeight="1">
      <c r="S48" s="257" t="str">
        <f>S37</f>
        <v>8:00 à 8:30</v>
      </c>
      <c r="T48" s="257"/>
      <c r="U48" s="53">
        <f>IF($BE$49=MAX($BE$49:$BE$53),U42,IF($BE$50=MAX($BE$49:$BE$53),U44,IF($BE$51=MAX($BE$49:$BE$53),U45,IF($BE$52=MAX($BE$49:$BE$53),(U45),U46))))</f>
        <v>0</v>
      </c>
      <c r="V48" s="51">
        <f>IF($BE$49=MAX($BE$49:$BE$53),V42,IF($BE$50=MAX($BE$49:$BE$53),V44,IF($BE$51=MAX($BE$49:$BE$53),V45,IF($BE$52=MAX($BE$49:$BE$53),(V45),V46))))</f>
        <v>0</v>
      </c>
      <c r="W48" s="51">
        <f>W46</f>
        <v>0</v>
      </c>
      <c r="X48" s="51">
        <f>IF($BE$49=MAX($BE$49:$BE$53),X42,IF($BE$50=MAX($BE$49:$BE$53),X44,IF($BE$51=MAX($BE$49:$BE$53),X45,IF($BE$52=MAX($BE$49:$BE$53),(X45),X46))))</f>
        <v>0</v>
      </c>
      <c r="Y48" s="51">
        <f>IF($BE$49=MAX($BE$49:$BE$53),Y42,IF($BE$50=MAX($BE$49:$BE$53),Y44,IF($BE$51=MAX($BE$49:$BE$53),Y45,IF($BE$52=MAX($BE$49:$BE$53),(Y45),Y46))))</f>
        <v>0</v>
      </c>
      <c r="Z48" s="60"/>
      <c r="AA48" s="61"/>
      <c r="AB48" s="61"/>
      <c r="AC48" s="82"/>
      <c r="AD48" s="82"/>
      <c r="AE48" s="82"/>
      <c r="AF48" s="83"/>
    </row>
  </sheetData>
  <mergeCells count="62">
    <mergeCell ref="Z38:AF41"/>
    <mergeCell ref="S48:T48"/>
    <mergeCell ref="S42:T42"/>
    <mergeCell ref="S43:T43"/>
    <mergeCell ref="S44:T44"/>
    <mergeCell ref="S45:T45"/>
    <mergeCell ref="S46:T46"/>
    <mergeCell ref="S47:T47"/>
    <mergeCell ref="S37:T37"/>
    <mergeCell ref="V38:V41"/>
    <mergeCell ref="W38:W41"/>
    <mergeCell ref="X38:X41"/>
    <mergeCell ref="Y38:Y41"/>
    <mergeCell ref="A30:B30"/>
    <mergeCell ref="S30:T30"/>
    <mergeCell ref="A31:B31"/>
    <mergeCell ref="S31:T31"/>
    <mergeCell ref="U38:U41"/>
    <mergeCell ref="A32:B32"/>
    <mergeCell ref="S32:T32"/>
    <mergeCell ref="A33:B33"/>
    <mergeCell ref="S33:T33"/>
    <mergeCell ref="A34:B34"/>
    <mergeCell ref="S34:T34"/>
    <mergeCell ref="S41:T41"/>
    <mergeCell ref="A35:B35"/>
    <mergeCell ref="S35:T35"/>
    <mergeCell ref="A36:B36"/>
    <mergeCell ref="S36:T36"/>
    <mergeCell ref="W27:W30"/>
    <mergeCell ref="X27:X30"/>
    <mergeCell ref="Y27:Y30"/>
    <mergeCell ref="Z27:AF30"/>
    <mergeCell ref="C28:F28"/>
    <mergeCell ref="G28:J28"/>
    <mergeCell ref="K28:N28"/>
    <mergeCell ref="O28:R28"/>
    <mergeCell ref="C29:D29"/>
    <mergeCell ref="E29:F29"/>
    <mergeCell ref="V27:V30"/>
    <mergeCell ref="O29:P29"/>
    <mergeCell ref="Q29:R29"/>
    <mergeCell ref="O11:P11"/>
    <mergeCell ref="Q11:R11"/>
    <mergeCell ref="C27:J27"/>
    <mergeCell ref="K27:R27"/>
    <mergeCell ref="U27:U30"/>
    <mergeCell ref="G29:H29"/>
    <mergeCell ref="I29:J29"/>
    <mergeCell ref="K29:L29"/>
    <mergeCell ref="M29:N29"/>
    <mergeCell ref="C11:D11"/>
    <mergeCell ref="E11:F11"/>
    <mergeCell ref="G11:H11"/>
    <mergeCell ref="K11:L11"/>
    <mergeCell ref="M11:N11"/>
    <mergeCell ref="C9:J9"/>
    <mergeCell ref="K9:R9"/>
    <mergeCell ref="C10:F10"/>
    <mergeCell ref="G10:J10"/>
    <mergeCell ref="K10:N10"/>
    <mergeCell ref="O10:R10"/>
  </mergeCells>
  <pageMargins left="0.51181102362204722" right="0.51181102362204722" top="0.5507874015748031" bottom="0.5507874015748031" header="0.3543307086614173" footer="0.3543307086614173"/>
  <pageSetup paperSize="9" scale="45" fitToWidth="0" fitToHeight="0" orientation="landscape" r:id="rId1"/>
  <headerFooter alignWithMargins="0"/>
  <colBreaks count="1" manualBreakCount="1">
    <brk id="1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55"/>
  <sheetViews>
    <sheetView view="pageBreakPreview" topLeftCell="A22" zoomScale="60" zoomScaleNormal="50" workbookViewId="0">
      <selection activeCell="AE19" sqref="AE19"/>
    </sheetView>
  </sheetViews>
  <sheetFormatPr baseColWidth="10" defaultRowHeight="14.25"/>
  <cols>
    <col min="1" max="1" width="4.625" style="6" customWidth="1"/>
    <col min="2" max="2" width="13.5" style="6" customWidth="1"/>
    <col min="3" max="14" width="6.25" style="6" customWidth="1"/>
    <col min="15" max="49" width="5.25" style="6" customWidth="1"/>
    <col min="50" max="50" width="3.75" style="6" customWidth="1"/>
    <col min="51" max="51" width="8.75" style="6" customWidth="1"/>
    <col min="52" max="52" width="14.125" style="6" customWidth="1"/>
    <col min="53" max="57" width="21" style="6" customWidth="1"/>
    <col min="58" max="60" width="36.125" style="6" customWidth="1"/>
    <col min="61" max="61" width="10.75" style="6" customWidth="1"/>
    <col min="62" max="1023" width="11.125" style="6" customWidth="1"/>
    <col min="1024" max="1024" width="11" style="6" customWidth="1"/>
  </cols>
  <sheetData>
    <row r="1" spans="1:60" s="9" customFormat="1" ht="52.5" customHeight="1">
      <c r="A1" s="1"/>
      <c r="B1" s="2" t="s">
        <v>78</v>
      </c>
      <c r="C1" s="3"/>
      <c r="D1" s="3"/>
      <c r="E1" s="3"/>
      <c r="F1" s="4"/>
      <c r="G1" s="3"/>
      <c r="H1" s="3"/>
      <c r="I1" s="3"/>
      <c r="J1" s="3"/>
      <c r="K1" s="4"/>
      <c r="L1" s="4"/>
      <c r="M1" s="4"/>
      <c r="N1" s="4"/>
      <c r="O1" s="5" t="s">
        <v>2</v>
      </c>
      <c r="P1" s="6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spans="1:60" s="9" customFormat="1" ht="52.5" customHeight="1">
      <c r="A2" s="1" t="s">
        <v>3</v>
      </c>
      <c r="B2" s="3"/>
      <c r="C2" s="3"/>
      <c r="D2" s="3"/>
      <c r="E2" s="3"/>
      <c r="F2" s="4"/>
      <c r="G2" s="3"/>
      <c r="H2" s="3"/>
      <c r="I2" s="3"/>
      <c r="J2" s="3"/>
      <c r="K2" s="3" t="s">
        <v>79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</row>
    <row r="3" spans="1:60" s="9" customFormat="1" ht="52.5" customHeight="1">
      <c r="A3" s="1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 t="s">
        <v>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</row>
    <row r="4" spans="1:60" s="9" customFormat="1" ht="25.5" customHeight="1">
      <c r="A4" s="66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4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 spans="1:60" s="9" customFormat="1" ht="25.5" customHeight="1">
      <c r="A5" s="167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4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4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</row>
    <row r="6" spans="1:60" s="9" customFormat="1" ht="25.5" customHeight="1">
      <c r="A6" s="167" t="s">
        <v>155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4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4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</row>
    <row r="7" spans="1:60" s="9" customFormat="1" ht="25.5" customHeight="1">
      <c r="A7" s="167" t="s">
        <v>156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4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</row>
    <row r="8" spans="1:60" s="9" customFormat="1" ht="25.5" customHeight="1">
      <c r="A8" s="6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4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</row>
    <row r="9" spans="1:60" s="9" customFormat="1" ht="32.25" customHeight="1">
      <c r="A9" s="1"/>
      <c r="B9" s="3"/>
      <c r="C9" s="288" t="s">
        <v>80</v>
      </c>
      <c r="D9" s="288"/>
      <c r="E9" s="288"/>
      <c r="F9" s="288"/>
      <c r="G9" s="288"/>
      <c r="H9" s="288"/>
      <c r="I9" s="288"/>
      <c r="J9" s="288"/>
      <c r="K9" s="288"/>
      <c r="L9" s="288"/>
      <c r="M9" s="288"/>
      <c r="N9" s="288"/>
      <c r="O9" s="288" t="s">
        <v>45</v>
      </c>
      <c r="P9" s="288"/>
      <c r="Q9" s="288"/>
      <c r="R9" s="288"/>
      <c r="S9" s="288"/>
      <c r="T9" s="288"/>
      <c r="U9" s="288"/>
      <c r="V9" s="288"/>
      <c r="W9" s="288"/>
      <c r="X9" s="288"/>
      <c r="Y9" s="288"/>
      <c r="Z9" s="288"/>
      <c r="AA9" s="288" t="s">
        <v>81</v>
      </c>
      <c r="AB9" s="288"/>
      <c r="AC9" s="288"/>
      <c r="AD9" s="288"/>
      <c r="AE9" s="288"/>
      <c r="AF9" s="288"/>
      <c r="AG9" s="288"/>
      <c r="AH9" s="288"/>
      <c r="AI9" s="288"/>
      <c r="AJ9" s="288"/>
      <c r="AK9" s="288"/>
      <c r="AL9" s="288"/>
      <c r="AM9" s="288" t="s">
        <v>82</v>
      </c>
      <c r="AN9" s="288"/>
      <c r="AO9" s="288"/>
      <c r="AP9" s="288"/>
      <c r="AQ9" s="288"/>
      <c r="AR9" s="288"/>
      <c r="AS9" s="288"/>
      <c r="AT9" s="288"/>
      <c r="AU9" s="288"/>
      <c r="AV9" s="288"/>
      <c r="AW9" s="288"/>
      <c r="AX9" s="288"/>
      <c r="AY9" s="15"/>
      <c r="AZ9" s="15"/>
      <c r="BA9" s="15"/>
      <c r="BB9" s="15"/>
      <c r="BC9" s="15"/>
      <c r="BD9" s="15"/>
      <c r="BE9" s="15"/>
      <c r="BF9" s="15"/>
      <c r="BG9" s="15"/>
      <c r="BH9" s="15"/>
    </row>
    <row r="10" spans="1:60" s="9" customFormat="1" ht="51.2" customHeight="1">
      <c r="A10" s="1"/>
      <c r="B10" s="3"/>
      <c r="C10" s="259" t="s">
        <v>52</v>
      </c>
      <c r="D10" s="259"/>
      <c r="E10" s="259"/>
      <c r="F10" s="259"/>
      <c r="G10" s="259" t="s">
        <v>83</v>
      </c>
      <c r="H10" s="259"/>
      <c r="I10" s="259"/>
      <c r="J10" s="259"/>
      <c r="K10" s="259" t="s">
        <v>84</v>
      </c>
      <c r="L10" s="259"/>
      <c r="M10" s="259"/>
      <c r="N10" s="259"/>
      <c r="O10" s="259" t="s">
        <v>83</v>
      </c>
      <c r="P10" s="259"/>
      <c r="Q10" s="259"/>
      <c r="R10" s="259"/>
      <c r="S10" s="259" t="s">
        <v>85</v>
      </c>
      <c r="T10" s="259"/>
      <c r="U10" s="259"/>
      <c r="V10" s="259"/>
      <c r="W10" s="259" t="s">
        <v>84</v>
      </c>
      <c r="X10" s="259"/>
      <c r="Y10" s="259"/>
      <c r="Z10" s="259"/>
      <c r="AA10" s="259" t="s">
        <v>85</v>
      </c>
      <c r="AB10" s="259"/>
      <c r="AC10" s="259"/>
      <c r="AD10" s="259"/>
      <c r="AE10" s="259" t="s">
        <v>83</v>
      </c>
      <c r="AF10" s="259"/>
      <c r="AG10" s="259"/>
      <c r="AH10" s="259"/>
      <c r="AI10" s="259" t="s">
        <v>52</v>
      </c>
      <c r="AJ10" s="259"/>
      <c r="AK10" s="259"/>
      <c r="AL10" s="259"/>
      <c r="AM10" s="259" t="s">
        <v>52</v>
      </c>
      <c r="AN10" s="259"/>
      <c r="AO10" s="259"/>
      <c r="AP10" s="259"/>
      <c r="AQ10" s="259" t="s">
        <v>85</v>
      </c>
      <c r="AR10" s="259"/>
      <c r="AS10" s="259"/>
      <c r="AT10" s="259"/>
      <c r="AU10" s="259" t="s">
        <v>84</v>
      </c>
      <c r="AV10" s="259"/>
      <c r="AW10" s="259"/>
      <c r="AX10" s="259"/>
      <c r="AY10" s="17"/>
      <c r="AZ10" s="17"/>
      <c r="BA10" s="17"/>
      <c r="BB10" s="17"/>
      <c r="BC10" s="17"/>
      <c r="BD10" s="17"/>
      <c r="BE10" s="17"/>
      <c r="BF10" s="17"/>
      <c r="BG10" s="17"/>
      <c r="BH10" s="17"/>
    </row>
    <row r="11" spans="1:60" s="9" customFormat="1" ht="18.600000000000001" customHeight="1">
      <c r="A11" s="1"/>
      <c r="B11" s="3"/>
      <c r="C11" s="258" t="s">
        <v>14</v>
      </c>
      <c r="D11" s="258"/>
      <c r="E11" s="258" t="s">
        <v>15</v>
      </c>
      <c r="F11" s="258"/>
      <c r="G11" s="258" t="s">
        <v>14</v>
      </c>
      <c r="H11" s="258"/>
      <c r="I11" s="258" t="s">
        <v>15</v>
      </c>
      <c r="J11" s="258"/>
      <c r="K11" s="258" t="s">
        <v>14</v>
      </c>
      <c r="L11" s="258"/>
      <c r="M11" s="258" t="s">
        <v>15</v>
      </c>
      <c r="N11" s="258"/>
      <c r="O11" s="258" t="s">
        <v>14</v>
      </c>
      <c r="P11" s="258"/>
      <c r="Q11" s="258" t="s">
        <v>15</v>
      </c>
      <c r="R11" s="258"/>
      <c r="S11" s="258" t="s">
        <v>14</v>
      </c>
      <c r="T11" s="258"/>
      <c r="U11" s="258" t="s">
        <v>15</v>
      </c>
      <c r="V11" s="258"/>
      <c r="W11" s="258" t="s">
        <v>14</v>
      </c>
      <c r="X11" s="258"/>
      <c r="Y11" s="258" t="s">
        <v>15</v>
      </c>
      <c r="Z11" s="258"/>
      <c r="AA11" s="258" t="s">
        <v>14</v>
      </c>
      <c r="AB11" s="258"/>
      <c r="AC11" s="258" t="s">
        <v>15</v>
      </c>
      <c r="AD11" s="258"/>
      <c r="AE11" s="258" t="s">
        <v>14</v>
      </c>
      <c r="AF11" s="258"/>
      <c r="AG11" s="258" t="s">
        <v>15</v>
      </c>
      <c r="AH11" s="258"/>
      <c r="AI11" s="258" t="s">
        <v>14</v>
      </c>
      <c r="AJ11" s="258"/>
      <c r="AK11" s="258" t="s">
        <v>15</v>
      </c>
      <c r="AL11" s="258"/>
      <c r="AM11" s="258" t="s">
        <v>14</v>
      </c>
      <c r="AN11" s="258"/>
      <c r="AO11" s="258" t="s">
        <v>15</v>
      </c>
      <c r="AP11" s="258"/>
      <c r="AQ11" s="258" t="s">
        <v>14</v>
      </c>
      <c r="AR11" s="258"/>
      <c r="AS11" s="258" t="s">
        <v>15</v>
      </c>
      <c r="AT11" s="258"/>
      <c r="AU11" s="258" t="s">
        <v>14</v>
      </c>
      <c r="AV11" s="258"/>
      <c r="AW11" s="258" t="s">
        <v>15</v>
      </c>
      <c r="AX11" s="258"/>
      <c r="AY11" s="19"/>
      <c r="AZ11" s="19"/>
      <c r="BA11" s="19"/>
      <c r="BB11" s="19"/>
      <c r="BC11" s="19"/>
      <c r="BD11" s="19"/>
      <c r="BE11" s="19"/>
      <c r="BF11" s="19"/>
      <c r="BG11" s="19"/>
      <c r="BH11" s="19"/>
    </row>
    <row r="12" spans="1:60" s="9" customFormat="1" ht="20.25">
      <c r="A12" s="21" t="s">
        <v>14</v>
      </c>
      <c r="B12" s="21" t="s">
        <v>17</v>
      </c>
      <c r="C12" s="22" t="s">
        <v>18</v>
      </c>
      <c r="D12" s="22" t="s">
        <v>19</v>
      </c>
      <c r="E12" s="22" t="s">
        <v>18</v>
      </c>
      <c r="F12" s="22" t="s">
        <v>19</v>
      </c>
      <c r="G12" s="22" t="s">
        <v>18</v>
      </c>
      <c r="H12" s="22" t="s">
        <v>19</v>
      </c>
      <c r="I12" s="22" t="s">
        <v>18</v>
      </c>
      <c r="J12" s="22" t="s">
        <v>19</v>
      </c>
      <c r="K12" s="22" t="s">
        <v>18</v>
      </c>
      <c r="L12" s="22" t="s">
        <v>19</v>
      </c>
      <c r="M12" s="22" t="s">
        <v>18</v>
      </c>
      <c r="N12" s="22" t="s">
        <v>19</v>
      </c>
      <c r="O12" s="22" t="s">
        <v>18</v>
      </c>
      <c r="P12" s="22" t="s">
        <v>19</v>
      </c>
      <c r="Q12" s="22" t="s">
        <v>18</v>
      </c>
      <c r="R12" s="22" t="s">
        <v>19</v>
      </c>
      <c r="S12" s="22" t="s">
        <v>18</v>
      </c>
      <c r="T12" s="22" t="s">
        <v>19</v>
      </c>
      <c r="U12" s="22" t="s">
        <v>18</v>
      </c>
      <c r="V12" s="22" t="s">
        <v>19</v>
      </c>
      <c r="W12" s="22" t="s">
        <v>18</v>
      </c>
      <c r="X12" s="22" t="s">
        <v>19</v>
      </c>
      <c r="Y12" s="22" t="s">
        <v>18</v>
      </c>
      <c r="Z12" s="22" t="s">
        <v>19</v>
      </c>
      <c r="AA12" s="22" t="s">
        <v>18</v>
      </c>
      <c r="AB12" s="22" t="s">
        <v>19</v>
      </c>
      <c r="AC12" s="22" t="s">
        <v>18</v>
      </c>
      <c r="AD12" s="22" t="s">
        <v>19</v>
      </c>
      <c r="AE12" s="22" t="s">
        <v>18</v>
      </c>
      <c r="AF12" s="22" t="s">
        <v>19</v>
      </c>
      <c r="AG12" s="22" t="s">
        <v>18</v>
      </c>
      <c r="AH12" s="22" t="s">
        <v>19</v>
      </c>
      <c r="AI12" s="22" t="s">
        <v>18</v>
      </c>
      <c r="AJ12" s="22" t="s">
        <v>19</v>
      </c>
      <c r="AK12" s="22" t="s">
        <v>18</v>
      </c>
      <c r="AL12" s="22" t="s">
        <v>19</v>
      </c>
      <c r="AM12" s="22" t="s">
        <v>18</v>
      </c>
      <c r="AN12" s="22" t="s">
        <v>19</v>
      </c>
      <c r="AO12" s="22" t="s">
        <v>18</v>
      </c>
      <c r="AP12" s="22" t="s">
        <v>19</v>
      </c>
      <c r="AQ12" s="22" t="s">
        <v>18</v>
      </c>
      <c r="AR12" s="22" t="s">
        <v>19</v>
      </c>
      <c r="AS12" s="22" t="s">
        <v>18</v>
      </c>
      <c r="AT12" s="22" t="s">
        <v>19</v>
      </c>
      <c r="AU12" s="22" t="s">
        <v>18</v>
      </c>
      <c r="AV12" s="22" t="s">
        <v>19</v>
      </c>
      <c r="AW12" s="22" t="s">
        <v>18</v>
      </c>
      <c r="AX12" s="22" t="s">
        <v>19</v>
      </c>
      <c r="AY12" s="23"/>
      <c r="AZ12" s="23"/>
      <c r="BA12" s="23"/>
      <c r="BB12" s="23"/>
      <c r="BC12" s="23"/>
      <c r="BD12" s="23"/>
      <c r="BE12" s="23"/>
      <c r="BF12" s="23"/>
      <c r="BG12" s="23"/>
      <c r="BH12" s="23"/>
    </row>
    <row r="13" spans="1:60" ht="54.95" customHeight="1">
      <c r="A13" s="25">
        <v>6</v>
      </c>
      <c r="B13" s="21" t="s">
        <v>20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>
        <v>1</v>
      </c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8"/>
      <c r="AZ13" s="28"/>
      <c r="BA13" s="28"/>
      <c r="BB13" s="28"/>
      <c r="BC13" s="28"/>
      <c r="BD13" s="28"/>
      <c r="BE13" s="28"/>
      <c r="BF13" s="28"/>
      <c r="BG13" s="28"/>
      <c r="BH13" s="28"/>
    </row>
    <row r="14" spans="1:60" ht="54.95" customHeight="1">
      <c r="A14" s="21"/>
      <c r="B14" s="21" t="s">
        <v>21</v>
      </c>
      <c r="C14" s="26"/>
      <c r="D14" s="26">
        <v>1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8"/>
      <c r="AZ14" s="28"/>
      <c r="BA14" s="28"/>
      <c r="BB14" s="28"/>
      <c r="BC14" s="28"/>
      <c r="BD14" s="28"/>
      <c r="BE14" s="28"/>
      <c r="BF14" s="28"/>
      <c r="BG14" s="28"/>
      <c r="BH14" s="28"/>
    </row>
    <row r="15" spans="1:60" ht="54.95" customHeight="1">
      <c r="A15" s="25">
        <v>7</v>
      </c>
      <c r="B15" s="21" t="s">
        <v>22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8"/>
      <c r="AZ15" s="28"/>
      <c r="BA15" s="28"/>
      <c r="BB15" s="28"/>
      <c r="BC15" s="28"/>
      <c r="BD15" s="28"/>
      <c r="BE15" s="28"/>
      <c r="BF15" s="28"/>
      <c r="BG15" s="28"/>
      <c r="BH15" s="28"/>
    </row>
    <row r="16" spans="1:60" ht="54.95" customHeight="1">
      <c r="A16" s="21"/>
      <c r="B16" s="21" t="s">
        <v>23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8"/>
      <c r="AZ16" s="28"/>
      <c r="BA16" s="28"/>
      <c r="BB16" s="28"/>
      <c r="BC16" s="28"/>
      <c r="BD16" s="28"/>
      <c r="BE16" s="28"/>
      <c r="BF16" s="28"/>
      <c r="BG16" s="28"/>
      <c r="BH16" s="28"/>
    </row>
    <row r="17" spans="1:72" ht="54.95" customHeight="1">
      <c r="A17" s="21"/>
      <c r="B17" s="21" t="s">
        <v>20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>
        <v>1</v>
      </c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8"/>
      <c r="AZ17" s="28"/>
      <c r="BA17" s="28"/>
      <c r="BB17" s="28"/>
      <c r="BC17" s="28"/>
      <c r="BD17" s="28"/>
      <c r="BE17" s="28"/>
      <c r="BF17" s="28"/>
      <c r="BG17" s="28"/>
      <c r="BH17" s="28"/>
    </row>
    <row r="18" spans="1:72" ht="54.95" customHeight="1">
      <c r="A18" s="21"/>
      <c r="B18" s="21" t="s">
        <v>24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>
        <v>1</v>
      </c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8"/>
      <c r="AZ18" s="28"/>
      <c r="BA18" s="28"/>
      <c r="BB18" s="28"/>
      <c r="BC18" s="28"/>
      <c r="BD18" s="28"/>
      <c r="BE18" s="28"/>
      <c r="BF18" s="28"/>
      <c r="BG18" s="28"/>
      <c r="BH18" s="28"/>
    </row>
    <row r="19" spans="1:72" ht="54.95" customHeight="1">
      <c r="A19" s="25">
        <v>8</v>
      </c>
      <c r="B19" s="21" t="s">
        <v>22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8"/>
      <c r="AZ19" s="28"/>
      <c r="BA19" s="28"/>
      <c r="BB19" s="28"/>
      <c r="BC19" s="28"/>
      <c r="BD19" s="28"/>
      <c r="BE19" s="28"/>
      <c r="BF19" s="28"/>
      <c r="BG19" s="28"/>
      <c r="BH19" s="28"/>
    </row>
    <row r="20" spans="1:72" ht="54.95" customHeight="1">
      <c r="A20" s="21"/>
      <c r="B20" s="21" t="s">
        <v>23</v>
      </c>
      <c r="C20" s="26">
        <v>1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>
        <v>1</v>
      </c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8"/>
      <c r="AZ20" s="28"/>
      <c r="BA20" s="28"/>
      <c r="BB20" s="28"/>
      <c r="BC20" s="28"/>
      <c r="BD20" s="28"/>
      <c r="BE20" s="28"/>
      <c r="BF20" s="28"/>
      <c r="BG20" s="28"/>
      <c r="BH20" s="28"/>
    </row>
    <row r="21" spans="1:72" ht="54.95" customHeight="1">
      <c r="A21" s="21"/>
      <c r="B21" s="21" t="s">
        <v>20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8"/>
      <c r="AZ21" s="28"/>
      <c r="BA21" s="28"/>
      <c r="BB21" s="28"/>
      <c r="BC21" s="28"/>
      <c r="BD21" s="28"/>
      <c r="BE21" s="28"/>
      <c r="BF21" s="28"/>
      <c r="BG21" s="28"/>
      <c r="BH21" s="28"/>
    </row>
    <row r="22" spans="1:72" ht="52.35" customHeight="1">
      <c r="A22" s="29">
        <v>9</v>
      </c>
      <c r="B22" s="21" t="s">
        <v>24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8"/>
      <c r="AZ22" s="28"/>
      <c r="BA22" s="28"/>
      <c r="BB22" s="28"/>
      <c r="BC22" s="28"/>
      <c r="BD22" s="28"/>
      <c r="BE22" s="28"/>
      <c r="BF22" s="28"/>
      <c r="BG22" s="28"/>
      <c r="BH22" s="28"/>
    </row>
    <row r="23" spans="1:72" ht="18" customHeight="1">
      <c r="A23" s="68"/>
      <c r="B23" s="23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</row>
    <row r="24" spans="1:72" s="36" customFormat="1" ht="39.75" customHeight="1">
      <c r="A24" s="32" t="s">
        <v>25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2" t="s">
        <v>26</v>
      </c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4"/>
    </row>
    <row r="25" spans="1:72" s="36" customFormat="1" ht="39.75" customHeight="1">
      <c r="A25" s="32" t="s">
        <v>27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2" t="s">
        <v>28</v>
      </c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4"/>
    </row>
    <row r="26" spans="1:72" s="36" customFormat="1" ht="39.75" customHeight="1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4"/>
    </row>
    <row r="27" spans="1:72" ht="25.5" customHeight="1">
      <c r="A27" s="37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1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1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1"/>
      <c r="BT27" s="3"/>
    </row>
    <row r="28" spans="1:72" ht="25.5" customHeight="1">
      <c r="A28" s="37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1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1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1"/>
      <c r="BT28" s="3"/>
    </row>
    <row r="29" spans="1:72" ht="25.5" customHeight="1">
      <c r="A29" s="37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1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1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1"/>
      <c r="BT29" s="3"/>
    </row>
    <row r="30" spans="1:72" ht="25.5" customHeight="1">
      <c r="A30" s="37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1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1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1"/>
      <c r="BT30" s="3"/>
    </row>
    <row r="31" spans="1:72" ht="25.5" customHeight="1">
      <c r="A31" s="37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1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1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1"/>
      <c r="BT31" s="3"/>
    </row>
    <row r="32" spans="1:72" ht="25.5" customHeight="1">
      <c r="A32" s="37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1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1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1"/>
      <c r="BT32" s="3"/>
    </row>
    <row r="33" spans="1:61" ht="25.5" customHeight="1">
      <c r="A33" s="37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1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1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1" ht="32.25" customHeight="1">
      <c r="A34" s="14"/>
      <c r="B34" s="10"/>
      <c r="C34" s="264" t="str">
        <f>C9</f>
        <v>De Arenthon vers</v>
      </c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 t="str">
        <f>O9</f>
        <v>De Bonneville vers</v>
      </c>
      <c r="P34" s="264"/>
      <c r="Q34" s="264"/>
      <c r="R34" s="264"/>
      <c r="S34" s="264"/>
      <c r="T34" s="264"/>
      <c r="U34" s="264"/>
      <c r="V34" s="264"/>
      <c r="W34" s="264"/>
      <c r="X34" s="264"/>
      <c r="Y34" s="264"/>
      <c r="Z34" s="264"/>
      <c r="AA34" s="264" t="str">
        <f>AA9</f>
        <v>De Rte Papeterie vers</v>
      </c>
      <c r="AB34" s="264"/>
      <c r="AC34" s="264"/>
      <c r="AD34" s="264"/>
      <c r="AE34" s="264"/>
      <c r="AF34" s="264"/>
      <c r="AG34" s="264"/>
      <c r="AH34" s="264"/>
      <c r="AI34" s="264"/>
      <c r="AJ34" s="264"/>
      <c r="AK34" s="264"/>
      <c r="AL34" s="264"/>
      <c r="AM34" s="264" t="str">
        <f>AM9</f>
        <v>De TNA vers</v>
      </c>
      <c r="AN34" s="264"/>
      <c r="AO34" s="264"/>
      <c r="AP34" s="264"/>
      <c r="AQ34" s="264"/>
      <c r="AR34" s="264"/>
      <c r="AS34" s="264"/>
      <c r="AT34" s="264"/>
      <c r="AU34" s="264"/>
      <c r="AV34" s="264"/>
      <c r="AW34" s="264"/>
      <c r="AX34" s="264"/>
      <c r="AY34" s="14"/>
      <c r="AZ34" s="10"/>
      <c r="BA34" s="268" t="s">
        <v>29</v>
      </c>
      <c r="BB34" s="267" t="s">
        <v>30</v>
      </c>
      <c r="BC34" s="262" t="s">
        <v>31</v>
      </c>
      <c r="BD34" s="262" t="s">
        <v>32</v>
      </c>
      <c r="BE34" s="263" t="s">
        <v>65</v>
      </c>
      <c r="BF34" s="267" t="s">
        <v>56</v>
      </c>
      <c r="BG34" s="267"/>
      <c r="BH34" s="267"/>
    </row>
    <row r="35" spans="1:61" ht="46.7" customHeight="1">
      <c r="A35" s="14"/>
      <c r="B35" s="10"/>
      <c r="C35" s="259" t="str">
        <f>C10</f>
        <v>Bonneville</v>
      </c>
      <c r="D35" s="259"/>
      <c r="E35" s="259"/>
      <c r="F35" s="259"/>
      <c r="G35" s="259" t="str">
        <f>G10</f>
        <v>TNA</v>
      </c>
      <c r="H35" s="259"/>
      <c r="I35" s="259"/>
      <c r="J35" s="259"/>
      <c r="K35" s="259" t="str">
        <f>K10</f>
        <v>Rte Papeterie</v>
      </c>
      <c r="L35" s="259"/>
      <c r="M35" s="259"/>
      <c r="N35" s="259"/>
      <c r="O35" s="259" t="str">
        <f>O10</f>
        <v>TNA</v>
      </c>
      <c r="P35" s="259"/>
      <c r="Q35" s="259"/>
      <c r="R35" s="259"/>
      <c r="S35" s="259" t="str">
        <f>S10</f>
        <v>Arenthon</v>
      </c>
      <c r="T35" s="259"/>
      <c r="U35" s="259"/>
      <c r="V35" s="259"/>
      <c r="W35" s="259" t="str">
        <f>W10</f>
        <v>Rte Papeterie</v>
      </c>
      <c r="X35" s="259"/>
      <c r="Y35" s="259"/>
      <c r="Z35" s="259"/>
      <c r="AA35" s="259" t="str">
        <f>AA10</f>
        <v>Arenthon</v>
      </c>
      <c r="AB35" s="259"/>
      <c r="AC35" s="259"/>
      <c r="AD35" s="259"/>
      <c r="AE35" s="259" t="str">
        <f>AE10</f>
        <v>TNA</v>
      </c>
      <c r="AF35" s="259"/>
      <c r="AG35" s="259"/>
      <c r="AH35" s="259"/>
      <c r="AI35" s="259" t="str">
        <f>AI10</f>
        <v>Bonneville</v>
      </c>
      <c r="AJ35" s="259"/>
      <c r="AK35" s="259"/>
      <c r="AL35" s="259"/>
      <c r="AM35" s="259" t="str">
        <f>AM10</f>
        <v>Bonneville</v>
      </c>
      <c r="AN35" s="259"/>
      <c r="AO35" s="259"/>
      <c r="AP35" s="259"/>
      <c r="AQ35" s="259" t="str">
        <f>AQ10</f>
        <v>Arenthon</v>
      </c>
      <c r="AR35" s="259"/>
      <c r="AS35" s="259"/>
      <c r="AT35" s="259"/>
      <c r="AU35" s="259" t="str">
        <f>AU10</f>
        <v>Rte Papeterie</v>
      </c>
      <c r="AV35" s="259"/>
      <c r="AW35" s="259"/>
      <c r="AX35" s="259"/>
      <c r="AY35" s="14"/>
      <c r="AZ35" s="10"/>
      <c r="BA35" s="268"/>
      <c r="BB35" s="267"/>
      <c r="BC35" s="262"/>
      <c r="BD35" s="262"/>
      <c r="BE35" s="263"/>
      <c r="BF35" s="267"/>
      <c r="BG35" s="267"/>
      <c r="BH35" s="267"/>
    </row>
    <row r="36" spans="1:61" ht="18.600000000000001" customHeight="1">
      <c r="A36" s="14"/>
      <c r="B36" s="10"/>
      <c r="C36" s="258" t="s">
        <v>14</v>
      </c>
      <c r="D36" s="258"/>
      <c r="E36" s="258" t="s">
        <v>15</v>
      </c>
      <c r="F36" s="258"/>
      <c r="G36" s="258" t="s">
        <v>14</v>
      </c>
      <c r="H36" s="258"/>
      <c r="I36" s="258" t="s">
        <v>15</v>
      </c>
      <c r="J36" s="258"/>
      <c r="K36" s="258" t="s">
        <v>14</v>
      </c>
      <c r="L36" s="258"/>
      <c r="M36" s="258" t="s">
        <v>15</v>
      </c>
      <c r="N36" s="258"/>
      <c r="O36" s="258" t="s">
        <v>14</v>
      </c>
      <c r="P36" s="258"/>
      <c r="Q36" s="258" t="s">
        <v>15</v>
      </c>
      <c r="R36" s="258"/>
      <c r="S36" s="258" t="s">
        <v>14</v>
      </c>
      <c r="T36" s="258"/>
      <c r="U36" s="258" t="s">
        <v>15</v>
      </c>
      <c r="V36" s="258"/>
      <c r="W36" s="258" t="s">
        <v>14</v>
      </c>
      <c r="X36" s="258"/>
      <c r="Y36" s="258" t="s">
        <v>15</v>
      </c>
      <c r="Z36" s="258"/>
      <c r="AA36" s="258" t="s">
        <v>14</v>
      </c>
      <c r="AB36" s="258"/>
      <c r="AC36" s="258" t="s">
        <v>15</v>
      </c>
      <c r="AD36" s="258"/>
      <c r="AE36" s="258" t="s">
        <v>14</v>
      </c>
      <c r="AF36" s="258"/>
      <c r="AG36" s="258" t="s">
        <v>15</v>
      </c>
      <c r="AH36" s="258"/>
      <c r="AI36" s="258" t="s">
        <v>14</v>
      </c>
      <c r="AJ36" s="258"/>
      <c r="AK36" s="258" t="s">
        <v>15</v>
      </c>
      <c r="AL36" s="258"/>
      <c r="AM36" s="258" t="s">
        <v>14</v>
      </c>
      <c r="AN36" s="258"/>
      <c r="AO36" s="258" t="s">
        <v>15</v>
      </c>
      <c r="AP36" s="258"/>
      <c r="AQ36" s="258" t="s">
        <v>14</v>
      </c>
      <c r="AR36" s="258"/>
      <c r="AS36" s="258" t="s">
        <v>15</v>
      </c>
      <c r="AT36" s="258"/>
      <c r="AU36" s="258" t="s">
        <v>14</v>
      </c>
      <c r="AV36" s="258"/>
      <c r="AW36" s="258" t="s">
        <v>15</v>
      </c>
      <c r="AX36" s="258"/>
      <c r="AY36" s="58"/>
      <c r="AZ36" s="10"/>
      <c r="BA36" s="268"/>
      <c r="BB36" s="267"/>
      <c r="BC36" s="262"/>
      <c r="BD36" s="262"/>
      <c r="BE36" s="263"/>
      <c r="BF36" s="267"/>
      <c r="BG36" s="267"/>
      <c r="BH36" s="267"/>
    </row>
    <row r="37" spans="1:61" ht="20.25">
      <c r="A37" s="257" t="s">
        <v>34</v>
      </c>
      <c r="B37" s="257"/>
      <c r="C37" s="22" t="s">
        <v>18</v>
      </c>
      <c r="D37" s="22" t="s">
        <v>19</v>
      </c>
      <c r="E37" s="22" t="s">
        <v>18</v>
      </c>
      <c r="F37" s="22" t="s">
        <v>19</v>
      </c>
      <c r="G37" s="22" t="s">
        <v>18</v>
      </c>
      <c r="H37" s="22" t="s">
        <v>19</v>
      </c>
      <c r="I37" s="22" t="s">
        <v>18</v>
      </c>
      <c r="J37" s="22" t="s">
        <v>19</v>
      </c>
      <c r="K37" s="22" t="s">
        <v>18</v>
      </c>
      <c r="L37" s="22" t="s">
        <v>19</v>
      </c>
      <c r="M37" s="22" t="s">
        <v>18</v>
      </c>
      <c r="N37" s="22" t="s">
        <v>19</v>
      </c>
      <c r="O37" s="22" t="s">
        <v>18</v>
      </c>
      <c r="P37" s="22" t="s">
        <v>19</v>
      </c>
      <c r="Q37" s="22" t="s">
        <v>18</v>
      </c>
      <c r="R37" s="22" t="s">
        <v>19</v>
      </c>
      <c r="S37" s="22" t="s">
        <v>18</v>
      </c>
      <c r="T37" s="22" t="s">
        <v>19</v>
      </c>
      <c r="U37" s="22" t="s">
        <v>18</v>
      </c>
      <c r="V37" s="22" t="s">
        <v>19</v>
      </c>
      <c r="W37" s="22" t="s">
        <v>18</v>
      </c>
      <c r="X37" s="22" t="s">
        <v>19</v>
      </c>
      <c r="Y37" s="22" t="s">
        <v>18</v>
      </c>
      <c r="Z37" s="22" t="s">
        <v>19</v>
      </c>
      <c r="AA37" s="22" t="s">
        <v>18</v>
      </c>
      <c r="AB37" s="22" t="s">
        <v>19</v>
      </c>
      <c r="AC37" s="22" t="s">
        <v>18</v>
      </c>
      <c r="AD37" s="22" t="s">
        <v>19</v>
      </c>
      <c r="AE37" s="22" t="s">
        <v>18</v>
      </c>
      <c r="AF37" s="22" t="s">
        <v>19</v>
      </c>
      <c r="AG37" s="22" t="s">
        <v>18</v>
      </c>
      <c r="AH37" s="22" t="s">
        <v>19</v>
      </c>
      <c r="AI37" s="22" t="s">
        <v>18</v>
      </c>
      <c r="AJ37" s="22" t="s">
        <v>19</v>
      </c>
      <c r="AK37" s="22" t="s">
        <v>18</v>
      </c>
      <c r="AL37" s="22" t="s">
        <v>19</v>
      </c>
      <c r="AM37" s="22" t="s">
        <v>18</v>
      </c>
      <c r="AN37" s="22" t="s">
        <v>19</v>
      </c>
      <c r="AO37" s="22" t="s">
        <v>18</v>
      </c>
      <c r="AP37" s="22" t="s">
        <v>19</v>
      </c>
      <c r="AQ37" s="22" t="s">
        <v>18</v>
      </c>
      <c r="AR37" s="22" t="s">
        <v>19</v>
      </c>
      <c r="AS37" s="22" t="s">
        <v>18</v>
      </c>
      <c r="AT37" s="22" t="s">
        <v>19</v>
      </c>
      <c r="AU37" s="22" t="s">
        <v>18</v>
      </c>
      <c r="AV37" s="22" t="s">
        <v>19</v>
      </c>
      <c r="AW37" s="22" t="s">
        <v>18</v>
      </c>
      <c r="AX37" s="22" t="s">
        <v>19</v>
      </c>
      <c r="AY37" s="257" t="s">
        <v>34</v>
      </c>
      <c r="AZ37" s="257"/>
      <c r="BA37" s="268"/>
      <c r="BB37" s="267"/>
      <c r="BC37" s="262"/>
      <c r="BD37" s="262"/>
      <c r="BE37" s="263"/>
      <c r="BF37" s="267"/>
      <c r="BG37" s="267"/>
      <c r="BH37" s="267"/>
    </row>
    <row r="38" spans="1:61" ht="54.95" customHeight="1">
      <c r="A38" s="257" t="s">
        <v>35</v>
      </c>
      <c r="B38" s="257"/>
      <c r="C38" s="26">
        <f t="shared" ref="C38:AX38" si="0">SUM(C13:C14)</f>
        <v>0</v>
      </c>
      <c r="D38" s="26">
        <f t="shared" si="0"/>
        <v>1</v>
      </c>
      <c r="E38" s="26">
        <f t="shared" si="0"/>
        <v>0</v>
      </c>
      <c r="F38" s="26">
        <f t="shared" si="0"/>
        <v>0</v>
      </c>
      <c r="G38" s="26">
        <f t="shared" si="0"/>
        <v>0</v>
      </c>
      <c r="H38" s="26">
        <f t="shared" si="0"/>
        <v>0</v>
      </c>
      <c r="I38" s="26">
        <f t="shared" si="0"/>
        <v>0</v>
      </c>
      <c r="J38" s="26">
        <f t="shared" si="0"/>
        <v>0</v>
      </c>
      <c r="K38" s="26">
        <f t="shared" si="0"/>
        <v>0</v>
      </c>
      <c r="L38" s="26">
        <f t="shared" si="0"/>
        <v>0</v>
      </c>
      <c r="M38" s="26">
        <f t="shared" si="0"/>
        <v>0</v>
      </c>
      <c r="N38" s="26">
        <f t="shared" si="0"/>
        <v>0</v>
      </c>
      <c r="O38" s="26">
        <f t="shared" si="0"/>
        <v>0</v>
      </c>
      <c r="P38" s="26">
        <f t="shared" si="0"/>
        <v>0</v>
      </c>
      <c r="Q38" s="26">
        <f t="shared" si="0"/>
        <v>0</v>
      </c>
      <c r="R38" s="26">
        <f t="shared" si="0"/>
        <v>0</v>
      </c>
      <c r="S38" s="26">
        <f t="shared" si="0"/>
        <v>0</v>
      </c>
      <c r="T38" s="26">
        <f t="shared" si="0"/>
        <v>0</v>
      </c>
      <c r="U38" s="26">
        <f t="shared" si="0"/>
        <v>1</v>
      </c>
      <c r="V38" s="26">
        <f t="shared" si="0"/>
        <v>0</v>
      </c>
      <c r="W38" s="26">
        <f t="shared" si="0"/>
        <v>0</v>
      </c>
      <c r="X38" s="26">
        <f t="shared" si="0"/>
        <v>0</v>
      </c>
      <c r="Y38" s="26">
        <f t="shared" si="0"/>
        <v>0</v>
      </c>
      <c r="Z38" s="26">
        <f t="shared" si="0"/>
        <v>0</v>
      </c>
      <c r="AA38" s="26">
        <f t="shared" si="0"/>
        <v>0</v>
      </c>
      <c r="AB38" s="26">
        <f t="shared" si="0"/>
        <v>0</v>
      </c>
      <c r="AC38" s="26">
        <f t="shared" si="0"/>
        <v>0</v>
      </c>
      <c r="AD38" s="26">
        <f t="shared" si="0"/>
        <v>0</v>
      </c>
      <c r="AE38" s="26">
        <f t="shared" si="0"/>
        <v>0</v>
      </c>
      <c r="AF38" s="26">
        <f t="shared" si="0"/>
        <v>0</v>
      </c>
      <c r="AG38" s="26">
        <f t="shared" si="0"/>
        <v>0</v>
      </c>
      <c r="AH38" s="26">
        <f t="shared" si="0"/>
        <v>0</v>
      </c>
      <c r="AI38" s="26">
        <f t="shared" si="0"/>
        <v>0</v>
      </c>
      <c r="AJ38" s="26">
        <f t="shared" si="0"/>
        <v>0</v>
      </c>
      <c r="AK38" s="26">
        <f t="shared" si="0"/>
        <v>0</v>
      </c>
      <c r="AL38" s="26">
        <f t="shared" si="0"/>
        <v>0</v>
      </c>
      <c r="AM38" s="26">
        <f t="shared" si="0"/>
        <v>0</v>
      </c>
      <c r="AN38" s="26">
        <f t="shared" si="0"/>
        <v>0</v>
      </c>
      <c r="AO38" s="26">
        <f t="shared" si="0"/>
        <v>0</v>
      </c>
      <c r="AP38" s="26">
        <f t="shared" si="0"/>
        <v>0</v>
      </c>
      <c r="AQ38" s="26">
        <f t="shared" si="0"/>
        <v>0</v>
      </c>
      <c r="AR38" s="26">
        <f t="shared" si="0"/>
        <v>0</v>
      </c>
      <c r="AS38" s="26">
        <f t="shared" si="0"/>
        <v>0</v>
      </c>
      <c r="AT38" s="26">
        <f t="shared" si="0"/>
        <v>0</v>
      </c>
      <c r="AU38" s="26">
        <f t="shared" si="0"/>
        <v>0</v>
      </c>
      <c r="AV38" s="26">
        <f t="shared" si="0"/>
        <v>0</v>
      </c>
      <c r="AW38" s="26">
        <f t="shared" si="0"/>
        <v>0</v>
      </c>
      <c r="AX38" s="26">
        <f t="shared" si="0"/>
        <v>0</v>
      </c>
      <c r="AY38" s="257" t="str">
        <f>A38</f>
        <v>6:30 à 7:00</v>
      </c>
      <c r="AZ38" s="257"/>
      <c r="BA38" s="59">
        <f t="shared" ref="BA38:BA43" si="1">SUM(C38:AX38)</f>
        <v>2</v>
      </c>
      <c r="BB38" s="41">
        <f t="shared" ref="BB38:BB43" si="2">C38+E38+G38+I38+K38+M38+O38+Q38+S38+U38+W38+Y38+AA38+AC38+AE38+AG38+AI38+AK38+AM38+AO38+AQ38+AS38+AU38+AW38</f>
        <v>1</v>
      </c>
      <c r="BC38" s="41">
        <f t="shared" ref="BC38:BC43" si="3">E38+F38+I38+J38+M38+N38+Q38+R38+U38+V38+Y38+Z38+AC38+AD38+AG38+AH38+AK38+AL38+AO38+AP38+AS38+AT38+AW38+AX38</f>
        <v>1</v>
      </c>
      <c r="BD38" s="41">
        <f t="shared" ref="BD38:BD43" si="4">E38+I38+M38+Q38+U38+Y38+AC38+AG38+AK38+AO38+AS38+AW38</f>
        <v>1</v>
      </c>
      <c r="BE38" s="41">
        <f t="shared" ref="BE38:BE43" si="5">SUM(K38:N38)+SUM(S38:V38)+SUM(AA38:AD38)+SUM(AM38:AX38)</f>
        <v>1</v>
      </c>
      <c r="BF38" s="69" t="s">
        <v>66</v>
      </c>
      <c r="BG38" s="61"/>
      <c r="BH38" s="61"/>
    </row>
    <row r="39" spans="1:61" ht="54.95" customHeight="1">
      <c r="A39" s="257" t="s">
        <v>36</v>
      </c>
      <c r="B39" s="257"/>
      <c r="C39" s="26">
        <f t="shared" ref="C39:AX39" si="6">SUM(C15:C16)</f>
        <v>0</v>
      </c>
      <c r="D39" s="26">
        <f t="shared" si="6"/>
        <v>0</v>
      </c>
      <c r="E39" s="26">
        <f t="shared" si="6"/>
        <v>0</v>
      </c>
      <c r="F39" s="26">
        <f t="shared" si="6"/>
        <v>0</v>
      </c>
      <c r="G39" s="26">
        <f t="shared" si="6"/>
        <v>0</v>
      </c>
      <c r="H39" s="26">
        <f t="shared" si="6"/>
        <v>0</v>
      </c>
      <c r="I39" s="26">
        <f t="shared" si="6"/>
        <v>0</v>
      </c>
      <c r="J39" s="26">
        <f t="shared" si="6"/>
        <v>0</v>
      </c>
      <c r="K39" s="26">
        <f t="shared" si="6"/>
        <v>0</v>
      </c>
      <c r="L39" s="26">
        <f t="shared" si="6"/>
        <v>0</v>
      </c>
      <c r="M39" s="26">
        <f t="shared" si="6"/>
        <v>0</v>
      </c>
      <c r="N39" s="26">
        <f t="shared" si="6"/>
        <v>0</v>
      </c>
      <c r="O39" s="26">
        <f t="shared" si="6"/>
        <v>0</v>
      </c>
      <c r="P39" s="26">
        <f t="shared" si="6"/>
        <v>0</v>
      </c>
      <c r="Q39" s="26">
        <f t="shared" si="6"/>
        <v>0</v>
      </c>
      <c r="R39" s="26">
        <f t="shared" si="6"/>
        <v>0</v>
      </c>
      <c r="S39" s="26">
        <f t="shared" si="6"/>
        <v>0</v>
      </c>
      <c r="T39" s="26">
        <f t="shared" si="6"/>
        <v>0</v>
      </c>
      <c r="U39" s="26">
        <f t="shared" si="6"/>
        <v>0</v>
      </c>
      <c r="V39" s="26">
        <f t="shared" si="6"/>
        <v>0</v>
      </c>
      <c r="W39" s="26">
        <f t="shared" si="6"/>
        <v>0</v>
      </c>
      <c r="X39" s="26">
        <f t="shared" si="6"/>
        <v>0</v>
      </c>
      <c r="Y39" s="26">
        <f t="shared" si="6"/>
        <v>0</v>
      </c>
      <c r="Z39" s="26">
        <f t="shared" si="6"/>
        <v>0</v>
      </c>
      <c r="AA39" s="26">
        <f t="shared" si="6"/>
        <v>0</v>
      </c>
      <c r="AB39" s="26">
        <f t="shared" si="6"/>
        <v>0</v>
      </c>
      <c r="AC39" s="26">
        <f t="shared" si="6"/>
        <v>0</v>
      </c>
      <c r="AD39" s="26">
        <f t="shared" si="6"/>
        <v>0</v>
      </c>
      <c r="AE39" s="26">
        <f t="shared" si="6"/>
        <v>0</v>
      </c>
      <c r="AF39" s="26">
        <f t="shared" si="6"/>
        <v>0</v>
      </c>
      <c r="AG39" s="26">
        <f t="shared" si="6"/>
        <v>0</v>
      </c>
      <c r="AH39" s="26">
        <f t="shared" si="6"/>
        <v>0</v>
      </c>
      <c r="AI39" s="26">
        <f t="shared" si="6"/>
        <v>0</v>
      </c>
      <c r="AJ39" s="26">
        <f t="shared" si="6"/>
        <v>0</v>
      </c>
      <c r="AK39" s="26">
        <f t="shared" si="6"/>
        <v>0</v>
      </c>
      <c r="AL39" s="26">
        <f t="shared" si="6"/>
        <v>0</v>
      </c>
      <c r="AM39" s="26">
        <f t="shared" si="6"/>
        <v>0</v>
      </c>
      <c r="AN39" s="26">
        <f t="shared" si="6"/>
        <v>0</v>
      </c>
      <c r="AO39" s="26">
        <f t="shared" si="6"/>
        <v>0</v>
      </c>
      <c r="AP39" s="26">
        <f t="shared" si="6"/>
        <v>0</v>
      </c>
      <c r="AQ39" s="26">
        <f t="shared" si="6"/>
        <v>0</v>
      </c>
      <c r="AR39" s="26">
        <f t="shared" si="6"/>
        <v>0</v>
      </c>
      <c r="AS39" s="26">
        <f t="shared" si="6"/>
        <v>0</v>
      </c>
      <c r="AT39" s="26">
        <f t="shared" si="6"/>
        <v>0</v>
      </c>
      <c r="AU39" s="26">
        <f t="shared" si="6"/>
        <v>0</v>
      </c>
      <c r="AV39" s="26">
        <f t="shared" si="6"/>
        <v>0</v>
      </c>
      <c r="AW39" s="26">
        <f t="shared" si="6"/>
        <v>0</v>
      </c>
      <c r="AX39" s="26">
        <f t="shared" si="6"/>
        <v>0</v>
      </c>
      <c r="AY39" s="257" t="str">
        <f>A39</f>
        <v>7:00 à 7:30</v>
      </c>
      <c r="AZ39" s="257"/>
      <c r="BA39" s="59">
        <f t="shared" si="1"/>
        <v>0</v>
      </c>
      <c r="BB39" s="41">
        <f t="shared" si="2"/>
        <v>0</v>
      </c>
      <c r="BC39" s="41">
        <f t="shared" si="3"/>
        <v>0</v>
      </c>
      <c r="BD39" s="41">
        <f t="shared" si="4"/>
        <v>0</v>
      </c>
      <c r="BE39" s="41">
        <f t="shared" si="5"/>
        <v>0</v>
      </c>
      <c r="BF39" s="69" t="s">
        <v>67</v>
      </c>
      <c r="BG39" s="61"/>
      <c r="BH39" s="61"/>
    </row>
    <row r="40" spans="1:61" ht="54.95" customHeight="1">
      <c r="A40" s="257" t="s">
        <v>37</v>
      </c>
      <c r="B40" s="257"/>
      <c r="C40" s="26">
        <f t="shared" ref="C40:AX40" si="7">SUM(C17:C18)</f>
        <v>0</v>
      </c>
      <c r="D40" s="26">
        <f t="shared" si="7"/>
        <v>0</v>
      </c>
      <c r="E40" s="26">
        <f t="shared" si="7"/>
        <v>0</v>
      </c>
      <c r="F40" s="26">
        <f t="shared" si="7"/>
        <v>0</v>
      </c>
      <c r="G40" s="26">
        <f t="shared" si="7"/>
        <v>0</v>
      </c>
      <c r="H40" s="26">
        <f t="shared" si="7"/>
        <v>0</v>
      </c>
      <c r="I40" s="26">
        <f t="shared" si="7"/>
        <v>0</v>
      </c>
      <c r="J40" s="26">
        <f t="shared" si="7"/>
        <v>0</v>
      </c>
      <c r="K40" s="26">
        <f t="shared" si="7"/>
        <v>0</v>
      </c>
      <c r="L40" s="26">
        <f t="shared" si="7"/>
        <v>0</v>
      </c>
      <c r="M40" s="26">
        <f t="shared" si="7"/>
        <v>0</v>
      </c>
      <c r="N40" s="26">
        <f t="shared" si="7"/>
        <v>0</v>
      </c>
      <c r="O40" s="26">
        <f t="shared" si="7"/>
        <v>0</v>
      </c>
      <c r="P40" s="26">
        <f t="shared" si="7"/>
        <v>0</v>
      </c>
      <c r="Q40" s="26">
        <f t="shared" si="7"/>
        <v>0</v>
      </c>
      <c r="R40" s="26">
        <f t="shared" si="7"/>
        <v>0</v>
      </c>
      <c r="S40" s="26">
        <f t="shared" si="7"/>
        <v>0</v>
      </c>
      <c r="T40" s="26">
        <f t="shared" si="7"/>
        <v>1</v>
      </c>
      <c r="U40" s="26">
        <f t="shared" si="7"/>
        <v>0</v>
      </c>
      <c r="V40" s="26">
        <f t="shared" si="7"/>
        <v>0</v>
      </c>
      <c r="W40" s="26">
        <f t="shared" si="7"/>
        <v>0</v>
      </c>
      <c r="X40" s="26">
        <f t="shared" si="7"/>
        <v>0</v>
      </c>
      <c r="Y40" s="26">
        <f t="shared" si="7"/>
        <v>0</v>
      </c>
      <c r="Z40" s="26">
        <f t="shared" si="7"/>
        <v>0</v>
      </c>
      <c r="AA40" s="26">
        <f t="shared" si="7"/>
        <v>0</v>
      </c>
      <c r="AB40" s="26">
        <f t="shared" si="7"/>
        <v>1</v>
      </c>
      <c r="AC40" s="26">
        <f t="shared" si="7"/>
        <v>0</v>
      </c>
      <c r="AD40" s="26">
        <f t="shared" si="7"/>
        <v>0</v>
      </c>
      <c r="AE40" s="26">
        <f t="shared" si="7"/>
        <v>0</v>
      </c>
      <c r="AF40" s="26">
        <f t="shared" si="7"/>
        <v>0</v>
      </c>
      <c r="AG40" s="26">
        <f t="shared" si="7"/>
        <v>0</v>
      </c>
      <c r="AH40" s="26">
        <f t="shared" si="7"/>
        <v>0</v>
      </c>
      <c r="AI40" s="26">
        <f t="shared" si="7"/>
        <v>0</v>
      </c>
      <c r="AJ40" s="26">
        <f t="shared" si="7"/>
        <v>0</v>
      </c>
      <c r="AK40" s="26">
        <f t="shared" si="7"/>
        <v>0</v>
      </c>
      <c r="AL40" s="26">
        <f t="shared" si="7"/>
        <v>0</v>
      </c>
      <c r="AM40" s="26">
        <f t="shared" si="7"/>
        <v>0</v>
      </c>
      <c r="AN40" s="26">
        <f t="shared" si="7"/>
        <v>0</v>
      </c>
      <c r="AO40" s="26">
        <f t="shared" si="7"/>
        <v>0</v>
      </c>
      <c r="AP40" s="26">
        <f t="shared" si="7"/>
        <v>0</v>
      </c>
      <c r="AQ40" s="26">
        <f t="shared" si="7"/>
        <v>0</v>
      </c>
      <c r="AR40" s="26">
        <f t="shared" si="7"/>
        <v>0</v>
      </c>
      <c r="AS40" s="26">
        <f t="shared" si="7"/>
        <v>0</v>
      </c>
      <c r="AT40" s="26">
        <f t="shared" si="7"/>
        <v>0</v>
      </c>
      <c r="AU40" s="26">
        <f t="shared" si="7"/>
        <v>0</v>
      </c>
      <c r="AV40" s="26">
        <f t="shared" si="7"/>
        <v>0</v>
      </c>
      <c r="AW40" s="26">
        <f t="shared" si="7"/>
        <v>0</v>
      </c>
      <c r="AX40" s="26">
        <f t="shared" si="7"/>
        <v>0</v>
      </c>
      <c r="AY40" s="257" t="str">
        <f>A40</f>
        <v>7:30 à 8:00</v>
      </c>
      <c r="AZ40" s="257"/>
      <c r="BA40" s="59">
        <f t="shared" si="1"/>
        <v>2</v>
      </c>
      <c r="BB40" s="41">
        <f t="shared" si="2"/>
        <v>0</v>
      </c>
      <c r="BC40" s="41">
        <f t="shared" si="3"/>
        <v>0</v>
      </c>
      <c r="BD40" s="41">
        <f t="shared" si="4"/>
        <v>0</v>
      </c>
      <c r="BE40" s="41">
        <f t="shared" si="5"/>
        <v>2</v>
      </c>
      <c r="BF40" s="69" t="s">
        <v>67</v>
      </c>
      <c r="BG40" s="61"/>
      <c r="BH40" s="61"/>
    </row>
    <row r="41" spans="1:61" ht="54.95" customHeight="1">
      <c r="A41" s="257" t="s">
        <v>38</v>
      </c>
      <c r="B41" s="257"/>
      <c r="C41" s="26">
        <f t="shared" ref="C41:AX41" si="8">SUM(C19:C20)</f>
        <v>1</v>
      </c>
      <c r="D41" s="26">
        <f t="shared" si="8"/>
        <v>0</v>
      </c>
      <c r="E41" s="26">
        <f t="shared" si="8"/>
        <v>0</v>
      </c>
      <c r="F41" s="26">
        <f t="shared" si="8"/>
        <v>0</v>
      </c>
      <c r="G41" s="26">
        <f t="shared" si="8"/>
        <v>0</v>
      </c>
      <c r="H41" s="26">
        <f t="shared" si="8"/>
        <v>0</v>
      </c>
      <c r="I41" s="26">
        <f t="shared" si="8"/>
        <v>0</v>
      </c>
      <c r="J41" s="26">
        <f t="shared" si="8"/>
        <v>0</v>
      </c>
      <c r="K41" s="26">
        <f t="shared" si="8"/>
        <v>0</v>
      </c>
      <c r="L41" s="26">
        <f t="shared" si="8"/>
        <v>0</v>
      </c>
      <c r="M41" s="26">
        <f t="shared" si="8"/>
        <v>0</v>
      </c>
      <c r="N41" s="26">
        <f t="shared" si="8"/>
        <v>0</v>
      </c>
      <c r="O41" s="26">
        <f t="shared" si="8"/>
        <v>0</v>
      </c>
      <c r="P41" s="26">
        <f t="shared" si="8"/>
        <v>0</v>
      </c>
      <c r="Q41" s="26">
        <f t="shared" si="8"/>
        <v>0</v>
      </c>
      <c r="R41" s="26">
        <f t="shared" si="8"/>
        <v>0</v>
      </c>
      <c r="S41" s="26">
        <f t="shared" si="8"/>
        <v>0</v>
      </c>
      <c r="T41" s="26">
        <f t="shared" si="8"/>
        <v>0</v>
      </c>
      <c r="U41" s="26">
        <f t="shared" si="8"/>
        <v>0</v>
      </c>
      <c r="V41" s="26">
        <f t="shared" si="8"/>
        <v>0</v>
      </c>
      <c r="W41" s="26">
        <f t="shared" si="8"/>
        <v>0</v>
      </c>
      <c r="X41" s="26">
        <f t="shared" si="8"/>
        <v>1</v>
      </c>
      <c r="Y41" s="26">
        <f t="shared" si="8"/>
        <v>0</v>
      </c>
      <c r="Z41" s="26">
        <f t="shared" si="8"/>
        <v>0</v>
      </c>
      <c r="AA41" s="26">
        <f t="shared" si="8"/>
        <v>0</v>
      </c>
      <c r="AB41" s="26">
        <f t="shared" si="8"/>
        <v>0</v>
      </c>
      <c r="AC41" s="26">
        <f t="shared" si="8"/>
        <v>0</v>
      </c>
      <c r="AD41" s="26">
        <f t="shared" si="8"/>
        <v>0</v>
      </c>
      <c r="AE41" s="26">
        <f t="shared" si="8"/>
        <v>0</v>
      </c>
      <c r="AF41" s="26">
        <f t="shared" si="8"/>
        <v>0</v>
      </c>
      <c r="AG41" s="26">
        <f t="shared" si="8"/>
        <v>0</v>
      </c>
      <c r="AH41" s="26">
        <f t="shared" si="8"/>
        <v>0</v>
      </c>
      <c r="AI41" s="26">
        <f t="shared" si="8"/>
        <v>0</v>
      </c>
      <c r="AJ41" s="26">
        <f t="shared" si="8"/>
        <v>0</v>
      </c>
      <c r="AK41" s="26">
        <f t="shared" si="8"/>
        <v>0</v>
      </c>
      <c r="AL41" s="26">
        <f t="shared" si="8"/>
        <v>0</v>
      </c>
      <c r="AM41" s="26">
        <f t="shared" si="8"/>
        <v>0</v>
      </c>
      <c r="AN41" s="26">
        <f t="shared" si="8"/>
        <v>0</v>
      </c>
      <c r="AO41" s="26">
        <f t="shared" si="8"/>
        <v>0</v>
      </c>
      <c r="AP41" s="26">
        <f t="shared" si="8"/>
        <v>0</v>
      </c>
      <c r="AQ41" s="26">
        <f t="shared" si="8"/>
        <v>0</v>
      </c>
      <c r="AR41" s="26">
        <f t="shared" si="8"/>
        <v>0</v>
      </c>
      <c r="AS41" s="26">
        <f t="shared" si="8"/>
        <v>0</v>
      </c>
      <c r="AT41" s="26">
        <f t="shared" si="8"/>
        <v>0</v>
      </c>
      <c r="AU41" s="26">
        <f t="shared" si="8"/>
        <v>0</v>
      </c>
      <c r="AV41" s="26">
        <f t="shared" si="8"/>
        <v>0</v>
      </c>
      <c r="AW41" s="26">
        <f t="shared" si="8"/>
        <v>0</v>
      </c>
      <c r="AX41" s="26">
        <f t="shared" si="8"/>
        <v>0</v>
      </c>
      <c r="AY41" s="257" t="str">
        <f>A41</f>
        <v>8:00 à 8:30</v>
      </c>
      <c r="AZ41" s="257"/>
      <c r="BA41" s="59">
        <f t="shared" si="1"/>
        <v>2</v>
      </c>
      <c r="BB41" s="41">
        <f t="shared" si="2"/>
        <v>1</v>
      </c>
      <c r="BC41" s="41">
        <f t="shared" si="3"/>
        <v>0</v>
      </c>
      <c r="BD41" s="41">
        <f t="shared" si="4"/>
        <v>0</v>
      </c>
      <c r="BE41" s="41">
        <f t="shared" si="5"/>
        <v>0</v>
      </c>
      <c r="BF41" s="60" t="s">
        <v>68</v>
      </c>
      <c r="BG41" s="61"/>
      <c r="BH41" s="61"/>
    </row>
    <row r="42" spans="1:61" ht="54.95" customHeight="1">
      <c r="A42" s="257" t="s">
        <v>39</v>
      </c>
      <c r="B42" s="257"/>
      <c r="C42" s="26">
        <f t="shared" ref="C42:AX42" si="9">SUM(C20:C22)</f>
        <v>1</v>
      </c>
      <c r="D42" s="26">
        <f t="shared" si="9"/>
        <v>0</v>
      </c>
      <c r="E42" s="26">
        <f t="shared" si="9"/>
        <v>0</v>
      </c>
      <c r="F42" s="26">
        <f t="shared" si="9"/>
        <v>0</v>
      </c>
      <c r="G42" s="26">
        <f t="shared" si="9"/>
        <v>0</v>
      </c>
      <c r="H42" s="26">
        <f t="shared" si="9"/>
        <v>0</v>
      </c>
      <c r="I42" s="26">
        <f t="shared" si="9"/>
        <v>0</v>
      </c>
      <c r="J42" s="26">
        <f t="shared" si="9"/>
        <v>0</v>
      </c>
      <c r="K42" s="26">
        <f t="shared" si="9"/>
        <v>0</v>
      </c>
      <c r="L42" s="26">
        <f t="shared" si="9"/>
        <v>0</v>
      </c>
      <c r="M42" s="26">
        <f t="shared" si="9"/>
        <v>0</v>
      </c>
      <c r="N42" s="26">
        <f t="shared" si="9"/>
        <v>0</v>
      </c>
      <c r="O42" s="26">
        <f t="shared" si="9"/>
        <v>0</v>
      </c>
      <c r="P42" s="26">
        <f t="shared" si="9"/>
        <v>0</v>
      </c>
      <c r="Q42" s="26">
        <f t="shared" si="9"/>
        <v>0</v>
      </c>
      <c r="R42" s="26">
        <f t="shared" si="9"/>
        <v>0</v>
      </c>
      <c r="S42" s="26">
        <f t="shared" si="9"/>
        <v>0</v>
      </c>
      <c r="T42" s="26">
        <f t="shared" si="9"/>
        <v>0</v>
      </c>
      <c r="U42" s="26">
        <f t="shared" si="9"/>
        <v>0</v>
      </c>
      <c r="V42" s="26">
        <f t="shared" si="9"/>
        <v>0</v>
      </c>
      <c r="W42" s="26">
        <f t="shared" si="9"/>
        <v>0</v>
      </c>
      <c r="X42" s="26">
        <f t="shared" si="9"/>
        <v>1</v>
      </c>
      <c r="Y42" s="26">
        <f t="shared" si="9"/>
        <v>0</v>
      </c>
      <c r="Z42" s="26">
        <f t="shared" si="9"/>
        <v>0</v>
      </c>
      <c r="AA42" s="26">
        <f t="shared" si="9"/>
        <v>0</v>
      </c>
      <c r="AB42" s="26">
        <f t="shared" si="9"/>
        <v>0</v>
      </c>
      <c r="AC42" s="26">
        <f t="shared" si="9"/>
        <v>0</v>
      </c>
      <c r="AD42" s="26">
        <f t="shared" si="9"/>
        <v>0</v>
      </c>
      <c r="AE42" s="26">
        <f t="shared" si="9"/>
        <v>0</v>
      </c>
      <c r="AF42" s="26">
        <f t="shared" si="9"/>
        <v>0</v>
      </c>
      <c r="AG42" s="26">
        <f t="shared" si="9"/>
        <v>0</v>
      </c>
      <c r="AH42" s="26">
        <f t="shared" si="9"/>
        <v>0</v>
      </c>
      <c r="AI42" s="26">
        <f t="shared" si="9"/>
        <v>0</v>
      </c>
      <c r="AJ42" s="26">
        <f t="shared" si="9"/>
        <v>0</v>
      </c>
      <c r="AK42" s="26">
        <f t="shared" si="9"/>
        <v>0</v>
      </c>
      <c r="AL42" s="26">
        <f t="shared" si="9"/>
        <v>0</v>
      </c>
      <c r="AM42" s="26">
        <f t="shared" si="9"/>
        <v>0</v>
      </c>
      <c r="AN42" s="26">
        <f t="shared" si="9"/>
        <v>0</v>
      </c>
      <c r="AO42" s="26">
        <f t="shared" si="9"/>
        <v>0</v>
      </c>
      <c r="AP42" s="26">
        <f t="shared" si="9"/>
        <v>0</v>
      </c>
      <c r="AQ42" s="26">
        <f t="shared" si="9"/>
        <v>0</v>
      </c>
      <c r="AR42" s="26">
        <f t="shared" si="9"/>
        <v>0</v>
      </c>
      <c r="AS42" s="26">
        <f t="shared" si="9"/>
        <v>0</v>
      </c>
      <c r="AT42" s="26">
        <f t="shared" si="9"/>
        <v>0</v>
      </c>
      <c r="AU42" s="26">
        <f t="shared" si="9"/>
        <v>0</v>
      </c>
      <c r="AV42" s="26">
        <f t="shared" si="9"/>
        <v>0</v>
      </c>
      <c r="AW42" s="26">
        <f t="shared" si="9"/>
        <v>0</v>
      </c>
      <c r="AX42" s="26">
        <f t="shared" si="9"/>
        <v>0</v>
      </c>
      <c r="AY42" s="257" t="str">
        <f>A42</f>
        <v>8:30 à 9:00</v>
      </c>
      <c r="AZ42" s="257"/>
      <c r="BA42" s="59">
        <f t="shared" si="1"/>
        <v>2</v>
      </c>
      <c r="BB42" s="41">
        <f t="shared" si="2"/>
        <v>1</v>
      </c>
      <c r="BC42" s="41">
        <f t="shared" si="3"/>
        <v>0</v>
      </c>
      <c r="BD42" s="41">
        <f t="shared" si="4"/>
        <v>0</v>
      </c>
      <c r="BE42" s="41">
        <f t="shared" si="5"/>
        <v>0</v>
      </c>
      <c r="BF42" s="70" t="s">
        <v>69</v>
      </c>
      <c r="BG42" s="61"/>
      <c r="BH42" s="61"/>
    </row>
    <row r="43" spans="1:61" ht="54.95" customHeight="1">
      <c r="A43" s="257" t="s">
        <v>29</v>
      </c>
      <c r="B43" s="257"/>
      <c r="C43" s="30">
        <f t="shared" ref="C43:AX43" si="10">SUM(C13:C22)</f>
        <v>1</v>
      </c>
      <c r="D43" s="30">
        <f t="shared" si="10"/>
        <v>1</v>
      </c>
      <c r="E43" s="30">
        <f t="shared" si="10"/>
        <v>0</v>
      </c>
      <c r="F43" s="30">
        <f t="shared" si="10"/>
        <v>0</v>
      </c>
      <c r="G43" s="30">
        <f t="shared" si="10"/>
        <v>0</v>
      </c>
      <c r="H43" s="30">
        <f t="shared" si="10"/>
        <v>0</v>
      </c>
      <c r="I43" s="30">
        <f t="shared" si="10"/>
        <v>0</v>
      </c>
      <c r="J43" s="30">
        <f t="shared" si="10"/>
        <v>0</v>
      </c>
      <c r="K43" s="30">
        <f t="shared" si="10"/>
        <v>0</v>
      </c>
      <c r="L43" s="30">
        <f t="shared" si="10"/>
        <v>0</v>
      </c>
      <c r="M43" s="30">
        <f t="shared" si="10"/>
        <v>0</v>
      </c>
      <c r="N43" s="30">
        <f t="shared" si="10"/>
        <v>0</v>
      </c>
      <c r="O43" s="30">
        <f t="shared" si="10"/>
        <v>0</v>
      </c>
      <c r="P43" s="30">
        <f t="shared" si="10"/>
        <v>0</v>
      </c>
      <c r="Q43" s="30">
        <f t="shared" si="10"/>
        <v>0</v>
      </c>
      <c r="R43" s="30">
        <f t="shared" si="10"/>
        <v>0</v>
      </c>
      <c r="S43" s="30">
        <f t="shared" si="10"/>
        <v>0</v>
      </c>
      <c r="T43" s="30">
        <f t="shared" si="10"/>
        <v>1</v>
      </c>
      <c r="U43" s="30">
        <f t="shared" si="10"/>
        <v>1</v>
      </c>
      <c r="V43" s="30">
        <f t="shared" si="10"/>
        <v>0</v>
      </c>
      <c r="W43" s="30">
        <f t="shared" si="10"/>
        <v>0</v>
      </c>
      <c r="X43" s="30">
        <f t="shared" si="10"/>
        <v>1</v>
      </c>
      <c r="Y43" s="30">
        <f t="shared" si="10"/>
        <v>0</v>
      </c>
      <c r="Z43" s="30">
        <f t="shared" si="10"/>
        <v>0</v>
      </c>
      <c r="AA43" s="30">
        <f t="shared" si="10"/>
        <v>0</v>
      </c>
      <c r="AB43" s="30">
        <f t="shared" si="10"/>
        <v>1</v>
      </c>
      <c r="AC43" s="30">
        <f t="shared" si="10"/>
        <v>0</v>
      </c>
      <c r="AD43" s="30">
        <f t="shared" si="10"/>
        <v>0</v>
      </c>
      <c r="AE43" s="30">
        <f t="shared" si="10"/>
        <v>0</v>
      </c>
      <c r="AF43" s="30">
        <f t="shared" si="10"/>
        <v>0</v>
      </c>
      <c r="AG43" s="30">
        <f t="shared" si="10"/>
        <v>0</v>
      </c>
      <c r="AH43" s="30">
        <f t="shared" si="10"/>
        <v>0</v>
      </c>
      <c r="AI43" s="30">
        <f t="shared" si="10"/>
        <v>0</v>
      </c>
      <c r="AJ43" s="30">
        <f t="shared" si="10"/>
        <v>0</v>
      </c>
      <c r="AK43" s="30">
        <f t="shared" si="10"/>
        <v>0</v>
      </c>
      <c r="AL43" s="30">
        <f t="shared" si="10"/>
        <v>0</v>
      </c>
      <c r="AM43" s="30">
        <f t="shared" si="10"/>
        <v>0</v>
      </c>
      <c r="AN43" s="30">
        <f t="shared" si="10"/>
        <v>0</v>
      </c>
      <c r="AO43" s="30">
        <f t="shared" si="10"/>
        <v>0</v>
      </c>
      <c r="AP43" s="30">
        <f t="shared" si="10"/>
        <v>0</v>
      </c>
      <c r="AQ43" s="30">
        <f t="shared" si="10"/>
        <v>0</v>
      </c>
      <c r="AR43" s="30">
        <f t="shared" si="10"/>
        <v>0</v>
      </c>
      <c r="AS43" s="30">
        <f t="shared" si="10"/>
        <v>0</v>
      </c>
      <c r="AT43" s="30">
        <f t="shared" si="10"/>
        <v>0</v>
      </c>
      <c r="AU43" s="30">
        <f t="shared" si="10"/>
        <v>0</v>
      </c>
      <c r="AV43" s="30">
        <f t="shared" si="10"/>
        <v>0</v>
      </c>
      <c r="AW43" s="30">
        <f t="shared" si="10"/>
        <v>0</v>
      </c>
      <c r="AX43" s="30">
        <f t="shared" si="10"/>
        <v>0</v>
      </c>
      <c r="AY43" s="270" t="s">
        <v>29</v>
      </c>
      <c r="AZ43" s="270"/>
      <c r="BA43" s="62">
        <f t="shared" si="1"/>
        <v>6</v>
      </c>
      <c r="BB43" s="43">
        <f t="shared" si="2"/>
        <v>2</v>
      </c>
      <c r="BC43" s="43">
        <f t="shared" si="3"/>
        <v>1</v>
      </c>
      <c r="BD43" s="43">
        <f t="shared" si="4"/>
        <v>1</v>
      </c>
      <c r="BE43" s="43">
        <f t="shared" si="5"/>
        <v>3</v>
      </c>
      <c r="BF43" s="60"/>
      <c r="BG43" s="61"/>
      <c r="BH43" s="61"/>
    </row>
    <row r="44" spans="1:61" ht="42.75" customHeight="1">
      <c r="A44" s="44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4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4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257" t="str">
        <f>IF($BA$38=MAX($BA$38:$BA$42),AY38,IF($BA$39=MAX($BA$38:$BA$42),AY39,IF($BA$40=MAX($BA$38:$BA$42),AY40,IF($BA$41=MAX($BA$38:$BA$42),AY41,IF($BA$42=MAX($BA$38:$BA$42),AY42,AY41)))))</f>
        <v>6:30 à 7:00</v>
      </c>
      <c r="AZ44" s="257"/>
      <c r="BA44" s="39">
        <f>IF($BA$38=MAX($BA$38:$BA$42),BA38,IF($BA$39=MAX($BA$38:$BA$42),BA39,IF($BA$40=MAX($BA$38:$BA$42),BA40,IF($BA$41=MAX($BA$38:$BA$42),BA41,IF($BA$42=MAX($BA$38:$BA$42),BA42,BA41)))))</f>
        <v>2</v>
      </c>
      <c r="BB44" s="39">
        <f>IF($BA$38=MAX($BA$38:$BA$42),BB38,IF($BA$39=MAX($BA$38:$BA$42),BB39,IF($BA$40=MAX($BA$38:$BA$42),BB40,IF($BA$41=MAX($BA$38:$BA$42),BB41,IF($BA$42=MAX($BA$38:$BA$42),BB42,BB41)))))</f>
        <v>1</v>
      </c>
      <c r="BC44" s="39">
        <f>IF($BA$38=MAX($BA$38:$BA$42),BC38,IF($BA$39=MAX($BA$38:$BA$42),BC39,IF($BA$40=MAX($BA$38:$BA$42),BC40,IF($BA$41=MAX($BA$38:$BA$42),BC41,IF($BA$42=MAX($BA$38:$BA$42),BC42,BC41)))))</f>
        <v>1</v>
      </c>
      <c r="BD44" s="39">
        <f>IF($BA$38=MAX($BA$38:$BA$42),BD38,IF($BA$39=MAX($BA$38:$BA$42),BD39,IF($BA$40=MAX($BA$38:$BA$42),BD40,IF($BA$41=MAX($BA$38:$BA$42),BD41,IF($BA$42=MAX($BA$38:$BA$42),BD42,BD41)))))</f>
        <v>1</v>
      </c>
      <c r="BE44" s="39">
        <f>IF($BA$38=MAX($BA$38:$BA$42),BE38,IF($BA$39=MAX($BA$38:$BA$42),BE39,IF($BA$40=MAX($BA$38:$BA$42),BE40,IF($BA$41=MAX($BA$38:$BA$42),BE41,IF($BA$42=MAX($BA$38:$BA$42),BE42,BE41)))))</f>
        <v>1</v>
      </c>
      <c r="BF44" s="60"/>
      <c r="BG44" s="61"/>
      <c r="BH44" s="61"/>
    </row>
    <row r="45" spans="1:61" ht="20.25">
      <c r="A45" s="46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6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6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14"/>
      <c r="AZ45" s="10"/>
      <c r="BA45" s="268" t="s">
        <v>29</v>
      </c>
      <c r="BB45" s="254" t="s">
        <v>40</v>
      </c>
      <c r="BC45" s="254" t="s">
        <v>41</v>
      </c>
      <c r="BD45" s="254" t="s">
        <v>42</v>
      </c>
      <c r="BE45" s="254" t="str">
        <f>BE34</f>
        <v>Cycles sur route de Reignier</v>
      </c>
      <c r="BF45" s="267" t="s">
        <v>56</v>
      </c>
      <c r="BG45" s="267"/>
      <c r="BH45" s="267"/>
    </row>
    <row r="46" spans="1:61" ht="20.25">
      <c r="A46" s="46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14"/>
      <c r="AZ46" s="10"/>
      <c r="BA46" s="268"/>
      <c r="BB46" s="254"/>
      <c r="BC46" s="254"/>
      <c r="BD46" s="254"/>
      <c r="BE46" s="254"/>
      <c r="BF46" s="267"/>
      <c r="BG46" s="267"/>
      <c r="BH46" s="267"/>
      <c r="BI46" s="47"/>
    </row>
    <row r="47" spans="1:61" ht="20.25">
      <c r="A47" s="46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58"/>
      <c r="AZ47" s="10"/>
      <c r="BA47" s="268"/>
      <c r="BB47" s="254"/>
      <c r="BC47" s="254"/>
      <c r="BD47" s="254"/>
      <c r="BE47" s="254"/>
      <c r="BF47" s="267"/>
      <c r="BG47" s="267"/>
      <c r="BH47" s="267"/>
      <c r="BI47" s="47"/>
    </row>
    <row r="48" spans="1:61" ht="20.25">
      <c r="A48" s="46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257" t="s">
        <v>34</v>
      </c>
      <c r="AZ48" s="257"/>
      <c r="BA48" s="268"/>
      <c r="BB48" s="254"/>
      <c r="BC48" s="254"/>
      <c r="BD48" s="254"/>
      <c r="BE48" s="254"/>
      <c r="BF48" s="267"/>
      <c r="BG48" s="267"/>
      <c r="BH48" s="267"/>
      <c r="BI48" s="47"/>
    </row>
    <row r="49" spans="1:61" ht="35.1" customHeight="1">
      <c r="A49" s="46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257" t="str">
        <f>AY38</f>
        <v>6:30 à 7:00</v>
      </c>
      <c r="AZ49" s="257"/>
      <c r="BA49" s="63"/>
      <c r="BB49" s="48">
        <f>IF(BB38=0,0,BB38/BA38)</f>
        <v>0.5</v>
      </c>
      <c r="BC49" s="48">
        <f>IF(BC38=0,0,BC38/BA38)</f>
        <v>0.5</v>
      </c>
      <c r="BD49" s="48">
        <f>IF(BD38=0,0,BD38/BB38)</f>
        <v>1</v>
      </c>
      <c r="BE49" s="48">
        <f>IF(BE38=0,0,BE38/BA38)</f>
        <v>0.5</v>
      </c>
      <c r="BF49" s="60"/>
      <c r="BG49" s="61"/>
      <c r="BH49" s="61"/>
      <c r="BI49" s="47"/>
    </row>
    <row r="50" spans="1:61" ht="35.1" customHeight="1">
      <c r="A50" s="46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257" t="str">
        <f>AY39</f>
        <v>7:00 à 7:30</v>
      </c>
      <c r="AZ50" s="257"/>
      <c r="BA50" s="63"/>
      <c r="BB50" s="48">
        <f>IF(BB40=0,0,BB40/BA40)</f>
        <v>0</v>
      </c>
      <c r="BC50" s="48">
        <f>IF(BC40=0,0,BC40/BA40)</f>
        <v>0</v>
      </c>
      <c r="BD50" s="48">
        <f>IF(BD40=0,0,BD40/BB40)</f>
        <v>0</v>
      </c>
      <c r="BE50" s="48">
        <f>IF(BE40=0,0,BE40/BA40)</f>
        <v>1</v>
      </c>
      <c r="BF50" s="60"/>
      <c r="BG50" s="61"/>
      <c r="BH50" s="61"/>
      <c r="BI50" s="47"/>
    </row>
    <row r="51" spans="1:61" ht="35.1" customHeight="1">
      <c r="A51" s="46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257" t="str">
        <f>AY40</f>
        <v>7:30 à 8:00</v>
      </c>
      <c r="AZ51" s="257"/>
      <c r="BA51" s="63"/>
      <c r="BB51" s="48">
        <f>IF(BB40=0,0,BB40/BA40)</f>
        <v>0</v>
      </c>
      <c r="BC51" s="48">
        <f t="shared" ref="BC51:BD54" si="11">IF(BC40=0,0,BC40/BA40)</f>
        <v>0</v>
      </c>
      <c r="BD51" s="48">
        <f t="shared" si="11"/>
        <v>0</v>
      </c>
      <c r="BE51" s="48">
        <f>IF(BE40=0,0,BE40/BA40)</f>
        <v>1</v>
      </c>
      <c r="BF51" s="60"/>
      <c r="BG51" s="61"/>
      <c r="BH51" s="61"/>
      <c r="BI51" s="47"/>
    </row>
    <row r="52" spans="1:61" ht="35.1" customHeight="1">
      <c r="A52" s="46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257" t="str">
        <f>AY41</f>
        <v>8:00 à 8:30</v>
      </c>
      <c r="AZ52" s="257"/>
      <c r="BA52" s="63"/>
      <c r="BB52" s="48">
        <f>IF(BB41=0,0,BB41/BA41)</f>
        <v>0.5</v>
      </c>
      <c r="BC52" s="48">
        <f t="shared" si="11"/>
        <v>0</v>
      </c>
      <c r="BD52" s="48">
        <f t="shared" si="11"/>
        <v>0</v>
      </c>
      <c r="BE52" s="48">
        <f>IF(BE41=0,0,BE41/BA41)</f>
        <v>0</v>
      </c>
      <c r="BF52" s="60"/>
      <c r="BG52" s="61"/>
      <c r="BH52" s="61"/>
      <c r="BI52" s="47"/>
    </row>
    <row r="53" spans="1:61" ht="35.1" customHeight="1">
      <c r="F53" s="47"/>
      <c r="K53" s="47"/>
      <c r="L53" s="47"/>
      <c r="M53" s="47"/>
      <c r="N53" s="47"/>
      <c r="O53" s="47"/>
      <c r="P53" s="47"/>
      <c r="Q53" s="47"/>
      <c r="AA53" s="47"/>
      <c r="AB53" s="47"/>
      <c r="AC53" s="47"/>
      <c r="AM53" s="47"/>
      <c r="AN53" s="47"/>
      <c r="AO53" s="47"/>
      <c r="AY53" s="257" t="str">
        <f>AY42</f>
        <v>8:30 à 9:00</v>
      </c>
      <c r="AZ53" s="257"/>
      <c r="BA53" s="63"/>
      <c r="BB53" s="48">
        <f>IF(BB42=0,0,BB42/BA42)</f>
        <v>0.5</v>
      </c>
      <c r="BC53" s="48">
        <f t="shared" si="11"/>
        <v>0</v>
      </c>
      <c r="BD53" s="48">
        <f t="shared" si="11"/>
        <v>0</v>
      </c>
      <c r="BE53" s="48">
        <f>IF(BE42=0,0,BE42/BA42)</f>
        <v>0</v>
      </c>
      <c r="BF53" s="60"/>
      <c r="BG53" s="61"/>
      <c r="BH53" s="61"/>
    </row>
    <row r="54" spans="1:61" ht="35.1" customHeight="1">
      <c r="F54" s="47"/>
      <c r="K54" s="47"/>
      <c r="L54" s="47"/>
      <c r="M54" s="47"/>
      <c r="N54" s="47"/>
      <c r="O54" s="47"/>
      <c r="P54" s="47"/>
      <c r="Q54" s="47"/>
      <c r="AA54" s="47"/>
      <c r="AB54" s="47"/>
      <c r="AC54" s="47"/>
      <c r="AM54" s="47"/>
      <c r="AN54" s="47"/>
      <c r="AO54" s="47"/>
      <c r="AY54" s="271" t="s">
        <v>29</v>
      </c>
      <c r="AZ54" s="271"/>
      <c r="BA54" s="59"/>
      <c r="BB54" s="48">
        <f>IF(BB43=0,0,BB43/BA43)</f>
        <v>0.33333333333333331</v>
      </c>
      <c r="BC54" s="48">
        <f t="shared" si="11"/>
        <v>0.16666666666666666</v>
      </c>
      <c r="BD54" s="48">
        <f t="shared" si="11"/>
        <v>0.5</v>
      </c>
      <c r="BE54" s="48">
        <f>IF(BE43=0,0,BE43/BA43)</f>
        <v>0.5</v>
      </c>
      <c r="BF54" s="60"/>
      <c r="BG54" s="61"/>
      <c r="BH54" s="61"/>
    </row>
    <row r="55" spans="1:61" ht="35.1" customHeight="1">
      <c r="AV55" s="50" t="s">
        <v>43</v>
      </c>
      <c r="AY55" s="257" t="str">
        <f>AY44</f>
        <v>6:30 à 7:00</v>
      </c>
      <c r="AZ55" s="257"/>
      <c r="BA55" s="39"/>
      <c r="BB55" s="51">
        <f>BB44/$BA$44</f>
        <v>0.5</v>
      </c>
      <c r="BC55" s="51">
        <f>BC44/$BA$44</f>
        <v>0.5</v>
      </c>
      <c r="BD55" s="51">
        <f>BD44/$BA$44</f>
        <v>0.5</v>
      </c>
      <c r="BE55" s="51">
        <f>BE44/$BA$44</f>
        <v>0.5</v>
      </c>
      <c r="BF55" s="60"/>
      <c r="BG55" s="61"/>
      <c r="BH55" s="61"/>
    </row>
  </sheetData>
  <mergeCells count="115">
    <mergeCell ref="AA10:AD10"/>
    <mergeCell ref="AE10:AH10"/>
    <mergeCell ref="AI10:AL10"/>
    <mergeCell ref="AM10:AP10"/>
    <mergeCell ref="AQ10:AT10"/>
    <mergeCell ref="AU10:AX10"/>
    <mergeCell ref="C9:N9"/>
    <mergeCell ref="O9:Z9"/>
    <mergeCell ref="AA9:AL9"/>
    <mergeCell ref="AM9:AX9"/>
    <mergeCell ref="C10:F10"/>
    <mergeCell ref="G10:J10"/>
    <mergeCell ref="K10:N10"/>
    <mergeCell ref="O10:R10"/>
    <mergeCell ref="S10:V10"/>
    <mergeCell ref="W10:Z10"/>
    <mergeCell ref="O11:P11"/>
    <mergeCell ref="Q11:R11"/>
    <mergeCell ref="S11:T11"/>
    <mergeCell ref="U11:V11"/>
    <mergeCell ref="W11:X11"/>
    <mergeCell ref="Y11:Z11"/>
    <mergeCell ref="C11:D11"/>
    <mergeCell ref="E11:F11"/>
    <mergeCell ref="G11:H11"/>
    <mergeCell ref="I11:J11"/>
    <mergeCell ref="K11:L11"/>
    <mergeCell ref="M11:N11"/>
    <mergeCell ref="AM11:AN11"/>
    <mergeCell ref="AO11:AP11"/>
    <mergeCell ref="AQ11:AR11"/>
    <mergeCell ref="AS11:AT11"/>
    <mergeCell ref="AU11:AV11"/>
    <mergeCell ref="AW11:AX11"/>
    <mergeCell ref="AA11:AB11"/>
    <mergeCell ref="AC11:AD11"/>
    <mergeCell ref="AE11:AF11"/>
    <mergeCell ref="AG11:AH11"/>
    <mergeCell ref="AI11:AJ11"/>
    <mergeCell ref="AK11:AL11"/>
    <mergeCell ref="BF34:BH37"/>
    <mergeCell ref="C35:F35"/>
    <mergeCell ref="G35:J35"/>
    <mergeCell ref="K35:N35"/>
    <mergeCell ref="O35:R35"/>
    <mergeCell ref="S35:V35"/>
    <mergeCell ref="W35:Z35"/>
    <mergeCell ref="C34:N34"/>
    <mergeCell ref="O34:Z34"/>
    <mergeCell ref="AA34:AL34"/>
    <mergeCell ref="AM34:AX34"/>
    <mergeCell ref="BA34:BA37"/>
    <mergeCell ref="BB34:BB37"/>
    <mergeCell ref="AA35:AD35"/>
    <mergeCell ref="AE35:AH35"/>
    <mergeCell ref="AI35:AL35"/>
    <mergeCell ref="AM35:AP35"/>
    <mergeCell ref="AQ35:AT35"/>
    <mergeCell ref="AU35:AX35"/>
    <mergeCell ref="C36:D36"/>
    <mergeCell ref="E36:F36"/>
    <mergeCell ref="O36:P36"/>
    <mergeCell ref="Q36:R36"/>
    <mergeCell ref="Y36:Z36"/>
    <mergeCell ref="BE34:BE37"/>
    <mergeCell ref="A40:B40"/>
    <mergeCell ref="AY40:AZ40"/>
    <mergeCell ref="AQ36:AR36"/>
    <mergeCell ref="AS36:AT36"/>
    <mergeCell ref="AU36:AV36"/>
    <mergeCell ref="AW36:AX36"/>
    <mergeCell ref="A37:B37"/>
    <mergeCell ref="AY37:AZ37"/>
    <mergeCell ref="AE36:AF36"/>
    <mergeCell ref="AG36:AH36"/>
    <mergeCell ref="AI36:AJ36"/>
    <mergeCell ref="AK36:AL36"/>
    <mergeCell ref="AM36:AN36"/>
    <mergeCell ref="AO36:AP36"/>
    <mergeCell ref="S36:T36"/>
    <mergeCell ref="U36:V36"/>
    <mergeCell ref="W36:X36"/>
    <mergeCell ref="AY44:AZ44"/>
    <mergeCell ref="BA45:BA48"/>
    <mergeCell ref="BB45:BB48"/>
    <mergeCell ref="A38:B38"/>
    <mergeCell ref="AY38:AZ38"/>
    <mergeCell ref="A39:B39"/>
    <mergeCell ref="AY39:AZ39"/>
    <mergeCell ref="BC34:BC37"/>
    <mergeCell ref="BD34:BD37"/>
    <mergeCell ref="A41:B41"/>
    <mergeCell ref="AY41:AZ41"/>
    <mergeCell ref="A42:B42"/>
    <mergeCell ref="AY42:AZ42"/>
    <mergeCell ref="A43:B43"/>
    <mergeCell ref="AY43:AZ43"/>
    <mergeCell ref="AA36:AB36"/>
    <mergeCell ref="AC36:AD36"/>
    <mergeCell ref="G36:H36"/>
    <mergeCell ref="I36:J36"/>
    <mergeCell ref="K36:L36"/>
    <mergeCell ref="M36:N36"/>
    <mergeCell ref="AY53:AZ53"/>
    <mergeCell ref="AY54:AZ54"/>
    <mergeCell ref="AY55:AZ55"/>
    <mergeCell ref="BF45:BH48"/>
    <mergeCell ref="AY48:AZ48"/>
    <mergeCell ref="AY49:AZ49"/>
    <mergeCell ref="AY50:AZ50"/>
    <mergeCell ref="AY51:AZ51"/>
    <mergeCell ref="AY52:AZ52"/>
    <mergeCell ref="BC45:BC48"/>
    <mergeCell ref="BD45:BD48"/>
    <mergeCell ref="BE45:BE48"/>
  </mergeCells>
  <pageMargins left="0.19645669291338586" right="0.19645669291338586" top="0.78740157480314954" bottom="0.78740157480314954" header="0.39370078740157477" footer="0.39370078740157477"/>
  <pageSetup paperSize="9" scale="44" fitToWidth="0" fitToHeight="0" pageOrder="overThenDown" orientation="landscape" useFirstPageNumber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50"/>
  <sheetViews>
    <sheetView topLeftCell="A20" zoomScale="50" zoomScaleNormal="50" workbookViewId="0">
      <selection activeCell="AC49" sqref="AC49"/>
    </sheetView>
  </sheetViews>
  <sheetFormatPr baseColWidth="10" defaultRowHeight="14.25"/>
  <cols>
    <col min="1" max="1" width="6.5" style="6" customWidth="1"/>
    <col min="2" max="2" width="11.125" style="6" customWidth="1"/>
    <col min="3" max="28" width="9.75" style="6" customWidth="1"/>
    <col min="29" max="34" width="16.875" style="6" customWidth="1"/>
    <col min="35" max="38" width="10.75" style="6" customWidth="1"/>
    <col min="39" max="1023" width="11.125" style="6" customWidth="1"/>
    <col min="1024" max="1024" width="11" style="6" customWidth="1"/>
  </cols>
  <sheetData>
    <row r="1" spans="1:1024" ht="52.5" customHeight="1">
      <c r="A1" s="1"/>
      <c r="B1" s="2" t="s">
        <v>189</v>
      </c>
      <c r="C1" s="3"/>
      <c r="D1" s="3"/>
      <c r="E1" s="3"/>
      <c r="F1" s="4"/>
      <c r="G1" s="3"/>
      <c r="H1" s="3"/>
      <c r="I1" s="3"/>
      <c r="J1" s="3"/>
      <c r="K1" s="4"/>
      <c r="L1" s="4"/>
      <c r="M1" s="4"/>
      <c r="N1" s="4"/>
      <c r="O1" s="5" t="s">
        <v>2</v>
      </c>
      <c r="P1" s="7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  <c r="AF1" s="4"/>
      <c r="AG1" s="3"/>
      <c r="AH1" s="3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9"/>
      <c r="AMI1" s="9"/>
      <c r="AMJ1" s="9"/>
    </row>
    <row r="2" spans="1:1024" ht="52.5" customHeight="1">
      <c r="A2" s="1" t="s">
        <v>3</v>
      </c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/>
      <c r="AF2" s="3"/>
      <c r="AG2" s="3"/>
      <c r="AH2" s="3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9"/>
      <c r="AMI2" s="9"/>
      <c r="AMJ2" s="9"/>
    </row>
    <row r="3" spans="1:1024" ht="52.5" customHeight="1">
      <c r="A3" s="1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7" t="s">
        <v>5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9"/>
      <c r="AMI3" s="9"/>
      <c r="AMJ3" s="9"/>
    </row>
    <row r="4" spans="1:1024" s="9" customFormat="1" ht="25.5" customHeight="1"/>
    <row r="5" spans="1:1024" ht="25.5" customHeight="1">
      <c r="A5" s="167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4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9"/>
    </row>
    <row r="6" spans="1:1024" ht="50.65" customHeight="1">
      <c r="A6" s="167" t="s">
        <v>156</v>
      </c>
      <c r="B6" s="3"/>
      <c r="C6" s="3"/>
      <c r="D6" s="3"/>
      <c r="E6" s="3"/>
      <c r="F6" s="3"/>
      <c r="G6" s="7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4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9"/>
    </row>
    <row r="7" spans="1:1024" ht="16.899999999999999" customHeight="1">
      <c r="A7" s="66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9"/>
    </row>
    <row r="8" spans="1:1024" ht="32.25" customHeight="1">
      <c r="A8" s="1"/>
      <c r="B8" s="3"/>
      <c r="C8" s="264" t="s">
        <v>87</v>
      </c>
      <c r="D8" s="264"/>
      <c r="E8" s="264"/>
      <c r="F8" s="264"/>
      <c r="G8" s="264"/>
      <c r="H8" s="264"/>
      <c r="I8" s="264"/>
      <c r="J8" s="264"/>
      <c r="K8" s="264" t="s">
        <v>88</v>
      </c>
      <c r="L8" s="264"/>
      <c r="M8" s="264"/>
      <c r="N8" s="264"/>
      <c r="O8" s="264"/>
      <c r="P8" s="264"/>
      <c r="Q8" s="264"/>
      <c r="R8" s="264"/>
      <c r="S8" s="264" t="s">
        <v>187</v>
      </c>
      <c r="T8" s="264"/>
      <c r="U8" s="264"/>
      <c r="V8" s="264"/>
      <c r="W8" s="264"/>
      <c r="X8" s="264"/>
      <c r="Y8" s="264"/>
      <c r="Z8" s="264"/>
      <c r="AA8" s="15"/>
      <c r="AB8" s="15"/>
      <c r="AC8" s="15"/>
      <c r="AD8" s="15"/>
      <c r="AE8" s="15"/>
      <c r="AF8" s="15"/>
      <c r="AG8" s="15"/>
      <c r="AH8" s="15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9"/>
    </row>
    <row r="9" spans="1:1024" ht="22.7" customHeight="1">
      <c r="A9" s="1"/>
      <c r="B9" s="3"/>
      <c r="C9" s="259" t="s">
        <v>89</v>
      </c>
      <c r="D9" s="259"/>
      <c r="E9" s="259"/>
      <c r="F9" s="259"/>
      <c r="G9" s="259" t="s">
        <v>188</v>
      </c>
      <c r="H9" s="259"/>
      <c r="I9" s="259"/>
      <c r="J9" s="259"/>
      <c r="K9" s="259" t="s">
        <v>188</v>
      </c>
      <c r="L9" s="259"/>
      <c r="M9" s="259"/>
      <c r="N9" s="259"/>
      <c r="O9" s="259" t="s">
        <v>90</v>
      </c>
      <c r="P9" s="259"/>
      <c r="Q9" s="259"/>
      <c r="R9" s="259"/>
      <c r="S9" s="259" t="s">
        <v>90</v>
      </c>
      <c r="T9" s="259"/>
      <c r="U9" s="259"/>
      <c r="V9" s="259"/>
      <c r="W9" s="259" t="s">
        <v>89</v>
      </c>
      <c r="X9" s="259"/>
      <c r="Y9" s="259"/>
      <c r="Z9" s="259"/>
      <c r="AA9" s="17"/>
      <c r="AB9" s="17"/>
      <c r="AC9" s="17"/>
      <c r="AD9" s="17"/>
      <c r="AE9" s="17"/>
      <c r="AF9" s="17"/>
      <c r="AG9" s="17"/>
      <c r="AH9" s="17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9"/>
    </row>
    <row r="10" spans="1:1024" ht="18.600000000000001" customHeight="1">
      <c r="A10" s="1"/>
      <c r="B10" s="3"/>
      <c r="C10" s="258" t="s">
        <v>14</v>
      </c>
      <c r="D10" s="258"/>
      <c r="E10" s="258" t="s">
        <v>15</v>
      </c>
      <c r="F10" s="258"/>
      <c r="G10" s="258" t="s">
        <v>14</v>
      </c>
      <c r="H10" s="258"/>
      <c r="I10" s="258" t="s">
        <v>15</v>
      </c>
      <c r="J10" s="258"/>
      <c r="K10" s="258" t="s">
        <v>14</v>
      </c>
      <c r="L10" s="258"/>
      <c r="M10" s="258" t="s">
        <v>15</v>
      </c>
      <c r="N10" s="258"/>
      <c r="O10" s="258" t="s">
        <v>14</v>
      </c>
      <c r="P10" s="258"/>
      <c r="Q10" s="258" t="s">
        <v>15</v>
      </c>
      <c r="R10" s="258"/>
      <c r="S10" s="258" t="s">
        <v>14</v>
      </c>
      <c r="T10" s="258"/>
      <c r="U10" s="258" t="s">
        <v>15</v>
      </c>
      <c r="V10" s="258"/>
      <c r="W10" s="258" t="s">
        <v>14</v>
      </c>
      <c r="X10" s="258"/>
      <c r="Y10" s="258" t="s">
        <v>15</v>
      </c>
      <c r="Z10" s="258"/>
      <c r="AA10" s="19"/>
      <c r="AB10" s="19"/>
      <c r="AC10" s="19"/>
      <c r="AD10" s="19"/>
      <c r="AE10" s="19"/>
      <c r="AF10" s="19"/>
      <c r="AG10" s="19"/>
      <c r="AH10" s="19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9"/>
    </row>
    <row r="11" spans="1:1024" ht="20.25">
      <c r="A11" s="21" t="s">
        <v>14</v>
      </c>
      <c r="B11" s="21" t="s">
        <v>91</v>
      </c>
      <c r="C11" s="22" t="s">
        <v>18</v>
      </c>
      <c r="D11" s="22" t="s">
        <v>19</v>
      </c>
      <c r="E11" s="22" t="s">
        <v>18</v>
      </c>
      <c r="F11" s="22" t="s">
        <v>19</v>
      </c>
      <c r="G11" s="22" t="s">
        <v>18</v>
      </c>
      <c r="H11" s="22" t="s">
        <v>19</v>
      </c>
      <c r="I11" s="22" t="s">
        <v>18</v>
      </c>
      <c r="J11" s="22" t="s">
        <v>19</v>
      </c>
      <c r="K11" s="22" t="s">
        <v>18</v>
      </c>
      <c r="L11" s="22" t="s">
        <v>19</v>
      </c>
      <c r="M11" s="22" t="s">
        <v>18</v>
      </c>
      <c r="N11" s="22" t="s">
        <v>19</v>
      </c>
      <c r="O11" s="22" t="s">
        <v>18</v>
      </c>
      <c r="P11" s="22" t="s">
        <v>19</v>
      </c>
      <c r="Q11" s="22" t="s">
        <v>18</v>
      </c>
      <c r="R11" s="22" t="s">
        <v>19</v>
      </c>
      <c r="S11" s="22" t="s">
        <v>18</v>
      </c>
      <c r="T11" s="22" t="s">
        <v>19</v>
      </c>
      <c r="U11" s="22" t="s">
        <v>18</v>
      </c>
      <c r="V11" s="22" t="s">
        <v>19</v>
      </c>
      <c r="W11" s="22" t="s">
        <v>18</v>
      </c>
      <c r="X11" s="22" t="s">
        <v>19</v>
      </c>
      <c r="Y11" s="22" t="s">
        <v>18</v>
      </c>
      <c r="Z11" s="22" t="s">
        <v>19</v>
      </c>
      <c r="AA11" s="23"/>
      <c r="AB11" s="23"/>
      <c r="AC11" s="23"/>
      <c r="AD11" s="23"/>
      <c r="AE11" s="23"/>
      <c r="AF11" s="23"/>
      <c r="AG11" s="23"/>
      <c r="AH11" s="23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9"/>
    </row>
    <row r="12" spans="1:1024" ht="54.95" customHeight="1">
      <c r="A12" s="25">
        <v>6</v>
      </c>
      <c r="B12" s="21" t="s">
        <v>20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8"/>
      <c r="AB12" s="28"/>
      <c r="AC12" s="28"/>
      <c r="AD12" s="28"/>
      <c r="AE12" s="28"/>
      <c r="AF12" s="28"/>
      <c r="AG12" s="28"/>
      <c r="AH12" s="28"/>
    </row>
    <row r="13" spans="1:1024" ht="54.95" customHeight="1">
      <c r="A13" s="21"/>
      <c r="B13" s="21" t="s">
        <v>21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>
        <v>1</v>
      </c>
      <c r="Y13" s="26"/>
      <c r="Z13" s="26"/>
      <c r="AA13" s="28"/>
      <c r="AB13" s="28"/>
      <c r="AC13" s="28"/>
      <c r="AD13" s="28"/>
      <c r="AE13" s="28"/>
      <c r="AF13" s="28"/>
      <c r="AG13" s="28"/>
      <c r="AH13" s="28"/>
    </row>
    <row r="14" spans="1:1024" ht="54.95" customHeight="1">
      <c r="A14" s="25">
        <v>7</v>
      </c>
      <c r="B14" s="21" t="s">
        <v>22</v>
      </c>
      <c r="C14" s="26"/>
      <c r="D14" s="26"/>
      <c r="E14" s="26"/>
      <c r="F14" s="26"/>
      <c r="G14" s="26"/>
      <c r="H14" s="26">
        <v>1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>
        <v>1</v>
      </c>
      <c r="U14" s="26"/>
      <c r="V14" s="26"/>
      <c r="W14" s="26"/>
      <c r="X14" s="26"/>
      <c r="Y14" s="26"/>
      <c r="Z14" s="26"/>
      <c r="AA14" s="28"/>
      <c r="AB14" s="28"/>
      <c r="AC14" s="28"/>
      <c r="AD14" s="28"/>
      <c r="AE14" s="28"/>
      <c r="AF14" s="28"/>
      <c r="AG14" s="28"/>
      <c r="AH14" s="28"/>
    </row>
    <row r="15" spans="1:1024" ht="54.95" customHeight="1">
      <c r="A15" s="21"/>
      <c r="B15" s="21" t="s">
        <v>23</v>
      </c>
      <c r="C15" s="26"/>
      <c r="D15" s="26"/>
      <c r="E15" s="26"/>
      <c r="F15" s="26"/>
      <c r="G15" s="26">
        <v>1</v>
      </c>
      <c r="H15" s="26">
        <v>1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>
        <v>1</v>
      </c>
      <c r="U15" s="26"/>
      <c r="V15" s="26"/>
      <c r="W15" s="26"/>
      <c r="X15" s="26">
        <v>1</v>
      </c>
      <c r="Y15" s="26"/>
      <c r="Z15" s="26"/>
      <c r="AA15" s="28"/>
      <c r="AB15" s="28"/>
      <c r="AC15" s="28"/>
      <c r="AD15" s="28"/>
      <c r="AE15" s="28"/>
      <c r="AF15" s="28"/>
      <c r="AG15" s="28"/>
      <c r="AH15" s="28"/>
    </row>
    <row r="16" spans="1:1024" ht="54.95" customHeight="1">
      <c r="A16" s="21"/>
      <c r="B16" s="21" t="s">
        <v>20</v>
      </c>
      <c r="C16" s="26">
        <v>1</v>
      </c>
      <c r="D16" s="26"/>
      <c r="E16" s="26">
        <v>1</v>
      </c>
      <c r="F16" s="26"/>
      <c r="G16" s="26"/>
      <c r="H16" s="26"/>
      <c r="I16" s="26"/>
      <c r="J16" s="26">
        <v>1</v>
      </c>
      <c r="K16" s="26"/>
      <c r="L16" s="26"/>
      <c r="M16" s="26"/>
      <c r="N16" s="26"/>
      <c r="O16" s="26"/>
      <c r="P16" s="26"/>
      <c r="Q16" s="26"/>
      <c r="R16" s="26"/>
      <c r="S16" s="26"/>
      <c r="T16" s="26">
        <v>1</v>
      </c>
      <c r="U16" s="26"/>
      <c r="V16" s="26"/>
      <c r="W16" s="26"/>
      <c r="X16" s="26"/>
      <c r="Y16" s="26"/>
      <c r="Z16" s="26"/>
      <c r="AA16" s="28"/>
      <c r="AB16" s="28"/>
      <c r="AC16" s="28"/>
      <c r="AD16" s="28"/>
      <c r="AE16" s="28"/>
      <c r="AF16" s="28"/>
      <c r="AG16" s="28"/>
      <c r="AH16" s="28"/>
    </row>
    <row r="17" spans="1:1024" ht="54.95" customHeight="1">
      <c r="A17" s="21"/>
      <c r="B17" s="21" t="s">
        <v>24</v>
      </c>
      <c r="C17" s="26"/>
      <c r="D17" s="26"/>
      <c r="E17" s="26">
        <v>1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8"/>
      <c r="AB17" s="28"/>
      <c r="AC17" s="28"/>
      <c r="AD17" s="28"/>
      <c r="AE17" s="28"/>
      <c r="AF17" s="28"/>
      <c r="AG17" s="28"/>
      <c r="AH17" s="28"/>
    </row>
    <row r="18" spans="1:1024" ht="54.95" customHeight="1">
      <c r="A18" s="25">
        <v>8</v>
      </c>
      <c r="B18" s="21" t="s">
        <v>22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>
        <v>1</v>
      </c>
      <c r="U18" s="26"/>
      <c r="V18" s="26"/>
      <c r="W18" s="26"/>
      <c r="X18" s="26"/>
      <c r="Y18" s="26"/>
      <c r="Z18" s="26"/>
      <c r="AA18" s="28"/>
      <c r="AB18" s="28"/>
      <c r="AC18" s="28"/>
      <c r="AD18" s="28"/>
      <c r="AE18" s="28"/>
      <c r="AF18" s="28"/>
      <c r="AG18" s="28"/>
      <c r="AH18" s="28"/>
    </row>
    <row r="19" spans="1:1024" ht="54.95" customHeight="1">
      <c r="A19" s="21"/>
      <c r="B19" s="21" t="s">
        <v>23</v>
      </c>
      <c r="C19" s="26"/>
      <c r="D19" s="26">
        <v>1</v>
      </c>
      <c r="E19" s="26"/>
      <c r="F19" s="26"/>
      <c r="G19" s="26"/>
      <c r="H19" s="26">
        <v>1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8"/>
      <c r="AB19" s="28"/>
      <c r="AC19" s="28"/>
      <c r="AD19" s="28"/>
      <c r="AE19" s="28"/>
      <c r="AF19" s="28"/>
      <c r="AG19" s="28"/>
      <c r="AH19" s="28"/>
    </row>
    <row r="20" spans="1:1024" ht="54.95" customHeight="1">
      <c r="A20" s="21"/>
      <c r="B20" s="21" t="s">
        <v>20</v>
      </c>
      <c r="C20" s="26">
        <v>1</v>
      </c>
      <c r="D20" s="26"/>
      <c r="E20" s="26"/>
      <c r="F20" s="26"/>
      <c r="G20" s="26"/>
      <c r="H20" s="26">
        <v>2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8"/>
      <c r="AB20" s="28"/>
      <c r="AC20" s="28"/>
      <c r="AD20" s="28"/>
      <c r="AE20" s="28"/>
      <c r="AF20" s="28"/>
      <c r="AG20" s="28"/>
      <c r="AH20" s="28"/>
    </row>
    <row r="21" spans="1:1024" ht="54.95" customHeight="1">
      <c r="A21" s="78">
        <v>9</v>
      </c>
      <c r="B21" s="21" t="s">
        <v>24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>
        <v>1</v>
      </c>
      <c r="U21" s="26"/>
      <c r="V21" s="26">
        <v>1</v>
      </c>
      <c r="W21" s="26"/>
      <c r="X21" s="26"/>
      <c r="Y21" s="26"/>
      <c r="Z21" s="26"/>
      <c r="AA21" s="28"/>
      <c r="AB21" s="28"/>
      <c r="AC21" s="28"/>
      <c r="AD21" s="28"/>
      <c r="AE21" s="28"/>
      <c r="AF21" s="28"/>
      <c r="AG21" s="28"/>
      <c r="AH21" s="28"/>
    </row>
    <row r="22" spans="1:1024" ht="13.15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ht="39.75" customHeight="1">
      <c r="A23" s="32" t="s">
        <v>26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4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  <c r="IX23" s="36"/>
      <c r="IY23" s="36"/>
      <c r="IZ23" s="36"/>
      <c r="JA23" s="36"/>
      <c r="JB23" s="36"/>
      <c r="JC23" s="36"/>
      <c r="JD23" s="36"/>
      <c r="JE23" s="36"/>
      <c r="JF23" s="36"/>
      <c r="JG23" s="36"/>
      <c r="JH23" s="36"/>
      <c r="JI23" s="36"/>
      <c r="JJ23" s="36"/>
      <c r="JK23" s="36"/>
      <c r="JL23" s="36"/>
      <c r="JM23" s="36"/>
      <c r="JN23" s="36"/>
      <c r="JO23" s="36"/>
      <c r="JP23" s="36"/>
      <c r="JQ23" s="36"/>
      <c r="JR23" s="36"/>
      <c r="JS23" s="36"/>
      <c r="JT23" s="36"/>
      <c r="JU23" s="36"/>
      <c r="JV23" s="36"/>
      <c r="JW23" s="36"/>
      <c r="JX23" s="36"/>
      <c r="JY23" s="36"/>
      <c r="JZ23" s="36"/>
      <c r="KA23" s="36"/>
      <c r="KB23" s="36"/>
      <c r="KC23" s="36"/>
      <c r="KD23" s="36"/>
      <c r="KE23" s="36"/>
      <c r="KF23" s="36"/>
      <c r="KG23" s="36"/>
      <c r="KH23" s="36"/>
      <c r="KI23" s="36"/>
      <c r="KJ23" s="36"/>
      <c r="KK23" s="36"/>
      <c r="KL23" s="36"/>
      <c r="KM23" s="36"/>
      <c r="KN23" s="36"/>
      <c r="KO23" s="36"/>
      <c r="KP23" s="36"/>
      <c r="KQ23" s="36"/>
      <c r="KR23" s="36"/>
      <c r="KS23" s="36"/>
      <c r="KT23" s="36"/>
      <c r="KU23" s="36"/>
      <c r="KV23" s="36"/>
      <c r="KW23" s="36"/>
      <c r="KX23" s="36"/>
      <c r="KY23" s="36"/>
      <c r="KZ23" s="36"/>
      <c r="LA23" s="36"/>
      <c r="LB23" s="36"/>
      <c r="LC23" s="36"/>
      <c r="LD23" s="36"/>
      <c r="LE23" s="36"/>
      <c r="LF23" s="36"/>
      <c r="LG23" s="36"/>
      <c r="LH23" s="36"/>
      <c r="LI23" s="36"/>
      <c r="LJ23" s="36"/>
      <c r="LK23" s="36"/>
      <c r="LL23" s="36"/>
      <c r="LM23" s="36"/>
      <c r="LN23" s="36"/>
      <c r="LO23" s="36"/>
      <c r="LP23" s="36"/>
      <c r="LQ23" s="36"/>
      <c r="LR23" s="36"/>
      <c r="LS23" s="36"/>
      <c r="LT23" s="36"/>
      <c r="LU23" s="36"/>
      <c r="LV23" s="36"/>
      <c r="LW23" s="36"/>
      <c r="LX23" s="36"/>
      <c r="LY23" s="36"/>
      <c r="LZ23" s="36"/>
      <c r="MA23" s="36"/>
      <c r="MB23" s="36"/>
      <c r="MC23" s="36"/>
      <c r="MD23" s="36"/>
      <c r="ME23" s="36"/>
      <c r="MF23" s="36"/>
      <c r="MG23" s="36"/>
      <c r="MH23" s="36"/>
      <c r="MI23" s="36"/>
      <c r="MJ23" s="36"/>
      <c r="MK23" s="36"/>
      <c r="ML23" s="36"/>
      <c r="MM23" s="36"/>
      <c r="MN23" s="36"/>
      <c r="MO23" s="36"/>
      <c r="MP23" s="36"/>
      <c r="MQ23" s="36"/>
      <c r="MR23" s="36"/>
      <c r="MS23" s="36"/>
      <c r="MT23" s="36"/>
      <c r="MU23" s="36"/>
      <c r="MV23" s="36"/>
      <c r="MW23" s="36"/>
      <c r="MX23" s="36"/>
      <c r="MY23" s="36"/>
      <c r="MZ23" s="36"/>
      <c r="NA23" s="36"/>
      <c r="NB23" s="36"/>
      <c r="NC23" s="36"/>
      <c r="ND23" s="36"/>
      <c r="NE23" s="36"/>
      <c r="NF23" s="36"/>
      <c r="NG23" s="36"/>
      <c r="NH23" s="36"/>
      <c r="NI23" s="36"/>
      <c r="NJ23" s="36"/>
      <c r="NK23" s="36"/>
      <c r="NL23" s="36"/>
      <c r="NM23" s="36"/>
      <c r="NN23" s="36"/>
      <c r="NO23" s="36"/>
      <c r="NP23" s="36"/>
      <c r="NQ23" s="36"/>
      <c r="NR23" s="36"/>
      <c r="NS23" s="36"/>
      <c r="NT23" s="36"/>
      <c r="NU23" s="36"/>
      <c r="NV23" s="36"/>
      <c r="NW23" s="36"/>
      <c r="NX23" s="36"/>
      <c r="NY23" s="36"/>
      <c r="NZ23" s="36"/>
      <c r="OA23" s="36"/>
      <c r="OB23" s="36"/>
      <c r="OC23" s="36"/>
      <c r="OD23" s="36"/>
      <c r="OE23" s="36"/>
      <c r="OF23" s="36"/>
      <c r="OG23" s="36"/>
      <c r="OH23" s="36"/>
      <c r="OI23" s="36"/>
      <c r="OJ23" s="36"/>
      <c r="OK23" s="36"/>
      <c r="OL23" s="36"/>
      <c r="OM23" s="36"/>
      <c r="ON23" s="36"/>
      <c r="OO23" s="36"/>
      <c r="OP23" s="36"/>
      <c r="OQ23" s="36"/>
      <c r="OR23" s="36"/>
      <c r="OS23" s="36"/>
      <c r="OT23" s="36"/>
      <c r="OU23" s="36"/>
      <c r="OV23" s="36"/>
      <c r="OW23" s="36"/>
      <c r="OX23" s="36"/>
      <c r="OY23" s="36"/>
      <c r="OZ23" s="36"/>
      <c r="PA23" s="36"/>
      <c r="PB23" s="36"/>
      <c r="PC23" s="36"/>
      <c r="PD23" s="36"/>
      <c r="PE23" s="36"/>
      <c r="PF23" s="36"/>
      <c r="PG23" s="36"/>
      <c r="PH23" s="36"/>
      <c r="PI23" s="36"/>
      <c r="PJ23" s="36"/>
      <c r="PK23" s="36"/>
      <c r="PL23" s="36"/>
      <c r="PM23" s="36"/>
      <c r="PN23" s="36"/>
      <c r="PO23" s="36"/>
      <c r="PP23" s="36"/>
      <c r="PQ23" s="36"/>
      <c r="PR23" s="36"/>
      <c r="PS23" s="36"/>
      <c r="PT23" s="36"/>
      <c r="PU23" s="36"/>
      <c r="PV23" s="36"/>
      <c r="PW23" s="36"/>
      <c r="PX23" s="36"/>
      <c r="PY23" s="36"/>
      <c r="PZ23" s="36"/>
      <c r="QA23" s="36"/>
      <c r="QB23" s="36"/>
      <c r="QC23" s="36"/>
      <c r="QD23" s="36"/>
      <c r="QE23" s="36"/>
      <c r="QF23" s="36"/>
      <c r="QG23" s="36"/>
      <c r="QH23" s="36"/>
      <c r="QI23" s="36"/>
      <c r="QJ23" s="36"/>
      <c r="QK23" s="36"/>
      <c r="QL23" s="36"/>
      <c r="QM23" s="36"/>
      <c r="QN23" s="36"/>
      <c r="QO23" s="36"/>
      <c r="QP23" s="36"/>
      <c r="QQ23" s="36"/>
      <c r="QR23" s="36"/>
      <c r="QS23" s="36"/>
      <c r="QT23" s="36"/>
      <c r="QU23" s="36"/>
      <c r="QV23" s="36"/>
      <c r="QW23" s="36"/>
      <c r="QX23" s="36"/>
      <c r="QY23" s="36"/>
      <c r="QZ23" s="36"/>
      <c r="RA23" s="36"/>
      <c r="RB23" s="36"/>
      <c r="RC23" s="36"/>
      <c r="RD23" s="36"/>
      <c r="RE23" s="36"/>
      <c r="RF23" s="36"/>
      <c r="RG23" s="36"/>
      <c r="RH23" s="36"/>
      <c r="RI23" s="36"/>
      <c r="RJ23" s="36"/>
      <c r="RK23" s="36"/>
      <c r="RL23" s="36"/>
      <c r="RM23" s="36"/>
      <c r="RN23" s="36"/>
      <c r="RO23" s="36"/>
      <c r="RP23" s="36"/>
      <c r="RQ23" s="36"/>
      <c r="RR23" s="36"/>
      <c r="RS23" s="36"/>
      <c r="RT23" s="36"/>
      <c r="RU23" s="36"/>
      <c r="RV23" s="36"/>
      <c r="RW23" s="36"/>
      <c r="RX23" s="36"/>
      <c r="RY23" s="36"/>
      <c r="RZ23" s="36"/>
      <c r="SA23" s="36"/>
      <c r="SB23" s="36"/>
      <c r="SC23" s="36"/>
      <c r="SD23" s="36"/>
      <c r="SE23" s="36"/>
      <c r="SF23" s="36"/>
      <c r="SG23" s="36"/>
      <c r="SH23" s="36"/>
      <c r="SI23" s="36"/>
      <c r="SJ23" s="36"/>
      <c r="SK23" s="36"/>
      <c r="SL23" s="36"/>
      <c r="SM23" s="36"/>
      <c r="SN23" s="36"/>
      <c r="SO23" s="36"/>
      <c r="SP23" s="36"/>
      <c r="SQ23" s="36"/>
      <c r="SR23" s="36"/>
      <c r="SS23" s="36"/>
      <c r="ST23" s="36"/>
      <c r="SU23" s="36"/>
      <c r="SV23" s="36"/>
      <c r="SW23" s="36"/>
      <c r="SX23" s="36"/>
      <c r="SY23" s="36"/>
      <c r="SZ23" s="36"/>
      <c r="TA23" s="36"/>
      <c r="TB23" s="36"/>
      <c r="TC23" s="36"/>
      <c r="TD23" s="36"/>
      <c r="TE23" s="36"/>
      <c r="TF23" s="36"/>
      <c r="TG23" s="36"/>
      <c r="TH23" s="36"/>
      <c r="TI23" s="36"/>
      <c r="TJ23" s="36"/>
      <c r="TK23" s="36"/>
      <c r="TL23" s="36"/>
      <c r="TM23" s="36"/>
      <c r="TN23" s="36"/>
      <c r="TO23" s="36"/>
      <c r="TP23" s="36"/>
      <c r="TQ23" s="36"/>
      <c r="TR23" s="36"/>
      <c r="TS23" s="36"/>
      <c r="TT23" s="36"/>
      <c r="TU23" s="36"/>
      <c r="TV23" s="36"/>
      <c r="TW23" s="36"/>
      <c r="TX23" s="36"/>
      <c r="TY23" s="36"/>
      <c r="TZ23" s="36"/>
      <c r="UA23" s="36"/>
      <c r="UB23" s="36"/>
      <c r="UC23" s="36"/>
      <c r="UD23" s="36"/>
      <c r="UE23" s="36"/>
      <c r="UF23" s="36"/>
      <c r="UG23" s="36"/>
      <c r="UH23" s="36"/>
      <c r="UI23" s="36"/>
      <c r="UJ23" s="36"/>
      <c r="UK23" s="36"/>
      <c r="UL23" s="36"/>
      <c r="UM23" s="36"/>
      <c r="UN23" s="36"/>
      <c r="UO23" s="36"/>
      <c r="UP23" s="36"/>
      <c r="UQ23" s="36"/>
      <c r="UR23" s="36"/>
      <c r="US23" s="36"/>
      <c r="UT23" s="36"/>
      <c r="UU23" s="36"/>
      <c r="UV23" s="36"/>
      <c r="UW23" s="36"/>
      <c r="UX23" s="36"/>
      <c r="UY23" s="36"/>
      <c r="UZ23" s="36"/>
      <c r="VA23" s="36"/>
      <c r="VB23" s="36"/>
      <c r="VC23" s="36"/>
      <c r="VD23" s="36"/>
      <c r="VE23" s="36"/>
      <c r="VF23" s="36"/>
      <c r="VG23" s="36"/>
      <c r="VH23" s="36"/>
      <c r="VI23" s="36"/>
      <c r="VJ23" s="36"/>
      <c r="VK23" s="36"/>
      <c r="VL23" s="36"/>
      <c r="VM23" s="36"/>
      <c r="VN23" s="36"/>
      <c r="VO23" s="36"/>
      <c r="VP23" s="36"/>
      <c r="VQ23" s="36"/>
      <c r="VR23" s="36"/>
      <c r="VS23" s="36"/>
      <c r="VT23" s="36"/>
      <c r="VU23" s="36"/>
      <c r="VV23" s="36"/>
      <c r="VW23" s="36"/>
      <c r="VX23" s="36"/>
      <c r="VY23" s="36"/>
      <c r="VZ23" s="36"/>
      <c r="WA23" s="36"/>
      <c r="WB23" s="36"/>
      <c r="WC23" s="36"/>
      <c r="WD23" s="36"/>
      <c r="WE23" s="36"/>
      <c r="WF23" s="36"/>
      <c r="WG23" s="36"/>
      <c r="WH23" s="36"/>
      <c r="WI23" s="36"/>
      <c r="WJ23" s="36"/>
      <c r="WK23" s="36"/>
      <c r="WL23" s="36"/>
      <c r="WM23" s="36"/>
      <c r="WN23" s="36"/>
      <c r="WO23" s="36"/>
      <c r="WP23" s="36"/>
      <c r="WQ23" s="36"/>
      <c r="WR23" s="36"/>
      <c r="WS23" s="36"/>
      <c r="WT23" s="36"/>
      <c r="WU23" s="36"/>
      <c r="WV23" s="36"/>
      <c r="WW23" s="36"/>
      <c r="WX23" s="36"/>
      <c r="WY23" s="36"/>
      <c r="WZ23" s="36"/>
      <c r="XA23" s="36"/>
      <c r="XB23" s="36"/>
      <c r="XC23" s="36"/>
      <c r="XD23" s="36"/>
      <c r="XE23" s="36"/>
      <c r="XF23" s="36"/>
      <c r="XG23" s="36"/>
      <c r="XH23" s="36"/>
      <c r="XI23" s="36"/>
      <c r="XJ23" s="36"/>
      <c r="XK23" s="36"/>
      <c r="XL23" s="36"/>
      <c r="XM23" s="36"/>
      <c r="XN23" s="36"/>
      <c r="XO23" s="36"/>
      <c r="XP23" s="36"/>
      <c r="XQ23" s="36"/>
      <c r="XR23" s="36"/>
      <c r="XS23" s="36"/>
      <c r="XT23" s="36"/>
      <c r="XU23" s="36"/>
      <c r="XV23" s="36"/>
      <c r="XW23" s="36"/>
      <c r="XX23" s="36"/>
      <c r="XY23" s="36"/>
      <c r="XZ23" s="36"/>
      <c r="YA23" s="36"/>
      <c r="YB23" s="36"/>
      <c r="YC23" s="36"/>
      <c r="YD23" s="36"/>
      <c r="YE23" s="36"/>
      <c r="YF23" s="36"/>
      <c r="YG23" s="36"/>
      <c r="YH23" s="36"/>
      <c r="YI23" s="36"/>
      <c r="YJ23" s="36"/>
      <c r="YK23" s="36"/>
      <c r="YL23" s="36"/>
      <c r="YM23" s="36"/>
      <c r="YN23" s="36"/>
      <c r="YO23" s="36"/>
      <c r="YP23" s="36"/>
      <c r="YQ23" s="36"/>
      <c r="YR23" s="36"/>
      <c r="YS23" s="36"/>
      <c r="YT23" s="36"/>
      <c r="YU23" s="36"/>
      <c r="YV23" s="36"/>
      <c r="YW23" s="36"/>
      <c r="YX23" s="36"/>
      <c r="YY23" s="36"/>
      <c r="YZ23" s="36"/>
      <c r="ZA23" s="36"/>
      <c r="ZB23" s="36"/>
      <c r="ZC23" s="36"/>
      <c r="ZD23" s="36"/>
      <c r="ZE23" s="36"/>
      <c r="ZF23" s="36"/>
      <c r="ZG23" s="36"/>
      <c r="ZH23" s="36"/>
      <c r="ZI23" s="36"/>
      <c r="ZJ23" s="36"/>
      <c r="ZK23" s="36"/>
      <c r="ZL23" s="36"/>
      <c r="ZM23" s="36"/>
      <c r="ZN23" s="36"/>
      <c r="ZO23" s="36"/>
      <c r="ZP23" s="36"/>
      <c r="ZQ23" s="36"/>
      <c r="ZR23" s="36"/>
      <c r="ZS23" s="36"/>
      <c r="ZT23" s="36"/>
      <c r="ZU23" s="36"/>
      <c r="ZV23" s="36"/>
      <c r="ZW23" s="36"/>
      <c r="ZX23" s="36"/>
      <c r="ZY23" s="36"/>
      <c r="ZZ23" s="36"/>
      <c r="AAA23" s="36"/>
      <c r="AAB23" s="36"/>
      <c r="AAC23" s="36"/>
      <c r="AAD23" s="36"/>
      <c r="AAE23" s="36"/>
      <c r="AAF23" s="36"/>
      <c r="AAG23" s="36"/>
      <c r="AAH23" s="36"/>
      <c r="AAI23" s="36"/>
      <c r="AAJ23" s="36"/>
      <c r="AAK23" s="36"/>
      <c r="AAL23" s="36"/>
      <c r="AAM23" s="36"/>
      <c r="AAN23" s="36"/>
      <c r="AAO23" s="36"/>
      <c r="AAP23" s="36"/>
      <c r="AAQ23" s="36"/>
      <c r="AAR23" s="36"/>
      <c r="AAS23" s="36"/>
      <c r="AAT23" s="36"/>
      <c r="AAU23" s="36"/>
      <c r="AAV23" s="36"/>
      <c r="AAW23" s="36"/>
      <c r="AAX23" s="36"/>
      <c r="AAY23" s="36"/>
      <c r="AAZ23" s="36"/>
      <c r="ABA23" s="36"/>
      <c r="ABB23" s="36"/>
      <c r="ABC23" s="36"/>
      <c r="ABD23" s="36"/>
      <c r="ABE23" s="36"/>
      <c r="ABF23" s="36"/>
      <c r="ABG23" s="36"/>
      <c r="ABH23" s="36"/>
      <c r="ABI23" s="36"/>
      <c r="ABJ23" s="36"/>
      <c r="ABK23" s="36"/>
      <c r="ABL23" s="36"/>
      <c r="ABM23" s="36"/>
      <c r="ABN23" s="36"/>
      <c r="ABO23" s="36"/>
      <c r="ABP23" s="36"/>
      <c r="ABQ23" s="36"/>
      <c r="ABR23" s="36"/>
      <c r="ABS23" s="36"/>
      <c r="ABT23" s="36"/>
      <c r="ABU23" s="36"/>
      <c r="ABV23" s="36"/>
      <c r="ABW23" s="36"/>
      <c r="ABX23" s="36"/>
      <c r="ABY23" s="36"/>
      <c r="ABZ23" s="36"/>
      <c r="ACA23" s="36"/>
      <c r="ACB23" s="36"/>
      <c r="ACC23" s="36"/>
      <c r="ACD23" s="36"/>
      <c r="ACE23" s="36"/>
      <c r="ACF23" s="36"/>
      <c r="ACG23" s="36"/>
      <c r="ACH23" s="36"/>
      <c r="ACI23" s="36"/>
      <c r="ACJ23" s="36"/>
      <c r="ACK23" s="36"/>
      <c r="ACL23" s="36"/>
      <c r="ACM23" s="36"/>
      <c r="ACN23" s="36"/>
      <c r="ACO23" s="36"/>
      <c r="ACP23" s="36"/>
      <c r="ACQ23" s="36"/>
      <c r="ACR23" s="36"/>
      <c r="ACS23" s="36"/>
      <c r="ACT23" s="36"/>
      <c r="ACU23" s="36"/>
      <c r="ACV23" s="36"/>
      <c r="ACW23" s="36"/>
      <c r="ACX23" s="36"/>
      <c r="ACY23" s="36"/>
      <c r="ACZ23" s="36"/>
      <c r="ADA23" s="36"/>
      <c r="ADB23" s="36"/>
      <c r="ADC23" s="36"/>
      <c r="ADD23" s="36"/>
      <c r="ADE23" s="36"/>
      <c r="ADF23" s="36"/>
      <c r="ADG23" s="36"/>
      <c r="ADH23" s="36"/>
      <c r="ADI23" s="36"/>
      <c r="ADJ23" s="36"/>
      <c r="ADK23" s="36"/>
      <c r="ADL23" s="36"/>
      <c r="ADM23" s="36"/>
      <c r="ADN23" s="36"/>
      <c r="ADO23" s="36"/>
      <c r="ADP23" s="36"/>
      <c r="ADQ23" s="36"/>
      <c r="ADR23" s="36"/>
      <c r="ADS23" s="36"/>
      <c r="ADT23" s="36"/>
      <c r="ADU23" s="36"/>
      <c r="ADV23" s="36"/>
      <c r="ADW23" s="36"/>
      <c r="ADX23" s="36"/>
      <c r="ADY23" s="36"/>
      <c r="ADZ23" s="36"/>
      <c r="AEA23" s="36"/>
      <c r="AEB23" s="36"/>
      <c r="AEC23" s="36"/>
      <c r="AED23" s="36"/>
      <c r="AEE23" s="36"/>
      <c r="AEF23" s="36"/>
      <c r="AEG23" s="36"/>
      <c r="AEH23" s="36"/>
      <c r="AEI23" s="36"/>
      <c r="AEJ23" s="36"/>
      <c r="AEK23" s="36"/>
      <c r="AEL23" s="36"/>
      <c r="AEM23" s="36"/>
      <c r="AEN23" s="36"/>
      <c r="AEO23" s="36"/>
      <c r="AEP23" s="36"/>
      <c r="AEQ23" s="36"/>
      <c r="AER23" s="36"/>
      <c r="AES23" s="36"/>
      <c r="AET23" s="36"/>
      <c r="AEU23" s="36"/>
      <c r="AEV23" s="36"/>
      <c r="AEW23" s="36"/>
      <c r="AEX23" s="36"/>
      <c r="AEY23" s="36"/>
      <c r="AEZ23" s="36"/>
      <c r="AFA23" s="36"/>
      <c r="AFB23" s="36"/>
      <c r="AFC23" s="36"/>
      <c r="AFD23" s="36"/>
      <c r="AFE23" s="36"/>
      <c r="AFF23" s="36"/>
      <c r="AFG23" s="36"/>
      <c r="AFH23" s="36"/>
      <c r="AFI23" s="36"/>
      <c r="AFJ23" s="36"/>
      <c r="AFK23" s="36"/>
      <c r="AFL23" s="36"/>
      <c r="AFM23" s="36"/>
      <c r="AFN23" s="36"/>
      <c r="AFO23" s="36"/>
      <c r="AFP23" s="36"/>
      <c r="AFQ23" s="36"/>
      <c r="AFR23" s="36"/>
      <c r="AFS23" s="36"/>
      <c r="AFT23" s="36"/>
      <c r="AFU23" s="36"/>
      <c r="AFV23" s="36"/>
      <c r="AFW23" s="36"/>
      <c r="AFX23" s="36"/>
      <c r="AFY23" s="36"/>
      <c r="AFZ23" s="36"/>
      <c r="AGA23" s="36"/>
      <c r="AGB23" s="36"/>
      <c r="AGC23" s="36"/>
      <c r="AGD23" s="36"/>
      <c r="AGE23" s="36"/>
      <c r="AGF23" s="36"/>
      <c r="AGG23" s="36"/>
      <c r="AGH23" s="36"/>
      <c r="AGI23" s="36"/>
      <c r="AGJ23" s="36"/>
      <c r="AGK23" s="36"/>
      <c r="AGL23" s="36"/>
      <c r="AGM23" s="36"/>
      <c r="AGN23" s="36"/>
      <c r="AGO23" s="36"/>
      <c r="AGP23" s="36"/>
      <c r="AGQ23" s="36"/>
      <c r="AGR23" s="36"/>
      <c r="AGS23" s="36"/>
      <c r="AGT23" s="36"/>
      <c r="AGU23" s="36"/>
      <c r="AGV23" s="36"/>
      <c r="AGW23" s="36"/>
      <c r="AGX23" s="36"/>
      <c r="AGY23" s="36"/>
      <c r="AGZ23" s="36"/>
      <c r="AHA23" s="36"/>
      <c r="AHB23" s="36"/>
      <c r="AHC23" s="36"/>
      <c r="AHD23" s="36"/>
      <c r="AHE23" s="36"/>
      <c r="AHF23" s="36"/>
      <c r="AHG23" s="36"/>
      <c r="AHH23" s="36"/>
      <c r="AHI23" s="36"/>
      <c r="AHJ23" s="36"/>
      <c r="AHK23" s="36"/>
      <c r="AHL23" s="36"/>
      <c r="AHM23" s="36"/>
      <c r="AHN23" s="36"/>
      <c r="AHO23" s="36"/>
      <c r="AHP23" s="36"/>
      <c r="AHQ23" s="36"/>
      <c r="AHR23" s="36"/>
      <c r="AHS23" s="36"/>
      <c r="AHT23" s="36"/>
      <c r="AHU23" s="36"/>
      <c r="AHV23" s="36"/>
      <c r="AHW23" s="36"/>
      <c r="AHX23" s="36"/>
      <c r="AHY23" s="36"/>
      <c r="AHZ23" s="36"/>
      <c r="AIA23" s="36"/>
      <c r="AIB23" s="36"/>
      <c r="AIC23" s="36"/>
      <c r="AID23" s="36"/>
      <c r="AIE23" s="36"/>
      <c r="AIF23" s="36"/>
      <c r="AIG23" s="36"/>
      <c r="AIH23" s="36"/>
      <c r="AII23" s="36"/>
      <c r="AIJ23" s="36"/>
      <c r="AIK23" s="36"/>
      <c r="AIL23" s="36"/>
      <c r="AIM23" s="36"/>
      <c r="AIN23" s="36"/>
      <c r="AIO23" s="36"/>
      <c r="AIP23" s="36"/>
      <c r="AIQ23" s="36"/>
      <c r="AIR23" s="36"/>
      <c r="AIS23" s="36"/>
      <c r="AIT23" s="36"/>
      <c r="AIU23" s="36"/>
      <c r="AIV23" s="36"/>
      <c r="AIW23" s="36"/>
      <c r="AIX23" s="36"/>
      <c r="AIY23" s="36"/>
      <c r="AIZ23" s="36"/>
      <c r="AJA23" s="36"/>
      <c r="AJB23" s="36"/>
      <c r="AJC23" s="36"/>
      <c r="AJD23" s="36"/>
      <c r="AJE23" s="36"/>
      <c r="AJF23" s="36"/>
      <c r="AJG23" s="36"/>
      <c r="AJH23" s="36"/>
      <c r="AJI23" s="36"/>
      <c r="AJJ23" s="36"/>
      <c r="AJK23" s="36"/>
      <c r="AJL23" s="36"/>
      <c r="AJM23" s="36"/>
      <c r="AJN23" s="36"/>
      <c r="AJO23" s="36"/>
      <c r="AJP23" s="36"/>
      <c r="AJQ23" s="36"/>
      <c r="AJR23" s="36"/>
      <c r="AJS23" s="36"/>
      <c r="AJT23" s="36"/>
      <c r="AJU23" s="36"/>
      <c r="AJV23" s="36"/>
      <c r="AJW23" s="36"/>
      <c r="AJX23" s="36"/>
      <c r="AJY23" s="36"/>
      <c r="AJZ23" s="36"/>
      <c r="AKA23" s="36"/>
      <c r="AKB23" s="36"/>
      <c r="AKC23" s="36"/>
      <c r="AKD23" s="36"/>
      <c r="AKE23" s="36"/>
      <c r="AKF23" s="36"/>
      <c r="AKG23" s="36"/>
      <c r="AKH23" s="36"/>
      <c r="AKI23" s="36"/>
      <c r="AKJ23" s="36"/>
      <c r="AKK23" s="36"/>
      <c r="AKL23" s="36"/>
      <c r="AKM23" s="36"/>
      <c r="AKN23" s="36"/>
      <c r="AKO23" s="36"/>
      <c r="AKP23" s="36"/>
      <c r="AKQ23" s="36"/>
      <c r="AKR23" s="36"/>
      <c r="AKS23" s="36"/>
      <c r="AKT23" s="36"/>
      <c r="AKU23" s="36"/>
      <c r="AKV23" s="36"/>
      <c r="AKW23" s="36"/>
      <c r="AKX23" s="36"/>
      <c r="AKY23" s="36"/>
      <c r="AKZ23" s="36"/>
      <c r="ALA23" s="36"/>
      <c r="ALB23" s="36"/>
      <c r="ALC23" s="36"/>
      <c r="ALD23" s="36"/>
      <c r="ALE23" s="36"/>
      <c r="ALF23" s="36"/>
      <c r="ALG23" s="36"/>
      <c r="ALH23" s="36"/>
      <c r="ALI23" s="36"/>
      <c r="ALJ23" s="36"/>
      <c r="ALK23" s="36"/>
      <c r="ALL23" s="36"/>
      <c r="ALM23" s="36"/>
      <c r="ALN23" s="36"/>
      <c r="ALO23" s="36"/>
      <c r="ALP23" s="36"/>
      <c r="ALQ23" s="36"/>
      <c r="ALR23" s="36"/>
      <c r="ALS23" s="36"/>
      <c r="ALT23" s="36"/>
      <c r="ALU23" s="36"/>
      <c r="ALV23" s="36"/>
      <c r="ALW23" s="36"/>
      <c r="ALX23" s="36"/>
      <c r="ALY23" s="36"/>
      <c r="ALZ23" s="36"/>
      <c r="AMA23" s="36"/>
      <c r="AMB23" s="36"/>
      <c r="AMC23" s="36"/>
      <c r="AMD23" s="36"/>
      <c r="AME23"/>
      <c r="AMF23"/>
      <c r="AMG23"/>
      <c r="AMH23"/>
      <c r="AMI23"/>
      <c r="AMJ23"/>
    </row>
    <row r="24" spans="1:1024" ht="39.75" customHeight="1">
      <c r="A24" s="32" t="s">
        <v>28</v>
      </c>
      <c r="B24" s="33"/>
      <c r="C24" s="33"/>
      <c r="D24" s="33"/>
      <c r="E24" s="33"/>
      <c r="F24" s="33"/>
      <c r="G24" s="33"/>
      <c r="H24" s="33"/>
      <c r="I24" s="196">
        <v>2</v>
      </c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4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  <c r="IX24" s="36"/>
      <c r="IY24" s="36"/>
      <c r="IZ24" s="36"/>
      <c r="JA24" s="36"/>
      <c r="JB24" s="36"/>
      <c r="JC24" s="36"/>
      <c r="JD24" s="36"/>
      <c r="JE24" s="36"/>
      <c r="JF24" s="36"/>
      <c r="JG24" s="36"/>
      <c r="JH24" s="36"/>
      <c r="JI24" s="36"/>
      <c r="JJ24" s="36"/>
      <c r="JK24" s="36"/>
      <c r="JL24" s="36"/>
      <c r="JM24" s="36"/>
      <c r="JN24" s="36"/>
      <c r="JO24" s="36"/>
      <c r="JP24" s="36"/>
      <c r="JQ24" s="36"/>
      <c r="JR24" s="36"/>
      <c r="JS24" s="36"/>
      <c r="JT24" s="36"/>
      <c r="JU24" s="36"/>
      <c r="JV24" s="36"/>
      <c r="JW24" s="36"/>
      <c r="JX24" s="36"/>
      <c r="JY24" s="36"/>
      <c r="JZ24" s="36"/>
      <c r="KA24" s="36"/>
      <c r="KB24" s="36"/>
      <c r="KC24" s="36"/>
      <c r="KD24" s="36"/>
      <c r="KE24" s="36"/>
      <c r="KF24" s="36"/>
      <c r="KG24" s="36"/>
      <c r="KH24" s="36"/>
      <c r="KI24" s="36"/>
      <c r="KJ24" s="36"/>
      <c r="KK24" s="36"/>
      <c r="KL24" s="36"/>
      <c r="KM24" s="36"/>
      <c r="KN24" s="36"/>
      <c r="KO24" s="36"/>
      <c r="KP24" s="36"/>
      <c r="KQ24" s="36"/>
      <c r="KR24" s="36"/>
      <c r="KS24" s="36"/>
      <c r="KT24" s="36"/>
      <c r="KU24" s="36"/>
      <c r="KV24" s="36"/>
      <c r="KW24" s="36"/>
      <c r="KX24" s="36"/>
      <c r="KY24" s="36"/>
      <c r="KZ24" s="36"/>
      <c r="LA24" s="36"/>
      <c r="LB24" s="36"/>
      <c r="LC24" s="36"/>
      <c r="LD24" s="36"/>
      <c r="LE24" s="36"/>
      <c r="LF24" s="36"/>
      <c r="LG24" s="36"/>
      <c r="LH24" s="36"/>
      <c r="LI24" s="36"/>
      <c r="LJ24" s="36"/>
      <c r="LK24" s="36"/>
      <c r="LL24" s="36"/>
      <c r="LM24" s="36"/>
      <c r="LN24" s="36"/>
      <c r="LO24" s="36"/>
      <c r="LP24" s="36"/>
      <c r="LQ24" s="36"/>
      <c r="LR24" s="36"/>
      <c r="LS24" s="36"/>
      <c r="LT24" s="36"/>
      <c r="LU24" s="36"/>
      <c r="LV24" s="36"/>
      <c r="LW24" s="36"/>
      <c r="LX24" s="36"/>
      <c r="LY24" s="36"/>
      <c r="LZ24" s="36"/>
      <c r="MA24" s="36"/>
      <c r="MB24" s="36"/>
      <c r="MC24" s="36"/>
      <c r="MD24" s="36"/>
      <c r="ME24" s="36"/>
      <c r="MF24" s="36"/>
      <c r="MG24" s="36"/>
      <c r="MH24" s="36"/>
      <c r="MI24" s="36"/>
      <c r="MJ24" s="36"/>
      <c r="MK24" s="36"/>
      <c r="ML24" s="36"/>
      <c r="MM24" s="36"/>
      <c r="MN24" s="36"/>
      <c r="MO24" s="36"/>
      <c r="MP24" s="36"/>
      <c r="MQ24" s="36"/>
      <c r="MR24" s="36"/>
      <c r="MS24" s="36"/>
      <c r="MT24" s="36"/>
      <c r="MU24" s="36"/>
      <c r="MV24" s="36"/>
      <c r="MW24" s="36"/>
      <c r="MX24" s="36"/>
      <c r="MY24" s="36"/>
      <c r="MZ24" s="36"/>
      <c r="NA24" s="36"/>
      <c r="NB24" s="36"/>
      <c r="NC24" s="36"/>
      <c r="ND24" s="36"/>
      <c r="NE24" s="36"/>
      <c r="NF24" s="36"/>
      <c r="NG24" s="36"/>
      <c r="NH24" s="36"/>
      <c r="NI24" s="36"/>
      <c r="NJ24" s="36"/>
      <c r="NK24" s="36"/>
      <c r="NL24" s="36"/>
      <c r="NM24" s="36"/>
      <c r="NN24" s="36"/>
      <c r="NO24" s="36"/>
      <c r="NP24" s="36"/>
      <c r="NQ24" s="36"/>
      <c r="NR24" s="36"/>
      <c r="NS24" s="36"/>
      <c r="NT24" s="36"/>
      <c r="NU24" s="36"/>
      <c r="NV24" s="36"/>
      <c r="NW24" s="36"/>
      <c r="NX24" s="36"/>
      <c r="NY24" s="36"/>
      <c r="NZ24" s="36"/>
      <c r="OA24" s="36"/>
      <c r="OB24" s="36"/>
      <c r="OC24" s="36"/>
      <c r="OD24" s="36"/>
      <c r="OE24" s="36"/>
      <c r="OF24" s="36"/>
      <c r="OG24" s="36"/>
      <c r="OH24" s="36"/>
      <c r="OI24" s="36"/>
      <c r="OJ24" s="36"/>
      <c r="OK24" s="36"/>
      <c r="OL24" s="36"/>
      <c r="OM24" s="36"/>
      <c r="ON24" s="36"/>
      <c r="OO24" s="36"/>
      <c r="OP24" s="36"/>
      <c r="OQ24" s="36"/>
      <c r="OR24" s="36"/>
      <c r="OS24" s="36"/>
      <c r="OT24" s="36"/>
      <c r="OU24" s="36"/>
      <c r="OV24" s="36"/>
      <c r="OW24" s="36"/>
      <c r="OX24" s="36"/>
      <c r="OY24" s="36"/>
      <c r="OZ24" s="36"/>
      <c r="PA24" s="36"/>
      <c r="PB24" s="36"/>
      <c r="PC24" s="36"/>
      <c r="PD24" s="36"/>
      <c r="PE24" s="36"/>
      <c r="PF24" s="36"/>
      <c r="PG24" s="36"/>
      <c r="PH24" s="36"/>
      <c r="PI24" s="36"/>
      <c r="PJ24" s="36"/>
      <c r="PK24" s="36"/>
      <c r="PL24" s="36"/>
      <c r="PM24" s="36"/>
      <c r="PN24" s="36"/>
      <c r="PO24" s="36"/>
      <c r="PP24" s="36"/>
      <c r="PQ24" s="36"/>
      <c r="PR24" s="36"/>
      <c r="PS24" s="36"/>
      <c r="PT24" s="36"/>
      <c r="PU24" s="36"/>
      <c r="PV24" s="36"/>
      <c r="PW24" s="36"/>
      <c r="PX24" s="36"/>
      <c r="PY24" s="36"/>
      <c r="PZ24" s="36"/>
      <c r="QA24" s="36"/>
      <c r="QB24" s="36"/>
      <c r="QC24" s="36"/>
      <c r="QD24" s="36"/>
      <c r="QE24" s="36"/>
      <c r="QF24" s="36"/>
      <c r="QG24" s="36"/>
      <c r="QH24" s="36"/>
      <c r="QI24" s="36"/>
      <c r="QJ24" s="36"/>
      <c r="QK24" s="36"/>
      <c r="QL24" s="36"/>
      <c r="QM24" s="36"/>
      <c r="QN24" s="36"/>
      <c r="QO24" s="36"/>
      <c r="QP24" s="36"/>
      <c r="QQ24" s="36"/>
      <c r="QR24" s="36"/>
      <c r="QS24" s="36"/>
      <c r="QT24" s="36"/>
      <c r="QU24" s="36"/>
      <c r="QV24" s="36"/>
      <c r="QW24" s="36"/>
      <c r="QX24" s="36"/>
      <c r="QY24" s="36"/>
      <c r="QZ24" s="36"/>
      <c r="RA24" s="36"/>
      <c r="RB24" s="36"/>
      <c r="RC24" s="36"/>
      <c r="RD24" s="36"/>
      <c r="RE24" s="36"/>
      <c r="RF24" s="36"/>
      <c r="RG24" s="36"/>
      <c r="RH24" s="36"/>
      <c r="RI24" s="36"/>
      <c r="RJ24" s="36"/>
      <c r="RK24" s="36"/>
      <c r="RL24" s="36"/>
      <c r="RM24" s="36"/>
      <c r="RN24" s="36"/>
      <c r="RO24" s="36"/>
      <c r="RP24" s="36"/>
      <c r="RQ24" s="36"/>
      <c r="RR24" s="36"/>
      <c r="RS24" s="36"/>
      <c r="RT24" s="36"/>
      <c r="RU24" s="36"/>
      <c r="RV24" s="36"/>
      <c r="RW24" s="36"/>
      <c r="RX24" s="36"/>
      <c r="RY24" s="36"/>
      <c r="RZ24" s="36"/>
      <c r="SA24" s="36"/>
      <c r="SB24" s="36"/>
      <c r="SC24" s="36"/>
      <c r="SD24" s="36"/>
      <c r="SE24" s="36"/>
      <c r="SF24" s="36"/>
      <c r="SG24" s="36"/>
      <c r="SH24" s="36"/>
      <c r="SI24" s="36"/>
      <c r="SJ24" s="36"/>
      <c r="SK24" s="36"/>
      <c r="SL24" s="36"/>
      <c r="SM24" s="36"/>
      <c r="SN24" s="36"/>
      <c r="SO24" s="36"/>
      <c r="SP24" s="36"/>
      <c r="SQ24" s="36"/>
      <c r="SR24" s="36"/>
      <c r="SS24" s="36"/>
      <c r="ST24" s="36"/>
      <c r="SU24" s="36"/>
      <c r="SV24" s="36"/>
      <c r="SW24" s="36"/>
      <c r="SX24" s="36"/>
      <c r="SY24" s="36"/>
      <c r="SZ24" s="36"/>
      <c r="TA24" s="36"/>
      <c r="TB24" s="36"/>
      <c r="TC24" s="36"/>
      <c r="TD24" s="36"/>
      <c r="TE24" s="36"/>
      <c r="TF24" s="36"/>
      <c r="TG24" s="36"/>
      <c r="TH24" s="36"/>
      <c r="TI24" s="36"/>
      <c r="TJ24" s="36"/>
      <c r="TK24" s="36"/>
      <c r="TL24" s="36"/>
      <c r="TM24" s="36"/>
      <c r="TN24" s="36"/>
      <c r="TO24" s="36"/>
      <c r="TP24" s="36"/>
      <c r="TQ24" s="36"/>
      <c r="TR24" s="36"/>
      <c r="TS24" s="36"/>
      <c r="TT24" s="36"/>
      <c r="TU24" s="36"/>
      <c r="TV24" s="36"/>
      <c r="TW24" s="36"/>
      <c r="TX24" s="36"/>
      <c r="TY24" s="36"/>
      <c r="TZ24" s="36"/>
      <c r="UA24" s="36"/>
      <c r="UB24" s="36"/>
      <c r="UC24" s="36"/>
      <c r="UD24" s="36"/>
      <c r="UE24" s="36"/>
      <c r="UF24" s="36"/>
      <c r="UG24" s="36"/>
      <c r="UH24" s="36"/>
      <c r="UI24" s="36"/>
      <c r="UJ24" s="36"/>
      <c r="UK24" s="36"/>
      <c r="UL24" s="36"/>
      <c r="UM24" s="36"/>
      <c r="UN24" s="36"/>
      <c r="UO24" s="36"/>
      <c r="UP24" s="36"/>
      <c r="UQ24" s="36"/>
      <c r="UR24" s="36"/>
      <c r="US24" s="36"/>
      <c r="UT24" s="36"/>
      <c r="UU24" s="36"/>
      <c r="UV24" s="36"/>
      <c r="UW24" s="36"/>
      <c r="UX24" s="36"/>
      <c r="UY24" s="36"/>
      <c r="UZ24" s="36"/>
      <c r="VA24" s="36"/>
      <c r="VB24" s="36"/>
      <c r="VC24" s="36"/>
      <c r="VD24" s="36"/>
      <c r="VE24" s="36"/>
      <c r="VF24" s="36"/>
      <c r="VG24" s="36"/>
      <c r="VH24" s="36"/>
      <c r="VI24" s="36"/>
      <c r="VJ24" s="36"/>
      <c r="VK24" s="36"/>
      <c r="VL24" s="36"/>
      <c r="VM24" s="36"/>
      <c r="VN24" s="36"/>
      <c r="VO24" s="36"/>
      <c r="VP24" s="36"/>
      <c r="VQ24" s="36"/>
      <c r="VR24" s="36"/>
      <c r="VS24" s="36"/>
      <c r="VT24" s="36"/>
      <c r="VU24" s="36"/>
      <c r="VV24" s="36"/>
      <c r="VW24" s="36"/>
      <c r="VX24" s="36"/>
      <c r="VY24" s="36"/>
      <c r="VZ24" s="36"/>
      <c r="WA24" s="36"/>
      <c r="WB24" s="36"/>
      <c r="WC24" s="36"/>
      <c r="WD24" s="36"/>
      <c r="WE24" s="36"/>
      <c r="WF24" s="36"/>
      <c r="WG24" s="36"/>
      <c r="WH24" s="36"/>
      <c r="WI24" s="36"/>
      <c r="WJ24" s="36"/>
      <c r="WK24" s="36"/>
      <c r="WL24" s="36"/>
      <c r="WM24" s="36"/>
      <c r="WN24" s="36"/>
      <c r="WO24" s="36"/>
      <c r="WP24" s="36"/>
      <c r="WQ24" s="36"/>
      <c r="WR24" s="36"/>
      <c r="WS24" s="36"/>
      <c r="WT24" s="36"/>
      <c r="WU24" s="36"/>
      <c r="WV24" s="36"/>
      <c r="WW24" s="36"/>
      <c r="WX24" s="36"/>
      <c r="WY24" s="36"/>
      <c r="WZ24" s="36"/>
      <c r="XA24" s="36"/>
      <c r="XB24" s="36"/>
      <c r="XC24" s="36"/>
      <c r="XD24" s="36"/>
      <c r="XE24" s="36"/>
      <c r="XF24" s="36"/>
      <c r="XG24" s="36"/>
      <c r="XH24" s="36"/>
      <c r="XI24" s="36"/>
      <c r="XJ24" s="36"/>
      <c r="XK24" s="36"/>
      <c r="XL24" s="36"/>
      <c r="XM24" s="36"/>
      <c r="XN24" s="36"/>
      <c r="XO24" s="36"/>
      <c r="XP24" s="36"/>
      <c r="XQ24" s="36"/>
      <c r="XR24" s="36"/>
      <c r="XS24" s="36"/>
      <c r="XT24" s="36"/>
      <c r="XU24" s="36"/>
      <c r="XV24" s="36"/>
      <c r="XW24" s="36"/>
      <c r="XX24" s="36"/>
      <c r="XY24" s="36"/>
      <c r="XZ24" s="36"/>
      <c r="YA24" s="36"/>
      <c r="YB24" s="36"/>
      <c r="YC24" s="36"/>
      <c r="YD24" s="36"/>
      <c r="YE24" s="36"/>
      <c r="YF24" s="36"/>
      <c r="YG24" s="36"/>
      <c r="YH24" s="36"/>
      <c r="YI24" s="36"/>
      <c r="YJ24" s="36"/>
      <c r="YK24" s="36"/>
      <c r="YL24" s="36"/>
      <c r="YM24" s="36"/>
      <c r="YN24" s="36"/>
      <c r="YO24" s="36"/>
      <c r="YP24" s="36"/>
      <c r="YQ24" s="36"/>
      <c r="YR24" s="36"/>
      <c r="YS24" s="36"/>
      <c r="YT24" s="36"/>
      <c r="YU24" s="36"/>
      <c r="YV24" s="36"/>
      <c r="YW24" s="36"/>
      <c r="YX24" s="36"/>
      <c r="YY24" s="36"/>
      <c r="YZ24" s="36"/>
      <c r="ZA24" s="36"/>
      <c r="ZB24" s="36"/>
      <c r="ZC24" s="36"/>
      <c r="ZD24" s="36"/>
      <c r="ZE24" s="36"/>
      <c r="ZF24" s="36"/>
      <c r="ZG24" s="36"/>
      <c r="ZH24" s="36"/>
      <c r="ZI24" s="36"/>
      <c r="ZJ24" s="36"/>
      <c r="ZK24" s="36"/>
      <c r="ZL24" s="36"/>
      <c r="ZM24" s="36"/>
      <c r="ZN24" s="36"/>
      <c r="ZO24" s="36"/>
      <c r="ZP24" s="36"/>
      <c r="ZQ24" s="36"/>
      <c r="ZR24" s="36"/>
      <c r="ZS24" s="36"/>
      <c r="ZT24" s="36"/>
      <c r="ZU24" s="36"/>
      <c r="ZV24" s="36"/>
      <c r="ZW24" s="36"/>
      <c r="ZX24" s="36"/>
      <c r="ZY24" s="36"/>
      <c r="ZZ24" s="36"/>
      <c r="AAA24" s="36"/>
      <c r="AAB24" s="36"/>
      <c r="AAC24" s="36"/>
      <c r="AAD24" s="36"/>
      <c r="AAE24" s="36"/>
      <c r="AAF24" s="36"/>
      <c r="AAG24" s="36"/>
      <c r="AAH24" s="36"/>
      <c r="AAI24" s="36"/>
      <c r="AAJ24" s="36"/>
      <c r="AAK24" s="36"/>
      <c r="AAL24" s="36"/>
      <c r="AAM24" s="36"/>
      <c r="AAN24" s="36"/>
      <c r="AAO24" s="36"/>
      <c r="AAP24" s="36"/>
      <c r="AAQ24" s="36"/>
      <c r="AAR24" s="36"/>
      <c r="AAS24" s="36"/>
      <c r="AAT24" s="36"/>
      <c r="AAU24" s="36"/>
      <c r="AAV24" s="36"/>
      <c r="AAW24" s="36"/>
      <c r="AAX24" s="36"/>
      <c r="AAY24" s="36"/>
      <c r="AAZ24" s="36"/>
      <c r="ABA24" s="36"/>
      <c r="ABB24" s="36"/>
      <c r="ABC24" s="36"/>
      <c r="ABD24" s="36"/>
      <c r="ABE24" s="36"/>
      <c r="ABF24" s="36"/>
      <c r="ABG24" s="36"/>
      <c r="ABH24" s="36"/>
      <c r="ABI24" s="36"/>
      <c r="ABJ24" s="36"/>
      <c r="ABK24" s="36"/>
      <c r="ABL24" s="36"/>
      <c r="ABM24" s="36"/>
      <c r="ABN24" s="36"/>
      <c r="ABO24" s="36"/>
      <c r="ABP24" s="36"/>
      <c r="ABQ24" s="36"/>
      <c r="ABR24" s="36"/>
      <c r="ABS24" s="36"/>
      <c r="ABT24" s="36"/>
      <c r="ABU24" s="36"/>
      <c r="ABV24" s="36"/>
      <c r="ABW24" s="36"/>
      <c r="ABX24" s="36"/>
      <c r="ABY24" s="36"/>
      <c r="ABZ24" s="36"/>
      <c r="ACA24" s="36"/>
      <c r="ACB24" s="36"/>
      <c r="ACC24" s="36"/>
      <c r="ACD24" s="36"/>
      <c r="ACE24" s="36"/>
      <c r="ACF24" s="36"/>
      <c r="ACG24" s="36"/>
      <c r="ACH24" s="36"/>
      <c r="ACI24" s="36"/>
      <c r="ACJ24" s="36"/>
      <c r="ACK24" s="36"/>
      <c r="ACL24" s="36"/>
      <c r="ACM24" s="36"/>
      <c r="ACN24" s="36"/>
      <c r="ACO24" s="36"/>
      <c r="ACP24" s="36"/>
      <c r="ACQ24" s="36"/>
      <c r="ACR24" s="36"/>
      <c r="ACS24" s="36"/>
      <c r="ACT24" s="36"/>
      <c r="ACU24" s="36"/>
      <c r="ACV24" s="36"/>
      <c r="ACW24" s="36"/>
      <c r="ACX24" s="36"/>
      <c r="ACY24" s="36"/>
      <c r="ACZ24" s="36"/>
      <c r="ADA24" s="36"/>
      <c r="ADB24" s="36"/>
      <c r="ADC24" s="36"/>
      <c r="ADD24" s="36"/>
      <c r="ADE24" s="36"/>
      <c r="ADF24" s="36"/>
      <c r="ADG24" s="36"/>
      <c r="ADH24" s="36"/>
      <c r="ADI24" s="36"/>
      <c r="ADJ24" s="36"/>
      <c r="ADK24" s="36"/>
      <c r="ADL24" s="36"/>
      <c r="ADM24" s="36"/>
      <c r="ADN24" s="36"/>
      <c r="ADO24" s="36"/>
      <c r="ADP24" s="36"/>
      <c r="ADQ24" s="36"/>
      <c r="ADR24" s="36"/>
      <c r="ADS24" s="36"/>
      <c r="ADT24" s="36"/>
      <c r="ADU24" s="36"/>
      <c r="ADV24" s="36"/>
      <c r="ADW24" s="36"/>
      <c r="ADX24" s="36"/>
      <c r="ADY24" s="36"/>
      <c r="ADZ24" s="36"/>
      <c r="AEA24" s="36"/>
      <c r="AEB24" s="36"/>
      <c r="AEC24" s="36"/>
      <c r="AED24" s="36"/>
      <c r="AEE24" s="36"/>
      <c r="AEF24" s="36"/>
      <c r="AEG24" s="36"/>
      <c r="AEH24" s="36"/>
      <c r="AEI24" s="36"/>
      <c r="AEJ24" s="36"/>
      <c r="AEK24" s="36"/>
      <c r="AEL24" s="36"/>
      <c r="AEM24" s="36"/>
      <c r="AEN24" s="36"/>
      <c r="AEO24" s="36"/>
      <c r="AEP24" s="36"/>
      <c r="AEQ24" s="36"/>
      <c r="AER24" s="36"/>
      <c r="AES24" s="36"/>
      <c r="AET24" s="36"/>
      <c r="AEU24" s="36"/>
      <c r="AEV24" s="36"/>
      <c r="AEW24" s="36"/>
      <c r="AEX24" s="36"/>
      <c r="AEY24" s="36"/>
      <c r="AEZ24" s="36"/>
      <c r="AFA24" s="36"/>
      <c r="AFB24" s="36"/>
      <c r="AFC24" s="36"/>
      <c r="AFD24" s="36"/>
      <c r="AFE24" s="36"/>
      <c r="AFF24" s="36"/>
      <c r="AFG24" s="36"/>
      <c r="AFH24" s="36"/>
      <c r="AFI24" s="36"/>
      <c r="AFJ24" s="36"/>
      <c r="AFK24" s="36"/>
      <c r="AFL24" s="36"/>
      <c r="AFM24" s="36"/>
      <c r="AFN24" s="36"/>
      <c r="AFO24" s="36"/>
      <c r="AFP24" s="36"/>
      <c r="AFQ24" s="36"/>
      <c r="AFR24" s="36"/>
      <c r="AFS24" s="36"/>
      <c r="AFT24" s="36"/>
      <c r="AFU24" s="36"/>
      <c r="AFV24" s="36"/>
      <c r="AFW24" s="36"/>
      <c r="AFX24" s="36"/>
      <c r="AFY24" s="36"/>
      <c r="AFZ24" s="36"/>
      <c r="AGA24" s="36"/>
      <c r="AGB24" s="36"/>
      <c r="AGC24" s="36"/>
      <c r="AGD24" s="36"/>
      <c r="AGE24" s="36"/>
      <c r="AGF24" s="36"/>
      <c r="AGG24" s="36"/>
      <c r="AGH24" s="36"/>
      <c r="AGI24" s="36"/>
      <c r="AGJ24" s="36"/>
      <c r="AGK24" s="36"/>
      <c r="AGL24" s="36"/>
      <c r="AGM24" s="36"/>
      <c r="AGN24" s="36"/>
      <c r="AGO24" s="36"/>
      <c r="AGP24" s="36"/>
      <c r="AGQ24" s="36"/>
      <c r="AGR24" s="36"/>
      <c r="AGS24" s="36"/>
      <c r="AGT24" s="36"/>
      <c r="AGU24" s="36"/>
      <c r="AGV24" s="36"/>
      <c r="AGW24" s="36"/>
      <c r="AGX24" s="36"/>
      <c r="AGY24" s="36"/>
      <c r="AGZ24" s="36"/>
      <c r="AHA24" s="36"/>
      <c r="AHB24" s="36"/>
      <c r="AHC24" s="36"/>
      <c r="AHD24" s="36"/>
      <c r="AHE24" s="36"/>
      <c r="AHF24" s="36"/>
      <c r="AHG24" s="36"/>
      <c r="AHH24" s="36"/>
      <c r="AHI24" s="36"/>
      <c r="AHJ24" s="36"/>
      <c r="AHK24" s="36"/>
      <c r="AHL24" s="36"/>
      <c r="AHM24" s="36"/>
      <c r="AHN24" s="36"/>
      <c r="AHO24" s="36"/>
      <c r="AHP24" s="36"/>
      <c r="AHQ24" s="36"/>
      <c r="AHR24" s="36"/>
      <c r="AHS24" s="36"/>
      <c r="AHT24" s="36"/>
      <c r="AHU24" s="36"/>
      <c r="AHV24" s="36"/>
      <c r="AHW24" s="36"/>
      <c r="AHX24" s="36"/>
      <c r="AHY24" s="36"/>
      <c r="AHZ24" s="36"/>
      <c r="AIA24" s="36"/>
      <c r="AIB24" s="36"/>
      <c r="AIC24" s="36"/>
      <c r="AID24" s="36"/>
      <c r="AIE24" s="36"/>
      <c r="AIF24" s="36"/>
      <c r="AIG24" s="36"/>
      <c r="AIH24" s="36"/>
      <c r="AII24" s="36"/>
      <c r="AIJ24" s="36"/>
      <c r="AIK24" s="36"/>
      <c r="AIL24" s="36"/>
      <c r="AIM24" s="36"/>
      <c r="AIN24" s="36"/>
      <c r="AIO24" s="36"/>
      <c r="AIP24" s="36"/>
      <c r="AIQ24" s="36"/>
      <c r="AIR24" s="36"/>
      <c r="AIS24" s="36"/>
      <c r="AIT24" s="36"/>
      <c r="AIU24" s="36"/>
      <c r="AIV24" s="36"/>
      <c r="AIW24" s="36"/>
      <c r="AIX24" s="36"/>
      <c r="AIY24" s="36"/>
      <c r="AIZ24" s="36"/>
      <c r="AJA24" s="36"/>
      <c r="AJB24" s="36"/>
      <c r="AJC24" s="36"/>
      <c r="AJD24" s="36"/>
      <c r="AJE24" s="36"/>
      <c r="AJF24" s="36"/>
      <c r="AJG24" s="36"/>
      <c r="AJH24" s="36"/>
      <c r="AJI24" s="36"/>
      <c r="AJJ24" s="36"/>
      <c r="AJK24" s="36"/>
      <c r="AJL24" s="36"/>
      <c r="AJM24" s="36"/>
      <c r="AJN24" s="36"/>
      <c r="AJO24" s="36"/>
      <c r="AJP24" s="36"/>
      <c r="AJQ24" s="36"/>
      <c r="AJR24" s="36"/>
      <c r="AJS24" s="36"/>
      <c r="AJT24" s="36"/>
      <c r="AJU24" s="36"/>
      <c r="AJV24" s="36"/>
      <c r="AJW24" s="36"/>
      <c r="AJX24" s="36"/>
      <c r="AJY24" s="36"/>
      <c r="AJZ24" s="36"/>
      <c r="AKA24" s="36"/>
      <c r="AKB24" s="36"/>
      <c r="AKC24" s="36"/>
      <c r="AKD24" s="36"/>
      <c r="AKE24" s="36"/>
      <c r="AKF24" s="36"/>
      <c r="AKG24" s="36"/>
      <c r="AKH24" s="36"/>
      <c r="AKI24" s="36"/>
      <c r="AKJ24" s="36"/>
      <c r="AKK24" s="36"/>
      <c r="AKL24" s="36"/>
      <c r="AKM24" s="36"/>
      <c r="AKN24" s="36"/>
      <c r="AKO24" s="36"/>
      <c r="AKP24" s="36"/>
      <c r="AKQ24" s="36"/>
      <c r="AKR24" s="36"/>
      <c r="AKS24" s="36"/>
      <c r="AKT24" s="36"/>
      <c r="AKU24" s="36"/>
      <c r="AKV24" s="36"/>
      <c r="AKW24" s="36"/>
      <c r="AKX24" s="36"/>
      <c r="AKY24" s="36"/>
      <c r="AKZ24" s="36"/>
      <c r="ALA24" s="36"/>
      <c r="ALB24" s="36"/>
      <c r="ALC24" s="36"/>
      <c r="ALD24" s="36"/>
      <c r="ALE24" s="36"/>
      <c r="ALF24" s="36"/>
      <c r="ALG24" s="36"/>
      <c r="ALH24" s="36"/>
      <c r="ALI24" s="36"/>
      <c r="ALJ24" s="36"/>
      <c r="ALK24" s="36"/>
      <c r="ALL24" s="36"/>
      <c r="ALM24" s="36"/>
      <c r="ALN24" s="36"/>
      <c r="ALO24" s="36"/>
      <c r="ALP24" s="36"/>
      <c r="ALQ24" s="36"/>
      <c r="ALR24" s="36"/>
      <c r="ALS24" s="36"/>
      <c r="ALT24" s="36"/>
      <c r="ALU24" s="36"/>
      <c r="ALV24" s="36"/>
      <c r="ALW24" s="36"/>
      <c r="ALX24" s="36"/>
      <c r="ALY24" s="36"/>
      <c r="ALZ24" s="36"/>
      <c r="AMA24" s="36"/>
      <c r="AMB24" s="36"/>
      <c r="AMC24" s="36"/>
      <c r="AMD24" s="36"/>
      <c r="AME24"/>
      <c r="AMF24"/>
      <c r="AMG24"/>
      <c r="AMH24"/>
      <c r="AMI24"/>
      <c r="AMJ24"/>
    </row>
    <row r="25" spans="1:1024" s="36" customFormat="1" ht="39.75" customHeight="1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4"/>
    </row>
    <row r="26" spans="1:1024" ht="25.5" customHeight="1">
      <c r="A26" s="57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79"/>
      <c r="AB26" s="3"/>
      <c r="AC26" s="3"/>
      <c r="AD26" s="3"/>
      <c r="AE26" s="3"/>
      <c r="AF26" s="3"/>
      <c r="AG26" s="3"/>
      <c r="AH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9"/>
    </row>
    <row r="27" spans="1:1024" ht="25.5" customHeight="1">
      <c r="A27" s="5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79"/>
      <c r="AB27" s="3"/>
      <c r="AC27" s="3"/>
      <c r="AD27" s="3"/>
      <c r="AE27" s="3"/>
      <c r="AF27" s="3"/>
      <c r="AG27" s="3"/>
      <c r="AH27" s="3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9"/>
    </row>
    <row r="28" spans="1:1024" ht="32.25" customHeight="1">
      <c r="A28" s="14"/>
      <c r="B28" s="10"/>
      <c r="C28" s="264" t="str">
        <f>C8</f>
        <v>De Rte Gorges du Borne vers</v>
      </c>
      <c r="D28" s="264"/>
      <c r="E28" s="264"/>
      <c r="F28" s="264"/>
      <c r="G28" s="264"/>
      <c r="H28" s="264"/>
      <c r="I28" s="264"/>
      <c r="J28" s="264"/>
      <c r="K28" s="264" t="str">
        <f>K8</f>
        <v>De Avenue des Digues vers</v>
      </c>
      <c r="L28" s="264"/>
      <c r="M28" s="264"/>
      <c r="N28" s="264"/>
      <c r="O28" s="264"/>
      <c r="P28" s="264"/>
      <c r="Q28" s="264"/>
      <c r="R28" s="264"/>
      <c r="S28" s="264" t="str">
        <f>S8</f>
        <v>De Avenue de Monaz vers</v>
      </c>
      <c r="T28" s="264"/>
      <c r="U28" s="264"/>
      <c r="V28" s="264"/>
      <c r="W28" s="264"/>
      <c r="X28" s="264"/>
      <c r="Y28" s="264"/>
      <c r="Z28" s="264"/>
      <c r="AA28" s="14"/>
      <c r="AB28" s="10"/>
      <c r="AC28" s="268" t="s">
        <v>29</v>
      </c>
      <c r="AD28" s="267" t="s">
        <v>30</v>
      </c>
      <c r="AE28" s="262" t="s">
        <v>31</v>
      </c>
      <c r="AF28" s="262" t="s">
        <v>32</v>
      </c>
      <c r="AG28" s="263" t="s">
        <v>92</v>
      </c>
      <c r="AH28" s="254" t="s">
        <v>93</v>
      </c>
    </row>
    <row r="29" spans="1:1024" ht="22.7" customHeight="1">
      <c r="A29" s="14"/>
      <c r="B29" s="10"/>
      <c r="C29" s="259" t="str">
        <f>C9</f>
        <v>Av des Digues</v>
      </c>
      <c r="D29" s="259"/>
      <c r="E29" s="259"/>
      <c r="F29" s="259"/>
      <c r="G29" s="259" t="str">
        <f>G9</f>
        <v>Av de Monaz</v>
      </c>
      <c r="H29" s="259"/>
      <c r="I29" s="259"/>
      <c r="J29" s="259"/>
      <c r="K29" s="259" t="str">
        <f>K9</f>
        <v>Av de Monaz</v>
      </c>
      <c r="L29" s="259"/>
      <c r="M29" s="259"/>
      <c r="N29" s="259"/>
      <c r="O29" s="259" t="str">
        <f>O9</f>
        <v>Rte Gorges du Borne</v>
      </c>
      <c r="P29" s="259"/>
      <c r="Q29" s="259"/>
      <c r="R29" s="259"/>
      <c r="S29" s="259" t="str">
        <f>S9</f>
        <v>Rte Gorges du Borne</v>
      </c>
      <c r="T29" s="259"/>
      <c r="U29" s="259"/>
      <c r="V29" s="259"/>
      <c r="W29" s="259" t="str">
        <f>W9</f>
        <v>Av des Digues</v>
      </c>
      <c r="X29" s="259"/>
      <c r="Y29" s="259"/>
      <c r="Z29" s="259"/>
      <c r="AA29" s="14"/>
      <c r="AB29" s="10"/>
      <c r="AC29" s="268"/>
      <c r="AD29" s="267"/>
      <c r="AE29" s="262"/>
      <c r="AF29" s="262"/>
      <c r="AG29" s="263"/>
      <c r="AH29" s="254"/>
    </row>
    <row r="30" spans="1:1024" ht="18.600000000000001" customHeight="1">
      <c r="A30" s="14"/>
      <c r="B30" s="10"/>
      <c r="C30" s="258" t="s">
        <v>14</v>
      </c>
      <c r="D30" s="258"/>
      <c r="E30" s="258" t="s">
        <v>15</v>
      </c>
      <c r="F30" s="258"/>
      <c r="G30" s="258" t="s">
        <v>14</v>
      </c>
      <c r="H30" s="258"/>
      <c r="I30" s="258" t="s">
        <v>15</v>
      </c>
      <c r="J30" s="258"/>
      <c r="K30" s="258" t="s">
        <v>14</v>
      </c>
      <c r="L30" s="258"/>
      <c r="M30" s="258" t="s">
        <v>15</v>
      </c>
      <c r="N30" s="258"/>
      <c r="O30" s="258" t="s">
        <v>14</v>
      </c>
      <c r="P30" s="258"/>
      <c r="Q30" s="258" t="s">
        <v>15</v>
      </c>
      <c r="R30" s="258"/>
      <c r="S30" s="258" t="s">
        <v>14</v>
      </c>
      <c r="T30" s="258"/>
      <c r="U30" s="258" t="s">
        <v>15</v>
      </c>
      <c r="V30" s="258"/>
      <c r="W30" s="258" t="s">
        <v>14</v>
      </c>
      <c r="X30" s="258"/>
      <c r="Y30" s="258" t="s">
        <v>15</v>
      </c>
      <c r="Z30" s="258"/>
      <c r="AA30" s="58"/>
      <c r="AB30" s="10"/>
      <c r="AC30" s="268"/>
      <c r="AD30" s="267"/>
      <c r="AE30" s="262"/>
      <c r="AF30" s="262"/>
      <c r="AG30" s="263"/>
      <c r="AH30" s="254"/>
    </row>
    <row r="31" spans="1:1024" ht="20.25">
      <c r="A31" s="257" t="s">
        <v>34</v>
      </c>
      <c r="B31" s="257"/>
      <c r="C31" s="22" t="s">
        <v>18</v>
      </c>
      <c r="D31" s="22" t="s">
        <v>19</v>
      </c>
      <c r="E31" s="22" t="s">
        <v>18</v>
      </c>
      <c r="F31" s="22" t="s">
        <v>19</v>
      </c>
      <c r="G31" s="22" t="s">
        <v>18</v>
      </c>
      <c r="H31" s="22" t="s">
        <v>19</v>
      </c>
      <c r="I31" s="22" t="s">
        <v>18</v>
      </c>
      <c r="J31" s="22" t="s">
        <v>19</v>
      </c>
      <c r="K31" s="22" t="s">
        <v>18</v>
      </c>
      <c r="L31" s="22" t="s">
        <v>19</v>
      </c>
      <c r="M31" s="22" t="s">
        <v>18</v>
      </c>
      <c r="N31" s="22" t="s">
        <v>19</v>
      </c>
      <c r="O31" s="22" t="s">
        <v>18</v>
      </c>
      <c r="P31" s="22" t="s">
        <v>19</v>
      </c>
      <c r="Q31" s="22" t="s">
        <v>18</v>
      </c>
      <c r="R31" s="22" t="s">
        <v>19</v>
      </c>
      <c r="S31" s="22" t="s">
        <v>18</v>
      </c>
      <c r="T31" s="22" t="s">
        <v>19</v>
      </c>
      <c r="U31" s="22" t="s">
        <v>18</v>
      </c>
      <c r="V31" s="22" t="s">
        <v>19</v>
      </c>
      <c r="W31" s="22" t="s">
        <v>18</v>
      </c>
      <c r="X31" s="22" t="s">
        <v>19</v>
      </c>
      <c r="Y31" s="22" t="s">
        <v>18</v>
      </c>
      <c r="Z31" s="22" t="s">
        <v>19</v>
      </c>
      <c r="AA31" s="257" t="s">
        <v>34</v>
      </c>
      <c r="AB31" s="257"/>
      <c r="AC31" s="268"/>
      <c r="AD31" s="267"/>
      <c r="AE31" s="262"/>
      <c r="AF31" s="262"/>
      <c r="AG31" s="263"/>
      <c r="AH31" s="254"/>
    </row>
    <row r="32" spans="1:1024" ht="54.95" customHeight="1">
      <c r="A32" s="257" t="s">
        <v>35</v>
      </c>
      <c r="B32" s="257"/>
      <c r="C32" s="26">
        <f>C12+C13</f>
        <v>0</v>
      </c>
      <c r="D32" s="26">
        <f t="shared" ref="D32:Z32" si="0">D12+D13</f>
        <v>0</v>
      </c>
      <c r="E32" s="26">
        <f t="shared" si="0"/>
        <v>0</v>
      </c>
      <c r="F32" s="26">
        <f t="shared" si="0"/>
        <v>0</v>
      </c>
      <c r="G32" s="26">
        <f t="shared" si="0"/>
        <v>0</v>
      </c>
      <c r="H32" s="26">
        <f t="shared" si="0"/>
        <v>0</v>
      </c>
      <c r="I32" s="26">
        <f t="shared" si="0"/>
        <v>0</v>
      </c>
      <c r="J32" s="26">
        <f t="shared" si="0"/>
        <v>0</v>
      </c>
      <c r="K32" s="26">
        <f t="shared" si="0"/>
        <v>0</v>
      </c>
      <c r="L32" s="26">
        <f t="shared" si="0"/>
        <v>0</v>
      </c>
      <c r="M32" s="26">
        <f t="shared" si="0"/>
        <v>0</v>
      </c>
      <c r="N32" s="26">
        <f t="shared" si="0"/>
        <v>0</v>
      </c>
      <c r="O32" s="26">
        <f t="shared" si="0"/>
        <v>0</v>
      </c>
      <c r="P32" s="26">
        <f t="shared" si="0"/>
        <v>0</v>
      </c>
      <c r="Q32" s="26">
        <f t="shared" si="0"/>
        <v>0</v>
      </c>
      <c r="R32" s="26">
        <f t="shared" si="0"/>
        <v>0</v>
      </c>
      <c r="S32" s="26">
        <f t="shared" si="0"/>
        <v>0</v>
      </c>
      <c r="T32" s="26">
        <f t="shared" si="0"/>
        <v>0</v>
      </c>
      <c r="U32" s="26">
        <f t="shared" si="0"/>
        <v>0</v>
      </c>
      <c r="V32" s="26">
        <f t="shared" si="0"/>
        <v>0</v>
      </c>
      <c r="W32" s="26">
        <f t="shared" si="0"/>
        <v>0</v>
      </c>
      <c r="X32" s="26">
        <f t="shared" si="0"/>
        <v>1</v>
      </c>
      <c r="Y32" s="26">
        <f t="shared" si="0"/>
        <v>0</v>
      </c>
      <c r="Z32" s="26">
        <f t="shared" si="0"/>
        <v>0</v>
      </c>
      <c r="AA32" s="257" t="str">
        <f>A32</f>
        <v>6:30 à 7:00</v>
      </c>
      <c r="AB32" s="257"/>
      <c r="AC32" s="63">
        <f t="shared" ref="AC32:AC37" si="1">SUM(C32:Z32)</f>
        <v>1</v>
      </c>
      <c r="AD32" s="41">
        <f>C32+E32+G32+I32+K32+M32+O32+Q32+S32+U32+W32+Y32</f>
        <v>0</v>
      </c>
      <c r="AE32" s="41">
        <f>E32+F32+I32+J32+M32+N32+Q32+R32+U32+V32+Y32+Z32</f>
        <v>0</v>
      </c>
      <c r="AF32" s="41">
        <f>E32+I32+M32+Q32+U32+Y32</f>
        <v>0</v>
      </c>
      <c r="AG32" s="41">
        <f>SUM(G32:N32)+SUM(S32:Z32)</f>
        <v>1</v>
      </c>
      <c r="AH32" s="41">
        <f>SUM(C32:F32)+SUM(W32:Z32)+SUM(K32:R32)</f>
        <v>1</v>
      </c>
    </row>
    <row r="33" spans="1:38" ht="54.95" customHeight="1">
      <c r="A33" s="257" t="s">
        <v>36</v>
      </c>
      <c r="B33" s="257"/>
      <c r="C33" s="26">
        <f>C14+C15</f>
        <v>0</v>
      </c>
      <c r="D33" s="26">
        <f t="shared" ref="D33:Z33" si="2">D14+D15</f>
        <v>0</v>
      </c>
      <c r="E33" s="26">
        <f t="shared" si="2"/>
        <v>0</v>
      </c>
      <c r="F33" s="26">
        <f t="shared" si="2"/>
        <v>0</v>
      </c>
      <c r="G33" s="26">
        <f t="shared" si="2"/>
        <v>1</v>
      </c>
      <c r="H33" s="26">
        <f t="shared" si="2"/>
        <v>2</v>
      </c>
      <c r="I33" s="26">
        <f t="shared" si="2"/>
        <v>0</v>
      </c>
      <c r="J33" s="26">
        <f t="shared" si="2"/>
        <v>0</v>
      </c>
      <c r="K33" s="26">
        <f t="shared" si="2"/>
        <v>0</v>
      </c>
      <c r="L33" s="26">
        <f t="shared" si="2"/>
        <v>0</v>
      </c>
      <c r="M33" s="26">
        <f t="shared" si="2"/>
        <v>0</v>
      </c>
      <c r="N33" s="26">
        <f t="shared" si="2"/>
        <v>0</v>
      </c>
      <c r="O33" s="26">
        <f t="shared" si="2"/>
        <v>0</v>
      </c>
      <c r="P33" s="26">
        <f t="shared" si="2"/>
        <v>0</v>
      </c>
      <c r="Q33" s="26">
        <f t="shared" si="2"/>
        <v>0</v>
      </c>
      <c r="R33" s="26">
        <f t="shared" si="2"/>
        <v>0</v>
      </c>
      <c r="S33" s="26">
        <f t="shared" si="2"/>
        <v>0</v>
      </c>
      <c r="T33" s="26">
        <f t="shared" si="2"/>
        <v>2</v>
      </c>
      <c r="U33" s="26">
        <f t="shared" si="2"/>
        <v>0</v>
      </c>
      <c r="V33" s="26">
        <f t="shared" si="2"/>
        <v>0</v>
      </c>
      <c r="W33" s="26">
        <f t="shared" si="2"/>
        <v>0</v>
      </c>
      <c r="X33" s="26">
        <f t="shared" si="2"/>
        <v>1</v>
      </c>
      <c r="Y33" s="26">
        <f t="shared" si="2"/>
        <v>0</v>
      </c>
      <c r="Z33" s="26">
        <f t="shared" si="2"/>
        <v>0</v>
      </c>
      <c r="AA33" s="257" t="str">
        <f>A33</f>
        <v>7:00 à 7:30</v>
      </c>
      <c r="AB33" s="257"/>
      <c r="AC33" s="63">
        <f t="shared" si="1"/>
        <v>6</v>
      </c>
      <c r="AD33" s="41">
        <f>C33+E33+G33+I33+K33+M33+O33+Q33+S33+U33+W33+Y33</f>
        <v>1</v>
      </c>
      <c r="AE33" s="41">
        <f>E33+F33+I33+J33+M33+N33+Q33+R33+U33+V33+Y33+Z33</f>
        <v>0</v>
      </c>
      <c r="AF33" s="41">
        <f>E33+I33+M33+Q33+U33+Y33</f>
        <v>0</v>
      </c>
      <c r="AG33" s="41">
        <f>SUM(G33:N33)+SUM(S33:Z33)</f>
        <v>6</v>
      </c>
      <c r="AH33" s="41">
        <f>SUM(C33:F33)+SUM(W33:Z33)+SUM(K33:R33)</f>
        <v>1</v>
      </c>
    </row>
    <row r="34" spans="1:38" ht="54.95" customHeight="1">
      <c r="A34" s="257" t="s">
        <v>37</v>
      </c>
      <c r="B34" s="257"/>
      <c r="C34" s="26">
        <f>C16+C17</f>
        <v>1</v>
      </c>
      <c r="D34" s="26">
        <f t="shared" ref="D34:Z34" si="3">D16+D17</f>
        <v>0</v>
      </c>
      <c r="E34" s="26">
        <f t="shared" si="3"/>
        <v>2</v>
      </c>
      <c r="F34" s="26">
        <f t="shared" si="3"/>
        <v>0</v>
      </c>
      <c r="G34" s="26">
        <f t="shared" si="3"/>
        <v>0</v>
      </c>
      <c r="H34" s="26">
        <f t="shared" si="3"/>
        <v>0</v>
      </c>
      <c r="I34" s="26">
        <f t="shared" si="3"/>
        <v>0</v>
      </c>
      <c r="J34" s="26">
        <f t="shared" si="3"/>
        <v>1</v>
      </c>
      <c r="K34" s="26">
        <f t="shared" si="3"/>
        <v>0</v>
      </c>
      <c r="L34" s="26">
        <f t="shared" si="3"/>
        <v>0</v>
      </c>
      <c r="M34" s="26">
        <f t="shared" si="3"/>
        <v>0</v>
      </c>
      <c r="N34" s="26">
        <f t="shared" si="3"/>
        <v>0</v>
      </c>
      <c r="O34" s="26">
        <f t="shared" si="3"/>
        <v>0</v>
      </c>
      <c r="P34" s="26">
        <f t="shared" si="3"/>
        <v>0</v>
      </c>
      <c r="Q34" s="26">
        <f t="shared" si="3"/>
        <v>0</v>
      </c>
      <c r="R34" s="26">
        <f t="shared" si="3"/>
        <v>0</v>
      </c>
      <c r="S34" s="26">
        <f t="shared" si="3"/>
        <v>0</v>
      </c>
      <c r="T34" s="26">
        <f t="shared" si="3"/>
        <v>1</v>
      </c>
      <c r="U34" s="26">
        <f t="shared" si="3"/>
        <v>0</v>
      </c>
      <c r="V34" s="26">
        <f t="shared" si="3"/>
        <v>0</v>
      </c>
      <c r="W34" s="26">
        <f t="shared" si="3"/>
        <v>0</v>
      </c>
      <c r="X34" s="26">
        <f t="shared" si="3"/>
        <v>0</v>
      </c>
      <c r="Y34" s="26">
        <f t="shared" si="3"/>
        <v>0</v>
      </c>
      <c r="Z34" s="26">
        <f t="shared" si="3"/>
        <v>0</v>
      </c>
      <c r="AA34" s="257" t="str">
        <f>A34</f>
        <v>7:30 à 8:00</v>
      </c>
      <c r="AB34" s="257"/>
      <c r="AC34" s="63">
        <f t="shared" si="1"/>
        <v>5</v>
      </c>
      <c r="AD34" s="41">
        <f>C34+E34+G34+I34+K34+M34+O34+Q34+S34+U34+W34+Y34</f>
        <v>3</v>
      </c>
      <c r="AE34" s="41">
        <f>E34+F34+I34+J34+M34+N34+Q34+R34+U34+V34+Y34+Z34</f>
        <v>3</v>
      </c>
      <c r="AF34" s="41">
        <f>E34+I34+M34+Q34+U34+Y34</f>
        <v>2</v>
      </c>
      <c r="AG34" s="41">
        <f>SUM(G34:N34)+SUM(S34:Z34)</f>
        <v>2</v>
      </c>
      <c r="AH34" s="41">
        <f>SUM(C34:F34)+SUM(W34:Z34)+SUM(K34:R34)</f>
        <v>3</v>
      </c>
    </row>
    <row r="35" spans="1:38" ht="54.95" customHeight="1">
      <c r="A35" s="257" t="s">
        <v>38</v>
      </c>
      <c r="B35" s="257"/>
      <c r="C35" s="26">
        <f>C18+C19</f>
        <v>0</v>
      </c>
      <c r="D35" s="26">
        <f t="shared" ref="D35:Z35" si="4">D18+D19</f>
        <v>1</v>
      </c>
      <c r="E35" s="26">
        <f t="shared" si="4"/>
        <v>0</v>
      </c>
      <c r="F35" s="26">
        <f t="shared" si="4"/>
        <v>0</v>
      </c>
      <c r="G35" s="26">
        <f t="shared" si="4"/>
        <v>0</v>
      </c>
      <c r="H35" s="26">
        <f t="shared" si="4"/>
        <v>1</v>
      </c>
      <c r="I35" s="26">
        <f t="shared" si="4"/>
        <v>0</v>
      </c>
      <c r="J35" s="26">
        <f t="shared" si="4"/>
        <v>0</v>
      </c>
      <c r="K35" s="26">
        <f t="shared" si="4"/>
        <v>0</v>
      </c>
      <c r="L35" s="26">
        <f t="shared" si="4"/>
        <v>0</v>
      </c>
      <c r="M35" s="26">
        <f t="shared" si="4"/>
        <v>0</v>
      </c>
      <c r="N35" s="26">
        <f t="shared" si="4"/>
        <v>0</v>
      </c>
      <c r="O35" s="26">
        <f t="shared" si="4"/>
        <v>0</v>
      </c>
      <c r="P35" s="26">
        <f t="shared" si="4"/>
        <v>0</v>
      </c>
      <c r="Q35" s="26">
        <f t="shared" si="4"/>
        <v>0</v>
      </c>
      <c r="R35" s="26">
        <f t="shared" si="4"/>
        <v>0</v>
      </c>
      <c r="S35" s="26">
        <f t="shared" si="4"/>
        <v>0</v>
      </c>
      <c r="T35" s="26">
        <f t="shared" si="4"/>
        <v>1</v>
      </c>
      <c r="U35" s="26">
        <f t="shared" si="4"/>
        <v>0</v>
      </c>
      <c r="V35" s="26">
        <f t="shared" si="4"/>
        <v>0</v>
      </c>
      <c r="W35" s="26">
        <f t="shared" si="4"/>
        <v>0</v>
      </c>
      <c r="X35" s="26">
        <f t="shared" si="4"/>
        <v>0</v>
      </c>
      <c r="Y35" s="26">
        <f t="shared" si="4"/>
        <v>0</v>
      </c>
      <c r="Z35" s="26">
        <f t="shared" si="4"/>
        <v>0</v>
      </c>
      <c r="AA35" s="257" t="str">
        <f>A35</f>
        <v>8:00 à 8:30</v>
      </c>
      <c r="AB35" s="257"/>
      <c r="AC35" s="63">
        <f t="shared" si="1"/>
        <v>3</v>
      </c>
      <c r="AD35" s="41">
        <f>C35+E35+G35+I35+K35+M35+O35+Q35+S35+U35+W35+Y35</f>
        <v>0</v>
      </c>
      <c r="AE35" s="41">
        <f>E35+F35+I35+J35+M35+N35+Q35+R35+U35+V35+Y35+Z35</f>
        <v>0</v>
      </c>
      <c r="AF35" s="41">
        <f>E35+I35+M35+Q35+U35+Y35</f>
        <v>0</v>
      </c>
      <c r="AG35" s="41">
        <f>SUM(G35:N35)+SUM(S35:Z35)</f>
        <v>2</v>
      </c>
      <c r="AH35" s="41">
        <f>SUM(C35:F35)+SUM(W35:Z35)+SUM(K35:R35)</f>
        <v>1</v>
      </c>
    </row>
    <row r="36" spans="1:38" ht="54.95" customHeight="1">
      <c r="A36" s="257" t="s">
        <v>39</v>
      </c>
      <c r="B36" s="257"/>
      <c r="C36" s="26">
        <f>C20+C21</f>
        <v>1</v>
      </c>
      <c r="D36" s="26">
        <f t="shared" ref="D36:Z36" si="5">D20+D21</f>
        <v>0</v>
      </c>
      <c r="E36" s="26">
        <f t="shared" si="5"/>
        <v>0</v>
      </c>
      <c r="F36" s="26">
        <f t="shared" si="5"/>
        <v>0</v>
      </c>
      <c r="G36" s="26">
        <f t="shared" si="5"/>
        <v>0</v>
      </c>
      <c r="H36" s="26">
        <f t="shared" si="5"/>
        <v>2</v>
      </c>
      <c r="I36" s="26">
        <f t="shared" si="5"/>
        <v>0</v>
      </c>
      <c r="J36" s="26">
        <f t="shared" si="5"/>
        <v>0</v>
      </c>
      <c r="K36" s="26">
        <f t="shared" si="5"/>
        <v>0</v>
      </c>
      <c r="L36" s="26">
        <f t="shared" si="5"/>
        <v>0</v>
      </c>
      <c r="M36" s="26">
        <f t="shared" si="5"/>
        <v>0</v>
      </c>
      <c r="N36" s="26">
        <f t="shared" si="5"/>
        <v>0</v>
      </c>
      <c r="O36" s="26">
        <f t="shared" si="5"/>
        <v>0</v>
      </c>
      <c r="P36" s="26">
        <f t="shared" si="5"/>
        <v>0</v>
      </c>
      <c r="Q36" s="26">
        <f t="shared" si="5"/>
        <v>0</v>
      </c>
      <c r="R36" s="26">
        <f t="shared" si="5"/>
        <v>0</v>
      </c>
      <c r="S36" s="26">
        <f t="shared" si="5"/>
        <v>0</v>
      </c>
      <c r="T36" s="26">
        <f t="shared" si="5"/>
        <v>1</v>
      </c>
      <c r="U36" s="26">
        <f t="shared" si="5"/>
        <v>0</v>
      </c>
      <c r="V36" s="26">
        <f t="shared" si="5"/>
        <v>1</v>
      </c>
      <c r="W36" s="26">
        <f t="shared" si="5"/>
        <v>0</v>
      </c>
      <c r="X36" s="26">
        <f t="shared" si="5"/>
        <v>0</v>
      </c>
      <c r="Y36" s="26">
        <f t="shared" si="5"/>
        <v>0</v>
      </c>
      <c r="Z36" s="26">
        <f t="shared" si="5"/>
        <v>0</v>
      </c>
      <c r="AA36" s="257" t="str">
        <f>A36</f>
        <v>8:30 à 9:00</v>
      </c>
      <c r="AB36" s="257"/>
      <c r="AC36" s="63">
        <f t="shared" si="1"/>
        <v>5</v>
      </c>
      <c r="AD36" s="41">
        <f>C36+E36+G36+I36+K36+M36+O36+Q36+S36+U36+W36+Y36</f>
        <v>1</v>
      </c>
      <c r="AE36" s="41">
        <f>E36+F36+I36+J36+M36+N36+Q36+R36+U36+V36+Y36+Z36</f>
        <v>1</v>
      </c>
      <c r="AF36" s="41">
        <f>E36+I36+M36+Q36+U36+Y36</f>
        <v>0</v>
      </c>
      <c r="AG36" s="41">
        <f>SUM(G36:N36)+SUM(S36:Z36)</f>
        <v>4</v>
      </c>
      <c r="AH36" s="41">
        <f>SUM(C36:F36)+SUM(W36:Z36)+SUM(K36:R36)</f>
        <v>1</v>
      </c>
    </row>
    <row r="37" spans="1:38" ht="54.95" customHeight="1">
      <c r="A37" s="257" t="s">
        <v>29</v>
      </c>
      <c r="B37" s="257"/>
      <c r="C37" s="30">
        <f t="shared" ref="C37:Z37" si="6">SUM(C12:C21)</f>
        <v>2</v>
      </c>
      <c r="D37" s="30">
        <f t="shared" si="6"/>
        <v>1</v>
      </c>
      <c r="E37" s="30">
        <f t="shared" si="6"/>
        <v>2</v>
      </c>
      <c r="F37" s="30">
        <f t="shared" si="6"/>
        <v>0</v>
      </c>
      <c r="G37" s="30">
        <f t="shared" si="6"/>
        <v>1</v>
      </c>
      <c r="H37" s="30">
        <f t="shared" si="6"/>
        <v>5</v>
      </c>
      <c r="I37" s="30">
        <f t="shared" si="6"/>
        <v>0</v>
      </c>
      <c r="J37" s="30">
        <f t="shared" si="6"/>
        <v>1</v>
      </c>
      <c r="K37" s="30">
        <f t="shared" si="6"/>
        <v>0</v>
      </c>
      <c r="L37" s="30">
        <f t="shared" si="6"/>
        <v>0</v>
      </c>
      <c r="M37" s="30">
        <f t="shared" si="6"/>
        <v>0</v>
      </c>
      <c r="N37" s="30">
        <f t="shared" si="6"/>
        <v>0</v>
      </c>
      <c r="O37" s="30">
        <f t="shared" si="6"/>
        <v>0</v>
      </c>
      <c r="P37" s="30">
        <f t="shared" si="6"/>
        <v>0</v>
      </c>
      <c r="Q37" s="30">
        <f t="shared" si="6"/>
        <v>0</v>
      </c>
      <c r="R37" s="30">
        <f t="shared" si="6"/>
        <v>0</v>
      </c>
      <c r="S37" s="30">
        <f t="shared" si="6"/>
        <v>0</v>
      </c>
      <c r="T37" s="30">
        <f t="shared" si="6"/>
        <v>5</v>
      </c>
      <c r="U37" s="30">
        <f t="shared" si="6"/>
        <v>0</v>
      </c>
      <c r="V37" s="30">
        <f t="shared" si="6"/>
        <v>1</v>
      </c>
      <c r="W37" s="30">
        <f t="shared" si="6"/>
        <v>0</v>
      </c>
      <c r="X37" s="30">
        <f t="shared" si="6"/>
        <v>2</v>
      </c>
      <c r="Y37" s="30">
        <f t="shared" si="6"/>
        <v>0</v>
      </c>
      <c r="Z37" s="30">
        <f t="shared" si="6"/>
        <v>0</v>
      </c>
      <c r="AA37" s="270" t="s">
        <v>29</v>
      </c>
      <c r="AB37" s="270"/>
      <c r="AC37" s="62">
        <f t="shared" si="1"/>
        <v>20</v>
      </c>
      <c r="AD37" s="43">
        <f>AD32+AD33+AD34+AD35+AD36</f>
        <v>5</v>
      </c>
      <c r="AE37" s="43">
        <f>AE32+AE34+AE36</f>
        <v>4</v>
      </c>
      <c r="AF37" s="43">
        <f>AF32+AF34+AF36</f>
        <v>2</v>
      </c>
      <c r="AG37" s="43">
        <f>AG32+AG34+AG36</f>
        <v>7</v>
      </c>
      <c r="AH37" s="43">
        <f>AH32+AH34+AH36</f>
        <v>5</v>
      </c>
    </row>
    <row r="38" spans="1:38" ht="44.25" customHeight="1">
      <c r="A38" s="44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4"/>
      <c r="T38" s="45"/>
      <c r="U38" s="45"/>
      <c r="V38" s="45"/>
      <c r="W38" s="45"/>
      <c r="X38" s="45"/>
      <c r="Y38" s="45"/>
      <c r="Z38" s="45"/>
      <c r="AA38" s="257" t="s">
        <v>36</v>
      </c>
      <c r="AB38" s="257"/>
      <c r="AC38" s="39">
        <f t="shared" ref="AC38:AH38" si="7">IF($AC$36=MAX($AC$32:$AC$36),AC36,IF($AC$35=MAX($AC$32:$AC$36),AC35,IF($AC$34=MAX($AC$32:$AC$36),AC34,IF($AC$33=MAX($AC$32:$AC$36),AC33,IF($AC$32=MAX($AC$32:$AC$36),AC32)))))</f>
        <v>6</v>
      </c>
      <c r="AD38" s="80">
        <f t="shared" si="7"/>
        <v>1</v>
      </c>
      <c r="AE38" s="80">
        <f t="shared" si="7"/>
        <v>0</v>
      </c>
      <c r="AF38" s="80">
        <f t="shared" si="7"/>
        <v>0</v>
      </c>
      <c r="AG38" s="80">
        <f t="shared" si="7"/>
        <v>6</v>
      </c>
      <c r="AH38" s="80">
        <f t="shared" si="7"/>
        <v>1</v>
      </c>
    </row>
    <row r="39" spans="1:38" ht="21" customHeight="1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6"/>
      <c r="T39" s="47"/>
      <c r="U39" s="47"/>
      <c r="V39" s="47"/>
      <c r="W39" s="47"/>
      <c r="X39" s="47"/>
      <c r="Y39" s="47"/>
      <c r="Z39" s="47"/>
      <c r="AA39" s="14"/>
      <c r="AB39" s="10"/>
      <c r="AC39" s="268" t="s">
        <v>29</v>
      </c>
      <c r="AD39" s="254" t="s">
        <v>40</v>
      </c>
      <c r="AE39" s="254" t="s">
        <v>41</v>
      </c>
      <c r="AF39" s="254" t="s">
        <v>42</v>
      </c>
      <c r="AG39" s="254" t="str">
        <f>AG28</f>
        <v>Cycles sur rte de Dessy</v>
      </c>
      <c r="AH39" s="254" t="str">
        <f>AH28</f>
        <v>Cycles sur rte des Digues</v>
      </c>
    </row>
    <row r="40" spans="1:38" ht="20.25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14"/>
      <c r="AB40" s="10"/>
      <c r="AC40" s="268"/>
      <c r="AD40" s="254"/>
      <c r="AE40" s="254"/>
      <c r="AF40" s="254"/>
      <c r="AG40" s="254"/>
      <c r="AH40" s="254"/>
      <c r="AI40" s="47"/>
      <c r="AJ40" s="47"/>
      <c r="AK40" s="47"/>
      <c r="AL40" s="47"/>
    </row>
    <row r="41" spans="1:38" ht="20.25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58"/>
      <c r="AB41" s="10"/>
      <c r="AC41" s="268"/>
      <c r="AD41" s="254"/>
      <c r="AE41" s="254"/>
      <c r="AF41" s="254"/>
      <c r="AG41" s="254"/>
      <c r="AH41" s="254"/>
      <c r="AI41" s="47"/>
      <c r="AJ41" s="47"/>
      <c r="AK41" s="47"/>
      <c r="AL41" s="47"/>
    </row>
    <row r="42" spans="1:38" ht="20.25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257" t="s">
        <v>34</v>
      </c>
      <c r="AB42" s="257"/>
      <c r="AC42" s="268"/>
      <c r="AD42" s="254"/>
      <c r="AE42" s="254"/>
      <c r="AF42" s="254"/>
      <c r="AG42" s="254"/>
      <c r="AH42" s="254"/>
      <c r="AI42" s="47"/>
      <c r="AJ42" s="47"/>
      <c r="AK42" s="47"/>
      <c r="AL42" s="47"/>
    </row>
    <row r="43" spans="1:38" ht="35.1" customHeight="1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257" t="str">
        <f>AA32</f>
        <v>6:30 à 7:00</v>
      </c>
      <c r="AB43" s="257"/>
      <c r="AC43" s="63">
        <f>AC32</f>
        <v>1</v>
      </c>
      <c r="AD43" s="48">
        <f>IF(AD32=0,0,AD32/AC32)</f>
        <v>0</v>
      </c>
      <c r="AE43" s="48">
        <f>IF(AE32=0,0,AE32/AC32)</f>
        <v>0</v>
      </c>
      <c r="AF43" s="48">
        <f>IF(AF32=0,0,AF32/AD32)</f>
        <v>0</v>
      </c>
      <c r="AG43" s="48">
        <f>IF(AG32=0,0,AG32/AC32)</f>
        <v>1</v>
      </c>
      <c r="AH43" s="48">
        <f>IF(AH32=0,0,AH32/AC32)</f>
        <v>1</v>
      </c>
      <c r="AI43" s="47"/>
      <c r="AJ43" s="47"/>
      <c r="AK43" s="47"/>
      <c r="AL43" s="47"/>
    </row>
    <row r="44" spans="1:38" ht="35.1" customHeight="1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257" t="str">
        <f>AA33</f>
        <v>7:00 à 7:30</v>
      </c>
      <c r="AB44" s="257"/>
      <c r="AC44" s="63">
        <f t="shared" ref="AC44:AC47" si="8">AC33</f>
        <v>6</v>
      </c>
      <c r="AD44" s="48">
        <f>IF(AD34=0,0,AD34/AC34)</f>
        <v>0.6</v>
      </c>
      <c r="AE44" s="48">
        <f>IF(AE34=0,0,AE34/AC34)</f>
        <v>0.6</v>
      </c>
      <c r="AF44" s="48">
        <f>IF(AF34=0,0,AF34/AD34)</f>
        <v>0.66666666666666663</v>
      </c>
      <c r="AG44" s="48">
        <f>IF(AG34=0,0,AG34/AC34)</f>
        <v>0.4</v>
      </c>
      <c r="AH44" s="48">
        <f>IF(AH34=0,0,AH34/AC34)</f>
        <v>0.6</v>
      </c>
      <c r="AI44" s="47"/>
      <c r="AJ44" s="47"/>
      <c r="AK44" s="47"/>
      <c r="AL44" s="47"/>
    </row>
    <row r="45" spans="1:38" ht="35.1" customHeight="1">
      <c r="A45" s="46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257" t="str">
        <f>AA34</f>
        <v>7:30 à 8:00</v>
      </c>
      <c r="AB45" s="257"/>
      <c r="AC45" s="63">
        <f t="shared" si="8"/>
        <v>5</v>
      </c>
      <c r="AD45" s="48">
        <f>IF(AD34=0,0,AD34/AC34)</f>
        <v>0.6</v>
      </c>
      <c r="AE45" s="48">
        <f t="shared" ref="AE45:AF48" si="9">IF(AE34=0,0,AE34/AC34)</f>
        <v>0.6</v>
      </c>
      <c r="AF45" s="48">
        <f t="shared" si="9"/>
        <v>0.66666666666666663</v>
      </c>
      <c r="AG45" s="48">
        <f>IF(AG34=0,0,AG34/AC34)</f>
        <v>0.4</v>
      </c>
      <c r="AH45" s="48">
        <f>IF(AH34=0,0,AH34/AC34)</f>
        <v>0.6</v>
      </c>
      <c r="AI45" s="47"/>
      <c r="AJ45" s="47"/>
      <c r="AK45" s="47"/>
      <c r="AL45" s="47"/>
    </row>
    <row r="46" spans="1:38" ht="35.1" customHeight="1">
      <c r="A46" s="46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257" t="str">
        <f>AA35</f>
        <v>8:00 à 8:30</v>
      </c>
      <c r="AB46" s="257"/>
      <c r="AC46" s="63">
        <f t="shared" si="8"/>
        <v>3</v>
      </c>
      <c r="AD46" s="48">
        <f>IF(AD35=0,0,AD35/AC35)</f>
        <v>0</v>
      </c>
      <c r="AE46" s="48">
        <f t="shared" si="9"/>
        <v>0</v>
      </c>
      <c r="AF46" s="48">
        <f t="shared" si="9"/>
        <v>0</v>
      </c>
      <c r="AG46" s="48">
        <f>IF(AG35=0,0,AG35/AC35)</f>
        <v>0.66666666666666663</v>
      </c>
      <c r="AH46" s="48">
        <f>IF(AH35=0,0,AH35/AC35)</f>
        <v>0.33333333333333331</v>
      </c>
      <c r="AI46" s="47"/>
      <c r="AJ46" s="47"/>
      <c r="AK46" s="47"/>
      <c r="AL46" s="47"/>
    </row>
    <row r="47" spans="1:38" ht="35.1" customHeight="1">
      <c r="F47" s="47"/>
      <c r="K47" s="47"/>
      <c r="L47" s="47"/>
      <c r="M47" s="47"/>
      <c r="S47" s="47"/>
      <c r="T47" s="47"/>
      <c r="U47" s="47"/>
      <c r="AA47" s="257" t="str">
        <f>AA36</f>
        <v>8:30 à 9:00</v>
      </c>
      <c r="AB47" s="257"/>
      <c r="AC47" s="63">
        <f t="shared" si="8"/>
        <v>5</v>
      </c>
      <c r="AD47" s="48">
        <f>IF(AD36=0,0,AD36/AC36)</f>
        <v>0.2</v>
      </c>
      <c r="AE47" s="48">
        <f t="shared" si="9"/>
        <v>0.2</v>
      </c>
      <c r="AF47" s="48">
        <f t="shared" si="9"/>
        <v>0</v>
      </c>
      <c r="AG47" s="48">
        <f>IF(AG36=0,0,AG36/AC36)</f>
        <v>0.8</v>
      </c>
      <c r="AH47" s="48">
        <f>IF(AH36=0,0,AH36/AC36)</f>
        <v>0.2</v>
      </c>
    </row>
    <row r="48" spans="1:38" ht="35.1" customHeight="1">
      <c r="F48" s="47"/>
      <c r="K48" s="47"/>
      <c r="L48" s="47"/>
      <c r="M48" s="47"/>
      <c r="S48" s="47"/>
      <c r="T48" s="47"/>
      <c r="U48" s="47"/>
      <c r="AA48" s="257" t="s">
        <v>29</v>
      </c>
      <c r="AB48" s="257"/>
      <c r="AC48" s="64">
        <f>SUM(AC43:AC47)</f>
        <v>20</v>
      </c>
      <c r="AD48" s="49">
        <f>IF(AD37=0,0,AD37/AC37)</f>
        <v>0.25</v>
      </c>
      <c r="AE48" s="49">
        <f t="shared" si="9"/>
        <v>0.2</v>
      </c>
      <c r="AF48" s="49">
        <f t="shared" si="9"/>
        <v>0.4</v>
      </c>
      <c r="AG48" s="49">
        <f>IF(AG37=0,0,AG37/AC37)</f>
        <v>0.35</v>
      </c>
      <c r="AH48" s="49">
        <f>IF(AH37=0,0,AH37/AC37)</f>
        <v>0.25</v>
      </c>
    </row>
    <row r="49" spans="27:34" ht="35.1" customHeight="1">
      <c r="AA49" s="257" t="str">
        <f>AA38</f>
        <v>7:00 à 7:30</v>
      </c>
      <c r="AB49" s="257"/>
      <c r="AC49" s="39">
        <f>IF($AW$48=MAX($AW$48:$AW$52),AC43,IF($AW$49=MAX($AW$48:$AW$52),AC45,IF($AW$50=MAX($AW$48:$AW$52),AC46,IF($AW$51=MAX($AW$48:$AW$52),(AC46),AC47))))</f>
        <v>1</v>
      </c>
      <c r="AD49" s="51">
        <f>AD38/AC38</f>
        <v>0.16666666666666666</v>
      </c>
      <c r="AE49" s="51">
        <f>AE38/AC38</f>
        <v>0</v>
      </c>
      <c r="AF49" s="51">
        <f>AF38/AC38</f>
        <v>0</v>
      </c>
      <c r="AG49" s="51">
        <f>AG38/AC38</f>
        <v>1</v>
      </c>
      <c r="AH49" s="51">
        <f>AH38/AC38</f>
        <v>0.16666666666666666</v>
      </c>
    </row>
    <row r="50" spans="27:34" ht="35.1" customHeight="1"/>
  </sheetData>
  <mergeCells count="77">
    <mergeCell ref="C8:J8"/>
    <mergeCell ref="K8:R8"/>
    <mergeCell ref="S8:Z8"/>
    <mergeCell ref="C9:F9"/>
    <mergeCell ref="G9:J9"/>
    <mergeCell ref="K9:N9"/>
    <mergeCell ref="O9:R9"/>
    <mergeCell ref="S9:V9"/>
    <mergeCell ref="W9:Z9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G28:AG31"/>
    <mergeCell ref="AH28:AH31"/>
    <mergeCell ref="C29:F29"/>
    <mergeCell ref="G29:J29"/>
    <mergeCell ref="K29:N29"/>
    <mergeCell ref="O29:R29"/>
    <mergeCell ref="S29:V29"/>
    <mergeCell ref="W29:Z29"/>
    <mergeCell ref="C30:D30"/>
    <mergeCell ref="C28:J28"/>
    <mergeCell ref="K28:R28"/>
    <mergeCell ref="S28:Z28"/>
    <mergeCell ref="AC28:AC31"/>
    <mergeCell ref="AD28:AD31"/>
    <mergeCell ref="AE28:AE31"/>
    <mergeCell ref="Y30:Z30"/>
    <mergeCell ref="A31:B31"/>
    <mergeCell ref="AA31:AB31"/>
    <mergeCell ref="A32:B32"/>
    <mergeCell ref="AF28:AF31"/>
    <mergeCell ref="W30:X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AA32:AB32"/>
    <mergeCell ref="A34:B34"/>
    <mergeCell ref="AA34:AB34"/>
    <mergeCell ref="A35:B35"/>
    <mergeCell ref="AA35:AB35"/>
    <mergeCell ref="A33:B33"/>
    <mergeCell ref="AA33:AB33"/>
    <mergeCell ref="A36:B36"/>
    <mergeCell ref="AA36:AB36"/>
    <mergeCell ref="AA44:AB44"/>
    <mergeCell ref="A37:B37"/>
    <mergeCell ref="AA37:AB37"/>
    <mergeCell ref="AA38:AB38"/>
    <mergeCell ref="AA43:AB43"/>
    <mergeCell ref="AC39:AC42"/>
    <mergeCell ref="AF39:AF42"/>
    <mergeCell ref="AG39:AG42"/>
    <mergeCell ref="AH39:AH42"/>
    <mergeCell ref="AA42:AB42"/>
    <mergeCell ref="AD39:AD42"/>
    <mergeCell ref="AE39:AE42"/>
    <mergeCell ref="AA45:AB45"/>
    <mergeCell ref="AA46:AB46"/>
    <mergeCell ref="AA47:AB47"/>
    <mergeCell ref="AA48:AB48"/>
    <mergeCell ref="AA49:AB49"/>
  </mergeCells>
  <pageMargins left="0.19645669291338586" right="0.19645669291338586" top="0.3543307086614173" bottom="0.5507874015748031" header="0.3543307086614173" footer="0.3543307086614173"/>
  <pageSetup paperSize="9" scale="52" fitToWidth="0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49"/>
  <sheetViews>
    <sheetView topLeftCell="A19" zoomScale="50" zoomScaleNormal="50" workbookViewId="0">
      <selection activeCell="F25" sqref="F25"/>
    </sheetView>
  </sheetViews>
  <sheetFormatPr baseColWidth="10" defaultRowHeight="14.25"/>
  <cols>
    <col min="1" max="1" width="6.5" style="6" customWidth="1"/>
    <col min="2" max="2" width="11.125" style="6" customWidth="1"/>
    <col min="3" max="10" width="25.625" style="6" customWidth="1"/>
    <col min="11" max="12" width="10.75" style="6" customWidth="1"/>
    <col min="13" max="13" width="19.75" style="6" customWidth="1"/>
    <col min="14" max="14" width="21.625" style="6" customWidth="1"/>
    <col min="15" max="15" width="19.75" style="6" customWidth="1"/>
    <col min="16" max="16" width="21.125" style="6" customWidth="1"/>
    <col min="17" max="17" width="23.625" style="6" customWidth="1"/>
    <col min="18" max="1023" width="11.125" style="6" customWidth="1"/>
    <col min="1024" max="1024" width="11" style="6" customWidth="1"/>
  </cols>
  <sheetData>
    <row r="1" spans="1:1024" ht="52.5" customHeight="1">
      <c r="A1" s="1"/>
      <c r="B1" s="2" t="s">
        <v>94</v>
      </c>
      <c r="C1" s="3"/>
      <c r="D1" s="3"/>
      <c r="E1" s="3"/>
      <c r="F1" s="4"/>
      <c r="G1" s="1" t="s">
        <v>2</v>
      </c>
      <c r="H1" s="76"/>
      <c r="I1" s="3"/>
      <c r="J1" s="3"/>
      <c r="K1" s="4"/>
      <c r="L1" s="4"/>
      <c r="M1" s="4"/>
      <c r="N1" s="4"/>
      <c r="O1" s="9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  <c r="AF1" s="4"/>
      <c r="AG1" s="3"/>
      <c r="AH1" s="3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9"/>
      <c r="AMI1" s="9"/>
      <c r="AMJ1" s="9"/>
    </row>
    <row r="2" spans="1:1024" ht="52.5" customHeight="1">
      <c r="A2" s="1" t="s">
        <v>3</v>
      </c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9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/>
      <c r="AF2" s="3"/>
      <c r="AG2" s="3"/>
      <c r="AH2" s="3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9"/>
      <c r="AMI2" s="9"/>
      <c r="AMJ2" s="9"/>
    </row>
    <row r="3" spans="1:1024" ht="20.25" customHeight="1">
      <c r="A3" s="1" t="s">
        <v>4</v>
      </c>
      <c r="B3" s="3"/>
      <c r="C3" s="3"/>
      <c r="D3" s="3"/>
      <c r="E3" s="3"/>
      <c r="F3" s="3"/>
      <c r="G3" s="7" t="s">
        <v>5</v>
      </c>
      <c r="H3" s="3"/>
      <c r="I3" s="3"/>
      <c r="J3" s="3"/>
      <c r="K3" s="3"/>
      <c r="L3" s="3"/>
      <c r="M3" s="3"/>
      <c r="N3" s="3"/>
      <c r="O3" s="3"/>
      <c r="P3" s="9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9"/>
      <c r="AMI3" s="9"/>
      <c r="AMJ3" s="9"/>
    </row>
    <row r="4" spans="1:1024" s="9" customFormat="1" ht="4.5" customHeight="1"/>
    <row r="5" spans="1:1024" ht="25.5" customHeight="1">
      <c r="A5" s="167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4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9"/>
    </row>
    <row r="6" spans="1:1024" ht="25.5" customHeight="1">
      <c r="A6" s="167" t="s">
        <v>155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4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9"/>
    </row>
    <row r="7" spans="1:1024" ht="50.65" customHeight="1">
      <c r="A7" s="167" t="s">
        <v>156</v>
      </c>
      <c r="B7" s="3"/>
      <c r="C7" s="3"/>
      <c r="D7" s="3"/>
      <c r="E7" s="3"/>
      <c r="F7" s="3"/>
      <c r="G7" s="7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9"/>
    </row>
    <row r="8" spans="1:1024" ht="30">
      <c r="A8" s="14"/>
      <c r="B8" s="10"/>
      <c r="C8" s="264" t="s">
        <v>95</v>
      </c>
      <c r="D8" s="264"/>
      <c r="E8" s="264"/>
      <c r="F8" s="264"/>
      <c r="G8" s="264"/>
      <c r="H8" s="264"/>
      <c r="I8" s="264"/>
      <c r="J8" s="264"/>
    </row>
    <row r="9" spans="1:1024" ht="23.25">
      <c r="A9" s="14"/>
      <c r="B9" s="10"/>
      <c r="C9" s="259" t="s">
        <v>96</v>
      </c>
      <c r="D9" s="259"/>
      <c r="E9" s="259"/>
      <c r="F9" s="259"/>
      <c r="G9" s="259" t="s">
        <v>97</v>
      </c>
      <c r="H9" s="259"/>
      <c r="I9" s="259"/>
      <c r="J9" s="259"/>
    </row>
    <row r="10" spans="1:1024" ht="20.25">
      <c r="A10" s="14"/>
      <c r="B10" s="10"/>
      <c r="C10" s="258" t="s">
        <v>14</v>
      </c>
      <c r="D10" s="258"/>
      <c r="E10" s="258" t="s">
        <v>15</v>
      </c>
      <c r="F10" s="258"/>
      <c r="G10" s="258" t="s">
        <v>14</v>
      </c>
      <c r="H10" s="258"/>
      <c r="I10" s="258" t="s">
        <v>15</v>
      </c>
      <c r="J10" s="258"/>
    </row>
    <row r="11" spans="1:1024" ht="20.25">
      <c r="A11" s="21" t="s">
        <v>16</v>
      </c>
      <c r="B11" s="21" t="s">
        <v>17</v>
      </c>
      <c r="C11" s="22" t="s">
        <v>18</v>
      </c>
      <c r="D11" s="22" t="s">
        <v>19</v>
      </c>
      <c r="E11" s="22" t="s">
        <v>18</v>
      </c>
      <c r="F11" s="22" t="s">
        <v>19</v>
      </c>
      <c r="G11" s="22" t="s">
        <v>18</v>
      </c>
      <c r="H11" s="22" t="s">
        <v>19</v>
      </c>
      <c r="I11" s="22" t="s">
        <v>18</v>
      </c>
      <c r="J11" s="22" t="s">
        <v>19</v>
      </c>
    </row>
    <row r="12" spans="1:1024" ht="50.1" customHeight="1">
      <c r="A12" s="25">
        <v>6</v>
      </c>
      <c r="B12" s="21" t="s">
        <v>20</v>
      </c>
      <c r="C12" s="26"/>
      <c r="D12" s="26"/>
      <c r="E12" s="26"/>
      <c r="F12" s="26"/>
      <c r="G12" s="26"/>
      <c r="H12" s="26"/>
      <c r="I12" s="26"/>
      <c r="J12" s="26"/>
    </row>
    <row r="13" spans="1:1024" ht="50.1" customHeight="1">
      <c r="A13" s="21"/>
      <c r="B13" s="21" t="s">
        <v>21</v>
      </c>
      <c r="C13" s="26"/>
      <c r="D13" s="26"/>
      <c r="E13" s="26"/>
      <c r="F13" s="26"/>
      <c r="G13" s="26"/>
      <c r="H13" s="26"/>
      <c r="I13" s="26"/>
      <c r="J13" s="26"/>
    </row>
    <row r="14" spans="1:1024" ht="50.1" customHeight="1">
      <c r="A14" s="25">
        <v>7</v>
      </c>
      <c r="B14" s="21" t="s">
        <v>22</v>
      </c>
      <c r="C14" s="26"/>
      <c r="D14" s="26"/>
      <c r="E14" s="26"/>
      <c r="F14" s="26"/>
      <c r="G14" s="26"/>
      <c r="H14" s="26"/>
      <c r="I14" s="26"/>
      <c r="J14" s="26">
        <v>1</v>
      </c>
    </row>
    <row r="15" spans="1:1024" ht="49.5" customHeight="1">
      <c r="A15" s="21"/>
      <c r="B15" s="21" t="s">
        <v>23</v>
      </c>
      <c r="C15" s="26">
        <v>1</v>
      </c>
      <c r="D15" s="26">
        <v>2</v>
      </c>
      <c r="E15" s="26"/>
      <c r="F15" s="26"/>
      <c r="G15" s="26"/>
      <c r="H15" s="26"/>
      <c r="I15" s="26"/>
      <c r="J15" s="26"/>
    </row>
    <row r="16" spans="1:1024" ht="50.1" customHeight="1">
      <c r="A16" s="21"/>
      <c r="B16" s="21" t="s">
        <v>20</v>
      </c>
      <c r="C16" s="26"/>
      <c r="D16" s="26">
        <v>1</v>
      </c>
      <c r="E16" s="26"/>
      <c r="F16" s="26"/>
      <c r="G16" s="26"/>
      <c r="H16" s="26"/>
      <c r="I16" s="26"/>
      <c r="J16" s="26"/>
    </row>
    <row r="17" spans="1:1024" ht="50.1" customHeight="1">
      <c r="A17" s="21"/>
      <c r="B17" s="21" t="s">
        <v>24</v>
      </c>
      <c r="C17" s="26"/>
      <c r="D17" s="26"/>
      <c r="E17" s="26"/>
      <c r="F17" s="26"/>
      <c r="G17" s="26"/>
      <c r="H17" s="26"/>
      <c r="I17" s="26"/>
      <c r="J17" s="26"/>
    </row>
    <row r="18" spans="1:1024" ht="50.1" customHeight="1">
      <c r="A18" s="25">
        <v>8</v>
      </c>
      <c r="B18" s="21" t="s">
        <v>22</v>
      </c>
      <c r="C18" s="26"/>
      <c r="D18" s="26"/>
      <c r="E18" s="26"/>
      <c r="F18" s="26"/>
      <c r="G18" s="26">
        <v>1</v>
      </c>
      <c r="H18" s="26"/>
      <c r="I18" s="26"/>
      <c r="J18" s="26"/>
    </row>
    <row r="19" spans="1:1024" ht="50.1" customHeight="1">
      <c r="A19" s="21"/>
      <c r="B19" s="21" t="s">
        <v>23</v>
      </c>
      <c r="C19" s="26"/>
      <c r="D19" s="26"/>
      <c r="E19" s="26"/>
      <c r="F19" s="26"/>
      <c r="G19" s="26">
        <v>1</v>
      </c>
      <c r="H19" s="26">
        <v>3</v>
      </c>
      <c r="I19" s="26"/>
      <c r="J19" s="26">
        <v>1</v>
      </c>
    </row>
    <row r="20" spans="1:1024" ht="50.1" customHeight="1">
      <c r="A20" s="21"/>
      <c r="B20" s="21" t="s">
        <v>20</v>
      </c>
      <c r="C20" s="26"/>
      <c r="D20" s="26">
        <v>2</v>
      </c>
      <c r="E20" s="26">
        <v>1</v>
      </c>
      <c r="F20" s="26"/>
      <c r="G20" s="26"/>
      <c r="H20" s="26"/>
      <c r="I20" s="26"/>
      <c r="J20" s="26"/>
    </row>
    <row r="21" spans="1:1024" ht="50.1" customHeight="1">
      <c r="A21" s="78">
        <v>9</v>
      </c>
      <c r="B21" s="21" t="s">
        <v>24</v>
      </c>
      <c r="C21" s="26">
        <v>1</v>
      </c>
      <c r="D21" s="26">
        <v>2</v>
      </c>
      <c r="E21" s="26"/>
      <c r="F21" s="26">
        <v>1</v>
      </c>
      <c r="G21" s="26"/>
      <c r="H21" s="26">
        <v>1</v>
      </c>
      <c r="I21" s="26"/>
      <c r="J21" s="26">
        <v>1</v>
      </c>
    </row>
    <row r="22" spans="1:1024" ht="12" customHeight="1">
      <c r="A22" s="23"/>
      <c r="B22" s="23"/>
      <c r="C22" s="28"/>
      <c r="D22" s="28"/>
      <c r="E22" s="28"/>
      <c r="F22" s="28"/>
      <c r="G22" s="28"/>
      <c r="H22" s="28"/>
      <c r="I22" s="28"/>
      <c r="J22" s="28"/>
    </row>
    <row r="23" spans="1:1024" ht="30" customHeight="1">
      <c r="A23" s="32" t="s">
        <v>25</v>
      </c>
      <c r="B23" s="33"/>
      <c r="C23" s="33"/>
      <c r="D23" s="33"/>
      <c r="E23" s="196"/>
      <c r="F23" s="33"/>
      <c r="G23" s="81"/>
      <c r="H23" s="33"/>
      <c r="I23" s="33"/>
      <c r="J23" s="34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  <c r="IX23" s="36"/>
      <c r="IY23" s="36"/>
      <c r="IZ23" s="36"/>
      <c r="JA23" s="36"/>
      <c r="JB23" s="36"/>
      <c r="JC23" s="36"/>
      <c r="JD23" s="36"/>
      <c r="JE23" s="36"/>
      <c r="JF23" s="36"/>
      <c r="JG23" s="36"/>
      <c r="JH23" s="36"/>
      <c r="JI23" s="36"/>
      <c r="JJ23" s="36"/>
      <c r="JK23" s="36"/>
      <c r="JL23" s="36"/>
      <c r="JM23" s="36"/>
      <c r="JN23" s="36"/>
      <c r="JO23" s="36"/>
      <c r="JP23" s="36"/>
      <c r="JQ23" s="36"/>
      <c r="JR23" s="36"/>
      <c r="JS23" s="36"/>
      <c r="JT23" s="36"/>
      <c r="JU23" s="36"/>
      <c r="JV23" s="36"/>
      <c r="JW23" s="36"/>
      <c r="JX23" s="36"/>
      <c r="JY23" s="36"/>
      <c r="JZ23" s="36"/>
      <c r="KA23" s="36"/>
      <c r="KB23" s="36"/>
      <c r="KC23" s="36"/>
      <c r="KD23" s="36"/>
      <c r="KE23" s="36"/>
      <c r="KF23" s="36"/>
      <c r="KG23" s="36"/>
      <c r="KH23" s="36"/>
      <c r="KI23" s="36"/>
      <c r="KJ23" s="36"/>
      <c r="KK23" s="36"/>
      <c r="KL23" s="36"/>
      <c r="KM23" s="36"/>
      <c r="KN23" s="36"/>
      <c r="KO23" s="36"/>
      <c r="KP23" s="36"/>
      <c r="KQ23" s="36"/>
      <c r="KR23" s="36"/>
      <c r="KS23" s="36"/>
      <c r="KT23" s="36"/>
      <c r="KU23" s="36"/>
      <c r="KV23" s="36"/>
      <c r="KW23" s="36"/>
      <c r="KX23" s="36"/>
      <c r="KY23" s="36"/>
      <c r="KZ23" s="36"/>
      <c r="LA23" s="36"/>
      <c r="LB23" s="36"/>
      <c r="LC23" s="36"/>
      <c r="LD23" s="36"/>
      <c r="LE23" s="36"/>
      <c r="LF23" s="36"/>
      <c r="LG23" s="36"/>
      <c r="LH23" s="36"/>
      <c r="LI23" s="36"/>
      <c r="LJ23" s="36"/>
      <c r="LK23" s="36"/>
      <c r="LL23" s="36"/>
      <c r="LM23" s="36"/>
      <c r="LN23" s="36"/>
      <c r="LO23" s="36"/>
      <c r="LP23" s="36"/>
      <c r="LQ23" s="36"/>
      <c r="LR23" s="36"/>
      <c r="LS23" s="36"/>
      <c r="LT23" s="36"/>
      <c r="LU23" s="36"/>
      <c r="LV23" s="36"/>
      <c r="LW23" s="36"/>
      <c r="LX23" s="36"/>
      <c r="LY23" s="36"/>
      <c r="LZ23" s="36"/>
      <c r="MA23" s="36"/>
      <c r="MB23" s="36"/>
      <c r="MC23" s="36"/>
      <c r="MD23" s="36"/>
      <c r="ME23" s="36"/>
      <c r="MF23" s="36"/>
      <c r="MG23" s="36"/>
      <c r="MH23" s="36"/>
      <c r="MI23" s="36"/>
      <c r="MJ23" s="36"/>
      <c r="MK23" s="36"/>
      <c r="ML23" s="36"/>
      <c r="MM23" s="36"/>
      <c r="MN23" s="36"/>
      <c r="MO23" s="36"/>
      <c r="MP23" s="36"/>
      <c r="MQ23" s="36"/>
      <c r="MR23" s="36"/>
      <c r="MS23" s="36"/>
      <c r="MT23" s="36"/>
      <c r="MU23" s="36"/>
      <c r="MV23" s="36"/>
      <c r="MW23" s="36"/>
      <c r="MX23" s="36"/>
      <c r="MY23" s="36"/>
      <c r="MZ23" s="36"/>
      <c r="NA23" s="36"/>
      <c r="NB23" s="36"/>
      <c r="NC23" s="36"/>
      <c r="ND23" s="36"/>
      <c r="NE23" s="36"/>
      <c r="NF23" s="36"/>
      <c r="NG23" s="36"/>
      <c r="NH23" s="36"/>
      <c r="NI23" s="36"/>
      <c r="NJ23" s="36"/>
      <c r="NK23" s="36"/>
      <c r="NL23" s="36"/>
      <c r="NM23" s="36"/>
      <c r="NN23" s="36"/>
      <c r="NO23" s="36"/>
      <c r="NP23" s="36"/>
      <c r="NQ23" s="36"/>
      <c r="NR23" s="36"/>
      <c r="NS23" s="36"/>
      <c r="NT23" s="36"/>
      <c r="NU23" s="36"/>
      <c r="NV23" s="36"/>
      <c r="NW23" s="36"/>
      <c r="NX23" s="36"/>
      <c r="NY23" s="36"/>
      <c r="NZ23" s="36"/>
      <c r="OA23" s="36"/>
      <c r="OB23" s="36"/>
      <c r="OC23" s="36"/>
      <c r="OD23" s="36"/>
      <c r="OE23" s="36"/>
      <c r="OF23" s="36"/>
      <c r="OG23" s="36"/>
      <c r="OH23" s="36"/>
      <c r="OI23" s="36"/>
      <c r="OJ23" s="36"/>
      <c r="OK23" s="36"/>
      <c r="OL23" s="36"/>
      <c r="OM23" s="36"/>
      <c r="ON23" s="36"/>
      <c r="OO23" s="36"/>
      <c r="OP23" s="36"/>
      <c r="OQ23" s="36"/>
      <c r="OR23" s="36"/>
      <c r="OS23" s="36"/>
      <c r="OT23" s="36"/>
      <c r="OU23" s="36"/>
      <c r="OV23" s="36"/>
      <c r="OW23" s="36"/>
      <c r="OX23" s="36"/>
      <c r="OY23" s="36"/>
      <c r="OZ23" s="36"/>
      <c r="PA23" s="36"/>
      <c r="PB23" s="36"/>
      <c r="PC23" s="36"/>
      <c r="PD23" s="36"/>
      <c r="PE23" s="36"/>
      <c r="PF23" s="36"/>
      <c r="PG23" s="36"/>
      <c r="PH23" s="36"/>
      <c r="PI23" s="36"/>
      <c r="PJ23" s="36"/>
      <c r="PK23" s="36"/>
      <c r="PL23" s="36"/>
      <c r="PM23" s="36"/>
      <c r="PN23" s="36"/>
      <c r="PO23" s="36"/>
      <c r="PP23" s="36"/>
      <c r="PQ23" s="36"/>
      <c r="PR23" s="36"/>
      <c r="PS23" s="36"/>
      <c r="PT23" s="36"/>
      <c r="PU23" s="36"/>
      <c r="PV23" s="36"/>
      <c r="PW23" s="36"/>
      <c r="PX23" s="36"/>
      <c r="PY23" s="36"/>
      <c r="PZ23" s="36"/>
      <c r="QA23" s="36"/>
      <c r="QB23" s="36"/>
      <c r="QC23" s="36"/>
      <c r="QD23" s="36"/>
      <c r="QE23" s="36"/>
      <c r="QF23" s="36"/>
      <c r="QG23" s="36"/>
      <c r="QH23" s="36"/>
      <c r="QI23" s="36"/>
      <c r="QJ23" s="36"/>
      <c r="QK23" s="36"/>
      <c r="QL23" s="36"/>
      <c r="QM23" s="36"/>
      <c r="QN23" s="36"/>
      <c r="QO23" s="36"/>
      <c r="QP23" s="36"/>
      <c r="QQ23" s="36"/>
      <c r="QR23" s="36"/>
      <c r="QS23" s="36"/>
      <c r="QT23" s="36"/>
      <c r="QU23" s="36"/>
      <c r="QV23" s="36"/>
      <c r="QW23" s="36"/>
      <c r="QX23" s="36"/>
      <c r="QY23" s="36"/>
      <c r="QZ23" s="36"/>
      <c r="RA23" s="36"/>
      <c r="RB23" s="36"/>
      <c r="RC23" s="36"/>
      <c r="RD23" s="36"/>
      <c r="RE23" s="36"/>
      <c r="RF23" s="36"/>
      <c r="RG23" s="36"/>
      <c r="RH23" s="36"/>
      <c r="RI23" s="36"/>
      <c r="RJ23" s="36"/>
      <c r="RK23" s="36"/>
      <c r="RL23" s="36"/>
      <c r="RM23" s="36"/>
      <c r="RN23" s="36"/>
      <c r="RO23" s="36"/>
      <c r="RP23" s="36"/>
      <c r="RQ23" s="36"/>
      <c r="RR23" s="36"/>
      <c r="RS23" s="36"/>
      <c r="RT23" s="36"/>
      <c r="RU23" s="36"/>
      <c r="RV23" s="36"/>
      <c r="RW23" s="36"/>
      <c r="RX23" s="36"/>
      <c r="RY23" s="36"/>
      <c r="RZ23" s="36"/>
      <c r="SA23" s="36"/>
      <c r="SB23" s="36"/>
      <c r="SC23" s="36"/>
      <c r="SD23" s="36"/>
      <c r="SE23" s="36"/>
      <c r="SF23" s="36"/>
      <c r="SG23" s="36"/>
      <c r="SH23" s="36"/>
      <c r="SI23" s="36"/>
      <c r="SJ23" s="36"/>
      <c r="SK23" s="36"/>
      <c r="SL23" s="36"/>
      <c r="SM23" s="36"/>
      <c r="SN23" s="36"/>
      <c r="SO23" s="36"/>
      <c r="SP23" s="36"/>
      <c r="SQ23" s="36"/>
      <c r="SR23" s="36"/>
      <c r="SS23" s="36"/>
      <c r="ST23" s="36"/>
      <c r="SU23" s="36"/>
      <c r="SV23" s="36"/>
      <c r="SW23" s="36"/>
      <c r="SX23" s="36"/>
      <c r="SY23" s="36"/>
      <c r="SZ23" s="36"/>
      <c r="TA23" s="36"/>
      <c r="TB23" s="36"/>
      <c r="TC23" s="36"/>
      <c r="TD23" s="36"/>
      <c r="TE23" s="36"/>
      <c r="TF23" s="36"/>
      <c r="TG23" s="36"/>
      <c r="TH23" s="36"/>
      <c r="TI23" s="36"/>
      <c r="TJ23" s="36"/>
      <c r="TK23" s="36"/>
      <c r="TL23" s="36"/>
      <c r="TM23" s="36"/>
      <c r="TN23" s="36"/>
      <c r="TO23" s="36"/>
      <c r="TP23" s="36"/>
      <c r="TQ23" s="36"/>
      <c r="TR23" s="36"/>
      <c r="TS23" s="36"/>
      <c r="TT23" s="36"/>
      <c r="TU23" s="36"/>
      <c r="TV23" s="36"/>
      <c r="TW23" s="36"/>
      <c r="TX23" s="36"/>
      <c r="TY23" s="36"/>
      <c r="TZ23" s="36"/>
      <c r="UA23" s="36"/>
      <c r="UB23" s="36"/>
      <c r="UC23" s="36"/>
      <c r="UD23" s="36"/>
      <c r="UE23" s="36"/>
      <c r="UF23" s="36"/>
      <c r="UG23" s="36"/>
      <c r="UH23" s="36"/>
      <c r="UI23" s="36"/>
      <c r="UJ23" s="36"/>
      <c r="UK23" s="36"/>
      <c r="UL23" s="36"/>
      <c r="UM23" s="36"/>
      <c r="UN23" s="36"/>
      <c r="UO23" s="36"/>
      <c r="UP23" s="36"/>
      <c r="UQ23" s="36"/>
      <c r="UR23" s="36"/>
      <c r="US23" s="36"/>
      <c r="UT23" s="36"/>
      <c r="UU23" s="36"/>
      <c r="UV23" s="36"/>
      <c r="UW23" s="36"/>
      <c r="UX23" s="36"/>
      <c r="UY23" s="36"/>
      <c r="UZ23" s="36"/>
      <c r="VA23" s="36"/>
      <c r="VB23" s="36"/>
      <c r="VC23" s="36"/>
      <c r="VD23" s="36"/>
      <c r="VE23" s="36"/>
      <c r="VF23" s="36"/>
      <c r="VG23" s="36"/>
      <c r="VH23" s="36"/>
      <c r="VI23" s="36"/>
      <c r="VJ23" s="36"/>
      <c r="VK23" s="36"/>
      <c r="VL23" s="36"/>
      <c r="VM23" s="36"/>
      <c r="VN23" s="36"/>
      <c r="VO23" s="36"/>
      <c r="VP23" s="36"/>
      <c r="VQ23" s="36"/>
      <c r="VR23" s="36"/>
      <c r="VS23" s="36"/>
      <c r="VT23" s="36"/>
      <c r="VU23" s="36"/>
      <c r="VV23" s="36"/>
      <c r="VW23" s="36"/>
      <c r="VX23" s="36"/>
      <c r="VY23" s="36"/>
      <c r="VZ23" s="36"/>
      <c r="WA23" s="36"/>
      <c r="WB23" s="36"/>
      <c r="WC23" s="36"/>
      <c r="WD23" s="36"/>
      <c r="WE23" s="36"/>
      <c r="WF23" s="36"/>
      <c r="WG23" s="36"/>
      <c r="WH23" s="36"/>
      <c r="WI23" s="36"/>
      <c r="WJ23" s="36"/>
      <c r="WK23" s="36"/>
      <c r="WL23" s="36"/>
      <c r="WM23" s="36"/>
      <c r="WN23" s="36"/>
      <c r="WO23" s="36"/>
      <c r="WP23" s="36"/>
      <c r="WQ23" s="36"/>
      <c r="WR23" s="36"/>
      <c r="WS23" s="36"/>
      <c r="WT23" s="36"/>
      <c r="WU23" s="36"/>
      <c r="WV23" s="36"/>
      <c r="WW23" s="36"/>
      <c r="WX23" s="36"/>
      <c r="WY23" s="36"/>
      <c r="WZ23" s="36"/>
      <c r="XA23" s="36"/>
      <c r="XB23" s="36"/>
      <c r="XC23" s="36"/>
      <c r="XD23" s="36"/>
      <c r="XE23" s="36"/>
      <c r="XF23" s="36"/>
      <c r="XG23" s="36"/>
      <c r="XH23" s="36"/>
      <c r="XI23" s="36"/>
      <c r="XJ23" s="36"/>
      <c r="XK23" s="36"/>
      <c r="XL23" s="36"/>
      <c r="XM23" s="36"/>
      <c r="XN23" s="36"/>
      <c r="XO23" s="36"/>
      <c r="XP23" s="36"/>
      <c r="XQ23" s="36"/>
      <c r="XR23" s="36"/>
      <c r="XS23" s="36"/>
      <c r="XT23" s="36"/>
      <c r="XU23" s="36"/>
      <c r="XV23" s="36"/>
      <c r="XW23" s="36"/>
      <c r="XX23" s="36"/>
      <c r="XY23" s="36"/>
      <c r="XZ23" s="36"/>
      <c r="YA23" s="36"/>
      <c r="YB23" s="36"/>
      <c r="YC23" s="36"/>
      <c r="YD23" s="36"/>
      <c r="YE23" s="36"/>
      <c r="YF23" s="36"/>
      <c r="YG23" s="36"/>
      <c r="YH23" s="36"/>
      <c r="YI23" s="36"/>
      <c r="YJ23" s="36"/>
      <c r="YK23" s="36"/>
      <c r="YL23" s="36"/>
      <c r="YM23" s="36"/>
      <c r="YN23" s="36"/>
      <c r="YO23" s="36"/>
      <c r="YP23" s="36"/>
      <c r="YQ23" s="36"/>
      <c r="YR23" s="36"/>
      <c r="YS23" s="36"/>
      <c r="YT23" s="36"/>
      <c r="YU23" s="36"/>
      <c r="YV23" s="36"/>
      <c r="YW23" s="36"/>
      <c r="YX23" s="36"/>
      <c r="YY23" s="36"/>
      <c r="YZ23" s="36"/>
      <c r="ZA23" s="36"/>
      <c r="ZB23" s="36"/>
      <c r="ZC23" s="36"/>
      <c r="ZD23" s="36"/>
      <c r="ZE23" s="36"/>
      <c r="ZF23" s="36"/>
      <c r="ZG23" s="36"/>
      <c r="ZH23" s="36"/>
      <c r="ZI23" s="36"/>
      <c r="ZJ23" s="36"/>
      <c r="ZK23" s="36"/>
      <c r="ZL23" s="36"/>
      <c r="ZM23" s="36"/>
      <c r="ZN23" s="36"/>
      <c r="ZO23" s="36"/>
      <c r="ZP23" s="36"/>
      <c r="ZQ23" s="36"/>
      <c r="ZR23" s="36"/>
      <c r="ZS23" s="36"/>
      <c r="ZT23" s="36"/>
      <c r="ZU23" s="36"/>
      <c r="ZV23" s="36"/>
      <c r="ZW23" s="36"/>
      <c r="ZX23" s="36"/>
      <c r="ZY23" s="36"/>
      <c r="ZZ23" s="36"/>
      <c r="AAA23" s="36"/>
      <c r="AAB23" s="36"/>
      <c r="AAC23" s="36"/>
      <c r="AAD23" s="36"/>
      <c r="AAE23" s="36"/>
      <c r="AAF23" s="36"/>
      <c r="AAG23" s="36"/>
      <c r="AAH23" s="36"/>
      <c r="AAI23" s="36"/>
      <c r="AAJ23" s="36"/>
      <c r="AAK23" s="36"/>
      <c r="AAL23" s="36"/>
      <c r="AAM23" s="36"/>
      <c r="AAN23" s="36"/>
      <c r="AAO23" s="36"/>
      <c r="AAP23" s="36"/>
      <c r="AAQ23" s="36"/>
      <c r="AAR23" s="36"/>
      <c r="AAS23" s="36"/>
      <c r="AAT23" s="36"/>
      <c r="AAU23" s="36"/>
      <c r="AAV23" s="36"/>
      <c r="AAW23" s="36"/>
      <c r="AAX23" s="36"/>
      <c r="AAY23" s="36"/>
      <c r="AAZ23" s="36"/>
      <c r="ABA23" s="36"/>
      <c r="ABB23" s="36"/>
      <c r="ABC23" s="36"/>
      <c r="ABD23" s="36"/>
      <c r="ABE23" s="36"/>
      <c r="ABF23" s="36"/>
      <c r="ABG23" s="36"/>
      <c r="ABH23" s="36"/>
      <c r="ABI23" s="36"/>
      <c r="ABJ23" s="36"/>
      <c r="ABK23" s="36"/>
      <c r="ABL23" s="36"/>
      <c r="ABM23" s="36"/>
      <c r="ABN23" s="36"/>
      <c r="ABO23" s="36"/>
      <c r="ABP23" s="36"/>
      <c r="ABQ23" s="36"/>
      <c r="ABR23" s="36"/>
      <c r="ABS23" s="36"/>
      <c r="ABT23" s="36"/>
      <c r="ABU23" s="36"/>
      <c r="ABV23" s="36"/>
      <c r="ABW23" s="36"/>
      <c r="ABX23" s="36"/>
      <c r="ABY23" s="36"/>
      <c r="ABZ23" s="36"/>
      <c r="ACA23" s="36"/>
      <c r="ACB23" s="36"/>
      <c r="ACC23" s="36"/>
      <c r="ACD23" s="36"/>
      <c r="ACE23" s="36"/>
      <c r="ACF23" s="36"/>
      <c r="ACG23" s="36"/>
      <c r="ACH23" s="36"/>
      <c r="ACI23" s="36"/>
      <c r="ACJ23" s="36"/>
      <c r="ACK23" s="36"/>
      <c r="ACL23" s="36"/>
      <c r="ACM23" s="36"/>
      <c r="ACN23" s="36"/>
      <c r="ACO23" s="36"/>
      <c r="ACP23" s="36"/>
      <c r="ACQ23" s="36"/>
      <c r="ACR23" s="36"/>
      <c r="ACS23" s="36"/>
      <c r="ACT23" s="36"/>
      <c r="ACU23" s="36"/>
      <c r="ACV23" s="36"/>
      <c r="ACW23" s="36"/>
      <c r="ACX23" s="36"/>
      <c r="ACY23" s="36"/>
      <c r="ACZ23" s="36"/>
      <c r="ADA23" s="36"/>
      <c r="ADB23" s="36"/>
      <c r="ADC23" s="36"/>
      <c r="ADD23" s="36"/>
      <c r="ADE23" s="36"/>
      <c r="ADF23" s="36"/>
      <c r="ADG23" s="36"/>
      <c r="ADH23" s="36"/>
      <c r="ADI23" s="36"/>
      <c r="ADJ23" s="36"/>
      <c r="ADK23" s="36"/>
      <c r="ADL23" s="36"/>
      <c r="ADM23" s="36"/>
      <c r="ADN23" s="36"/>
      <c r="ADO23" s="36"/>
      <c r="ADP23" s="36"/>
      <c r="ADQ23" s="36"/>
      <c r="ADR23" s="36"/>
      <c r="ADS23" s="36"/>
      <c r="ADT23" s="36"/>
      <c r="ADU23" s="36"/>
      <c r="ADV23" s="36"/>
      <c r="ADW23" s="36"/>
      <c r="ADX23" s="36"/>
      <c r="ADY23" s="36"/>
      <c r="ADZ23" s="36"/>
      <c r="AEA23" s="36"/>
      <c r="AEB23" s="36"/>
      <c r="AEC23" s="36"/>
      <c r="AED23" s="36"/>
      <c r="AEE23" s="36"/>
      <c r="AEF23" s="36"/>
      <c r="AEG23" s="36"/>
      <c r="AEH23" s="36"/>
      <c r="AEI23" s="36"/>
      <c r="AEJ23" s="36"/>
      <c r="AEK23" s="36"/>
      <c r="AEL23" s="36"/>
      <c r="AEM23" s="36"/>
      <c r="AEN23" s="36"/>
      <c r="AEO23" s="36"/>
      <c r="AEP23" s="36"/>
      <c r="AEQ23" s="36"/>
      <c r="AER23" s="36"/>
      <c r="AES23" s="36"/>
      <c r="AET23" s="36"/>
      <c r="AEU23" s="36"/>
      <c r="AEV23" s="36"/>
      <c r="AEW23" s="36"/>
      <c r="AEX23" s="36"/>
      <c r="AEY23" s="36"/>
      <c r="AEZ23" s="36"/>
      <c r="AFA23" s="36"/>
      <c r="AFB23" s="36"/>
      <c r="AFC23" s="36"/>
      <c r="AFD23" s="36"/>
      <c r="AFE23" s="36"/>
      <c r="AFF23" s="36"/>
      <c r="AFG23" s="36"/>
      <c r="AFH23" s="36"/>
      <c r="AFI23" s="36"/>
      <c r="AFJ23" s="36"/>
      <c r="AFK23" s="36"/>
      <c r="AFL23" s="36"/>
      <c r="AFM23" s="36"/>
      <c r="AFN23" s="36"/>
      <c r="AFO23" s="36"/>
      <c r="AFP23" s="36"/>
      <c r="AFQ23" s="36"/>
      <c r="AFR23" s="36"/>
      <c r="AFS23" s="36"/>
      <c r="AFT23" s="36"/>
      <c r="AFU23" s="36"/>
      <c r="AFV23" s="36"/>
      <c r="AFW23" s="36"/>
      <c r="AFX23" s="36"/>
      <c r="AFY23" s="36"/>
      <c r="AFZ23" s="36"/>
      <c r="AGA23" s="36"/>
      <c r="AGB23" s="36"/>
      <c r="AGC23" s="36"/>
      <c r="AGD23" s="36"/>
      <c r="AGE23" s="36"/>
      <c r="AGF23" s="36"/>
      <c r="AGG23" s="36"/>
      <c r="AGH23" s="36"/>
      <c r="AGI23" s="36"/>
      <c r="AGJ23" s="36"/>
      <c r="AGK23" s="36"/>
      <c r="AGL23" s="36"/>
      <c r="AGM23" s="36"/>
      <c r="AGN23" s="36"/>
      <c r="AGO23" s="36"/>
      <c r="AGP23" s="36"/>
      <c r="AGQ23" s="36"/>
      <c r="AGR23" s="36"/>
      <c r="AGS23" s="36"/>
      <c r="AGT23" s="36"/>
      <c r="AGU23" s="36"/>
      <c r="AGV23" s="36"/>
      <c r="AGW23" s="36"/>
      <c r="AGX23" s="36"/>
      <c r="AGY23" s="36"/>
      <c r="AGZ23" s="36"/>
      <c r="AHA23" s="36"/>
      <c r="AHB23" s="36"/>
      <c r="AHC23" s="36"/>
      <c r="AHD23" s="36"/>
      <c r="AHE23" s="36"/>
      <c r="AHF23" s="36"/>
      <c r="AHG23" s="36"/>
      <c r="AHH23" s="36"/>
      <c r="AHI23" s="36"/>
      <c r="AHJ23" s="36"/>
      <c r="AHK23" s="36"/>
      <c r="AHL23" s="36"/>
      <c r="AHM23" s="36"/>
      <c r="AHN23" s="36"/>
      <c r="AHO23" s="36"/>
      <c r="AHP23" s="36"/>
      <c r="AHQ23" s="36"/>
      <c r="AHR23" s="36"/>
      <c r="AHS23" s="36"/>
      <c r="AHT23" s="36"/>
      <c r="AHU23" s="36"/>
      <c r="AHV23" s="36"/>
      <c r="AHW23" s="36"/>
      <c r="AHX23" s="36"/>
      <c r="AHY23" s="36"/>
      <c r="AHZ23" s="36"/>
      <c r="AIA23" s="36"/>
      <c r="AIB23" s="36"/>
      <c r="AIC23" s="36"/>
      <c r="AID23" s="36"/>
      <c r="AIE23" s="36"/>
      <c r="AIF23" s="36"/>
      <c r="AIG23" s="36"/>
      <c r="AIH23" s="36"/>
      <c r="AII23" s="36"/>
      <c r="AIJ23" s="36"/>
      <c r="AIK23" s="36"/>
      <c r="AIL23" s="36"/>
      <c r="AIM23" s="36"/>
      <c r="AIN23" s="36"/>
      <c r="AIO23" s="36"/>
      <c r="AIP23" s="36"/>
      <c r="AIQ23" s="36"/>
      <c r="AIR23" s="36"/>
      <c r="AIS23" s="36"/>
      <c r="AIT23" s="36"/>
      <c r="AIU23" s="36"/>
      <c r="AIV23" s="36"/>
      <c r="AIW23" s="36"/>
      <c r="AIX23" s="36"/>
      <c r="AIY23" s="36"/>
      <c r="AIZ23" s="36"/>
      <c r="AJA23" s="36"/>
      <c r="AJB23" s="36"/>
      <c r="AJC23" s="36"/>
      <c r="AJD23" s="36"/>
      <c r="AJE23" s="36"/>
      <c r="AJF23" s="36"/>
      <c r="AJG23" s="36"/>
      <c r="AJH23" s="36"/>
      <c r="AJI23" s="36"/>
      <c r="AJJ23" s="36"/>
      <c r="AJK23" s="36"/>
      <c r="AJL23" s="36"/>
      <c r="AJM23" s="36"/>
      <c r="AJN23" s="36"/>
      <c r="AJO23" s="36"/>
      <c r="AJP23" s="36"/>
      <c r="AJQ23" s="36"/>
      <c r="AJR23" s="36"/>
      <c r="AJS23" s="36"/>
      <c r="AJT23" s="36"/>
      <c r="AJU23" s="36"/>
      <c r="AJV23" s="36"/>
      <c r="AJW23" s="36"/>
      <c r="AJX23" s="36"/>
      <c r="AJY23" s="36"/>
      <c r="AJZ23" s="36"/>
      <c r="AKA23" s="36"/>
      <c r="AKB23" s="36"/>
      <c r="AKC23" s="36"/>
      <c r="AKD23" s="36"/>
      <c r="AKE23" s="36"/>
      <c r="AKF23" s="36"/>
      <c r="AKG23" s="36"/>
      <c r="AKH23" s="36"/>
      <c r="AKI23" s="36"/>
      <c r="AKJ23" s="36"/>
      <c r="AKK23" s="36"/>
      <c r="AKL23" s="36"/>
      <c r="AKM23" s="36"/>
      <c r="AKN23" s="36"/>
      <c r="AKO23" s="36"/>
      <c r="AKP23" s="36"/>
      <c r="AKQ23" s="36"/>
      <c r="AKR23" s="36"/>
      <c r="AKS23" s="36"/>
      <c r="AKT23" s="36"/>
      <c r="AKU23" s="36"/>
      <c r="AKV23" s="36"/>
      <c r="AKW23" s="36"/>
      <c r="AKX23" s="36"/>
      <c r="AKY23" s="36"/>
      <c r="AKZ23" s="36"/>
      <c r="ALA23" s="36"/>
      <c r="ALB23" s="36"/>
      <c r="ALC23" s="36"/>
      <c r="ALD23" s="36"/>
      <c r="ALE23" s="36"/>
      <c r="ALF23" s="36"/>
      <c r="ALG23" s="36"/>
      <c r="ALH23" s="36"/>
      <c r="ALI23" s="36"/>
      <c r="ALJ23" s="36"/>
      <c r="ALK23" s="36"/>
      <c r="ALL23" s="36"/>
      <c r="ALM23" s="36"/>
      <c r="ALN23" s="36"/>
      <c r="ALO23" s="36"/>
      <c r="ALP23" s="36"/>
      <c r="ALQ23" s="36"/>
      <c r="ALR23" s="36"/>
      <c r="ALS23" s="36"/>
      <c r="ALT23" s="36"/>
      <c r="ALU23" s="36"/>
      <c r="ALV23" s="36"/>
      <c r="ALW23" s="36"/>
      <c r="ALX23" s="36"/>
      <c r="ALY23" s="36"/>
      <c r="ALZ23" s="36"/>
      <c r="AMA23" s="36"/>
      <c r="AMB23" s="36"/>
      <c r="AMC23" s="36"/>
      <c r="AMD23" s="36"/>
      <c r="AME23"/>
      <c r="AMF23"/>
      <c r="AMG23"/>
      <c r="AMH23"/>
      <c r="AMI23"/>
      <c r="AMJ23"/>
    </row>
    <row r="24" spans="1:1024" ht="30" customHeight="1">
      <c r="A24" s="32" t="s">
        <v>27</v>
      </c>
      <c r="B24" s="33"/>
      <c r="C24" s="33"/>
      <c r="D24" s="33"/>
      <c r="E24" s="196">
        <v>4</v>
      </c>
      <c r="F24" s="33"/>
      <c r="G24" s="81"/>
      <c r="H24" s="33"/>
      <c r="I24" s="33"/>
      <c r="J24" s="34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  <c r="IX24" s="36"/>
      <c r="IY24" s="36"/>
      <c r="IZ24" s="36"/>
      <c r="JA24" s="36"/>
      <c r="JB24" s="36"/>
      <c r="JC24" s="36"/>
      <c r="JD24" s="36"/>
      <c r="JE24" s="36"/>
      <c r="JF24" s="36"/>
      <c r="JG24" s="36"/>
      <c r="JH24" s="36"/>
      <c r="JI24" s="36"/>
      <c r="JJ24" s="36"/>
      <c r="JK24" s="36"/>
      <c r="JL24" s="36"/>
      <c r="JM24" s="36"/>
      <c r="JN24" s="36"/>
      <c r="JO24" s="36"/>
      <c r="JP24" s="36"/>
      <c r="JQ24" s="36"/>
      <c r="JR24" s="36"/>
      <c r="JS24" s="36"/>
      <c r="JT24" s="36"/>
      <c r="JU24" s="36"/>
      <c r="JV24" s="36"/>
      <c r="JW24" s="36"/>
      <c r="JX24" s="36"/>
      <c r="JY24" s="36"/>
      <c r="JZ24" s="36"/>
      <c r="KA24" s="36"/>
      <c r="KB24" s="36"/>
      <c r="KC24" s="36"/>
      <c r="KD24" s="36"/>
      <c r="KE24" s="36"/>
      <c r="KF24" s="36"/>
      <c r="KG24" s="36"/>
      <c r="KH24" s="36"/>
      <c r="KI24" s="36"/>
      <c r="KJ24" s="36"/>
      <c r="KK24" s="36"/>
      <c r="KL24" s="36"/>
      <c r="KM24" s="36"/>
      <c r="KN24" s="36"/>
      <c r="KO24" s="36"/>
      <c r="KP24" s="36"/>
      <c r="KQ24" s="36"/>
      <c r="KR24" s="36"/>
      <c r="KS24" s="36"/>
      <c r="KT24" s="36"/>
      <c r="KU24" s="36"/>
      <c r="KV24" s="36"/>
      <c r="KW24" s="36"/>
      <c r="KX24" s="36"/>
      <c r="KY24" s="36"/>
      <c r="KZ24" s="36"/>
      <c r="LA24" s="36"/>
      <c r="LB24" s="36"/>
      <c r="LC24" s="36"/>
      <c r="LD24" s="36"/>
      <c r="LE24" s="36"/>
      <c r="LF24" s="36"/>
      <c r="LG24" s="36"/>
      <c r="LH24" s="36"/>
      <c r="LI24" s="36"/>
      <c r="LJ24" s="36"/>
      <c r="LK24" s="36"/>
      <c r="LL24" s="36"/>
      <c r="LM24" s="36"/>
      <c r="LN24" s="36"/>
      <c r="LO24" s="36"/>
      <c r="LP24" s="36"/>
      <c r="LQ24" s="36"/>
      <c r="LR24" s="36"/>
      <c r="LS24" s="36"/>
      <c r="LT24" s="36"/>
      <c r="LU24" s="36"/>
      <c r="LV24" s="36"/>
      <c r="LW24" s="36"/>
      <c r="LX24" s="36"/>
      <c r="LY24" s="36"/>
      <c r="LZ24" s="36"/>
      <c r="MA24" s="36"/>
      <c r="MB24" s="36"/>
      <c r="MC24" s="36"/>
      <c r="MD24" s="36"/>
      <c r="ME24" s="36"/>
      <c r="MF24" s="36"/>
      <c r="MG24" s="36"/>
      <c r="MH24" s="36"/>
      <c r="MI24" s="36"/>
      <c r="MJ24" s="36"/>
      <c r="MK24" s="36"/>
      <c r="ML24" s="36"/>
      <c r="MM24" s="36"/>
      <c r="MN24" s="36"/>
      <c r="MO24" s="36"/>
      <c r="MP24" s="36"/>
      <c r="MQ24" s="36"/>
      <c r="MR24" s="36"/>
      <c r="MS24" s="36"/>
      <c r="MT24" s="36"/>
      <c r="MU24" s="36"/>
      <c r="MV24" s="36"/>
      <c r="MW24" s="36"/>
      <c r="MX24" s="36"/>
      <c r="MY24" s="36"/>
      <c r="MZ24" s="36"/>
      <c r="NA24" s="36"/>
      <c r="NB24" s="36"/>
      <c r="NC24" s="36"/>
      <c r="ND24" s="36"/>
      <c r="NE24" s="36"/>
      <c r="NF24" s="36"/>
      <c r="NG24" s="36"/>
      <c r="NH24" s="36"/>
      <c r="NI24" s="36"/>
      <c r="NJ24" s="36"/>
      <c r="NK24" s="36"/>
      <c r="NL24" s="36"/>
      <c r="NM24" s="36"/>
      <c r="NN24" s="36"/>
      <c r="NO24" s="36"/>
      <c r="NP24" s="36"/>
      <c r="NQ24" s="36"/>
      <c r="NR24" s="36"/>
      <c r="NS24" s="36"/>
      <c r="NT24" s="36"/>
      <c r="NU24" s="36"/>
      <c r="NV24" s="36"/>
      <c r="NW24" s="36"/>
      <c r="NX24" s="36"/>
      <c r="NY24" s="36"/>
      <c r="NZ24" s="36"/>
      <c r="OA24" s="36"/>
      <c r="OB24" s="36"/>
      <c r="OC24" s="36"/>
      <c r="OD24" s="36"/>
      <c r="OE24" s="36"/>
      <c r="OF24" s="36"/>
      <c r="OG24" s="36"/>
      <c r="OH24" s="36"/>
      <c r="OI24" s="36"/>
      <c r="OJ24" s="36"/>
      <c r="OK24" s="36"/>
      <c r="OL24" s="36"/>
      <c r="OM24" s="36"/>
      <c r="ON24" s="36"/>
      <c r="OO24" s="36"/>
      <c r="OP24" s="36"/>
      <c r="OQ24" s="36"/>
      <c r="OR24" s="36"/>
      <c r="OS24" s="36"/>
      <c r="OT24" s="36"/>
      <c r="OU24" s="36"/>
      <c r="OV24" s="36"/>
      <c r="OW24" s="36"/>
      <c r="OX24" s="36"/>
      <c r="OY24" s="36"/>
      <c r="OZ24" s="36"/>
      <c r="PA24" s="36"/>
      <c r="PB24" s="36"/>
      <c r="PC24" s="36"/>
      <c r="PD24" s="36"/>
      <c r="PE24" s="36"/>
      <c r="PF24" s="36"/>
      <c r="PG24" s="36"/>
      <c r="PH24" s="36"/>
      <c r="PI24" s="36"/>
      <c r="PJ24" s="36"/>
      <c r="PK24" s="36"/>
      <c r="PL24" s="36"/>
      <c r="PM24" s="36"/>
      <c r="PN24" s="36"/>
      <c r="PO24" s="36"/>
      <c r="PP24" s="36"/>
      <c r="PQ24" s="36"/>
      <c r="PR24" s="36"/>
      <c r="PS24" s="36"/>
      <c r="PT24" s="36"/>
      <c r="PU24" s="36"/>
      <c r="PV24" s="36"/>
      <c r="PW24" s="36"/>
      <c r="PX24" s="36"/>
      <c r="PY24" s="36"/>
      <c r="PZ24" s="36"/>
      <c r="QA24" s="36"/>
      <c r="QB24" s="36"/>
      <c r="QC24" s="36"/>
      <c r="QD24" s="36"/>
      <c r="QE24" s="36"/>
      <c r="QF24" s="36"/>
      <c r="QG24" s="36"/>
      <c r="QH24" s="36"/>
      <c r="QI24" s="36"/>
      <c r="QJ24" s="36"/>
      <c r="QK24" s="36"/>
      <c r="QL24" s="36"/>
      <c r="QM24" s="36"/>
      <c r="QN24" s="36"/>
      <c r="QO24" s="36"/>
      <c r="QP24" s="36"/>
      <c r="QQ24" s="36"/>
      <c r="QR24" s="36"/>
      <c r="QS24" s="36"/>
      <c r="QT24" s="36"/>
      <c r="QU24" s="36"/>
      <c r="QV24" s="36"/>
      <c r="QW24" s="36"/>
      <c r="QX24" s="36"/>
      <c r="QY24" s="36"/>
      <c r="QZ24" s="36"/>
      <c r="RA24" s="36"/>
      <c r="RB24" s="36"/>
      <c r="RC24" s="36"/>
      <c r="RD24" s="36"/>
      <c r="RE24" s="36"/>
      <c r="RF24" s="36"/>
      <c r="RG24" s="36"/>
      <c r="RH24" s="36"/>
      <c r="RI24" s="36"/>
      <c r="RJ24" s="36"/>
      <c r="RK24" s="36"/>
      <c r="RL24" s="36"/>
      <c r="RM24" s="36"/>
      <c r="RN24" s="36"/>
      <c r="RO24" s="36"/>
      <c r="RP24" s="36"/>
      <c r="RQ24" s="36"/>
      <c r="RR24" s="36"/>
      <c r="RS24" s="36"/>
      <c r="RT24" s="36"/>
      <c r="RU24" s="36"/>
      <c r="RV24" s="36"/>
      <c r="RW24" s="36"/>
      <c r="RX24" s="36"/>
      <c r="RY24" s="36"/>
      <c r="RZ24" s="36"/>
      <c r="SA24" s="36"/>
      <c r="SB24" s="36"/>
      <c r="SC24" s="36"/>
      <c r="SD24" s="36"/>
      <c r="SE24" s="36"/>
      <c r="SF24" s="36"/>
      <c r="SG24" s="36"/>
      <c r="SH24" s="36"/>
      <c r="SI24" s="36"/>
      <c r="SJ24" s="36"/>
      <c r="SK24" s="36"/>
      <c r="SL24" s="36"/>
      <c r="SM24" s="36"/>
      <c r="SN24" s="36"/>
      <c r="SO24" s="36"/>
      <c r="SP24" s="36"/>
      <c r="SQ24" s="36"/>
      <c r="SR24" s="36"/>
      <c r="SS24" s="36"/>
      <c r="ST24" s="36"/>
      <c r="SU24" s="36"/>
      <c r="SV24" s="36"/>
      <c r="SW24" s="36"/>
      <c r="SX24" s="36"/>
      <c r="SY24" s="36"/>
      <c r="SZ24" s="36"/>
      <c r="TA24" s="36"/>
      <c r="TB24" s="36"/>
      <c r="TC24" s="36"/>
      <c r="TD24" s="36"/>
      <c r="TE24" s="36"/>
      <c r="TF24" s="36"/>
      <c r="TG24" s="36"/>
      <c r="TH24" s="36"/>
      <c r="TI24" s="36"/>
      <c r="TJ24" s="36"/>
      <c r="TK24" s="36"/>
      <c r="TL24" s="36"/>
      <c r="TM24" s="36"/>
      <c r="TN24" s="36"/>
      <c r="TO24" s="36"/>
      <c r="TP24" s="36"/>
      <c r="TQ24" s="36"/>
      <c r="TR24" s="36"/>
      <c r="TS24" s="36"/>
      <c r="TT24" s="36"/>
      <c r="TU24" s="36"/>
      <c r="TV24" s="36"/>
      <c r="TW24" s="36"/>
      <c r="TX24" s="36"/>
      <c r="TY24" s="36"/>
      <c r="TZ24" s="36"/>
      <c r="UA24" s="36"/>
      <c r="UB24" s="36"/>
      <c r="UC24" s="36"/>
      <c r="UD24" s="36"/>
      <c r="UE24" s="36"/>
      <c r="UF24" s="36"/>
      <c r="UG24" s="36"/>
      <c r="UH24" s="36"/>
      <c r="UI24" s="36"/>
      <c r="UJ24" s="36"/>
      <c r="UK24" s="36"/>
      <c r="UL24" s="36"/>
      <c r="UM24" s="36"/>
      <c r="UN24" s="36"/>
      <c r="UO24" s="36"/>
      <c r="UP24" s="36"/>
      <c r="UQ24" s="36"/>
      <c r="UR24" s="36"/>
      <c r="US24" s="36"/>
      <c r="UT24" s="36"/>
      <c r="UU24" s="36"/>
      <c r="UV24" s="36"/>
      <c r="UW24" s="36"/>
      <c r="UX24" s="36"/>
      <c r="UY24" s="36"/>
      <c r="UZ24" s="36"/>
      <c r="VA24" s="36"/>
      <c r="VB24" s="36"/>
      <c r="VC24" s="36"/>
      <c r="VD24" s="36"/>
      <c r="VE24" s="36"/>
      <c r="VF24" s="36"/>
      <c r="VG24" s="36"/>
      <c r="VH24" s="36"/>
      <c r="VI24" s="36"/>
      <c r="VJ24" s="36"/>
      <c r="VK24" s="36"/>
      <c r="VL24" s="36"/>
      <c r="VM24" s="36"/>
      <c r="VN24" s="36"/>
      <c r="VO24" s="36"/>
      <c r="VP24" s="36"/>
      <c r="VQ24" s="36"/>
      <c r="VR24" s="36"/>
      <c r="VS24" s="36"/>
      <c r="VT24" s="36"/>
      <c r="VU24" s="36"/>
      <c r="VV24" s="36"/>
      <c r="VW24" s="36"/>
      <c r="VX24" s="36"/>
      <c r="VY24" s="36"/>
      <c r="VZ24" s="36"/>
      <c r="WA24" s="36"/>
      <c r="WB24" s="36"/>
      <c r="WC24" s="36"/>
      <c r="WD24" s="36"/>
      <c r="WE24" s="36"/>
      <c r="WF24" s="36"/>
      <c r="WG24" s="36"/>
      <c r="WH24" s="36"/>
      <c r="WI24" s="36"/>
      <c r="WJ24" s="36"/>
      <c r="WK24" s="36"/>
      <c r="WL24" s="36"/>
      <c r="WM24" s="36"/>
      <c r="WN24" s="36"/>
      <c r="WO24" s="36"/>
      <c r="WP24" s="36"/>
      <c r="WQ24" s="36"/>
      <c r="WR24" s="36"/>
      <c r="WS24" s="36"/>
      <c r="WT24" s="36"/>
      <c r="WU24" s="36"/>
      <c r="WV24" s="36"/>
      <c r="WW24" s="36"/>
      <c r="WX24" s="36"/>
      <c r="WY24" s="36"/>
      <c r="WZ24" s="36"/>
      <c r="XA24" s="36"/>
      <c r="XB24" s="36"/>
      <c r="XC24" s="36"/>
      <c r="XD24" s="36"/>
      <c r="XE24" s="36"/>
      <c r="XF24" s="36"/>
      <c r="XG24" s="36"/>
      <c r="XH24" s="36"/>
      <c r="XI24" s="36"/>
      <c r="XJ24" s="36"/>
      <c r="XK24" s="36"/>
      <c r="XL24" s="36"/>
      <c r="XM24" s="36"/>
      <c r="XN24" s="36"/>
      <c r="XO24" s="36"/>
      <c r="XP24" s="36"/>
      <c r="XQ24" s="36"/>
      <c r="XR24" s="36"/>
      <c r="XS24" s="36"/>
      <c r="XT24" s="36"/>
      <c r="XU24" s="36"/>
      <c r="XV24" s="36"/>
      <c r="XW24" s="36"/>
      <c r="XX24" s="36"/>
      <c r="XY24" s="36"/>
      <c r="XZ24" s="36"/>
      <c r="YA24" s="36"/>
      <c r="YB24" s="36"/>
      <c r="YC24" s="36"/>
      <c r="YD24" s="36"/>
      <c r="YE24" s="36"/>
      <c r="YF24" s="36"/>
      <c r="YG24" s="36"/>
      <c r="YH24" s="36"/>
      <c r="YI24" s="36"/>
      <c r="YJ24" s="36"/>
      <c r="YK24" s="36"/>
      <c r="YL24" s="36"/>
      <c r="YM24" s="36"/>
      <c r="YN24" s="36"/>
      <c r="YO24" s="36"/>
      <c r="YP24" s="36"/>
      <c r="YQ24" s="36"/>
      <c r="YR24" s="36"/>
      <c r="YS24" s="36"/>
      <c r="YT24" s="36"/>
      <c r="YU24" s="36"/>
      <c r="YV24" s="36"/>
      <c r="YW24" s="36"/>
      <c r="YX24" s="36"/>
      <c r="YY24" s="36"/>
      <c r="YZ24" s="36"/>
      <c r="ZA24" s="36"/>
      <c r="ZB24" s="36"/>
      <c r="ZC24" s="36"/>
      <c r="ZD24" s="36"/>
      <c r="ZE24" s="36"/>
      <c r="ZF24" s="36"/>
      <c r="ZG24" s="36"/>
      <c r="ZH24" s="36"/>
      <c r="ZI24" s="36"/>
      <c r="ZJ24" s="36"/>
      <c r="ZK24" s="36"/>
      <c r="ZL24" s="36"/>
      <c r="ZM24" s="36"/>
      <c r="ZN24" s="36"/>
      <c r="ZO24" s="36"/>
      <c r="ZP24" s="36"/>
      <c r="ZQ24" s="36"/>
      <c r="ZR24" s="36"/>
      <c r="ZS24" s="36"/>
      <c r="ZT24" s="36"/>
      <c r="ZU24" s="36"/>
      <c r="ZV24" s="36"/>
      <c r="ZW24" s="36"/>
      <c r="ZX24" s="36"/>
      <c r="ZY24" s="36"/>
      <c r="ZZ24" s="36"/>
      <c r="AAA24" s="36"/>
      <c r="AAB24" s="36"/>
      <c r="AAC24" s="36"/>
      <c r="AAD24" s="36"/>
      <c r="AAE24" s="36"/>
      <c r="AAF24" s="36"/>
      <c r="AAG24" s="36"/>
      <c r="AAH24" s="36"/>
      <c r="AAI24" s="36"/>
      <c r="AAJ24" s="36"/>
      <c r="AAK24" s="36"/>
      <c r="AAL24" s="36"/>
      <c r="AAM24" s="36"/>
      <c r="AAN24" s="36"/>
      <c r="AAO24" s="36"/>
      <c r="AAP24" s="36"/>
      <c r="AAQ24" s="36"/>
      <c r="AAR24" s="36"/>
      <c r="AAS24" s="36"/>
      <c r="AAT24" s="36"/>
      <c r="AAU24" s="36"/>
      <c r="AAV24" s="36"/>
      <c r="AAW24" s="36"/>
      <c r="AAX24" s="36"/>
      <c r="AAY24" s="36"/>
      <c r="AAZ24" s="36"/>
      <c r="ABA24" s="36"/>
      <c r="ABB24" s="36"/>
      <c r="ABC24" s="36"/>
      <c r="ABD24" s="36"/>
      <c r="ABE24" s="36"/>
      <c r="ABF24" s="36"/>
      <c r="ABG24" s="36"/>
      <c r="ABH24" s="36"/>
      <c r="ABI24" s="36"/>
      <c r="ABJ24" s="36"/>
      <c r="ABK24" s="36"/>
      <c r="ABL24" s="36"/>
      <c r="ABM24" s="36"/>
      <c r="ABN24" s="36"/>
      <c r="ABO24" s="36"/>
      <c r="ABP24" s="36"/>
      <c r="ABQ24" s="36"/>
      <c r="ABR24" s="36"/>
      <c r="ABS24" s="36"/>
      <c r="ABT24" s="36"/>
      <c r="ABU24" s="36"/>
      <c r="ABV24" s="36"/>
      <c r="ABW24" s="36"/>
      <c r="ABX24" s="36"/>
      <c r="ABY24" s="36"/>
      <c r="ABZ24" s="36"/>
      <c r="ACA24" s="36"/>
      <c r="ACB24" s="36"/>
      <c r="ACC24" s="36"/>
      <c r="ACD24" s="36"/>
      <c r="ACE24" s="36"/>
      <c r="ACF24" s="36"/>
      <c r="ACG24" s="36"/>
      <c r="ACH24" s="36"/>
      <c r="ACI24" s="36"/>
      <c r="ACJ24" s="36"/>
      <c r="ACK24" s="36"/>
      <c r="ACL24" s="36"/>
      <c r="ACM24" s="36"/>
      <c r="ACN24" s="36"/>
      <c r="ACO24" s="36"/>
      <c r="ACP24" s="36"/>
      <c r="ACQ24" s="36"/>
      <c r="ACR24" s="36"/>
      <c r="ACS24" s="36"/>
      <c r="ACT24" s="36"/>
      <c r="ACU24" s="36"/>
      <c r="ACV24" s="36"/>
      <c r="ACW24" s="36"/>
      <c r="ACX24" s="36"/>
      <c r="ACY24" s="36"/>
      <c r="ACZ24" s="36"/>
      <c r="ADA24" s="36"/>
      <c r="ADB24" s="36"/>
      <c r="ADC24" s="36"/>
      <c r="ADD24" s="36"/>
      <c r="ADE24" s="36"/>
      <c r="ADF24" s="36"/>
      <c r="ADG24" s="36"/>
      <c r="ADH24" s="36"/>
      <c r="ADI24" s="36"/>
      <c r="ADJ24" s="36"/>
      <c r="ADK24" s="36"/>
      <c r="ADL24" s="36"/>
      <c r="ADM24" s="36"/>
      <c r="ADN24" s="36"/>
      <c r="ADO24" s="36"/>
      <c r="ADP24" s="36"/>
      <c r="ADQ24" s="36"/>
      <c r="ADR24" s="36"/>
      <c r="ADS24" s="36"/>
      <c r="ADT24" s="36"/>
      <c r="ADU24" s="36"/>
      <c r="ADV24" s="36"/>
      <c r="ADW24" s="36"/>
      <c r="ADX24" s="36"/>
      <c r="ADY24" s="36"/>
      <c r="ADZ24" s="36"/>
      <c r="AEA24" s="36"/>
      <c r="AEB24" s="36"/>
      <c r="AEC24" s="36"/>
      <c r="AED24" s="36"/>
      <c r="AEE24" s="36"/>
      <c r="AEF24" s="36"/>
      <c r="AEG24" s="36"/>
      <c r="AEH24" s="36"/>
      <c r="AEI24" s="36"/>
      <c r="AEJ24" s="36"/>
      <c r="AEK24" s="36"/>
      <c r="AEL24" s="36"/>
      <c r="AEM24" s="36"/>
      <c r="AEN24" s="36"/>
      <c r="AEO24" s="36"/>
      <c r="AEP24" s="36"/>
      <c r="AEQ24" s="36"/>
      <c r="AER24" s="36"/>
      <c r="AES24" s="36"/>
      <c r="AET24" s="36"/>
      <c r="AEU24" s="36"/>
      <c r="AEV24" s="36"/>
      <c r="AEW24" s="36"/>
      <c r="AEX24" s="36"/>
      <c r="AEY24" s="36"/>
      <c r="AEZ24" s="36"/>
      <c r="AFA24" s="36"/>
      <c r="AFB24" s="36"/>
      <c r="AFC24" s="36"/>
      <c r="AFD24" s="36"/>
      <c r="AFE24" s="36"/>
      <c r="AFF24" s="36"/>
      <c r="AFG24" s="36"/>
      <c r="AFH24" s="36"/>
      <c r="AFI24" s="36"/>
      <c r="AFJ24" s="36"/>
      <c r="AFK24" s="36"/>
      <c r="AFL24" s="36"/>
      <c r="AFM24" s="36"/>
      <c r="AFN24" s="36"/>
      <c r="AFO24" s="36"/>
      <c r="AFP24" s="36"/>
      <c r="AFQ24" s="36"/>
      <c r="AFR24" s="36"/>
      <c r="AFS24" s="36"/>
      <c r="AFT24" s="36"/>
      <c r="AFU24" s="36"/>
      <c r="AFV24" s="36"/>
      <c r="AFW24" s="36"/>
      <c r="AFX24" s="36"/>
      <c r="AFY24" s="36"/>
      <c r="AFZ24" s="36"/>
      <c r="AGA24" s="36"/>
      <c r="AGB24" s="36"/>
      <c r="AGC24" s="36"/>
      <c r="AGD24" s="36"/>
      <c r="AGE24" s="36"/>
      <c r="AGF24" s="36"/>
      <c r="AGG24" s="36"/>
      <c r="AGH24" s="36"/>
      <c r="AGI24" s="36"/>
      <c r="AGJ24" s="36"/>
      <c r="AGK24" s="36"/>
      <c r="AGL24" s="36"/>
      <c r="AGM24" s="36"/>
      <c r="AGN24" s="36"/>
      <c r="AGO24" s="36"/>
      <c r="AGP24" s="36"/>
      <c r="AGQ24" s="36"/>
      <c r="AGR24" s="36"/>
      <c r="AGS24" s="36"/>
      <c r="AGT24" s="36"/>
      <c r="AGU24" s="36"/>
      <c r="AGV24" s="36"/>
      <c r="AGW24" s="36"/>
      <c r="AGX24" s="36"/>
      <c r="AGY24" s="36"/>
      <c r="AGZ24" s="36"/>
      <c r="AHA24" s="36"/>
      <c r="AHB24" s="36"/>
      <c r="AHC24" s="36"/>
      <c r="AHD24" s="36"/>
      <c r="AHE24" s="36"/>
      <c r="AHF24" s="36"/>
      <c r="AHG24" s="36"/>
      <c r="AHH24" s="36"/>
      <c r="AHI24" s="36"/>
      <c r="AHJ24" s="36"/>
      <c r="AHK24" s="36"/>
      <c r="AHL24" s="36"/>
      <c r="AHM24" s="36"/>
      <c r="AHN24" s="36"/>
      <c r="AHO24" s="36"/>
      <c r="AHP24" s="36"/>
      <c r="AHQ24" s="36"/>
      <c r="AHR24" s="36"/>
      <c r="AHS24" s="36"/>
      <c r="AHT24" s="36"/>
      <c r="AHU24" s="36"/>
      <c r="AHV24" s="36"/>
      <c r="AHW24" s="36"/>
      <c r="AHX24" s="36"/>
      <c r="AHY24" s="36"/>
      <c r="AHZ24" s="36"/>
      <c r="AIA24" s="36"/>
      <c r="AIB24" s="36"/>
      <c r="AIC24" s="36"/>
      <c r="AID24" s="36"/>
      <c r="AIE24" s="36"/>
      <c r="AIF24" s="36"/>
      <c r="AIG24" s="36"/>
      <c r="AIH24" s="36"/>
      <c r="AII24" s="36"/>
      <c r="AIJ24" s="36"/>
      <c r="AIK24" s="36"/>
      <c r="AIL24" s="36"/>
      <c r="AIM24" s="36"/>
      <c r="AIN24" s="36"/>
      <c r="AIO24" s="36"/>
      <c r="AIP24" s="36"/>
      <c r="AIQ24" s="36"/>
      <c r="AIR24" s="36"/>
      <c r="AIS24" s="36"/>
      <c r="AIT24" s="36"/>
      <c r="AIU24" s="36"/>
      <c r="AIV24" s="36"/>
      <c r="AIW24" s="36"/>
      <c r="AIX24" s="36"/>
      <c r="AIY24" s="36"/>
      <c r="AIZ24" s="36"/>
      <c r="AJA24" s="36"/>
      <c r="AJB24" s="36"/>
      <c r="AJC24" s="36"/>
      <c r="AJD24" s="36"/>
      <c r="AJE24" s="36"/>
      <c r="AJF24" s="36"/>
      <c r="AJG24" s="36"/>
      <c r="AJH24" s="36"/>
      <c r="AJI24" s="36"/>
      <c r="AJJ24" s="36"/>
      <c r="AJK24" s="36"/>
      <c r="AJL24" s="36"/>
      <c r="AJM24" s="36"/>
      <c r="AJN24" s="36"/>
      <c r="AJO24" s="36"/>
      <c r="AJP24" s="36"/>
      <c r="AJQ24" s="36"/>
      <c r="AJR24" s="36"/>
      <c r="AJS24" s="36"/>
      <c r="AJT24" s="36"/>
      <c r="AJU24" s="36"/>
      <c r="AJV24" s="36"/>
      <c r="AJW24" s="36"/>
      <c r="AJX24" s="36"/>
      <c r="AJY24" s="36"/>
      <c r="AJZ24" s="36"/>
      <c r="AKA24" s="36"/>
      <c r="AKB24" s="36"/>
      <c r="AKC24" s="36"/>
      <c r="AKD24" s="36"/>
      <c r="AKE24" s="36"/>
      <c r="AKF24" s="36"/>
      <c r="AKG24" s="36"/>
      <c r="AKH24" s="36"/>
      <c r="AKI24" s="36"/>
      <c r="AKJ24" s="36"/>
      <c r="AKK24" s="36"/>
      <c r="AKL24" s="36"/>
      <c r="AKM24" s="36"/>
      <c r="AKN24" s="36"/>
      <c r="AKO24" s="36"/>
      <c r="AKP24" s="36"/>
      <c r="AKQ24" s="36"/>
      <c r="AKR24" s="36"/>
      <c r="AKS24" s="36"/>
      <c r="AKT24" s="36"/>
      <c r="AKU24" s="36"/>
      <c r="AKV24" s="36"/>
      <c r="AKW24" s="36"/>
      <c r="AKX24" s="36"/>
      <c r="AKY24" s="36"/>
      <c r="AKZ24" s="36"/>
      <c r="ALA24" s="36"/>
      <c r="ALB24" s="36"/>
      <c r="ALC24" s="36"/>
      <c r="ALD24" s="36"/>
      <c r="ALE24" s="36"/>
      <c r="ALF24" s="36"/>
      <c r="ALG24" s="36"/>
      <c r="ALH24" s="36"/>
      <c r="ALI24" s="36"/>
      <c r="ALJ24" s="36"/>
      <c r="ALK24" s="36"/>
      <c r="ALL24" s="36"/>
      <c r="ALM24" s="36"/>
      <c r="ALN24" s="36"/>
      <c r="ALO24" s="36"/>
      <c r="ALP24" s="36"/>
      <c r="ALQ24" s="36"/>
      <c r="ALR24" s="36"/>
      <c r="ALS24" s="36"/>
      <c r="ALT24" s="36"/>
      <c r="ALU24" s="36"/>
      <c r="ALV24" s="36"/>
      <c r="ALW24" s="36"/>
      <c r="ALX24" s="36"/>
      <c r="ALY24" s="36"/>
      <c r="ALZ24" s="36"/>
      <c r="AMA24" s="36"/>
      <c r="AMB24" s="36"/>
      <c r="AMC24" s="36"/>
      <c r="AMD24" s="36"/>
      <c r="AME24"/>
      <c r="AMF24"/>
      <c r="AMG24"/>
      <c r="AMH24"/>
      <c r="AMI24"/>
      <c r="AMJ24"/>
    </row>
    <row r="25" spans="1:1024" ht="30" customHeight="1">
      <c r="A25" s="32" t="s">
        <v>26</v>
      </c>
      <c r="B25" s="33"/>
      <c r="C25" s="33"/>
      <c r="D25" s="33"/>
      <c r="E25" s="196" t="s">
        <v>190</v>
      </c>
      <c r="F25" s="33"/>
      <c r="G25" s="81"/>
      <c r="H25" s="33"/>
      <c r="I25" s="33"/>
      <c r="J25" s="34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  <c r="IX25" s="36"/>
      <c r="IY25" s="36"/>
      <c r="IZ25" s="36"/>
      <c r="JA25" s="36"/>
      <c r="JB25" s="36"/>
      <c r="JC25" s="36"/>
      <c r="JD25" s="36"/>
      <c r="JE25" s="36"/>
      <c r="JF25" s="36"/>
      <c r="JG25" s="36"/>
      <c r="JH25" s="36"/>
      <c r="JI25" s="36"/>
      <c r="JJ25" s="36"/>
      <c r="JK25" s="36"/>
      <c r="JL25" s="36"/>
      <c r="JM25" s="36"/>
      <c r="JN25" s="36"/>
      <c r="JO25" s="36"/>
      <c r="JP25" s="36"/>
      <c r="JQ25" s="36"/>
      <c r="JR25" s="36"/>
      <c r="JS25" s="36"/>
      <c r="JT25" s="36"/>
      <c r="JU25" s="36"/>
      <c r="JV25" s="36"/>
      <c r="JW25" s="36"/>
      <c r="JX25" s="36"/>
      <c r="JY25" s="36"/>
      <c r="JZ25" s="36"/>
      <c r="KA25" s="36"/>
      <c r="KB25" s="36"/>
      <c r="KC25" s="36"/>
      <c r="KD25" s="36"/>
      <c r="KE25" s="36"/>
      <c r="KF25" s="36"/>
      <c r="KG25" s="36"/>
      <c r="KH25" s="36"/>
      <c r="KI25" s="36"/>
      <c r="KJ25" s="36"/>
      <c r="KK25" s="36"/>
      <c r="KL25" s="36"/>
      <c r="KM25" s="36"/>
      <c r="KN25" s="36"/>
      <c r="KO25" s="36"/>
      <c r="KP25" s="36"/>
      <c r="KQ25" s="36"/>
      <c r="KR25" s="36"/>
      <c r="KS25" s="36"/>
      <c r="KT25" s="36"/>
      <c r="KU25" s="36"/>
      <c r="KV25" s="36"/>
      <c r="KW25" s="36"/>
      <c r="KX25" s="36"/>
      <c r="KY25" s="36"/>
      <c r="KZ25" s="36"/>
      <c r="LA25" s="36"/>
      <c r="LB25" s="36"/>
      <c r="LC25" s="36"/>
      <c r="LD25" s="36"/>
      <c r="LE25" s="36"/>
      <c r="LF25" s="36"/>
      <c r="LG25" s="36"/>
      <c r="LH25" s="36"/>
      <c r="LI25" s="36"/>
      <c r="LJ25" s="36"/>
      <c r="LK25" s="36"/>
      <c r="LL25" s="36"/>
      <c r="LM25" s="36"/>
      <c r="LN25" s="36"/>
      <c r="LO25" s="36"/>
      <c r="LP25" s="36"/>
      <c r="LQ25" s="36"/>
      <c r="LR25" s="36"/>
      <c r="LS25" s="36"/>
      <c r="LT25" s="36"/>
      <c r="LU25" s="36"/>
      <c r="LV25" s="36"/>
      <c r="LW25" s="36"/>
      <c r="LX25" s="36"/>
      <c r="LY25" s="36"/>
      <c r="LZ25" s="36"/>
      <c r="MA25" s="36"/>
      <c r="MB25" s="36"/>
      <c r="MC25" s="36"/>
      <c r="MD25" s="36"/>
      <c r="ME25" s="36"/>
      <c r="MF25" s="36"/>
      <c r="MG25" s="36"/>
      <c r="MH25" s="36"/>
      <c r="MI25" s="36"/>
      <c r="MJ25" s="36"/>
      <c r="MK25" s="36"/>
      <c r="ML25" s="36"/>
      <c r="MM25" s="36"/>
      <c r="MN25" s="36"/>
      <c r="MO25" s="36"/>
      <c r="MP25" s="36"/>
      <c r="MQ25" s="36"/>
      <c r="MR25" s="36"/>
      <c r="MS25" s="36"/>
      <c r="MT25" s="36"/>
      <c r="MU25" s="36"/>
      <c r="MV25" s="36"/>
      <c r="MW25" s="36"/>
      <c r="MX25" s="36"/>
      <c r="MY25" s="36"/>
      <c r="MZ25" s="36"/>
      <c r="NA25" s="36"/>
      <c r="NB25" s="36"/>
      <c r="NC25" s="36"/>
      <c r="ND25" s="36"/>
      <c r="NE25" s="36"/>
      <c r="NF25" s="36"/>
      <c r="NG25" s="36"/>
      <c r="NH25" s="36"/>
      <c r="NI25" s="36"/>
      <c r="NJ25" s="36"/>
      <c r="NK25" s="36"/>
      <c r="NL25" s="36"/>
      <c r="NM25" s="36"/>
      <c r="NN25" s="36"/>
      <c r="NO25" s="36"/>
      <c r="NP25" s="36"/>
      <c r="NQ25" s="36"/>
      <c r="NR25" s="36"/>
      <c r="NS25" s="36"/>
      <c r="NT25" s="36"/>
      <c r="NU25" s="36"/>
      <c r="NV25" s="36"/>
      <c r="NW25" s="36"/>
      <c r="NX25" s="36"/>
      <c r="NY25" s="36"/>
      <c r="NZ25" s="36"/>
      <c r="OA25" s="36"/>
      <c r="OB25" s="36"/>
      <c r="OC25" s="36"/>
      <c r="OD25" s="36"/>
      <c r="OE25" s="36"/>
      <c r="OF25" s="36"/>
      <c r="OG25" s="36"/>
      <c r="OH25" s="36"/>
      <c r="OI25" s="36"/>
      <c r="OJ25" s="36"/>
      <c r="OK25" s="36"/>
      <c r="OL25" s="36"/>
      <c r="OM25" s="36"/>
      <c r="ON25" s="36"/>
      <c r="OO25" s="36"/>
      <c r="OP25" s="36"/>
      <c r="OQ25" s="36"/>
      <c r="OR25" s="36"/>
      <c r="OS25" s="36"/>
      <c r="OT25" s="36"/>
      <c r="OU25" s="36"/>
      <c r="OV25" s="36"/>
      <c r="OW25" s="36"/>
      <c r="OX25" s="36"/>
      <c r="OY25" s="36"/>
      <c r="OZ25" s="36"/>
      <c r="PA25" s="36"/>
      <c r="PB25" s="36"/>
      <c r="PC25" s="36"/>
      <c r="PD25" s="36"/>
      <c r="PE25" s="36"/>
      <c r="PF25" s="36"/>
      <c r="PG25" s="36"/>
      <c r="PH25" s="36"/>
      <c r="PI25" s="36"/>
      <c r="PJ25" s="36"/>
      <c r="PK25" s="36"/>
      <c r="PL25" s="36"/>
      <c r="PM25" s="36"/>
      <c r="PN25" s="36"/>
      <c r="PO25" s="36"/>
      <c r="PP25" s="36"/>
      <c r="PQ25" s="36"/>
      <c r="PR25" s="36"/>
      <c r="PS25" s="36"/>
      <c r="PT25" s="36"/>
      <c r="PU25" s="36"/>
      <c r="PV25" s="36"/>
      <c r="PW25" s="36"/>
      <c r="PX25" s="36"/>
      <c r="PY25" s="36"/>
      <c r="PZ25" s="36"/>
      <c r="QA25" s="36"/>
      <c r="QB25" s="36"/>
      <c r="QC25" s="36"/>
      <c r="QD25" s="36"/>
      <c r="QE25" s="36"/>
      <c r="QF25" s="36"/>
      <c r="QG25" s="36"/>
      <c r="QH25" s="36"/>
      <c r="QI25" s="36"/>
      <c r="QJ25" s="36"/>
      <c r="QK25" s="36"/>
      <c r="QL25" s="36"/>
      <c r="QM25" s="36"/>
      <c r="QN25" s="36"/>
      <c r="QO25" s="36"/>
      <c r="QP25" s="36"/>
      <c r="QQ25" s="36"/>
      <c r="QR25" s="36"/>
      <c r="QS25" s="36"/>
      <c r="QT25" s="36"/>
      <c r="QU25" s="36"/>
      <c r="QV25" s="36"/>
      <c r="QW25" s="36"/>
      <c r="QX25" s="36"/>
      <c r="QY25" s="36"/>
      <c r="QZ25" s="36"/>
      <c r="RA25" s="36"/>
      <c r="RB25" s="36"/>
      <c r="RC25" s="36"/>
      <c r="RD25" s="36"/>
      <c r="RE25" s="36"/>
      <c r="RF25" s="36"/>
      <c r="RG25" s="36"/>
      <c r="RH25" s="36"/>
      <c r="RI25" s="36"/>
      <c r="RJ25" s="36"/>
      <c r="RK25" s="36"/>
      <c r="RL25" s="36"/>
      <c r="RM25" s="36"/>
      <c r="RN25" s="36"/>
      <c r="RO25" s="36"/>
      <c r="RP25" s="36"/>
      <c r="RQ25" s="36"/>
      <c r="RR25" s="36"/>
      <c r="RS25" s="36"/>
      <c r="RT25" s="36"/>
      <c r="RU25" s="36"/>
      <c r="RV25" s="36"/>
      <c r="RW25" s="36"/>
      <c r="RX25" s="36"/>
      <c r="RY25" s="36"/>
      <c r="RZ25" s="36"/>
      <c r="SA25" s="36"/>
      <c r="SB25" s="36"/>
      <c r="SC25" s="36"/>
      <c r="SD25" s="36"/>
      <c r="SE25" s="36"/>
      <c r="SF25" s="36"/>
      <c r="SG25" s="36"/>
      <c r="SH25" s="36"/>
      <c r="SI25" s="36"/>
      <c r="SJ25" s="36"/>
      <c r="SK25" s="36"/>
      <c r="SL25" s="36"/>
      <c r="SM25" s="36"/>
      <c r="SN25" s="36"/>
      <c r="SO25" s="36"/>
      <c r="SP25" s="36"/>
      <c r="SQ25" s="36"/>
      <c r="SR25" s="36"/>
      <c r="SS25" s="36"/>
      <c r="ST25" s="36"/>
      <c r="SU25" s="36"/>
      <c r="SV25" s="36"/>
      <c r="SW25" s="36"/>
      <c r="SX25" s="36"/>
      <c r="SY25" s="36"/>
      <c r="SZ25" s="36"/>
      <c r="TA25" s="36"/>
      <c r="TB25" s="36"/>
      <c r="TC25" s="36"/>
      <c r="TD25" s="36"/>
      <c r="TE25" s="36"/>
      <c r="TF25" s="36"/>
      <c r="TG25" s="36"/>
      <c r="TH25" s="36"/>
      <c r="TI25" s="36"/>
      <c r="TJ25" s="36"/>
      <c r="TK25" s="36"/>
      <c r="TL25" s="36"/>
      <c r="TM25" s="36"/>
      <c r="TN25" s="36"/>
      <c r="TO25" s="36"/>
      <c r="TP25" s="36"/>
      <c r="TQ25" s="36"/>
      <c r="TR25" s="36"/>
      <c r="TS25" s="36"/>
      <c r="TT25" s="36"/>
      <c r="TU25" s="36"/>
      <c r="TV25" s="36"/>
      <c r="TW25" s="36"/>
      <c r="TX25" s="36"/>
      <c r="TY25" s="36"/>
      <c r="TZ25" s="36"/>
      <c r="UA25" s="36"/>
      <c r="UB25" s="36"/>
      <c r="UC25" s="36"/>
      <c r="UD25" s="36"/>
      <c r="UE25" s="36"/>
      <c r="UF25" s="36"/>
      <c r="UG25" s="36"/>
      <c r="UH25" s="36"/>
      <c r="UI25" s="36"/>
      <c r="UJ25" s="36"/>
      <c r="UK25" s="36"/>
      <c r="UL25" s="36"/>
      <c r="UM25" s="36"/>
      <c r="UN25" s="36"/>
      <c r="UO25" s="36"/>
      <c r="UP25" s="36"/>
      <c r="UQ25" s="36"/>
      <c r="UR25" s="36"/>
      <c r="US25" s="36"/>
      <c r="UT25" s="36"/>
      <c r="UU25" s="36"/>
      <c r="UV25" s="36"/>
      <c r="UW25" s="36"/>
      <c r="UX25" s="36"/>
      <c r="UY25" s="36"/>
      <c r="UZ25" s="36"/>
      <c r="VA25" s="36"/>
      <c r="VB25" s="36"/>
      <c r="VC25" s="36"/>
      <c r="VD25" s="36"/>
      <c r="VE25" s="36"/>
      <c r="VF25" s="36"/>
      <c r="VG25" s="36"/>
      <c r="VH25" s="36"/>
      <c r="VI25" s="36"/>
      <c r="VJ25" s="36"/>
      <c r="VK25" s="36"/>
      <c r="VL25" s="36"/>
      <c r="VM25" s="36"/>
      <c r="VN25" s="36"/>
      <c r="VO25" s="36"/>
      <c r="VP25" s="36"/>
      <c r="VQ25" s="36"/>
      <c r="VR25" s="36"/>
      <c r="VS25" s="36"/>
      <c r="VT25" s="36"/>
      <c r="VU25" s="36"/>
      <c r="VV25" s="36"/>
      <c r="VW25" s="36"/>
      <c r="VX25" s="36"/>
      <c r="VY25" s="36"/>
      <c r="VZ25" s="36"/>
      <c r="WA25" s="36"/>
      <c r="WB25" s="36"/>
      <c r="WC25" s="36"/>
      <c r="WD25" s="36"/>
      <c r="WE25" s="36"/>
      <c r="WF25" s="36"/>
      <c r="WG25" s="36"/>
      <c r="WH25" s="36"/>
      <c r="WI25" s="36"/>
      <c r="WJ25" s="36"/>
      <c r="WK25" s="36"/>
      <c r="WL25" s="36"/>
      <c r="WM25" s="36"/>
      <c r="WN25" s="36"/>
      <c r="WO25" s="36"/>
      <c r="WP25" s="36"/>
      <c r="WQ25" s="36"/>
      <c r="WR25" s="36"/>
      <c r="WS25" s="36"/>
      <c r="WT25" s="36"/>
      <c r="WU25" s="36"/>
      <c r="WV25" s="36"/>
      <c r="WW25" s="36"/>
      <c r="WX25" s="36"/>
      <c r="WY25" s="36"/>
      <c r="WZ25" s="36"/>
      <c r="XA25" s="36"/>
      <c r="XB25" s="36"/>
      <c r="XC25" s="36"/>
      <c r="XD25" s="36"/>
      <c r="XE25" s="36"/>
      <c r="XF25" s="36"/>
      <c r="XG25" s="36"/>
      <c r="XH25" s="36"/>
      <c r="XI25" s="36"/>
      <c r="XJ25" s="36"/>
      <c r="XK25" s="36"/>
      <c r="XL25" s="36"/>
      <c r="XM25" s="36"/>
      <c r="XN25" s="36"/>
      <c r="XO25" s="36"/>
      <c r="XP25" s="36"/>
      <c r="XQ25" s="36"/>
      <c r="XR25" s="36"/>
      <c r="XS25" s="36"/>
      <c r="XT25" s="36"/>
      <c r="XU25" s="36"/>
      <c r="XV25" s="36"/>
      <c r="XW25" s="36"/>
      <c r="XX25" s="36"/>
      <c r="XY25" s="36"/>
      <c r="XZ25" s="36"/>
      <c r="YA25" s="36"/>
      <c r="YB25" s="36"/>
      <c r="YC25" s="36"/>
      <c r="YD25" s="36"/>
      <c r="YE25" s="36"/>
      <c r="YF25" s="36"/>
      <c r="YG25" s="36"/>
      <c r="YH25" s="36"/>
      <c r="YI25" s="36"/>
      <c r="YJ25" s="36"/>
      <c r="YK25" s="36"/>
      <c r="YL25" s="36"/>
      <c r="YM25" s="36"/>
      <c r="YN25" s="36"/>
      <c r="YO25" s="36"/>
      <c r="YP25" s="36"/>
      <c r="YQ25" s="36"/>
      <c r="YR25" s="36"/>
      <c r="YS25" s="36"/>
      <c r="YT25" s="36"/>
      <c r="YU25" s="36"/>
      <c r="YV25" s="36"/>
      <c r="YW25" s="36"/>
      <c r="YX25" s="36"/>
      <c r="YY25" s="36"/>
      <c r="YZ25" s="36"/>
      <c r="ZA25" s="36"/>
      <c r="ZB25" s="36"/>
      <c r="ZC25" s="36"/>
      <c r="ZD25" s="36"/>
      <c r="ZE25" s="36"/>
      <c r="ZF25" s="36"/>
      <c r="ZG25" s="36"/>
      <c r="ZH25" s="36"/>
      <c r="ZI25" s="36"/>
      <c r="ZJ25" s="36"/>
      <c r="ZK25" s="36"/>
      <c r="ZL25" s="36"/>
      <c r="ZM25" s="36"/>
      <c r="ZN25" s="36"/>
      <c r="ZO25" s="36"/>
      <c r="ZP25" s="36"/>
      <c r="ZQ25" s="36"/>
      <c r="ZR25" s="36"/>
      <c r="ZS25" s="36"/>
      <c r="ZT25" s="36"/>
      <c r="ZU25" s="36"/>
      <c r="ZV25" s="36"/>
      <c r="ZW25" s="36"/>
      <c r="ZX25" s="36"/>
      <c r="ZY25" s="36"/>
      <c r="ZZ25" s="36"/>
      <c r="AAA25" s="36"/>
      <c r="AAB25" s="36"/>
      <c r="AAC25" s="36"/>
      <c r="AAD25" s="36"/>
      <c r="AAE25" s="36"/>
      <c r="AAF25" s="36"/>
      <c r="AAG25" s="36"/>
      <c r="AAH25" s="36"/>
      <c r="AAI25" s="36"/>
      <c r="AAJ25" s="36"/>
      <c r="AAK25" s="36"/>
      <c r="AAL25" s="36"/>
      <c r="AAM25" s="36"/>
      <c r="AAN25" s="36"/>
      <c r="AAO25" s="36"/>
      <c r="AAP25" s="36"/>
      <c r="AAQ25" s="36"/>
      <c r="AAR25" s="36"/>
      <c r="AAS25" s="36"/>
      <c r="AAT25" s="36"/>
      <c r="AAU25" s="36"/>
      <c r="AAV25" s="36"/>
      <c r="AAW25" s="36"/>
      <c r="AAX25" s="36"/>
      <c r="AAY25" s="36"/>
      <c r="AAZ25" s="36"/>
      <c r="ABA25" s="36"/>
      <c r="ABB25" s="36"/>
      <c r="ABC25" s="36"/>
      <c r="ABD25" s="36"/>
      <c r="ABE25" s="36"/>
      <c r="ABF25" s="36"/>
      <c r="ABG25" s="36"/>
      <c r="ABH25" s="36"/>
      <c r="ABI25" s="36"/>
      <c r="ABJ25" s="36"/>
      <c r="ABK25" s="36"/>
      <c r="ABL25" s="36"/>
      <c r="ABM25" s="36"/>
      <c r="ABN25" s="36"/>
      <c r="ABO25" s="36"/>
      <c r="ABP25" s="36"/>
      <c r="ABQ25" s="36"/>
      <c r="ABR25" s="36"/>
      <c r="ABS25" s="36"/>
      <c r="ABT25" s="36"/>
      <c r="ABU25" s="36"/>
      <c r="ABV25" s="36"/>
      <c r="ABW25" s="36"/>
      <c r="ABX25" s="36"/>
      <c r="ABY25" s="36"/>
      <c r="ABZ25" s="36"/>
      <c r="ACA25" s="36"/>
      <c r="ACB25" s="36"/>
      <c r="ACC25" s="36"/>
      <c r="ACD25" s="36"/>
      <c r="ACE25" s="36"/>
      <c r="ACF25" s="36"/>
      <c r="ACG25" s="36"/>
      <c r="ACH25" s="36"/>
      <c r="ACI25" s="36"/>
      <c r="ACJ25" s="36"/>
      <c r="ACK25" s="36"/>
      <c r="ACL25" s="36"/>
      <c r="ACM25" s="36"/>
      <c r="ACN25" s="36"/>
      <c r="ACO25" s="36"/>
      <c r="ACP25" s="36"/>
      <c r="ACQ25" s="36"/>
      <c r="ACR25" s="36"/>
      <c r="ACS25" s="36"/>
      <c r="ACT25" s="36"/>
      <c r="ACU25" s="36"/>
      <c r="ACV25" s="36"/>
      <c r="ACW25" s="36"/>
      <c r="ACX25" s="36"/>
      <c r="ACY25" s="36"/>
      <c r="ACZ25" s="36"/>
      <c r="ADA25" s="36"/>
      <c r="ADB25" s="36"/>
      <c r="ADC25" s="36"/>
      <c r="ADD25" s="36"/>
      <c r="ADE25" s="36"/>
      <c r="ADF25" s="36"/>
      <c r="ADG25" s="36"/>
      <c r="ADH25" s="36"/>
      <c r="ADI25" s="36"/>
      <c r="ADJ25" s="36"/>
      <c r="ADK25" s="36"/>
      <c r="ADL25" s="36"/>
      <c r="ADM25" s="36"/>
      <c r="ADN25" s="36"/>
      <c r="ADO25" s="36"/>
      <c r="ADP25" s="36"/>
      <c r="ADQ25" s="36"/>
      <c r="ADR25" s="36"/>
      <c r="ADS25" s="36"/>
      <c r="ADT25" s="36"/>
      <c r="ADU25" s="36"/>
      <c r="ADV25" s="36"/>
      <c r="ADW25" s="36"/>
      <c r="ADX25" s="36"/>
      <c r="ADY25" s="36"/>
      <c r="ADZ25" s="36"/>
      <c r="AEA25" s="36"/>
      <c r="AEB25" s="36"/>
      <c r="AEC25" s="36"/>
      <c r="AED25" s="36"/>
      <c r="AEE25" s="36"/>
      <c r="AEF25" s="36"/>
      <c r="AEG25" s="36"/>
      <c r="AEH25" s="36"/>
      <c r="AEI25" s="36"/>
      <c r="AEJ25" s="36"/>
      <c r="AEK25" s="36"/>
      <c r="AEL25" s="36"/>
      <c r="AEM25" s="36"/>
      <c r="AEN25" s="36"/>
      <c r="AEO25" s="36"/>
      <c r="AEP25" s="36"/>
      <c r="AEQ25" s="36"/>
      <c r="AER25" s="36"/>
      <c r="AES25" s="36"/>
      <c r="AET25" s="36"/>
      <c r="AEU25" s="36"/>
      <c r="AEV25" s="36"/>
      <c r="AEW25" s="36"/>
      <c r="AEX25" s="36"/>
      <c r="AEY25" s="36"/>
      <c r="AEZ25" s="36"/>
      <c r="AFA25" s="36"/>
      <c r="AFB25" s="36"/>
      <c r="AFC25" s="36"/>
      <c r="AFD25" s="36"/>
      <c r="AFE25" s="36"/>
      <c r="AFF25" s="36"/>
      <c r="AFG25" s="36"/>
      <c r="AFH25" s="36"/>
      <c r="AFI25" s="36"/>
      <c r="AFJ25" s="36"/>
      <c r="AFK25" s="36"/>
      <c r="AFL25" s="36"/>
      <c r="AFM25" s="36"/>
      <c r="AFN25" s="36"/>
      <c r="AFO25" s="36"/>
      <c r="AFP25" s="36"/>
      <c r="AFQ25" s="36"/>
      <c r="AFR25" s="36"/>
      <c r="AFS25" s="36"/>
      <c r="AFT25" s="36"/>
      <c r="AFU25" s="36"/>
      <c r="AFV25" s="36"/>
      <c r="AFW25" s="36"/>
      <c r="AFX25" s="36"/>
      <c r="AFY25" s="36"/>
      <c r="AFZ25" s="36"/>
      <c r="AGA25" s="36"/>
      <c r="AGB25" s="36"/>
      <c r="AGC25" s="36"/>
      <c r="AGD25" s="36"/>
      <c r="AGE25" s="36"/>
      <c r="AGF25" s="36"/>
      <c r="AGG25" s="36"/>
      <c r="AGH25" s="36"/>
      <c r="AGI25" s="36"/>
      <c r="AGJ25" s="36"/>
      <c r="AGK25" s="36"/>
      <c r="AGL25" s="36"/>
      <c r="AGM25" s="36"/>
      <c r="AGN25" s="36"/>
      <c r="AGO25" s="36"/>
      <c r="AGP25" s="36"/>
      <c r="AGQ25" s="36"/>
      <c r="AGR25" s="36"/>
      <c r="AGS25" s="36"/>
      <c r="AGT25" s="36"/>
      <c r="AGU25" s="36"/>
      <c r="AGV25" s="36"/>
      <c r="AGW25" s="36"/>
      <c r="AGX25" s="36"/>
      <c r="AGY25" s="36"/>
      <c r="AGZ25" s="36"/>
      <c r="AHA25" s="36"/>
      <c r="AHB25" s="36"/>
      <c r="AHC25" s="36"/>
      <c r="AHD25" s="36"/>
      <c r="AHE25" s="36"/>
      <c r="AHF25" s="36"/>
      <c r="AHG25" s="36"/>
      <c r="AHH25" s="36"/>
      <c r="AHI25" s="36"/>
      <c r="AHJ25" s="36"/>
      <c r="AHK25" s="36"/>
      <c r="AHL25" s="36"/>
      <c r="AHM25" s="36"/>
      <c r="AHN25" s="36"/>
      <c r="AHO25" s="36"/>
      <c r="AHP25" s="36"/>
      <c r="AHQ25" s="36"/>
      <c r="AHR25" s="36"/>
      <c r="AHS25" s="36"/>
      <c r="AHT25" s="36"/>
      <c r="AHU25" s="36"/>
      <c r="AHV25" s="36"/>
      <c r="AHW25" s="36"/>
      <c r="AHX25" s="36"/>
      <c r="AHY25" s="36"/>
      <c r="AHZ25" s="36"/>
      <c r="AIA25" s="36"/>
      <c r="AIB25" s="36"/>
      <c r="AIC25" s="36"/>
      <c r="AID25" s="36"/>
      <c r="AIE25" s="36"/>
      <c r="AIF25" s="36"/>
      <c r="AIG25" s="36"/>
      <c r="AIH25" s="36"/>
      <c r="AII25" s="36"/>
      <c r="AIJ25" s="36"/>
      <c r="AIK25" s="36"/>
      <c r="AIL25" s="36"/>
      <c r="AIM25" s="36"/>
      <c r="AIN25" s="36"/>
      <c r="AIO25" s="36"/>
      <c r="AIP25" s="36"/>
      <c r="AIQ25" s="36"/>
      <c r="AIR25" s="36"/>
      <c r="AIS25" s="36"/>
      <c r="AIT25" s="36"/>
      <c r="AIU25" s="36"/>
      <c r="AIV25" s="36"/>
      <c r="AIW25" s="36"/>
      <c r="AIX25" s="36"/>
      <c r="AIY25" s="36"/>
      <c r="AIZ25" s="36"/>
      <c r="AJA25" s="36"/>
      <c r="AJB25" s="36"/>
      <c r="AJC25" s="36"/>
      <c r="AJD25" s="36"/>
      <c r="AJE25" s="36"/>
      <c r="AJF25" s="36"/>
      <c r="AJG25" s="36"/>
      <c r="AJH25" s="36"/>
      <c r="AJI25" s="36"/>
      <c r="AJJ25" s="36"/>
      <c r="AJK25" s="36"/>
      <c r="AJL25" s="36"/>
      <c r="AJM25" s="36"/>
      <c r="AJN25" s="36"/>
      <c r="AJO25" s="36"/>
      <c r="AJP25" s="36"/>
      <c r="AJQ25" s="36"/>
      <c r="AJR25" s="36"/>
      <c r="AJS25" s="36"/>
      <c r="AJT25" s="36"/>
      <c r="AJU25" s="36"/>
      <c r="AJV25" s="36"/>
      <c r="AJW25" s="36"/>
      <c r="AJX25" s="36"/>
      <c r="AJY25" s="36"/>
      <c r="AJZ25" s="36"/>
      <c r="AKA25" s="36"/>
      <c r="AKB25" s="36"/>
      <c r="AKC25" s="36"/>
      <c r="AKD25" s="36"/>
      <c r="AKE25" s="36"/>
      <c r="AKF25" s="36"/>
      <c r="AKG25" s="36"/>
      <c r="AKH25" s="36"/>
      <c r="AKI25" s="36"/>
      <c r="AKJ25" s="36"/>
      <c r="AKK25" s="36"/>
      <c r="AKL25" s="36"/>
      <c r="AKM25" s="36"/>
      <c r="AKN25" s="36"/>
      <c r="AKO25" s="36"/>
      <c r="AKP25" s="36"/>
      <c r="AKQ25" s="36"/>
      <c r="AKR25" s="36"/>
      <c r="AKS25" s="36"/>
      <c r="AKT25" s="36"/>
      <c r="AKU25" s="36"/>
      <c r="AKV25" s="36"/>
      <c r="AKW25" s="36"/>
      <c r="AKX25" s="36"/>
      <c r="AKY25" s="36"/>
      <c r="AKZ25" s="36"/>
      <c r="ALA25" s="36"/>
      <c r="ALB25" s="36"/>
      <c r="ALC25" s="36"/>
      <c r="ALD25" s="36"/>
      <c r="ALE25" s="36"/>
      <c r="ALF25" s="36"/>
      <c r="ALG25" s="36"/>
      <c r="ALH25" s="36"/>
      <c r="ALI25" s="36"/>
      <c r="ALJ25" s="36"/>
      <c r="ALK25" s="36"/>
      <c r="ALL25" s="36"/>
      <c r="ALM25" s="36"/>
      <c r="ALN25" s="36"/>
      <c r="ALO25" s="36"/>
      <c r="ALP25" s="36"/>
      <c r="ALQ25" s="36"/>
      <c r="ALR25" s="36"/>
      <c r="ALS25" s="36"/>
      <c r="ALT25" s="36"/>
      <c r="ALU25" s="36"/>
      <c r="ALV25" s="36"/>
      <c r="ALW25" s="36"/>
      <c r="ALX25" s="36"/>
      <c r="ALY25" s="36"/>
      <c r="ALZ25" s="36"/>
      <c r="AMA25" s="36"/>
      <c r="AMB25" s="36"/>
      <c r="AMC25" s="36"/>
      <c r="AMD25" s="36"/>
      <c r="AME25"/>
      <c r="AMF25"/>
      <c r="AMG25"/>
      <c r="AMH25"/>
      <c r="AMI25"/>
      <c r="AMJ25"/>
    </row>
    <row r="26" spans="1:1024" ht="30" customHeight="1">
      <c r="A26" s="32" t="s">
        <v>28</v>
      </c>
      <c r="B26" s="33"/>
      <c r="C26" s="33"/>
      <c r="D26" s="33"/>
      <c r="E26" s="196"/>
      <c r="F26" s="33"/>
      <c r="G26" s="81"/>
      <c r="H26" s="33"/>
      <c r="I26" s="33"/>
      <c r="J26" s="34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  <c r="IX26" s="36"/>
      <c r="IY26" s="36"/>
      <c r="IZ26" s="36"/>
      <c r="JA26" s="36"/>
      <c r="JB26" s="36"/>
      <c r="JC26" s="36"/>
      <c r="JD26" s="36"/>
      <c r="JE26" s="36"/>
      <c r="JF26" s="36"/>
      <c r="JG26" s="36"/>
      <c r="JH26" s="36"/>
      <c r="JI26" s="36"/>
      <c r="JJ26" s="36"/>
      <c r="JK26" s="36"/>
      <c r="JL26" s="36"/>
      <c r="JM26" s="36"/>
      <c r="JN26" s="36"/>
      <c r="JO26" s="36"/>
      <c r="JP26" s="36"/>
      <c r="JQ26" s="36"/>
      <c r="JR26" s="36"/>
      <c r="JS26" s="36"/>
      <c r="JT26" s="36"/>
      <c r="JU26" s="36"/>
      <c r="JV26" s="36"/>
      <c r="JW26" s="36"/>
      <c r="JX26" s="36"/>
      <c r="JY26" s="36"/>
      <c r="JZ26" s="36"/>
      <c r="KA26" s="36"/>
      <c r="KB26" s="36"/>
      <c r="KC26" s="36"/>
      <c r="KD26" s="36"/>
      <c r="KE26" s="36"/>
      <c r="KF26" s="36"/>
      <c r="KG26" s="36"/>
      <c r="KH26" s="36"/>
      <c r="KI26" s="36"/>
      <c r="KJ26" s="36"/>
      <c r="KK26" s="36"/>
      <c r="KL26" s="36"/>
      <c r="KM26" s="36"/>
      <c r="KN26" s="36"/>
      <c r="KO26" s="36"/>
      <c r="KP26" s="36"/>
      <c r="KQ26" s="36"/>
      <c r="KR26" s="36"/>
      <c r="KS26" s="36"/>
      <c r="KT26" s="36"/>
      <c r="KU26" s="36"/>
      <c r="KV26" s="36"/>
      <c r="KW26" s="36"/>
      <c r="KX26" s="36"/>
      <c r="KY26" s="36"/>
      <c r="KZ26" s="36"/>
      <c r="LA26" s="36"/>
      <c r="LB26" s="36"/>
      <c r="LC26" s="36"/>
      <c r="LD26" s="36"/>
      <c r="LE26" s="36"/>
      <c r="LF26" s="36"/>
      <c r="LG26" s="36"/>
      <c r="LH26" s="36"/>
      <c r="LI26" s="36"/>
      <c r="LJ26" s="36"/>
      <c r="LK26" s="36"/>
      <c r="LL26" s="36"/>
      <c r="LM26" s="36"/>
      <c r="LN26" s="36"/>
      <c r="LO26" s="36"/>
      <c r="LP26" s="36"/>
      <c r="LQ26" s="36"/>
      <c r="LR26" s="36"/>
      <c r="LS26" s="36"/>
      <c r="LT26" s="36"/>
      <c r="LU26" s="36"/>
      <c r="LV26" s="36"/>
      <c r="LW26" s="36"/>
      <c r="LX26" s="36"/>
      <c r="LY26" s="36"/>
      <c r="LZ26" s="36"/>
      <c r="MA26" s="36"/>
      <c r="MB26" s="36"/>
      <c r="MC26" s="36"/>
      <c r="MD26" s="36"/>
      <c r="ME26" s="36"/>
      <c r="MF26" s="36"/>
      <c r="MG26" s="36"/>
      <c r="MH26" s="36"/>
      <c r="MI26" s="36"/>
      <c r="MJ26" s="36"/>
      <c r="MK26" s="36"/>
      <c r="ML26" s="36"/>
      <c r="MM26" s="36"/>
      <c r="MN26" s="36"/>
      <c r="MO26" s="36"/>
      <c r="MP26" s="36"/>
      <c r="MQ26" s="36"/>
      <c r="MR26" s="36"/>
      <c r="MS26" s="36"/>
      <c r="MT26" s="36"/>
      <c r="MU26" s="36"/>
      <c r="MV26" s="36"/>
      <c r="MW26" s="36"/>
      <c r="MX26" s="36"/>
      <c r="MY26" s="36"/>
      <c r="MZ26" s="36"/>
      <c r="NA26" s="36"/>
      <c r="NB26" s="36"/>
      <c r="NC26" s="36"/>
      <c r="ND26" s="36"/>
      <c r="NE26" s="36"/>
      <c r="NF26" s="36"/>
      <c r="NG26" s="36"/>
      <c r="NH26" s="36"/>
      <c r="NI26" s="36"/>
      <c r="NJ26" s="36"/>
      <c r="NK26" s="36"/>
      <c r="NL26" s="36"/>
      <c r="NM26" s="36"/>
      <c r="NN26" s="36"/>
      <c r="NO26" s="36"/>
      <c r="NP26" s="36"/>
      <c r="NQ26" s="36"/>
      <c r="NR26" s="36"/>
      <c r="NS26" s="36"/>
      <c r="NT26" s="36"/>
      <c r="NU26" s="36"/>
      <c r="NV26" s="36"/>
      <c r="NW26" s="36"/>
      <c r="NX26" s="36"/>
      <c r="NY26" s="36"/>
      <c r="NZ26" s="36"/>
      <c r="OA26" s="36"/>
      <c r="OB26" s="36"/>
      <c r="OC26" s="36"/>
      <c r="OD26" s="36"/>
      <c r="OE26" s="36"/>
      <c r="OF26" s="36"/>
      <c r="OG26" s="36"/>
      <c r="OH26" s="36"/>
      <c r="OI26" s="36"/>
      <c r="OJ26" s="36"/>
      <c r="OK26" s="36"/>
      <c r="OL26" s="36"/>
      <c r="OM26" s="36"/>
      <c r="ON26" s="36"/>
      <c r="OO26" s="36"/>
      <c r="OP26" s="36"/>
      <c r="OQ26" s="36"/>
      <c r="OR26" s="36"/>
      <c r="OS26" s="36"/>
      <c r="OT26" s="36"/>
      <c r="OU26" s="36"/>
      <c r="OV26" s="36"/>
      <c r="OW26" s="36"/>
      <c r="OX26" s="36"/>
      <c r="OY26" s="36"/>
      <c r="OZ26" s="36"/>
      <c r="PA26" s="36"/>
      <c r="PB26" s="36"/>
      <c r="PC26" s="36"/>
      <c r="PD26" s="36"/>
      <c r="PE26" s="36"/>
      <c r="PF26" s="36"/>
      <c r="PG26" s="36"/>
      <c r="PH26" s="36"/>
      <c r="PI26" s="36"/>
      <c r="PJ26" s="36"/>
      <c r="PK26" s="36"/>
      <c r="PL26" s="36"/>
      <c r="PM26" s="36"/>
      <c r="PN26" s="36"/>
      <c r="PO26" s="36"/>
      <c r="PP26" s="36"/>
      <c r="PQ26" s="36"/>
      <c r="PR26" s="36"/>
      <c r="PS26" s="36"/>
      <c r="PT26" s="36"/>
      <c r="PU26" s="36"/>
      <c r="PV26" s="36"/>
      <c r="PW26" s="36"/>
      <c r="PX26" s="36"/>
      <c r="PY26" s="36"/>
      <c r="PZ26" s="36"/>
      <c r="QA26" s="36"/>
      <c r="QB26" s="36"/>
      <c r="QC26" s="36"/>
      <c r="QD26" s="36"/>
      <c r="QE26" s="36"/>
      <c r="QF26" s="36"/>
      <c r="QG26" s="36"/>
      <c r="QH26" s="36"/>
      <c r="QI26" s="36"/>
      <c r="QJ26" s="36"/>
      <c r="QK26" s="36"/>
      <c r="QL26" s="36"/>
      <c r="QM26" s="36"/>
      <c r="QN26" s="36"/>
      <c r="QO26" s="36"/>
      <c r="QP26" s="36"/>
      <c r="QQ26" s="36"/>
      <c r="QR26" s="36"/>
      <c r="QS26" s="36"/>
      <c r="QT26" s="36"/>
      <c r="QU26" s="36"/>
      <c r="QV26" s="36"/>
      <c r="QW26" s="36"/>
      <c r="QX26" s="36"/>
      <c r="QY26" s="36"/>
      <c r="QZ26" s="36"/>
      <c r="RA26" s="36"/>
      <c r="RB26" s="36"/>
      <c r="RC26" s="36"/>
      <c r="RD26" s="36"/>
      <c r="RE26" s="36"/>
      <c r="RF26" s="36"/>
      <c r="RG26" s="36"/>
      <c r="RH26" s="36"/>
      <c r="RI26" s="36"/>
      <c r="RJ26" s="36"/>
      <c r="RK26" s="36"/>
      <c r="RL26" s="36"/>
      <c r="RM26" s="36"/>
      <c r="RN26" s="36"/>
      <c r="RO26" s="36"/>
      <c r="RP26" s="36"/>
      <c r="RQ26" s="36"/>
      <c r="RR26" s="36"/>
      <c r="RS26" s="36"/>
      <c r="RT26" s="36"/>
      <c r="RU26" s="36"/>
      <c r="RV26" s="36"/>
      <c r="RW26" s="36"/>
      <c r="RX26" s="36"/>
      <c r="RY26" s="36"/>
      <c r="RZ26" s="36"/>
      <c r="SA26" s="36"/>
      <c r="SB26" s="36"/>
      <c r="SC26" s="36"/>
      <c r="SD26" s="36"/>
      <c r="SE26" s="36"/>
      <c r="SF26" s="36"/>
      <c r="SG26" s="36"/>
      <c r="SH26" s="36"/>
      <c r="SI26" s="36"/>
      <c r="SJ26" s="36"/>
      <c r="SK26" s="36"/>
      <c r="SL26" s="36"/>
      <c r="SM26" s="36"/>
      <c r="SN26" s="36"/>
      <c r="SO26" s="36"/>
      <c r="SP26" s="36"/>
      <c r="SQ26" s="36"/>
      <c r="SR26" s="36"/>
      <c r="SS26" s="36"/>
      <c r="ST26" s="36"/>
      <c r="SU26" s="36"/>
      <c r="SV26" s="36"/>
      <c r="SW26" s="36"/>
      <c r="SX26" s="36"/>
      <c r="SY26" s="36"/>
      <c r="SZ26" s="36"/>
      <c r="TA26" s="36"/>
      <c r="TB26" s="36"/>
      <c r="TC26" s="36"/>
      <c r="TD26" s="36"/>
      <c r="TE26" s="36"/>
      <c r="TF26" s="36"/>
      <c r="TG26" s="36"/>
      <c r="TH26" s="36"/>
      <c r="TI26" s="36"/>
      <c r="TJ26" s="36"/>
      <c r="TK26" s="36"/>
      <c r="TL26" s="36"/>
      <c r="TM26" s="36"/>
      <c r="TN26" s="36"/>
      <c r="TO26" s="36"/>
      <c r="TP26" s="36"/>
      <c r="TQ26" s="36"/>
      <c r="TR26" s="36"/>
      <c r="TS26" s="36"/>
      <c r="TT26" s="36"/>
      <c r="TU26" s="36"/>
      <c r="TV26" s="36"/>
      <c r="TW26" s="36"/>
      <c r="TX26" s="36"/>
      <c r="TY26" s="36"/>
      <c r="TZ26" s="36"/>
      <c r="UA26" s="36"/>
      <c r="UB26" s="36"/>
      <c r="UC26" s="36"/>
      <c r="UD26" s="36"/>
      <c r="UE26" s="36"/>
      <c r="UF26" s="36"/>
      <c r="UG26" s="36"/>
      <c r="UH26" s="36"/>
      <c r="UI26" s="36"/>
      <c r="UJ26" s="36"/>
      <c r="UK26" s="36"/>
      <c r="UL26" s="36"/>
      <c r="UM26" s="36"/>
      <c r="UN26" s="36"/>
      <c r="UO26" s="36"/>
      <c r="UP26" s="36"/>
      <c r="UQ26" s="36"/>
      <c r="UR26" s="36"/>
      <c r="US26" s="36"/>
      <c r="UT26" s="36"/>
      <c r="UU26" s="36"/>
      <c r="UV26" s="36"/>
      <c r="UW26" s="36"/>
      <c r="UX26" s="36"/>
      <c r="UY26" s="36"/>
      <c r="UZ26" s="36"/>
      <c r="VA26" s="36"/>
      <c r="VB26" s="36"/>
      <c r="VC26" s="36"/>
      <c r="VD26" s="36"/>
      <c r="VE26" s="36"/>
      <c r="VF26" s="36"/>
      <c r="VG26" s="36"/>
      <c r="VH26" s="36"/>
      <c r="VI26" s="36"/>
      <c r="VJ26" s="36"/>
      <c r="VK26" s="36"/>
      <c r="VL26" s="36"/>
      <c r="VM26" s="36"/>
      <c r="VN26" s="36"/>
      <c r="VO26" s="36"/>
      <c r="VP26" s="36"/>
      <c r="VQ26" s="36"/>
      <c r="VR26" s="36"/>
      <c r="VS26" s="36"/>
      <c r="VT26" s="36"/>
      <c r="VU26" s="36"/>
      <c r="VV26" s="36"/>
      <c r="VW26" s="36"/>
      <c r="VX26" s="36"/>
      <c r="VY26" s="36"/>
      <c r="VZ26" s="36"/>
      <c r="WA26" s="36"/>
      <c r="WB26" s="36"/>
      <c r="WC26" s="36"/>
      <c r="WD26" s="36"/>
      <c r="WE26" s="36"/>
      <c r="WF26" s="36"/>
      <c r="WG26" s="36"/>
      <c r="WH26" s="36"/>
      <c r="WI26" s="36"/>
      <c r="WJ26" s="36"/>
      <c r="WK26" s="36"/>
      <c r="WL26" s="36"/>
      <c r="WM26" s="36"/>
      <c r="WN26" s="36"/>
      <c r="WO26" s="36"/>
      <c r="WP26" s="36"/>
      <c r="WQ26" s="36"/>
      <c r="WR26" s="36"/>
      <c r="WS26" s="36"/>
      <c r="WT26" s="36"/>
      <c r="WU26" s="36"/>
      <c r="WV26" s="36"/>
      <c r="WW26" s="36"/>
      <c r="WX26" s="36"/>
      <c r="WY26" s="36"/>
      <c r="WZ26" s="36"/>
      <c r="XA26" s="36"/>
      <c r="XB26" s="36"/>
      <c r="XC26" s="36"/>
      <c r="XD26" s="36"/>
      <c r="XE26" s="36"/>
      <c r="XF26" s="36"/>
      <c r="XG26" s="36"/>
      <c r="XH26" s="36"/>
      <c r="XI26" s="36"/>
      <c r="XJ26" s="36"/>
      <c r="XK26" s="36"/>
      <c r="XL26" s="36"/>
      <c r="XM26" s="36"/>
      <c r="XN26" s="36"/>
      <c r="XO26" s="36"/>
      <c r="XP26" s="36"/>
      <c r="XQ26" s="36"/>
      <c r="XR26" s="36"/>
      <c r="XS26" s="36"/>
      <c r="XT26" s="36"/>
      <c r="XU26" s="36"/>
      <c r="XV26" s="36"/>
      <c r="XW26" s="36"/>
      <c r="XX26" s="36"/>
      <c r="XY26" s="36"/>
      <c r="XZ26" s="36"/>
      <c r="YA26" s="36"/>
      <c r="YB26" s="36"/>
      <c r="YC26" s="36"/>
      <c r="YD26" s="36"/>
      <c r="YE26" s="36"/>
      <c r="YF26" s="36"/>
      <c r="YG26" s="36"/>
      <c r="YH26" s="36"/>
      <c r="YI26" s="36"/>
      <c r="YJ26" s="36"/>
      <c r="YK26" s="36"/>
      <c r="YL26" s="36"/>
      <c r="YM26" s="36"/>
      <c r="YN26" s="36"/>
      <c r="YO26" s="36"/>
      <c r="YP26" s="36"/>
      <c r="YQ26" s="36"/>
      <c r="YR26" s="36"/>
      <c r="YS26" s="36"/>
      <c r="YT26" s="36"/>
      <c r="YU26" s="36"/>
      <c r="YV26" s="36"/>
      <c r="YW26" s="36"/>
      <c r="YX26" s="36"/>
      <c r="YY26" s="36"/>
      <c r="YZ26" s="36"/>
      <c r="ZA26" s="36"/>
      <c r="ZB26" s="36"/>
      <c r="ZC26" s="36"/>
      <c r="ZD26" s="36"/>
      <c r="ZE26" s="36"/>
      <c r="ZF26" s="36"/>
      <c r="ZG26" s="36"/>
      <c r="ZH26" s="36"/>
      <c r="ZI26" s="36"/>
      <c r="ZJ26" s="36"/>
      <c r="ZK26" s="36"/>
      <c r="ZL26" s="36"/>
      <c r="ZM26" s="36"/>
      <c r="ZN26" s="36"/>
      <c r="ZO26" s="36"/>
      <c r="ZP26" s="36"/>
      <c r="ZQ26" s="36"/>
      <c r="ZR26" s="36"/>
      <c r="ZS26" s="36"/>
      <c r="ZT26" s="36"/>
      <c r="ZU26" s="36"/>
      <c r="ZV26" s="36"/>
      <c r="ZW26" s="36"/>
      <c r="ZX26" s="36"/>
      <c r="ZY26" s="36"/>
      <c r="ZZ26" s="36"/>
      <c r="AAA26" s="36"/>
      <c r="AAB26" s="36"/>
      <c r="AAC26" s="36"/>
      <c r="AAD26" s="36"/>
      <c r="AAE26" s="36"/>
      <c r="AAF26" s="36"/>
      <c r="AAG26" s="36"/>
      <c r="AAH26" s="36"/>
      <c r="AAI26" s="36"/>
      <c r="AAJ26" s="36"/>
      <c r="AAK26" s="36"/>
      <c r="AAL26" s="36"/>
      <c r="AAM26" s="36"/>
      <c r="AAN26" s="36"/>
      <c r="AAO26" s="36"/>
      <c r="AAP26" s="36"/>
      <c r="AAQ26" s="36"/>
      <c r="AAR26" s="36"/>
      <c r="AAS26" s="36"/>
      <c r="AAT26" s="36"/>
      <c r="AAU26" s="36"/>
      <c r="AAV26" s="36"/>
      <c r="AAW26" s="36"/>
      <c r="AAX26" s="36"/>
      <c r="AAY26" s="36"/>
      <c r="AAZ26" s="36"/>
      <c r="ABA26" s="36"/>
      <c r="ABB26" s="36"/>
      <c r="ABC26" s="36"/>
      <c r="ABD26" s="36"/>
      <c r="ABE26" s="36"/>
      <c r="ABF26" s="36"/>
      <c r="ABG26" s="36"/>
      <c r="ABH26" s="36"/>
      <c r="ABI26" s="36"/>
      <c r="ABJ26" s="36"/>
      <c r="ABK26" s="36"/>
      <c r="ABL26" s="36"/>
      <c r="ABM26" s="36"/>
      <c r="ABN26" s="36"/>
      <c r="ABO26" s="36"/>
      <c r="ABP26" s="36"/>
      <c r="ABQ26" s="36"/>
      <c r="ABR26" s="36"/>
      <c r="ABS26" s="36"/>
      <c r="ABT26" s="36"/>
      <c r="ABU26" s="36"/>
      <c r="ABV26" s="36"/>
      <c r="ABW26" s="36"/>
      <c r="ABX26" s="36"/>
      <c r="ABY26" s="36"/>
      <c r="ABZ26" s="36"/>
      <c r="ACA26" s="36"/>
      <c r="ACB26" s="36"/>
      <c r="ACC26" s="36"/>
      <c r="ACD26" s="36"/>
      <c r="ACE26" s="36"/>
      <c r="ACF26" s="36"/>
      <c r="ACG26" s="36"/>
      <c r="ACH26" s="36"/>
      <c r="ACI26" s="36"/>
      <c r="ACJ26" s="36"/>
      <c r="ACK26" s="36"/>
      <c r="ACL26" s="36"/>
      <c r="ACM26" s="36"/>
      <c r="ACN26" s="36"/>
      <c r="ACO26" s="36"/>
      <c r="ACP26" s="36"/>
      <c r="ACQ26" s="36"/>
      <c r="ACR26" s="36"/>
      <c r="ACS26" s="36"/>
      <c r="ACT26" s="36"/>
      <c r="ACU26" s="36"/>
      <c r="ACV26" s="36"/>
      <c r="ACW26" s="36"/>
      <c r="ACX26" s="36"/>
      <c r="ACY26" s="36"/>
      <c r="ACZ26" s="36"/>
      <c r="ADA26" s="36"/>
      <c r="ADB26" s="36"/>
      <c r="ADC26" s="36"/>
      <c r="ADD26" s="36"/>
      <c r="ADE26" s="36"/>
      <c r="ADF26" s="36"/>
      <c r="ADG26" s="36"/>
      <c r="ADH26" s="36"/>
      <c r="ADI26" s="36"/>
      <c r="ADJ26" s="36"/>
      <c r="ADK26" s="36"/>
      <c r="ADL26" s="36"/>
      <c r="ADM26" s="36"/>
      <c r="ADN26" s="36"/>
      <c r="ADO26" s="36"/>
      <c r="ADP26" s="36"/>
      <c r="ADQ26" s="36"/>
      <c r="ADR26" s="36"/>
      <c r="ADS26" s="36"/>
      <c r="ADT26" s="36"/>
      <c r="ADU26" s="36"/>
      <c r="ADV26" s="36"/>
      <c r="ADW26" s="36"/>
      <c r="ADX26" s="36"/>
      <c r="ADY26" s="36"/>
      <c r="ADZ26" s="36"/>
      <c r="AEA26" s="36"/>
      <c r="AEB26" s="36"/>
      <c r="AEC26" s="36"/>
      <c r="AED26" s="36"/>
      <c r="AEE26" s="36"/>
      <c r="AEF26" s="36"/>
      <c r="AEG26" s="36"/>
      <c r="AEH26" s="36"/>
      <c r="AEI26" s="36"/>
      <c r="AEJ26" s="36"/>
      <c r="AEK26" s="36"/>
      <c r="AEL26" s="36"/>
      <c r="AEM26" s="36"/>
      <c r="AEN26" s="36"/>
      <c r="AEO26" s="36"/>
      <c r="AEP26" s="36"/>
      <c r="AEQ26" s="36"/>
      <c r="AER26" s="36"/>
      <c r="AES26" s="36"/>
      <c r="AET26" s="36"/>
      <c r="AEU26" s="36"/>
      <c r="AEV26" s="36"/>
      <c r="AEW26" s="36"/>
      <c r="AEX26" s="36"/>
      <c r="AEY26" s="36"/>
      <c r="AEZ26" s="36"/>
      <c r="AFA26" s="36"/>
      <c r="AFB26" s="36"/>
      <c r="AFC26" s="36"/>
      <c r="AFD26" s="36"/>
      <c r="AFE26" s="36"/>
      <c r="AFF26" s="36"/>
      <c r="AFG26" s="36"/>
      <c r="AFH26" s="36"/>
      <c r="AFI26" s="36"/>
      <c r="AFJ26" s="36"/>
      <c r="AFK26" s="36"/>
      <c r="AFL26" s="36"/>
      <c r="AFM26" s="36"/>
      <c r="AFN26" s="36"/>
      <c r="AFO26" s="36"/>
      <c r="AFP26" s="36"/>
      <c r="AFQ26" s="36"/>
      <c r="AFR26" s="36"/>
      <c r="AFS26" s="36"/>
      <c r="AFT26" s="36"/>
      <c r="AFU26" s="36"/>
      <c r="AFV26" s="36"/>
      <c r="AFW26" s="36"/>
      <c r="AFX26" s="36"/>
      <c r="AFY26" s="36"/>
      <c r="AFZ26" s="36"/>
      <c r="AGA26" s="36"/>
      <c r="AGB26" s="36"/>
      <c r="AGC26" s="36"/>
      <c r="AGD26" s="36"/>
      <c r="AGE26" s="36"/>
      <c r="AGF26" s="36"/>
      <c r="AGG26" s="36"/>
      <c r="AGH26" s="36"/>
      <c r="AGI26" s="36"/>
      <c r="AGJ26" s="36"/>
      <c r="AGK26" s="36"/>
      <c r="AGL26" s="36"/>
      <c r="AGM26" s="36"/>
      <c r="AGN26" s="36"/>
      <c r="AGO26" s="36"/>
      <c r="AGP26" s="36"/>
      <c r="AGQ26" s="36"/>
      <c r="AGR26" s="36"/>
      <c r="AGS26" s="36"/>
      <c r="AGT26" s="36"/>
      <c r="AGU26" s="36"/>
      <c r="AGV26" s="36"/>
      <c r="AGW26" s="36"/>
      <c r="AGX26" s="36"/>
      <c r="AGY26" s="36"/>
      <c r="AGZ26" s="36"/>
      <c r="AHA26" s="36"/>
      <c r="AHB26" s="36"/>
      <c r="AHC26" s="36"/>
      <c r="AHD26" s="36"/>
      <c r="AHE26" s="36"/>
      <c r="AHF26" s="36"/>
      <c r="AHG26" s="36"/>
      <c r="AHH26" s="36"/>
      <c r="AHI26" s="36"/>
      <c r="AHJ26" s="36"/>
      <c r="AHK26" s="36"/>
      <c r="AHL26" s="36"/>
      <c r="AHM26" s="36"/>
      <c r="AHN26" s="36"/>
      <c r="AHO26" s="36"/>
      <c r="AHP26" s="36"/>
      <c r="AHQ26" s="36"/>
      <c r="AHR26" s="36"/>
      <c r="AHS26" s="36"/>
      <c r="AHT26" s="36"/>
      <c r="AHU26" s="36"/>
      <c r="AHV26" s="36"/>
      <c r="AHW26" s="36"/>
      <c r="AHX26" s="36"/>
      <c r="AHY26" s="36"/>
      <c r="AHZ26" s="36"/>
      <c r="AIA26" s="36"/>
      <c r="AIB26" s="36"/>
      <c r="AIC26" s="36"/>
      <c r="AID26" s="36"/>
      <c r="AIE26" s="36"/>
      <c r="AIF26" s="36"/>
      <c r="AIG26" s="36"/>
      <c r="AIH26" s="36"/>
      <c r="AII26" s="36"/>
      <c r="AIJ26" s="36"/>
      <c r="AIK26" s="36"/>
      <c r="AIL26" s="36"/>
      <c r="AIM26" s="36"/>
      <c r="AIN26" s="36"/>
      <c r="AIO26" s="36"/>
      <c r="AIP26" s="36"/>
      <c r="AIQ26" s="36"/>
      <c r="AIR26" s="36"/>
      <c r="AIS26" s="36"/>
      <c r="AIT26" s="36"/>
      <c r="AIU26" s="36"/>
      <c r="AIV26" s="36"/>
      <c r="AIW26" s="36"/>
      <c r="AIX26" s="36"/>
      <c r="AIY26" s="36"/>
      <c r="AIZ26" s="36"/>
      <c r="AJA26" s="36"/>
      <c r="AJB26" s="36"/>
      <c r="AJC26" s="36"/>
      <c r="AJD26" s="36"/>
      <c r="AJE26" s="36"/>
      <c r="AJF26" s="36"/>
      <c r="AJG26" s="36"/>
      <c r="AJH26" s="36"/>
      <c r="AJI26" s="36"/>
      <c r="AJJ26" s="36"/>
      <c r="AJK26" s="36"/>
      <c r="AJL26" s="36"/>
      <c r="AJM26" s="36"/>
      <c r="AJN26" s="36"/>
      <c r="AJO26" s="36"/>
      <c r="AJP26" s="36"/>
      <c r="AJQ26" s="36"/>
      <c r="AJR26" s="36"/>
      <c r="AJS26" s="36"/>
      <c r="AJT26" s="36"/>
      <c r="AJU26" s="36"/>
      <c r="AJV26" s="36"/>
      <c r="AJW26" s="36"/>
      <c r="AJX26" s="36"/>
      <c r="AJY26" s="36"/>
      <c r="AJZ26" s="36"/>
      <c r="AKA26" s="36"/>
      <c r="AKB26" s="36"/>
      <c r="AKC26" s="36"/>
      <c r="AKD26" s="36"/>
      <c r="AKE26" s="36"/>
      <c r="AKF26" s="36"/>
      <c r="AKG26" s="36"/>
      <c r="AKH26" s="36"/>
      <c r="AKI26" s="36"/>
      <c r="AKJ26" s="36"/>
      <c r="AKK26" s="36"/>
      <c r="AKL26" s="36"/>
      <c r="AKM26" s="36"/>
      <c r="AKN26" s="36"/>
      <c r="AKO26" s="36"/>
      <c r="AKP26" s="36"/>
      <c r="AKQ26" s="36"/>
      <c r="AKR26" s="36"/>
      <c r="AKS26" s="36"/>
      <c r="AKT26" s="36"/>
      <c r="AKU26" s="36"/>
      <c r="AKV26" s="36"/>
      <c r="AKW26" s="36"/>
      <c r="AKX26" s="36"/>
      <c r="AKY26" s="36"/>
      <c r="AKZ26" s="36"/>
      <c r="ALA26" s="36"/>
      <c r="ALB26" s="36"/>
      <c r="ALC26" s="36"/>
      <c r="ALD26" s="36"/>
      <c r="ALE26" s="36"/>
      <c r="ALF26" s="36"/>
      <c r="ALG26" s="36"/>
      <c r="ALH26" s="36"/>
      <c r="ALI26" s="36"/>
      <c r="ALJ26" s="36"/>
      <c r="ALK26" s="36"/>
      <c r="ALL26" s="36"/>
      <c r="ALM26" s="36"/>
      <c r="ALN26" s="36"/>
      <c r="ALO26" s="36"/>
      <c r="ALP26" s="36"/>
      <c r="ALQ26" s="36"/>
      <c r="ALR26" s="36"/>
      <c r="ALS26" s="36"/>
      <c r="ALT26" s="36"/>
      <c r="ALU26" s="36"/>
      <c r="ALV26" s="36"/>
      <c r="ALW26" s="36"/>
      <c r="ALX26" s="36"/>
      <c r="ALY26" s="36"/>
      <c r="ALZ26" s="36"/>
      <c r="AMA26" s="36"/>
      <c r="AMB26" s="36"/>
      <c r="AMC26" s="36"/>
      <c r="AMD26" s="36"/>
      <c r="AME26"/>
      <c r="AMF26"/>
      <c r="AMG26"/>
      <c r="AMH26"/>
      <c r="AMI26"/>
      <c r="AMJ26"/>
    </row>
    <row r="27" spans="1:1024" ht="20.25">
      <c r="A27" s="57"/>
      <c r="B27" s="3"/>
      <c r="C27" s="3"/>
      <c r="D27" s="3"/>
      <c r="E27" s="3"/>
      <c r="F27" s="3"/>
      <c r="G27" s="3"/>
      <c r="H27" s="3"/>
      <c r="I27" s="3"/>
      <c r="J27" s="3"/>
    </row>
    <row r="28" spans="1:1024" ht="30">
      <c r="A28" s="14"/>
      <c r="B28" s="10"/>
      <c r="C28" s="264" t="str">
        <f>C8</f>
        <v>Pont du Borne</v>
      </c>
      <c r="D28" s="264"/>
      <c r="E28" s="264"/>
      <c r="F28" s="264"/>
      <c r="G28" s="264"/>
      <c r="H28" s="264"/>
      <c r="I28" s="264"/>
      <c r="J28" s="264"/>
      <c r="K28" s="14"/>
      <c r="L28" s="10"/>
      <c r="M28" s="268" t="s">
        <v>29</v>
      </c>
      <c r="N28" s="267" t="s">
        <v>30</v>
      </c>
      <c r="O28" s="262" t="s">
        <v>31</v>
      </c>
      <c r="P28" s="262" t="s">
        <v>32</v>
      </c>
      <c r="Q28" s="263" t="s">
        <v>98</v>
      </c>
      <c r="R28" s="254" t="s">
        <v>56</v>
      </c>
      <c r="S28" s="254"/>
      <c r="T28" s="254"/>
      <c r="U28" s="254"/>
      <c r="V28" s="254"/>
      <c r="W28" s="254"/>
      <c r="X28" s="254"/>
    </row>
    <row r="29" spans="1:1024" ht="23.25">
      <c r="A29" s="14"/>
      <c r="B29" s="10"/>
      <c r="C29" s="259" t="str">
        <f>C9</f>
        <v>Depuis Bonneville</v>
      </c>
      <c r="D29" s="259"/>
      <c r="E29" s="259"/>
      <c r="F29" s="259"/>
      <c r="G29" s="259" t="str">
        <f>G9</f>
        <v>Depuis St Pierre</v>
      </c>
      <c r="H29" s="259"/>
      <c r="I29" s="259"/>
      <c r="J29" s="259"/>
      <c r="K29" s="14"/>
      <c r="L29" s="10"/>
      <c r="M29" s="268"/>
      <c r="N29" s="267"/>
      <c r="O29" s="262"/>
      <c r="P29" s="262"/>
      <c r="Q29" s="263"/>
      <c r="R29" s="254"/>
      <c r="S29" s="254"/>
      <c r="T29" s="254"/>
      <c r="U29" s="254"/>
      <c r="V29" s="254"/>
      <c r="W29" s="254"/>
      <c r="X29" s="254"/>
    </row>
    <row r="30" spans="1:1024" ht="20.25">
      <c r="A30" s="14"/>
      <c r="B30" s="10"/>
      <c r="C30" s="258" t="s">
        <v>14</v>
      </c>
      <c r="D30" s="258"/>
      <c r="E30" s="258" t="s">
        <v>15</v>
      </c>
      <c r="F30" s="258"/>
      <c r="G30" s="258" t="s">
        <v>14</v>
      </c>
      <c r="H30" s="258"/>
      <c r="I30" s="258" t="s">
        <v>15</v>
      </c>
      <c r="J30" s="258"/>
      <c r="K30" s="58"/>
      <c r="L30" s="10"/>
      <c r="M30" s="268"/>
      <c r="N30" s="267"/>
      <c r="O30" s="262"/>
      <c r="P30" s="262"/>
      <c r="Q30" s="263"/>
      <c r="R30" s="254"/>
      <c r="S30" s="254"/>
      <c r="T30" s="254"/>
      <c r="U30" s="254"/>
      <c r="V30" s="254"/>
      <c r="W30" s="254"/>
      <c r="X30" s="254"/>
    </row>
    <row r="31" spans="1:1024" ht="21" customHeight="1">
      <c r="A31" s="257" t="s">
        <v>34</v>
      </c>
      <c r="B31" s="257"/>
      <c r="C31" s="22" t="s">
        <v>18</v>
      </c>
      <c r="D31" s="22" t="s">
        <v>19</v>
      </c>
      <c r="E31" s="22" t="s">
        <v>18</v>
      </c>
      <c r="F31" s="22" t="s">
        <v>19</v>
      </c>
      <c r="G31" s="22" t="s">
        <v>18</v>
      </c>
      <c r="H31" s="22" t="s">
        <v>19</v>
      </c>
      <c r="I31" s="22" t="s">
        <v>18</v>
      </c>
      <c r="J31" s="22" t="s">
        <v>19</v>
      </c>
      <c r="K31" s="257" t="s">
        <v>34</v>
      </c>
      <c r="L31" s="257"/>
      <c r="M31" s="268"/>
      <c r="N31" s="267"/>
      <c r="O31" s="262"/>
      <c r="P31" s="262"/>
      <c r="Q31" s="263"/>
      <c r="R31" s="254"/>
      <c r="S31" s="254"/>
      <c r="T31" s="254"/>
      <c r="U31" s="254"/>
      <c r="V31" s="254"/>
      <c r="W31" s="254"/>
      <c r="X31" s="254"/>
    </row>
    <row r="32" spans="1:1024" ht="35.1" customHeight="1">
      <c r="A32" s="257" t="s">
        <v>35</v>
      </c>
      <c r="B32" s="257"/>
      <c r="C32" s="26">
        <f t="shared" ref="C32:J32" si="0">SUM(C12:C13)</f>
        <v>0</v>
      </c>
      <c r="D32" s="26">
        <f t="shared" si="0"/>
        <v>0</v>
      </c>
      <c r="E32" s="26">
        <f t="shared" si="0"/>
        <v>0</v>
      </c>
      <c r="F32" s="26">
        <f t="shared" si="0"/>
        <v>0</v>
      </c>
      <c r="G32" s="26">
        <f t="shared" si="0"/>
        <v>0</v>
      </c>
      <c r="H32" s="26">
        <f t="shared" si="0"/>
        <v>0</v>
      </c>
      <c r="I32" s="26">
        <f t="shared" si="0"/>
        <v>0</v>
      </c>
      <c r="J32" s="26">
        <f t="shared" si="0"/>
        <v>0</v>
      </c>
      <c r="K32" s="257" t="str">
        <f>A32</f>
        <v>6:30 à 7:00</v>
      </c>
      <c r="L32" s="257"/>
      <c r="M32" s="63">
        <f t="shared" ref="M32:M37" si="1">SUM(C32:J32)</f>
        <v>0</v>
      </c>
      <c r="N32" s="41">
        <f>C32+E32+G32+I32</f>
        <v>0</v>
      </c>
      <c r="O32" s="41">
        <f>E32+F32+I32+J32</f>
        <v>0</v>
      </c>
      <c r="P32" s="41">
        <f>E32+I32</f>
        <v>0</v>
      </c>
      <c r="Q32" s="41">
        <f>SUM(G32:J32)</f>
        <v>0</v>
      </c>
      <c r="R32" s="60"/>
      <c r="S32" s="61"/>
      <c r="T32" s="61"/>
      <c r="U32" s="82"/>
      <c r="V32" s="82"/>
      <c r="W32" s="82"/>
      <c r="X32" s="83"/>
    </row>
    <row r="33" spans="1:24" ht="35.1" customHeight="1">
      <c r="A33" s="257" t="s">
        <v>36</v>
      </c>
      <c r="B33" s="257"/>
      <c r="C33" s="26">
        <f t="shared" ref="C33:J33" si="2">SUM(C14:C15)</f>
        <v>1</v>
      </c>
      <c r="D33" s="26">
        <f t="shared" si="2"/>
        <v>2</v>
      </c>
      <c r="E33" s="26">
        <f t="shared" si="2"/>
        <v>0</v>
      </c>
      <c r="F33" s="26">
        <f t="shared" si="2"/>
        <v>0</v>
      </c>
      <c r="G33" s="26">
        <f t="shared" si="2"/>
        <v>0</v>
      </c>
      <c r="H33" s="26">
        <f t="shared" si="2"/>
        <v>0</v>
      </c>
      <c r="I33" s="26">
        <f t="shared" si="2"/>
        <v>0</v>
      </c>
      <c r="J33" s="26">
        <f t="shared" si="2"/>
        <v>1</v>
      </c>
      <c r="K33" s="257" t="str">
        <f>A33</f>
        <v>7:00 à 7:30</v>
      </c>
      <c r="L33" s="257"/>
      <c r="M33" s="63">
        <f t="shared" si="1"/>
        <v>4</v>
      </c>
      <c r="N33" s="41">
        <f>C33+E33+G33+I33</f>
        <v>1</v>
      </c>
      <c r="O33" s="41">
        <f>E33+F33+I33+J33</f>
        <v>1</v>
      </c>
      <c r="P33" s="41">
        <f>E33+I33</f>
        <v>0</v>
      </c>
      <c r="Q33" s="41">
        <f>SUM(G33:J33)</f>
        <v>1</v>
      </c>
      <c r="R33" s="60" t="s">
        <v>99</v>
      </c>
      <c r="S33" s="61"/>
      <c r="T33" s="61"/>
      <c r="U33" s="82"/>
      <c r="V33" s="82"/>
      <c r="W33" s="82"/>
      <c r="X33" s="83"/>
    </row>
    <row r="34" spans="1:24" ht="35.1" customHeight="1">
      <c r="A34" s="257" t="s">
        <v>37</v>
      </c>
      <c r="B34" s="257"/>
      <c r="C34" s="26">
        <f t="shared" ref="C34:J34" si="3">SUM(C16:C17)</f>
        <v>0</v>
      </c>
      <c r="D34" s="26">
        <f t="shared" si="3"/>
        <v>1</v>
      </c>
      <c r="E34" s="26">
        <f t="shared" si="3"/>
        <v>0</v>
      </c>
      <c r="F34" s="26">
        <f t="shared" si="3"/>
        <v>0</v>
      </c>
      <c r="G34" s="26">
        <f t="shared" si="3"/>
        <v>0</v>
      </c>
      <c r="H34" s="26">
        <f t="shared" si="3"/>
        <v>0</v>
      </c>
      <c r="I34" s="26">
        <f t="shared" si="3"/>
        <v>0</v>
      </c>
      <c r="J34" s="26">
        <f t="shared" si="3"/>
        <v>0</v>
      </c>
      <c r="K34" s="257" t="str">
        <f>A34</f>
        <v>7:30 à 8:00</v>
      </c>
      <c r="L34" s="257"/>
      <c r="M34" s="63">
        <f t="shared" si="1"/>
        <v>1</v>
      </c>
      <c r="N34" s="41">
        <f>C34+E34+G34+I34</f>
        <v>0</v>
      </c>
      <c r="O34" s="41">
        <f>E34+F34+I34+J34</f>
        <v>0</v>
      </c>
      <c r="P34" s="41">
        <f>E34+I34</f>
        <v>0</v>
      </c>
      <c r="Q34" s="41">
        <f>SUM(G34:J34)</f>
        <v>0</v>
      </c>
      <c r="R34" s="60" t="s">
        <v>99</v>
      </c>
      <c r="S34" s="61"/>
      <c r="T34" s="61"/>
      <c r="U34" s="82"/>
      <c r="V34" s="82"/>
      <c r="W34" s="82"/>
      <c r="X34" s="83"/>
    </row>
    <row r="35" spans="1:24" ht="35.1" customHeight="1">
      <c r="A35" s="257" t="s">
        <v>38</v>
      </c>
      <c r="B35" s="257"/>
      <c r="C35" s="26">
        <f t="shared" ref="C35:J35" si="4">SUM(C18:C19)</f>
        <v>0</v>
      </c>
      <c r="D35" s="26">
        <f t="shared" si="4"/>
        <v>0</v>
      </c>
      <c r="E35" s="26">
        <f t="shared" si="4"/>
        <v>0</v>
      </c>
      <c r="F35" s="26">
        <f t="shared" si="4"/>
        <v>0</v>
      </c>
      <c r="G35" s="26">
        <f t="shared" si="4"/>
        <v>2</v>
      </c>
      <c r="H35" s="26">
        <f t="shared" si="4"/>
        <v>3</v>
      </c>
      <c r="I35" s="26">
        <f t="shared" si="4"/>
        <v>0</v>
      </c>
      <c r="J35" s="26">
        <f t="shared" si="4"/>
        <v>1</v>
      </c>
      <c r="K35" s="257" t="str">
        <f>A35</f>
        <v>8:00 à 8:30</v>
      </c>
      <c r="L35" s="257"/>
      <c r="M35" s="63">
        <f t="shared" si="1"/>
        <v>6</v>
      </c>
      <c r="N35" s="41">
        <f>C35+E35+G35+I35</f>
        <v>2</v>
      </c>
      <c r="O35" s="41">
        <f>E35+F35+I35+J35</f>
        <v>1</v>
      </c>
      <c r="P35" s="41">
        <f>E35+I35</f>
        <v>0</v>
      </c>
      <c r="Q35" s="41">
        <f>SUM(G35:J35)</f>
        <v>6</v>
      </c>
      <c r="R35" s="60"/>
      <c r="S35" s="61"/>
      <c r="T35" s="61"/>
      <c r="U35" s="82"/>
      <c r="V35" s="82"/>
      <c r="W35" s="82"/>
      <c r="X35" s="83"/>
    </row>
    <row r="36" spans="1:24" ht="35.1" customHeight="1">
      <c r="A36" s="257" t="s">
        <v>39</v>
      </c>
      <c r="B36" s="257"/>
      <c r="C36" s="26">
        <f t="shared" ref="C36:J36" si="5">SUM(C20:C21)</f>
        <v>1</v>
      </c>
      <c r="D36" s="26">
        <f t="shared" si="5"/>
        <v>4</v>
      </c>
      <c r="E36" s="26">
        <f t="shared" si="5"/>
        <v>1</v>
      </c>
      <c r="F36" s="26">
        <f t="shared" si="5"/>
        <v>1</v>
      </c>
      <c r="G36" s="26">
        <f t="shared" si="5"/>
        <v>0</v>
      </c>
      <c r="H36" s="26">
        <f t="shared" si="5"/>
        <v>1</v>
      </c>
      <c r="I36" s="26">
        <f t="shared" si="5"/>
        <v>0</v>
      </c>
      <c r="J36" s="26">
        <f t="shared" si="5"/>
        <v>1</v>
      </c>
      <c r="K36" s="257" t="str">
        <f>A36</f>
        <v>8:30 à 9:00</v>
      </c>
      <c r="L36" s="257"/>
      <c r="M36" s="63">
        <f t="shared" si="1"/>
        <v>9</v>
      </c>
      <c r="N36" s="41">
        <f>C36+E36+G36+I36</f>
        <v>2</v>
      </c>
      <c r="O36" s="41">
        <f>E36+F36+I36+J36</f>
        <v>3</v>
      </c>
      <c r="P36" s="41">
        <f>E36+I36</f>
        <v>1</v>
      </c>
      <c r="Q36" s="41">
        <f>SUM(G36:J36)</f>
        <v>2</v>
      </c>
      <c r="R36" s="60" t="s">
        <v>100</v>
      </c>
      <c r="S36" s="61"/>
      <c r="T36" s="61"/>
      <c r="U36" s="82"/>
      <c r="V36" s="82"/>
      <c r="W36" s="82"/>
      <c r="X36" s="83"/>
    </row>
    <row r="37" spans="1:24" ht="35.1" customHeight="1">
      <c r="A37" s="257" t="s">
        <v>29</v>
      </c>
      <c r="B37" s="257"/>
      <c r="C37" s="30">
        <f t="shared" ref="C37:J37" si="6">SUM(C12:C21)</f>
        <v>2</v>
      </c>
      <c r="D37" s="30">
        <f t="shared" si="6"/>
        <v>7</v>
      </c>
      <c r="E37" s="30">
        <f t="shared" si="6"/>
        <v>1</v>
      </c>
      <c r="F37" s="30">
        <f t="shared" si="6"/>
        <v>1</v>
      </c>
      <c r="G37" s="30">
        <f t="shared" si="6"/>
        <v>2</v>
      </c>
      <c r="H37" s="30">
        <f t="shared" si="6"/>
        <v>4</v>
      </c>
      <c r="I37" s="30">
        <f t="shared" si="6"/>
        <v>0</v>
      </c>
      <c r="J37" s="30">
        <f t="shared" si="6"/>
        <v>3</v>
      </c>
      <c r="K37" s="270" t="s">
        <v>29</v>
      </c>
      <c r="L37" s="270"/>
      <c r="M37" s="62">
        <f t="shared" si="1"/>
        <v>20</v>
      </c>
      <c r="N37" s="43">
        <f>N36+N35+N34+N33+N32</f>
        <v>5</v>
      </c>
      <c r="O37" s="43">
        <f>O36+O35+O34+O33+O32</f>
        <v>5</v>
      </c>
      <c r="P37" s="43">
        <f>P36+P35+P34+P33+P32</f>
        <v>1</v>
      </c>
      <c r="Q37" s="43">
        <f>Q36+Q34+Q32</f>
        <v>2</v>
      </c>
      <c r="R37" s="60" t="s">
        <v>101</v>
      </c>
      <c r="S37" s="61"/>
      <c r="T37" s="61"/>
      <c r="U37" s="82"/>
      <c r="V37" s="82"/>
      <c r="W37" s="82"/>
      <c r="X37" s="83"/>
    </row>
    <row r="38" spans="1:24" ht="35.1" customHeight="1">
      <c r="A38" s="44"/>
      <c r="B38" s="45"/>
      <c r="C38" s="45"/>
      <c r="D38" s="45"/>
      <c r="E38" s="45"/>
      <c r="F38" s="45"/>
      <c r="G38" s="45"/>
      <c r="H38" s="45"/>
      <c r="I38" s="45"/>
      <c r="J38" s="45"/>
      <c r="K38" s="257" t="str">
        <f>IF($M$36=MAX($M$32:$M$36),K36,IF($M$35=MAX($M$32:$M$36),K35,IF($M$34=MAX($M$32:$M$36),K34,IF($M$33=MAX($M$32:$M$36),K33,IF($M$32=MAX($M$32:$M$36),K32,K36)))))</f>
        <v>8:30 à 9:00</v>
      </c>
      <c r="L38" s="257"/>
      <c r="M38" s="39">
        <f>IF($M$36=MAX($M$32:$M$36),M36,IF($M$35=MAX($M$32:$M$36),M35,IF($M$34=MAX($M$32:$M$36),M34,IF($M$33=MAX($M$32:$M$36),M33,IF($M$32=MAX($M$32:$M$36),M32,M36)))))</f>
        <v>9</v>
      </c>
      <c r="N38" s="80">
        <f>IF($M$36=MAX($M$32:$M$36),N36,IF($M$35=MAX($M$32:$M$36),N35,IF($M$34=MAX($M$32:$M$36),N34,IF($M$33=MAX($M$32:$M$36),N33,IF($M$32=MAX($M$32:$M$36),N32,N36)))))</f>
        <v>2</v>
      </c>
      <c r="O38" s="80">
        <f>IF($M$36=MAX($M$32:$M$36),O36,IF($M$35=MAX($M$32:$M$36),O35,IF($M$34=MAX($M$32:$M$36),O34,IF($M$33=MAX($M$32:$M$36),O33,IF($M$32=MAX($M$32:$M$36),O32,O36)))))</f>
        <v>3</v>
      </c>
      <c r="P38" s="80">
        <f>IF($M$36=MAX($M$32:$M$36),P36,IF($M$35=MAX($M$32:$M$36),P35,IF($M$34=MAX($M$32:$M$36),P34,IF($M$33=MAX($M$32:$M$36),P33,IF($M$32=MAX($M$32:$M$36),P32,P36)))))</f>
        <v>1</v>
      </c>
      <c r="Q38" s="80">
        <f>IF($M$36=MAX($M$32:$M$36),Q36,IF($M$35=MAX($M$32:$M$36),Q35,IF($M$34=MAX($M$32:$M$36),Q34,IF($M$33=MAX($M$32:$M$36),Q33,IF($M$32=MAX($M$32:$M$36),Q32,Q36)))))</f>
        <v>2</v>
      </c>
      <c r="R38" s="60"/>
      <c r="S38" s="61"/>
      <c r="T38" s="61"/>
      <c r="U38" s="82"/>
      <c r="V38" s="82"/>
      <c r="W38" s="82"/>
      <c r="X38" s="83"/>
    </row>
    <row r="39" spans="1:24" ht="24.95" customHeight="1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14"/>
      <c r="L39" s="10"/>
      <c r="M39" s="268" t="s">
        <v>29</v>
      </c>
      <c r="N39" s="254" t="s">
        <v>40</v>
      </c>
      <c r="O39" s="254" t="s">
        <v>41</v>
      </c>
      <c r="P39" s="254" t="s">
        <v>42</v>
      </c>
      <c r="Q39" s="254" t="str">
        <f>Q28</f>
        <v>Cycles en direction de Bonneville</v>
      </c>
      <c r="R39" s="254" t="s">
        <v>56</v>
      </c>
      <c r="S39" s="254"/>
      <c r="T39" s="254"/>
      <c r="U39" s="254"/>
      <c r="V39" s="254"/>
      <c r="W39" s="254"/>
      <c r="X39" s="254"/>
    </row>
    <row r="40" spans="1:24" ht="24.95" customHeight="1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14"/>
      <c r="L40" s="10"/>
      <c r="M40" s="268"/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</row>
    <row r="41" spans="1:24" ht="24.95" customHeight="1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58"/>
      <c r="L41" s="10"/>
      <c r="M41" s="268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</row>
    <row r="42" spans="1:24" ht="35.1" customHeight="1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257" t="s">
        <v>34</v>
      </c>
      <c r="L42" s="257"/>
      <c r="M42" s="268"/>
      <c r="N42" s="254"/>
      <c r="O42" s="254"/>
      <c r="P42" s="254"/>
      <c r="Q42" s="254"/>
      <c r="R42" s="254"/>
      <c r="S42" s="254"/>
      <c r="T42" s="254"/>
      <c r="U42" s="254"/>
      <c r="V42" s="254"/>
      <c r="W42" s="254"/>
      <c r="X42" s="254"/>
    </row>
    <row r="43" spans="1:24" ht="35.1" customHeight="1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257" t="str">
        <f>K32</f>
        <v>6:30 à 7:00</v>
      </c>
      <c r="L43" s="257"/>
      <c r="M43" s="63"/>
      <c r="N43" s="48">
        <f>IF(N32=0,0,N32/M32)</f>
        <v>0</v>
      </c>
      <c r="O43" s="48">
        <f>IF(O32=0,0,O32/M32)</f>
        <v>0</v>
      </c>
      <c r="P43" s="48">
        <f>IF(P32=0,0,P32/N32)</f>
        <v>0</v>
      </c>
      <c r="Q43" s="48">
        <f>IF(Q32=0,0,Q32/M32)</f>
        <v>0</v>
      </c>
      <c r="R43" s="60"/>
      <c r="S43" s="61"/>
      <c r="T43" s="61"/>
      <c r="U43" s="82"/>
      <c r="V43" s="82"/>
      <c r="W43" s="82"/>
      <c r="X43" s="83"/>
    </row>
    <row r="44" spans="1:24" ht="35.1" customHeight="1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257" t="str">
        <f>K33</f>
        <v>7:00 à 7:30</v>
      </c>
      <c r="L44" s="257"/>
      <c r="M44" s="63"/>
      <c r="N44" s="48">
        <f>IF(N34=0,0,N34/M34)</f>
        <v>0</v>
      </c>
      <c r="O44" s="48">
        <f>IF(O34=0,0,O34/M34)</f>
        <v>0</v>
      </c>
      <c r="P44" s="48">
        <f>IF(P34=0,0,P34/N34)</f>
        <v>0</v>
      </c>
      <c r="Q44" s="48">
        <f>IF(Q34=0,0,Q34/M34)</f>
        <v>0</v>
      </c>
      <c r="R44" s="60"/>
      <c r="S44" s="61"/>
      <c r="T44" s="61"/>
      <c r="U44" s="82"/>
      <c r="V44" s="82"/>
      <c r="W44" s="82"/>
      <c r="X44" s="83"/>
    </row>
    <row r="45" spans="1:24" ht="35.1" customHeight="1">
      <c r="A45" s="46"/>
      <c r="B45" s="47"/>
      <c r="C45" s="47"/>
      <c r="D45" s="47"/>
      <c r="E45" s="47"/>
      <c r="F45" s="47"/>
      <c r="G45" s="47"/>
      <c r="H45" s="47"/>
      <c r="I45" s="47"/>
      <c r="J45" s="47"/>
      <c r="K45" s="257" t="str">
        <f>K34</f>
        <v>7:30 à 8:00</v>
      </c>
      <c r="L45" s="257"/>
      <c r="M45" s="63"/>
      <c r="N45" s="48">
        <f>IF(N34=0,0,N34/M34)</f>
        <v>0</v>
      </c>
      <c r="O45" s="48">
        <f t="shared" ref="O45:P48" si="7">IF(O34=0,0,O34/M34)</f>
        <v>0</v>
      </c>
      <c r="P45" s="48">
        <f t="shared" si="7"/>
        <v>0</v>
      </c>
      <c r="Q45" s="48">
        <f>IF(Q34=0,0,Q34/M34)</f>
        <v>0</v>
      </c>
      <c r="R45" s="60"/>
      <c r="S45" s="61"/>
      <c r="T45" s="61"/>
      <c r="U45" s="82"/>
      <c r="V45" s="82"/>
      <c r="W45" s="82"/>
      <c r="X45" s="83"/>
    </row>
    <row r="46" spans="1:24" ht="35.1" customHeight="1">
      <c r="A46" s="46"/>
      <c r="B46" s="47"/>
      <c r="C46" s="47"/>
      <c r="D46" s="47"/>
      <c r="E46" s="47"/>
      <c r="F46" s="47"/>
      <c r="G46" s="47"/>
      <c r="H46" s="47"/>
      <c r="I46" s="47"/>
      <c r="J46" s="47"/>
      <c r="K46" s="257" t="str">
        <f>K35</f>
        <v>8:00 à 8:30</v>
      </c>
      <c r="L46" s="257"/>
      <c r="M46" s="63"/>
      <c r="N46" s="48">
        <f>IF(N35=0,0,N35/M35)</f>
        <v>0.33333333333333331</v>
      </c>
      <c r="O46" s="48">
        <f t="shared" si="7"/>
        <v>0.16666666666666666</v>
      </c>
      <c r="P46" s="48">
        <f t="shared" si="7"/>
        <v>0</v>
      </c>
      <c r="Q46" s="48">
        <f>IF(Q35=0,0,Q35/M35)</f>
        <v>1</v>
      </c>
      <c r="R46" s="60"/>
      <c r="S46" s="61"/>
      <c r="T46" s="61"/>
      <c r="U46" s="82"/>
      <c r="V46" s="82"/>
      <c r="W46" s="82"/>
      <c r="X46" s="83"/>
    </row>
    <row r="47" spans="1:24" ht="35.1" customHeight="1">
      <c r="F47" s="47"/>
      <c r="K47" s="257" t="str">
        <f>K36</f>
        <v>8:30 à 9:00</v>
      </c>
      <c r="L47" s="257"/>
      <c r="M47" s="63"/>
      <c r="N47" s="48">
        <f>IF(N36=0,0,N36/M36)</f>
        <v>0.22222222222222221</v>
      </c>
      <c r="O47" s="48">
        <f t="shared" si="7"/>
        <v>0.33333333333333331</v>
      </c>
      <c r="P47" s="48">
        <f t="shared" si="7"/>
        <v>0.5</v>
      </c>
      <c r="Q47" s="48">
        <f>IF(Q36=0,0,Q36/M36)</f>
        <v>0.22222222222222221</v>
      </c>
      <c r="R47" s="60"/>
      <c r="S47" s="61"/>
      <c r="T47" s="61"/>
      <c r="U47" s="82"/>
      <c r="V47" s="82"/>
      <c r="W47" s="82"/>
      <c r="X47" s="83"/>
    </row>
    <row r="48" spans="1:24" ht="35.1" customHeight="1">
      <c r="F48" s="47"/>
      <c r="K48" s="257" t="s">
        <v>29</v>
      </c>
      <c r="L48" s="257"/>
      <c r="M48" s="64"/>
      <c r="N48" s="49">
        <f>IF(N37=0,0,N37/M37)</f>
        <v>0.25</v>
      </c>
      <c r="O48" s="49">
        <f t="shared" si="7"/>
        <v>0.25</v>
      </c>
      <c r="P48" s="49">
        <f t="shared" si="7"/>
        <v>0.2</v>
      </c>
      <c r="Q48" s="49">
        <f>IF(Q37=0,0,Q37/M37)</f>
        <v>0.1</v>
      </c>
      <c r="R48" s="60"/>
      <c r="S48" s="61"/>
      <c r="T48" s="61"/>
      <c r="U48" s="82"/>
      <c r="V48" s="82"/>
      <c r="W48" s="82"/>
      <c r="X48" s="83"/>
    </row>
    <row r="49" spans="11:24" ht="35.1" customHeight="1">
      <c r="K49" s="257" t="str">
        <f>K38</f>
        <v>8:30 à 9:00</v>
      </c>
      <c r="L49" s="257"/>
      <c r="M49" s="39">
        <f>IF($AW$50=MAX($AW$50:$AW$54),M43,IF($AW$51=MAX($AW$50:$AW$54),M45,IF($AW$52=MAX($AW$50:$AW$54),M46,IF($AW$53=MAX($AW$50:$AW$54),(M46),M47))))</f>
        <v>0</v>
      </c>
      <c r="N49" s="51">
        <f>IF($AW$50=MAX($AW$50:$AW$54),N43,IF($AW$51=MAX($AW$50:$AW$54),N45,IF($AW$52=MAX($AW$50:$AW$54),N46,IF($AW$53=MAX($AW$50:$AW$54),(N46),N47))))</f>
        <v>0</v>
      </c>
      <c r="O49" s="51">
        <f>O47</f>
        <v>0.33333333333333331</v>
      </c>
      <c r="P49" s="51">
        <f>IF($AW$50=MAX($AW$50:$AW$54),P43,IF($AW$51=MAX($AW$50:$AW$54),P45,IF($AW$52=MAX($AW$50:$AW$54),P46,IF($AW$53=MAX($AW$50:$AW$54),(P46),P47))))</f>
        <v>0</v>
      </c>
      <c r="Q49" s="51">
        <f>IF($AW$50=MAX($AW$50:$AW$54),Q43,IF($AW$51=MAX($AW$50:$AW$54),Q45,IF($AW$52=MAX($AW$50:$AW$54),Q46,IF($AW$53=MAX($AW$50:$AW$54),(Q46),Q47))))</f>
        <v>0</v>
      </c>
      <c r="R49" s="60"/>
      <c r="S49" s="61"/>
      <c r="T49" s="61"/>
      <c r="U49" s="82"/>
      <c r="V49" s="82"/>
      <c r="W49" s="82"/>
      <c r="X49" s="83"/>
    </row>
  </sheetData>
  <mergeCells count="49">
    <mergeCell ref="C8:J8"/>
    <mergeCell ref="C9:F9"/>
    <mergeCell ref="G9:J9"/>
    <mergeCell ref="C10:D10"/>
    <mergeCell ref="E10:F10"/>
    <mergeCell ref="G10:H10"/>
    <mergeCell ref="I10:J10"/>
    <mergeCell ref="R28:X31"/>
    <mergeCell ref="C29:F29"/>
    <mergeCell ref="G29:J29"/>
    <mergeCell ref="C30:D30"/>
    <mergeCell ref="E30:F30"/>
    <mergeCell ref="G30:H30"/>
    <mergeCell ref="I30:J30"/>
    <mergeCell ref="C28:J28"/>
    <mergeCell ref="M28:M31"/>
    <mergeCell ref="N28:N31"/>
    <mergeCell ref="O28:O31"/>
    <mergeCell ref="P28:P31"/>
    <mergeCell ref="Q28:Q31"/>
    <mergeCell ref="A31:B31"/>
    <mergeCell ref="K31:L31"/>
    <mergeCell ref="A32:B32"/>
    <mergeCell ref="K32:L32"/>
    <mergeCell ref="A33:B33"/>
    <mergeCell ref="K33:L33"/>
    <mergeCell ref="A34:B34"/>
    <mergeCell ref="K34:L34"/>
    <mergeCell ref="A35:B35"/>
    <mergeCell ref="K35:L35"/>
    <mergeCell ref="A36:B36"/>
    <mergeCell ref="K36:L36"/>
    <mergeCell ref="K44:L44"/>
    <mergeCell ref="A37:B37"/>
    <mergeCell ref="K37:L37"/>
    <mergeCell ref="K38:L38"/>
    <mergeCell ref="M39:M42"/>
    <mergeCell ref="P39:P42"/>
    <mergeCell ref="Q39:Q42"/>
    <mergeCell ref="R39:X42"/>
    <mergeCell ref="K42:L42"/>
    <mergeCell ref="K43:L43"/>
    <mergeCell ref="N39:N42"/>
    <mergeCell ref="O39:O42"/>
    <mergeCell ref="K45:L45"/>
    <mergeCell ref="K46:L46"/>
    <mergeCell ref="K47:L47"/>
    <mergeCell ref="K48:L48"/>
    <mergeCell ref="K49:L49"/>
  </mergeCells>
  <pageMargins left="0.51181102362204722" right="0.51181102362204722" top="0.5507874015748031" bottom="0.5507874015748031" header="0.3543307086614173" footer="0.3543307086614173"/>
  <pageSetup paperSize="9" scale="45" fitToWidth="0" fitToHeight="0" orientation="landscape" r:id="rId1"/>
  <headerFooter alignWithMargins="0"/>
  <colBreaks count="1" manualBreakCount="1">
    <brk id="10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J91"/>
  <sheetViews>
    <sheetView view="pageBreakPreview" topLeftCell="A50" zoomScale="40" zoomScaleNormal="100" zoomScaleSheetLayoutView="40" workbookViewId="0">
      <selection activeCell="BM67" sqref="BM67"/>
    </sheetView>
  </sheetViews>
  <sheetFormatPr baseColWidth="10" defaultRowHeight="14.25"/>
  <cols>
    <col min="1" max="1" width="4.625" style="6" customWidth="1"/>
    <col min="2" max="2" width="11.125" style="6" customWidth="1"/>
    <col min="3" max="62" width="6.875" style="6" customWidth="1"/>
    <col min="63" max="64" width="12.875" style="6" customWidth="1"/>
    <col min="65" max="65" width="16.875" style="6" customWidth="1"/>
    <col min="66" max="66" width="17.625" style="6" customWidth="1"/>
    <col min="67" max="67" width="23.25" style="6" customWidth="1"/>
    <col min="68" max="68" width="18.625" style="6" customWidth="1"/>
    <col min="69" max="70" width="22" style="6" customWidth="1"/>
    <col min="71" max="80" width="12.875" style="6" customWidth="1"/>
    <col min="81" max="87" width="6.25" style="6" customWidth="1"/>
    <col min="88" max="88" width="9.25" style="6" customWidth="1"/>
    <col min="89" max="89" width="14" style="6" customWidth="1"/>
    <col min="90" max="90" width="13.875" style="6" customWidth="1"/>
    <col min="91" max="94" width="21" style="6" customWidth="1"/>
    <col min="95" max="96" width="18.875" style="6" customWidth="1"/>
    <col min="97" max="97" width="15.875" style="6" customWidth="1"/>
    <col min="98" max="101" width="17.25" style="6" customWidth="1"/>
    <col min="102" max="106" width="10.75" style="6" customWidth="1"/>
    <col min="107" max="1023" width="11.125" style="6" customWidth="1"/>
    <col min="1024" max="1024" width="11" style="6" customWidth="1"/>
  </cols>
  <sheetData>
    <row r="1" spans="1:93" s="9" customFormat="1" ht="52.5" customHeight="1">
      <c r="A1" s="84"/>
      <c r="B1" s="67" t="s">
        <v>102</v>
      </c>
      <c r="C1" s="3"/>
      <c r="D1" s="3"/>
      <c r="E1" s="3"/>
      <c r="F1" s="4"/>
      <c r="G1" s="3"/>
      <c r="H1" s="3"/>
      <c r="I1" s="3"/>
      <c r="J1" s="3"/>
      <c r="K1" s="4"/>
      <c r="L1" s="4"/>
      <c r="M1" s="4"/>
      <c r="N1" s="4"/>
      <c r="O1" s="3"/>
      <c r="P1" s="3"/>
      <c r="Q1" s="3"/>
      <c r="R1" s="3"/>
      <c r="S1" s="4"/>
      <c r="T1" s="4"/>
      <c r="U1" s="4"/>
      <c r="V1" s="4"/>
      <c r="W1" s="4"/>
      <c r="X1" s="5" t="s">
        <v>2</v>
      </c>
      <c r="Y1" s="65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4"/>
      <c r="CO1" s="4"/>
    </row>
    <row r="2" spans="1:93" s="9" customFormat="1" ht="52.5" customHeight="1">
      <c r="A2" s="1" t="s">
        <v>3</v>
      </c>
      <c r="B2" s="3"/>
      <c r="C2" s="3"/>
      <c r="D2" s="3"/>
      <c r="E2" s="3"/>
      <c r="F2" s="4"/>
      <c r="G2" s="3"/>
      <c r="H2" s="3"/>
      <c r="I2" s="3"/>
      <c r="J2" s="3"/>
      <c r="K2" s="3"/>
      <c r="L2" s="3" t="s">
        <v>103</v>
      </c>
      <c r="M2" s="3"/>
      <c r="N2" s="3"/>
      <c r="O2" s="3"/>
      <c r="P2" s="3"/>
      <c r="Q2" s="3"/>
      <c r="R2" s="3"/>
      <c r="S2" s="3"/>
      <c r="T2" s="3" t="s">
        <v>104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4"/>
      <c r="CO2" s="4"/>
    </row>
    <row r="3" spans="1:93" s="9" customFormat="1" ht="52.5" customHeight="1">
      <c r="A3" s="1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7" t="s">
        <v>5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</row>
    <row r="4" spans="1:93" s="9" customFormat="1" ht="25.5" customHeight="1"/>
    <row r="5" spans="1:93" s="9" customFormat="1" ht="25.5" customHeight="1">
      <c r="A5" s="167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4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</row>
    <row r="6" spans="1:93" s="9" customFormat="1" ht="25.5" customHeight="1">
      <c r="A6" s="167" t="s">
        <v>155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4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</row>
    <row r="7" spans="1:93" s="9" customFormat="1" ht="50.65" customHeight="1">
      <c r="A7" s="167" t="s">
        <v>156</v>
      </c>
      <c r="B7" s="3"/>
      <c r="C7" s="3"/>
      <c r="D7" s="3"/>
      <c r="E7" s="3"/>
      <c r="F7" s="3"/>
      <c r="G7" s="7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</row>
    <row r="8" spans="1:93" s="9" customFormat="1" ht="25.5" customHeight="1">
      <c r="A8" s="6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4"/>
      <c r="AQ8" s="3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4"/>
      <c r="CO8" s="4"/>
    </row>
    <row r="9" spans="1:93" ht="32.25" customHeight="1">
      <c r="A9" s="1"/>
      <c r="B9" s="3"/>
      <c r="C9" s="264" t="s">
        <v>159</v>
      </c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 t="s">
        <v>45</v>
      </c>
      <c r="X9" s="264"/>
      <c r="Y9" s="264"/>
      <c r="Z9" s="264"/>
      <c r="AA9" s="264"/>
      <c r="AB9" s="264"/>
      <c r="AC9" s="264"/>
      <c r="AD9" s="264"/>
      <c r="AE9" s="264"/>
      <c r="AF9" s="264"/>
      <c r="AG9" s="264"/>
      <c r="AH9" s="264"/>
      <c r="AI9" s="264"/>
      <c r="AJ9" s="264"/>
      <c r="AK9" s="264"/>
      <c r="AL9" s="264"/>
      <c r="AM9" s="264"/>
      <c r="AN9" s="264"/>
      <c r="AO9" s="264"/>
      <c r="AP9" s="264"/>
      <c r="AQ9" s="264" t="s">
        <v>160</v>
      </c>
      <c r="AR9" s="264"/>
      <c r="AS9" s="264"/>
      <c r="AT9" s="264"/>
      <c r="AU9" s="264"/>
      <c r="AV9" s="264"/>
      <c r="AW9" s="264"/>
      <c r="AX9" s="264"/>
      <c r="AY9" s="264"/>
      <c r="AZ9" s="264"/>
      <c r="BA9" s="264"/>
      <c r="BB9" s="264"/>
      <c r="BC9" s="264"/>
      <c r="BD9" s="264"/>
      <c r="BE9" s="264"/>
      <c r="BF9" s="264"/>
      <c r="BG9" s="264"/>
      <c r="BH9" s="264"/>
      <c r="BI9" s="264"/>
      <c r="BJ9" s="264"/>
      <c r="CF9" s="28"/>
      <c r="CG9" s="28"/>
      <c r="CI9" s="86"/>
      <c r="CJ9" s="86"/>
      <c r="CK9" s="86"/>
      <c r="CL9" s="86"/>
      <c r="CM9" s="86"/>
      <c r="CN9" s="86"/>
      <c r="CO9" s="86"/>
    </row>
    <row r="10" spans="1:93" ht="22.7" customHeight="1">
      <c r="A10" s="1"/>
      <c r="B10" s="3"/>
      <c r="C10" s="259" t="s">
        <v>108</v>
      </c>
      <c r="D10" s="259"/>
      <c r="E10" s="259"/>
      <c r="F10" s="259"/>
      <c r="G10" s="259" t="s">
        <v>109</v>
      </c>
      <c r="H10" s="259"/>
      <c r="I10" s="259"/>
      <c r="J10" s="259"/>
      <c r="K10" s="259" t="s">
        <v>110</v>
      </c>
      <c r="L10" s="259"/>
      <c r="M10" s="259"/>
      <c r="N10" s="259"/>
      <c r="O10" s="259" t="s">
        <v>111</v>
      </c>
      <c r="P10" s="259"/>
      <c r="Q10" s="259"/>
      <c r="R10" s="259"/>
      <c r="S10" s="259" t="s">
        <v>112</v>
      </c>
      <c r="T10" s="259"/>
      <c r="U10" s="259"/>
      <c r="V10" s="259"/>
      <c r="W10" s="259" t="s">
        <v>109</v>
      </c>
      <c r="X10" s="259"/>
      <c r="Y10" s="259"/>
      <c r="Z10" s="259"/>
      <c r="AA10" s="259" t="s">
        <v>110</v>
      </c>
      <c r="AB10" s="259"/>
      <c r="AC10" s="259"/>
      <c r="AD10" s="259"/>
      <c r="AE10" s="259" t="s">
        <v>111</v>
      </c>
      <c r="AF10" s="259"/>
      <c r="AG10" s="259"/>
      <c r="AH10" s="259"/>
      <c r="AI10" s="259" t="s">
        <v>112</v>
      </c>
      <c r="AJ10" s="259"/>
      <c r="AK10" s="259"/>
      <c r="AL10" s="259"/>
      <c r="AM10" s="259" t="s">
        <v>113</v>
      </c>
      <c r="AN10" s="259"/>
      <c r="AO10" s="259"/>
      <c r="AP10" s="259"/>
      <c r="AQ10" s="259" t="s">
        <v>110</v>
      </c>
      <c r="AR10" s="259"/>
      <c r="AS10" s="259"/>
      <c r="AT10" s="259"/>
      <c r="AU10" s="259" t="s">
        <v>111</v>
      </c>
      <c r="AV10" s="259"/>
      <c r="AW10" s="259"/>
      <c r="AX10" s="259"/>
      <c r="AY10" s="259" t="s">
        <v>112</v>
      </c>
      <c r="AZ10" s="259"/>
      <c r="BA10" s="259"/>
      <c r="BB10" s="259"/>
      <c r="BC10" s="259" t="s">
        <v>113</v>
      </c>
      <c r="BD10" s="259"/>
      <c r="BE10" s="259"/>
      <c r="BF10" s="259"/>
      <c r="BG10" s="259" t="s">
        <v>108</v>
      </c>
      <c r="BH10" s="259"/>
      <c r="BI10" s="259"/>
      <c r="BJ10" s="259"/>
      <c r="CF10" s="28"/>
      <c r="CG10" s="28"/>
    </row>
    <row r="11" spans="1:93" ht="18.600000000000001" customHeight="1">
      <c r="A11" s="1"/>
      <c r="B11" s="3"/>
      <c r="C11" s="258" t="s">
        <v>14</v>
      </c>
      <c r="D11" s="258"/>
      <c r="E11" s="258" t="s">
        <v>15</v>
      </c>
      <c r="F11" s="258"/>
      <c r="G11" s="258" t="s">
        <v>14</v>
      </c>
      <c r="H11" s="258"/>
      <c r="I11" s="258" t="s">
        <v>15</v>
      </c>
      <c r="J11" s="258"/>
      <c r="K11" s="258" t="s">
        <v>14</v>
      </c>
      <c r="L11" s="258"/>
      <c r="M11" s="258" t="s">
        <v>15</v>
      </c>
      <c r="N11" s="258"/>
      <c r="O11" s="258" t="s">
        <v>14</v>
      </c>
      <c r="P11" s="258"/>
      <c r="Q11" s="258" t="s">
        <v>15</v>
      </c>
      <c r="R11" s="258"/>
      <c r="S11" s="258" t="s">
        <v>14</v>
      </c>
      <c r="T11" s="258"/>
      <c r="U11" s="258" t="s">
        <v>15</v>
      </c>
      <c r="V11" s="258"/>
      <c r="W11" s="258" t="s">
        <v>14</v>
      </c>
      <c r="X11" s="258"/>
      <c r="Y11" s="258" t="s">
        <v>15</v>
      </c>
      <c r="Z11" s="258"/>
      <c r="AA11" s="258" t="s">
        <v>14</v>
      </c>
      <c r="AB11" s="258"/>
      <c r="AC11" s="258" t="s">
        <v>15</v>
      </c>
      <c r="AD11" s="258"/>
      <c r="AE11" s="258" t="s">
        <v>14</v>
      </c>
      <c r="AF11" s="258"/>
      <c r="AG11" s="258" t="s">
        <v>15</v>
      </c>
      <c r="AH11" s="258"/>
      <c r="AI11" s="258" t="s">
        <v>14</v>
      </c>
      <c r="AJ11" s="258"/>
      <c r="AK11" s="258" t="s">
        <v>15</v>
      </c>
      <c r="AL11" s="258"/>
      <c r="AM11" s="258" t="s">
        <v>14</v>
      </c>
      <c r="AN11" s="258"/>
      <c r="AO11" s="258" t="s">
        <v>15</v>
      </c>
      <c r="AP11" s="258"/>
      <c r="AQ11" s="258" t="s">
        <v>14</v>
      </c>
      <c r="AR11" s="258"/>
      <c r="AS11" s="258" t="s">
        <v>15</v>
      </c>
      <c r="AT11" s="258"/>
      <c r="AU11" s="258" t="s">
        <v>14</v>
      </c>
      <c r="AV11" s="258"/>
      <c r="AW11" s="258" t="s">
        <v>15</v>
      </c>
      <c r="AX11" s="258"/>
      <c r="AY11" s="258" t="s">
        <v>14</v>
      </c>
      <c r="AZ11" s="258"/>
      <c r="BA11" s="258" t="s">
        <v>15</v>
      </c>
      <c r="BB11" s="258"/>
      <c r="BC11" s="258" t="s">
        <v>14</v>
      </c>
      <c r="BD11" s="258"/>
      <c r="BE11" s="258" t="s">
        <v>15</v>
      </c>
      <c r="BF11" s="258"/>
      <c r="BG11" s="258" t="s">
        <v>14</v>
      </c>
      <c r="BH11" s="258"/>
      <c r="BI11" s="258" t="s">
        <v>15</v>
      </c>
      <c r="BJ11" s="258"/>
      <c r="CF11" s="28"/>
      <c r="CG11" s="28"/>
    </row>
    <row r="12" spans="1:93" ht="20.25">
      <c r="A12" s="21" t="s">
        <v>14</v>
      </c>
      <c r="B12" s="21" t="s">
        <v>17</v>
      </c>
      <c r="C12" s="22" t="s">
        <v>18</v>
      </c>
      <c r="D12" s="22" t="s">
        <v>19</v>
      </c>
      <c r="E12" s="22" t="s">
        <v>18</v>
      </c>
      <c r="F12" s="22" t="s">
        <v>19</v>
      </c>
      <c r="G12" s="22" t="s">
        <v>18</v>
      </c>
      <c r="H12" s="22" t="s">
        <v>19</v>
      </c>
      <c r="I12" s="22" t="s">
        <v>18</v>
      </c>
      <c r="J12" s="22" t="s">
        <v>19</v>
      </c>
      <c r="K12" s="22" t="s">
        <v>18</v>
      </c>
      <c r="L12" s="22" t="s">
        <v>19</v>
      </c>
      <c r="M12" s="22" t="s">
        <v>18</v>
      </c>
      <c r="N12" s="22" t="s">
        <v>19</v>
      </c>
      <c r="O12" s="22" t="s">
        <v>18</v>
      </c>
      <c r="P12" s="22" t="s">
        <v>19</v>
      </c>
      <c r="Q12" s="22" t="s">
        <v>18</v>
      </c>
      <c r="R12" s="22" t="s">
        <v>19</v>
      </c>
      <c r="S12" s="22" t="s">
        <v>18</v>
      </c>
      <c r="T12" s="22" t="s">
        <v>19</v>
      </c>
      <c r="U12" s="22" t="s">
        <v>18</v>
      </c>
      <c r="V12" s="22" t="s">
        <v>19</v>
      </c>
      <c r="W12" s="22" t="s">
        <v>18</v>
      </c>
      <c r="X12" s="22" t="s">
        <v>19</v>
      </c>
      <c r="Y12" s="22" t="s">
        <v>18</v>
      </c>
      <c r="Z12" s="22" t="s">
        <v>19</v>
      </c>
      <c r="AA12" s="22" t="s">
        <v>18</v>
      </c>
      <c r="AB12" s="22" t="s">
        <v>19</v>
      </c>
      <c r="AC12" s="22" t="s">
        <v>18</v>
      </c>
      <c r="AD12" s="22" t="s">
        <v>19</v>
      </c>
      <c r="AE12" s="22" t="s">
        <v>18</v>
      </c>
      <c r="AF12" s="22" t="s">
        <v>19</v>
      </c>
      <c r="AG12" s="22" t="s">
        <v>18</v>
      </c>
      <c r="AH12" s="22" t="s">
        <v>19</v>
      </c>
      <c r="AI12" s="22" t="s">
        <v>18</v>
      </c>
      <c r="AJ12" s="22" t="s">
        <v>19</v>
      </c>
      <c r="AK12" s="22" t="s">
        <v>18</v>
      </c>
      <c r="AL12" s="22" t="s">
        <v>19</v>
      </c>
      <c r="AM12" s="22" t="s">
        <v>18</v>
      </c>
      <c r="AN12" s="22" t="s">
        <v>19</v>
      </c>
      <c r="AO12" s="22" t="s">
        <v>18</v>
      </c>
      <c r="AP12" s="22" t="s">
        <v>19</v>
      </c>
      <c r="AQ12" s="22" t="s">
        <v>18</v>
      </c>
      <c r="AR12" s="22" t="s">
        <v>19</v>
      </c>
      <c r="AS12" s="22" t="s">
        <v>18</v>
      </c>
      <c r="AT12" s="22" t="s">
        <v>19</v>
      </c>
      <c r="AU12" s="22" t="s">
        <v>18</v>
      </c>
      <c r="AV12" s="22" t="s">
        <v>19</v>
      </c>
      <c r="AW12" s="22" t="s">
        <v>18</v>
      </c>
      <c r="AX12" s="22" t="s">
        <v>19</v>
      </c>
      <c r="AY12" s="22" t="s">
        <v>18</v>
      </c>
      <c r="AZ12" s="22" t="s">
        <v>19</v>
      </c>
      <c r="BA12" s="22" t="s">
        <v>18</v>
      </c>
      <c r="BB12" s="22" t="s">
        <v>19</v>
      </c>
      <c r="BC12" s="22" t="s">
        <v>18</v>
      </c>
      <c r="BD12" s="22" t="s">
        <v>19</v>
      </c>
      <c r="BE12" s="22" t="s">
        <v>18</v>
      </c>
      <c r="BF12" s="22" t="s">
        <v>19</v>
      </c>
      <c r="BG12" s="22" t="s">
        <v>18</v>
      </c>
      <c r="BH12" s="22" t="s">
        <v>19</v>
      </c>
      <c r="BI12" s="22" t="s">
        <v>18</v>
      </c>
      <c r="BJ12" s="22" t="s">
        <v>19</v>
      </c>
      <c r="CF12" s="28"/>
      <c r="CG12" s="28"/>
      <c r="CH12" s="87"/>
    </row>
    <row r="13" spans="1:93" ht="75" customHeight="1">
      <c r="A13" s="25">
        <v>6</v>
      </c>
      <c r="B13" s="21" t="s">
        <v>20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>
        <v>1</v>
      </c>
      <c r="AF13" s="26">
        <v>1</v>
      </c>
      <c r="AG13" s="26"/>
      <c r="AH13" s="26"/>
      <c r="AI13" s="26"/>
      <c r="AJ13" s="26">
        <v>1</v>
      </c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CF13" s="28"/>
      <c r="CG13" s="28"/>
      <c r="CH13" s="88"/>
      <c r="CI13" s="88"/>
      <c r="CJ13" s="88"/>
      <c r="CK13" s="88"/>
      <c r="CL13" s="88"/>
      <c r="CM13" s="88"/>
      <c r="CN13" s="88"/>
      <c r="CO13" s="88"/>
    </row>
    <row r="14" spans="1:93" ht="75" customHeight="1">
      <c r="A14" s="21"/>
      <c r="B14" s="21" t="s">
        <v>21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CF14" s="28"/>
      <c r="CG14" s="28"/>
      <c r="CH14" s="88"/>
      <c r="CI14" s="88"/>
      <c r="CJ14" s="88"/>
      <c r="CK14" s="88"/>
      <c r="CL14" s="88"/>
      <c r="CM14" s="88"/>
      <c r="CN14" s="88"/>
      <c r="CO14" s="88"/>
    </row>
    <row r="15" spans="1:93" ht="75" customHeight="1">
      <c r="A15" s="25">
        <v>7</v>
      </c>
      <c r="B15" s="21" t="s">
        <v>22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>
        <v>1</v>
      </c>
      <c r="AG15" s="26"/>
      <c r="AH15" s="26"/>
      <c r="AI15" s="26">
        <v>2</v>
      </c>
      <c r="AJ15" s="26">
        <v>1</v>
      </c>
      <c r="AK15" s="26">
        <v>1</v>
      </c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>
        <v>1</v>
      </c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CF15" s="28"/>
      <c r="CG15" s="28"/>
      <c r="CH15" s="88"/>
      <c r="CI15" s="88"/>
      <c r="CJ15" s="88"/>
      <c r="CK15" s="88"/>
      <c r="CL15" s="88"/>
      <c r="CM15" s="88"/>
      <c r="CN15" s="88"/>
      <c r="CO15" s="88"/>
    </row>
    <row r="16" spans="1:93" ht="75" customHeight="1">
      <c r="A16" s="21"/>
      <c r="B16" s="21" t="s">
        <v>23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>
        <v>1</v>
      </c>
      <c r="AC16" s="26"/>
      <c r="AD16" s="26"/>
      <c r="AE16" s="26"/>
      <c r="AF16" s="26"/>
      <c r="AG16" s="26"/>
      <c r="AH16" s="26"/>
      <c r="AI16" s="26"/>
      <c r="AJ16" s="26">
        <v>2</v>
      </c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CF16" s="28"/>
      <c r="CG16" s="28"/>
      <c r="CH16" s="88"/>
      <c r="CI16" s="88"/>
      <c r="CJ16" s="88"/>
      <c r="CK16" s="88"/>
      <c r="CL16" s="88"/>
      <c r="CM16" s="88"/>
      <c r="CN16" s="88"/>
      <c r="CO16" s="88"/>
    </row>
    <row r="17" spans="1:93" ht="75" customHeight="1">
      <c r="A17" s="21"/>
      <c r="B17" s="21" t="s">
        <v>20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>
        <v>1</v>
      </c>
      <c r="AG17" s="26"/>
      <c r="AH17" s="26"/>
      <c r="AI17" s="26"/>
      <c r="AJ17" s="26">
        <v>1</v>
      </c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CF17" s="28"/>
      <c r="CG17" s="28"/>
      <c r="CH17" s="88"/>
      <c r="CI17" s="88"/>
      <c r="CJ17" s="88"/>
      <c r="CK17" s="88"/>
      <c r="CL17" s="88"/>
      <c r="CM17" s="88"/>
      <c r="CN17" s="88"/>
      <c r="CO17" s="88"/>
    </row>
    <row r="18" spans="1:93" ht="75" customHeight="1">
      <c r="A18" s="21"/>
      <c r="B18" s="21" t="s">
        <v>24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>
        <v>1</v>
      </c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CF18" s="28"/>
      <c r="CG18" s="28"/>
      <c r="CH18" s="88"/>
      <c r="CI18" s="88"/>
      <c r="CJ18" s="88"/>
      <c r="CK18" s="88"/>
      <c r="CL18" s="88"/>
      <c r="CM18" s="88"/>
      <c r="CN18" s="88"/>
      <c r="CO18" s="88"/>
    </row>
    <row r="19" spans="1:93" ht="75" customHeight="1">
      <c r="A19" s="25">
        <v>8</v>
      </c>
      <c r="B19" s="21" t="s">
        <v>22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>
        <v>1</v>
      </c>
      <c r="BC19" s="26"/>
      <c r="BD19" s="26"/>
      <c r="BE19" s="26"/>
      <c r="BF19" s="26"/>
      <c r="BG19" s="26"/>
      <c r="BH19" s="26"/>
      <c r="BI19" s="26"/>
      <c r="BJ19" s="26"/>
      <c r="CF19" s="28"/>
      <c r="CG19" s="28"/>
      <c r="CH19" s="88"/>
      <c r="CI19" s="88"/>
      <c r="CJ19" s="88"/>
      <c r="CK19" s="88"/>
      <c r="CL19" s="88"/>
      <c r="CM19" s="88"/>
      <c r="CN19" s="88"/>
      <c r="CO19" s="88"/>
    </row>
    <row r="20" spans="1:93" ht="75" customHeight="1">
      <c r="A20" s="21"/>
      <c r="B20" s="21" t="s">
        <v>23</v>
      </c>
      <c r="C20" s="26"/>
      <c r="D20" s="26"/>
      <c r="E20" s="26"/>
      <c r="F20" s="26"/>
      <c r="G20" s="26"/>
      <c r="H20" s="26"/>
      <c r="I20" s="26"/>
      <c r="J20" s="26"/>
      <c r="K20" s="26">
        <v>1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CF20" s="28"/>
      <c r="CG20" s="28"/>
      <c r="CH20" s="88"/>
      <c r="CI20" s="88"/>
      <c r="CJ20" s="88"/>
      <c r="CK20" s="88"/>
      <c r="CL20" s="88"/>
      <c r="CM20" s="88"/>
      <c r="CN20" s="88"/>
      <c r="CO20" s="88"/>
    </row>
    <row r="21" spans="1:93" ht="75" customHeight="1">
      <c r="A21" s="21"/>
      <c r="B21" s="21" t="s">
        <v>20</v>
      </c>
      <c r="C21" s="26"/>
      <c r="D21" s="26"/>
      <c r="E21" s="26"/>
      <c r="F21" s="26"/>
      <c r="G21" s="26"/>
      <c r="H21" s="26">
        <v>1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>
        <v>1</v>
      </c>
      <c r="BD21" s="26"/>
      <c r="BE21" s="26"/>
      <c r="BF21" s="26"/>
      <c r="BG21" s="26"/>
      <c r="BH21" s="26"/>
      <c r="BI21" s="26"/>
      <c r="BJ21" s="26"/>
      <c r="CF21" s="28"/>
      <c r="CG21" s="28"/>
      <c r="CH21" s="88"/>
      <c r="CI21" s="88"/>
      <c r="CJ21" s="88"/>
      <c r="CK21" s="88"/>
      <c r="CL21" s="88"/>
      <c r="CM21" s="88"/>
      <c r="CN21" s="88"/>
      <c r="CO21" s="88"/>
    </row>
    <row r="22" spans="1:93" ht="75" customHeight="1">
      <c r="A22" s="29">
        <v>9</v>
      </c>
      <c r="B22" s="21" t="s">
        <v>24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>
        <v>1</v>
      </c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CF22" s="28"/>
      <c r="CG22" s="28"/>
      <c r="CH22" s="88"/>
      <c r="CI22" s="88"/>
      <c r="CJ22" s="88"/>
      <c r="CK22" s="88"/>
      <c r="CL22" s="88"/>
      <c r="CM22" s="88"/>
      <c r="CN22" s="88"/>
      <c r="CO22" s="88"/>
    </row>
    <row r="23" spans="1:93" customFormat="1" ht="13.15" customHeight="1"/>
    <row r="24" spans="1:93" s="36" customFormat="1" ht="54.95" customHeight="1">
      <c r="A24" s="32" t="s">
        <v>25</v>
      </c>
      <c r="B24" s="33"/>
      <c r="C24" s="33"/>
      <c r="D24" s="33"/>
      <c r="E24" s="33"/>
      <c r="F24" s="33"/>
      <c r="G24" s="33"/>
      <c r="H24" s="196">
        <v>5</v>
      </c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2" t="s">
        <v>114</v>
      </c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4"/>
    </row>
    <row r="25" spans="1:93" s="36" customFormat="1" ht="54.95" customHeight="1">
      <c r="A25" s="32" t="s">
        <v>27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2" t="s">
        <v>26</v>
      </c>
      <c r="AA25" s="33"/>
      <c r="AB25" s="33"/>
      <c r="AC25" s="33"/>
      <c r="AD25" s="33"/>
      <c r="AE25" s="33"/>
      <c r="AF25" s="33"/>
      <c r="AG25" s="33"/>
      <c r="AH25" s="33"/>
      <c r="AI25" s="33"/>
      <c r="AJ25" s="196" t="s">
        <v>191</v>
      </c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4"/>
    </row>
    <row r="26" spans="1:93" s="36" customFormat="1" ht="45" customHeight="1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4"/>
    </row>
    <row r="27" spans="1:93" s="9" customFormat="1" ht="52.5" customHeight="1">
      <c r="A27" s="84"/>
      <c r="B27" s="2" t="s">
        <v>102</v>
      </c>
      <c r="C27" s="3"/>
      <c r="D27" s="3"/>
      <c r="E27" s="3"/>
      <c r="F27" s="4"/>
      <c r="G27" s="3"/>
      <c r="H27" s="3"/>
      <c r="I27" s="3"/>
      <c r="J27" s="3"/>
      <c r="K27" s="4"/>
      <c r="L27" s="4"/>
      <c r="M27" s="4"/>
      <c r="N27" s="4"/>
      <c r="O27" s="3"/>
      <c r="P27" s="3"/>
      <c r="Q27" s="3"/>
      <c r="R27" s="3"/>
      <c r="S27" s="4"/>
      <c r="T27" s="4"/>
      <c r="U27" s="4"/>
      <c r="V27" s="4"/>
      <c r="W27" s="4"/>
      <c r="X27" s="5" t="s">
        <v>2</v>
      </c>
      <c r="Y27" s="65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4"/>
      <c r="CO27" s="4"/>
    </row>
    <row r="28" spans="1:93" s="9" customFormat="1" ht="52.5" customHeight="1">
      <c r="A28" s="1" t="s">
        <v>3</v>
      </c>
      <c r="B28" s="3"/>
      <c r="C28" s="3"/>
      <c r="D28" s="3"/>
      <c r="E28" s="3"/>
      <c r="F28" s="4"/>
      <c r="G28" s="3"/>
      <c r="H28" s="3"/>
      <c r="I28" s="3"/>
      <c r="J28" s="3"/>
      <c r="K28" s="3"/>
      <c r="L28" s="3" t="s">
        <v>103</v>
      </c>
      <c r="M28" s="3"/>
      <c r="N28" s="3"/>
      <c r="O28" s="3"/>
      <c r="P28" s="3"/>
      <c r="Q28" s="3"/>
      <c r="R28" s="3"/>
      <c r="S28" s="3"/>
      <c r="T28" s="3" t="s">
        <v>104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4"/>
      <c r="CO28" s="4"/>
    </row>
    <row r="29" spans="1:93" s="9" customFormat="1" ht="52.5" customHeight="1">
      <c r="A29" s="1" t="s">
        <v>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7" t="s">
        <v>5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</row>
    <row r="30" spans="1:93" s="9" customFormat="1" ht="25.5" customHeight="1"/>
    <row r="31" spans="1:93" s="9" customFormat="1" ht="25.5" customHeight="1">
      <c r="A31" s="67" t="s">
        <v>58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4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</row>
    <row r="32" spans="1:93" s="9" customFormat="1" ht="50.65" customHeight="1">
      <c r="A32" s="67" t="s">
        <v>115</v>
      </c>
      <c r="B32" s="3"/>
      <c r="C32" s="3"/>
      <c r="D32" s="3"/>
      <c r="E32" s="3"/>
      <c r="F32" s="3"/>
      <c r="G32" s="7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4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</row>
    <row r="33" spans="1:93" s="9" customFormat="1" ht="25.5" customHeight="1">
      <c r="A33" s="6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4"/>
      <c r="AQ33" s="3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4"/>
      <c r="CO33" s="4"/>
    </row>
    <row r="34" spans="1:93" ht="32.25" customHeight="1">
      <c r="A34" s="1"/>
      <c r="B34" s="3"/>
      <c r="C34" s="264" t="s">
        <v>157</v>
      </c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/>
      <c r="P34" s="264"/>
      <c r="Q34" s="264"/>
      <c r="R34" s="264"/>
      <c r="S34" s="264"/>
      <c r="T34" s="264"/>
      <c r="U34" s="264"/>
      <c r="V34" s="264"/>
      <c r="W34" s="264" t="s">
        <v>77</v>
      </c>
      <c r="X34" s="264"/>
      <c r="Y34" s="264"/>
      <c r="Z34" s="264"/>
      <c r="AA34" s="264"/>
      <c r="AB34" s="264"/>
      <c r="AC34" s="264"/>
      <c r="AD34" s="264"/>
      <c r="AE34" s="264"/>
      <c r="AF34" s="264"/>
      <c r="AG34" s="264"/>
      <c r="AH34" s="264"/>
      <c r="AI34" s="264"/>
      <c r="AJ34" s="264"/>
      <c r="AK34" s="264"/>
      <c r="AL34" s="264"/>
      <c r="AM34" s="264"/>
      <c r="AN34" s="264"/>
      <c r="AO34" s="264"/>
      <c r="AP34" s="264"/>
      <c r="AQ34" s="264" t="s">
        <v>158</v>
      </c>
      <c r="AR34" s="264"/>
      <c r="AS34" s="264"/>
      <c r="AT34" s="264"/>
      <c r="AU34" s="264"/>
      <c r="AV34" s="264"/>
      <c r="AW34" s="264"/>
      <c r="AX34" s="264"/>
      <c r="AY34" s="264"/>
      <c r="AZ34" s="264"/>
      <c r="BA34" s="264"/>
      <c r="BB34" s="264"/>
      <c r="BC34" s="264"/>
      <c r="BD34" s="264"/>
      <c r="BE34" s="264"/>
      <c r="BF34" s="264"/>
      <c r="BG34" s="264"/>
      <c r="BH34" s="264"/>
      <c r="BI34" s="264"/>
      <c r="BJ34" s="264"/>
      <c r="BK34" s="28"/>
      <c r="BL34" s="28"/>
      <c r="BN34" s="86"/>
      <c r="BO34" s="86"/>
      <c r="BP34" s="86"/>
      <c r="BQ34" s="86"/>
      <c r="BR34" s="86"/>
      <c r="BS34" s="86"/>
      <c r="BT34" s="86"/>
      <c r="BU34" s="86"/>
    </row>
    <row r="35" spans="1:93" ht="22.7" customHeight="1">
      <c r="A35" s="1"/>
      <c r="B35" s="3"/>
      <c r="C35" s="259" t="s">
        <v>111</v>
      </c>
      <c r="D35" s="259"/>
      <c r="E35" s="259"/>
      <c r="F35" s="259"/>
      <c r="G35" s="259" t="s">
        <v>112</v>
      </c>
      <c r="H35" s="259"/>
      <c r="I35" s="259"/>
      <c r="J35" s="259"/>
      <c r="K35" s="259" t="s">
        <v>113</v>
      </c>
      <c r="L35" s="259"/>
      <c r="M35" s="259"/>
      <c r="N35" s="259"/>
      <c r="O35" s="259" t="s">
        <v>108</v>
      </c>
      <c r="P35" s="259"/>
      <c r="Q35" s="259"/>
      <c r="R35" s="259"/>
      <c r="S35" s="259" t="s">
        <v>109</v>
      </c>
      <c r="T35" s="259"/>
      <c r="U35" s="259"/>
      <c r="V35" s="259"/>
      <c r="W35" s="259" t="s">
        <v>112</v>
      </c>
      <c r="X35" s="259"/>
      <c r="Y35" s="259"/>
      <c r="Z35" s="259"/>
      <c r="AA35" s="259" t="s">
        <v>113</v>
      </c>
      <c r="AB35" s="259"/>
      <c r="AC35" s="259"/>
      <c r="AD35" s="259"/>
      <c r="AE35" s="259" t="s">
        <v>108</v>
      </c>
      <c r="AF35" s="259"/>
      <c r="AG35" s="259"/>
      <c r="AH35" s="259"/>
      <c r="AI35" s="259" t="s">
        <v>109</v>
      </c>
      <c r="AJ35" s="259"/>
      <c r="AK35" s="259"/>
      <c r="AL35" s="259"/>
      <c r="AM35" s="259" t="s">
        <v>110</v>
      </c>
      <c r="AN35" s="259"/>
      <c r="AO35" s="259"/>
      <c r="AP35" s="259"/>
      <c r="AQ35" s="259" t="s">
        <v>113</v>
      </c>
      <c r="AR35" s="259"/>
      <c r="AS35" s="259"/>
      <c r="AT35" s="259"/>
      <c r="AU35" s="259" t="s">
        <v>108</v>
      </c>
      <c r="AV35" s="259"/>
      <c r="AW35" s="259"/>
      <c r="AX35" s="259"/>
      <c r="AY35" s="259" t="s">
        <v>109</v>
      </c>
      <c r="AZ35" s="259"/>
      <c r="BA35" s="259"/>
      <c r="BB35" s="259"/>
      <c r="BC35" s="259" t="s">
        <v>110</v>
      </c>
      <c r="BD35" s="259"/>
      <c r="BE35" s="259"/>
      <c r="BF35" s="259"/>
      <c r="BG35" s="259" t="s">
        <v>111</v>
      </c>
      <c r="BH35" s="259"/>
      <c r="BI35" s="259"/>
      <c r="BJ35" s="259"/>
      <c r="BK35" s="28"/>
      <c r="BL35" s="28"/>
    </row>
    <row r="36" spans="1:93" ht="18.600000000000001" customHeight="1">
      <c r="A36" s="1"/>
      <c r="B36" s="3"/>
      <c r="C36" s="258" t="s">
        <v>14</v>
      </c>
      <c r="D36" s="258"/>
      <c r="E36" s="258" t="s">
        <v>15</v>
      </c>
      <c r="F36" s="258"/>
      <c r="G36" s="258" t="s">
        <v>14</v>
      </c>
      <c r="H36" s="258"/>
      <c r="I36" s="258" t="s">
        <v>15</v>
      </c>
      <c r="J36" s="258"/>
      <c r="K36" s="258" t="s">
        <v>14</v>
      </c>
      <c r="L36" s="258"/>
      <c r="M36" s="258" t="s">
        <v>15</v>
      </c>
      <c r="N36" s="258"/>
      <c r="O36" s="258" t="s">
        <v>14</v>
      </c>
      <c r="P36" s="258"/>
      <c r="Q36" s="258" t="s">
        <v>15</v>
      </c>
      <c r="R36" s="258"/>
      <c r="S36" s="258" t="s">
        <v>14</v>
      </c>
      <c r="T36" s="258"/>
      <c r="U36" s="258" t="s">
        <v>15</v>
      </c>
      <c r="V36" s="258"/>
      <c r="W36" s="258" t="s">
        <v>14</v>
      </c>
      <c r="X36" s="258"/>
      <c r="Y36" s="258" t="s">
        <v>15</v>
      </c>
      <c r="Z36" s="258"/>
      <c r="AA36" s="258" t="s">
        <v>14</v>
      </c>
      <c r="AB36" s="258"/>
      <c r="AC36" s="258" t="s">
        <v>15</v>
      </c>
      <c r="AD36" s="258"/>
      <c r="AE36" s="258" t="s">
        <v>14</v>
      </c>
      <c r="AF36" s="258"/>
      <c r="AG36" s="258" t="s">
        <v>15</v>
      </c>
      <c r="AH36" s="258"/>
      <c r="AI36" s="258" t="s">
        <v>14</v>
      </c>
      <c r="AJ36" s="258"/>
      <c r="AK36" s="258" t="s">
        <v>15</v>
      </c>
      <c r="AL36" s="258"/>
      <c r="AM36" s="258" t="s">
        <v>14</v>
      </c>
      <c r="AN36" s="258"/>
      <c r="AO36" s="258" t="s">
        <v>15</v>
      </c>
      <c r="AP36" s="258"/>
      <c r="AQ36" s="258" t="s">
        <v>14</v>
      </c>
      <c r="AR36" s="258"/>
      <c r="AS36" s="258" t="s">
        <v>15</v>
      </c>
      <c r="AT36" s="258"/>
      <c r="AU36" s="258" t="s">
        <v>14</v>
      </c>
      <c r="AV36" s="258"/>
      <c r="AW36" s="258" t="s">
        <v>15</v>
      </c>
      <c r="AX36" s="258"/>
      <c r="AY36" s="258" t="s">
        <v>14</v>
      </c>
      <c r="AZ36" s="258"/>
      <c r="BA36" s="258" t="s">
        <v>15</v>
      </c>
      <c r="BB36" s="258"/>
      <c r="BC36" s="258" t="s">
        <v>14</v>
      </c>
      <c r="BD36" s="258"/>
      <c r="BE36" s="258" t="s">
        <v>15</v>
      </c>
      <c r="BF36" s="258"/>
      <c r="BG36" s="258" t="s">
        <v>14</v>
      </c>
      <c r="BH36" s="258"/>
      <c r="BI36" s="258" t="s">
        <v>15</v>
      </c>
      <c r="BJ36" s="258"/>
      <c r="BK36" s="28"/>
      <c r="BL36" s="28"/>
    </row>
    <row r="37" spans="1:93" ht="20.25">
      <c r="A37" s="21" t="s">
        <v>14</v>
      </c>
      <c r="B37" s="21" t="s">
        <v>17</v>
      </c>
      <c r="C37" s="22" t="s">
        <v>18</v>
      </c>
      <c r="D37" s="22" t="s">
        <v>19</v>
      </c>
      <c r="E37" s="22" t="s">
        <v>18</v>
      </c>
      <c r="F37" s="22" t="s">
        <v>19</v>
      </c>
      <c r="G37" s="22" t="s">
        <v>18</v>
      </c>
      <c r="H37" s="22" t="s">
        <v>19</v>
      </c>
      <c r="I37" s="22" t="s">
        <v>18</v>
      </c>
      <c r="J37" s="22" t="s">
        <v>19</v>
      </c>
      <c r="K37" s="22" t="s">
        <v>18</v>
      </c>
      <c r="L37" s="22" t="s">
        <v>19</v>
      </c>
      <c r="M37" s="22" t="s">
        <v>18</v>
      </c>
      <c r="N37" s="22" t="s">
        <v>19</v>
      </c>
      <c r="O37" s="22" t="s">
        <v>18</v>
      </c>
      <c r="P37" s="22" t="s">
        <v>19</v>
      </c>
      <c r="Q37" s="22" t="s">
        <v>18</v>
      </c>
      <c r="R37" s="22" t="s">
        <v>19</v>
      </c>
      <c r="S37" s="22" t="s">
        <v>18</v>
      </c>
      <c r="T37" s="22" t="s">
        <v>19</v>
      </c>
      <c r="U37" s="22" t="s">
        <v>18</v>
      </c>
      <c r="V37" s="22" t="s">
        <v>19</v>
      </c>
      <c r="W37" s="22" t="s">
        <v>18</v>
      </c>
      <c r="X37" s="22" t="s">
        <v>19</v>
      </c>
      <c r="Y37" s="22" t="s">
        <v>18</v>
      </c>
      <c r="Z37" s="22" t="s">
        <v>19</v>
      </c>
      <c r="AA37" s="22" t="s">
        <v>18</v>
      </c>
      <c r="AB37" s="22" t="s">
        <v>19</v>
      </c>
      <c r="AC37" s="22" t="s">
        <v>18</v>
      </c>
      <c r="AD37" s="22" t="s">
        <v>19</v>
      </c>
      <c r="AE37" s="22" t="s">
        <v>18</v>
      </c>
      <c r="AF37" s="22" t="s">
        <v>19</v>
      </c>
      <c r="AG37" s="22" t="s">
        <v>18</v>
      </c>
      <c r="AH37" s="22" t="s">
        <v>19</v>
      </c>
      <c r="AI37" s="22" t="s">
        <v>18</v>
      </c>
      <c r="AJ37" s="22" t="s">
        <v>19</v>
      </c>
      <c r="AK37" s="22" t="s">
        <v>18</v>
      </c>
      <c r="AL37" s="22" t="s">
        <v>19</v>
      </c>
      <c r="AM37" s="22" t="s">
        <v>18</v>
      </c>
      <c r="AN37" s="22" t="s">
        <v>19</v>
      </c>
      <c r="AO37" s="22" t="s">
        <v>18</v>
      </c>
      <c r="AP37" s="22" t="s">
        <v>19</v>
      </c>
      <c r="AQ37" s="22" t="s">
        <v>18</v>
      </c>
      <c r="AR37" s="22" t="s">
        <v>19</v>
      </c>
      <c r="AS37" s="22" t="s">
        <v>18</v>
      </c>
      <c r="AT37" s="22" t="s">
        <v>19</v>
      </c>
      <c r="AU37" s="22" t="s">
        <v>18</v>
      </c>
      <c r="AV37" s="22" t="s">
        <v>19</v>
      </c>
      <c r="AW37" s="22" t="s">
        <v>18</v>
      </c>
      <c r="AX37" s="22" t="s">
        <v>19</v>
      </c>
      <c r="AY37" s="22" t="s">
        <v>18</v>
      </c>
      <c r="AZ37" s="22" t="s">
        <v>19</v>
      </c>
      <c r="BA37" s="22" t="s">
        <v>18</v>
      </c>
      <c r="BB37" s="22" t="s">
        <v>19</v>
      </c>
      <c r="BC37" s="22" t="s">
        <v>18</v>
      </c>
      <c r="BD37" s="22" t="s">
        <v>19</v>
      </c>
      <c r="BE37" s="22" t="s">
        <v>18</v>
      </c>
      <c r="BF37" s="22" t="s">
        <v>19</v>
      </c>
      <c r="BG37" s="22" t="s">
        <v>18</v>
      </c>
      <c r="BH37" s="22" t="s">
        <v>19</v>
      </c>
      <c r="BI37" s="22" t="s">
        <v>18</v>
      </c>
      <c r="BJ37" s="22" t="s">
        <v>19</v>
      </c>
      <c r="BK37" s="28"/>
      <c r="BL37" s="28"/>
      <c r="BM37" s="87"/>
    </row>
    <row r="38" spans="1:93" ht="75" customHeight="1">
      <c r="A38" s="25">
        <v>6</v>
      </c>
      <c r="B38" s="21" t="s">
        <v>20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CF38" s="28"/>
      <c r="CG38" s="28"/>
      <c r="CH38" s="88"/>
      <c r="CI38" s="88"/>
      <c r="CJ38" s="88"/>
      <c r="CK38" s="88"/>
      <c r="CL38" s="88"/>
      <c r="CM38" s="88"/>
      <c r="CN38" s="88"/>
      <c r="CO38" s="88"/>
    </row>
    <row r="39" spans="1:93" ht="75" customHeight="1">
      <c r="A39" s="21"/>
      <c r="B39" s="21" t="s">
        <v>21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CF39" s="28"/>
      <c r="CG39" s="28"/>
      <c r="CH39" s="88"/>
      <c r="CI39" s="88"/>
      <c r="CJ39" s="88"/>
      <c r="CK39" s="88"/>
      <c r="CL39" s="88"/>
      <c r="CM39" s="88"/>
      <c r="CN39" s="88"/>
      <c r="CO39" s="88"/>
    </row>
    <row r="40" spans="1:93" ht="75" customHeight="1">
      <c r="A40" s="25">
        <v>7</v>
      </c>
      <c r="B40" s="21" t="s">
        <v>22</v>
      </c>
      <c r="C40" s="26"/>
      <c r="D40" s="26"/>
      <c r="E40" s="26"/>
      <c r="F40" s="26">
        <v>1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CF40" s="28"/>
      <c r="CG40" s="28"/>
      <c r="CH40" s="88"/>
      <c r="CI40" s="88"/>
      <c r="CJ40" s="88"/>
      <c r="CK40" s="88"/>
      <c r="CL40" s="88"/>
      <c r="CM40" s="88"/>
      <c r="CN40" s="88"/>
      <c r="CO40" s="88"/>
    </row>
    <row r="41" spans="1:93" ht="75" customHeight="1">
      <c r="A41" s="21"/>
      <c r="B41" s="21" t="s">
        <v>23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>
        <v>1</v>
      </c>
      <c r="AG41" s="26"/>
      <c r="AH41" s="26"/>
      <c r="AI41" s="26"/>
      <c r="AJ41" s="26"/>
      <c r="AK41" s="26"/>
      <c r="AL41" s="26"/>
      <c r="AM41" s="26"/>
      <c r="AN41" s="26"/>
      <c r="AO41" s="26"/>
      <c r="AP41" s="26">
        <v>1</v>
      </c>
      <c r="AQ41" s="26"/>
      <c r="AR41" s="26">
        <v>1</v>
      </c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CF41" s="28"/>
      <c r="CG41" s="28"/>
      <c r="CH41" s="88"/>
      <c r="CI41" s="88"/>
      <c r="CJ41" s="88"/>
      <c r="CK41" s="88"/>
      <c r="CL41" s="88"/>
      <c r="CM41" s="88"/>
      <c r="CN41" s="88"/>
      <c r="CO41" s="88"/>
    </row>
    <row r="42" spans="1:93" ht="75" customHeight="1">
      <c r="A42" s="21"/>
      <c r="B42" s="21" t="s">
        <v>20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>
        <v>1</v>
      </c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CF42" s="28"/>
      <c r="CG42" s="28"/>
      <c r="CH42" s="88"/>
      <c r="CI42" s="88"/>
      <c r="CJ42" s="88"/>
      <c r="CK42" s="88"/>
      <c r="CL42" s="88"/>
      <c r="CM42" s="88"/>
      <c r="CN42" s="88"/>
      <c r="CO42" s="88"/>
    </row>
    <row r="43" spans="1:93" ht="75" customHeight="1">
      <c r="A43" s="21"/>
      <c r="B43" s="21" t="s">
        <v>24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>
        <v>2</v>
      </c>
      <c r="AX43" s="26">
        <v>1</v>
      </c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CF43" s="28"/>
      <c r="CG43" s="28"/>
      <c r="CH43" s="88"/>
      <c r="CI43" s="88"/>
      <c r="CJ43" s="88"/>
      <c r="CK43" s="88"/>
      <c r="CL43" s="88"/>
      <c r="CM43" s="88"/>
      <c r="CN43" s="88"/>
      <c r="CO43" s="88"/>
    </row>
    <row r="44" spans="1:93" ht="75" customHeight="1">
      <c r="A44" s="25">
        <v>8</v>
      </c>
      <c r="B44" s="21" t="s">
        <v>22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CF44" s="28"/>
      <c r="CG44" s="28"/>
      <c r="CH44" s="88"/>
      <c r="CI44" s="88"/>
      <c r="CJ44" s="88"/>
      <c r="CK44" s="88"/>
      <c r="CL44" s="88"/>
      <c r="CM44" s="88"/>
      <c r="CN44" s="88"/>
      <c r="CO44" s="88"/>
    </row>
    <row r="45" spans="1:93" ht="75" customHeight="1">
      <c r="A45" s="21"/>
      <c r="B45" s="21" t="s">
        <v>23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>
        <v>1</v>
      </c>
      <c r="O45" s="26">
        <v>1</v>
      </c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>
        <v>2</v>
      </c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CF45" s="28"/>
      <c r="CG45" s="28"/>
      <c r="CH45" s="88"/>
      <c r="CI45" s="88"/>
      <c r="CJ45" s="88"/>
      <c r="CK45" s="88"/>
      <c r="CL45" s="88"/>
      <c r="CM45" s="88"/>
      <c r="CN45" s="88"/>
      <c r="CO45" s="88"/>
    </row>
    <row r="46" spans="1:93" ht="75" customHeight="1">
      <c r="A46" s="21"/>
      <c r="B46" s="21" t="s">
        <v>20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>
        <v>1</v>
      </c>
      <c r="AY46" s="26"/>
      <c r="AZ46" s="26"/>
      <c r="BA46" s="26"/>
      <c r="BB46" s="26"/>
      <c r="BC46" s="26"/>
      <c r="BD46" s="26">
        <v>1</v>
      </c>
      <c r="BE46" s="26"/>
      <c r="BF46" s="26"/>
      <c r="BG46" s="26"/>
      <c r="BH46" s="26"/>
      <c r="BI46" s="26"/>
      <c r="BJ46" s="26"/>
      <c r="CF46" s="28"/>
      <c r="CG46" s="28"/>
      <c r="CH46" s="88"/>
      <c r="CI46" s="88"/>
      <c r="CJ46" s="88"/>
      <c r="CK46" s="88"/>
      <c r="CL46" s="88"/>
      <c r="CM46" s="88"/>
      <c r="CN46" s="88"/>
      <c r="CO46" s="88"/>
    </row>
    <row r="47" spans="1:93" ht="75" customHeight="1">
      <c r="A47" s="29">
        <v>9</v>
      </c>
      <c r="B47" s="21" t="s">
        <v>24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>
        <v>1</v>
      </c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CF47" s="28"/>
      <c r="CG47" s="28"/>
      <c r="CH47" s="88"/>
      <c r="CI47" s="88"/>
      <c r="CJ47" s="88"/>
      <c r="CK47" s="88"/>
      <c r="CL47" s="88"/>
      <c r="CM47" s="88"/>
      <c r="CN47" s="88"/>
      <c r="CO47" s="88"/>
    </row>
    <row r="48" spans="1:93" ht="54.95" hidden="1" customHeight="1">
      <c r="A48" s="21">
        <v>9</v>
      </c>
      <c r="B48" s="21" t="s">
        <v>22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28"/>
      <c r="BL48" s="28"/>
      <c r="BM48" s="88"/>
      <c r="BN48" s="88"/>
      <c r="BO48" s="88"/>
      <c r="BP48" s="88"/>
      <c r="BQ48" s="88"/>
      <c r="BR48" s="88"/>
      <c r="BS48" s="88"/>
      <c r="BT48" s="88"/>
      <c r="BU48" s="88"/>
    </row>
    <row r="49" spans="1:77" ht="54.95" hidden="1" customHeight="1">
      <c r="A49" s="21"/>
      <c r="B49" s="21" t="s">
        <v>23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28"/>
      <c r="BL49" s="28"/>
      <c r="BM49" s="88"/>
      <c r="BN49" s="88"/>
      <c r="BO49" s="88"/>
      <c r="BP49" s="88"/>
      <c r="BQ49" s="88"/>
      <c r="BR49" s="88"/>
      <c r="BS49" s="88"/>
      <c r="BT49" s="88"/>
      <c r="BU49" s="88"/>
    </row>
    <row r="50" spans="1:77" ht="13.15" customHeight="1"/>
    <row r="51" spans="1:77" s="36" customFormat="1" ht="54.95" customHeight="1">
      <c r="A51" s="32" t="s">
        <v>25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2" t="s">
        <v>26</v>
      </c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4"/>
    </row>
    <row r="52" spans="1:77" s="36" customFormat="1" ht="54.95" customHeight="1">
      <c r="A52" s="32" t="s">
        <v>27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2" t="s">
        <v>28</v>
      </c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4"/>
    </row>
    <row r="53" spans="1:77" s="36" customFormat="1" ht="45" customHeight="1">
      <c r="A53" s="32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4"/>
    </row>
    <row r="54" spans="1:77" ht="52.5" customHeight="1">
      <c r="A54" s="14"/>
      <c r="B54" s="10"/>
      <c r="C54" s="6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10"/>
      <c r="AS54" s="10"/>
      <c r="AT54" s="10"/>
      <c r="AU54" s="89"/>
      <c r="AV54" s="10"/>
      <c r="AW54" s="10"/>
      <c r="AX54" s="10"/>
      <c r="AY54" s="89"/>
      <c r="AZ54" s="89"/>
      <c r="BA54" s="89"/>
      <c r="BB54" s="89"/>
      <c r="BC54" s="89"/>
      <c r="BD54" s="89"/>
      <c r="BE54" s="89"/>
      <c r="BF54" s="89"/>
      <c r="BG54" s="10"/>
      <c r="BH54" s="10"/>
      <c r="BI54" s="10"/>
      <c r="BJ54" s="11"/>
      <c r="BK54" s="14"/>
      <c r="BL54" s="10"/>
      <c r="BM54" s="6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  <c r="BY54" s="89"/>
    </row>
    <row r="55" spans="1:77" ht="25.5" customHeight="1">
      <c r="A55" s="37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1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1"/>
      <c r="BK55" s="37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</row>
    <row r="56" spans="1:77" ht="25.5" customHeight="1">
      <c r="A56" s="37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1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1"/>
      <c r="BK56" s="37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1"/>
      <c r="BW56" s="11"/>
      <c r="BX56" s="11"/>
      <c r="BY56" s="11"/>
    </row>
    <row r="57" spans="1:77" ht="25.5" customHeight="1">
      <c r="A57" s="37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1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</row>
    <row r="58" spans="1:77" ht="32.25" customHeight="1">
      <c r="A58" s="14"/>
      <c r="B58" s="10"/>
      <c r="C58" s="264" t="s">
        <v>105</v>
      </c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 t="s">
        <v>106</v>
      </c>
      <c r="X58" s="264"/>
      <c r="Y58" s="264"/>
      <c r="Z58" s="264"/>
      <c r="AA58" s="264"/>
      <c r="AB58" s="264"/>
      <c r="AC58" s="264"/>
      <c r="AD58" s="264"/>
      <c r="AE58" s="264"/>
      <c r="AF58" s="264"/>
      <c r="AG58" s="264"/>
      <c r="AH58" s="264"/>
      <c r="AI58" s="264"/>
      <c r="AJ58" s="264"/>
      <c r="AK58" s="264"/>
      <c r="AL58" s="264"/>
      <c r="AM58" s="264"/>
      <c r="AN58" s="264"/>
      <c r="AO58" s="264"/>
      <c r="AP58" s="264"/>
      <c r="AQ58" s="264" t="s">
        <v>107</v>
      </c>
      <c r="AR58" s="264"/>
      <c r="AS58" s="264"/>
      <c r="AT58" s="264"/>
      <c r="AU58" s="264"/>
      <c r="AV58" s="264"/>
      <c r="AW58" s="264"/>
      <c r="AX58" s="264"/>
      <c r="AY58" s="264"/>
      <c r="AZ58" s="264"/>
      <c r="BA58" s="264"/>
      <c r="BB58" s="264"/>
      <c r="BC58" s="264"/>
      <c r="BD58" s="264"/>
      <c r="BE58" s="264"/>
      <c r="BF58" s="264"/>
      <c r="BG58" s="264"/>
      <c r="BH58" s="264"/>
      <c r="BI58" s="264"/>
      <c r="BJ58" s="264"/>
      <c r="BK58" s="14"/>
      <c r="BL58" s="10"/>
      <c r="BM58" s="268" t="s">
        <v>29</v>
      </c>
      <c r="BN58" s="267" t="s">
        <v>30</v>
      </c>
      <c r="BO58" s="262" t="s">
        <v>31</v>
      </c>
      <c r="BP58" s="262" t="s">
        <v>32</v>
      </c>
      <c r="BQ58" s="263" t="s">
        <v>119</v>
      </c>
      <c r="BR58" s="254" t="s">
        <v>120</v>
      </c>
      <c r="BS58" s="254" t="s">
        <v>56</v>
      </c>
      <c r="BT58" s="254"/>
      <c r="BU58" s="254"/>
      <c r="BV58" s="254"/>
      <c r="BW58" s="254"/>
      <c r="BX58" s="254"/>
      <c r="BY58" s="254"/>
    </row>
    <row r="59" spans="1:77" ht="22.7" customHeight="1">
      <c r="A59" s="14"/>
      <c r="B59" s="10"/>
      <c r="C59" s="259" t="s">
        <v>108</v>
      </c>
      <c r="D59" s="259"/>
      <c r="E59" s="259"/>
      <c r="F59" s="259"/>
      <c r="G59" s="259" t="s">
        <v>109</v>
      </c>
      <c r="H59" s="259"/>
      <c r="I59" s="259"/>
      <c r="J59" s="259"/>
      <c r="K59" s="259" t="s">
        <v>110</v>
      </c>
      <c r="L59" s="259"/>
      <c r="M59" s="259"/>
      <c r="N59" s="259"/>
      <c r="O59" s="259" t="s">
        <v>111</v>
      </c>
      <c r="P59" s="259"/>
      <c r="Q59" s="259"/>
      <c r="R59" s="259"/>
      <c r="S59" s="259" t="s">
        <v>112</v>
      </c>
      <c r="T59" s="259"/>
      <c r="U59" s="259"/>
      <c r="V59" s="259"/>
      <c r="W59" s="259" t="s">
        <v>109</v>
      </c>
      <c r="X59" s="259"/>
      <c r="Y59" s="259"/>
      <c r="Z59" s="259"/>
      <c r="AA59" s="259" t="s">
        <v>110</v>
      </c>
      <c r="AB59" s="259"/>
      <c r="AC59" s="259"/>
      <c r="AD59" s="259"/>
      <c r="AE59" s="259" t="s">
        <v>111</v>
      </c>
      <c r="AF59" s="259"/>
      <c r="AG59" s="259"/>
      <c r="AH59" s="259"/>
      <c r="AI59" s="259" t="s">
        <v>112</v>
      </c>
      <c r="AJ59" s="259"/>
      <c r="AK59" s="259"/>
      <c r="AL59" s="259"/>
      <c r="AM59" s="259" t="s">
        <v>113</v>
      </c>
      <c r="AN59" s="259"/>
      <c r="AO59" s="259"/>
      <c r="AP59" s="259"/>
      <c r="AQ59" s="259" t="s">
        <v>110</v>
      </c>
      <c r="AR59" s="259"/>
      <c r="AS59" s="259"/>
      <c r="AT59" s="259"/>
      <c r="AU59" s="259" t="s">
        <v>111</v>
      </c>
      <c r="AV59" s="259"/>
      <c r="AW59" s="259"/>
      <c r="AX59" s="259"/>
      <c r="AY59" s="259" t="s">
        <v>112</v>
      </c>
      <c r="AZ59" s="259"/>
      <c r="BA59" s="259"/>
      <c r="BB59" s="259"/>
      <c r="BC59" s="259" t="s">
        <v>113</v>
      </c>
      <c r="BD59" s="259"/>
      <c r="BE59" s="259"/>
      <c r="BF59" s="259"/>
      <c r="BG59" s="259" t="s">
        <v>108</v>
      </c>
      <c r="BH59" s="259"/>
      <c r="BI59" s="259"/>
      <c r="BJ59" s="259"/>
      <c r="BK59" s="14"/>
      <c r="BL59" s="10"/>
      <c r="BM59" s="268"/>
      <c r="BN59" s="267"/>
      <c r="BO59" s="262"/>
      <c r="BP59" s="262"/>
      <c r="BQ59" s="263"/>
      <c r="BR59" s="254"/>
      <c r="BS59" s="254"/>
      <c r="BT59" s="254"/>
      <c r="BU59" s="254"/>
      <c r="BV59" s="254"/>
      <c r="BW59" s="254"/>
      <c r="BX59" s="254"/>
      <c r="BY59" s="254"/>
    </row>
    <row r="60" spans="1:77" ht="18.600000000000001" customHeight="1">
      <c r="A60" s="14"/>
      <c r="B60" s="10"/>
      <c r="C60" s="258" t="s">
        <v>14</v>
      </c>
      <c r="D60" s="258"/>
      <c r="E60" s="258" t="s">
        <v>15</v>
      </c>
      <c r="F60" s="258"/>
      <c r="G60" s="258" t="s">
        <v>14</v>
      </c>
      <c r="H60" s="258"/>
      <c r="I60" s="258" t="s">
        <v>15</v>
      </c>
      <c r="J60" s="258"/>
      <c r="K60" s="258" t="s">
        <v>14</v>
      </c>
      <c r="L60" s="258"/>
      <c r="M60" s="258" t="s">
        <v>15</v>
      </c>
      <c r="N60" s="258"/>
      <c r="O60" s="258" t="s">
        <v>14</v>
      </c>
      <c r="P60" s="258"/>
      <c r="Q60" s="258" t="s">
        <v>15</v>
      </c>
      <c r="R60" s="258"/>
      <c r="S60" s="258" t="s">
        <v>14</v>
      </c>
      <c r="T60" s="258"/>
      <c r="U60" s="258" t="s">
        <v>15</v>
      </c>
      <c r="V60" s="258"/>
      <c r="W60" s="258" t="s">
        <v>14</v>
      </c>
      <c r="X60" s="258"/>
      <c r="Y60" s="258" t="s">
        <v>15</v>
      </c>
      <c r="Z60" s="258"/>
      <c r="AA60" s="258" t="s">
        <v>14</v>
      </c>
      <c r="AB60" s="258"/>
      <c r="AC60" s="258" t="s">
        <v>15</v>
      </c>
      <c r="AD60" s="258"/>
      <c r="AE60" s="258" t="s">
        <v>14</v>
      </c>
      <c r="AF60" s="258"/>
      <c r="AG60" s="258" t="s">
        <v>15</v>
      </c>
      <c r="AH60" s="258"/>
      <c r="AI60" s="258" t="s">
        <v>14</v>
      </c>
      <c r="AJ60" s="258"/>
      <c r="AK60" s="258" t="s">
        <v>15</v>
      </c>
      <c r="AL60" s="258"/>
      <c r="AM60" s="258" t="s">
        <v>14</v>
      </c>
      <c r="AN60" s="258"/>
      <c r="AO60" s="258" t="s">
        <v>15</v>
      </c>
      <c r="AP60" s="258"/>
      <c r="AQ60" s="258" t="s">
        <v>14</v>
      </c>
      <c r="AR60" s="258"/>
      <c r="AS60" s="258" t="s">
        <v>15</v>
      </c>
      <c r="AT60" s="258"/>
      <c r="AU60" s="258" t="s">
        <v>14</v>
      </c>
      <c r="AV60" s="258"/>
      <c r="AW60" s="258" t="s">
        <v>15</v>
      </c>
      <c r="AX60" s="258"/>
      <c r="AY60" s="258" t="s">
        <v>14</v>
      </c>
      <c r="AZ60" s="258"/>
      <c r="BA60" s="258" t="s">
        <v>15</v>
      </c>
      <c r="BB60" s="258"/>
      <c r="BC60" s="258" t="s">
        <v>14</v>
      </c>
      <c r="BD60" s="258"/>
      <c r="BE60" s="258" t="s">
        <v>15</v>
      </c>
      <c r="BF60" s="258"/>
      <c r="BG60" s="258" t="s">
        <v>14</v>
      </c>
      <c r="BH60" s="258"/>
      <c r="BI60" s="258" t="s">
        <v>15</v>
      </c>
      <c r="BJ60" s="258"/>
      <c r="BK60" s="58"/>
      <c r="BL60" s="10"/>
      <c r="BM60" s="268"/>
      <c r="BN60" s="267"/>
      <c r="BO60" s="262"/>
      <c r="BP60" s="262"/>
      <c r="BQ60" s="263"/>
      <c r="BR60" s="254"/>
      <c r="BS60" s="254"/>
      <c r="BT60" s="254"/>
      <c r="BU60" s="254"/>
      <c r="BV60" s="254"/>
      <c r="BW60" s="254"/>
      <c r="BX60" s="254"/>
      <c r="BY60" s="254"/>
    </row>
    <row r="61" spans="1:77" ht="21" customHeight="1">
      <c r="A61" s="257" t="s">
        <v>34</v>
      </c>
      <c r="B61" s="257"/>
      <c r="C61" s="22" t="s">
        <v>18</v>
      </c>
      <c r="D61" s="22" t="s">
        <v>19</v>
      </c>
      <c r="E61" s="22" t="s">
        <v>18</v>
      </c>
      <c r="F61" s="22" t="s">
        <v>19</v>
      </c>
      <c r="G61" s="22" t="s">
        <v>18</v>
      </c>
      <c r="H61" s="22" t="s">
        <v>19</v>
      </c>
      <c r="I61" s="22" t="s">
        <v>18</v>
      </c>
      <c r="J61" s="22" t="s">
        <v>19</v>
      </c>
      <c r="K61" s="22" t="s">
        <v>18</v>
      </c>
      <c r="L61" s="22" t="s">
        <v>19</v>
      </c>
      <c r="M61" s="22" t="s">
        <v>18</v>
      </c>
      <c r="N61" s="22" t="s">
        <v>19</v>
      </c>
      <c r="O61" s="22" t="s">
        <v>18</v>
      </c>
      <c r="P61" s="22" t="s">
        <v>19</v>
      </c>
      <c r="Q61" s="22" t="s">
        <v>18</v>
      </c>
      <c r="R61" s="22" t="s">
        <v>19</v>
      </c>
      <c r="S61" s="22" t="s">
        <v>18</v>
      </c>
      <c r="T61" s="22" t="s">
        <v>19</v>
      </c>
      <c r="U61" s="22" t="s">
        <v>18</v>
      </c>
      <c r="V61" s="22" t="s">
        <v>19</v>
      </c>
      <c r="W61" s="22" t="s">
        <v>18</v>
      </c>
      <c r="X61" s="22" t="s">
        <v>19</v>
      </c>
      <c r="Y61" s="22" t="s">
        <v>18</v>
      </c>
      <c r="Z61" s="22" t="s">
        <v>19</v>
      </c>
      <c r="AA61" s="22" t="s">
        <v>18</v>
      </c>
      <c r="AB61" s="22" t="s">
        <v>19</v>
      </c>
      <c r="AC61" s="22" t="s">
        <v>18</v>
      </c>
      <c r="AD61" s="22" t="s">
        <v>19</v>
      </c>
      <c r="AE61" s="22" t="s">
        <v>18</v>
      </c>
      <c r="AF61" s="22" t="s">
        <v>19</v>
      </c>
      <c r="AG61" s="22" t="s">
        <v>18</v>
      </c>
      <c r="AH61" s="22" t="s">
        <v>19</v>
      </c>
      <c r="AI61" s="22" t="s">
        <v>18</v>
      </c>
      <c r="AJ61" s="22" t="s">
        <v>19</v>
      </c>
      <c r="AK61" s="22" t="s">
        <v>18</v>
      </c>
      <c r="AL61" s="22" t="s">
        <v>19</v>
      </c>
      <c r="AM61" s="22" t="s">
        <v>18</v>
      </c>
      <c r="AN61" s="22" t="s">
        <v>19</v>
      </c>
      <c r="AO61" s="22" t="s">
        <v>18</v>
      </c>
      <c r="AP61" s="22" t="s">
        <v>19</v>
      </c>
      <c r="AQ61" s="22" t="s">
        <v>18</v>
      </c>
      <c r="AR61" s="22" t="s">
        <v>19</v>
      </c>
      <c r="AS61" s="22" t="s">
        <v>18</v>
      </c>
      <c r="AT61" s="22" t="s">
        <v>19</v>
      </c>
      <c r="AU61" s="22" t="s">
        <v>18</v>
      </c>
      <c r="AV61" s="22" t="s">
        <v>19</v>
      </c>
      <c r="AW61" s="22" t="s">
        <v>18</v>
      </c>
      <c r="AX61" s="22" t="s">
        <v>19</v>
      </c>
      <c r="AY61" s="22" t="s">
        <v>18</v>
      </c>
      <c r="AZ61" s="22" t="s">
        <v>19</v>
      </c>
      <c r="BA61" s="22" t="s">
        <v>18</v>
      </c>
      <c r="BB61" s="22" t="s">
        <v>19</v>
      </c>
      <c r="BC61" s="22" t="s">
        <v>18</v>
      </c>
      <c r="BD61" s="22" t="s">
        <v>19</v>
      </c>
      <c r="BE61" s="22" t="s">
        <v>18</v>
      </c>
      <c r="BF61" s="22" t="s">
        <v>19</v>
      </c>
      <c r="BG61" s="22" t="s">
        <v>18</v>
      </c>
      <c r="BH61" s="22" t="s">
        <v>19</v>
      </c>
      <c r="BI61" s="22" t="s">
        <v>18</v>
      </c>
      <c r="BJ61" s="22" t="s">
        <v>19</v>
      </c>
      <c r="BK61" s="257" t="s">
        <v>34</v>
      </c>
      <c r="BL61" s="257"/>
      <c r="BM61" s="268"/>
      <c r="BN61" s="267"/>
      <c r="BO61" s="262"/>
      <c r="BP61" s="262"/>
      <c r="BQ61" s="263"/>
      <c r="BR61" s="254"/>
      <c r="BS61" s="254"/>
      <c r="BT61" s="254"/>
      <c r="BU61" s="254"/>
      <c r="BV61" s="254"/>
      <c r="BW61" s="254"/>
      <c r="BX61" s="254"/>
      <c r="BY61" s="254"/>
    </row>
    <row r="62" spans="1:77" ht="54.95" customHeight="1">
      <c r="A62" s="257" t="s">
        <v>35</v>
      </c>
      <c r="B62" s="257"/>
      <c r="C62" s="26">
        <f t="shared" ref="C62:AH62" si="0">SUM(C13:C14)</f>
        <v>0</v>
      </c>
      <c r="D62" s="26">
        <f t="shared" si="0"/>
        <v>0</v>
      </c>
      <c r="E62" s="26">
        <f t="shared" si="0"/>
        <v>0</v>
      </c>
      <c r="F62" s="26">
        <f t="shared" si="0"/>
        <v>0</v>
      </c>
      <c r="G62" s="26">
        <f t="shared" si="0"/>
        <v>0</v>
      </c>
      <c r="H62" s="26">
        <f t="shared" si="0"/>
        <v>0</v>
      </c>
      <c r="I62" s="26">
        <f t="shared" si="0"/>
        <v>0</v>
      </c>
      <c r="J62" s="26">
        <f t="shared" si="0"/>
        <v>0</v>
      </c>
      <c r="K62" s="26">
        <f t="shared" si="0"/>
        <v>0</v>
      </c>
      <c r="L62" s="26">
        <f t="shared" si="0"/>
        <v>0</v>
      </c>
      <c r="M62" s="26">
        <f t="shared" si="0"/>
        <v>0</v>
      </c>
      <c r="N62" s="26">
        <f t="shared" si="0"/>
        <v>0</v>
      </c>
      <c r="O62" s="26">
        <f t="shared" si="0"/>
        <v>0</v>
      </c>
      <c r="P62" s="26">
        <f t="shared" si="0"/>
        <v>0</v>
      </c>
      <c r="Q62" s="26">
        <f t="shared" si="0"/>
        <v>0</v>
      </c>
      <c r="R62" s="26">
        <f t="shared" si="0"/>
        <v>0</v>
      </c>
      <c r="S62" s="26">
        <f t="shared" si="0"/>
        <v>0</v>
      </c>
      <c r="T62" s="26">
        <f t="shared" si="0"/>
        <v>0</v>
      </c>
      <c r="U62" s="26">
        <f t="shared" si="0"/>
        <v>0</v>
      </c>
      <c r="V62" s="26">
        <f t="shared" si="0"/>
        <v>0</v>
      </c>
      <c r="W62" s="26">
        <f t="shared" si="0"/>
        <v>0</v>
      </c>
      <c r="X62" s="26">
        <f t="shared" si="0"/>
        <v>0</v>
      </c>
      <c r="Y62" s="26">
        <f t="shared" si="0"/>
        <v>0</v>
      </c>
      <c r="Z62" s="26">
        <f t="shared" si="0"/>
        <v>0</v>
      </c>
      <c r="AA62" s="26">
        <f t="shared" si="0"/>
        <v>0</v>
      </c>
      <c r="AB62" s="26">
        <f t="shared" si="0"/>
        <v>0</v>
      </c>
      <c r="AC62" s="26">
        <f t="shared" si="0"/>
        <v>0</v>
      </c>
      <c r="AD62" s="26">
        <f t="shared" si="0"/>
        <v>0</v>
      </c>
      <c r="AE62" s="26">
        <f t="shared" si="0"/>
        <v>1</v>
      </c>
      <c r="AF62" s="26">
        <f t="shared" si="0"/>
        <v>1</v>
      </c>
      <c r="AG62" s="26">
        <f t="shared" si="0"/>
        <v>0</v>
      </c>
      <c r="AH62" s="26">
        <f t="shared" si="0"/>
        <v>0</v>
      </c>
      <c r="AI62" s="26">
        <f t="shared" ref="AI62:BJ62" si="1">SUM(AI13:AI14)</f>
        <v>0</v>
      </c>
      <c r="AJ62" s="26">
        <f t="shared" si="1"/>
        <v>1</v>
      </c>
      <c r="AK62" s="26">
        <f t="shared" si="1"/>
        <v>0</v>
      </c>
      <c r="AL62" s="26">
        <f t="shared" si="1"/>
        <v>0</v>
      </c>
      <c r="AM62" s="26">
        <f t="shared" si="1"/>
        <v>0</v>
      </c>
      <c r="AN62" s="26">
        <f t="shared" si="1"/>
        <v>0</v>
      </c>
      <c r="AO62" s="26">
        <f t="shared" si="1"/>
        <v>0</v>
      </c>
      <c r="AP62" s="26">
        <f t="shared" si="1"/>
        <v>0</v>
      </c>
      <c r="AQ62" s="26">
        <f t="shared" si="1"/>
        <v>0</v>
      </c>
      <c r="AR62" s="26">
        <f t="shared" si="1"/>
        <v>0</v>
      </c>
      <c r="AS62" s="26">
        <f t="shared" si="1"/>
        <v>0</v>
      </c>
      <c r="AT62" s="26">
        <f t="shared" si="1"/>
        <v>0</v>
      </c>
      <c r="AU62" s="26">
        <f t="shared" si="1"/>
        <v>0</v>
      </c>
      <c r="AV62" s="26">
        <f t="shared" si="1"/>
        <v>0</v>
      </c>
      <c r="AW62" s="26">
        <f t="shared" si="1"/>
        <v>0</v>
      </c>
      <c r="AX62" s="26">
        <f t="shared" si="1"/>
        <v>0</v>
      </c>
      <c r="AY62" s="26">
        <f t="shared" si="1"/>
        <v>0</v>
      </c>
      <c r="AZ62" s="26">
        <f t="shared" si="1"/>
        <v>0</v>
      </c>
      <c r="BA62" s="26">
        <f t="shared" si="1"/>
        <v>0</v>
      </c>
      <c r="BB62" s="26">
        <f t="shared" si="1"/>
        <v>0</v>
      </c>
      <c r="BC62" s="26">
        <f t="shared" si="1"/>
        <v>0</v>
      </c>
      <c r="BD62" s="26">
        <f t="shared" si="1"/>
        <v>0</v>
      </c>
      <c r="BE62" s="26">
        <f t="shared" si="1"/>
        <v>0</v>
      </c>
      <c r="BF62" s="26">
        <f t="shared" si="1"/>
        <v>0</v>
      </c>
      <c r="BG62" s="26">
        <f t="shared" si="1"/>
        <v>0</v>
      </c>
      <c r="BH62" s="26">
        <f t="shared" si="1"/>
        <v>0</v>
      </c>
      <c r="BI62" s="26">
        <f t="shared" si="1"/>
        <v>0</v>
      </c>
      <c r="BJ62" s="26">
        <f t="shared" si="1"/>
        <v>0</v>
      </c>
      <c r="BK62" s="257" t="str">
        <f>A62</f>
        <v>6:30 à 7:00</v>
      </c>
      <c r="BL62" s="257"/>
      <c r="BM62" s="63">
        <f>SUM(C62:BJ62)+SUM(C73:BJ73)</f>
        <v>3</v>
      </c>
      <c r="BN62" s="41">
        <f>C62+E62+G62+I62+K62+M62+O62+Q62+S62+U62+W62+Y62+AA62+AC62+AE62+AG62+AI62+AK62+AM62+AO62+AQ62+AS62+AU62+AW62+AY62+BA62+BC62+BE62+BG62+BI62+C73+E73+G73+I73+K73+M73+O73+Q73+S73+U73+W73+Y73+AA73+AC73+AE73+AG73+AI73+AK73+AM73+AO73+AQ73+AS73+AU73+AW73+AY73+BA73+BC73+BE73+BG73+BI73</f>
        <v>1</v>
      </c>
      <c r="BO62" s="41">
        <f>E62+F62+I62+J62+M62+N62+Q62+R62+U62+V62+Y62+Z62+AC62+AD62+AG62+AH62+AK62+AL62+AO62+AP62+AS62+AT62+AW62+AX62+BA62+BB62+BE62+BF62+BI62+BJ62+E73+F73+I73+J73+M73+N73+Q73+R73+U73+V73+Y73+Z73+AC73+AD73+AG73+AH73+AK73+AL73+AO73+AP73+AS73+AT73+AW73+AX73+BA73+BB73+BE73+BF73+BI73+BJ73</f>
        <v>0</v>
      </c>
      <c r="BP62" s="41">
        <f>E62+I62+M62+Q62+U62+Y62+AC62+AG62+AK62+AO62+AS62+AW62+BA62+BE62+BI62+E73+I73+M73+Q73+U73+Y73+AC73+AG73+AK73+AO73+AS73+AW73+BA73+BE73+BI73</f>
        <v>0</v>
      </c>
      <c r="BQ62" s="41">
        <f>C62+D62+E62+F62+O62+P62+Q62+R62++AE62+AF62+AG62+AH62+AU62+AV62+AW62+AX62+BG62+BH62+BI62+BJ62+C73+D73+E73+F73+O73+P73+Q73+R73+AE73+AF73+AG73+AH73+AU73+AV73+AW73+AX73+BG73+BH73+BI73+BJ73</f>
        <v>2</v>
      </c>
      <c r="BR62" s="41">
        <f>SUM(S62:V62)+SUM(AI62:AL62)+SUM(AY62:BB62)+SUM(G73:J73)+SUM(W73:Z73)+SUM(AQ73:BJ73)</f>
        <v>1</v>
      </c>
      <c r="BS62" s="60"/>
      <c r="BT62" s="61"/>
      <c r="BU62" s="61"/>
      <c r="BV62" s="82"/>
      <c r="BW62" s="82"/>
      <c r="BX62" s="82"/>
      <c r="BY62" s="83"/>
    </row>
    <row r="63" spans="1:77" ht="54.95" customHeight="1">
      <c r="A63" s="257" t="s">
        <v>36</v>
      </c>
      <c r="B63" s="257"/>
      <c r="C63" s="26">
        <f t="shared" ref="C63:AH63" si="2">SUM(C15:C16)</f>
        <v>0</v>
      </c>
      <c r="D63" s="26">
        <f t="shared" si="2"/>
        <v>0</v>
      </c>
      <c r="E63" s="26">
        <f t="shared" si="2"/>
        <v>0</v>
      </c>
      <c r="F63" s="26">
        <f t="shared" si="2"/>
        <v>0</v>
      </c>
      <c r="G63" s="26">
        <f t="shared" si="2"/>
        <v>0</v>
      </c>
      <c r="H63" s="26">
        <f t="shared" si="2"/>
        <v>0</v>
      </c>
      <c r="I63" s="26">
        <f t="shared" si="2"/>
        <v>0</v>
      </c>
      <c r="J63" s="26">
        <f t="shared" si="2"/>
        <v>0</v>
      </c>
      <c r="K63" s="26">
        <f t="shared" si="2"/>
        <v>0</v>
      </c>
      <c r="L63" s="26">
        <f t="shared" si="2"/>
        <v>0</v>
      </c>
      <c r="M63" s="26">
        <f t="shared" si="2"/>
        <v>0</v>
      </c>
      <c r="N63" s="26">
        <f t="shared" si="2"/>
        <v>0</v>
      </c>
      <c r="O63" s="26">
        <f t="shared" si="2"/>
        <v>0</v>
      </c>
      <c r="P63" s="26">
        <f t="shared" si="2"/>
        <v>0</v>
      </c>
      <c r="Q63" s="26">
        <f t="shared" si="2"/>
        <v>0</v>
      </c>
      <c r="R63" s="26">
        <f t="shared" si="2"/>
        <v>0</v>
      </c>
      <c r="S63" s="26">
        <f t="shared" si="2"/>
        <v>0</v>
      </c>
      <c r="T63" s="26">
        <f t="shared" si="2"/>
        <v>0</v>
      </c>
      <c r="U63" s="26">
        <f t="shared" si="2"/>
        <v>0</v>
      </c>
      <c r="V63" s="26">
        <f t="shared" si="2"/>
        <v>0</v>
      </c>
      <c r="W63" s="26">
        <f t="shared" si="2"/>
        <v>0</v>
      </c>
      <c r="X63" s="26">
        <f t="shared" si="2"/>
        <v>0</v>
      </c>
      <c r="Y63" s="26">
        <f t="shared" si="2"/>
        <v>0</v>
      </c>
      <c r="Z63" s="26">
        <f t="shared" si="2"/>
        <v>0</v>
      </c>
      <c r="AA63" s="26">
        <f t="shared" si="2"/>
        <v>0</v>
      </c>
      <c r="AB63" s="26">
        <f t="shared" si="2"/>
        <v>1</v>
      </c>
      <c r="AC63" s="26">
        <f t="shared" si="2"/>
        <v>0</v>
      </c>
      <c r="AD63" s="26">
        <f t="shared" si="2"/>
        <v>0</v>
      </c>
      <c r="AE63" s="26">
        <f t="shared" si="2"/>
        <v>0</v>
      </c>
      <c r="AF63" s="26">
        <f t="shared" si="2"/>
        <v>1</v>
      </c>
      <c r="AG63" s="26">
        <f t="shared" si="2"/>
        <v>0</v>
      </c>
      <c r="AH63" s="26">
        <f t="shared" si="2"/>
        <v>0</v>
      </c>
      <c r="AI63" s="26">
        <f t="shared" ref="AI63:BJ63" si="3">SUM(AI15:AI16)</f>
        <v>2</v>
      </c>
      <c r="AJ63" s="26">
        <f t="shared" si="3"/>
        <v>3</v>
      </c>
      <c r="AK63" s="26">
        <f t="shared" si="3"/>
        <v>1</v>
      </c>
      <c r="AL63" s="26">
        <f t="shared" si="3"/>
        <v>0</v>
      </c>
      <c r="AM63" s="26">
        <f t="shared" si="3"/>
        <v>0</v>
      </c>
      <c r="AN63" s="26">
        <f t="shared" si="3"/>
        <v>0</v>
      </c>
      <c r="AO63" s="26">
        <f t="shared" si="3"/>
        <v>0</v>
      </c>
      <c r="AP63" s="26">
        <f t="shared" si="3"/>
        <v>0</v>
      </c>
      <c r="AQ63" s="26">
        <f t="shared" si="3"/>
        <v>0</v>
      </c>
      <c r="AR63" s="26">
        <f t="shared" si="3"/>
        <v>0</v>
      </c>
      <c r="AS63" s="26">
        <f t="shared" si="3"/>
        <v>0</v>
      </c>
      <c r="AT63" s="26">
        <f t="shared" si="3"/>
        <v>0</v>
      </c>
      <c r="AU63" s="26">
        <f t="shared" si="3"/>
        <v>0</v>
      </c>
      <c r="AV63" s="26">
        <f t="shared" si="3"/>
        <v>0</v>
      </c>
      <c r="AW63" s="26">
        <f t="shared" si="3"/>
        <v>0</v>
      </c>
      <c r="AX63" s="26">
        <f t="shared" si="3"/>
        <v>0</v>
      </c>
      <c r="AY63" s="26">
        <f t="shared" si="3"/>
        <v>1</v>
      </c>
      <c r="AZ63" s="26">
        <f t="shared" si="3"/>
        <v>0</v>
      </c>
      <c r="BA63" s="26">
        <f t="shared" si="3"/>
        <v>0</v>
      </c>
      <c r="BB63" s="26">
        <f t="shared" si="3"/>
        <v>0</v>
      </c>
      <c r="BC63" s="26">
        <f t="shared" si="3"/>
        <v>0</v>
      </c>
      <c r="BD63" s="26">
        <f t="shared" si="3"/>
        <v>0</v>
      </c>
      <c r="BE63" s="26">
        <f t="shared" si="3"/>
        <v>0</v>
      </c>
      <c r="BF63" s="26">
        <f t="shared" si="3"/>
        <v>0</v>
      </c>
      <c r="BG63" s="26">
        <f t="shared" si="3"/>
        <v>0</v>
      </c>
      <c r="BH63" s="26">
        <f t="shared" si="3"/>
        <v>0</v>
      </c>
      <c r="BI63" s="26">
        <f t="shared" si="3"/>
        <v>0</v>
      </c>
      <c r="BJ63" s="26">
        <f t="shared" si="3"/>
        <v>0</v>
      </c>
      <c r="BK63" s="257" t="str">
        <f>A63</f>
        <v>7:00 à 7:30</v>
      </c>
      <c r="BL63" s="257"/>
      <c r="BM63" s="63">
        <f>SUM(C63:BJ63)+SUM(C73:BJ73)</f>
        <v>9</v>
      </c>
      <c r="BN63" s="41">
        <f>C63+E63+G63+I63+K63+M63+O63+Q63+S63+U63+W63+Y63+AA63+AC63+AE63+AG63+AI63+AK63+AM63+AO63+AQ63+AS63+AU63+AW63+AY63+BA63+BC63+BE63+BG63+BI63+C73+E73+G73+I73+K73+M73+O73+Q73+S73+U73+W73+Y73+AA73+AC73+AE73+AG73+AI73+AK73+AM73+AO73+AQ73+AS73+AU73+AW73+AY73+BA73+BC73+BE73+BG73+BI73</f>
        <v>4</v>
      </c>
      <c r="BO63" s="41">
        <f>E63+F63+I63+J63+M63+N63+Q63+R63+U63+V63+Y63+Z63+AC63+AD63+AG63+AH63+AK63+AL63+AO63+AP63+AS63+AT63+AW63+AX63+BA63+BB63+BE63+BF63+BI63+BJ63+E73+F73+I73+J73+M73+N73+Q73+R73+U73+V73+Y73+Z73+AC73+AD73+AG73+AH73+AK73+AL73+AO73+AP73+AS73+AT73+AW73+AX73+BA73+BB73+BE73+BF73+BI73+BJ73</f>
        <v>1</v>
      </c>
      <c r="BP63" s="41">
        <f>E63+I63+M63+Q63+U63+Y63+AC63+AG63+AK63+AO63+AS63+AW63+BA63+BE63+BI63+E73+I73+M73+Q73+U73+Y73+AC73+AG73+AK73+AO73+AS73+AW73+BA73+BE73+BI73</f>
        <v>1</v>
      </c>
      <c r="BQ63" s="41">
        <f>C63+D63+E63+F63+O63+P63+Q63+R63++AE63+AF63+AG63+AH63+AU63+AV63+AW63+AX63+BG63+BH63+BI63+BJ63+C73+D73+E73+F73+O73+P73+Q73+R73+AE73+AF73+AG73+AH73+AU73+AV73+AW73+AX73+BG73+BH73+BI73+BJ73</f>
        <v>1</v>
      </c>
      <c r="BR63" s="41">
        <f>SUM(S63:V63)+SUM(AI63:AL63)+SUM(AY63:BB63)+SUM(G73:J73)+SUM(W73:Z73)+SUM(AQ73:BJ73)</f>
        <v>7</v>
      </c>
      <c r="BS63" s="60"/>
      <c r="BT63" s="61"/>
      <c r="BU63" s="61"/>
      <c r="BV63" s="82"/>
      <c r="BW63" s="82"/>
      <c r="BX63" s="82"/>
      <c r="BY63" s="83"/>
    </row>
    <row r="64" spans="1:77" ht="54.95" customHeight="1">
      <c r="A64" s="257" t="s">
        <v>37</v>
      </c>
      <c r="B64" s="257"/>
      <c r="C64" s="26">
        <f t="shared" ref="C64:AH64" si="4">SUM(C17:C18)</f>
        <v>0</v>
      </c>
      <c r="D64" s="26">
        <f t="shared" si="4"/>
        <v>0</v>
      </c>
      <c r="E64" s="26">
        <f t="shared" si="4"/>
        <v>0</v>
      </c>
      <c r="F64" s="26">
        <f t="shared" si="4"/>
        <v>0</v>
      </c>
      <c r="G64" s="26">
        <f t="shared" si="4"/>
        <v>0</v>
      </c>
      <c r="H64" s="26">
        <f t="shared" si="4"/>
        <v>0</v>
      </c>
      <c r="I64" s="26">
        <f t="shared" si="4"/>
        <v>0</v>
      </c>
      <c r="J64" s="26">
        <f t="shared" si="4"/>
        <v>0</v>
      </c>
      <c r="K64" s="26">
        <f t="shared" si="4"/>
        <v>0</v>
      </c>
      <c r="L64" s="26">
        <f t="shared" si="4"/>
        <v>0</v>
      </c>
      <c r="M64" s="26">
        <f t="shared" si="4"/>
        <v>0</v>
      </c>
      <c r="N64" s="26">
        <f t="shared" si="4"/>
        <v>0</v>
      </c>
      <c r="O64" s="26">
        <f t="shared" si="4"/>
        <v>0</v>
      </c>
      <c r="P64" s="26">
        <f t="shared" si="4"/>
        <v>0</v>
      </c>
      <c r="Q64" s="26">
        <f t="shared" si="4"/>
        <v>0</v>
      </c>
      <c r="R64" s="26">
        <f t="shared" si="4"/>
        <v>0</v>
      </c>
      <c r="S64" s="26">
        <f t="shared" si="4"/>
        <v>0</v>
      </c>
      <c r="T64" s="26">
        <f t="shared" si="4"/>
        <v>0</v>
      </c>
      <c r="U64" s="26">
        <f t="shared" si="4"/>
        <v>0</v>
      </c>
      <c r="V64" s="26">
        <f t="shared" si="4"/>
        <v>0</v>
      </c>
      <c r="W64" s="26">
        <f t="shared" si="4"/>
        <v>0</v>
      </c>
      <c r="X64" s="26">
        <f t="shared" si="4"/>
        <v>0</v>
      </c>
      <c r="Y64" s="26">
        <f t="shared" si="4"/>
        <v>0</v>
      </c>
      <c r="Z64" s="26">
        <f t="shared" si="4"/>
        <v>0</v>
      </c>
      <c r="AA64" s="26">
        <f t="shared" si="4"/>
        <v>0</v>
      </c>
      <c r="AB64" s="26">
        <f t="shared" si="4"/>
        <v>0</v>
      </c>
      <c r="AC64" s="26">
        <f t="shared" si="4"/>
        <v>0</v>
      </c>
      <c r="AD64" s="26">
        <f t="shared" si="4"/>
        <v>0</v>
      </c>
      <c r="AE64" s="26">
        <f t="shared" si="4"/>
        <v>0</v>
      </c>
      <c r="AF64" s="26">
        <f t="shared" si="4"/>
        <v>2</v>
      </c>
      <c r="AG64" s="26">
        <f t="shared" si="4"/>
        <v>0</v>
      </c>
      <c r="AH64" s="26">
        <f t="shared" si="4"/>
        <v>0</v>
      </c>
      <c r="AI64" s="26">
        <f t="shared" ref="AI64:BJ64" si="5">SUM(AI17:AI18)</f>
        <v>0</v>
      </c>
      <c r="AJ64" s="26">
        <f t="shared" si="5"/>
        <v>1</v>
      </c>
      <c r="AK64" s="26">
        <f t="shared" si="5"/>
        <v>0</v>
      </c>
      <c r="AL64" s="26">
        <f t="shared" si="5"/>
        <v>0</v>
      </c>
      <c r="AM64" s="26">
        <f t="shared" si="5"/>
        <v>0</v>
      </c>
      <c r="AN64" s="26">
        <f t="shared" si="5"/>
        <v>0</v>
      </c>
      <c r="AO64" s="26">
        <f t="shared" si="5"/>
        <v>0</v>
      </c>
      <c r="AP64" s="26">
        <f t="shared" si="5"/>
        <v>0</v>
      </c>
      <c r="AQ64" s="26">
        <f t="shared" si="5"/>
        <v>0</v>
      </c>
      <c r="AR64" s="26">
        <f t="shared" si="5"/>
        <v>0</v>
      </c>
      <c r="AS64" s="26">
        <f t="shared" si="5"/>
        <v>0</v>
      </c>
      <c r="AT64" s="26">
        <f t="shared" si="5"/>
        <v>0</v>
      </c>
      <c r="AU64" s="26">
        <f t="shared" si="5"/>
        <v>0</v>
      </c>
      <c r="AV64" s="26">
        <f t="shared" si="5"/>
        <v>0</v>
      </c>
      <c r="AW64" s="26">
        <f t="shared" si="5"/>
        <v>0</v>
      </c>
      <c r="AX64" s="26">
        <f t="shared" si="5"/>
        <v>0</v>
      </c>
      <c r="AY64" s="26">
        <f t="shared" si="5"/>
        <v>0</v>
      </c>
      <c r="AZ64" s="26">
        <f t="shared" si="5"/>
        <v>0</v>
      </c>
      <c r="BA64" s="26">
        <f t="shared" si="5"/>
        <v>0</v>
      </c>
      <c r="BB64" s="26">
        <f t="shared" si="5"/>
        <v>0</v>
      </c>
      <c r="BC64" s="26">
        <f t="shared" si="5"/>
        <v>0</v>
      </c>
      <c r="BD64" s="26">
        <f t="shared" si="5"/>
        <v>0</v>
      </c>
      <c r="BE64" s="26">
        <f t="shared" si="5"/>
        <v>0</v>
      </c>
      <c r="BF64" s="26">
        <f t="shared" si="5"/>
        <v>0</v>
      </c>
      <c r="BG64" s="26">
        <f t="shared" si="5"/>
        <v>0</v>
      </c>
      <c r="BH64" s="26">
        <f t="shared" si="5"/>
        <v>0</v>
      </c>
      <c r="BI64" s="26">
        <f t="shared" si="5"/>
        <v>0</v>
      </c>
      <c r="BJ64" s="26">
        <f t="shared" si="5"/>
        <v>0</v>
      </c>
      <c r="BK64" s="257" t="str">
        <f>A64</f>
        <v>7:30 à 8:00</v>
      </c>
      <c r="BL64" s="257"/>
      <c r="BM64" s="63">
        <f>SUM(C64:BJ64)+SUM(C75:BJ75)</f>
        <v>7</v>
      </c>
      <c r="BN64" s="41">
        <f>C64+E64+G64+I64+K64+M64+O64+Q64+S64+U64+W64+Y64+AA64+AC64+AE64+AG64+AI64+AK64+AM64+AO64+AQ64+AS64+AU64+AW64+AY64+BA64+BC64+BE64+BG64+BI64+C75+E75+G75+I75+K75+M75+O75+Q75+S75+U75+W75+Y75+AA75+AC75+AE75+AG75+AI75+AK75+AM75+AO75+AQ75+AS75+AU75+AW75+AY75+BA75+BC75+BE75+BG75+BI75</f>
        <v>2</v>
      </c>
      <c r="BO64" s="41">
        <f>E64+F64+I64+J64+M64+N64+Q64+R64+U64+V64+Y64+Z64+AC64+AD64+AG64+AH64+AK64+AL64+AO64+AP64+AS64+AT64+AW64+AX64+BA64+BB64+BE64+BF64+BI64+BJ64+E75+F75+I75+J75+M75+N75+Q75+R75+U75+V75+Y75+Z75+AC75+AD75+AG75+AH75+AK75+AL75+AO75+AP75+AS75+AT75+AW75+AX75+BA75+BB75+BE75+BF75+BI75+BJ75</f>
        <v>3</v>
      </c>
      <c r="BP64" s="41">
        <f>E64+I64+M64+Q64+U64+Y64+AC64+AG64+AK64+AO64+AS64+AW64+BA64+BE64+BI64+E75+I75+M75+Q75+U75+Y75+AC75+AG75+AK75+AO75+AS75+AW75+BA75+BE75+BI75</f>
        <v>2</v>
      </c>
      <c r="BQ64" s="41">
        <f>C64+D64+E64+F64+O64+P64+Q64+R64++AE64+AF64+AG64+AH64+AU64+AV64+AW64+AX64+BG64+BH64+BI64+BJ64+C75+D75+E75+F75+O75+P75+Q75+R75+AE75+AF75+AG75+AH75+AU75+AV75+AW75+AX75+BG75+BH75+BI75+BJ75</f>
        <v>5</v>
      </c>
      <c r="BR64" s="41">
        <f>SUM(S64:V64)+SUM(AI64:AL64)+SUM(AY64:BB64)+SUM(G75:J75)+SUM(W75:Z75)+SUM(AQ75:BJ75)</f>
        <v>4</v>
      </c>
      <c r="BS64" s="60"/>
      <c r="BT64" s="61"/>
      <c r="BU64" s="61"/>
      <c r="BV64" s="82"/>
      <c r="BW64" s="82"/>
      <c r="BX64" s="82"/>
      <c r="BY64" s="83"/>
    </row>
    <row r="65" spans="1:77" ht="54.95" customHeight="1">
      <c r="A65" s="257" t="s">
        <v>38</v>
      </c>
      <c r="B65" s="257"/>
      <c r="C65" s="26">
        <f t="shared" ref="C65:AH65" si="6">SUM(C19:C20)</f>
        <v>0</v>
      </c>
      <c r="D65" s="26">
        <f t="shared" si="6"/>
        <v>0</v>
      </c>
      <c r="E65" s="26">
        <f t="shared" si="6"/>
        <v>0</v>
      </c>
      <c r="F65" s="26">
        <f t="shared" si="6"/>
        <v>0</v>
      </c>
      <c r="G65" s="26">
        <f t="shared" si="6"/>
        <v>0</v>
      </c>
      <c r="H65" s="26">
        <f t="shared" si="6"/>
        <v>0</v>
      </c>
      <c r="I65" s="26">
        <f t="shared" si="6"/>
        <v>0</v>
      </c>
      <c r="J65" s="26">
        <f t="shared" si="6"/>
        <v>0</v>
      </c>
      <c r="K65" s="26">
        <f t="shared" si="6"/>
        <v>1</v>
      </c>
      <c r="L65" s="26">
        <f t="shared" si="6"/>
        <v>0</v>
      </c>
      <c r="M65" s="26">
        <f t="shared" si="6"/>
        <v>0</v>
      </c>
      <c r="N65" s="26">
        <f t="shared" si="6"/>
        <v>0</v>
      </c>
      <c r="O65" s="26">
        <f t="shared" si="6"/>
        <v>0</v>
      </c>
      <c r="P65" s="26">
        <f t="shared" si="6"/>
        <v>0</v>
      </c>
      <c r="Q65" s="26">
        <f t="shared" si="6"/>
        <v>0</v>
      </c>
      <c r="R65" s="26">
        <f t="shared" si="6"/>
        <v>0</v>
      </c>
      <c r="S65" s="26">
        <f t="shared" si="6"/>
        <v>0</v>
      </c>
      <c r="T65" s="26">
        <f t="shared" si="6"/>
        <v>0</v>
      </c>
      <c r="U65" s="26">
        <f t="shared" si="6"/>
        <v>0</v>
      </c>
      <c r="V65" s="26">
        <f t="shared" si="6"/>
        <v>0</v>
      </c>
      <c r="W65" s="26">
        <f t="shared" si="6"/>
        <v>0</v>
      </c>
      <c r="X65" s="26">
        <f t="shared" si="6"/>
        <v>0</v>
      </c>
      <c r="Y65" s="26">
        <f t="shared" si="6"/>
        <v>0</v>
      </c>
      <c r="Z65" s="26">
        <f t="shared" si="6"/>
        <v>0</v>
      </c>
      <c r="AA65" s="26">
        <f t="shared" si="6"/>
        <v>0</v>
      </c>
      <c r="AB65" s="26">
        <f t="shared" si="6"/>
        <v>0</v>
      </c>
      <c r="AC65" s="26">
        <f t="shared" si="6"/>
        <v>0</v>
      </c>
      <c r="AD65" s="26">
        <f t="shared" si="6"/>
        <v>0</v>
      </c>
      <c r="AE65" s="26">
        <f t="shared" si="6"/>
        <v>0</v>
      </c>
      <c r="AF65" s="26">
        <f t="shared" si="6"/>
        <v>0</v>
      </c>
      <c r="AG65" s="26">
        <f t="shared" si="6"/>
        <v>0</v>
      </c>
      <c r="AH65" s="26">
        <f t="shared" si="6"/>
        <v>0</v>
      </c>
      <c r="AI65" s="26">
        <f t="shared" ref="AI65:BJ65" si="7">SUM(AI19:AI20)</f>
        <v>0</v>
      </c>
      <c r="AJ65" s="26">
        <f t="shared" si="7"/>
        <v>0</v>
      </c>
      <c r="AK65" s="26">
        <f t="shared" si="7"/>
        <v>0</v>
      </c>
      <c r="AL65" s="26">
        <f t="shared" si="7"/>
        <v>0</v>
      </c>
      <c r="AM65" s="26">
        <f t="shared" si="7"/>
        <v>0</v>
      </c>
      <c r="AN65" s="26">
        <f t="shared" si="7"/>
        <v>0</v>
      </c>
      <c r="AO65" s="26">
        <f t="shared" si="7"/>
        <v>0</v>
      </c>
      <c r="AP65" s="26">
        <f t="shared" si="7"/>
        <v>0</v>
      </c>
      <c r="AQ65" s="26">
        <f t="shared" si="7"/>
        <v>0</v>
      </c>
      <c r="AR65" s="26">
        <f t="shared" si="7"/>
        <v>0</v>
      </c>
      <c r="AS65" s="26">
        <f t="shared" si="7"/>
        <v>0</v>
      </c>
      <c r="AT65" s="26">
        <f t="shared" si="7"/>
        <v>0</v>
      </c>
      <c r="AU65" s="26">
        <f t="shared" si="7"/>
        <v>0</v>
      </c>
      <c r="AV65" s="26">
        <f t="shared" si="7"/>
        <v>0</v>
      </c>
      <c r="AW65" s="26">
        <f t="shared" si="7"/>
        <v>0</v>
      </c>
      <c r="AX65" s="26">
        <f t="shared" si="7"/>
        <v>0</v>
      </c>
      <c r="AY65" s="26">
        <f t="shared" si="7"/>
        <v>0</v>
      </c>
      <c r="AZ65" s="26">
        <f t="shared" si="7"/>
        <v>0</v>
      </c>
      <c r="BA65" s="26">
        <f t="shared" si="7"/>
        <v>0</v>
      </c>
      <c r="BB65" s="26">
        <f t="shared" si="7"/>
        <v>1</v>
      </c>
      <c r="BC65" s="26">
        <f t="shared" si="7"/>
        <v>0</v>
      </c>
      <c r="BD65" s="26">
        <f t="shared" si="7"/>
        <v>0</v>
      </c>
      <c r="BE65" s="26">
        <f t="shared" si="7"/>
        <v>0</v>
      </c>
      <c r="BF65" s="26">
        <f t="shared" si="7"/>
        <v>0</v>
      </c>
      <c r="BG65" s="26">
        <f t="shared" si="7"/>
        <v>0</v>
      </c>
      <c r="BH65" s="26">
        <f t="shared" si="7"/>
        <v>0</v>
      </c>
      <c r="BI65" s="26">
        <f t="shared" si="7"/>
        <v>0</v>
      </c>
      <c r="BJ65" s="26">
        <f t="shared" si="7"/>
        <v>0</v>
      </c>
      <c r="BK65" s="257" t="str">
        <f>A65</f>
        <v>8:00 à 8:30</v>
      </c>
      <c r="BL65" s="257"/>
      <c r="BM65" s="63">
        <f>SUM(C65:BJ65)+SUM(C76:BJ76)</f>
        <v>6</v>
      </c>
      <c r="BN65" s="41">
        <f>C65+E65+G65+I65+K65+M65+O65+Q65+S65+U65+W65+Y65+AA65+AC65+AE65+AG65+AI65+AK65+AM65+AO65+AQ65+AS65+AU65+AW65+AY65+BA65+BC65+BE65+BG65+BI65+C76+E76+G76+I76+K76+M76+O76+Q76+S76+U76+W76+Y76+AA76+AC76+AE76+AG76+AI76+AK76+AM76+AO76+AQ76+AS76+AU76+AW76+AY76+BA76+BC76+BE76+BG76+BI76</f>
        <v>2</v>
      </c>
      <c r="BO65" s="41">
        <f>E65+F65+I65+J65+M65+N65+Q65+R65+U65+V65+Y65+Z65+AC65+AD65+AG65+AH65+AK65+AL65+AO65+AP65+AS65+AT65+AW65+AX65+BA65+BB65+BE65+BF65+BI65+BJ65+E76+F76+I76+J76+M76+N76+Q76+R76+U76+V76+Y76+Z76+AC76+AD76+AG76+AH76+AK76+AL76+AO76+AP76+AS76+AT76+AW76+AX76+BA76+BB76+BE76+BF76+BI76+BJ76</f>
        <v>2</v>
      </c>
      <c r="BP65" s="41">
        <f>E65+I65+M65+Q65+U65+Y65+AC65+AG65+AK65+AO65+AS65+AW65+BA65+BE65+BI65+E76+I76+M76+Q76+U76+Y76+AC76+AG76+AK76+AO76+AS76+AW76+BA76+BE76+BI76</f>
        <v>0</v>
      </c>
      <c r="BQ65" s="41">
        <f>C65+D65+E65+F65+O65+P65+Q65+R65++AE65+AF65+AG65+AH65+AU65+AV65+AW65+AX65+BG65+BH65+BI65+BJ65+C76+D76+E76+F76+O76+P76+Q76+R76+AE76+AF76+AG76+AH76+AU76+AV76+AW76+AX76+BG76+BH76+BI76+BJ76</f>
        <v>3</v>
      </c>
      <c r="BR65" s="41">
        <f>SUM(S65:V65)+SUM(AI65:AL65)+SUM(AY65:BB65)+SUM(G76:J76)+SUM(W76:Z76)+SUM(AQ76:BJ76)</f>
        <v>3</v>
      </c>
      <c r="BS65" s="60"/>
      <c r="BT65" s="61"/>
      <c r="BU65" s="61"/>
      <c r="BV65" s="82"/>
      <c r="BW65" s="82"/>
      <c r="BX65" s="82"/>
      <c r="BY65" s="83"/>
    </row>
    <row r="66" spans="1:77" ht="54.95" customHeight="1">
      <c r="A66" s="257" t="s">
        <v>39</v>
      </c>
      <c r="B66" s="257"/>
      <c r="C66" s="26">
        <f t="shared" ref="C66:AH66" si="8">SUM(C21:C22)</f>
        <v>0</v>
      </c>
      <c r="D66" s="26">
        <f t="shared" si="8"/>
        <v>0</v>
      </c>
      <c r="E66" s="26">
        <f t="shared" si="8"/>
        <v>0</v>
      </c>
      <c r="F66" s="26">
        <f t="shared" si="8"/>
        <v>0</v>
      </c>
      <c r="G66" s="26">
        <f t="shared" si="8"/>
        <v>0</v>
      </c>
      <c r="H66" s="26">
        <f t="shared" si="8"/>
        <v>1</v>
      </c>
      <c r="I66" s="26">
        <f t="shared" si="8"/>
        <v>0</v>
      </c>
      <c r="J66" s="26">
        <f t="shared" si="8"/>
        <v>0</v>
      </c>
      <c r="K66" s="26">
        <f t="shared" si="8"/>
        <v>0</v>
      </c>
      <c r="L66" s="26">
        <f t="shared" si="8"/>
        <v>0</v>
      </c>
      <c r="M66" s="26">
        <f t="shared" si="8"/>
        <v>0</v>
      </c>
      <c r="N66" s="26">
        <f t="shared" si="8"/>
        <v>0</v>
      </c>
      <c r="O66" s="26">
        <f t="shared" si="8"/>
        <v>0</v>
      </c>
      <c r="P66" s="26">
        <f t="shared" si="8"/>
        <v>0</v>
      </c>
      <c r="Q66" s="26">
        <f t="shared" si="8"/>
        <v>0</v>
      </c>
      <c r="R66" s="26">
        <f t="shared" si="8"/>
        <v>0</v>
      </c>
      <c r="S66" s="26">
        <f t="shared" si="8"/>
        <v>0</v>
      </c>
      <c r="T66" s="26">
        <f t="shared" si="8"/>
        <v>0</v>
      </c>
      <c r="U66" s="26">
        <f t="shared" si="8"/>
        <v>1</v>
      </c>
      <c r="V66" s="26">
        <f t="shared" si="8"/>
        <v>0</v>
      </c>
      <c r="W66" s="26">
        <f t="shared" si="8"/>
        <v>0</v>
      </c>
      <c r="X66" s="26">
        <f t="shared" si="8"/>
        <v>0</v>
      </c>
      <c r="Y66" s="26">
        <f t="shared" si="8"/>
        <v>0</v>
      </c>
      <c r="Z66" s="26">
        <f t="shared" si="8"/>
        <v>0</v>
      </c>
      <c r="AA66" s="26">
        <f t="shared" si="8"/>
        <v>0</v>
      </c>
      <c r="AB66" s="26">
        <f t="shared" si="8"/>
        <v>0</v>
      </c>
      <c r="AC66" s="26">
        <f t="shared" si="8"/>
        <v>0</v>
      </c>
      <c r="AD66" s="26">
        <f t="shared" si="8"/>
        <v>0</v>
      </c>
      <c r="AE66" s="26">
        <f t="shared" si="8"/>
        <v>0</v>
      </c>
      <c r="AF66" s="26">
        <f t="shared" si="8"/>
        <v>0</v>
      </c>
      <c r="AG66" s="26">
        <f t="shared" si="8"/>
        <v>0</v>
      </c>
      <c r="AH66" s="26">
        <f t="shared" si="8"/>
        <v>0</v>
      </c>
      <c r="AI66" s="26">
        <f t="shared" ref="AI66:BJ66" si="9">SUM(AI21:AI22)</f>
        <v>0</v>
      </c>
      <c r="AJ66" s="26">
        <f t="shared" si="9"/>
        <v>0</v>
      </c>
      <c r="AK66" s="26">
        <f t="shared" si="9"/>
        <v>0</v>
      </c>
      <c r="AL66" s="26">
        <f t="shared" si="9"/>
        <v>0</v>
      </c>
      <c r="AM66" s="26">
        <f t="shared" si="9"/>
        <v>0</v>
      </c>
      <c r="AN66" s="26">
        <f t="shared" si="9"/>
        <v>0</v>
      </c>
      <c r="AO66" s="26">
        <f t="shared" si="9"/>
        <v>0</v>
      </c>
      <c r="AP66" s="26">
        <f t="shared" si="9"/>
        <v>0</v>
      </c>
      <c r="AQ66" s="26">
        <f t="shared" si="9"/>
        <v>0</v>
      </c>
      <c r="AR66" s="26">
        <f t="shared" si="9"/>
        <v>0</v>
      </c>
      <c r="AS66" s="26">
        <f t="shared" si="9"/>
        <v>0</v>
      </c>
      <c r="AT66" s="26">
        <f t="shared" si="9"/>
        <v>0</v>
      </c>
      <c r="AU66" s="26">
        <f t="shared" si="9"/>
        <v>0</v>
      </c>
      <c r="AV66" s="26">
        <f t="shared" si="9"/>
        <v>0</v>
      </c>
      <c r="AW66" s="26">
        <f t="shared" si="9"/>
        <v>0</v>
      </c>
      <c r="AX66" s="26">
        <f t="shared" si="9"/>
        <v>0</v>
      </c>
      <c r="AY66" s="26">
        <f t="shared" si="9"/>
        <v>0</v>
      </c>
      <c r="AZ66" s="26">
        <f t="shared" si="9"/>
        <v>0</v>
      </c>
      <c r="BA66" s="26">
        <f t="shared" si="9"/>
        <v>0</v>
      </c>
      <c r="BB66" s="26">
        <f t="shared" si="9"/>
        <v>0</v>
      </c>
      <c r="BC66" s="26">
        <f t="shared" si="9"/>
        <v>1</v>
      </c>
      <c r="BD66" s="26">
        <f t="shared" si="9"/>
        <v>0</v>
      </c>
      <c r="BE66" s="26">
        <f t="shared" si="9"/>
        <v>0</v>
      </c>
      <c r="BF66" s="26">
        <f t="shared" si="9"/>
        <v>0</v>
      </c>
      <c r="BG66" s="26">
        <f t="shared" si="9"/>
        <v>0</v>
      </c>
      <c r="BH66" s="26">
        <f t="shared" si="9"/>
        <v>0</v>
      </c>
      <c r="BI66" s="26">
        <f t="shared" si="9"/>
        <v>0</v>
      </c>
      <c r="BJ66" s="26">
        <f t="shared" si="9"/>
        <v>0</v>
      </c>
      <c r="BK66" s="257" t="str">
        <f>A66</f>
        <v>8:30 à 9:00</v>
      </c>
      <c r="BL66" s="257"/>
      <c r="BM66" s="63">
        <f>SUM(C66:BJ66)+SUM(C77:BJ77)</f>
        <v>6</v>
      </c>
      <c r="BN66" s="41">
        <f>C66+E66+G66+I66+K66+M66+O66+Q66+S66+U66+W66+Y66+AA66+AC66+AE66+AG66+AI66+AK66+AM66+AO66+AQ66+AS66+AU66+AW66+AY66+BA66+BC66+BE66+BG66+BI66+C77+E77+G77+I77+K77+M77+O77+Q77+S77+U77+W77+Y77+AA77+AC77+AE77+AG77+AI77+AK77+AM77+AO77+AQ77+AS77+AU77+AW77+AY77+BA77+BC77+BE77+BG77+BI77</f>
        <v>2</v>
      </c>
      <c r="BO66" s="41">
        <f>E66+F66+I66+J66+M66+N66+Q66+R66+U66+V66+Y66+Z66+AC66+AD66+AG66+AH66+AK66+AL66+AO66+AP66+AS66+AT66+AW66+AX66+BA66+BB66+BE66+BF66+BI66+BJ66+E77+F77+I77+J77+M77+N77+Q77+R77+U77+V77+Y77+Z77+AC77+AD77+AG77+AH77+AK77+AL77+AO77+AP77+AS77+AT77+AW77+AX77+BA77+BB77+BE77+BF77+BI77+BJ77</f>
        <v>2</v>
      </c>
      <c r="BP66" s="41">
        <f>E66+I66+M66+Q66+U66+Y66+AC66+AG66+AK66+AO66+AS66+AW66+BA66+BE66+BI66+E77+I77+M77+Q77+U77+Y77+AC77+AG77+AK77+AO77+AS77+AW77+BA77+BE77+BI77</f>
        <v>1</v>
      </c>
      <c r="BQ66" s="41">
        <f>C66+D66+E66+F66+O66+P66+Q66+R66++AE66+AF66+AG66+AH66+AU66+AV66+AW66+AX66+BG66+BH66+BI66+BJ66+C77+D77+E77+F77+O77+P77+Q77+R77+AE77+AF77+AG77+AH77+AU77+AV77+AW77+AX77+BG77+BH77+BI77+BJ77</f>
        <v>2</v>
      </c>
      <c r="BR66" s="41">
        <f>SUM(S66:V66)+SUM(AI66:AL66)+SUM(AY66:BB66)+SUM(G77:J77)+SUM(W77:Z77)+SUM(AQ77:BJ77)</f>
        <v>4</v>
      </c>
      <c r="BS66" s="60"/>
      <c r="BT66" s="61"/>
      <c r="BU66" s="61"/>
      <c r="BV66" s="82"/>
      <c r="BW66" s="82"/>
      <c r="BX66" s="82"/>
      <c r="BY66" s="83"/>
    </row>
    <row r="67" spans="1:77" ht="54.95" customHeight="1">
      <c r="A67" s="257" t="s">
        <v>29</v>
      </c>
      <c r="B67" s="257"/>
      <c r="C67" s="30">
        <f t="shared" ref="C67:AH67" si="10">C62+C63+C64+C65+C66</f>
        <v>0</v>
      </c>
      <c r="D67" s="30">
        <f t="shared" si="10"/>
        <v>0</v>
      </c>
      <c r="E67" s="30">
        <f t="shared" si="10"/>
        <v>0</v>
      </c>
      <c r="F67" s="30">
        <f t="shared" si="10"/>
        <v>0</v>
      </c>
      <c r="G67" s="30">
        <f t="shared" si="10"/>
        <v>0</v>
      </c>
      <c r="H67" s="30">
        <f t="shared" si="10"/>
        <v>1</v>
      </c>
      <c r="I67" s="30">
        <f t="shared" si="10"/>
        <v>0</v>
      </c>
      <c r="J67" s="30">
        <f t="shared" si="10"/>
        <v>0</v>
      </c>
      <c r="K67" s="30">
        <f t="shared" si="10"/>
        <v>1</v>
      </c>
      <c r="L67" s="30">
        <f t="shared" si="10"/>
        <v>0</v>
      </c>
      <c r="M67" s="30">
        <f t="shared" si="10"/>
        <v>0</v>
      </c>
      <c r="N67" s="30">
        <f t="shared" si="10"/>
        <v>0</v>
      </c>
      <c r="O67" s="30">
        <f t="shared" si="10"/>
        <v>0</v>
      </c>
      <c r="P67" s="30">
        <f t="shared" si="10"/>
        <v>0</v>
      </c>
      <c r="Q67" s="30">
        <f t="shared" si="10"/>
        <v>0</v>
      </c>
      <c r="R67" s="30">
        <f t="shared" si="10"/>
        <v>0</v>
      </c>
      <c r="S67" s="30">
        <f t="shared" si="10"/>
        <v>0</v>
      </c>
      <c r="T67" s="30">
        <f t="shared" si="10"/>
        <v>0</v>
      </c>
      <c r="U67" s="30">
        <f t="shared" si="10"/>
        <v>1</v>
      </c>
      <c r="V67" s="30">
        <f t="shared" si="10"/>
        <v>0</v>
      </c>
      <c r="W67" s="30">
        <f t="shared" si="10"/>
        <v>0</v>
      </c>
      <c r="X67" s="30">
        <f t="shared" si="10"/>
        <v>0</v>
      </c>
      <c r="Y67" s="30">
        <f t="shared" si="10"/>
        <v>0</v>
      </c>
      <c r="Z67" s="30">
        <f t="shared" si="10"/>
        <v>0</v>
      </c>
      <c r="AA67" s="30">
        <f t="shared" si="10"/>
        <v>0</v>
      </c>
      <c r="AB67" s="30">
        <f t="shared" si="10"/>
        <v>1</v>
      </c>
      <c r="AC67" s="30">
        <f t="shared" si="10"/>
        <v>0</v>
      </c>
      <c r="AD67" s="30">
        <f t="shared" si="10"/>
        <v>0</v>
      </c>
      <c r="AE67" s="30">
        <f t="shared" si="10"/>
        <v>1</v>
      </c>
      <c r="AF67" s="30">
        <f t="shared" si="10"/>
        <v>4</v>
      </c>
      <c r="AG67" s="30">
        <f t="shared" si="10"/>
        <v>0</v>
      </c>
      <c r="AH67" s="30">
        <f t="shared" si="10"/>
        <v>0</v>
      </c>
      <c r="AI67" s="30">
        <f t="shared" ref="AI67:BJ67" si="11">AI62+AI63+AI64+AI65+AI66</f>
        <v>2</v>
      </c>
      <c r="AJ67" s="30">
        <f t="shared" si="11"/>
        <v>5</v>
      </c>
      <c r="AK67" s="30">
        <f t="shared" si="11"/>
        <v>1</v>
      </c>
      <c r="AL67" s="30">
        <f t="shared" si="11"/>
        <v>0</v>
      </c>
      <c r="AM67" s="30">
        <f t="shared" si="11"/>
        <v>0</v>
      </c>
      <c r="AN67" s="30">
        <f t="shared" si="11"/>
        <v>0</v>
      </c>
      <c r="AO67" s="30">
        <f t="shared" si="11"/>
        <v>0</v>
      </c>
      <c r="AP67" s="30">
        <f t="shared" si="11"/>
        <v>0</v>
      </c>
      <c r="AQ67" s="30">
        <f t="shared" si="11"/>
        <v>0</v>
      </c>
      <c r="AR67" s="30">
        <f t="shared" si="11"/>
        <v>0</v>
      </c>
      <c r="AS67" s="30">
        <f t="shared" si="11"/>
        <v>0</v>
      </c>
      <c r="AT67" s="30">
        <f t="shared" si="11"/>
        <v>0</v>
      </c>
      <c r="AU67" s="30">
        <f t="shared" si="11"/>
        <v>0</v>
      </c>
      <c r="AV67" s="30">
        <f t="shared" si="11"/>
        <v>0</v>
      </c>
      <c r="AW67" s="30">
        <f t="shared" si="11"/>
        <v>0</v>
      </c>
      <c r="AX67" s="30">
        <f t="shared" si="11"/>
        <v>0</v>
      </c>
      <c r="AY67" s="30">
        <f t="shared" si="11"/>
        <v>1</v>
      </c>
      <c r="AZ67" s="30">
        <f t="shared" si="11"/>
        <v>0</v>
      </c>
      <c r="BA67" s="30">
        <f t="shared" si="11"/>
        <v>0</v>
      </c>
      <c r="BB67" s="30">
        <f t="shared" si="11"/>
        <v>1</v>
      </c>
      <c r="BC67" s="30">
        <f t="shared" si="11"/>
        <v>1</v>
      </c>
      <c r="BD67" s="30">
        <f t="shared" si="11"/>
        <v>0</v>
      </c>
      <c r="BE67" s="30">
        <f t="shared" si="11"/>
        <v>0</v>
      </c>
      <c r="BF67" s="30">
        <f t="shared" si="11"/>
        <v>0</v>
      </c>
      <c r="BG67" s="30">
        <f t="shared" si="11"/>
        <v>0</v>
      </c>
      <c r="BH67" s="30">
        <f t="shared" si="11"/>
        <v>0</v>
      </c>
      <c r="BI67" s="30">
        <f t="shared" si="11"/>
        <v>0</v>
      </c>
      <c r="BJ67" s="30">
        <f t="shared" si="11"/>
        <v>0</v>
      </c>
      <c r="BK67" s="270" t="s">
        <v>29</v>
      </c>
      <c r="BL67" s="270"/>
      <c r="BM67" s="62">
        <f>SUM(C67:BJ67)+SUM(C78:BJ78)</f>
        <v>35</v>
      </c>
      <c r="BN67" s="43">
        <f>BN66+BN65+BN63+BN64+BN62</f>
        <v>11</v>
      </c>
      <c r="BO67" s="43">
        <f>BO66+BO65+BO63+BO64+BO62</f>
        <v>8</v>
      </c>
      <c r="BP67" s="43">
        <f>BP66+BP65+BP63+BP64+BP62</f>
        <v>4</v>
      </c>
      <c r="BQ67" s="43">
        <f>C67+D67+E67+F67+O67+P67+Q67+R67++AE67+AF67+AG67+AH67+AU67+AV67+AW67+AX67+BG67+BH67+BI67+BJ67+C78+D78+E78+F78+O78+P78+Q78+R78+AE78+AF78+AG78+AH78+AU78+AV78+AW78+AX78+BG78+BH78+BI78+BJ78</f>
        <v>15</v>
      </c>
      <c r="BR67" s="43">
        <f>BR62+BR64+BR66</f>
        <v>9</v>
      </c>
      <c r="BS67" s="60"/>
      <c r="BT67" s="61"/>
      <c r="BU67" s="61"/>
      <c r="BV67" s="82"/>
      <c r="BW67" s="82"/>
      <c r="BX67" s="82"/>
      <c r="BY67" s="83"/>
    </row>
    <row r="68" spans="1:77" ht="32.25" customHeight="1">
      <c r="A68" s="24"/>
      <c r="B68" s="24"/>
      <c r="C68" s="90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91"/>
      <c r="W68" s="90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90"/>
      <c r="AR68" s="75"/>
      <c r="AS68" s="75"/>
      <c r="AT68" s="91"/>
      <c r="AU68" s="90"/>
      <c r="AV68" s="75"/>
      <c r="AW68" s="75"/>
      <c r="AX68" s="91"/>
      <c r="AY68" s="90"/>
      <c r="AZ68" s="75"/>
      <c r="BA68" s="75"/>
      <c r="BB68" s="75"/>
      <c r="BC68" s="90"/>
      <c r="BD68" s="75"/>
      <c r="BE68" s="75"/>
      <c r="BF68" s="75"/>
      <c r="BG68" s="90"/>
      <c r="BH68" s="75"/>
      <c r="BI68" s="75"/>
      <c r="BJ68" s="75"/>
      <c r="BK68" s="257" t="str">
        <f>IF($BM$62=MAX($BM$62:$BM$66),BK62,IF($BM$63=MAX($BM$62:$BM$66),BK63,IF($BM$64=MAX($BM$62:$BM$66),BK64,IF($BM$65=MAX($BM$62:$BM$66),BK65,IF($BM$66=MAX($BM$62:$BM$66),A66)))))</f>
        <v>7:00 à 7:30</v>
      </c>
      <c r="BL68" s="257"/>
      <c r="BM68" s="39">
        <f t="shared" ref="BM68:BR68" si="12">IF($BM$62=MAX($BM$62:$BM$66),BM62,IF($BM$63=MAX($BM$62:$BM$66),BM63,IF($BM$64=MAX($BM$62:$BM$66),BM64,IF($BM$65=MAX($BM$62:$BM$66),BM65,IF($BM$66=MAX($BM$62:$BM$66),C66)))))</f>
        <v>9</v>
      </c>
      <c r="BN68" s="39">
        <f t="shared" si="12"/>
        <v>4</v>
      </c>
      <c r="BO68" s="39">
        <f t="shared" si="12"/>
        <v>1</v>
      </c>
      <c r="BP68" s="39">
        <f t="shared" si="12"/>
        <v>1</v>
      </c>
      <c r="BQ68" s="39">
        <f t="shared" si="12"/>
        <v>1</v>
      </c>
      <c r="BR68" s="39">
        <f t="shared" si="12"/>
        <v>7</v>
      </c>
      <c r="BS68" s="60"/>
      <c r="BT68" s="61"/>
      <c r="BU68" s="61"/>
      <c r="BV68" s="82"/>
      <c r="BW68" s="82"/>
      <c r="BX68" s="82"/>
      <c r="BY68" s="83"/>
    </row>
    <row r="69" spans="1:77" ht="22.7" customHeight="1">
      <c r="A69" s="14"/>
      <c r="B69" s="10"/>
      <c r="C69" s="264" t="s">
        <v>116</v>
      </c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 t="s">
        <v>117</v>
      </c>
      <c r="X69" s="264"/>
      <c r="Y69" s="264"/>
      <c r="Z69" s="264"/>
      <c r="AA69" s="264"/>
      <c r="AB69" s="264"/>
      <c r="AC69" s="264"/>
      <c r="AD69" s="264"/>
      <c r="AE69" s="264"/>
      <c r="AF69" s="264"/>
      <c r="AG69" s="264"/>
      <c r="AH69" s="264"/>
      <c r="AI69" s="264"/>
      <c r="AJ69" s="264"/>
      <c r="AK69" s="264"/>
      <c r="AL69" s="264"/>
      <c r="AM69" s="264"/>
      <c r="AN69" s="264"/>
      <c r="AO69" s="264"/>
      <c r="AP69" s="264"/>
      <c r="AQ69" s="264" t="s">
        <v>118</v>
      </c>
      <c r="AR69" s="264"/>
      <c r="AS69" s="264"/>
      <c r="AT69" s="264"/>
      <c r="AU69" s="264"/>
      <c r="AV69" s="264"/>
      <c r="AW69" s="264"/>
      <c r="AX69" s="264"/>
      <c r="AY69" s="264"/>
      <c r="AZ69" s="264"/>
      <c r="BA69" s="264"/>
      <c r="BB69" s="264"/>
      <c r="BC69" s="264"/>
      <c r="BD69" s="264"/>
      <c r="BE69" s="264"/>
      <c r="BF69" s="264"/>
      <c r="BG69" s="264"/>
      <c r="BH69" s="264"/>
      <c r="BI69" s="264"/>
      <c r="BJ69" s="264"/>
      <c r="BK69" s="14"/>
      <c r="BL69" s="10"/>
      <c r="BM69" s="268" t="s">
        <v>29</v>
      </c>
      <c r="BN69" s="254" t="s">
        <v>40</v>
      </c>
      <c r="BO69" s="254" t="s">
        <v>41</v>
      </c>
      <c r="BP69" s="254" t="s">
        <v>42</v>
      </c>
      <c r="BQ69" s="254" t="str">
        <f>BQ58</f>
        <v>Cycles en direction de Bonneville ou La Roche</v>
      </c>
      <c r="BR69" s="92"/>
      <c r="BS69" s="254" t="s">
        <v>56</v>
      </c>
      <c r="BT69" s="254"/>
      <c r="BU69" s="254"/>
      <c r="BV69" s="254"/>
      <c r="BW69" s="254"/>
      <c r="BX69" s="254"/>
      <c r="BY69" s="254"/>
    </row>
    <row r="70" spans="1:77" ht="18.600000000000001" customHeight="1">
      <c r="A70" s="14"/>
      <c r="B70" s="10"/>
      <c r="C70" s="259" t="s">
        <v>111</v>
      </c>
      <c r="D70" s="259"/>
      <c r="E70" s="259"/>
      <c r="F70" s="259"/>
      <c r="G70" s="259" t="s">
        <v>112</v>
      </c>
      <c r="H70" s="259"/>
      <c r="I70" s="259"/>
      <c r="J70" s="259"/>
      <c r="K70" s="259" t="s">
        <v>113</v>
      </c>
      <c r="L70" s="259"/>
      <c r="M70" s="259"/>
      <c r="N70" s="259"/>
      <c r="O70" s="259" t="s">
        <v>108</v>
      </c>
      <c r="P70" s="259"/>
      <c r="Q70" s="259"/>
      <c r="R70" s="259"/>
      <c r="S70" s="259" t="s">
        <v>109</v>
      </c>
      <c r="T70" s="259"/>
      <c r="U70" s="259"/>
      <c r="V70" s="259"/>
      <c r="W70" s="259" t="s">
        <v>112</v>
      </c>
      <c r="X70" s="259"/>
      <c r="Y70" s="259"/>
      <c r="Z70" s="259"/>
      <c r="AA70" s="259" t="s">
        <v>113</v>
      </c>
      <c r="AB70" s="259"/>
      <c r="AC70" s="259"/>
      <c r="AD70" s="259"/>
      <c r="AE70" s="259" t="s">
        <v>108</v>
      </c>
      <c r="AF70" s="259"/>
      <c r="AG70" s="259"/>
      <c r="AH70" s="259"/>
      <c r="AI70" s="259" t="s">
        <v>109</v>
      </c>
      <c r="AJ70" s="259"/>
      <c r="AK70" s="259"/>
      <c r="AL70" s="259"/>
      <c r="AM70" s="259" t="s">
        <v>110</v>
      </c>
      <c r="AN70" s="259"/>
      <c r="AO70" s="259"/>
      <c r="AP70" s="259"/>
      <c r="AQ70" s="259" t="s">
        <v>113</v>
      </c>
      <c r="AR70" s="259"/>
      <c r="AS70" s="259"/>
      <c r="AT70" s="259"/>
      <c r="AU70" s="259" t="s">
        <v>108</v>
      </c>
      <c r="AV70" s="259"/>
      <c r="AW70" s="259"/>
      <c r="AX70" s="259"/>
      <c r="AY70" s="259" t="s">
        <v>109</v>
      </c>
      <c r="AZ70" s="259"/>
      <c r="BA70" s="259"/>
      <c r="BB70" s="259"/>
      <c r="BC70" s="259" t="s">
        <v>110</v>
      </c>
      <c r="BD70" s="259"/>
      <c r="BE70" s="259"/>
      <c r="BF70" s="259"/>
      <c r="BG70" s="259" t="s">
        <v>111</v>
      </c>
      <c r="BH70" s="259"/>
      <c r="BI70" s="259"/>
      <c r="BJ70" s="259"/>
      <c r="BK70" s="14"/>
      <c r="BL70" s="10"/>
      <c r="BM70" s="268"/>
      <c r="BN70" s="254"/>
      <c r="BO70" s="254"/>
      <c r="BP70" s="254"/>
      <c r="BQ70" s="254"/>
      <c r="BR70" s="93"/>
      <c r="BS70" s="254"/>
      <c r="BT70" s="254"/>
      <c r="BU70" s="254"/>
      <c r="BV70" s="254"/>
      <c r="BW70" s="254"/>
      <c r="BX70" s="254"/>
      <c r="BY70" s="254"/>
    </row>
    <row r="71" spans="1:77" ht="20.25">
      <c r="A71" s="14"/>
      <c r="B71" s="10"/>
      <c r="C71" s="258" t="s">
        <v>14</v>
      </c>
      <c r="D71" s="258"/>
      <c r="E71" s="258" t="s">
        <v>15</v>
      </c>
      <c r="F71" s="258"/>
      <c r="G71" s="258" t="s">
        <v>14</v>
      </c>
      <c r="H71" s="258"/>
      <c r="I71" s="258" t="s">
        <v>15</v>
      </c>
      <c r="J71" s="258"/>
      <c r="K71" s="258" t="s">
        <v>14</v>
      </c>
      <c r="L71" s="258"/>
      <c r="M71" s="258" t="s">
        <v>15</v>
      </c>
      <c r="N71" s="258"/>
      <c r="O71" s="258" t="s">
        <v>14</v>
      </c>
      <c r="P71" s="258"/>
      <c r="Q71" s="258" t="s">
        <v>15</v>
      </c>
      <c r="R71" s="258"/>
      <c r="S71" s="258" t="s">
        <v>14</v>
      </c>
      <c r="T71" s="258"/>
      <c r="U71" s="258" t="s">
        <v>15</v>
      </c>
      <c r="V71" s="258"/>
      <c r="W71" s="258" t="s">
        <v>14</v>
      </c>
      <c r="X71" s="258"/>
      <c r="Y71" s="258" t="s">
        <v>15</v>
      </c>
      <c r="Z71" s="258"/>
      <c r="AA71" s="258" t="s">
        <v>14</v>
      </c>
      <c r="AB71" s="258"/>
      <c r="AC71" s="258" t="s">
        <v>15</v>
      </c>
      <c r="AD71" s="258"/>
      <c r="AE71" s="258" t="s">
        <v>14</v>
      </c>
      <c r="AF71" s="258"/>
      <c r="AG71" s="258" t="s">
        <v>15</v>
      </c>
      <c r="AH71" s="258"/>
      <c r="AI71" s="258" t="s">
        <v>14</v>
      </c>
      <c r="AJ71" s="258"/>
      <c r="AK71" s="258" t="s">
        <v>15</v>
      </c>
      <c r="AL71" s="258"/>
      <c r="AM71" s="258" t="s">
        <v>14</v>
      </c>
      <c r="AN71" s="258"/>
      <c r="AO71" s="258" t="s">
        <v>15</v>
      </c>
      <c r="AP71" s="258"/>
      <c r="AQ71" s="258" t="s">
        <v>14</v>
      </c>
      <c r="AR71" s="258"/>
      <c r="AS71" s="258" t="s">
        <v>15</v>
      </c>
      <c r="AT71" s="258"/>
      <c r="AU71" s="258" t="s">
        <v>14</v>
      </c>
      <c r="AV71" s="258"/>
      <c r="AW71" s="258" t="s">
        <v>15</v>
      </c>
      <c r="AX71" s="258"/>
      <c r="AY71" s="258" t="s">
        <v>14</v>
      </c>
      <c r="AZ71" s="258"/>
      <c r="BA71" s="258" t="s">
        <v>15</v>
      </c>
      <c r="BB71" s="258"/>
      <c r="BC71" s="258" t="s">
        <v>14</v>
      </c>
      <c r="BD71" s="258"/>
      <c r="BE71" s="258" t="s">
        <v>15</v>
      </c>
      <c r="BF71" s="258"/>
      <c r="BG71" s="258" t="s">
        <v>14</v>
      </c>
      <c r="BH71" s="258"/>
      <c r="BI71" s="258" t="s">
        <v>15</v>
      </c>
      <c r="BJ71" s="258"/>
      <c r="BK71" s="58"/>
      <c r="BL71" s="10"/>
      <c r="BM71" s="268"/>
      <c r="BN71" s="254"/>
      <c r="BO71" s="254"/>
      <c r="BP71" s="254"/>
      <c r="BQ71" s="254"/>
      <c r="BR71" s="93"/>
      <c r="BS71" s="254"/>
      <c r="BT71" s="254"/>
      <c r="BU71" s="254"/>
      <c r="BV71" s="254"/>
      <c r="BW71" s="254"/>
      <c r="BX71" s="254"/>
      <c r="BY71" s="254"/>
    </row>
    <row r="72" spans="1:77" ht="54.95" customHeight="1">
      <c r="A72" s="257" t="s">
        <v>34</v>
      </c>
      <c r="B72" s="257"/>
      <c r="C72" s="22" t="s">
        <v>18</v>
      </c>
      <c r="D72" s="22" t="s">
        <v>19</v>
      </c>
      <c r="E72" s="22" t="s">
        <v>18</v>
      </c>
      <c r="F72" s="22" t="s">
        <v>19</v>
      </c>
      <c r="G72" s="22" t="s">
        <v>18</v>
      </c>
      <c r="H72" s="22" t="s">
        <v>19</v>
      </c>
      <c r="I72" s="22" t="s">
        <v>18</v>
      </c>
      <c r="J72" s="22" t="s">
        <v>19</v>
      </c>
      <c r="K72" s="22" t="s">
        <v>18</v>
      </c>
      <c r="L72" s="22" t="s">
        <v>19</v>
      </c>
      <c r="M72" s="22" t="s">
        <v>18</v>
      </c>
      <c r="N72" s="22" t="s">
        <v>19</v>
      </c>
      <c r="O72" s="22" t="s">
        <v>18</v>
      </c>
      <c r="P72" s="22" t="s">
        <v>19</v>
      </c>
      <c r="Q72" s="22" t="s">
        <v>18</v>
      </c>
      <c r="R72" s="22" t="s">
        <v>19</v>
      </c>
      <c r="S72" s="22" t="s">
        <v>18</v>
      </c>
      <c r="T72" s="22" t="s">
        <v>19</v>
      </c>
      <c r="U72" s="22" t="s">
        <v>18</v>
      </c>
      <c r="V72" s="22" t="s">
        <v>19</v>
      </c>
      <c r="W72" s="22" t="s">
        <v>18</v>
      </c>
      <c r="X72" s="22" t="s">
        <v>19</v>
      </c>
      <c r="Y72" s="22" t="s">
        <v>18</v>
      </c>
      <c r="Z72" s="22" t="s">
        <v>19</v>
      </c>
      <c r="AA72" s="22" t="s">
        <v>18</v>
      </c>
      <c r="AB72" s="22" t="s">
        <v>19</v>
      </c>
      <c r="AC72" s="22" t="s">
        <v>18</v>
      </c>
      <c r="AD72" s="22" t="s">
        <v>19</v>
      </c>
      <c r="AE72" s="22" t="s">
        <v>18</v>
      </c>
      <c r="AF72" s="22" t="s">
        <v>19</v>
      </c>
      <c r="AG72" s="22" t="s">
        <v>18</v>
      </c>
      <c r="AH72" s="22" t="s">
        <v>19</v>
      </c>
      <c r="AI72" s="22" t="s">
        <v>18</v>
      </c>
      <c r="AJ72" s="22" t="s">
        <v>19</v>
      </c>
      <c r="AK72" s="22" t="s">
        <v>18</v>
      </c>
      <c r="AL72" s="22" t="s">
        <v>19</v>
      </c>
      <c r="AM72" s="22" t="s">
        <v>18</v>
      </c>
      <c r="AN72" s="22" t="s">
        <v>19</v>
      </c>
      <c r="AO72" s="22" t="s">
        <v>18</v>
      </c>
      <c r="AP72" s="22" t="s">
        <v>19</v>
      </c>
      <c r="AQ72" s="22" t="s">
        <v>18</v>
      </c>
      <c r="AR72" s="22" t="s">
        <v>19</v>
      </c>
      <c r="AS72" s="22" t="s">
        <v>18</v>
      </c>
      <c r="AT72" s="22" t="s">
        <v>19</v>
      </c>
      <c r="AU72" s="22" t="s">
        <v>18</v>
      </c>
      <c r="AV72" s="22" t="s">
        <v>19</v>
      </c>
      <c r="AW72" s="22" t="s">
        <v>18</v>
      </c>
      <c r="AX72" s="22" t="s">
        <v>19</v>
      </c>
      <c r="AY72" s="22" t="s">
        <v>18</v>
      </c>
      <c r="AZ72" s="22" t="s">
        <v>19</v>
      </c>
      <c r="BA72" s="22" t="s">
        <v>18</v>
      </c>
      <c r="BB72" s="22" t="s">
        <v>19</v>
      </c>
      <c r="BC72" s="22" t="s">
        <v>18</v>
      </c>
      <c r="BD72" s="22" t="s">
        <v>19</v>
      </c>
      <c r="BE72" s="22" t="s">
        <v>18</v>
      </c>
      <c r="BF72" s="22" t="s">
        <v>19</v>
      </c>
      <c r="BG72" s="22" t="s">
        <v>18</v>
      </c>
      <c r="BH72" s="22" t="s">
        <v>19</v>
      </c>
      <c r="BI72" s="22" t="s">
        <v>18</v>
      </c>
      <c r="BJ72" s="22" t="s">
        <v>19</v>
      </c>
      <c r="BK72" s="257" t="s">
        <v>34</v>
      </c>
      <c r="BL72" s="257"/>
      <c r="BM72" s="268"/>
      <c r="BN72" s="254"/>
      <c r="BO72" s="254"/>
      <c r="BP72" s="254"/>
      <c r="BQ72" s="254"/>
      <c r="BR72" s="93"/>
      <c r="BS72" s="254"/>
      <c r="BT72" s="254"/>
      <c r="BU72" s="254"/>
      <c r="BV72" s="254"/>
      <c r="BW72" s="254"/>
      <c r="BX72" s="254"/>
      <c r="BY72" s="254"/>
    </row>
    <row r="73" spans="1:77" ht="54.95" customHeight="1">
      <c r="A73" s="257" t="s">
        <v>35</v>
      </c>
      <c r="B73" s="257"/>
      <c r="C73" s="26">
        <f t="shared" ref="C73:AH73" si="13">SUM(C38:C39)</f>
        <v>0</v>
      </c>
      <c r="D73" s="26">
        <f t="shared" si="13"/>
        <v>0</v>
      </c>
      <c r="E73" s="26">
        <f t="shared" si="13"/>
        <v>0</v>
      </c>
      <c r="F73" s="26">
        <f t="shared" si="13"/>
        <v>0</v>
      </c>
      <c r="G73" s="26">
        <f t="shared" si="13"/>
        <v>0</v>
      </c>
      <c r="H73" s="26">
        <f t="shared" si="13"/>
        <v>0</v>
      </c>
      <c r="I73" s="26">
        <f t="shared" si="13"/>
        <v>0</v>
      </c>
      <c r="J73" s="26">
        <f t="shared" si="13"/>
        <v>0</v>
      </c>
      <c r="K73" s="26">
        <f t="shared" si="13"/>
        <v>0</v>
      </c>
      <c r="L73" s="26">
        <f t="shared" si="13"/>
        <v>0</v>
      </c>
      <c r="M73" s="26">
        <f t="shared" si="13"/>
        <v>0</v>
      </c>
      <c r="N73" s="26">
        <f t="shared" si="13"/>
        <v>0</v>
      </c>
      <c r="O73" s="26">
        <f t="shared" si="13"/>
        <v>0</v>
      </c>
      <c r="P73" s="26">
        <f t="shared" si="13"/>
        <v>0</v>
      </c>
      <c r="Q73" s="26">
        <f t="shared" si="13"/>
        <v>0</v>
      </c>
      <c r="R73" s="26">
        <f t="shared" si="13"/>
        <v>0</v>
      </c>
      <c r="S73" s="26">
        <f t="shared" si="13"/>
        <v>0</v>
      </c>
      <c r="T73" s="26">
        <f t="shared" si="13"/>
        <v>0</v>
      </c>
      <c r="U73" s="26">
        <f t="shared" si="13"/>
        <v>0</v>
      </c>
      <c r="V73" s="26">
        <f t="shared" si="13"/>
        <v>0</v>
      </c>
      <c r="W73" s="26">
        <f t="shared" si="13"/>
        <v>0</v>
      </c>
      <c r="X73" s="26">
        <f t="shared" si="13"/>
        <v>0</v>
      </c>
      <c r="Y73" s="26">
        <f t="shared" si="13"/>
        <v>0</v>
      </c>
      <c r="Z73" s="26">
        <f t="shared" si="13"/>
        <v>0</v>
      </c>
      <c r="AA73" s="26">
        <f t="shared" si="13"/>
        <v>0</v>
      </c>
      <c r="AB73" s="26">
        <f t="shared" si="13"/>
        <v>0</v>
      </c>
      <c r="AC73" s="26">
        <f t="shared" si="13"/>
        <v>0</v>
      </c>
      <c r="AD73" s="26">
        <f t="shared" si="13"/>
        <v>0</v>
      </c>
      <c r="AE73" s="26">
        <f t="shared" si="13"/>
        <v>0</v>
      </c>
      <c r="AF73" s="26">
        <f t="shared" si="13"/>
        <v>0</v>
      </c>
      <c r="AG73" s="26">
        <f t="shared" si="13"/>
        <v>0</v>
      </c>
      <c r="AH73" s="26">
        <f t="shared" si="13"/>
        <v>0</v>
      </c>
      <c r="AI73" s="26">
        <f t="shared" ref="AI73:BJ73" si="14">SUM(AI38:AI39)</f>
        <v>0</v>
      </c>
      <c r="AJ73" s="26">
        <f t="shared" si="14"/>
        <v>0</v>
      </c>
      <c r="AK73" s="26">
        <f t="shared" si="14"/>
        <v>0</v>
      </c>
      <c r="AL73" s="26">
        <f t="shared" si="14"/>
        <v>0</v>
      </c>
      <c r="AM73" s="26">
        <f t="shared" si="14"/>
        <v>0</v>
      </c>
      <c r="AN73" s="26">
        <f t="shared" si="14"/>
        <v>0</v>
      </c>
      <c r="AO73" s="26">
        <f t="shared" si="14"/>
        <v>0</v>
      </c>
      <c r="AP73" s="26">
        <f t="shared" si="14"/>
        <v>0</v>
      </c>
      <c r="AQ73" s="26">
        <f t="shared" si="14"/>
        <v>0</v>
      </c>
      <c r="AR73" s="26">
        <f t="shared" si="14"/>
        <v>0</v>
      </c>
      <c r="AS73" s="26">
        <f t="shared" si="14"/>
        <v>0</v>
      </c>
      <c r="AT73" s="26">
        <f t="shared" si="14"/>
        <v>0</v>
      </c>
      <c r="AU73" s="26">
        <f t="shared" si="14"/>
        <v>0</v>
      </c>
      <c r="AV73" s="26">
        <f t="shared" si="14"/>
        <v>0</v>
      </c>
      <c r="AW73" s="26">
        <f t="shared" si="14"/>
        <v>0</v>
      </c>
      <c r="AX73" s="26">
        <f t="shared" si="14"/>
        <v>0</v>
      </c>
      <c r="AY73" s="26">
        <f t="shared" si="14"/>
        <v>0</v>
      </c>
      <c r="AZ73" s="26">
        <f t="shared" si="14"/>
        <v>0</v>
      </c>
      <c r="BA73" s="26">
        <f t="shared" si="14"/>
        <v>0</v>
      </c>
      <c r="BB73" s="26">
        <f t="shared" si="14"/>
        <v>0</v>
      </c>
      <c r="BC73" s="26">
        <f t="shared" si="14"/>
        <v>0</v>
      </c>
      <c r="BD73" s="26">
        <f t="shared" si="14"/>
        <v>0</v>
      </c>
      <c r="BE73" s="26">
        <f t="shared" si="14"/>
        <v>0</v>
      </c>
      <c r="BF73" s="26">
        <f t="shared" si="14"/>
        <v>0</v>
      </c>
      <c r="BG73" s="26">
        <f t="shared" si="14"/>
        <v>0</v>
      </c>
      <c r="BH73" s="26">
        <f t="shared" si="14"/>
        <v>0</v>
      </c>
      <c r="BI73" s="26">
        <f t="shared" si="14"/>
        <v>0</v>
      </c>
      <c r="BJ73" s="26">
        <f t="shared" si="14"/>
        <v>0</v>
      </c>
      <c r="BK73" s="257" t="str">
        <f t="shared" ref="BK73:BK78" si="15">A73</f>
        <v>6:30 à 7:00</v>
      </c>
      <c r="BL73" s="257"/>
      <c r="BM73" s="63"/>
      <c r="BN73" s="48">
        <f>IF(BN62=0,0,BN62/BM62)</f>
        <v>0.33333333333333331</v>
      </c>
      <c r="BO73" s="48">
        <f>IF(BO62=0,0,BO62/BM62)</f>
        <v>0</v>
      </c>
      <c r="BP73" s="48">
        <f>IF(BP62=0,0,BP62/BN62)</f>
        <v>0</v>
      </c>
      <c r="BQ73" s="48">
        <f>IF(BQ62=0,0,BQ62/BM62)</f>
        <v>0.66666666666666663</v>
      </c>
      <c r="BR73" s="94"/>
      <c r="BS73" s="60"/>
      <c r="BT73" s="61"/>
      <c r="BU73" s="61"/>
      <c r="BV73" s="82"/>
      <c r="BW73" s="82"/>
      <c r="BX73" s="82"/>
      <c r="BY73" s="83"/>
    </row>
    <row r="74" spans="1:77" ht="54.95" customHeight="1">
      <c r="A74" s="257" t="s">
        <v>36</v>
      </c>
      <c r="B74" s="257"/>
      <c r="C74" s="26">
        <f t="shared" ref="C74:AH74" si="16">SUM(C40:C41)</f>
        <v>0</v>
      </c>
      <c r="D74" s="26">
        <f t="shared" si="16"/>
        <v>0</v>
      </c>
      <c r="E74" s="26">
        <f t="shared" si="16"/>
        <v>0</v>
      </c>
      <c r="F74" s="26">
        <f t="shared" si="16"/>
        <v>1</v>
      </c>
      <c r="G74" s="26">
        <f t="shared" si="16"/>
        <v>0</v>
      </c>
      <c r="H74" s="26">
        <f t="shared" si="16"/>
        <v>0</v>
      </c>
      <c r="I74" s="26">
        <f t="shared" si="16"/>
        <v>0</v>
      </c>
      <c r="J74" s="26">
        <f t="shared" si="16"/>
        <v>0</v>
      </c>
      <c r="K74" s="26">
        <f t="shared" si="16"/>
        <v>0</v>
      </c>
      <c r="L74" s="26">
        <f t="shared" si="16"/>
        <v>0</v>
      </c>
      <c r="M74" s="26">
        <f t="shared" si="16"/>
        <v>0</v>
      </c>
      <c r="N74" s="26">
        <f t="shared" si="16"/>
        <v>0</v>
      </c>
      <c r="O74" s="26">
        <f t="shared" si="16"/>
        <v>0</v>
      </c>
      <c r="P74" s="26">
        <f t="shared" si="16"/>
        <v>0</v>
      </c>
      <c r="Q74" s="26">
        <f t="shared" si="16"/>
        <v>0</v>
      </c>
      <c r="R74" s="26">
        <f t="shared" si="16"/>
        <v>0</v>
      </c>
      <c r="S74" s="26">
        <f t="shared" si="16"/>
        <v>0</v>
      </c>
      <c r="T74" s="26">
        <f t="shared" si="16"/>
        <v>0</v>
      </c>
      <c r="U74" s="26">
        <f t="shared" si="16"/>
        <v>0</v>
      </c>
      <c r="V74" s="26">
        <f t="shared" si="16"/>
        <v>0</v>
      </c>
      <c r="W74" s="26">
        <f t="shared" si="16"/>
        <v>0</v>
      </c>
      <c r="X74" s="26">
        <f t="shared" si="16"/>
        <v>0</v>
      </c>
      <c r="Y74" s="26">
        <f t="shared" si="16"/>
        <v>0</v>
      </c>
      <c r="Z74" s="26">
        <f t="shared" si="16"/>
        <v>0</v>
      </c>
      <c r="AA74" s="26">
        <f t="shared" si="16"/>
        <v>0</v>
      </c>
      <c r="AB74" s="26">
        <f t="shared" si="16"/>
        <v>0</v>
      </c>
      <c r="AC74" s="26">
        <f t="shared" si="16"/>
        <v>0</v>
      </c>
      <c r="AD74" s="26">
        <f t="shared" si="16"/>
        <v>0</v>
      </c>
      <c r="AE74" s="26">
        <f t="shared" si="16"/>
        <v>0</v>
      </c>
      <c r="AF74" s="26">
        <f t="shared" si="16"/>
        <v>1</v>
      </c>
      <c r="AG74" s="26">
        <f t="shared" si="16"/>
        <v>0</v>
      </c>
      <c r="AH74" s="26">
        <f t="shared" si="16"/>
        <v>0</v>
      </c>
      <c r="AI74" s="26">
        <f t="shared" ref="AI74:BJ74" si="17">SUM(AI40:AI41)</f>
        <v>0</v>
      </c>
      <c r="AJ74" s="26">
        <f t="shared" si="17"/>
        <v>0</v>
      </c>
      <c r="AK74" s="26">
        <f t="shared" si="17"/>
        <v>0</v>
      </c>
      <c r="AL74" s="26">
        <f t="shared" si="17"/>
        <v>0</v>
      </c>
      <c r="AM74" s="26">
        <f t="shared" si="17"/>
        <v>0</v>
      </c>
      <c r="AN74" s="26">
        <f t="shared" si="17"/>
        <v>0</v>
      </c>
      <c r="AO74" s="26">
        <f t="shared" si="17"/>
        <v>0</v>
      </c>
      <c r="AP74" s="26">
        <f t="shared" si="17"/>
        <v>1</v>
      </c>
      <c r="AQ74" s="26">
        <f t="shared" si="17"/>
        <v>0</v>
      </c>
      <c r="AR74" s="26">
        <f t="shared" si="17"/>
        <v>1</v>
      </c>
      <c r="AS74" s="26">
        <f t="shared" si="17"/>
        <v>0</v>
      </c>
      <c r="AT74" s="26">
        <f t="shared" si="17"/>
        <v>0</v>
      </c>
      <c r="AU74" s="26">
        <f t="shared" si="17"/>
        <v>0</v>
      </c>
      <c r="AV74" s="26">
        <f t="shared" si="17"/>
        <v>0</v>
      </c>
      <c r="AW74" s="26">
        <f t="shared" si="17"/>
        <v>0</v>
      </c>
      <c r="AX74" s="26">
        <f t="shared" si="17"/>
        <v>0</v>
      </c>
      <c r="AY74" s="26">
        <f t="shared" si="17"/>
        <v>0</v>
      </c>
      <c r="AZ74" s="26">
        <f t="shared" si="17"/>
        <v>0</v>
      </c>
      <c r="BA74" s="26">
        <f t="shared" si="17"/>
        <v>0</v>
      </c>
      <c r="BB74" s="26">
        <f t="shared" si="17"/>
        <v>0</v>
      </c>
      <c r="BC74" s="26">
        <f t="shared" si="17"/>
        <v>0</v>
      </c>
      <c r="BD74" s="26">
        <f t="shared" si="17"/>
        <v>0</v>
      </c>
      <c r="BE74" s="26">
        <f t="shared" si="17"/>
        <v>0</v>
      </c>
      <c r="BF74" s="26">
        <f t="shared" si="17"/>
        <v>0</v>
      </c>
      <c r="BG74" s="26">
        <f t="shared" si="17"/>
        <v>0</v>
      </c>
      <c r="BH74" s="26">
        <f t="shared" si="17"/>
        <v>0</v>
      </c>
      <c r="BI74" s="26">
        <f t="shared" si="17"/>
        <v>0</v>
      </c>
      <c r="BJ74" s="26">
        <f t="shared" si="17"/>
        <v>0</v>
      </c>
      <c r="BK74" s="257" t="str">
        <f t="shared" si="15"/>
        <v>7:00 à 7:30</v>
      </c>
      <c r="BL74" s="257"/>
      <c r="BM74" s="63"/>
      <c r="BN74" s="48">
        <f>IF(BN63=0,0,BN63/BM63)</f>
        <v>0.44444444444444442</v>
      </c>
      <c r="BO74" s="48">
        <f>IF(BO63=0,0,BO63/BM63)</f>
        <v>0.1111111111111111</v>
      </c>
      <c r="BP74" s="48">
        <f>IF(BP63=0,0,BP63/BN63)</f>
        <v>0.25</v>
      </c>
      <c r="BQ74" s="48">
        <f>IF(BQ63=0,0,BQ63/BM63)</f>
        <v>0.1111111111111111</v>
      </c>
      <c r="BR74" s="94"/>
      <c r="BS74" s="60"/>
      <c r="BT74" s="61"/>
      <c r="BU74" s="61"/>
      <c r="BV74" s="82"/>
      <c r="BW74" s="82"/>
      <c r="BX74" s="82"/>
      <c r="BY74" s="83"/>
    </row>
    <row r="75" spans="1:77" ht="54.95" customHeight="1">
      <c r="A75" s="257" t="s">
        <v>37</v>
      </c>
      <c r="B75" s="257"/>
      <c r="C75" s="26">
        <f t="shared" ref="C75:AH75" si="18">SUM(C42:C43)</f>
        <v>0</v>
      </c>
      <c r="D75" s="26">
        <f t="shared" si="18"/>
        <v>0</v>
      </c>
      <c r="E75" s="26">
        <f t="shared" si="18"/>
        <v>0</v>
      </c>
      <c r="F75" s="26">
        <f t="shared" si="18"/>
        <v>0</v>
      </c>
      <c r="G75" s="26">
        <f t="shared" si="18"/>
        <v>0</v>
      </c>
      <c r="H75" s="26">
        <f t="shared" si="18"/>
        <v>0</v>
      </c>
      <c r="I75" s="26">
        <f t="shared" si="18"/>
        <v>0</v>
      </c>
      <c r="J75" s="26">
        <f t="shared" si="18"/>
        <v>0</v>
      </c>
      <c r="K75" s="26">
        <f t="shared" si="18"/>
        <v>0</v>
      </c>
      <c r="L75" s="26">
        <f t="shared" si="18"/>
        <v>0</v>
      </c>
      <c r="M75" s="26">
        <f t="shared" si="18"/>
        <v>0</v>
      </c>
      <c r="N75" s="26">
        <f t="shared" si="18"/>
        <v>0</v>
      </c>
      <c r="O75" s="26">
        <f t="shared" si="18"/>
        <v>0</v>
      </c>
      <c r="P75" s="26">
        <f t="shared" si="18"/>
        <v>0</v>
      </c>
      <c r="Q75" s="26">
        <f t="shared" si="18"/>
        <v>0</v>
      </c>
      <c r="R75" s="26">
        <f t="shared" si="18"/>
        <v>0</v>
      </c>
      <c r="S75" s="26">
        <f t="shared" si="18"/>
        <v>0</v>
      </c>
      <c r="T75" s="26">
        <f t="shared" si="18"/>
        <v>0</v>
      </c>
      <c r="U75" s="26">
        <f t="shared" si="18"/>
        <v>0</v>
      </c>
      <c r="V75" s="26">
        <f t="shared" si="18"/>
        <v>0</v>
      </c>
      <c r="W75" s="26">
        <f t="shared" si="18"/>
        <v>0</v>
      </c>
      <c r="X75" s="26">
        <f t="shared" si="18"/>
        <v>0</v>
      </c>
      <c r="Y75" s="26">
        <f t="shared" si="18"/>
        <v>0</v>
      </c>
      <c r="Z75" s="26">
        <f t="shared" si="18"/>
        <v>0</v>
      </c>
      <c r="AA75" s="26">
        <f t="shared" si="18"/>
        <v>0</v>
      </c>
      <c r="AB75" s="26">
        <f t="shared" si="18"/>
        <v>1</v>
      </c>
      <c r="AC75" s="26">
        <f t="shared" si="18"/>
        <v>0</v>
      </c>
      <c r="AD75" s="26">
        <f t="shared" si="18"/>
        <v>0</v>
      </c>
      <c r="AE75" s="26">
        <f t="shared" si="18"/>
        <v>0</v>
      </c>
      <c r="AF75" s="26">
        <f t="shared" si="18"/>
        <v>0</v>
      </c>
      <c r="AG75" s="26">
        <f t="shared" si="18"/>
        <v>0</v>
      </c>
      <c r="AH75" s="26">
        <f t="shared" si="18"/>
        <v>0</v>
      </c>
      <c r="AI75" s="26">
        <f t="shared" ref="AI75:BJ75" si="19">SUM(AI42:AI43)</f>
        <v>0</v>
      </c>
      <c r="AJ75" s="26">
        <f t="shared" si="19"/>
        <v>0</v>
      </c>
      <c r="AK75" s="26">
        <f t="shared" si="19"/>
        <v>0</v>
      </c>
      <c r="AL75" s="26">
        <f t="shared" si="19"/>
        <v>0</v>
      </c>
      <c r="AM75" s="26">
        <f t="shared" si="19"/>
        <v>0</v>
      </c>
      <c r="AN75" s="26">
        <f t="shared" si="19"/>
        <v>0</v>
      </c>
      <c r="AO75" s="26">
        <f t="shared" si="19"/>
        <v>0</v>
      </c>
      <c r="AP75" s="26">
        <f t="shared" si="19"/>
        <v>0</v>
      </c>
      <c r="AQ75" s="26">
        <f t="shared" si="19"/>
        <v>0</v>
      </c>
      <c r="AR75" s="26">
        <f t="shared" si="19"/>
        <v>0</v>
      </c>
      <c r="AS75" s="26">
        <f t="shared" si="19"/>
        <v>0</v>
      </c>
      <c r="AT75" s="26">
        <f t="shared" si="19"/>
        <v>0</v>
      </c>
      <c r="AU75" s="26">
        <f t="shared" si="19"/>
        <v>0</v>
      </c>
      <c r="AV75" s="26">
        <f t="shared" si="19"/>
        <v>0</v>
      </c>
      <c r="AW75" s="26">
        <f t="shared" si="19"/>
        <v>2</v>
      </c>
      <c r="AX75" s="26">
        <f t="shared" si="19"/>
        <v>1</v>
      </c>
      <c r="AY75" s="26">
        <f t="shared" si="19"/>
        <v>0</v>
      </c>
      <c r="AZ75" s="26">
        <f t="shared" si="19"/>
        <v>0</v>
      </c>
      <c r="BA75" s="26">
        <f t="shared" si="19"/>
        <v>0</v>
      </c>
      <c r="BB75" s="26">
        <f t="shared" si="19"/>
        <v>0</v>
      </c>
      <c r="BC75" s="26">
        <f t="shared" si="19"/>
        <v>0</v>
      </c>
      <c r="BD75" s="26">
        <f t="shared" si="19"/>
        <v>0</v>
      </c>
      <c r="BE75" s="26">
        <f t="shared" si="19"/>
        <v>0</v>
      </c>
      <c r="BF75" s="26">
        <f t="shared" si="19"/>
        <v>0</v>
      </c>
      <c r="BG75" s="26">
        <f t="shared" si="19"/>
        <v>0</v>
      </c>
      <c r="BH75" s="26">
        <f t="shared" si="19"/>
        <v>0</v>
      </c>
      <c r="BI75" s="26">
        <f t="shared" si="19"/>
        <v>0</v>
      </c>
      <c r="BJ75" s="26">
        <f t="shared" si="19"/>
        <v>0</v>
      </c>
      <c r="BK75" s="257" t="str">
        <f t="shared" si="15"/>
        <v>7:30 à 8:00</v>
      </c>
      <c r="BL75" s="257"/>
      <c r="BM75" s="63"/>
      <c r="BN75" s="48">
        <f>IF(BN63=0,0,BN63/BM63)</f>
        <v>0.44444444444444442</v>
      </c>
      <c r="BO75" s="48">
        <f t="shared" ref="BO75:BP78" si="20">IF(BO63=0,0,BO63/BM63)</f>
        <v>0.1111111111111111</v>
      </c>
      <c r="BP75" s="48">
        <f t="shared" si="20"/>
        <v>0.25</v>
      </c>
      <c r="BQ75" s="48">
        <f>IF(BQ63=0,0,BQ63/BM63)</f>
        <v>0.1111111111111111</v>
      </c>
      <c r="BR75" s="94"/>
      <c r="BS75" s="60"/>
      <c r="BT75" s="61"/>
      <c r="BU75" s="61"/>
      <c r="BV75" s="82"/>
      <c r="BW75" s="82"/>
      <c r="BX75" s="82"/>
      <c r="BY75" s="83"/>
    </row>
    <row r="76" spans="1:77" ht="54.95" customHeight="1">
      <c r="A76" s="257" t="s">
        <v>38</v>
      </c>
      <c r="B76" s="257"/>
      <c r="C76" s="26">
        <f t="shared" ref="C76:AH76" si="21">SUM(C44:C45)</f>
        <v>0</v>
      </c>
      <c r="D76" s="26">
        <f t="shared" si="21"/>
        <v>0</v>
      </c>
      <c r="E76" s="26">
        <f t="shared" si="21"/>
        <v>0</v>
      </c>
      <c r="F76" s="26">
        <f t="shared" si="21"/>
        <v>0</v>
      </c>
      <c r="G76" s="26">
        <f t="shared" si="21"/>
        <v>0</v>
      </c>
      <c r="H76" s="26">
        <f t="shared" si="21"/>
        <v>0</v>
      </c>
      <c r="I76" s="26">
        <f t="shared" si="21"/>
        <v>0</v>
      </c>
      <c r="J76" s="26">
        <f t="shared" si="21"/>
        <v>0</v>
      </c>
      <c r="K76" s="26">
        <f t="shared" si="21"/>
        <v>0</v>
      </c>
      <c r="L76" s="26">
        <f t="shared" si="21"/>
        <v>0</v>
      </c>
      <c r="M76" s="26">
        <f t="shared" si="21"/>
        <v>0</v>
      </c>
      <c r="N76" s="26">
        <f t="shared" si="21"/>
        <v>1</v>
      </c>
      <c r="O76" s="26">
        <f t="shared" si="21"/>
        <v>1</v>
      </c>
      <c r="P76" s="26">
        <f t="shared" si="21"/>
        <v>0</v>
      </c>
      <c r="Q76" s="26">
        <f t="shared" si="21"/>
        <v>0</v>
      </c>
      <c r="R76" s="26">
        <f t="shared" si="21"/>
        <v>0</v>
      </c>
      <c r="S76" s="26">
        <f t="shared" si="21"/>
        <v>0</v>
      </c>
      <c r="T76" s="26">
        <f t="shared" si="21"/>
        <v>0</v>
      </c>
      <c r="U76" s="26">
        <f t="shared" si="21"/>
        <v>0</v>
      </c>
      <c r="V76" s="26">
        <f t="shared" si="21"/>
        <v>0</v>
      </c>
      <c r="W76" s="26">
        <f t="shared" si="21"/>
        <v>0</v>
      </c>
      <c r="X76" s="26">
        <f t="shared" si="21"/>
        <v>0</v>
      </c>
      <c r="Y76" s="26">
        <f t="shared" si="21"/>
        <v>0</v>
      </c>
      <c r="Z76" s="26">
        <f t="shared" si="21"/>
        <v>0</v>
      </c>
      <c r="AA76" s="26">
        <f t="shared" si="21"/>
        <v>0</v>
      </c>
      <c r="AB76" s="26">
        <f t="shared" si="21"/>
        <v>0</v>
      </c>
      <c r="AC76" s="26">
        <f t="shared" si="21"/>
        <v>0</v>
      </c>
      <c r="AD76" s="26">
        <f t="shared" si="21"/>
        <v>0</v>
      </c>
      <c r="AE76" s="26">
        <f t="shared" si="21"/>
        <v>0</v>
      </c>
      <c r="AF76" s="26">
        <f t="shared" si="21"/>
        <v>0</v>
      </c>
      <c r="AG76" s="26">
        <f t="shared" si="21"/>
        <v>0</v>
      </c>
      <c r="AH76" s="26">
        <f t="shared" si="21"/>
        <v>0</v>
      </c>
      <c r="AI76" s="26">
        <f t="shared" ref="AI76:BJ76" si="22">SUM(AI44:AI45)</f>
        <v>0</v>
      </c>
      <c r="AJ76" s="26">
        <f t="shared" si="22"/>
        <v>0</v>
      </c>
      <c r="AK76" s="26">
        <f t="shared" si="22"/>
        <v>0</v>
      </c>
      <c r="AL76" s="26">
        <f t="shared" si="22"/>
        <v>0</v>
      </c>
      <c r="AM76" s="26">
        <f t="shared" si="22"/>
        <v>0</v>
      </c>
      <c r="AN76" s="26">
        <f t="shared" si="22"/>
        <v>0</v>
      </c>
      <c r="AO76" s="26">
        <f t="shared" si="22"/>
        <v>0</v>
      </c>
      <c r="AP76" s="26">
        <f t="shared" si="22"/>
        <v>0</v>
      </c>
      <c r="AQ76" s="26">
        <f t="shared" si="22"/>
        <v>0</v>
      </c>
      <c r="AR76" s="26">
        <f t="shared" si="22"/>
        <v>0</v>
      </c>
      <c r="AS76" s="26">
        <f t="shared" si="22"/>
        <v>0</v>
      </c>
      <c r="AT76" s="26">
        <f t="shared" si="22"/>
        <v>0</v>
      </c>
      <c r="AU76" s="26">
        <f t="shared" si="22"/>
        <v>0</v>
      </c>
      <c r="AV76" s="26">
        <f t="shared" si="22"/>
        <v>2</v>
      </c>
      <c r="AW76" s="26">
        <f t="shared" si="22"/>
        <v>0</v>
      </c>
      <c r="AX76" s="26">
        <f t="shared" si="22"/>
        <v>0</v>
      </c>
      <c r="AY76" s="26">
        <f t="shared" si="22"/>
        <v>0</v>
      </c>
      <c r="AZ76" s="26">
        <f t="shared" si="22"/>
        <v>0</v>
      </c>
      <c r="BA76" s="26">
        <f t="shared" si="22"/>
        <v>0</v>
      </c>
      <c r="BB76" s="26">
        <f t="shared" si="22"/>
        <v>0</v>
      </c>
      <c r="BC76" s="26">
        <f t="shared" si="22"/>
        <v>0</v>
      </c>
      <c r="BD76" s="26">
        <f t="shared" si="22"/>
        <v>0</v>
      </c>
      <c r="BE76" s="26">
        <f t="shared" si="22"/>
        <v>0</v>
      </c>
      <c r="BF76" s="26">
        <f t="shared" si="22"/>
        <v>0</v>
      </c>
      <c r="BG76" s="26">
        <f t="shared" si="22"/>
        <v>0</v>
      </c>
      <c r="BH76" s="26">
        <f t="shared" si="22"/>
        <v>0</v>
      </c>
      <c r="BI76" s="26">
        <f t="shared" si="22"/>
        <v>0</v>
      </c>
      <c r="BJ76" s="26">
        <f t="shared" si="22"/>
        <v>0</v>
      </c>
      <c r="BK76" s="257" t="str">
        <f t="shared" si="15"/>
        <v>8:00 à 8:30</v>
      </c>
      <c r="BL76" s="257"/>
      <c r="BM76" s="63"/>
      <c r="BN76" s="48">
        <f>IF(BN64=0,0,BN64/BM64)</f>
        <v>0.2857142857142857</v>
      </c>
      <c r="BO76" s="48">
        <f t="shared" si="20"/>
        <v>0.42857142857142855</v>
      </c>
      <c r="BP76" s="48">
        <f t="shared" si="20"/>
        <v>1</v>
      </c>
      <c r="BQ76" s="48">
        <f>IF(BQ64=0,0,BQ64/BM64)</f>
        <v>0.7142857142857143</v>
      </c>
      <c r="BR76" s="94"/>
      <c r="BS76" s="60"/>
      <c r="BT76" s="61"/>
      <c r="BU76" s="61"/>
      <c r="BV76" s="82"/>
      <c r="BW76" s="82"/>
      <c r="BX76" s="82"/>
      <c r="BY76" s="83"/>
    </row>
    <row r="77" spans="1:77" ht="54.95" customHeight="1">
      <c r="A77" s="257" t="s">
        <v>39</v>
      </c>
      <c r="B77" s="257"/>
      <c r="C77" s="26">
        <f t="shared" ref="C77:AH77" si="23">SUM(C46:C47)</f>
        <v>0</v>
      </c>
      <c r="D77" s="26">
        <f t="shared" si="23"/>
        <v>0</v>
      </c>
      <c r="E77" s="26">
        <f t="shared" si="23"/>
        <v>0</v>
      </c>
      <c r="F77" s="26">
        <f t="shared" si="23"/>
        <v>0</v>
      </c>
      <c r="G77" s="26">
        <f t="shared" si="23"/>
        <v>0</v>
      </c>
      <c r="H77" s="26">
        <f t="shared" si="23"/>
        <v>0</v>
      </c>
      <c r="I77" s="26">
        <f t="shared" si="23"/>
        <v>0</v>
      </c>
      <c r="J77" s="26">
        <f t="shared" si="23"/>
        <v>0</v>
      </c>
      <c r="K77" s="26">
        <f t="shared" si="23"/>
        <v>0</v>
      </c>
      <c r="L77" s="26">
        <f t="shared" si="23"/>
        <v>0</v>
      </c>
      <c r="M77" s="26">
        <f t="shared" si="23"/>
        <v>0</v>
      </c>
      <c r="N77" s="26">
        <f t="shared" si="23"/>
        <v>0</v>
      </c>
      <c r="O77" s="26">
        <f t="shared" si="23"/>
        <v>0</v>
      </c>
      <c r="P77" s="26">
        <f t="shared" si="23"/>
        <v>0</v>
      </c>
      <c r="Q77" s="26">
        <f t="shared" si="23"/>
        <v>0</v>
      </c>
      <c r="R77" s="26">
        <f t="shared" si="23"/>
        <v>0</v>
      </c>
      <c r="S77" s="26">
        <f t="shared" si="23"/>
        <v>0</v>
      </c>
      <c r="T77" s="26">
        <f t="shared" si="23"/>
        <v>0</v>
      </c>
      <c r="U77" s="26">
        <f t="shared" si="23"/>
        <v>0</v>
      </c>
      <c r="V77" s="26">
        <f t="shared" si="23"/>
        <v>0</v>
      </c>
      <c r="W77" s="26">
        <f t="shared" si="23"/>
        <v>0</v>
      </c>
      <c r="X77" s="26">
        <f t="shared" si="23"/>
        <v>0</v>
      </c>
      <c r="Y77" s="26">
        <f t="shared" si="23"/>
        <v>0</v>
      </c>
      <c r="Z77" s="26">
        <f t="shared" si="23"/>
        <v>0</v>
      </c>
      <c r="AA77" s="26">
        <f t="shared" si="23"/>
        <v>0</v>
      </c>
      <c r="AB77" s="26">
        <f t="shared" si="23"/>
        <v>0</v>
      </c>
      <c r="AC77" s="26">
        <f t="shared" si="23"/>
        <v>0</v>
      </c>
      <c r="AD77" s="26">
        <f t="shared" si="23"/>
        <v>0</v>
      </c>
      <c r="AE77" s="26">
        <f t="shared" si="23"/>
        <v>0</v>
      </c>
      <c r="AF77" s="26">
        <f t="shared" si="23"/>
        <v>0</v>
      </c>
      <c r="AG77" s="26">
        <f t="shared" si="23"/>
        <v>0</v>
      </c>
      <c r="AH77" s="26">
        <f t="shared" si="23"/>
        <v>0</v>
      </c>
      <c r="AI77" s="26">
        <f t="shared" ref="AI77:BJ77" si="24">SUM(AI46:AI47)</f>
        <v>0</v>
      </c>
      <c r="AJ77" s="26">
        <f t="shared" si="24"/>
        <v>0</v>
      </c>
      <c r="AK77" s="26">
        <f t="shared" si="24"/>
        <v>0</v>
      </c>
      <c r="AL77" s="26">
        <f t="shared" si="24"/>
        <v>0</v>
      </c>
      <c r="AM77" s="26">
        <f t="shared" si="24"/>
        <v>0</v>
      </c>
      <c r="AN77" s="26">
        <f t="shared" si="24"/>
        <v>0</v>
      </c>
      <c r="AO77" s="26">
        <f t="shared" si="24"/>
        <v>0</v>
      </c>
      <c r="AP77" s="26">
        <f t="shared" si="24"/>
        <v>0</v>
      </c>
      <c r="AQ77" s="26">
        <f t="shared" si="24"/>
        <v>0</v>
      </c>
      <c r="AR77" s="26">
        <f t="shared" si="24"/>
        <v>0</v>
      </c>
      <c r="AS77" s="26">
        <f t="shared" si="24"/>
        <v>0</v>
      </c>
      <c r="AT77" s="26">
        <f t="shared" si="24"/>
        <v>0</v>
      </c>
      <c r="AU77" s="26">
        <f t="shared" si="24"/>
        <v>0</v>
      </c>
      <c r="AV77" s="26">
        <f t="shared" si="24"/>
        <v>1</v>
      </c>
      <c r="AW77" s="26">
        <f t="shared" si="24"/>
        <v>0</v>
      </c>
      <c r="AX77" s="26">
        <f t="shared" si="24"/>
        <v>1</v>
      </c>
      <c r="AY77" s="26">
        <f t="shared" si="24"/>
        <v>0</v>
      </c>
      <c r="AZ77" s="26">
        <f t="shared" si="24"/>
        <v>0</v>
      </c>
      <c r="BA77" s="26">
        <f t="shared" si="24"/>
        <v>0</v>
      </c>
      <c r="BB77" s="26">
        <f t="shared" si="24"/>
        <v>0</v>
      </c>
      <c r="BC77" s="26">
        <f t="shared" si="24"/>
        <v>0</v>
      </c>
      <c r="BD77" s="26">
        <f t="shared" si="24"/>
        <v>1</v>
      </c>
      <c r="BE77" s="26">
        <f t="shared" si="24"/>
        <v>0</v>
      </c>
      <c r="BF77" s="26">
        <f t="shared" si="24"/>
        <v>0</v>
      </c>
      <c r="BG77" s="26">
        <f t="shared" si="24"/>
        <v>0</v>
      </c>
      <c r="BH77" s="26">
        <f t="shared" si="24"/>
        <v>0</v>
      </c>
      <c r="BI77" s="26">
        <f t="shared" si="24"/>
        <v>0</v>
      </c>
      <c r="BJ77" s="26">
        <f t="shared" si="24"/>
        <v>0</v>
      </c>
      <c r="BK77" s="257" t="str">
        <f t="shared" si="15"/>
        <v>8:30 à 9:00</v>
      </c>
      <c r="BL77" s="257"/>
      <c r="BM77" s="63"/>
      <c r="BN77" s="48">
        <f>IF(BN65=0,0,BN65/BM65)</f>
        <v>0.33333333333333331</v>
      </c>
      <c r="BO77" s="48">
        <f t="shared" si="20"/>
        <v>0.33333333333333331</v>
      </c>
      <c r="BP77" s="48">
        <f t="shared" si="20"/>
        <v>0</v>
      </c>
      <c r="BQ77" s="48">
        <f>IF(BQ65=0,0,BQ65/BM65)</f>
        <v>0.5</v>
      </c>
      <c r="BR77" s="94"/>
      <c r="BS77" s="60"/>
      <c r="BT77" s="61"/>
      <c r="BU77" s="61"/>
      <c r="BV77" s="82"/>
      <c r="BW77" s="82"/>
      <c r="BX77" s="82"/>
      <c r="BY77" s="83"/>
    </row>
    <row r="78" spans="1:77" ht="54.95" customHeight="1">
      <c r="A78" s="257" t="s">
        <v>29</v>
      </c>
      <c r="B78" s="257"/>
      <c r="C78" s="30">
        <f t="shared" ref="C78:AH78" si="25">C73+C74+C75+C76+C77</f>
        <v>0</v>
      </c>
      <c r="D78" s="30">
        <f t="shared" si="25"/>
        <v>0</v>
      </c>
      <c r="E78" s="30">
        <f t="shared" si="25"/>
        <v>0</v>
      </c>
      <c r="F78" s="30">
        <f t="shared" si="25"/>
        <v>1</v>
      </c>
      <c r="G78" s="30">
        <f t="shared" si="25"/>
        <v>0</v>
      </c>
      <c r="H78" s="30">
        <f t="shared" si="25"/>
        <v>0</v>
      </c>
      <c r="I78" s="30">
        <f t="shared" si="25"/>
        <v>0</v>
      </c>
      <c r="J78" s="30">
        <f t="shared" si="25"/>
        <v>0</v>
      </c>
      <c r="K78" s="30">
        <f t="shared" si="25"/>
        <v>0</v>
      </c>
      <c r="L78" s="30">
        <f t="shared" si="25"/>
        <v>0</v>
      </c>
      <c r="M78" s="30">
        <f t="shared" si="25"/>
        <v>0</v>
      </c>
      <c r="N78" s="30">
        <f t="shared" si="25"/>
        <v>1</v>
      </c>
      <c r="O78" s="30">
        <f t="shared" si="25"/>
        <v>1</v>
      </c>
      <c r="P78" s="30">
        <f t="shared" si="25"/>
        <v>0</v>
      </c>
      <c r="Q78" s="30">
        <f t="shared" si="25"/>
        <v>0</v>
      </c>
      <c r="R78" s="30">
        <f t="shared" si="25"/>
        <v>0</v>
      </c>
      <c r="S78" s="30">
        <f t="shared" si="25"/>
        <v>0</v>
      </c>
      <c r="T78" s="30">
        <f t="shared" si="25"/>
        <v>0</v>
      </c>
      <c r="U78" s="30">
        <f t="shared" si="25"/>
        <v>0</v>
      </c>
      <c r="V78" s="30">
        <f t="shared" si="25"/>
        <v>0</v>
      </c>
      <c r="W78" s="30">
        <f t="shared" si="25"/>
        <v>0</v>
      </c>
      <c r="X78" s="30">
        <f t="shared" si="25"/>
        <v>0</v>
      </c>
      <c r="Y78" s="30">
        <f t="shared" si="25"/>
        <v>0</v>
      </c>
      <c r="Z78" s="30">
        <f t="shared" si="25"/>
        <v>0</v>
      </c>
      <c r="AA78" s="30">
        <f t="shared" si="25"/>
        <v>0</v>
      </c>
      <c r="AB78" s="30">
        <f t="shared" si="25"/>
        <v>1</v>
      </c>
      <c r="AC78" s="30">
        <f t="shared" si="25"/>
        <v>0</v>
      </c>
      <c r="AD78" s="30">
        <f t="shared" si="25"/>
        <v>0</v>
      </c>
      <c r="AE78" s="30">
        <f t="shared" si="25"/>
        <v>0</v>
      </c>
      <c r="AF78" s="30">
        <f t="shared" si="25"/>
        <v>1</v>
      </c>
      <c r="AG78" s="30">
        <f t="shared" si="25"/>
        <v>0</v>
      </c>
      <c r="AH78" s="30">
        <f t="shared" si="25"/>
        <v>0</v>
      </c>
      <c r="AI78" s="30">
        <f t="shared" ref="AI78:BJ78" si="26">AI73+AI74+AI75+AI76+AI77</f>
        <v>0</v>
      </c>
      <c r="AJ78" s="30">
        <f t="shared" si="26"/>
        <v>0</v>
      </c>
      <c r="AK78" s="30">
        <f t="shared" si="26"/>
        <v>0</v>
      </c>
      <c r="AL78" s="30">
        <f t="shared" si="26"/>
        <v>0</v>
      </c>
      <c r="AM78" s="30">
        <f t="shared" si="26"/>
        <v>0</v>
      </c>
      <c r="AN78" s="30">
        <f t="shared" si="26"/>
        <v>0</v>
      </c>
      <c r="AO78" s="30">
        <f t="shared" si="26"/>
        <v>0</v>
      </c>
      <c r="AP78" s="30">
        <f t="shared" si="26"/>
        <v>1</v>
      </c>
      <c r="AQ78" s="30">
        <f t="shared" si="26"/>
        <v>0</v>
      </c>
      <c r="AR78" s="30">
        <f t="shared" si="26"/>
        <v>1</v>
      </c>
      <c r="AS78" s="30">
        <f t="shared" si="26"/>
        <v>0</v>
      </c>
      <c r="AT78" s="30">
        <f t="shared" si="26"/>
        <v>0</v>
      </c>
      <c r="AU78" s="30">
        <f t="shared" si="26"/>
        <v>0</v>
      </c>
      <c r="AV78" s="30">
        <f t="shared" si="26"/>
        <v>3</v>
      </c>
      <c r="AW78" s="30">
        <f t="shared" si="26"/>
        <v>2</v>
      </c>
      <c r="AX78" s="30">
        <f t="shared" si="26"/>
        <v>2</v>
      </c>
      <c r="AY78" s="30">
        <f t="shared" si="26"/>
        <v>0</v>
      </c>
      <c r="AZ78" s="30">
        <f t="shared" si="26"/>
        <v>0</v>
      </c>
      <c r="BA78" s="30">
        <f t="shared" si="26"/>
        <v>0</v>
      </c>
      <c r="BB78" s="30">
        <f t="shared" si="26"/>
        <v>0</v>
      </c>
      <c r="BC78" s="30">
        <f t="shared" si="26"/>
        <v>0</v>
      </c>
      <c r="BD78" s="30">
        <f t="shared" si="26"/>
        <v>1</v>
      </c>
      <c r="BE78" s="30">
        <f t="shared" si="26"/>
        <v>0</v>
      </c>
      <c r="BF78" s="30">
        <f t="shared" si="26"/>
        <v>0</v>
      </c>
      <c r="BG78" s="30">
        <f t="shared" si="26"/>
        <v>0</v>
      </c>
      <c r="BH78" s="30">
        <f t="shared" si="26"/>
        <v>0</v>
      </c>
      <c r="BI78" s="30">
        <f t="shared" si="26"/>
        <v>0</v>
      </c>
      <c r="BJ78" s="30">
        <f t="shared" si="26"/>
        <v>0</v>
      </c>
      <c r="BK78" s="257" t="str">
        <f t="shared" si="15"/>
        <v>TOTAL</v>
      </c>
      <c r="BL78" s="257"/>
      <c r="BM78" s="63"/>
      <c r="BN78" s="48">
        <f>IF(BN66=0,0,BN66/BM66)</f>
        <v>0.33333333333333331</v>
      </c>
      <c r="BO78" s="48">
        <f t="shared" si="20"/>
        <v>0.33333333333333331</v>
      </c>
      <c r="BP78" s="48">
        <f t="shared" si="20"/>
        <v>0.5</v>
      </c>
      <c r="BQ78" s="48">
        <f>IF(BQ66=0,0,BQ66/BM66)</f>
        <v>0.33333333333333331</v>
      </c>
      <c r="BR78" s="95"/>
      <c r="BS78" s="60"/>
      <c r="BT78" s="61"/>
      <c r="BU78" s="61"/>
      <c r="BV78" s="82"/>
      <c r="BW78" s="82"/>
      <c r="BX78" s="82"/>
      <c r="BY78" s="83"/>
    </row>
    <row r="79" spans="1:77" ht="54.95" customHeight="1">
      <c r="A79" s="24"/>
      <c r="B79" s="24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257" t="str">
        <f>BK68</f>
        <v>7:00 à 7:30</v>
      </c>
      <c r="BL79" s="257"/>
      <c r="BM79" s="39">
        <f>IF($BM$62=MAX($BM$62:$BM$67),BM73,IF($BM$64=MAX($BM$62:$BM$67),BM76,IF($BM$65=MAX($BM$62:$BM$67),BM77,IF($BM$66=MAX($BM$62:$BM$67),(BM77),BM78))))</f>
        <v>0</v>
      </c>
      <c r="BN79" s="51">
        <f>BN68/$BM$68</f>
        <v>0.44444444444444442</v>
      </c>
      <c r="BO79" s="51">
        <f>BO68/$BM$68</f>
        <v>0.1111111111111111</v>
      </c>
      <c r="BP79" s="51">
        <f>BP68/$BM$68</f>
        <v>0.1111111111111111</v>
      </c>
      <c r="BQ79" s="51">
        <f>BQ68/$BM$68</f>
        <v>0.1111111111111111</v>
      </c>
      <c r="BR79" s="96"/>
      <c r="BS79" s="60"/>
      <c r="BT79" s="61"/>
      <c r="BU79" s="61"/>
      <c r="BV79" s="82"/>
      <c r="BW79" s="82"/>
      <c r="BX79" s="82"/>
      <c r="BY79" s="83"/>
    </row>
    <row r="80" spans="1:77" ht="23.25">
      <c r="A80" s="24"/>
      <c r="B80" s="24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5"/>
      <c r="BS80" s="61"/>
      <c r="BT80" s="61"/>
      <c r="BU80" s="61"/>
      <c r="BV80" s="82"/>
      <c r="BW80" s="82"/>
      <c r="BX80" s="82"/>
      <c r="BY80" s="82"/>
    </row>
    <row r="85" ht="24.95" customHeight="1"/>
    <row r="86" ht="24.95" customHeight="1"/>
    <row r="87" ht="24.95" customHeight="1"/>
    <row r="88" ht="24.95" customHeight="1"/>
    <row r="89" ht="24.95" customHeight="1"/>
    <row r="90" ht="24.95" customHeight="1"/>
    <row r="91" ht="24.95" customHeight="1"/>
  </sheetData>
  <mergeCells count="235">
    <mergeCell ref="C9:V9"/>
    <mergeCell ref="W9:AP9"/>
    <mergeCell ref="AQ9:BJ9"/>
    <mergeCell ref="C10:F10"/>
    <mergeCell ref="G10:J10"/>
    <mergeCell ref="K10:N10"/>
    <mergeCell ref="O10:R10"/>
    <mergeCell ref="S10:V10"/>
    <mergeCell ref="W10:Z10"/>
    <mergeCell ref="AA10:AD10"/>
    <mergeCell ref="BC10:BF10"/>
    <mergeCell ref="BG10:BJ10"/>
    <mergeCell ref="AI10:AL10"/>
    <mergeCell ref="AM10:AP10"/>
    <mergeCell ref="AQ10:AT10"/>
    <mergeCell ref="AU10:AX10"/>
    <mergeCell ref="AY10:BB10"/>
    <mergeCell ref="C11:D11"/>
    <mergeCell ref="E11:F11"/>
    <mergeCell ref="G11:H11"/>
    <mergeCell ref="I11:J11"/>
    <mergeCell ref="K11:L11"/>
    <mergeCell ref="M11:N11"/>
    <mergeCell ref="O11:P11"/>
    <mergeCell ref="Q11:R11"/>
    <mergeCell ref="AE10:AH10"/>
    <mergeCell ref="AC11:AD11"/>
    <mergeCell ref="BC11:BD11"/>
    <mergeCell ref="BE11:BF11"/>
    <mergeCell ref="BG11:BH11"/>
    <mergeCell ref="BI11:BJ11"/>
    <mergeCell ref="C34:V34"/>
    <mergeCell ref="W34:AP34"/>
    <mergeCell ref="AQ34:BJ34"/>
    <mergeCell ref="AQ11:AR11"/>
    <mergeCell ref="AS11:AT11"/>
    <mergeCell ref="AU11:AV11"/>
    <mergeCell ref="AW11:AX11"/>
    <mergeCell ref="AY11:AZ11"/>
    <mergeCell ref="BA11:BB11"/>
    <mergeCell ref="AE11:AF11"/>
    <mergeCell ref="AG11:AH11"/>
    <mergeCell ref="AI11:AJ11"/>
    <mergeCell ref="AK11:AL11"/>
    <mergeCell ref="AM11:AN11"/>
    <mergeCell ref="AO11:AP11"/>
    <mergeCell ref="S11:T11"/>
    <mergeCell ref="U11:V11"/>
    <mergeCell ref="W11:X11"/>
    <mergeCell ref="Y11:Z11"/>
    <mergeCell ref="AA11:AB11"/>
    <mergeCell ref="Y36:Z36"/>
    <mergeCell ref="AA36:AB36"/>
    <mergeCell ref="AY35:BB35"/>
    <mergeCell ref="BC35:BF35"/>
    <mergeCell ref="BG35:BJ35"/>
    <mergeCell ref="C36:D36"/>
    <mergeCell ref="E36:F36"/>
    <mergeCell ref="G36:H36"/>
    <mergeCell ref="I36:J36"/>
    <mergeCell ref="K36:L36"/>
    <mergeCell ref="M36:N36"/>
    <mergeCell ref="O36:P36"/>
    <mergeCell ref="AA35:AD35"/>
    <mergeCell ref="AE35:AH35"/>
    <mergeCell ref="AI35:AL35"/>
    <mergeCell ref="AM35:AP35"/>
    <mergeCell ref="AQ35:AT35"/>
    <mergeCell ref="AU35:AX35"/>
    <mergeCell ref="C35:F35"/>
    <mergeCell ref="G35:J35"/>
    <mergeCell ref="K35:N35"/>
    <mergeCell ref="O35:R35"/>
    <mergeCell ref="S35:V35"/>
    <mergeCell ref="W35:Z35"/>
    <mergeCell ref="BA36:BB36"/>
    <mergeCell ref="BC36:BD36"/>
    <mergeCell ref="BE36:BF36"/>
    <mergeCell ref="BG36:BH36"/>
    <mergeCell ref="BI36:BJ36"/>
    <mergeCell ref="C58:V58"/>
    <mergeCell ref="W58:AP58"/>
    <mergeCell ref="AQ58:BJ58"/>
    <mergeCell ref="AO36:AP36"/>
    <mergeCell ref="AQ36:AR36"/>
    <mergeCell ref="AS36:AT36"/>
    <mergeCell ref="AU36:AV36"/>
    <mergeCell ref="AW36:AX36"/>
    <mergeCell ref="AY36:AZ36"/>
    <mergeCell ref="AC36:AD36"/>
    <mergeCell ref="AE36:AF36"/>
    <mergeCell ref="AG36:AH36"/>
    <mergeCell ref="AI36:AJ36"/>
    <mergeCell ref="AK36:AL36"/>
    <mergeCell ref="AM36:AN36"/>
    <mergeCell ref="Q36:R36"/>
    <mergeCell ref="S36:T36"/>
    <mergeCell ref="U36:V36"/>
    <mergeCell ref="W36:X36"/>
    <mergeCell ref="AY59:BB59"/>
    <mergeCell ref="BC59:BF59"/>
    <mergeCell ref="BG59:BJ59"/>
    <mergeCell ref="BS58:BY61"/>
    <mergeCell ref="C59:F59"/>
    <mergeCell ref="G59:J59"/>
    <mergeCell ref="K59:N59"/>
    <mergeCell ref="O59:R59"/>
    <mergeCell ref="S59:V59"/>
    <mergeCell ref="W59:Z59"/>
    <mergeCell ref="AA59:AD59"/>
    <mergeCell ref="AE59:AH59"/>
    <mergeCell ref="AI59:AL59"/>
    <mergeCell ref="BM58:BM61"/>
    <mergeCell ref="BN58:BN61"/>
    <mergeCell ref="BO58:BO61"/>
    <mergeCell ref="BP58:BP61"/>
    <mergeCell ref="BQ58:BQ61"/>
    <mergeCell ref="BR58:BR61"/>
    <mergeCell ref="C60:D60"/>
    <mergeCell ref="E60:F60"/>
    <mergeCell ref="G60:H60"/>
    <mergeCell ref="I60:J60"/>
    <mergeCell ref="K60:L60"/>
    <mergeCell ref="M60:N60"/>
    <mergeCell ref="AM59:AP59"/>
    <mergeCell ref="AQ59:AT59"/>
    <mergeCell ref="AU59:AX59"/>
    <mergeCell ref="AA60:AB60"/>
    <mergeCell ref="AC60:AD60"/>
    <mergeCell ref="AE60:AF60"/>
    <mergeCell ref="AG60:AH60"/>
    <mergeCell ref="AI60:AJ60"/>
    <mergeCell ref="AK60:AL60"/>
    <mergeCell ref="O60:P60"/>
    <mergeCell ref="Q60:R60"/>
    <mergeCell ref="S60:T60"/>
    <mergeCell ref="U60:V60"/>
    <mergeCell ref="W60:X60"/>
    <mergeCell ref="Y60:Z60"/>
    <mergeCell ref="AY60:AZ60"/>
    <mergeCell ref="BA60:BB60"/>
    <mergeCell ref="BC60:BD60"/>
    <mergeCell ref="BE60:BF60"/>
    <mergeCell ref="BG60:BH60"/>
    <mergeCell ref="BI60:BJ60"/>
    <mergeCell ref="AM60:AN60"/>
    <mergeCell ref="AO60:AP60"/>
    <mergeCell ref="AQ60:AR60"/>
    <mergeCell ref="AS60:AT60"/>
    <mergeCell ref="AU60:AV60"/>
    <mergeCell ref="AW60:AX60"/>
    <mergeCell ref="A64:B64"/>
    <mergeCell ref="BK64:BL64"/>
    <mergeCell ref="A65:B65"/>
    <mergeCell ref="BK65:BL65"/>
    <mergeCell ref="A66:B66"/>
    <mergeCell ref="BK66:BL66"/>
    <mergeCell ref="A61:B61"/>
    <mergeCell ref="BK61:BL61"/>
    <mergeCell ref="A62:B62"/>
    <mergeCell ref="BK62:BL62"/>
    <mergeCell ref="A63:B63"/>
    <mergeCell ref="BK63:BL63"/>
    <mergeCell ref="BM69:BM72"/>
    <mergeCell ref="BN69:BN72"/>
    <mergeCell ref="BO69:BO72"/>
    <mergeCell ref="BP69:BP72"/>
    <mergeCell ref="BQ69:BQ72"/>
    <mergeCell ref="BS69:BY72"/>
    <mergeCell ref="A67:B67"/>
    <mergeCell ref="BK67:BL67"/>
    <mergeCell ref="BK68:BL68"/>
    <mergeCell ref="C69:V69"/>
    <mergeCell ref="W69:AP69"/>
    <mergeCell ref="AQ69:BJ69"/>
    <mergeCell ref="AY70:BB70"/>
    <mergeCell ref="BC70:BF70"/>
    <mergeCell ref="BG70:BJ70"/>
    <mergeCell ref="C71:D71"/>
    <mergeCell ref="E71:F71"/>
    <mergeCell ref="G71:H71"/>
    <mergeCell ref="I71:J71"/>
    <mergeCell ref="K71:L71"/>
    <mergeCell ref="M71:N71"/>
    <mergeCell ref="O71:P71"/>
    <mergeCell ref="AA70:AD70"/>
    <mergeCell ref="AE70:AH70"/>
    <mergeCell ref="AI70:AL70"/>
    <mergeCell ref="AM70:AP70"/>
    <mergeCell ref="AQ70:AT70"/>
    <mergeCell ref="AU70:AX70"/>
    <mergeCell ref="C70:F70"/>
    <mergeCell ref="G70:J70"/>
    <mergeCell ref="K70:N70"/>
    <mergeCell ref="O70:R70"/>
    <mergeCell ref="S70:V70"/>
    <mergeCell ref="W70:Z70"/>
    <mergeCell ref="BA71:BB71"/>
    <mergeCell ref="BC71:BD71"/>
    <mergeCell ref="BE71:BF71"/>
    <mergeCell ref="BG71:BH71"/>
    <mergeCell ref="BI71:BJ71"/>
    <mergeCell ref="A72:B72"/>
    <mergeCell ref="AO71:AP71"/>
    <mergeCell ref="AQ71:AR71"/>
    <mergeCell ref="AS71:AT71"/>
    <mergeCell ref="AU71:AV71"/>
    <mergeCell ref="AW71:AX71"/>
    <mergeCell ref="AY71:AZ71"/>
    <mergeCell ref="AC71:AD71"/>
    <mergeCell ref="AE71:AF71"/>
    <mergeCell ref="AG71:AH71"/>
    <mergeCell ref="AI71:AJ71"/>
    <mergeCell ref="AK71:AL71"/>
    <mergeCell ref="AM71:AN71"/>
    <mergeCell ref="Q71:R71"/>
    <mergeCell ref="S71:T71"/>
    <mergeCell ref="U71:V71"/>
    <mergeCell ref="W71:X71"/>
    <mergeCell ref="Y71:Z71"/>
    <mergeCell ref="AA71:AB71"/>
    <mergeCell ref="BK79:BL79"/>
    <mergeCell ref="A76:B76"/>
    <mergeCell ref="BK76:BL76"/>
    <mergeCell ref="A77:B77"/>
    <mergeCell ref="BK77:BL77"/>
    <mergeCell ref="A78:B78"/>
    <mergeCell ref="BK78:BL78"/>
    <mergeCell ref="BK72:BL72"/>
    <mergeCell ref="A73:B73"/>
    <mergeCell ref="BK73:BL73"/>
    <mergeCell ref="A74:B74"/>
    <mergeCell ref="BK74:BL74"/>
    <mergeCell ref="A75:B75"/>
    <mergeCell ref="BK75:BL75"/>
  </mergeCells>
  <pageMargins left="0.31535433070866142" right="0.31535433070866142" top="0.74803149606299202" bottom="0.74803149606299202" header="0.55157480314960616" footer="0.55157480314960616"/>
  <pageSetup paperSize="9" scale="30" fitToWidth="0" fitToHeight="0" orientation="landscape" r:id="rId1"/>
  <headerFooter alignWithMargins="0"/>
  <rowBreaks count="1" manualBreakCount="1">
    <brk id="25" max="61" man="1"/>
  </rowBreaks>
  <colBreaks count="1" manualBreakCount="1">
    <brk id="62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CFCB-768B-4BB1-BE17-3E05B72908C5}">
  <dimension ref="A1:AMH43"/>
  <sheetViews>
    <sheetView zoomScale="50" zoomScaleNormal="50" workbookViewId="0">
      <selection activeCell="C1" sqref="C1"/>
    </sheetView>
  </sheetViews>
  <sheetFormatPr baseColWidth="10" defaultRowHeight="14.25"/>
  <cols>
    <col min="1" max="1" width="6.5" style="6" customWidth="1"/>
    <col min="2" max="2" width="11.125" style="6" customWidth="1"/>
    <col min="3" max="18" width="15.625" style="6" customWidth="1"/>
    <col min="19" max="1021" width="11.125" style="6" customWidth="1"/>
    <col min="1022" max="1022" width="11" style="6" customWidth="1"/>
  </cols>
  <sheetData>
    <row r="1" spans="1:1022" ht="42" customHeight="1">
      <c r="A1" s="1"/>
      <c r="B1" s="2" t="s">
        <v>195</v>
      </c>
      <c r="C1" s="3"/>
      <c r="D1" s="3"/>
      <c r="E1" s="3"/>
      <c r="F1" s="4"/>
      <c r="G1" s="1" t="s">
        <v>2</v>
      </c>
      <c r="H1" s="206" t="s">
        <v>192</v>
      </c>
      <c r="I1" s="3"/>
      <c r="J1" s="3"/>
      <c r="K1" s="4"/>
      <c r="L1" s="4"/>
      <c r="M1" s="9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  <c r="AD1" s="4"/>
      <c r="AE1" s="3"/>
      <c r="AF1" s="3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9"/>
      <c r="AMG1" s="9"/>
      <c r="AMH1" s="9"/>
    </row>
    <row r="2" spans="1:1022" ht="30" customHeight="1">
      <c r="A2" s="1" t="s">
        <v>3</v>
      </c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9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3"/>
      <c r="AE2" s="3"/>
      <c r="AF2" s="3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9"/>
      <c r="AMG2" s="9"/>
      <c r="AMH2" s="9"/>
    </row>
    <row r="3" spans="1:1022" ht="20.25" customHeight="1">
      <c r="A3" s="1" t="s">
        <v>4</v>
      </c>
      <c r="B3" s="3"/>
      <c r="C3" s="3"/>
      <c r="D3" s="3"/>
      <c r="E3" s="3"/>
      <c r="F3" s="3"/>
      <c r="G3" s="7" t="s">
        <v>5</v>
      </c>
      <c r="H3" s="3"/>
      <c r="I3" s="3"/>
      <c r="J3" s="3"/>
      <c r="K3" s="3"/>
      <c r="L3" s="3"/>
      <c r="M3" s="3"/>
      <c r="N3" s="9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9"/>
      <c r="AMG3" s="9"/>
      <c r="AMH3" s="9"/>
    </row>
    <row r="4" spans="1:1022" s="9" customFormat="1" ht="4.5" customHeight="1"/>
    <row r="5" spans="1:1022" ht="25.5" customHeight="1">
      <c r="A5" s="167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4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9"/>
    </row>
    <row r="6" spans="1:1022" ht="30">
      <c r="A6" s="14"/>
      <c r="B6" s="10"/>
      <c r="C6" s="264" t="s">
        <v>176</v>
      </c>
      <c r="D6" s="264"/>
      <c r="E6" s="264"/>
      <c r="F6" s="264"/>
      <c r="G6" s="264"/>
      <c r="H6" s="264"/>
      <c r="I6" s="264"/>
      <c r="J6" s="264"/>
      <c r="K6" s="264" t="s">
        <v>177</v>
      </c>
      <c r="L6" s="264"/>
      <c r="M6" s="264"/>
      <c r="N6" s="264"/>
      <c r="O6" s="264"/>
      <c r="P6" s="264"/>
      <c r="Q6" s="264"/>
      <c r="R6" s="264"/>
    </row>
    <row r="7" spans="1:1022" ht="18.75" customHeight="1">
      <c r="A7" s="14"/>
      <c r="B7" s="10"/>
      <c r="C7" s="259" t="s">
        <v>178</v>
      </c>
      <c r="D7" s="259"/>
      <c r="E7" s="259"/>
      <c r="F7" s="259"/>
      <c r="G7" s="259" t="s">
        <v>179</v>
      </c>
      <c r="H7" s="259"/>
      <c r="I7" s="259"/>
      <c r="J7" s="259"/>
      <c r="K7" s="259" t="s">
        <v>178</v>
      </c>
      <c r="L7" s="259"/>
      <c r="M7" s="259"/>
      <c r="N7" s="259"/>
      <c r="O7" s="259" t="s">
        <v>179</v>
      </c>
      <c r="P7" s="259"/>
      <c r="Q7" s="259"/>
      <c r="R7" s="259"/>
    </row>
    <row r="8" spans="1:1022" ht="20.25">
      <c r="A8" s="14"/>
      <c r="B8" s="10"/>
      <c r="C8" s="258" t="s">
        <v>14</v>
      </c>
      <c r="D8" s="258"/>
      <c r="E8" s="258" t="s">
        <v>15</v>
      </c>
      <c r="F8" s="258"/>
      <c r="G8" s="258" t="s">
        <v>14</v>
      </c>
      <c r="H8" s="258"/>
      <c r="I8" s="258" t="s">
        <v>15</v>
      </c>
      <c r="J8" s="258"/>
      <c r="K8" s="258" t="s">
        <v>14</v>
      </c>
      <c r="L8" s="258"/>
      <c r="M8" s="258" t="s">
        <v>15</v>
      </c>
      <c r="N8" s="258"/>
      <c r="O8" s="258" t="s">
        <v>14</v>
      </c>
      <c r="P8" s="258"/>
      <c r="Q8" s="258" t="s">
        <v>15</v>
      </c>
      <c r="R8" s="258"/>
    </row>
    <row r="9" spans="1:1022" ht="20.25">
      <c r="A9" s="191" t="s">
        <v>14</v>
      </c>
      <c r="B9" s="191" t="s">
        <v>17</v>
      </c>
      <c r="C9" s="22" t="s">
        <v>18</v>
      </c>
      <c r="D9" s="22" t="s">
        <v>19</v>
      </c>
      <c r="E9" s="22" t="s">
        <v>18</v>
      </c>
      <c r="F9" s="22" t="s">
        <v>19</v>
      </c>
      <c r="G9" s="22" t="s">
        <v>18</v>
      </c>
      <c r="H9" s="22" t="s">
        <v>19</v>
      </c>
      <c r="I9" s="22" t="s">
        <v>18</v>
      </c>
      <c r="J9" s="22" t="s">
        <v>19</v>
      </c>
      <c r="K9" s="22" t="s">
        <v>18</v>
      </c>
      <c r="L9" s="22" t="s">
        <v>19</v>
      </c>
      <c r="M9" s="22" t="s">
        <v>18</v>
      </c>
      <c r="N9" s="22" t="s">
        <v>19</v>
      </c>
      <c r="O9" s="22" t="s">
        <v>18</v>
      </c>
      <c r="P9" s="22" t="s">
        <v>19</v>
      </c>
      <c r="Q9" s="22" t="s">
        <v>18</v>
      </c>
      <c r="R9" s="22" t="s">
        <v>19</v>
      </c>
    </row>
    <row r="10" spans="1:1022" ht="45" customHeight="1">
      <c r="A10" s="25">
        <v>6</v>
      </c>
      <c r="B10" s="191" t="s">
        <v>20</v>
      </c>
      <c r="C10" s="26"/>
      <c r="D10" s="26"/>
      <c r="E10" s="26"/>
      <c r="F10" s="26"/>
      <c r="G10" s="26">
        <v>1</v>
      </c>
      <c r="H10" s="26">
        <v>2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022" ht="47.1" customHeight="1">
      <c r="A11" s="191"/>
      <c r="B11" s="191" t="s">
        <v>21</v>
      </c>
      <c r="C11" s="26"/>
      <c r="D11" s="26"/>
      <c r="E11" s="26"/>
      <c r="F11" s="26"/>
      <c r="G11" s="26"/>
      <c r="H11" s="26">
        <v>2</v>
      </c>
      <c r="I11" s="26"/>
      <c r="J11" s="26"/>
      <c r="K11" s="26"/>
      <c r="L11" s="26"/>
      <c r="M11" s="26"/>
      <c r="N11" s="26"/>
      <c r="O11" s="26"/>
      <c r="P11" s="26">
        <v>1</v>
      </c>
      <c r="Q11" s="26"/>
      <c r="R11" s="26"/>
    </row>
    <row r="12" spans="1:1022" ht="47.1" customHeight="1">
      <c r="A12" s="25">
        <v>7</v>
      </c>
      <c r="B12" s="191" t="s">
        <v>22</v>
      </c>
      <c r="C12" s="26"/>
      <c r="D12" s="26">
        <v>1</v>
      </c>
      <c r="E12" s="26"/>
      <c r="F12" s="26"/>
      <c r="G12" s="26"/>
      <c r="H12" s="26">
        <v>1</v>
      </c>
      <c r="I12" s="26"/>
      <c r="J12" s="26"/>
      <c r="K12" s="26"/>
      <c r="L12" s="26"/>
      <c r="M12" s="26"/>
      <c r="N12" s="26"/>
      <c r="O12" s="26"/>
      <c r="P12" s="26">
        <v>1</v>
      </c>
      <c r="Q12" s="26">
        <v>1</v>
      </c>
      <c r="R12" s="26"/>
    </row>
    <row r="13" spans="1:1022" ht="47.1" customHeight="1">
      <c r="A13" s="191"/>
      <c r="B13" s="191" t="s">
        <v>23</v>
      </c>
      <c r="C13" s="26"/>
      <c r="D13" s="26">
        <v>1</v>
      </c>
      <c r="E13" s="26"/>
      <c r="F13" s="26"/>
      <c r="G13" s="26"/>
      <c r="H13" s="26">
        <v>1</v>
      </c>
      <c r="I13" s="26"/>
      <c r="J13" s="26"/>
      <c r="K13" s="26"/>
      <c r="L13" s="26">
        <v>1</v>
      </c>
      <c r="M13" s="26"/>
      <c r="N13" s="26"/>
      <c r="O13" s="26"/>
      <c r="P13" s="26"/>
      <c r="Q13" s="26"/>
      <c r="R13" s="26"/>
    </row>
    <row r="14" spans="1:1022" ht="47.1" customHeight="1">
      <c r="A14" s="191"/>
      <c r="B14" s="191" t="s">
        <v>20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1:1022" ht="47.1" customHeight="1">
      <c r="A15" s="191"/>
      <c r="B15" s="191" t="s">
        <v>24</v>
      </c>
      <c r="C15" s="26"/>
      <c r="D15" s="26"/>
      <c r="E15" s="26"/>
      <c r="F15" s="26">
        <v>1</v>
      </c>
      <c r="G15" s="26"/>
      <c r="H15" s="26"/>
      <c r="I15" s="26"/>
      <c r="J15" s="26"/>
      <c r="K15" s="26"/>
      <c r="L15" s="26"/>
      <c r="M15" s="26"/>
      <c r="N15" s="26"/>
      <c r="O15" s="26"/>
      <c r="P15" s="26">
        <v>1</v>
      </c>
      <c r="Q15" s="26"/>
      <c r="R15" s="26"/>
    </row>
    <row r="16" spans="1:1022" ht="47.1" customHeight="1">
      <c r="A16" s="25">
        <v>8</v>
      </c>
      <c r="B16" s="191" t="s">
        <v>22</v>
      </c>
      <c r="C16" s="26"/>
      <c r="D16" s="26"/>
      <c r="E16" s="26"/>
      <c r="F16" s="26"/>
      <c r="G16" s="26"/>
      <c r="H16" s="26">
        <v>1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22" ht="47.1" customHeight="1">
      <c r="A17" s="191"/>
      <c r="B17" s="191" t="s">
        <v>23</v>
      </c>
      <c r="C17" s="26"/>
      <c r="D17" s="26"/>
      <c r="E17" s="26"/>
      <c r="F17" s="26">
        <v>1</v>
      </c>
      <c r="G17" s="26"/>
      <c r="H17" s="26">
        <v>1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22" ht="47.1" customHeight="1">
      <c r="A18" s="191"/>
      <c r="B18" s="191" t="s">
        <v>20</v>
      </c>
      <c r="C18" s="26"/>
      <c r="D18" s="26"/>
      <c r="E18" s="26"/>
      <c r="F18" s="26"/>
      <c r="G18" s="26"/>
      <c r="H18" s="26"/>
      <c r="I18" s="26"/>
      <c r="J18" s="26">
        <v>1</v>
      </c>
      <c r="K18" s="26"/>
      <c r="L18" s="26"/>
      <c r="M18" s="26"/>
      <c r="N18" s="26"/>
      <c r="O18" s="26"/>
      <c r="P18" s="26"/>
      <c r="Q18" s="26"/>
      <c r="R18" s="26"/>
    </row>
    <row r="19" spans="1:22" ht="47.1" customHeight="1">
      <c r="A19" s="78">
        <v>9</v>
      </c>
      <c r="B19" s="191" t="s">
        <v>24</v>
      </c>
      <c r="C19" s="26"/>
      <c r="D19" s="26">
        <v>2</v>
      </c>
      <c r="E19" s="26"/>
      <c r="F19" s="26">
        <v>1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22" ht="12" customHeight="1">
      <c r="A20" s="23"/>
      <c r="B20" s="23"/>
      <c r="C20" s="28"/>
      <c r="D20" s="28"/>
      <c r="E20" s="28"/>
      <c r="F20" s="28"/>
      <c r="G20" s="28"/>
      <c r="H20" s="28"/>
      <c r="I20" s="28"/>
      <c r="J20" s="28"/>
    </row>
    <row r="21" spans="1:22" ht="20.25">
      <c r="A21" s="57"/>
      <c r="B21" s="3"/>
      <c r="C21" s="3"/>
      <c r="D21" s="3"/>
      <c r="E21" s="3"/>
      <c r="F21" s="3"/>
      <c r="G21" s="3"/>
      <c r="H21" s="3"/>
      <c r="I21" s="3"/>
      <c r="J21" s="3"/>
    </row>
    <row r="22" spans="1:22" ht="30">
      <c r="A22" s="14"/>
      <c r="B22" s="10"/>
      <c r="C22" s="264"/>
      <c r="D22" s="264"/>
      <c r="E22" s="264"/>
      <c r="F22" s="264"/>
      <c r="G22" s="264"/>
      <c r="H22" s="264"/>
      <c r="I22" s="264"/>
      <c r="J22" s="264"/>
      <c r="K22" s="268" t="s">
        <v>29</v>
      </c>
      <c r="L22" s="267" t="s">
        <v>30</v>
      </c>
      <c r="M22" s="262" t="s">
        <v>31</v>
      </c>
      <c r="N22" s="262" t="s">
        <v>32</v>
      </c>
      <c r="O22" s="263" t="s">
        <v>98</v>
      </c>
      <c r="P22" s="254" t="s">
        <v>56</v>
      </c>
      <c r="Q22" s="254"/>
      <c r="R22" s="254"/>
      <c r="S22" s="254"/>
      <c r="T22" s="254"/>
      <c r="U22" s="254"/>
      <c r="V22" s="254"/>
    </row>
    <row r="23" spans="1:22" ht="23.25">
      <c r="A23" s="14"/>
      <c r="B23" s="10"/>
      <c r="C23" s="259"/>
      <c r="D23" s="259"/>
      <c r="E23" s="259"/>
      <c r="F23" s="259"/>
      <c r="G23" s="259"/>
      <c r="H23" s="259"/>
      <c r="I23" s="259"/>
      <c r="J23" s="259"/>
      <c r="K23" s="268"/>
      <c r="L23" s="267"/>
      <c r="M23" s="262"/>
      <c r="N23" s="262"/>
      <c r="O23" s="263"/>
      <c r="P23" s="254"/>
      <c r="Q23" s="254"/>
      <c r="R23" s="254"/>
      <c r="S23" s="254"/>
      <c r="T23" s="254"/>
      <c r="U23" s="254"/>
      <c r="V23" s="254"/>
    </row>
    <row r="24" spans="1:22" ht="20.25">
      <c r="A24" s="14"/>
      <c r="B24" s="10"/>
      <c r="C24" s="258" t="s">
        <v>14</v>
      </c>
      <c r="D24" s="258"/>
      <c r="E24" s="258" t="s">
        <v>15</v>
      </c>
      <c r="F24" s="258"/>
      <c r="G24" s="258" t="s">
        <v>14</v>
      </c>
      <c r="H24" s="258"/>
      <c r="I24" s="258" t="s">
        <v>15</v>
      </c>
      <c r="J24" s="258"/>
      <c r="K24" s="268"/>
      <c r="L24" s="267"/>
      <c r="M24" s="262"/>
      <c r="N24" s="262"/>
      <c r="O24" s="263"/>
      <c r="P24" s="254"/>
      <c r="Q24" s="254"/>
      <c r="R24" s="254"/>
      <c r="S24" s="254"/>
      <c r="T24" s="254"/>
      <c r="U24" s="254"/>
      <c r="V24" s="254"/>
    </row>
    <row r="25" spans="1:22" ht="21" customHeight="1">
      <c r="A25" s="257" t="s">
        <v>34</v>
      </c>
      <c r="B25" s="257"/>
      <c r="C25" s="22" t="s">
        <v>18</v>
      </c>
      <c r="D25" s="22" t="s">
        <v>19</v>
      </c>
      <c r="E25" s="22" t="s">
        <v>18</v>
      </c>
      <c r="F25" s="22" t="s">
        <v>19</v>
      </c>
      <c r="G25" s="22" t="s">
        <v>18</v>
      </c>
      <c r="H25" s="22" t="s">
        <v>19</v>
      </c>
      <c r="I25" s="22" t="s">
        <v>18</v>
      </c>
      <c r="J25" s="22" t="s">
        <v>19</v>
      </c>
      <c r="K25" s="268"/>
      <c r="L25" s="267"/>
      <c r="M25" s="262"/>
      <c r="N25" s="262"/>
      <c r="O25" s="263"/>
      <c r="P25" s="254"/>
      <c r="Q25" s="254"/>
      <c r="R25" s="254"/>
      <c r="S25" s="254"/>
      <c r="T25" s="254"/>
      <c r="U25" s="254"/>
      <c r="V25" s="254"/>
    </row>
    <row r="26" spans="1:22" ht="35.1" customHeight="1">
      <c r="A26" s="257" t="s">
        <v>35</v>
      </c>
      <c r="B26" s="257"/>
      <c r="C26" s="26">
        <f>SUM(C10:C11)+SUM(K10:K11)</f>
        <v>0</v>
      </c>
      <c r="D26" s="26">
        <f t="shared" ref="D26:J26" si="0">SUM(D10:D11)+SUM(L10:L11)</f>
        <v>0</v>
      </c>
      <c r="E26" s="26">
        <f t="shared" si="0"/>
        <v>0</v>
      </c>
      <c r="F26" s="26">
        <f t="shared" si="0"/>
        <v>0</v>
      </c>
      <c r="G26" s="26">
        <f t="shared" si="0"/>
        <v>1</v>
      </c>
      <c r="H26" s="26">
        <f t="shared" si="0"/>
        <v>5</v>
      </c>
      <c r="I26" s="26">
        <f t="shared" si="0"/>
        <v>0</v>
      </c>
      <c r="J26" s="26">
        <f t="shared" si="0"/>
        <v>0</v>
      </c>
      <c r="K26" s="63">
        <f>SUM(C26:J26)</f>
        <v>6</v>
      </c>
      <c r="L26" s="41">
        <f>C26+E26+G26+I26</f>
        <v>1</v>
      </c>
      <c r="M26" s="41">
        <f>E26+F26+I26+J26</f>
        <v>0</v>
      </c>
      <c r="N26" s="41">
        <f>E26+I26</f>
        <v>0</v>
      </c>
      <c r="O26" s="41">
        <f>SUM(G26:J26)</f>
        <v>6</v>
      </c>
      <c r="P26" s="60"/>
      <c r="Q26" s="61"/>
      <c r="R26" s="61"/>
      <c r="S26" s="82"/>
      <c r="T26" s="82"/>
      <c r="U26" s="82"/>
      <c r="V26" s="83"/>
    </row>
    <row r="27" spans="1:22" s="6" customFormat="1" ht="35.1" customHeight="1">
      <c r="A27" s="257" t="s">
        <v>36</v>
      </c>
      <c r="B27" s="257"/>
      <c r="C27" s="26">
        <f>SUM(C12:C13)+SUM(K12:K13)</f>
        <v>0</v>
      </c>
      <c r="D27" s="26">
        <f t="shared" ref="D27:J27" si="1">SUM(D12:D13)+SUM(L12:L13)</f>
        <v>3</v>
      </c>
      <c r="E27" s="26">
        <f t="shared" si="1"/>
        <v>0</v>
      </c>
      <c r="F27" s="26">
        <f t="shared" si="1"/>
        <v>0</v>
      </c>
      <c r="G27" s="26">
        <f t="shared" si="1"/>
        <v>0</v>
      </c>
      <c r="H27" s="26">
        <f t="shared" si="1"/>
        <v>3</v>
      </c>
      <c r="I27" s="26">
        <f t="shared" si="1"/>
        <v>1</v>
      </c>
      <c r="J27" s="26">
        <f t="shared" si="1"/>
        <v>0</v>
      </c>
      <c r="K27" s="63">
        <f>SUM(C27:J27)</f>
        <v>7</v>
      </c>
      <c r="L27" s="41">
        <f>C27+E27+G27+I27</f>
        <v>1</v>
      </c>
      <c r="M27" s="41">
        <f>E27+F27+I27+J27</f>
        <v>1</v>
      </c>
      <c r="N27" s="41">
        <f>E27+I27</f>
        <v>1</v>
      </c>
      <c r="O27" s="41">
        <f>SUM(G27:J27)</f>
        <v>4</v>
      </c>
      <c r="P27" s="60"/>
      <c r="Q27" s="61"/>
      <c r="R27" s="61"/>
      <c r="S27" s="82"/>
      <c r="T27" s="82"/>
      <c r="U27" s="82"/>
      <c r="V27" s="83"/>
    </row>
    <row r="28" spans="1:22" s="6" customFormat="1" ht="35.1" customHeight="1">
      <c r="A28" s="257" t="s">
        <v>37</v>
      </c>
      <c r="B28" s="257"/>
      <c r="C28" s="26">
        <f>SUM(C14:C15)+SUM(K14:K15)</f>
        <v>0</v>
      </c>
      <c r="D28" s="26">
        <f t="shared" ref="D28:J28" si="2">SUM(D14:D15)+SUM(L14:L15)</f>
        <v>0</v>
      </c>
      <c r="E28" s="26">
        <f t="shared" si="2"/>
        <v>0</v>
      </c>
      <c r="F28" s="26">
        <f t="shared" si="2"/>
        <v>1</v>
      </c>
      <c r="G28" s="26">
        <f t="shared" si="2"/>
        <v>0</v>
      </c>
      <c r="H28" s="26">
        <f t="shared" si="2"/>
        <v>1</v>
      </c>
      <c r="I28" s="26">
        <f t="shared" si="2"/>
        <v>0</v>
      </c>
      <c r="J28" s="26">
        <f t="shared" si="2"/>
        <v>0</v>
      </c>
      <c r="K28" s="63">
        <f>SUM(C28:J28)</f>
        <v>2</v>
      </c>
      <c r="L28" s="41">
        <f>C28+E28+G28+I28</f>
        <v>0</v>
      </c>
      <c r="M28" s="41">
        <f>E28+F28+I28+J28</f>
        <v>1</v>
      </c>
      <c r="N28" s="41">
        <f>E28+I28</f>
        <v>0</v>
      </c>
      <c r="O28" s="41">
        <f>SUM(G28:J28)</f>
        <v>1</v>
      </c>
      <c r="P28" s="60"/>
      <c r="Q28" s="61"/>
      <c r="R28" s="61"/>
      <c r="S28" s="82"/>
      <c r="T28" s="82"/>
      <c r="U28" s="82"/>
      <c r="V28" s="83"/>
    </row>
    <row r="29" spans="1:22" s="6" customFormat="1" ht="35.1" customHeight="1">
      <c r="A29" s="257" t="s">
        <v>38</v>
      </c>
      <c r="B29" s="257"/>
      <c r="C29" s="26">
        <f>SUM(C16:C17)+SUM(K16:K17)</f>
        <v>0</v>
      </c>
      <c r="D29" s="26">
        <f t="shared" ref="D29:J29" si="3">SUM(D16:D17)+SUM(L16:L17)</f>
        <v>0</v>
      </c>
      <c r="E29" s="26">
        <f t="shared" si="3"/>
        <v>0</v>
      </c>
      <c r="F29" s="26">
        <f t="shared" si="3"/>
        <v>1</v>
      </c>
      <c r="G29" s="26">
        <f t="shared" si="3"/>
        <v>0</v>
      </c>
      <c r="H29" s="26">
        <f t="shared" si="3"/>
        <v>2</v>
      </c>
      <c r="I29" s="26">
        <f t="shared" si="3"/>
        <v>0</v>
      </c>
      <c r="J29" s="26">
        <f t="shared" si="3"/>
        <v>0</v>
      </c>
      <c r="K29" s="63">
        <f>SUM(C29:J29)</f>
        <v>3</v>
      </c>
      <c r="L29" s="41">
        <f>C29+E29+G29+I29</f>
        <v>0</v>
      </c>
      <c r="M29" s="41">
        <f>E29+F29+I29+J29</f>
        <v>1</v>
      </c>
      <c r="N29" s="41">
        <f>E29+I29</f>
        <v>0</v>
      </c>
      <c r="O29" s="41">
        <f>SUM(G29:J29)</f>
        <v>2</v>
      </c>
      <c r="P29" s="60"/>
      <c r="Q29" s="61"/>
      <c r="R29" s="61"/>
      <c r="S29" s="82"/>
      <c r="T29" s="82"/>
      <c r="U29" s="82"/>
      <c r="V29" s="83"/>
    </row>
    <row r="30" spans="1:22" s="6" customFormat="1" ht="35.1" customHeight="1">
      <c r="A30" s="257" t="s">
        <v>39</v>
      </c>
      <c r="B30" s="257"/>
      <c r="C30" s="26">
        <f>SUM(C18:C19)+SUM(K18:K19)</f>
        <v>0</v>
      </c>
      <c r="D30" s="26">
        <f t="shared" ref="D30:J30" si="4">SUM(D18:D19)+SUM(L18:L19)</f>
        <v>2</v>
      </c>
      <c r="E30" s="26">
        <f t="shared" si="4"/>
        <v>0</v>
      </c>
      <c r="F30" s="26">
        <f t="shared" si="4"/>
        <v>1</v>
      </c>
      <c r="G30" s="26">
        <f t="shared" si="4"/>
        <v>0</v>
      </c>
      <c r="H30" s="26">
        <f t="shared" si="4"/>
        <v>0</v>
      </c>
      <c r="I30" s="26">
        <f t="shared" si="4"/>
        <v>0</v>
      </c>
      <c r="J30" s="26">
        <f t="shared" si="4"/>
        <v>1</v>
      </c>
      <c r="K30" s="63">
        <f>SUM(C30:J30)</f>
        <v>4</v>
      </c>
      <c r="L30" s="41">
        <f>C30+E30+G30+I30</f>
        <v>0</v>
      </c>
      <c r="M30" s="41">
        <f>E30+F30+I30+J30</f>
        <v>2</v>
      </c>
      <c r="N30" s="41">
        <f>E30+I30</f>
        <v>0</v>
      </c>
      <c r="O30" s="41">
        <f>SUM(G30:J30)</f>
        <v>1</v>
      </c>
      <c r="P30" s="60"/>
      <c r="Q30" s="61"/>
      <c r="R30" s="61"/>
      <c r="S30" s="82"/>
      <c r="T30" s="82"/>
      <c r="U30" s="82"/>
      <c r="V30" s="83"/>
    </row>
    <row r="31" spans="1:22" s="6" customFormat="1" ht="35.1" customHeight="1">
      <c r="A31" s="257" t="s">
        <v>29</v>
      </c>
      <c r="B31" s="257"/>
      <c r="C31" s="30">
        <f>SUM(C26:C30)</f>
        <v>0</v>
      </c>
      <c r="D31" s="30">
        <f t="shared" ref="D31:J31" si="5">SUM(D26:D30)</f>
        <v>5</v>
      </c>
      <c r="E31" s="30">
        <f t="shared" si="5"/>
        <v>0</v>
      </c>
      <c r="F31" s="30">
        <f t="shared" si="5"/>
        <v>3</v>
      </c>
      <c r="G31" s="30">
        <f t="shared" si="5"/>
        <v>1</v>
      </c>
      <c r="H31" s="30">
        <f t="shared" si="5"/>
        <v>11</v>
      </c>
      <c r="I31" s="30">
        <f t="shared" si="5"/>
        <v>1</v>
      </c>
      <c r="J31" s="30">
        <f t="shared" si="5"/>
        <v>1</v>
      </c>
      <c r="K31" s="62">
        <f>SUM(K26:K30)</f>
        <v>22</v>
      </c>
      <c r="L31" s="43">
        <f>L30+L29+L28+L27+L26</f>
        <v>2</v>
      </c>
      <c r="M31" s="43">
        <f>M30+M29+M28+M27+M26</f>
        <v>5</v>
      </c>
      <c r="N31" s="43">
        <f>N30+N29+N28+N27+N26</f>
        <v>1</v>
      </c>
      <c r="O31" s="43">
        <f>O30+O28+O26</f>
        <v>8</v>
      </c>
      <c r="P31" s="60"/>
      <c r="Q31" s="61"/>
      <c r="R31" s="61"/>
      <c r="S31" s="82"/>
      <c r="T31" s="82"/>
      <c r="U31" s="82"/>
      <c r="V31" s="83"/>
    </row>
    <row r="32" spans="1:22" s="6" customFormat="1" ht="35.1" customHeight="1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192">
        <f>IF($K$30=MAX($K$26:$K$30),K30,IF($K$29=MAX($K$26:$K$30),K29,IF($K$28=MAX($K$26:$K$30),K28,IF($K$27=MAX($K$26:$K$30),K27,IF($K$26=MAX($K$26:$K$30),K26,K30)))))</f>
        <v>7</v>
      </c>
      <c r="L32" s="80">
        <f>IF($K$30=MAX($K$26:$K$30),L30,IF($K$29=MAX($K$26:$K$30),L29,IF($K$28=MAX($K$26:$K$30),L28,IF($K$27=MAX($K$26:$K$30),L27,IF($K$26=MAX($K$26:$K$30),L26,L30)))))</f>
        <v>1</v>
      </c>
      <c r="M32" s="80">
        <f>IF($K$30=MAX($K$26:$K$30),M30,IF($K$29=MAX($K$26:$K$30),M29,IF($K$28=MAX($K$26:$K$30),M28,IF($K$27=MAX($K$26:$K$30),M27,IF($K$26=MAX($K$26:$K$30),M26,M30)))))</f>
        <v>1</v>
      </c>
      <c r="N32" s="80">
        <f>IF($K$30=MAX($K$26:$K$30),N30,IF($K$29=MAX($K$26:$K$30),N29,IF($K$28=MAX($K$26:$K$30),N28,IF($K$27=MAX($K$26:$K$30),N27,IF($K$26=MAX($K$26:$K$30),N26,N30)))))</f>
        <v>1</v>
      </c>
      <c r="O32" s="80">
        <f>IF($K$30=MAX($K$26:$K$30),O30,IF($K$29=MAX($K$26:$K$30),O29,IF($K$28=MAX($K$26:$K$30),O28,IF($K$27=MAX($K$26:$K$30),O27,IF($K$26=MAX($K$26:$K$30),O26,O30)))))</f>
        <v>4</v>
      </c>
      <c r="P32" s="60"/>
      <c r="Q32" s="61"/>
      <c r="R32" s="61"/>
      <c r="S32" s="82"/>
      <c r="T32" s="82"/>
      <c r="U32" s="82"/>
      <c r="V32" s="83"/>
    </row>
    <row r="33" spans="1:22" s="6" customFormat="1" ht="24.95" customHeight="1">
      <c r="A33" s="46"/>
      <c r="B33" s="47"/>
      <c r="C33" s="47"/>
      <c r="D33" s="47"/>
      <c r="E33" s="47"/>
      <c r="F33" s="47"/>
      <c r="G33" s="47"/>
      <c r="H33" s="47"/>
      <c r="I33" s="47"/>
      <c r="J33" s="47"/>
      <c r="K33" s="268" t="s">
        <v>29</v>
      </c>
      <c r="L33" s="254" t="s">
        <v>40</v>
      </c>
      <c r="M33" s="254" t="s">
        <v>41</v>
      </c>
      <c r="N33" s="254" t="s">
        <v>42</v>
      </c>
      <c r="O33" s="254" t="str">
        <f>O22</f>
        <v>Cycles en direction de Bonneville</v>
      </c>
      <c r="P33" s="254" t="s">
        <v>56</v>
      </c>
      <c r="Q33" s="254"/>
      <c r="R33" s="254"/>
      <c r="S33" s="254"/>
      <c r="T33" s="254"/>
      <c r="U33" s="254"/>
      <c r="V33" s="254"/>
    </row>
    <row r="34" spans="1:22" s="6" customFormat="1" ht="24.95" customHeight="1">
      <c r="A34" s="46"/>
      <c r="B34" s="47"/>
      <c r="C34" s="47"/>
      <c r="D34" s="47"/>
      <c r="E34" s="47"/>
      <c r="F34" s="47"/>
      <c r="G34" s="47"/>
      <c r="H34" s="47"/>
      <c r="I34" s="47"/>
      <c r="J34" s="47"/>
      <c r="K34" s="268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</row>
    <row r="35" spans="1:22" s="6" customFormat="1" ht="24.95" customHeight="1">
      <c r="A35" s="46"/>
      <c r="B35" s="47"/>
      <c r="C35" s="47"/>
      <c r="D35" s="47"/>
      <c r="E35" s="47"/>
      <c r="F35" s="47"/>
      <c r="G35" s="47"/>
      <c r="H35" s="47"/>
      <c r="I35" s="47"/>
      <c r="J35" s="47"/>
      <c r="K35" s="268"/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</row>
    <row r="36" spans="1:22" s="6" customFormat="1" ht="35.1" customHeight="1">
      <c r="A36" s="46"/>
      <c r="B36" s="47"/>
      <c r="C36" s="47"/>
      <c r="D36" s="47"/>
      <c r="E36" s="47"/>
      <c r="F36" s="47"/>
      <c r="G36" s="47"/>
      <c r="H36" s="47"/>
      <c r="I36" s="47"/>
      <c r="J36" s="47"/>
      <c r="K36" s="268"/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</row>
    <row r="37" spans="1:22" s="6" customFormat="1" ht="35.1" customHeight="1">
      <c r="A37" s="46"/>
      <c r="B37" s="47"/>
      <c r="C37" s="47"/>
      <c r="D37" s="47"/>
      <c r="E37" s="47"/>
      <c r="F37" s="47"/>
      <c r="G37" s="47"/>
      <c r="H37" s="47"/>
      <c r="I37" s="47"/>
      <c r="J37" s="47"/>
      <c r="K37" s="63"/>
      <c r="L37" s="48">
        <f>IF(L26=0,0,L26/K26)</f>
        <v>0.16666666666666666</v>
      </c>
      <c r="M37" s="48">
        <f>IF(M26=0,0,M26/K26)</f>
        <v>0</v>
      </c>
      <c r="N37" s="48">
        <f>IF(N26=0,0,N26/L26)</f>
        <v>0</v>
      </c>
      <c r="O37" s="48">
        <f>IF(O26=0,0,O26/K26)</f>
        <v>1</v>
      </c>
      <c r="P37" s="60"/>
      <c r="Q37" s="61"/>
      <c r="R37" s="61"/>
      <c r="S37" s="82"/>
      <c r="T37" s="82"/>
      <c r="U37" s="82"/>
      <c r="V37" s="83"/>
    </row>
    <row r="38" spans="1:22" s="6" customFormat="1" ht="35.1" customHeight="1">
      <c r="A38" s="46"/>
      <c r="B38" s="47"/>
      <c r="C38" s="47"/>
      <c r="D38" s="47"/>
      <c r="E38" s="47"/>
      <c r="F38" s="47"/>
      <c r="G38" s="47"/>
      <c r="H38" s="47"/>
      <c r="I38" s="47"/>
      <c r="J38" s="47"/>
      <c r="K38" s="63"/>
      <c r="L38" s="48">
        <f>IF(L28=0,0,L28/K28)</f>
        <v>0</v>
      </c>
      <c r="M38" s="48">
        <f>IF(M28=0,0,M28/K28)</f>
        <v>0.5</v>
      </c>
      <c r="N38" s="48">
        <f>IF(N28=0,0,N28/L28)</f>
        <v>0</v>
      </c>
      <c r="O38" s="48">
        <f>IF(O28=0,0,O28/K28)</f>
        <v>0.5</v>
      </c>
      <c r="P38" s="60"/>
      <c r="Q38" s="61"/>
      <c r="R38" s="61"/>
      <c r="S38" s="82"/>
      <c r="T38" s="82"/>
      <c r="U38" s="82"/>
      <c r="V38" s="83"/>
    </row>
    <row r="39" spans="1:22" s="6" customFormat="1" ht="35.1" customHeight="1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63"/>
      <c r="L39" s="48">
        <f>IF(L28=0,0,L28/K28)</f>
        <v>0</v>
      </c>
      <c r="M39" s="48">
        <f t="shared" ref="M39:N42" si="6">IF(M28=0,0,M28/K28)</f>
        <v>0.5</v>
      </c>
      <c r="N39" s="48">
        <f t="shared" si="6"/>
        <v>0</v>
      </c>
      <c r="O39" s="48">
        <f>IF(O28=0,0,O28/K28)</f>
        <v>0.5</v>
      </c>
      <c r="P39" s="60"/>
      <c r="Q39" s="61"/>
      <c r="R39" s="61"/>
      <c r="S39" s="82"/>
      <c r="T39" s="82"/>
      <c r="U39" s="82"/>
      <c r="V39" s="83"/>
    </row>
    <row r="40" spans="1:22" s="6" customFormat="1" ht="35.1" customHeight="1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63"/>
      <c r="L40" s="48">
        <f>IF(L29=0,0,L29/K29)</f>
        <v>0</v>
      </c>
      <c r="M40" s="48">
        <f t="shared" si="6"/>
        <v>0.33333333333333331</v>
      </c>
      <c r="N40" s="48">
        <f t="shared" si="6"/>
        <v>0</v>
      </c>
      <c r="O40" s="48">
        <f>IF(O29=0,0,O29/K29)</f>
        <v>0.66666666666666663</v>
      </c>
      <c r="P40" s="60"/>
      <c r="Q40" s="61"/>
      <c r="R40" s="61"/>
      <c r="S40" s="82"/>
      <c r="T40" s="82"/>
      <c r="U40" s="82"/>
      <c r="V40" s="83"/>
    </row>
    <row r="41" spans="1:22" s="6" customFormat="1" ht="35.1" customHeight="1">
      <c r="F41" s="47"/>
      <c r="K41" s="63"/>
      <c r="L41" s="48">
        <f>IF(L30=0,0,L30/K30)</f>
        <v>0</v>
      </c>
      <c r="M41" s="48">
        <f t="shared" si="6"/>
        <v>0.5</v>
      </c>
      <c r="N41" s="48">
        <f t="shared" si="6"/>
        <v>0</v>
      </c>
      <c r="O41" s="48">
        <f>IF(O30=0,0,O30/K30)</f>
        <v>0.25</v>
      </c>
      <c r="P41" s="60"/>
      <c r="Q41" s="61"/>
      <c r="R41" s="61"/>
      <c r="S41" s="82"/>
      <c r="T41" s="82"/>
      <c r="U41" s="82"/>
      <c r="V41" s="83"/>
    </row>
    <row r="42" spans="1:22" s="6" customFormat="1" ht="35.1" customHeight="1">
      <c r="F42" s="47"/>
      <c r="K42" s="64"/>
      <c r="L42" s="49">
        <f>IF(L31=0,0,L31/K31)</f>
        <v>9.0909090909090912E-2</v>
      </c>
      <c r="M42" s="49">
        <f t="shared" si="6"/>
        <v>0.22727272727272727</v>
      </c>
      <c r="N42" s="49">
        <f t="shared" si="6"/>
        <v>0.5</v>
      </c>
      <c r="O42" s="49">
        <f>IF(O31=0,0,O31/K31)</f>
        <v>0.36363636363636365</v>
      </c>
      <c r="P42" s="60"/>
      <c r="Q42" s="61"/>
      <c r="R42" s="61"/>
      <c r="S42" s="82"/>
      <c r="T42" s="82"/>
      <c r="U42" s="82"/>
      <c r="V42" s="83"/>
    </row>
    <row r="43" spans="1:22" s="6" customFormat="1" ht="35.1" customHeight="1">
      <c r="K43" s="192">
        <f>IF($AU$44=MAX($AU$44:$AU$48),K37,IF($AU$45=MAX($AU$44:$AU$48),K39,IF($AU$46=MAX($AU$44:$AU$48),K40,IF($AU$47=MAX($AU$44:$AU$48),(K40),K41))))</f>
        <v>0</v>
      </c>
      <c r="L43" s="51">
        <f>IF($AU$44=MAX($AU$44:$AU$48),L37,IF($AU$45=MAX($AU$44:$AU$48),L39,IF($AU$46=MAX($AU$44:$AU$48),L40,IF($AU$47=MAX($AU$44:$AU$48),(L40),L41))))</f>
        <v>0.16666666666666666</v>
      </c>
      <c r="M43" s="51">
        <f>M41</f>
        <v>0.5</v>
      </c>
      <c r="N43" s="51">
        <f>IF($AU$44=MAX($AU$44:$AU$48),N37,IF($AU$45=MAX($AU$44:$AU$48),N39,IF($AU$46=MAX($AU$44:$AU$48),N40,IF($AU$47=MAX($AU$44:$AU$48),(N40),N41))))</f>
        <v>0</v>
      </c>
      <c r="O43" s="51">
        <f>IF($AU$44=MAX($AU$44:$AU$48),O37,IF($AU$45=MAX($AU$44:$AU$48),O39,IF($AU$46=MAX($AU$44:$AU$48),O40,IF($AU$47=MAX($AU$44:$AU$48),(O40),O41))))</f>
        <v>1</v>
      </c>
      <c r="P43" s="60"/>
      <c r="Q43" s="61"/>
      <c r="R43" s="61"/>
      <c r="S43" s="82"/>
      <c r="T43" s="82"/>
      <c r="U43" s="82"/>
      <c r="V43" s="83"/>
    </row>
  </sheetData>
  <mergeCells count="40">
    <mergeCell ref="N33:N36"/>
    <mergeCell ref="O33:O36"/>
    <mergeCell ref="P33:V36"/>
    <mergeCell ref="L33:L36"/>
    <mergeCell ref="M33:M36"/>
    <mergeCell ref="A31:B31"/>
    <mergeCell ref="K33:K36"/>
    <mergeCell ref="A28:B28"/>
    <mergeCell ref="A29:B29"/>
    <mergeCell ref="A30:B30"/>
    <mergeCell ref="A25:B25"/>
    <mergeCell ref="A26:B26"/>
    <mergeCell ref="A27:B27"/>
    <mergeCell ref="P22:V25"/>
    <mergeCell ref="C23:F23"/>
    <mergeCell ref="G23:J23"/>
    <mergeCell ref="C24:D24"/>
    <mergeCell ref="E24:F24"/>
    <mergeCell ref="G24:H24"/>
    <mergeCell ref="I24:J24"/>
    <mergeCell ref="C22:J22"/>
    <mergeCell ref="K22:K25"/>
    <mergeCell ref="L22:L25"/>
    <mergeCell ref="M22:M25"/>
    <mergeCell ref="N22:N25"/>
    <mergeCell ref="O22:O25"/>
    <mergeCell ref="K6:R6"/>
    <mergeCell ref="K7:N7"/>
    <mergeCell ref="O7:R7"/>
    <mergeCell ref="K8:L8"/>
    <mergeCell ref="M8:N8"/>
    <mergeCell ref="O8:P8"/>
    <mergeCell ref="Q8:R8"/>
    <mergeCell ref="C6:J6"/>
    <mergeCell ref="C7:F7"/>
    <mergeCell ref="G7:J7"/>
    <mergeCell ref="C8:D8"/>
    <mergeCell ref="E8:F8"/>
    <mergeCell ref="G8:H8"/>
    <mergeCell ref="I8:J8"/>
  </mergeCells>
  <pageMargins left="0.51181102362204722" right="0.51181102362204722" top="0.35433070866141736" bottom="0.35433070866141736" header="0.15748031496062992" footer="0.15748031496062992"/>
  <pageSetup paperSize="9" scale="45" fitToWidth="0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J38"/>
  <sheetViews>
    <sheetView workbookViewId="0">
      <selection activeCell="A9" sqref="A9"/>
    </sheetView>
  </sheetViews>
  <sheetFormatPr baseColWidth="10" defaultRowHeight="14.25"/>
  <cols>
    <col min="1" max="1" width="43" style="6" customWidth="1"/>
    <col min="2" max="3" width="7.75" style="98" customWidth="1"/>
    <col min="4" max="4" width="9.25" style="99" customWidth="1"/>
    <col min="5" max="5" width="8.875" style="88" customWidth="1"/>
    <col min="6" max="6" width="13.875" style="88" customWidth="1"/>
    <col min="7" max="7" width="10.25" style="88" hidden="1" customWidth="1"/>
    <col min="8" max="8" width="7.75" style="88" customWidth="1"/>
    <col min="9" max="9" width="8.5" style="99" customWidth="1"/>
    <col min="10" max="10" width="7.75" style="88" customWidth="1"/>
    <col min="11" max="11" width="8.5" style="99" customWidth="1"/>
    <col min="12" max="1023" width="11.125" style="6" customWidth="1"/>
    <col min="1024" max="1024" width="11" style="6" customWidth="1"/>
  </cols>
  <sheetData>
    <row r="1" spans="1:11" ht="20.25">
      <c r="A1" s="97" t="s">
        <v>204</v>
      </c>
    </row>
    <row r="2" spans="1:11" ht="15">
      <c r="A2" s="236" t="s">
        <v>205</v>
      </c>
      <c r="G2" s="88" t="s">
        <v>121</v>
      </c>
    </row>
    <row r="3" spans="1:11" ht="15.75" thickBot="1">
      <c r="A3" s="236"/>
    </row>
    <row r="4" spans="1:11" s="102" customFormat="1" ht="18" customHeight="1" thickBot="1">
      <c r="A4" s="100" t="s">
        <v>122</v>
      </c>
      <c r="B4" s="289" t="s">
        <v>123</v>
      </c>
      <c r="C4" s="289"/>
      <c r="D4" s="290" t="s">
        <v>124</v>
      </c>
      <c r="E4" s="291" t="s">
        <v>125</v>
      </c>
      <c r="F4" s="291"/>
      <c r="G4" s="101" t="s">
        <v>126</v>
      </c>
      <c r="H4" s="291" t="s">
        <v>127</v>
      </c>
      <c r="I4" s="291"/>
      <c r="J4" s="291" t="s">
        <v>128</v>
      </c>
      <c r="K4" s="291"/>
    </row>
    <row r="5" spans="1:11" s="102" customFormat="1" ht="15.75" thickBot="1">
      <c r="A5" s="103" t="s">
        <v>129</v>
      </c>
      <c r="B5" s="104" t="s">
        <v>130</v>
      </c>
      <c r="C5" s="105" t="s">
        <v>131</v>
      </c>
      <c r="D5" s="290"/>
      <c r="E5" s="106" t="s">
        <v>126</v>
      </c>
      <c r="F5" s="106" t="s">
        <v>16</v>
      </c>
      <c r="G5" s="107" t="s">
        <v>132</v>
      </c>
      <c r="H5" s="108" t="s">
        <v>133</v>
      </c>
      <c r="I5" s="109" t="s">
        <v>126</v>
      </c>
      <c r="J5" s="108" t="s">
        <v>133</v>
      </c>
      <c r="K5" s="109" t="s">
        <v>126</v>
      </c>
    </row>
    <row r="6" spans="1:11" ht="18.75" customHeight="1">
      <c r="A6" s="110" t="str">
        <f>LA_RO_BIOCOOP!B1</f>
        <v>La Roche Face Biocoop</v>
      </c>
      <c r="B6" s="111" t="s">
        <v>134</v>
      </c>
      <c r="C6" s="112" t="s">
        <v>135</v>
      </c>
      <c r="D6" s="113">
        <f>LA_RO_BIOCOOP!AO44</f>
        <v>59</v>
      </c>
      <c r="E6" s="114">
        <f>LA_RO_BIOCOOP!AO45</f>
        <v>21</v>
      </c>
      <c r="F6" s="114" t="s">
        <v>37</v>
      </c>
      <c r="G6" s="115">
        <f>LA_RO_BIOCOOP!AO41+LA_RO_BIOCOOP!AO42</f>
        <v>37</v>
      </c>
      <c r="H6" s="116">
        <f t="shared" ref="H6:H15" si="0">I6/D6</f>
        <v>0.47457627118644069</v>
      </c>
      <c r="I6" s="113">
        <f>LA_RO_BIOCOOP!AP44</f>
        <v>28</v>
      </c>
      <c r="J6" s="117">
        <f>K6/D6</f>
        <v>0.33898305084745761</v>
      </c>
      <c r="K6" s="113">
        <f>LA_RO_BIOCOOP!AQ44</f>
        <v>20</v>
      </c>
    </row>
    <row r="7" spans="1:11" ht="18.75" customHeight="1">
      <c r="A7" s="118" t="str">
        <f>LA_RO_POSTE!B1</f>
        <v>Rond Point La Poste</v>
      </c>
      <c r="B7" s="119" t="s">
        <v>134</v>
      </c>
      <c r="C7" s="120" t="s">
        <v>135</v>
      </c>
      <c r="D7" s="121">
        <f>LA_RO_POSTE!BY42</f>
        <v>32</v>
      </c>
      <c r="E7" s="121">
        <f>LA_RO_POSTE!BY43</f>
        <v>16</v>
      </c>
      <c r="F7" s="121" t="str">
        <f>LA_RO_POSTE!BW43</f>
        <v>7:30 à 8:00</v>
      </c>
      <c r="G7" s="122">
        <f>LA_RO_POSTE!BY39+LA_RO_POSTE!BY40</f>
        <v>20</v>
      </c>
      <c r="H7" s="117">
        <f t="shared" si="0"/>
        <v>0.34375</v>
      </c>
      <c r="I7" s="121">
        <f>LA_RO_POSTE!BZ42</f>
        <v>11</v>
      </c>
      <c r="J7" s="117">
        <f>K7/D7</f>
        <v>0.1875</v>
      </c>
      <c r="K7" s="121">
        <f>LA_RO_POSTE!CA42</f>
        <v>6</v>
      </c>
    </row>
    <row r="8" spans="1:11" ht="18.75" customHeight="1">
      <c r="A8" s="118" t="str">
        <f>LA_RO_ENILV!B1</f>
        <v>La Roche Rond-Point ENILV - St Renan</v>
      </c>
      <c r="B8" s="119" t="s">
        <v>134</v>
      </c>
      <c r="C8" s="120" t="s">
        <v>135</v>
      </c>
      <c r="D8" s="121">
        <f>LA_RO_ENILV!BA43</f>
        <v>21</v>
      </c>
      <c r="E8" s="121">
        <f>LA_RO_ENILV!BA44</f>
        <v>8</v>
      </c>
      <c r="F8" s="121" t="str">
        <f>LA_RO_ENILV!AY44</f>
        <v>8:00 à 8:30</v>
      </c>
      <c r="G8" s="122">
        <f>LA_RO_ENILV!BA40+LA_RO_ENILV!BA41</f>
        <v>14</v>
      </c>
      <c r="H8" s="117">
        <f t="shared" si="0"/>
        <v>0.19047619047619047</v>
      </c>
      <c r="I8" s="121">
        <f>LA_RO_ENILV!BB43</f>
        <v>4</v>
      </c>
      <c r="J8" s="117">
        <f>K8/D8</f>
        <v>0.23809523809523808</v>
      </c>
      <c r="K8" s="121">
        <f>LA_RO_ENILV!BC43</f>
        <v>5</v>
      </c>
    </row>
    <row r="9" spans="1:11" ht="18.75" customHeight="1">
      <c r="A9" s="118" t="str">
        <f>LA_RO_SNCF!B1</f>
        <v>La Roche Gare/Passage à niveau</v>
      </c>
      <c r="B9" s="119" t="s">
        <v>134</v>
      </c>
      <c r="C9" s="120" t="s">
        <v>194</v>
      </c>
      <c r="D9" s="121">
        <f>LA_RO_SNCF!BA43</f>
        <v>55</v>
      </c>
      <c r="E9" s="121">
        <v>21</v>
      </c>
      <c r="F9" s="121" t="s">
        <v>138</v>
      </c>
      <c r="G9" s="122">
        <f>LA_RO_SNCF!BA40+LA_RO_SNCF!BA41</f>
        <v>32</v>
      </c>
      <c r="H9" s="117">
        <f t="shared" si="0"/>
        <v>0.32727272727272727</v>
      </c>
      <c r="I9" s="121">
        <f>LA_RO_SNCF!BB43</f>
        <v>18</v>
      </c>
      <c r="J9" s="117">
        <f>K9/D9</f>
        <v>0.32727272727272727</v>
      </c>
      <c r="K9" s="121">
        <f>LA_RO_SNCF!BC43</f>
        <v>18</v>
      </c>
    </row>
    <row r="10" spans="1:11" ht="18.75" customHeight="1">
      <c r="A10" s="118" t="s">
        <v>193</v>
      </c>
      <c r="B10" s="119" t="s">
        <v>134</v>
      </c>
      <c r="C10" s="120" t="s">
        <v>135</v>
      </c>
      <c r="D10" s="121">
        <f>'AMANCY SOUS TERRAIN'!U36</f>
        <v>15</v>
      </c>
      <c r="E10" s="121">
        <f>'AMANCY SOUS TERRAIN'!U37</f>
        <v>7</v>
      </c>
      <c r="F10" s="121" t="s">
        <v>38</v>
      </c>
      <c r="G10" s="122"/>
      <c r="H10" s="117">
        <f t="shared" si="0"/>
        <v>0.2</v>
      </c>
      <c r="I10" s="121">
        <f>'AMANCY SOUS TERRAIN'!V36</f>
        <v>3</v>
      </c>
      <c r="J10" s="117"/>
      <c r="K10" s="121">
        <v>0</v>
      </c>
    </row>
    <row r="11" spans="1:11" ht="18.75" customHeight="1">
      <c r="A11" s="118" t="str">
        <f>ARENT_PAPETERIE!B1</f>
        <v>Arenthon La Papeterie</v>
      </c>
      <c r="B11" s="119" t="s">
        <v>134</v>
      </c>
      <c r="C11" s="120" t="s">
        <v>135</v>
      </c>
      <c r="D11" s="121">
        <f>ARENT_PAPETERIE!BA43</f>
        <v>6</v>
      </c>
      <c r="E11" s="121"/>
      <c r="F11" s="121"/>
      <c r="G11" s="122">
        <f>ARENT_PAPETERIE!BA40+ARENT_PAPETERIE!BA41</f>
        <v>4</v>
      </c>
      <c r="H11" s="117">
        <f t="shared" si="0"/>
        <v>0.33333333333333331</v>
      </c>
      <c r="I11" s="121">
        <f>ARENT_PAPETERIE!BB43</f>
        <v>2</v>
      </c>
      <c r="J11" s="117">
        <f>K11/D11</f>
        <v>0.16666666666666666</v>
      </c>
      <c r="K11" s="121">
        <f>ARENT_PAPETERIE!BC43</f>
        <v>1</v>
      </c>
    </row>
    <row r="12" spans="1:11" ht="18.75" customHeight="1">
      <c r="A12" s="118" t="str">
        <f>ST_PI_BORNE_DESSY!B1</f>
        <v>St Pierre en face Franchissement du Borne au 245 Rte des Gorges du Borne</v>
      </c>
      <c r="B12" s="119" t="s">
        <v>134</v>
      </c>
      <c r="C12" s="120" t="s">
        <v>135</v>
      </c>
      <c r="D12" s="121">
        <f>ST_PI_BORNE_DESSY!AC37</f>
        <v>20</v>
      </c>
      <c r="E12" s="121">
        <f>ST_PI_BORNE_DESSY!AC38</f>
        <v>6</v>
      </c>
      <c r="F12" s="121" t="str">
        <f>ST_PI_BORNE_DESSY!AA38</f>
        <v>7:00 à 7:30</v>
      </c>
      <c r="G12" s="122">
        <f>ST_PI_BORNE_DESSY!AC34+ST_PI_BORNE_DESSY!AC35</f>
        <v>8</v>
      </c>
      <c r="H12" s="117">
        <f t="shared" si="0"/>
        <v>0.25</v>
      </c>
      <c r="I12" s="121">
        <f>ST_PI_BORNE_DESSY!AD37</f>
        <v>5</v>
      </c>
      <c r="J12" s="117">
        <f>K12/D12</f>
        <v>0.2</v>
      </c>
      <c r="K12" s="121">
        <f>ST_PI_BORNE_DESSY!AE37</f>
        <v>4</v>
      </c>
    </row>
    <row r="13" spans="1:11" ht="18.75" customHeight="1">
      <c r="A13" s="118" t="str">
        <f>BO_BORNE_TUCINGE!B1</f>
        <v>Bonneville Franchissement du Borne Tucinge</v>
      </c>
      <c r="B13" s="119" t="s">
        <v>134</v>
      </c>
      <c r="C13" s="120" t="s">
        <v>135</v>
      </c>
      <c r="D13" s="121">
        <f>BO_BORNE_TUCINGE!M37</f>
        <v>20</v>
      </c>
      <c r="E13" s="121">
        <f>BO_BORNE_TUCINGE!M38</f>
        <v>9</v>
      </c>
      <c r="F13" s="121" t="str">
        <f>BO_BORNE_TUCINGE!K38</f>
        <v>8:30 à 9:00</v>
      </c>
      <c r="G13" s="122">
        <f>BO_BORNE_TUCINGE!M34+BO_BORNE_TUCINGE!M35</f>
        <v>7</v>
      </c>
      <c r="H13" s="117">
        <f t="shared" si="0"/>
        <v>0.25</v>
      </c>
      <c r="I13" s="121">
        <f>BO_BORNE_TUCINGE!N37</f>
        <v>5</v>
      </c>
      <c r="J13" s="117">
        <f>K13/D13</f>
        <v>0.25</v>
      </c>
      <c r="K13" s="121">
        <f>BO_BORNE_TUCINGE!O37</f>
        <v>5</v>
      </c>
    </row>
    <row r="14" spans="1:11" ht="18.75" customHeight="1">
      <c r="A14" s="118" t="str">
        <f>ST_PI_BORNE_RD1203!B1</f>
        <v>St Pierre Pont sur le Borne Principal - RD 1203</v>
      </c>
      <c r="B14" s="119" t="s">
        <v>134</v>
      </c>
      <c r="C14" s="120" t="s">
        <v>135</v>
      </c>
      <c r="D14" s="121">
        <f>ST_PI_BORNE_RD1203!BM67</f>
        <v>35</v>
      </c>
      <c r="E14" s="121">
        <f>ST_PI_BORNE_RD1203!BM68</f>
        <v>9</v>
      </c>
      <c r="F14" s="121" t="str">
        <f>ST_PI_BORNE_RD1203!BK68</f>
        <v>7:00 à 7:30</v>
      </c>
      <c r="G14" s="122">
        <f>ST_PI_BORNE_RD1203!BM64+ST_PI_BORNE_RD1203!BM65</f>
        <v>13</v>
      </c>
      <c r="H14" s="117">
        <f t="shared" si="0"/>
        <v>0.31428571428571428</v>
      </c>
      <c r="I14" s="121">
        <f>ST_PI_BORNE_RD1203!BN67</f>
        <v>11</v>
      </c>
      <c r="J14" s="117">
        <f>K14/D14</f>
        <v>0.22857142857142856</v>
      </c>
      <c r="K14" s="121">
        <f>ST_PI_BORNE_RD1203!BO67</f>
        <v>8</v>
      </c>
    </row>
    <row r="15" spans="1:11" ht="18.75" customHeight="1">
      <c r="A15" s="207" t="str">
        <f>'ST PI M BRICOLAGE'!B1</f>
        <v>St Pierre Mr Bricolage</v>
      </c>
      <c r="B15" s="119" t="s">
        <v>134</v>
      </c>
      <c r="C15" s="120" t="s">
        <v>135</v>
      </c>
      <c r="D15" s="210">
        <f>'ST PI M BRICOLAGE'!K31</f>
        <v>22</v>
      </c>
      <c r="E15" s="210">
        <f>'ST PI M BRICOLAGE'!K32</f>
        <v>7</v>
      </c>
      <c r="F15" s="121" t="s">
        <v>36</v>
      </c>
      <c r="G15" s="211">
        <v>3</v>
      </c>
      <c r="H15" s="117">
        <f t="shared" si="0"/>
        <v>9.0909090909090912E-2</v>
      </c>
      <c r="I15" s="210">
        <f>'ST PI M BRICOLAGE'!L31</f>
        <v>2</v>
      </c>
      <c r="J15" s="117">
        <f>K15/D15</f>
        <v>0.22727272727272727</v>
      </c>
      <c r="K15" s="210">
        <f>'ST PI M BRICOLAGE'!M31</f>
        <v>5</v>
      </c>
    </row>
    <row r="16" spans="1:11" ht="18.75" customHeight="1" thickBot="1">
      <c r="A16" s="207"/>
      <c r="B16" s="208"/>
      <c r="C16" s="209"/>
      <c r="D16" s="210"/>
      <c r="E16" s="210"/>
      <c r="F16" s="210"/>
      <c r="G16" s="211"/>
      <c r="H16" s="212"/>
      <c r="I16" s="210"/>
      <c r="J16" s="212"/>
      <c r="K16" s="210"/>
    </row>
    <row r="17" spans="1:13" s="102" customFormat="1" ht="15.75" thickBot="1">
      <c r="A17" s="123" t="s">
        <v>29</v>
      </c>
      <c r="B17" s="124"/>
      <c r="C17" s="125"/>
      <c r="D17" s="126">
        <f>SUM(D6:D16)</f>
        <v>285</v>
      </c>
      <c r="E17" s="126">
        <f>SUM(E6:E16)</f>
        <v>104</v>
      </c>
      <c r="F17" s="127"/>
      <c r="G17" s="128">
        <f>SUM(G6:G16)</f>
        <v>138</v>
      </c>
      <c r="H17" s="129">
        <f>I17/$D17</f>
        <v>0.31228070175438599</v>
      </c>
      <c r="I17" s="126">
        <f>SUM(I6:I16)</f>
        <v>89</v>
      </c>
      <c r="J17" s="129">
        <f>K17/$D17</f>
        <v>0.25263157894736843</v>
      </c>
      <c r="K17" s="126">
        <f>SUM(K6:K16)</f>
        <v>72</v>
      </c>
    </row>
    <row r="19" spans="1:13" ht="20.100000000000001" customHeight="1">
      <c r="A19" s="6" t="s">
        <v>196</v>
      </c>
    </row>
    <row r="20" spans="1:13" s="131" customFormat="1" ht="20.100000000000001" customHeight="1">
      <c r="A20" s="6" t="s">
        <v>197</v>
      </c>
      <c r="B20" s="130"/>
      <c r="C20" s="130"/>
    </row>
    <row r="21" spans="1:13" s="6" customFormat="1"/>
    <row r="22" spans="1:13" s="6" customFormat="1"/>
    <row r="23" spans="1:13" s="6" customFormat="1"/>
    <row r="24" spans="1:13" s="102" customFormat="1" ht="18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s="102" customFormat="1" ht="1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s="6" customFormat="1" ht="18.75" customHeight="1"/>
    <row r="27" spans="1:13" s="6" customFormat="1" ht="18.75" customHeight="1"/>
    <row r="28" spans="1:13" s="6" customFormat="1" ht="18.75" customHeight="1"/>
    <row r="29" spans="1:13" s="6" customFormat="1" ht="18.75" customHeight="1"/>
    <row r="30" spans="1:13" s="6" customFormat="1" ht="18.75" customHeight="1"/>
    <row r="31" spans="1:13" s="6" customFormat="1" ht="18.75" customHeight="1"/>
    <row r="32" spans="1:13" s="6" customFormat="1" ht="18.75" customHeight="1"/>
    <row r="33" spans="1:13" s="6" customFormat="1" ht="18.75" customHeight="1"/>
    <row r="34" spans="1:13" s="6" customFormat="1" ht="18.75" customHeight="1"/>
    <row r="35" spans="1:13" s="102" customFormat="1" ht="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s="6" customFormat="1"/>
    <row r="37" spans="1:13" s="6" customFormat="1"/>
    <row r="38" spans="1:13" s="6" customFormat="1"/>
  </sheetData>
  <mergeCells count="5">
    <mergeCell ref="B4:C4"/>
    <mergeCell ref="D4:D5"/>
    <mergeCell ref="E4:F4"/>
    <mergeCell ref="H4:I4"/>
    <mergeCell ref="J4:K4"/>
  </mergeCells>
  <pageMargins left="0.25000000000000006" right="0.25000000000000006" top="1.1437007874015745" bottom="1.1437007874015745" header="0.74999999999999989" footer="0.74999999999999989"/>
  <pageSetup paperSize="9" fitToWidth="0" fitToHeight="0" orientation="landscape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J38"/>
  <sheetViews>
    <sheetView zoomScaleNormal="100" workbookViewId="0">
      <selection activeCell="N18" sqref="N18"/>
    </sheetView>
  </sheetViews>
  <sheetFormatPr baseColWidth="10" defaultRowHeight="14.25"/>
  <cols>
    <col min="1" max="1" width="39.125" style="6" customWidth="1"/>
    <col min="2" max="2" width="6.125" style="98" customWidth="1"/>
    <col min="3" max="3" width="6" style="98" customWidth="1"/>
    <col min="4" max="4" width="9.25" style="99" customWidth="1"/>
    <col min="5" max="6" width="8.875" style="99" customWidth="1"/>
    <col min="7" max="7" width="8.125" style="88" customWidth="1"/>
    <col min="8" max="8" width="12.25" style="88" customWidth="1"/>
    <col min="9" max="9" width="8.25" style="88" customWidth="1"/>
    <col min="10" max="10" width="7.75" style="88" customWidth="1"/>
    <col min="11" max="11" width="8.5" style="99" customWidth="1"/>
    <col min="12" max="12" width="7.75" style="88" customWidth="1"/>
    <col min="13" max="13" width="8.5" style="99" customWidth="1"/>
    <col min="14" max="1024" width="11.125" style="6" customWidth="1"/>
  </cols>
  <sheetData>
    <row r="1" spans="1:1024" ht="20.25">
      <c r="A1" s="97" t="s">
        <v>198</v>
      </c>
      <c r="K1" s="88"/>
      <c r="M1" s="88"/>
      <c r="N1" s="88"/>
    </row>
    <row r="2" spans="1:1024">
      <c r="A2" s="99" t="s">
        <v>214</v>
      </c>
      <c r="D2" s="99">
        <v>7</v>
      </c>
      <c r="E2" s="99">
        <v>8</v>
      </c>
      <c r="F2" s="99">
        <v>10</v>
      </c>
      <c r="K2" s="88"/>
      <c r="M2" s="6"/>
      <c r="AMI2"/>
      <c r="AMJ2"/>
    </row>
    <row r="3" spans="1:1024" ht="15" thickBot="1">
      <c r="A3" s="297" t="s">
        <v>212</v>
      </c>
      <c r="K3" s="88"/>
      <c r="M3" s="6"/>
      <c r="AMI3"/>
      <c r="AMJ3"/>
    </row>
    <row r="4" spans="1:1024" s="102" customFormat="1" ht="19.5" customHeight="1" thickBot="1">
      <c r="A4" s="100" t="s">
        <v>122</v>
      </c>
      <c r="B4" s="289" t="s">
        <v>123</v>
      </c>
      <c r="C4" s="289"/>
      <c r="D4" s="290">
        <v>2020</v>
      </c>
      <c r="E4" s="290">
        <v>2021</v>
      </c>
      <c r="F4" s="290">
        <v>2022</v>
      </c>
      <c r="G4" s="88"/>
      <c r="H4" s="88"/>
      <c r="I4" s="88"/>
      <c r="J4" s="88"/>
      <c r="K4" s="88"/>
      <c r="L4" s="88"/>
    </row>
    <row r="5" spans="1:1024" s="102" customFormat="1" ht="15.75" thickBot="1">
      <c r="A5" s="103" t="s">
        <v>129</v>
      </c>
      <c r="B5" s="104" t="s">
        <v>130</v>
      </c>
      <c r="C5" s="105" t="s">
        <v>131</v>
      </c>
      <c r="D5" s="290"/>
      <c r="E5" s="290"/>
      <c r="F5" s="290"/>
      <c r="G5" s="88"/>
      <c r="H5" s="88"/>
      <c r="I5" s="88"/>
      <c r="J5" s="88"/>
      <c r="K5" s="88"/>
      <c r="L5" s="88"/>
    </row>
    <row r="6" spans="1:1024" ht="18.75" customHeight="1">
      <c r="A6" s="110" t="s">
        <v>1</v>
      </c>
      <c r="B6" s="111" t="s">
        <v>134</v>
      </c>
      <c r="C6" s="112" t="s">
        <v>135</v>
      </c>
      <c r="D6" s="113">
        <v>31</v>
      </c>
      <c r="E6" s="113">
        <v>76</v>
      </c>
      <c r="F6" s="113">
        <v>59</v>
      </c>
      <c r="K6" s="88"/>
      <c r="M6" s="6"/>
      <c r="AMI6"/>
      <c r="AMJ6"/>
    </row>
    <row r="7" spans="1:1024" ht="18.75" customHeight="1">
      <c r="A7" s="118" t="s">
        <v>44</v>
      </c>
      <c r="B7" s="119" t="s">
        <v>134</v>
      </c>
      <c r="C7" s="120" t="s">
        <v>135</v>
      </c>
      <c r="D7" s="121">
        <v>25</v>
      </c>
      <c r="E7" s="121">
        <v>45</v>
      </c>
      <c r="F7" s="121">
        <v>32</v>
      </c>
      <c r="K7" s="88"/>
      <c r="M7" s="6"/>
      <c r="AMI7"/>
      <c r="AMJ7"/>
    </row>
    <row r="8" spans="1:1024" ht="18.75" customHeight="1">
      <c r="A8" s="118" t="s">
        <v>57</v>
      </c>
      <c r="B8" s="119" t="s">
        <v>134</v>
      </c>
      <c r="C8" s="120" t="s">
        <v>135</v>
      </c>
      <c r="D8" s="121">
        <v>18</v>
      </c>
      <c r="E8" s="121">
        <v>16</v>
      </c>
      <c r="F8" s="121">
        <v>21</v>
      </c>
      <c r="K8" s="88"/>
      <c r="M8" s="6"/>
      <c r="AMI8"/>
      <c r="AMJ8"/>
    </row>
    <row r="9" spans="1:1024" ht="18.75" customHeight="1">
      <c r="A9" s="118" t="s">
        <v>70</v>
      </c>
      <c r="B9" s="119" t="s">
        <v>134</v>
      </c>
      <c r="C9" s="120" t="s">
        <v>194</v>
      </c>
      <c r="D9" s="121"/>
      <c r="E9" s="121">
        <v>56</v>
      </c>
      <c r="F9" s="121">
        <v>55</v>
      </c>
      <c r="K9" s="88"/>
      <c r="M9" s="6"/>
      <c r="AMI9"/>
      <c r="AMJ9"/>
    </row>
    <row r="10" spans="1:1024" s="218" customFormat="1" ht="18.75" customHeight="1">
      <c r="A10" s="296" t="s">
        <v>213</v>
      </c>
      <c r="B10" s="213" t="s">
        <v>134</v>
      </c>
      <c r="C10" s="214" t="s">
        <v>135</v>
      </c>
      <c r="D10" s="215"/>
      <c r="E10" s="215"/>
      <c r="F10" s="215">
        <v>15</v>
      </c>
      <c r="G10" s="216"/>
      <c r="H10" s="216"/>
      <c r="I10" s="216"/>
      <c r="J10" s="216"/>
      <c r="K10" s="216"/>
      <c r="L10" s="216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7"/>
      <c r="AP10" s="217"/>
      <c r="AQ10" s="217"/>
      <c r="AR10" s="217"/>
      <c r="AS10" s="217"/>
      <c r="AT10" s="217"/>
      <c r="AU10" s="217"/>
      <c r="AV10" s="217"/>
      <c r="AW10" s="217"/>
      <c r="AX10" s="217"/>
      <c r="AY10" s="217"/>
      <c r="AZ10" s="217"/>
      <c r="BA10" s="217"/>
      <c r="BB10" s="217"/>
      <c r="BC10" s="217"/>
      <c r="BD10" s="217"/>
      <c r="BE10" s="217"/>
      <c r="BF10" s="217"/>
      <c r="BG10" s="217"/>
      <c r="BH10" s="217"/>
      <c r="BI10" s="217"/>
      <c r="BJ10" s="217"/>
      <c r="BK10" s="217"/>
      <c r="BL10" s="217"/>
      <c r="BM10" s="217"/>
      <c r="BN10" s="217"/>
      <c r="BO10" s="217"/>
      <c r="BP10" s="217"/>
      <c r="BQ10" s="217"/>
      <c r="BR10" s="217"/>
      <c r="BS10" s="217"/>
      <c r="BT10" s="217"/>
      <c r="BU10" s="217"/>
      <c r="BV10" s="217"/>
      <c r="BW10" s="217"/>
      <c r="BX10" s="217"/>
      <c r="BY10" s="217"/>
      <c r="BZ10" s="217"/>
      <c r="CA10" s="217"/>
      <c r="CB10" s="217"/>
      <c r="CC10" s="217"/>
      <c r="CD10" s="217"/>
      <c r="CE10" s="217"/>
      <c r="CF10" s="217"/>
      <c r="CG10" s="217"/>
      <c r="CH10" s="217"/>
      <c r="CI10" s="217"/>
      <c r="CJ10" s="217"/>
      <c r="CK10" s="217"/>
      <c r="CL10" s="217"/>
      <c r="CM10" s="217"/>
      <c r="CN10" s="217"/>
      <c r="CO10" s="217"/>
      <c r="CP10" s="217"/>
      <c r="CQ10" s="217"/>
      <c r="CR10" s="217"/>
      <c r="CS10" s="217"/>
      <c r="CT10" s="217"/>
      <c r="CU10" s="217"/>
      <c r="CV10" s="217"/>
      <c r="CW10" s="217"/>
      <c r="CX10" s="217"/>
      <c r="CY10" s="217"/>
      <c r="CZ10" s="217"/>
      <c r="DA10" s="217"/>
      <c r="DB10" s="217"/>
      <c r="DC10" s="217"/>
      <c r="DD10" s="217"/>
      <c r="DE10" s="217"/>
      <c r="DF10" s="217"/>
      <c r="DG10" s="217"/>
      <c r="DH10" s="217"/>
      <c r="DI10" s="217"/>
      <c r="DJ10" s="217"/>
      <c r="DK10" s="217"/>
      <c r="DL10" s="217"/>
      <c r="DM10" s="217"/>
      <c r="DN10" s="217"/>
      <c r="DO10" s="217"/>
      <c r="DP10" s="217"/>
      <c r="DQ10" s="217"/>
      <c r="DR10" s="217"/>
      <c r="DS10" s="217"/>
      <c r="DT10" s="217"/>
      <c r="DU10" s="217"/>
      <c r="DV10" s="217"/>
      <c r="DW10" s="217"/>
      <c r="DX10" s="217"/>
      <c r="DY10" s="217"/>
      <c r="DZ10" s="217"/>
      <c r="EA10" s="217"/>
      <c r="EB10" s="217"/>
      <c r="EC10" s="217"/>
      <c r="ED10" s="217"/>
      <c r="EE10" s="217"/>
      <c r="EF10" s="217"/>
      <c r="EG10" s="217"/>
      <c r="EH10" s="217"/>
      <c r="EI10" s="217"/>
      <c r="EJ10" s="217"/>
      <c r="EK10" s="217"/>
      <c r="EL10" s="217"/>
      <c r="EM10" s="217"/>
      <c r="EN10" s="217"/>
      <c r="EO10" s="217"/>
      <c r="EP10" s="217"/>
      <c r="EQ10" s="217"/>
      <c r="ER10" s="217"/>
      <c r="ES10" s="217"/>
      <c r="ET10" s="217"/>
      <c r="EU10" s="217"/>
      <c r="EV10" s="217"/>
      <c r="EW10" s="217"/>
      <c r="EX10" s="217"/>
      <c r="EY10" s="217"/>
      <c r="EZ10" s="217"/>
      <c r="FA10" s="217"/>
      <c r="FB10" s="217"/>
      <c r="FC10" s="217"/>
      <c r="FD10" s="217"/>
      <c r="FE10" s="217"/>
      <c r="FF10" s="217"/>
      <c r="FG10" s="217"/>
      <c r="FH10" s="217"/>
      <c r="FI10" s="217"/>
      <c r="FJ10" s="217"/>
      <c r="FK10" s="217"/>
      <c r="FL10" s="217"/>
      <c r="FM10" s="217"/>
      <c r="FN10" s="217"/>
      <c r="FO10" s="217"/>
      <c r="FP10" s="217"/>
      <c r="FQ10" s="217"/>
      <c r="FR10" s="217"/>
      <c r="FS10" s="217"/>
      <c r="FT10" s="217"/>
      <c r="FU10" s="217"/>
      <c r="FV10" s="217"/>
      <c r="FW10" s="217"/>
      <c r="FX10" s="217"/>
      <c r="FY10" s="217"/>
      <c r="FZ10" s="217"/>
      <c r="GA10" s="217"/>
      <c r="GB10" s="217"/>
      <c r="GC10" s="217"/>
      <c r="GD10" s="217"/>
      <c r="GE10" s="217"/>
      <c r="GF10" s="217"/>
      <c r="GG10" s="217"/>
      <c r="GH10" s="217"/>
      <c r="GI10" s="217"/>
      <c r="GJ10" s="217"/>
      <c r="GK10" s="217"/>
      <c r="GL10" s="217"/>
      <c r="GM10" s="217"/>
      <c r="GN10" s="217"/>
      <c r="GO10" s="217"/>
      <c r="GP10" s="217"/>
      <c r="GQ10" s="217"/>
      <c r="GR10" s="217"/>
      <c r="GS10" s="217"/>
      <c r="GT10" s="217"/>
      <c r="GU10" s="217"/>
      <c r="GV10" s="217"/>
      <c r="GW10" s="217"/>
      <c r="GX10" s="217"/>
      <c r="GY10" s="217"/>
      <c r="GZ10" s="217"/>
      <c r="HA10" s="217"/>
      <c r="HB10" s="217"/>
      <c r="HC10" s="217"/>
      <c r="HD10" s="217"/>
      <c r="HE10" s="217"/>
      <c r="HF10" s="217"/>
      <c r="HG10" s="217"/>
      <c r="HH10" s="217"/>
      <c r="HI10" s="217"/>
      <c r="HJ10" s="217"/>
      <c r="HK10" s="217"/>
      <c r="HL10" s="217"/>
      <c r="HM10" s="217"/>
      <c r="HN10" s="217"/>
      <c r="HO10" s="217"/>
      <c r="HP10" s="217"/>
      <c r="HQ10" s="217"/>
      <c r="HR10" s="217"/>
      <c r="HS10" s="217"/>
      <c r="HT10" s="217"/>
      <c r="HU10" s="217"/>
      <c r="HV10" s="217"/>
      <c r="HW10" s="217"/>
      <c r="HX10" s="217"/>
      <c r="HY10" s="217"/>
      <c r="HZ10" s="217"/>
      <c r="IA10" s="217"/>
      <c r="IB10" s="217"/>
      <c r="IC10" s="217"/>
      <c r="ID10" s="217"/>
      <c r="IE10" s="217"/>
      <c r="IF10" s="217"/>
      <c r="IG10" s="217"/>
      <c r="IH10" s="217"/>
      <c r="II10" s="217"/>
      <c r="IJ10" s="217"/>
      <c r="IK10" s="217"/>
      <c r="IL10" s="217"/>
      <c r="IM10" s="217"/>
      <c r="IN10" s="217"/>
      <c r="IO10" s="217"/>
      <c r="IP10" s="217"/>
      <c r="IQ10" s="217"/>
      <c r="IR10" s="217"/>
      <c r="IS10" s="217"/>
      <c r="IT10" s="217"/>
      <c r="IU10" s="217"/>
      <c r="IV10" s="217"/>
      <c r="IW10" s="217"/>
      <c r="IX10" s="217"/>
      <c r="IY10" s="217"/>
      <c r="IZ10" s="217"/>
      <c r="JA10" s="217"/>
      <c r="JB10" s="217"/>
      <c r="JC10" s="217"/>
      <c r="JD10" s="217"/>
      <c r="JE10" s="217"/>
      <c r="JF10" s="217"/>
      <c r="JG10" s="217"/>
      <c r="JH10" s="217"/>
      <c r="JI10" s="217"/>
      <c r="JJ10" s="217"/>
      <c r="JK10" s="217"/>
      <c r="JL10" s="217"/>
      <c r="JM10" s="217"/>
      <c r="JN10" s="217"/>
      <c r="JO10" s="217"/>
      <c r="JP10" s="217"/>
      <c r="JQ10" s="217"/>
      <c r="JR10" s="217"/>
      <c r="JS10" s="217"/>
      <c r="JT10" s="217"/>
      <c r="JU10" s="217"/>
      <c r="JV10" s="217"/>
      <c r="JW10" s="217"/>
      <c r="JX10" s="217"/>
      <c r="JY10" s="217"/>
      <c r="JZ10" s="217"/>
      <c r="KA10" s="217"/>
      <c r="KB10" s="217"/>
      <c r="KC10" s="217"/>
      <c r="KD10" s="217"/>
      <c r="KE10" s="217"/>
      <c r="KF10" s="217"/>
      <c r="KG10" s="217"/>
      <c r="KH10" s="217"/>
      <c r="KI10" s="217"/>
      <c r="KJ10" s="217"/>
      <c r="KK10" s="217"/>
      <c r="KL10" s="217"/>
      <c r="KM10" s="217"/>
      <c r="KN10" s="217"/>
      <c r="KO10" s="217"/>
      <c r="KP10" s="217"/>
      <c r="KQ10" s="217"/>
      <c r="KR10" s="217"/>
      <c r="KS10" s="217"/>
      <c r="KT10" s="217"/>
      <c r="KU10" s="217"/>
      <c r="KV10" s="217"/>
      <c r="KW10" s="217"/>
      <c r="KX10" s="217"/>
      <c r="KY10" s="217"/>
      <c r="KZ10" s="217"/>
      <c r="LA10" s="217"/>
      <c r="LB10" s="217"/>
      <c r="LC10" s="217"/>
      <c r="LD10" s="217"/>
      <c r="LE10" s="217"/>
      <c r="LF10" s="217"/>
      <c r="LG10" s="217"/>
      <c r="LH10" s="217"/>
      <c r="LI10" s="217"/>
      <c r="LJ10" s="217"/>
      <c r="LK10" s="217"/>
      <c r="LL10" s="217"/>
      <c r="LM10" s="217"/>
      <c r="LN10" s="217"/>
      <c r="LO10" s="217"/>
      <c r="LP10" s="217"/>
      <c r="LQ10" s="217"/>
      <c r="LR10" s="217"/>
      <c r="LS10" s="217"/>
      <c r="LT10" s="217"/>
      <c r="LU10" s="217"/>
      <c r="LV10" s="217"/>
      <c r="LW10" s="217"/>
      <c r="LX10" s="217"/>
      <c r="LY10" s="217"/>
      <c r="LZ10" s="217"/>
      <c r="MA10" s="217"/>
      <c r="MB10" s="217"/>
      <c r="MC10" s="217"/>
      <c r="MD10" s="217"/>
      <c r="ME10" s="217"/>
      <c r="MF10" s="217"/>
      <c r="MG10" s="217"/>
      <c r="MH10" s="217"/>
      <c r="MI10" s="217"/>
      <c r="MJ10" s="217"/>
      <c r="MK10" s="217"/>
      <c r="ML10" s="217"/>
      <c r="MM10" s="217"/>
      <c r="MN10" s="217"/>
      <c r="MO10" s="217"/>
      <c r="MP10" s="217"/>
      <c r="MQ10" s="217"/>
      <c r="MR10" s="217"/>
      <c r="MS10" s="217"/>
      <c r="MT10" s="217"/>
      <c r="MU10" s="217"/>
      <c r="MV10" s="217"/>
      <c r="MW10" s="217"/>
      <c r="MX10" s="217"/>
      <c r="MY10" s="217"/>
      <c r="MZ10" s="217"/>
      <c r="NA10" s="217"/>
      <c r="NB10" s="217"/>
      <c r="NC10" s="217"/>
      <c r="ND10" s="217"/>
      <c r="NE10" s="217"/>
      <c r="NF10" s="217"/>
      <c r="NG10" s="217"/>
      <c r="NH10" s="217"/>
      <c r="NI10" s="217"/>
      <c r="NJ10" s="217"/>
      <c r="NK10" s="217"/>
      <c r="NL10" s="217"/>
      <c r="NM10" s="217"/>
      <c r="NN10" s="217"/>
      <c r="NO10" s="217"/>
      <c r="NP10" s="217"/>
      <c r="NQ10" s="217"/>
      <c r="NR10" s="217"/>
      <c r="NS10" s="217"/>
      <c r="NT10" s="217"/>
      <c r="NU10" s="217"/>
      <c r="NV10" s="217"/>
      <c r="NW10" s="217"/>
      <c r="NX10" s="217"/>
      <c r="NY10" s="217"/>
      <c r="NZ10" s="217"/>
      <c r="OA10" s="217"/>
      <c r="OB10" s="217"/>
      <c r="OC10" s="217"/>
      <c r="OD10" s="217"/>
      <c r="OE10" s="217"/>
      <c r="OF10" s="217"/>
      <c r="OG10" s="217"/>
      <c r="OH10" s="217"/>
      <c r="OI10" s="217"/>
      <c r="OJ10" s="217"/>
      <c r="OK10" s="217"/>
      <c r="OL10" s="217"/>
      <c r="OM10" s="217"/>
      <c r="ON10" s="217"/>
      <c r="OO10" s="217"/>
      <c r="OP10" s="217"/>
      <c r="OQ10" s="217"/>
      <c r="OR10" s="217"/>
      <c r="OS10" s="217"/>
      <c r="OT10" s="217"/>
      <c r="OU10" s="217"/>
      <c r="OV10" s="217"/>
      <c r="OW10" s="217"/>
      <c r="OX10" s="217"/>
      <c r="OY10" s="217"/>
      <c r="OZ10" s="217"/>
      <c r="PA10" s="217"/>
      <c r="PB10" s="217"/>
      <c r="PC10" s="217"/>
      <c r="PD10" s="217"/>
      <c r="PE10" s="217"/>
      <c r="PF10" s="217"/>
      <c r="PG10" s="217"/>
      <c r="PH10" s="217"/>
      <c r="PI10" s="217"/>
      <c r="PJ10" s="217"/>
      <c r="PK10" s="217"/>
      <c r="PL10" s="217"/>
      <c r="PM10" s="217"/>
      <c r="PN10" s="217"/>
      <c r="PO10" s="217"/>
      <c r="PP10" s="217"/>
      <c r="PQ10" s="217"/>
      <c r="PR10" s="217"/>
      <c r="PS10" s="217"/>
      <c r="PT10" s="217"/>
      <c r="PU10" s="217"/>
      <c r="PV10" s="217"/>
      <c r="PW10" s="217"/>
      <c r="PX10" s="217"/>
      <c r="PY10" s="217"/>
      <c r="PZ10" s="217"/>
      <c r="QA10" s="217"/>
      <c r="QB10" s="217"/>
      <c r="QC10" s="217"/>
      <c r="QD10" s="217"/>
      <c r="QE10" s="217"/>
      <c r="QF10" s="217"/>
      <c r="QG10" s="217"/>
      <c r="QH10" s="217"/>
      <c r="QI10" s="217"/>
      <c r="QJ10" s="217"/>
      <c r="QK10" s="217"/>
      <c r="QL10" s="217"/>
      <c r="QM10" s="217"/>
      <c r="QN10" s="217"/>
      <c r="QO10" s="217"/>
      <c r="QP10" s="217"/>
      <c r="QQ10" s="217"/>
      <c r="QR10" s="217"/>
      <c r="QS10" s="217"/>
      <c r="QT10" s="217"/>
      <c r="QU10" s="217"/>
      <c r="QV10" s="217"/>
      <c r="QW10" s="217"/>
      <c r="QX10" s="217"/>
      <c r="QY10" s="217"/>
      <c r="QZ10" s="217"/>
      <c r="RA10" s="217"/>
      <c r="RB10" s="217"/>
      <c r="RC10" s="217"/>
      <c r="RD10" s="217"/>
      <c r="RE10" s="217"/>
      <c r="RF10" s="217"/>
      <c r="RG10" s="217"/>
      <c r="RH10" s="217"/>
      <c r="RI10" s="217"/>
      <c r="RJ10" s="217"/>
      <c r="RK10" s="217"/>
      <c r="RL10" s="217"/>
      <c r="RM10" s="217"/>
      <c r="RN10" s="217"/>
      <c r="RO10" s="217"/>
      <c r="RP10" s="217"/>
      <c r="RQ10" s="217"/>
      <c r="RR10" s="217"/>
      <c r="RS10" s="217"/>
      <c r="RT10" s="217"/>
      <c r="RU10" s="217"/>
      <c r="RV10" s="217"/>
      <c r="RW10" s="217"/>
      <c r="RX10" s="217"/>
      <c r="RY10" s="217"/>
      <c r="RZ10" s="217"/>
      <c r="SA10" s="217"/>
      <c r="SB10" s="217"/>
      <c r="SC10" s="217"/>
      <c r="SD10" s="217"/>
      <c r="SE10" s="217"/>
      <c r="SF10" s="217"/>
      <c r="SG10" s="217"/>
      <c r="SH10" s="217"/>
      <c r="SI10" s="217"/>
      <c r="SJ10" s="217"/>
      <c r="SK10" s="217"/>
      <c r="SL10" s="217"/>
      <c r="SM10" s="217"/>
      <c r="SN10" s="217"/>
      <c r="SO10" s="217"/>
      <c r="SP10" s="217"/>
      <c r="SQ10" s="217"/>
      <c r="SR10" s="217"/>
      <c r="SS10" s="217"/>
      <c r="ST10" s="217"/>
      <c r="SU10" s="217"/>
      <c r="SV10" s="217"/>
      <c r="SW10" s="217"/>
      <c r="SX10" s="217"/>
      <c r="SY10" s="217"/>
      <c r="SZ10" s="217"/>
      <c r="TA10" s="217"/>
      <c r="TB10" s="217"/>
      <c r="TC10" s="217"/>
      <c r="TD10" s="217"/>
      <c r="TE10" s="217"/>
      <c r="TF10" s="217"/>
      <c r="TG10" s="217"/>
      <c r="TH10" s="217"/>
      <c r="TI10" s="217"/>
      <c r="TJ10" s="217"/>
      <c r="TK10" s="217"/>
      <c r="TL10" s="217"/>
      <c r="TM10" s="217"/>
      <c r="TN10" s="217"/>
      <c r="TO10" s="217"/>
      <c r="TP10" s="217"/>
      <c r="TQ10" s="217"/>
      <c r="TR10" s="217"/>
      <c r="TS10" s="217"/>
      <c r="TT10" s="217"/>
      <c r="TU10" s="217"/>
      <c r="TV10" s="217"/>
      <c r="TW10" s="217"/>
      <c r="TX10" s="217"/>
      <c r="TY10" s="217"/>
      <c r="TZ10" s="217"/>
      <c r="UA10" s="217"/>
      <c r="UB10" s="217"/>
      <c r="UC10" s="217"/>
      <c r="UD10" s="217"/>
      <c r="UE10" s="217"/>
      <c r="UF10" s="217"/>
      <c r="UG10" s="217"/>
      <c r="UH10" s="217"/>
      <c r="UI10" s="217"/>
      <c r="UJ10" s="217"/>
      <c r="UK10" s="217"/>
      <c r="UL10" s="217"/>
      <c r="UM10" s="217"/>
      <c r="UN10" s="217"/>
      <c r="UO10" s="217"/>
      <c r="UP10" s="217"/>
      <c r="UQ10" s="217"/>
      <c r="UR10" s="217"/>
      <c r="US10" s="217"/>
      <c r="UT10" s="217"/>
      <c r="UU10" s="217"/>
      <c r="UV10" s="217"/>
      <c r="UW10" s="217"/>
      <c r="UX10" s="217"/>
      <c r="UY10" s="217"/>
      <c r="UZ10" s="217"/>
      <c r="VA10" s="217"/>
      <c r="VB10" s="217"/>
      <c r="VC10" s="217"/>
      <c r="VD10" s="217"/>
      <c r="VE10" s="217"/>
      <c r="VF10" s="217"/>
      <c r="VG10" s="217"/>
      <c r="VH10" s="217"/>
      <c r="VI10" s="217"/>
      <c r="VJ10" s="217"/>
      <c r="VK10" s="217"/>
      <c r="VL10" s="217"/>
      <c r="VM10" s="217"/>
      <c r="VN10" s="217"/>
      <c r="VO10" s="217"/>
      <c r="VP10" s="217"/>
      <c r="VQ10" s="217"/>
      <c r="VR10" s="217"/>
      <c r="VS10" s="217"/>
      <c r="VT10" s="217"/>
      <c r="VU10" s="217"/>
      <c r="VV10" s="217"/>
      <c r="VW10" s="217"/>
      <c r="VX10" s="217"/>
      <c r="VY10" s="217"/>
      <c r="VZ10" s="217"/>
      <c r="WA10" s="217"/>
      <c r="WB10" s="217"/>
      <c r="WC10" s="217"/>
      <c r="WD10" s="217"/>
      <c r="WE10" s="217"/>
      <c r="WF10" s="217"/>
      <c r="WG10" s="217"/>
      <c r="WH10" s="217"/>
      <c r="WI10" s="217"/>
      <c r="WJ10" s="217"/>
      <c r="WK10" s="217"/>
      <c r="WL10" s="217"/>
      <c r="WM10" s="217"/>
      <c r="WN10" s="217"/>
      <c r="WO10" s="217"/>
      <c r="WP10" s="217"/>
      <c r="WQ10" s="217"/>
      <c r="WR10" s="217"/>
      <c r="WS10" s="217"/>
      <c r="WT10" s="217"/>
      <c r="WU10" s="217"/>
      <c r="WV10" s="217"/>
      <c r="WW10" s="217"/>
      <c r="WX10" s="217"/>
      <c r="WY10" s="217"/>
      <c r="WZ10" s="217"/>
      <c r="XA10" s="217"/>
      <c r="XB10" s="217"/>
      <c r="XC10" s="217"/>
      <c r="XD10" s="217"/>
      <c r="XE10" s="217"/>
      <c r="XF10" s="217"/>
      <c r="XG10" s="217"/>
      <c r="XH10" s="217"/>
      <c r="XI10" s="217"/>
      <c r="XJ10" s="217"/>
      <c r="XK10" s="217"/>
      <c r="XL10" s="217"/>
      <c r="XM10" s="217"/>
      <c r="XN10" s="217"/>
      <c r="XO10" s="217"/>
      <c r="XP10" s="217"/>
      <c r="XQ10" s="217"/>
      <c r="XR10" s="217"/>
      <c r="XS10" s="217"/>
      <c r="XT10" s="217"/>
      <c r="XU10" s="217"/>
      <c r="XV10" s="217"/>
      <c r="XW10" s="217"/>
      <c r="XX10" s="217"/>
      <c r="XY10" s="217"/>
      <c r="XZ10" s="217"/>
      <c r="YA10" s="217"/>
      <c r="YB10" s="217"/>
      <c r="YC10" s="217"/>
      <c r="YD10" s="217"/>
      <c r="YE10" s="217"/>
      <c r="YF10" s="217"/>
      <c r="YG10" s="217"/>
      <c r="YH10" s="217"/>
      <c r="YI10" s="217"/>
      <c r="YJ10" s="217"/>
      <c r="YK10" s="217"/>
      <c r="YL10" s="217"/>
      <c r="YM10" s="217"/>
      <c r="YN10" s="217"/>
      <c r="YO10" s="217"/>
      <c r="YP10" s="217"/>
      <c r="YQ10" s="217"/>
      <c r="YR10" s="217"/>
      <c r="YS10" s="217"/>
      <c r="YT10" s="217"/>
      <c r="YU10" s="217"/>
      <c r="YV10" s="217"/>
      <c r="YW10" s="217"/>
      <c r="YX10" s="217"/>
      <c r="YY10" s="217"/>
      <c r="YZ10" s="217"/>
      <c r="ZA10" s="217"/>
      <c r="ZB10" s="217"/>
      <c r="ZC10" s="217"/>
      <c r="ZD10" s="217"/>
      <c r="ZE10" s="217"/>
      <c r="ZF10" s="217"/>
      <c r="ZG10" s="217"/>
      <c r="ZH10" s="217"/>
      <c r="ZI10" s="217"/>
      <c r="ZJ10" s="217"/>
      <c r="ZK10" s="217"/>
      <c r="ZL10" s="217"/>
      <c r="ZM10" s="217"/>
      <c r="ZN10" s="217"/>
      <c r="ZO10" s="217"/>
      <c r="ZP10" s="217"/>
      <c r="ZQ10" s="217"/>
      <c r="ZR10" s="217"/>
      <c r="ZS10" s="217"/>
      <c r="ZT10" s="217"/>
      <c r="ZU10" s="217"/>
      <c r="ZV10" s="217"/>
      <c r="ZW10" s="217"/>
      <c r="ZX10" s="217"/>
      <c r="ZY10" s="217"/>
      <c r="ZZ10" s="217"/>
      <c r="AAA10" s="217"/>
      <c r="AAB10" s="217"/>
      <c r="AAC10" s="217"/>
      <c r="AAD10" s="217"/>
      <c r="AAE10" s="217"/>
      <c r="AAF10" s="217"/>
      <c r="AAG10" s="217"/>
      <c r="AAH10" s="217"/>
      <c r="AAI10" s="217"/>
      <c r="AAJ10" s="217"/>
      <c r="AAK10" s="217"/>
      <c r="AAL10" s="217"/>
      <c r="AAM10" s="217"/>
      <c r="AAN10" s="217"/>
      <c r="AAO10" s="217"/>
      <c r="AAP10" s="217"/>
      <c r="AAQ10" s="217"/>
      <c r="AAR10" s="217"/>
      <c r="AAS10" s="217"/>
      <c r="AAT10" s="217"/>
      <c r="AAU10" s="217"/>
      <c r="AAV10" s="217"/>
      <c r="AAW10" s="217"/>
      <c r="AAX10" s="217"/>
      <c r="AAY10" s="217"/>
      <c r="AAZ10" s="217"/>
      <c r="ABA10" s="217"/>
      <c r="ABB10" s="217"/>
      <c r="ABC10" s="217"/>
      <c r="ABD10" s="217"/>
      <c r="ABE10" s="217"/>
      <c r="ABF10" s="217"/>
      <c r="ABG10" s="217"/>
      <c r="ABH10" s="217"/>
      <c r="ABI10" s="217"/>
      <c r="ABJ10" s="217"/>
      <c r="ABK10" s="217"/>
      <c r="ABL10" s="217"/>
      <c r="ABM10" s="217"/>
      <c r="ABN10" s="217"/>
      <c r="ABO10" s="217"/>
      <c r="ABP10" s="217"/>
      <c r="ABQ10" s="217"/>
      <c r="ABR10" s="217"/>
      <c r="ABS10" s="217"/>
      <c r="ABT10" s="217"/>
      <c r="ABU10" s="217"/>
      <c r="ABV10" s="217"/>
      <c r="ABW10" s="217"/>
      <c r="ABX10" s="217"/>
      <c r="ABY10" s="217"/>
      <c r="ABZ10" s="217"/>
      <c r="ACA10" s="217"/>
      <c r="ACB10" s="217"/>
      <c r="ACC10" s="217"/>
      <c r="ACD10" s="217"/>
      <c r="ACE10" s="217"/>
      <c r="ACF10" s="217"/>
      <c r="ACG10" s="217"/>
      <c r="ACH10" s="217"/>
      <c r="ACI10" s="217"/>
      <c r="ACJ10" s="217"/>
      <c r="ACK10" s="217"/>
      <c r="ACL10" s="217"/>
      <c r="ACM10" s="217"/>
      <c r="ACN10" s="217"/>
      <c r="ACO10" s="217"/>
      <c r="ACP10" s="217"/>
      <c r="ACQ10" s="217"/>
      <c r="ACR10" s="217"/>
      <c r="ACS10" s="217"/>
      <c r="ACT10" s="217"/>
      <c r="ACU10" s="217"/>
      <c r="ACV10" s="217"/>
      <c r="ACW10" s="217"/>
      <c r="ACX10" s="217"/>
      <c r="ACY10" s="217"/>
      <c r="ACZ10" s="217"/>
      <c r="ADA10" s="217"/>
      <c r="ADB10" s="217"/>
      <c r="ADC10" s="217"/>
      <c r="ADD10" s="217"/>
      <c r="ADE10" s="217"/>
      <c r="ADF10" s="217"/>
      <c r="ADG10" s="217"/>
      <c r="ADH10" s="217"/>
      <c r="ADI10" s="217"/>
      <c r="ADJ10" s="217"/>
      <c r="ADK10" s="217"/>
      <c r="ADL10" s="217"/>
      <c r="ADM10" s="217"/>
      <c r="ADN10" s="217"/>
      <c r="ADO10" s="217"/>
      <c r="ADP10" s="217"/>
      <c r="ADQ10" s="217"/>
      <c r="ADR10" s="217"/>
      <c r="ADS10" s="217"/>
      <c r="ADT10" s="217"/>
      <c r="ADU10" s="217"/>
      <c r="ADV10" s="217"/>
      <c r="ADW10" s="217"/>
      <c r="ADX10" s="217"/>
      <c r="ADY10" s="217"/>
      <c r="ADZ10" s="217"/>
      <c r="AEA10" s="217"/>
      <c r="AEB10" s="217"/>
      <c r="AEC10" s="217"/>
      <c r="AED10" s="217"/>
      <c r="AEE10" s="217"/>
      <c r="AEF10" s="217"/>
      <c r="AEG10" s="217"/>
      <c r="AEH10" s="217"/>
      <c r="AEI10" s="217"/>
      <c r="AEJ10" s="217"/>
      <c r="AEK10" s="217"/>
      <c r="AEL10" s="217"/>
      <c r="AEM10" s="217"/>
      <c r="AEN10" s="217"/>
      <c r="AEO10" s="217"/>
      <c r="AEP10" s="217"/>
      <c r="AEQ10" s="217"/>
      <c r="AER10" s="217"/>
      <c r="AES10" s="217"/>
      <c r="AET10" s="217"/>
      <c r="AEU10" s="217"/>
      <c r="AEV10" s="217"/>
      <c r="AEW10" s="217"/>
      <c r="AEX10" s="217"/>
      <c r="AEY10" s="217"/>
      <c r="AEZ10" s="217"/>
      <c r="AFA10" s="217"/>
      <c r="AFB10" s="217"/>
      <c r="AFC10" s="217"/>
      <c r="AFD10" s="217"/>
      <c r="AFE10" s="217"/>
      <c r="AFF10" s="217"/>
      <c r="AFG10" s="217"/>
      <c r="AFH10" s="217"/>
      <c r="AFI10" s="217"/>
      <c r="AFJ10" s="217"/>
      <c r="AFK10" s="217"/>
      <c r="AFL10" s="217"/>
      <c r="AFM10" s="217"/>
      <c r="AFN10" s="217"/>
      <c r="AFO10" s="217"/>
      <c r="AFP10" s="217"/>
      <c r="AFQ10" s="217"/>
      <c r="AFR10" s="217"/>
      <c r="AFS10" s="217"/>
      <c r="AFT10" s="217"/>
      <c r="AFU10" s="217"/>
      <c r="AFV10" s="217"/>
      <c r="AFW10" s="217"/>
      <c r="AFX10" s="217"/>
      <c r="AFY10" s="217"/>
      <c r="AFZ10" s="217"/>
      <c r="AGA10" s="217"/>
      <c r="AGB10" s="217"/>
      <c r="AGC10" s="217"/>
      <c r="AGD10" s="217"/>
      <c r="AGE10" s="217"/>
      <c r="AGF10" s="217"/>
      <c r="AGG10" s="217"/>
      <c r="AGH10" s="217"/>
      <c r="AGI10" s="217"/>
      <c r="AGJ10" s="217"/>
      <c r="AGK10" s="217"/>
      <c r="AGL10" s="217"/>
      <c r="AGM10" s="217"/>
      <c r="AGN10" s="217"/>
      <c r="AGO10" s="217"/>
      <c r="AGP10" s="217"/>
      <c r="AGQ10" s="217"/>
      <c r="AGR10" s="217"/>
      <c r="AGS10" s="217"/>
      <c r="AGT10" s="217"/>
      <c r="AGU10" s="217"/>
      <c r="AGV10" s="217"/>
      <c r="AGW10" s="217"/>
      <c r="AGX10" s="217"/>
      <c r="AGY10" s="217"/>
      <c r="AGZ10" s="217"/>
      <c r="AHA10" s="217"/>
      <c r="AHB10" s="217"/>
      <c r="AHC10" s="217"/>
      <c r="AHD10" s="217"/>
      <c r="AHE10" s="217"/>
      <c r="AHF10" s="217"/>
      <c r="AHG10" s="217"/>
      <c r="AHH10" s="217"/>
      <c r="AHI10" s="217"/>
      <c r="AHJ10" s="217"/>
      <c r="AHK10" s="217"/>
      <c r="AHL10" s="217"/>
      <c r="AHM10" s="217"/>
      <c r="AHN10" s="217"/>
      <c r="AHO10" s="217"/>
      <c r="AHP10" s="217"/>
      <c r="AHQ10" s="217"/>
      <c r="AHR10" s="217"/>
      <c r="AHS10" s="217"/>
      <c r="AHT10" s="217"/>
      <c r="AHU10" s="217"/>
      <c r="AHV10" s="217"/>
      <c r="AHW10" s="217"/>
      <c r="AHX10" s="217"/>
      <c r="AHY10" s="217"/>
      <c r="AHZ10" s="217"/>
      <c r="AIA10" s="217"/>
      <c r="AIB10" s="217"/>
      <c r="AIC10" s="217"/>
      <c r="AID10" s="217"/>
      <c r="AIE10" s="217"/>
      <c r="AIF10" s="217"/>
      <c r="AIG10" s="217"/>
      <c r="AIH10" s="217"/>
      <c r="AII10" s="217"/>
      <c r="AIJ10" s="217"/>
      <c r="AIK10" s="217"/>
      <c r="AIL10" s="217"/>
      <c r="AIM10" s="217"/>
      <c r="AIN10" s="217"/>
      <c r="AIO10" s="217"/>
      <c r="AIP10" s="217"/>
      <c r="AIQ10" s="217"/>
      <c r="AIR10" s="217"/>
      <c r="AIS10" s="217"/>
      <c r="AIT10" s="217"/>
      <c r="AIU10" s="217"/>
      <c r="AIV10" s="217"/>
      <c r="AIW10" s="217"/>
      <c r="AIX10" s="217"/>
      <c r="AIY10" s="217"/>
      <c r="AIZ10" s="217"/>
      <c r="AJA10" s="217"/>
      <c r="AJB10" s="217"/>
      <c r="AJC10" s="217"/>
      <c r="AJD10" s="217"/>
      <c r="AJE10" s="217"/>
      <c r="AJF10" s="217"/>
      <c r="AJG10" s="217"/>
      <c r="AJH10" s="217"/>
      <c r="AJI10" s="217"/>
      <c r="AJJ10" s="217"/>
      <c r="AJK10" s="217"/>
      <c r="AJL10" s="217"/>
      <c r="AJM10" s="217"/>
      <c r="AJN10" s="217"/>
      <c r="AJO10" s="217"/>
      <c r="AJP10" s="217"/>
      <c r="AJQ10" s="217"/>
      <c r="AJR10" s="217"/>
      <c r="AJS10" s="217"/>
      <c r="AJT10" s="217"/>
      <c r="AJU10" s="217"/>
      <c r="AJV10" s="217"/>
      <c r="AJW10" s="217"/>
      <c r="AJX10" s="217"/>
      <c r="AJY10" s="217"/>
      <c r="AJZ10" s="217"/>
      <c r="AKA10" s="217"/>
      <c r="AKB10" s="217"/>
      <c r="AKC10" s="217"/>
      <c r="AKD10" s="217"/>
      <c r="AKE10" s="217"/>
      <c r="AKF10" s="217"/>
      <c r="AKG10" s="217"/>
      <c r="AKH10" s="217"/>
      <c r="AKI10" s="217"/>
      <c r="AKJ10" s="217"/>
      <c r="AKK10" s="217"/>
      <c r="AKL10" s="217"/>
      <c r="AKM10" s="217"/>
      <c r="AKN10" s="217"/>
      <c r="AKO10" s="217"/>
      <c r="AKP10" s="217"/>
      <c r="AKQ10" s="217"/>
      <c r="AKR10" s="217"/>
      <c r="AKS10" s="217"/>
      <c r="AKT10" s="217"/>
      <c r="AKU10" s="217"/>
      <c r="AKV10" s="217"/>
      <c r="AKW10" s="217"/>
      <c r="AKX10" s="217"/>
      <c r="AKY10" s="217"/>
      <c r="AKZ10" s="217"/>
      <c r="ALA10" s="217"/>
      <c r="ALB10" s="217"/>
      <c r="ALC10" s="217"/>
      <c r="ALD10" s="217"/>
      <c r="ALE10" s="217"/>
      <c r="ALF10" s="217"/>
      <c r="ALG10" s="217"/>
      <c r="ALH10" s="217"/>
      <c r="ALI10" s="217"/>
      <c r="ALJ10" s="217"/>
      <c r="ALK10" s="217"/>
      <c r="ALL10" s="217"/>
      <c r="ALM10" s="217"/>
      <c r="ALN10" s="217"/>
      <c r="ALO10" s="217"/>
      <c r="ALP10" s="217"/>
      <c r="ALQ10" s="217"/>
      <c r="ALR10" s="217"/>
      <c r="ALS10" s="217"/>
      <c r="ALT10" s="217"/>
      <c r="ALU10" s="217"/>
      <c r="ALV10" s="217"/>
      <c r="ALW10" s="217"/>
      <c r="ALX10" s="217"/>
      <c r="ALY10" s="217"/>
      <c r="ALZ10" s="217"/>
      <c r="AMA10" s="217"/>
      <c r="AMB10" s="217"/>
      <c r="AMC10" s="217"/>
      <c r="AMD10" s="217"/>
      <c r="AME10" s="217"/>
      <c r="AMF10" s="217"/>
      <c r="AMG10" s="217"/>
      <c r="AMH10" s="217"/>
    </row>
    <row r="11" spans="1:1024" ht="18.75" customHeight="1">
      <c r="A11" s="118" t="s">
        <v>78</v>
      </c>
      <c r="B11" s="119" t="s">
        <v>134</v>
      </c>
      <c r="C11" s="120" t="s">
        <v>135</v>
      </c>
      <c r="D11" s="121">
        <v>14</v>
      </c>
      <c r="E11" s="121">
        <v>13</v>
      </c>
      <c r="F11" s="121">
        <v>6</v>
      </c>
      <c r="K11" s="88"/>
      <c r="M11" s="6"/>
      <c r="AMI11"/>
      <c r="AMJ11"/>
    </row>
    <row r="12" spans="1:1024" ht="18.75" customHeight="1">
      <c r="A12" s="118" t="s">
        <v>86</v>
      </c>
      <c r="B12" s="119" t="s">
        <v>134</v>
      </c>
      <c r="C12" s="120" t="s">
        <v>135</v>
      </c>
      <c r="D12" s="121">
        <v>24</v>
      </c>
      <c r="E12" s="121">
        <v>24</v>
      </c>
      <c r="F12" s="121">
        <v>20</v>
      </c>
      <c r="K12" s="88"/>
      <c r="M12" s="6"/>
      <c r="AMI12"/>
      <c r="AMJ12"/>
    </row>
    <row r="13" spans="1:1024" ht="18.75" customHeight="1">
      <c r="A13" s="118" t="s">
        <v>94</v>
      </c>
      <c r="B13" s="119" t="s">
        <v>134</v>
      </c>
      <c r="C13" s="120" t="s">
        <v>135</v>
      </c>
      <c r="D13" s="121">
        <v>29</v>
      </c>
      <c r="E13" s="121">
        <v>33</v>
      </c>
      <c r="F13" s="121">
        <v>20</v>
      </c>
      <c r="K13" s="88"/>
      <c r="M13" s="6"/>
      <c r="AMI13"/>
      <c r="AMJ13"/>
    </row>
    <row r="14" spans="1:1024" ht="18.75" customHeight="1">
      <c r="A14" s="118" t="s">
        <v>102</v>
      </c>
      <c r="B14" s="119" t="s">
        <v>134</v>
      </c>
      <c r="C14" s="120" t="s">
        <v>135</v>
      </c>
      <c r="D14" s="121">
        <v>27</v>
      </c>
      <c r="E14" s="121">
        <v>32</v>
      </c>
      <c r="F14" s="121">
        <v>35</v>
      </c>
      <c r="K14" s="88"/>
      <c r="M14" s="6"/>
      <c r="AMI14"/>
      <c r="AMJ14"/>
    </row>
    <row r="15" spans="1:1024" s="218" customFormat="1" ht="18.75" customHeight="1" thickBot="1">
      <c r="A15" s="296" t="s">
        <v>195</v>
      </c>
      <c r="B15" s="219"/>
      <c r="C15" s="220"/>
      <c r="D15" s="221"/>
      <c r="E15" s="221"/>
      <c r="F15" s="221">
        <v>22</v>
      </c>
      <c r="G15" s="216"/>
      <c r="H15" s="216"/>
      <c r="I15" s="216"/>
      <c r="J15" s="216"/>
      <c r="K15" s="216"/>
      <c r="L15" s="216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7"/>
      <c r="AP15" s="217"/>
      <c r="AQ15" s="217"/>
      <c r="AR15" s="217"/>
      <c r="AS15" s="217"/>
      <c r="AT15" s="217"/>
      <c r="AU15" s="217"/>
      <c r="AV15" s="217"/>
      <c r="AW15" s="217"/>
      <c r="AX15" s="217"/>
      <c r="AY15" s="217"/>
      <c r="AZ15" s="217"/>
      <c r="BA15" s="217"/>
      <c r="BB15" s="217"/>
      <c r="BC15" s="217"/>
      <c r="BD15" s="217"/>
      <c r="BE15" s="217"/>
      <c r="BF15" s="217"/>
      <c r="BG15" s="217"/>
      <c r="BH15" s="217"/>
      <c r="BI15" s="217"/>
      <c r="BJ15" s="217"/>
      <c r="BK15" s="217"/>
      <c r="BL15" s="217"/>
      <c r="BM15" s="217"/>
      <c r="BN15" s="217"/>
      <c r="BO15" s="217"/>
      <c r="BP15" s="217"/>
      <c r="BQ15" s="217"/>
      <c r="BR15" s="217"/>
      <c r="BS15" s="217"/>
      <c r="BT15" s="217"/>
      <c r="BU15" s="217"/>
      <c r="BV15" s="217"/>
      <c r="BW15" s="217"/>
      <c r="BX15" s="217"/>
      <c r="BY15" s="217"/>
      <c r="BZ15" s="217"/>
      <c r="CA15" s="217"/>
      <c r="CB15" s="217"/>
      <c r="CC15" s="217"/>
      <c r="CD15" s="217"/>
      <c r="CE15" s="217"/>
      <c r="CF15" s="217"/>
      <c r="CG15" s="217"/>
      <c r="CH15" s="217"/>
      <c r="CI15" s="217"/>
      <c r="CJ15" s="217"/>
      <c r="CK15" s="217"/>
      <c r="CL15" s="217"/>
      <c r="CM15" s="217"/>
      <c r="CN15" s="217"/>
      <c r="CO15" s="217"/>
      <c r="CP15" s="217"/>
      <c r="CQ15" s="217"/>
      <c r="CR15" s="217"/>
      <c r="CS15" s="217"/>
      <c r="CT15" s="217"/>
      <c r="CU15" s="217"/>
      <c r="CV15" s="217"/>
      <c r="CW15" s="217"/>
      <c r="CX15" s="217"/>
      <c r="CY15" s="217"/>
      <c r="CZ15" s="217"/>
      <c r="DA15" s="217"/>
      <c r="DB15" s="217"/>
      <c r="DC15" s="217"/>
      <c r="DD15" s="217"/>
      <c r="DE15" s="217"/>
      <c r="DF15" s="217"/>
      <c r="DG15" s="217"/>
      <c r="DH15" s="217"/>
      <c r="DI15" s="217"/>
      <c r="DJ15" s="217"/>
      <c r="DK15" s="217"/>
      <c r="DL15" s="217"/>
      <c r="DM15" s="217"/>
      <c r="DN15" s="217"/>
      <c r="DO15" s="217"/>
      <c r="DP15" s="217"/>
      <c r="DQ15" s="217"/>
      <c r="DR15" s="217"/>
      <c r="DS15" s="217"/>
      <c r="DT15" s="217"/>
      <c r="DU15" s="217"/>
      <c r="DV15" s="217"/>
      <c r="DW15" s="217"/>
      <c r="DX15" s="217"/>
      <c r="DY15" s="217"/>
      <c r="DZ15" s="217"/>
      <c r="EA15" s="217"/>
      <c r="EB15" s="217"/>
      <c r="EC15" s="217"/>
      <c r="ED15" s="217"/>
      <c r="EE15" s="217"/>
      <c r="EF15" s="217"/>
      <c r="EG15" s="217"/>
      <c r="EH15" s="217"/>
      <c r="EI15" s="217"/>
      <c r="EJ15" s="217"/>
      <c r="EK15" s="217"/>
      <c r="EL15" s="217"/>
      <c r="EM15" s="217"/>
      <c r="EN15" s="217"/>
      <c r="EO15" s="217"/>
      <c r="EP15" s="217"/>
      <c r="EQ15" s="217"/>
      <c r="ER15" s="217"/>
      <c r="ES15" s="217"/>
      <c r="ET15" s="217"/>
      <c r="EU15" s="217"/>
      <c r="EV15" s="217"/>
      <c r="EW15" s="217"/>
      <c r="EX15" s="217"/>
      <c r="EY15" s="217"/>
      <c r="EZ15" s="217"/>
      <c r="FA15" s="217"/>
      <c r="FB15" s="217"/>
      <c r="FC15" s="217"/>
      <c r="FD15" s="217"/>
      <c r="FE15" s="217"/>
      <c r="FF15" s="217"/>
      <c r="FG15" s="217"/>
      <c r="FH15" s="217"/>
      <c r="FI15" s="217"/>
      <c r="FJ15" s="217"/>
      <c r="FK15" s="217"/>
      <c r="FL15" s="217"/>
      <c r="FM15" s="217"/>
      <c r="FN15" s="217"/>
      <c r="FO15" s="217"/>
      <c r="FP15" s="217"/>
      <c r="FQ15" s="217"/>
      <c r="FR15" s="217"/>
      <c r="FS15" s="217"/>
      <c r="FT15" s="217"/>
      <c r="FU15" s="217"/>
      <c r="FV15" s="217"/>
      <c r="FW15" s="217"/>
      <c r="FX15" s="217"/>
      <c r="FY15" s="217"/>
      <c r="FZ15" s="217"/>
      <c r="GA15" s="217"/>
      <c r="GB15" s="217"/>
      <c r="GC15" s="217"/>
      <c r="GD15" s="217"/>
      <c r="GE15" s="217"/>
      <c r="GF15" s="217"/>
      <c r="GG15" s="217"/>
      <c r="GH15" s="217"/>
      <c r="GI15" s="217"/>
      <c r="GJ15" s="217"/>
      <c r="GK15" s="217"/>
      <c r="GL15" s="217"/>
      <c r="GM15" s="217"/>
      <c r="GN15" s="217"/>
      <c r="GO15" s="217"/>
      <c r="GP15" s="217"/>
      <c r="GQ15" s="217"/>
      <c r="GR15" s="217"/>
      <c r="GS15" s="217"/>
      <c r="GT15" s="217"/>
      <c r="GU15" s="217"/>
      <c r="GV15" s="217"/>
      <c r="GW15" s="217"/>
      <c r="GX15" s="217"/>
      <c r="GY15" s="217"/>
      <c r="GZ15" s="217"/>
      <c r="HA15" s="217"/>
      <c r="HB15" s="217"/>
      <c r="HC15" s="217"/>
      <c r="HD15" s="217"/>
      <c r="HE15" s="217"/>
      <c r="HF15" s="217"/>
      <c r="HG15" s="217"/>
      <c r="HH15" s="217"/>
      <c r="HI15" s="217"/>
      <c r="HJ15" s="217"/>
      <c r="HK15" s="217"/>
      <c r="HL15" s="217"/>
      <c r="HM15" s="217"/>
      <c r="HN15" s="217"/>
      <c r="HO15" s="217"/>
      <c r="HP15" s="217"/>
      <c r="HQ15" s="217"/>
      <c r="HR15" s="217"/>
      <c r="HS15" s="217"/>
      <c r="HT15" s="217"/>
      <c r="HU15" s="217"/>
      <c r="HV15" s="217"/>
      <c r="HW15" s="217"/>
      <c r="HX15" s="217"/>
      <c r="HY15" s="217"/>
      <c r="HZ15" s="217"/>
      <c r="IA15" s="217"/>
      <c r="IB15" s="217"/>
      <c r="IC15" s="217"/>
      <c r="ID15" s="217"/>
      <c r="IE15" s="217"/>
      <c r="IF15" s="217"/>
      <c r="IG15" s="217"/>
      <c r="IH15" s="217"/>
      <c r="II15" s="217"/>
      <c r="IJ15" s="217"/>
      <c r="IK15" s="217"/>
      <c r="IL15" s="217"/>
      <c r="IM15" s="217"/>
      <c r="IN15" s="217"/>
      <c r="IO15" s="217"/>
      <c r="IP15" s="217"/>
      <c r="IQ15" s="217"/>
      <c r="IR15" s="217"/>
      <c r="IS15" s="217"/>
      <c r="IT15" s="217"/>
      <c r="IU15" s="217"/>
      <c r="IV15" s="217"/>
      <c r="IW15" s="217"/>
      <c r="IX15" s="217"/>
      <c r="IY15" s="217"/>
      <c r="IZ15" s="217"/>
      <c r="JA15" s="217"/>
      <c r="JB15" s="217"/>
      <c r="JC15" s="217"/>
      <c r="JD15" s="217"/>
      <c r="JE15" s="217"/>
      <c r="JF15" s="217"/>
      <c r="JG15" s="217"/>
      <c r="JH15" s="217"/>
      <c r="JI15" s="217"/>
      <c r="JJ15" s="217"/>
      <c r="JK15" s="217"/>
      <c r="JL15" s="217"/>
      <c r="JM15" s="217"/>
      <c r="JN15" s="217"/>
      <c r="JO15" s="217"/>
      <c r="JP15" s="217"/>
      <c r="JQ15" s="217"/>
      <c r="JR15" s="217"/>
      <c r="JS15" s="217"/>
      <c r="JT15" s="217"/>
      <c r="JU15" s="217"/>
      <c r="JV15" s="217"/>
      <c r="JW15" s="217"/>
      <c r="JX15" s="217"/>
      <c r="JY15" s="217"/>
      <c r="JZ15" s="217"/>
      <c r="KA15" s="217"/>
      <c r="KB15" s="217"/>
      <c r="KC15" s="217"/>
      <c r="KD15" s="217"/>
      <c r="KE15" s="217"/>
      <c r="KF15" s="217"/>
      <c r="KG15" s="217"/>
      <c r="KH15" s="217"/>
      <c r="KI15" s="217"/>
      <c r="KJ15" s="217"/>
      <c r="KK15" s="217"/>
      <c r="KL15" s="217"/>
      <c r="KM15" s="217"/>
      <c r="KN15" s="217"/>
      <c r="KO15" s="217"/>
      <c r="KP15" s="217"/>
      <c r="KQ15" s="217"/>
      <c r="KR15" s="217"/>
      <c r="KS15" s="217"/>
      <c r="KT15" s="217"/>
      <c r="KU15" s="217"/>
      <c r="KV15" s="217"/>
      <c r="KW15" s="217"/>
      <c r="KX15" s="217"/>
      <c r="KY15" s="217"/>
      <c r="KZ15" s="217"/>
      <c r="LA15" s="217"/>
      <c r="LB15" s="217"/>
      <c r="LC15" s="217"/>
      <c r="LD15" s="217"/>
      <c r="LE15" s="217"/>
      <c r="LF15" s="217"/>
      <c r="LG15" s="217"/>
      <c r="LH15" s="217"/>
      <c r="LI15" s="217"/>
      <c r="LJ15" s="217"/>
      <c r="LK15" s="217"/>
      <c r="LL15" s="217"/>
      <c r="LM15" s="217"/>
      <c r="LN15" s="217"/>
      <c r="LO15" s="217"/>
      <c r="LP15" s="217"/>
      <c r="LQ15" s="217"/>
      <c r="LR15" s="217"/>
      <c r="LS15" s="217"/>
      <c r="LT15" s="217"/>
      <c r="LU15" s="217"/>
      <c r="LV15" s="217"/>
      <c r="LW15" s="217"/>
      <c r="LX15" s="217"/>
      <c r="LY15" s="217"/>
      <c r="LZ15" s="217"/>
      <c r="MA15" s="217"/>
      <c r="MB15" s="217"/>
      <c r="MC15" s="217"/>
      <c r="MD15" s="217"/>
      <c r="ME15" s="217"/>
      <c r="MF15" s="217"/>
      <c r="MG15" s="217"/>
      <c r="MH15" s="217"/>
      <c r="MI15" s="217"/>
      <c r="MJ15" s="217"/>
      <c r="MK15" s="217"/>
      <c r="ML15" s="217"/>
      <c r="MM15" s="217"/>
      <c r="MN15" s="217"/>
      <c r="MO15" s="217"/>
      <c r="MP15" s="217"/>
      <c r="MQ15" s="217"/>
      <c r="MR15" s="217"/>
      <c r="MS15" s="217"/>
      <c r="MT15" s="217"/>
      <c r="MU15" s="217"/>
      <c r="MV15" s="217"/>
      <c r="MW15" s="217"/>
      <c r="MX15" s="217"/>
      <c r="MY15" s="217"/>
      <c r="MZ15" s="217"/>
      <c r="NA15" s="217"/>
      <c r="NB15" s="217"/>
      <c r="NC15" s="217"/>
      <c r="ND15" s="217"/>
      <c r="NE15" s="217"/>
      <c r="NF15" s="217"/>
      <c r="NG15" s="217"/>
      <c r="NH15" s="217"/>
      <c r="NI15" s="217"/>
      <c r="NJ15" s="217"/>
      <c r="NK15" s="217"/>
      <c r="NL15" s="217"/>
      <c r="NM15" s="217"/>
      <c r="NN15" s="217"/>
      <c r="NO15" s="217"/>
      <c r="NP15" s="217"/>
      <c r="NQ15" s="217"/>
      <c r="NR15" s="217"/>
      <c r="NS15" s="217"/>
      <c r="NT15" s="217"/>
      <c r="NU15" s="217"/>
      <c r="NV15" s="217"/>
      <c r="NW15" s="217"/>
      <c r="NX15" s="217"/>
      <c r="NY15" s="217"/>
      <c r="NZ15" s="217"/>
      <c r="OA15" s="217"/>
      <c r="OB15" s="217"/>
      <c r="OC15" s="217"/>
      <c r="OD15" s="217"/>
      <c r="OE15" s="217"/>
      <c r="OF15" s="217"/>
      <c r="OG15" s="217"/>
      <c r="OH15" s="217"/>
      <c r="OI15" s="217"/>
      <c r="OJ15" s="217"/>
      <c r="OK15" s="217"/>
      <c r="OL15" s="217"/>
      <c r="OM15" s="217"/>
      <c r="ON15" s="217"/>
      <c r="OO15" s="217"/>
      <c r="OP15" s="217"/>
      <c r="OQ15" s="217"/>
      <c r="OR15" s="217"/>
      <c r="OS15" s="217"/>
      <c r="OT15" s="217"/>
      <c r="OU15" s="217"/>
      <c r="OV15" s="217"/>
      <c r="OW15" s="217"/>
      <c r="OX15" s="217"/>
      <c r="OY15" s="217"/>
      <c r="OZ15" s="217"/>
      <c r="PA15" s="217"/>
      <c r="PB15" s="217"/>
      <c r="PC15" s="217"/>
      <c r="PD15" s="217"/>
      <c r="PE15" s="217"/>
      <c r="PF15" s="217"/>
      <c r="PG15" s="217"/>
      <c r="PH15" s="217"/>
      <c r="PI15" s="217"/>
      <c r="PJ15" s="217"/>
      <c r="PK15" s="217"/>
      <c r="PL15" s="217"/>
      <c r="PM15" s="217"/>
      <c r="PN15" s="217"/>
      <c r="PO15" s="217"/>
      <c r="PP15" s="217"/>
      <c r="PQ15" s="217"/>
      <c r="PR15" s="217"/>
      <c r="PS15" s="217"/>
      <c r="PT15" s="217"/>
      <c r="PU15" s="217"/>
      <c r="PV15" s="217"/>
      <c r="PW15" s="217"/>
      <c r="PX15" s="217"/>
      <c r="PY15" s="217"/>
      <c r="PZ15" s="217"/>
      <c r="QA15" s="217"/>
      <c r="QB15" s="217"/>
      <c r="QC15" s="217"/>
      <c r="QD15" s="217"/>
      <c r="QE15" s="217"/>
      <c r="QF15" s="217"/>
      <c r="QG15" s="217"/>
      <c r="QH15" s="217"/>
      <c r="QI15" s="217"/>
      <c r="QJ15" s="217"/>
      <c r="QK15" s="217"/>
      <c r="QL15" s="217"/>
      <c r="QM15" s="217"/>
      <c r="QN15" s="217"/>
      <c r="QO15" s="217"/>
      <c r="QP15" s="217"/>
      <c r="QQ15" s="217"/>
      <c r="QR15" s="217"/>
      <c r="QS15" s="217"/>
      <c r="QT15" s="217"/>
      <c r="QU15" s="217"/>
      <c r="QV15" s="217"/>
      <c r="QW15" s="217"/>
      <c r="QX15" s="217"/>
      <c r="QY15" s="217"/>
      <c r="QZ15" s="217"/>
      <c r="RA15" s="217"/>
      <c r="RB15" s="217"/>
      <c r="RC15" s="217"/>
      <c r="RD15" s="217"/>
      <c r="RE15" s="217"/>
      <c r="RF15" s="217"/>
      <c r="RG15" s="217"/>
      <c r="RH15" s="217"/>
      <c r="RI15" s="217"/>
      <c r="RJ15" s="217"/>
      <c r="RK15" s="217"/>
      <c r="RL15" s="217"/>
      <c r="RM15" s="217"/>
      <c r="RN15" s="217"/>
      <c r="RO15" s="217"/>
      <c r="RP15" s="217"/>
      <c r="RQ15" s="217"/>
      <c r="RR15" s="217"/>
      <c r="RS15" s="217"/>
      <c r="RT15" s="217"/>
      <c r="RU15" s="217"/>
      <c r="RV15" s="217"/>
      <c r="RW15" s="217"/>
      <c r="RX15" s="217"/>
      <c r="RY15" s="217"/>
      <c r="RZ15" s="217"/>
      <c r="SA15" s="217"/>
      <c r="SB15" s="217"/>
      <c r="SC15" s="217"/>
      <c r="SD15" s="217"/>
      <c r="SE15" s="217"/>
      <c r="SF15" s="217"/>
      <c r="SG15" s="217"/>
      <c r="SH15" s="217"/>
      <c r="SI15" s="217"/>
      <c r="SJ15" s="217"/>
      <c r="SK15" s="217"/>
      <c r="SL15" s="217"/>
      <c r="SM15" s="217"/>
      <c r="SN15" s="217"/>
      <c r="SO15" s="217"/>
      <c r="SP15" s="217"/>
      <c r="SQ15" s="217"/>
      <c r="SR15" s="217"/>
      <c r="SS15" s="217"/>
      <c r="ST15" s="217"/>
      <c r="SU15" s="217"/>
      <c r="SV15" s="217"/>
      <c r="SW15" s="217"/>
      <c r="SX15" s="217"/>
      <c r="SY15" s="217"/>
      <c r="SZ15" s="217"/>
      <c r="TA15" s="217"/>
      <c r="TB15" s="217"/>
      <c r="TC15" s="217"/>
      <c r="TD15" s="217"/>
      <c r="TE15" s="217"/>
      <c r="TF15" s="217"/>
      <c r="TG15" s="217"/>
      <c r="TH15" s="217"/>
      <c r="TI15" s="217"/>
      <c r="TJ15" s="217"/>
      <c r="TK15" s="217"/>
      <c r="TL15" s="217"/>
      <c r="TM15" s="217"/>
      <c r="TN15" s="217"/>
      <c r="TO15" s="217"/>
      <c r="TP15" s="217"/>
      <c r="TQ15" s="217"/>
      <c r="TR15" s="217"/>
      <c r="TS15" s="217"/>
      <c r="TT15" s="217"/>
      <c r="TU15" s="217"/>
      <c r="TV15" s="217"/>
      <c r="TW15" s="217"/>
      <c r="TX15" s="217"/>
      <c r="TY15" s="217"/>
      <c r="TZ15" s="217"/>
      <c r="UA15" s="217"/>
      <c r="UB15" s="217"/>
      <c r="UC15" s="217"/>
      <c r="UD15" s="217"/>
      <c r="UE15" s="217"/>
      <c r="UF15" s="217"/>
      <c r="UG15" s="217"/>
      <c r="UH15" s="217"/>
      <c r="UI15" s="217"/>
      <c r="UJ15" s="217"/>
      <c r="UK15" s="217"/>
      <c r="UL15" s="217"/>
      <c r="UM15" s="217"/>
      <c r="UN15" s="217"/>
      <c r="UO15" s="217"/>
      <c r="UP15" s="217"/>
      <c r="UQ15" s="217"/>
      <c r="UR15" s="217"/>
      <c r="US15" s="217"/>
      <c r="UT15" s="217"/>
      <c r="UU15" s="217"/>
      <c r="UV15" s="217"/>
      <c r="UW15" s="217"/>
      <c r="UX15" s="217"/>
      <c r="UY15" s="217"/>
      <c r="UZ15" s="217"/>
      <c r="VA15" s="217"/>
      <c r="VB15" s="217"/>
      <c r="VC15" s="217"/>
      <c r="VD15" s="217"/>
      <c r="VE15" s="217"/>
      <c r="VF15" s="217"/>
      <c r="VG15" s="217"/>
      <c r="VH15" s="217"/>
      <c r="VI15" s="217"/>
      <c r="VJ15" s="217"/>
      <c r="VK15" s="217"/>
      <c r="VL15" s="217"/>
      <c r="VM15" s="217"/>
      <c r="VN15" s="217"/>
      <c r="VO15" s="217"/>
      <c r="VP15" s="217"/>
      <c r="VQ15" s="217"/>
      <c r="VR15" s="217"/>
      <c r="VS15" s="217"/>
      <c r="VT15" s="217"/>
      <c r="VU15" s="217"/>
      <c r="VV15" s="217"/>
      <c r="VW15" s="217"/>
      <c r="VX15" s="217"/>
      <c r="VY15" s="217"/>
      <c r="VZ15" s="217"/>
      <c r="WA15" s="217"/>
      <c r="WB15" s="217"/>
      <c r="WC15" s="217"/>
      <c r="WD15" s="217"/>
      <c r="WE15" s="217"/>
      <c r="WF15" s="217"/>
      <c r="WG15" s="217"/>
      <c r="WH15" s="217"/>
      <c r="WI15" s="217"/>
      <c r="WJ15" s="217"/>
      <c r="WK15" s="217"/>
      <c r="WL15" s="217"/>
      <c r="WM15" s="217"/>
      <c r="WN15" s="217"/>
      <c r="WO15" s="217"/>
      <c r="WP15" s="217"/>
      <c r="WQ15" s="217"/>
      <c r="WR15" s="217"/>
      <c r="WS15" s="217"/>
      <c r="WT15" s="217"/>
      <c r="WU15" s="217"/>
      <c r="WV15" s="217"/>
      <c r="WW15" s="217"/>
      <c r="WX15" s="217"/>
      <c r="WY15" s="217"/>
      <c r="WZ15" s="217"/>
      <c r="XA15" s="217"/>
      <c r="XB15" s="217"/>
      <c r="XC15" s="217"/>
      <c r="XD15" s="217"/>
      <c r="XE15" s="217"/>
      <c r="XF15" s="217"/>
      <c r="XG15" s="217"/>
      <c r="XH15" s="217"/>
      <c r="XI15" s="217"/>
      <c r="XJ15" s="217"/>
      <c r="XK15" s="217"/>
      <c r="XL15" s="217"/>
      <c r="XM15" s="217"/>
      <c r="XN15" s="217"/>
      <c r="XO15" s="217"/>
      <c r="XP15" s="217"/>
      <c r="XQ15" s="217"/>
      <c r="XR15" s="217"/>
      <c r="XS15" s="217"/>
      <c r="XT15" s="217"/>
      <c r="XU15" s="217"/>
      <c r="XV15" s="217"/>
      <c r="XW15" s="217"/>
      <c r="XX15" s="217"/>
      <c r="XY15" s="217"/>
      <c r="XZ15" s="217"/>
      <c r="YA15" s="217"/>
      <c r="YB15" s="217"/>
      <c r="YC15" s="217"/>
      <c r="YD15" s="217"/>
      <c r="YE15" s="217"/>
      <c r="YF15" s="217"/>
      <c r="YG15" s="217"/>
      <c r="YH15" s="217"/>
      <c r="YI15" s="217"/>
      <c r="YJ15" s="217"/>
      <c r="YK15" s="217"/>
      <c r="YL15" s="217"/>
      <c r="YM15" s="217"/>
      <c r="YN15" s="217"/>
      <c r="YO15" s="217"/>
      <c r="YP15" s="217"/>
      <c r="YQ15" s="217"/>
      <c r="YR15" s="217"/>
      <c r="YS15" s="217"/>
      <c r="YT15" s="217"/>
      <c r="YU15" s="217"/>
      <c r="YV15" s="217"/>
      <c r="YW15" s="217"/>
      <c r="YX15" s="217"/>
      <c r="YY15" s="217"/>
      <c r="YZ15" s="217"/>
      <c r="ZA15" s="217"/>
      <c r="ZB15" s="217"/>
      <c r="ZC15" s="217"/>
      <c r="ZD15" s="217"/>
      <c r="ZE15" s="217"/>
      <c r="ZF15" s="217"/>
      <c r="ZG15" s="217"/>
      <c r="ZH15" s="217"/>
      <c r="ZI15" s="217"/>
      <c r="ZJ15" s="217"/>
      <c r="ZK15" s="217"/>
      <c r="ZL15" s="217"/>
      <c r="ZM15" s="217"/>
      <c r="ZN15" s="217"/>
      <c r="ZO15" s="217"/>
      <c r="ZP15" s="217"/>
      <c r="ZQ15" s="217"/>
      <c r="ZR15" s="217"/>
      <c r="ZS15" s="217"/>
      <c r="ZT15" s="217"/>
      <c r="ZU15" s="217"/>
      <c r="ZV15" s="217"/>
      <c r="ZW15" s="217"/>
      <c r="ZX15" s="217"/>
      <c r="ZY15" s="217"/>
      <c r="ZZ15" s="217"/>
      <c r="AAA15" s="217"/>
      <c r="AAB15" s="217"/>
      <c r="AAC15" s="217"/>
      <c r="AAD15" s="217"/>
      <c r="AAE15" s="217"/>
      <c r="AAF15" s="217"/>
      <c r="AAG15" s="217"/>
      <c r="AAH15" s="217"/>
      <c r="AAI15" s="217"/>
      <c r="AAJ15" s="217"/>
      <c r="AAK15" s="217"/>
      <c r="AAL15" s="217"/>
      <c r="AAM15" s="217"/>
      <c r="AAN15" s="217"/>
      <c r="AAO15" s="217"/>
      <c r="AAP15" s="217"/>
      <c r="AAQ15" s="217"/>
      <c r="AAR15" s="217"/>
      <c r="AAS15" s="217"/>
      <c r="AAT15" s="217"/>
      <c r="AAU15" s="217"/>
      <c r="AAV15" s="217"/>
      <c r="AAW15" s="217"/>
      <c r="AAX15" s="217"/>
      <c r="AAY15" s="217"/>
      <c r="AAZ15" s="217"/>
      <c r="ABA15" s="217"/>
      <c r="ABB15" s="217"/>
      <c r="ABC15" s="217"/>
      <c r="ABD15" s="217"/>
      <c r="ABE15" s="217"/>
      <c r="ABF15" s="217"/>
      <c r="ABG15" s="217"/>
      <c r="ABH15" s="217"/>
      <c r="ABI15" s="217"/>
      <c r="ABJ15" s="217"/>
      <c r="ABK15" s="217"/>
      <c r="ABL15" s="217"/>
      <c r="ABM15" s="217"/>
      <c r="ABN15" s="217"/>
      <c r="ABO15" s="217"/>
      <c r="ABP15" s="217"/>
      <c r="ABQ15" s="217"/>
      <c r="ABR15" s="217"/>
      <c r="ABS15" s="217"/>
      <c r="ABT15" s="217"/>
      <c r="ABU15" s="217"/>
      <c r="ABV15" s="217"/>
      <c r="ABW15" s="217"/>
      <c r="ABX15" s="217"/>
      <c r="ABY15" s="217"/>
      <c r="ABZ15" s="217"/>
      <c r="ACA15" s="217"/>
      <c r="ACB15" s="217"/>
      <c r="ACC15" s="217"/>
      <c r="ACD15" s="217"/>
      <c r="ACE15" s="217"/>
      <c r="ACF15" s="217"/>
      <c r="ACG15" s="217"/>
      <c r="ACH15" s="217"/>
      <c r="ACI15" s="217"/>
      <c r="ACJ15" s="217"/>
      <c r="ACK15" s="217"/>
      <c r="ACL15" s="217"/>
      <c r="ACM15" s="217"/>
      <c r="ACN15" s="217"/>
      <c r="ACO15" s="217"/>
      <c r="ACP15" s="217"/>
      <c r="ACQ15" s="217"/>
      <c r="ACR15" s="217"/>
      <c r="ACS15" s="217"/>
      <c r="ACT15" s="217"/>
      <c r="ACU15" s="217"/>
      <c r="ACV15" s="217"/>
      <c r="ACW15" s="217"/>
      <c r="ACX15" s="217"/>
      <c r="ACY15" s="217"/>
      <c r="ACZ15" s="217"/>
      <c r="ADA15" s="217"/>
      <c r="ADB15" s="217"/>
      <c r="ADC15" s="217"/>
      <c r="ADD15" s="217"/>
      <c r="ADE15" s="217"/>
      <c r="ADF15" s="217"/>
      <c r="ADG15" s="217"/>
      <c r="ADH15" s="217"/>
      <c r="ADI15" s="217"/>
      <c r="ADJ15" s="217"/>
      <c r="ADK15" s="217"/>
      <c r="ADL15" s="217"/>
      <c r="ADM15" s="217"/>
      <c r="ADN15" s="217"/>
      <c r="ADO15" s="217"/>
      <c r="ADP15" s="217"/>
      <c r="ADQ15" s="217"/>
      <c r="ADR15" s="217"/>
      <c r="ADS15" s="217"/>
      <c r="ADT15" s="217"/>
      <c r="ADU15" s="217"/>
      <c r="ADV15" s="217"/>
      <c r="ADW15" s="217"/>
      <c r="ADX15" s="217"/>
      <c r="ADY15" s="217"/>
      <c r="ADZ15" s="217"/>
      <c r="AEA15" s="217"/>
      <c r="AEB15" s="217"/>
      <c r="AEC15" s="217"/>
      <c r="AED15" s="217"/>
      <c r="AEE15" s="217"/>
      <c r="AEF15" s="217"/>
      <c r="AEG15" s="217"/>
      <c r="AEH15" s="217"/>
      <c r="AEI15" s="217"/>
      <c r="AEJ15" s="217"/>
      <c r="AEK15" s="217"/>
      <c r="AEL15" s="217"/>
      <c r="AEM15" s="217"/>
      <c r="AEN15" s="217"/>
      <c r="AEO15" s="217"/>
      <c r="AEP15" s="217"/>
      <c r="AEQ15" s="217"/>
      <c r="AER15" s="217"/>
      <c r="AES15" s="217"/>
      <c r="AET15" s="217"/>
      <c r="AEU15" s="217"/>
      <c r="AEV15" s="217"/>
      <c r="AEW15" s="217"/>
      <c r="AEX15" s="217"/>
      <c r="AEY15" s="217"/>
      <c r="AEZ15" s="217"/>
      <c r="AFA15" s="217"/>
      <c r="AFB15" s="217"/>
      <c r="AFC15" s="217"/>
      <c r="AFD15" s="217"/>
      <c r="AFE15" s="217"/>
      <c r="AFF15" s="217"/>
      <c r="AFG15" s="217"/>
      <c r="AFH15" s="217"/>
      <c r="AFI15" s="217"/>
      <c r="AFJ15" s="217"/>
      <c r="AFK15" s="217"/>
      <c r="AFL15" s="217"/>
      <c r="AFM15" s="217"/>
      <c r="AFN15" s="217"/>
      <c r="AFO15" s="217"/>
      <c r="AFP15" s="217"/>
      <c r="AFQ15" s="217"/>
      <c r="AFR15" s="217"/>
      <c r="AFS15" s="217"/>
      <c r="AFT15" s="217"/>
      <c r="AFU15" s="217"/>
      <c r="AFV15" s="217"/>
      <c r="AFW15" s="217"/>
      <c r="AFX15" s="217"/>
      <c r="AFY15" s="217"/>
      <c r="AFZ15" s="217"/>
      <c r="AGA15" s="217"/>
      <c r="AGB15" s="217"/>
      <c r="AGC15" s="217"/>
      <c r="AGD15" s="217"/>
      <c r="AGE15" s="217"/>
      <c r="AGF15" s="217"/>
      <c r="AGG15" s="217"/>
      <c r="AGH15" s="217"/>
      <c r="AGI15" s="217"/>
      <c r="AGJ15" s="217"/>
      <c r="AGK15" s="217"/>
      <c r="AGL15" s="217"/>
      <c r="AGM15" s="217"/>
      <c r="AGN15" s="217"/>
      <c r="AGO15" s="217"/>
      <c r="AGP15" s="217"/>
      <c r="AGQ15" s="217"/>
      <c r="AGR15" s="217"/>
      <c r="AGS15" s="217"/>
      <c r="AGT15" s="217"/>
      <c r="AGU15" s="217"/>
      <c r="AGV15" s="217"/>
      <c r="AGW15" s="217"/>
      <c r="AGX15" s="217"/>
      <c r="AGY15" s="217"/>
      <c r="AGZ15" s="217"/>
      <c r="AHA15" s="217"/>
      <c r="AHB15" s="217"/>
      <c r="AHC15" s="217"/>
      <c r="AHD15" s="217"/>
      <c r="AHE15" s="217"/>
      <c r="AHF15" s="217"/>
      <c r="AHG15" s="217"/>
      <c r="AHH15" s="217"/>
      <c r="AHI15" s="217"/>
      <c r="AHJ15" s="217"/>
      <c r="AHK15" s="217"/>
      <c r="AHL15" s="217"/>
      <c r="AHM15" s="217"/>
      <c r="AHN15" s="217"/>
      <c r="AHO15" s="217"/>
      <c r="AHP15" s="217"/>
      <c r="AHQ15" s="217"/>
      <c r="AHR15" s="217"/>
      <c r="AHS15" s="217"/>
      <c r="AHT15" s="217"/>
      <c r="AHU15" s="217"/>
      <c r="AHV15" s="217"/>
      <c r="AHW15" s="217"/>
      <c r="AHX15" s="217"/>
      <c r="AHY15" s="217"/>
      <c r="AHZ15" s="217"/>
      <c r="AIA15" s="217"/>
      <c r="AIB15" s="217"/>
      <c r="AIC15" s="217"/>
      <c r="AID15" s="217"/>
      <c r="AIE15" s="217"/>
      <c r="AIF15" s="217"/>
      <c r="AIG15" s="217"/>
      <c r="AIH15" s="217"/>
      <c r="AII15" s="217"/>
      <c r="AIJ15" s="217"/>
      <c r="AIK15" s="217"/>
      <c r="AIL15" s="217"/>
      <c r="AIM15" s="217"/>
      <c r="AIN15" s="217"/>
      <c r="AIO15" s="217"/>
      <c r="AIP15" s="217"/>
      <c r="AIQ15" s="217"/>
      <c r="AIR15" s="217"/>
      <c r="AIS15" s="217"/>
      <c r="AIT15" s="217"/>
      <c r="AIU15" s="217"/>
      <c r="AIV15" s="217"/>
      <c r="AIW15" s="217"/>
      <c r="AIX15" s="217"/>
      <c r="AIY15" s="217"/>
      <c r="AIZ15" s="217"/>
      <c r="AJA15" s="217"/>
      <c r="AJB15" s="217"/>
      <c r="AJC15" s="217"/>
      <c r="AJD15" s="217"/>
      <c r="AJE15" s="217"/>
      <c r="AJF15" s="217"/>
      <c r="AJG15" s="217"/>
      <c r="AJH15" s="217"/>
      <c r="AJI15" s="217"/>
      <c r="AJJ15" s="217"/>
      <c r="AJK15" s="217"/>
      <c r="AJL15" s="217"/>
      <c r="AJM15" s="217"/>
      <c r="AJN15" s="217"/>
      <c r="AJO15" s="217"/>
      <c r="AJP15" s="217"/>
      <c r="AJQ15" s="217"/>
      <c r="AJR15" s="217"/>
      <c r="AJS15" s="217"/>
      <c r="AJT15" s="217"/>
      <c r="AJU15" s="217"/>
      <c r="AJV15" s="217"/>
      <c r="AJW15" s="217"/>
      <c r="AJX15" s="217"/>
      <c r="AJY15" s="217"/>
      <c r="AJZ15" s="217"/>
      <c r="AKA15" s="217"/>
      <c r="AKB15" s="217"/>
      <c r="AKC15" s="217"/>
      <c r="AKD15" s="217"/>
      <c r="AKE15" s="217"/>
      <c r="AKF15" s="217"/>
      <c r="AKG15" s="217"/>
      <c r="AKH15" s="217"/>
      <c r="AKI15" s="217"/>
      <c r="AKJ15" s="217"/>
      <c r="AKK15" s="217"/>
      <c r="AKL15" s="217"/>
      <c r="AKM15" s="217"/>
      <c r="AKN15" s="217"/>
      <c r="AKO15" s="217"/>
      <c r="AKP15" s="217"/>
      <c r="AKQ15" s="217"/>
      <c r="AKR15" s="217"/>
      <c r="AKS15" s="217"/>
      <c r="AKT15" s="217"/>
      <c r="AKU15" s="217"/>
      <c r="AKV15" s="217"/>
      <c r="AKW15" s="217"/>
      <c r="AKX15" s="217"/>
      <c r="AKY15" s="217"/>
      <c r="AKZ15" s="217"/>
      <c r="ALA15" s="217"/>
      <c r="ALB15" s="217"/>
      <c r="ALC15" s="217"/>
      <c r="ALD15" s="217"/>
      <c r="ALE15" s="217"/>
      <c r="ALF15" s="217"/>
      <c r="ALG15" s="217"/>
      <c r="ALH15" s="217"/>
      <c r="ALI15" s="217"/>
      <c r="ALJ15" s="217"/>
      <c r="ALK15" s="217"/>
      <c r="ALL15" s="217"/>
      <c r="ALM15" s="217"/>
      <c r="ALN15" s="217"/>
      <c r="ALO15" s="217"/>
      <c r="ALP15" s="217"/>
      <c r="ALQ15" s="217"/>
      <c r="ALR15" s="217"/>
      <c r="ALS15" s="217"/>
      <c r="ALT15" s="217"/>
      <c r="ALU15" s="217"/>
      <c r="ALV15" s="217"/>
      <c r="ALW15" s="217"/>
      <c r="ALX15" s="217"/>
      <c r="ALY15" s="217"/>
      <c r="ALZ15" s="217"/>
      <c r="AMA15" s="217"/>
      <c r="AMB15" s="217"/>
      <c r="AMC15" s="217"/>
      <c r="AMD15" s="217"/>
      <c r="AME15" s="217"/>
      <c r="AMF15" s="217"/>
      <c r="AMG15" s="217"/>
      <c r="AMH15" s="217"/>
    </row>
    <row r="16" spans="1:1024" s="102" customFormat="1" ht="15.75" thickBot="1">
      <c r="A16" s="123" t="s">
        <v>29</v>
      </c>
      <c r="B16" s="124"/>
      <c r="C16" s="125"/>
      <c r="D16" s="126">
        <f>SUM(D6:D15)</f>
        <v>168</v>
      </c>
      <c r="E16" s="126">
        <f>SUM(E6:E15)</f>
        <v>295</v>
      </c>
      <c r="F16" s="126">
        <f>SUM(F6:F15)</f>
        <v>285</v>
      </c>
      <c r="G16" s="88"/>
      <c r="H16" s="88"/>
      <c r="I16" s="88"/>
      <c r="J16" s="88"/>
      <c r="K16" s="88"/>
      <c r="L16" s="88"/>
    </row>
    <row r="17" spans="1:1024" s="102" customFormat="1" ht="15.75" thickBot="1">
      <c r="A17" s="123" t="s">
        <v>200</v>
      </c>
      <c r="B17" s="124"/>
      <c r="C17" s="125"/>
      <c r="D17" s="126"/>
      <c r="E17" s="126"/>
      <c r="F17" s="126">
        <f>F6+F7+F8+F9+F11+F12+F13+F14</f>
        <v>248</v>
      </c>
      <c r="G17" s="88"/>
      <c r="H17" s="88"/>
      <c r="I17" s="88"/>
      <c r="J17" s="88"/>
      <c r="K17" s="88"/>
      <c r="L17" s="88"/>
    </row>
    <row r="18" spans="1:1024" ht="20.100000000000001" customHeight="1" thickBot="1">
      <c r="A18" s="232" t="s">
        <v>199</v>
      </c>
      <c r="B18" s="222"/>
      <c r="C18" s="222"/>
      <c r="D18" s="224"/>
      <c r="E18" s="223"/>
      <c r="F18" s="237">
        <f>F17/E16</f>
        <v>0.84067796610169487</v>
      </c>
      <c r="I18" s="99"/>
      <c r="L18" s="6"/>
      <c r="M18" s="6"/>
      <c r="AMI18"/>
      <c r="AMJ18"/>
    </row>
    <row r="19" spans="1:1024" s="102" customFormat="1" ht="15.75" thickBot="1">
      <c r="A19" s="233" t="s">
        <v>201</v>
      </c>
      <c r="B19" s="231"/>
      <c r="C19" s="125"/>
      <c r="D19" s="126"/>
      <c r="E19" s="126">
        <f>E6+E7+E8+E11+E12+E13+E14</f>
        <v>239</v>
      </c>
      <c r="F19" s="126">
        <f>F6+F7+F8+F11+F12+F13+F14</f>
        <v>193</v>
      </c>
      <c r="G19" s="88"/>
      <c r="H19" s="88"/>
      <c r="I19" s="88"/>
      <c r="J19" s="88"/>
      <c r="K19" s="88"/>
      <c r="L19" s="88"/>
    </row>
    <row r="20" spans="1:1024" s="131" customFormat="1" ht="20.100000000000001" customHeight="1">
      <c r="A20" s="234" t="s">
        <v>203</v>
      </c>
      <c r="B20" s="225"/>
      <c r="C20" s="225"/>
      <c r="D20" s="227"/>
      <c r="E20" s="226"/>
      <c r="F20" s="238">
        <f>F19/D16</f>
        <v>1.1488095238095237</v>
      </c>
    </row>
    <row r="21" spans="1:1024" s="131" customFormat="1" ht="20.100000000000001" customHeight="1">
      <c r="A21" s="235" t="s">
        <v>202</v>
      </c>
      <c r="B21" s="228"/>
      <c r="C21" s="228"/>
      <c r="D21" s="230"/>
      <c r="E21" s="229">
        <f>E19/D16</f>
        <v>1.4226190476190477</v>
      </c>
      <c r="F21" s="230"/>
    </row>
    <row r="23" spans="1:1024">
      <c r="A23" s="6" t="s">
        <v>182</v>
      </c>
    </row>
    <row r="24" spans="1:1024">
      <c r="G24" s="88" t="s">
        <v>121</v>
      </c>
    </row>
    <row r="25" spans="1:1024">
      <c r="A25" s="6" t="s">
        <v>122</v>
      </c>
      <c r="B25" s="98" t="s">
        <v>123</v>
      </c>
      <c r="D25" s="99" t="s">
        <v>124</v>
      </c>
      <c r="E25" s="99" t="s">
        <v>125</v>
      </c>
      <c r="G25" s="88" t="s">
        <v>126</v>
      </c>
      <c r="H25" s="88" t="s">
        <v>127</v>
      </c>
      <c r="J25" s="88" t="s">
        <v>128</v>
      </c>
    </row>
    <row r="26" spans="1:1024">
      <c r="A26" s="6" t="s">
        <v>129</v>
      </c>
      <c r="B26" s="98" t="s">
        <v>130</v>
      </c>
      <c r="C26" s="98" t="s">
        <v>131</v>
      </c>
      <c r="E26" s="99" t="s">
        <v>126</v>
      </c>
      <c r="F26" s="99" t="s">
        <v>16</v>
      </c>
      <c r="G26" s="88" t="s">
        <v>132</v>
      </c>
      <c r="H26" s="88" t="s">
        <v>133</v>
      </c>
      <c r="I26" s="88" t="s">
        <v>126</v>
      </c>
      <c r="J26" s="88" t="s">
        <v>133</v>
      </c>
      <c r="K26" s="99" t="s">
        <v>126</v>
      </c>
    </row>
    <row r="27" spans="1:1024">
      <c r="A27" s="6" t="s">
        <v>1</v>
      </c>
      <c r="B27" s="98" t="s">
        <v>134</v>
      </c>
      <c r="C27" s="98" t="s">
        <v>135</v>
      </c>
      <c r="D27" s="99">
        <v>59</v>
      </c>
      <c r="E27" s="99">
        <v>21</v>
      </c>
      <c r="F27" s="99" t="s">
        <v>37</v>
      </c>
      <c r="G27" s="88">
        <v>37</v>
      </c>
      <c r="H27" s="88">
        <v>0.47457627118644069</v>
      </c>
      <c r="I27" s="88">
        <v>28</v>
      </c>
      <c r="J27" s="88">
        <v>0.33898305084745761</v>
      </c>
      <c r="K27" s="99">
        <v>20</v>
      </c>
    </row>
    <row r="28" spans="1:1024">
      <c r="A28" s="6" t="s">
        <v>44</v>
      </c>
      <c r="B28" s="98" t="s">
        <v>134</v>
      </c>
      <c r="C28" s="98" t="s">
        <v>135</v>
      </c>
      <c r="D28" s="99">
        <v>32</v>
      </c>
      <c r="E28" s="99">
        <v>16</v>
      </c>
      <c r="F28" s="99" t="s">
        <v>37</v>
      </c>
      <c r="G28" s="88">
        <v>20</v>
      </c>
      <c r="H28" s="88">
        <v>0.34375</v>
      </c>
      <c r="I28" s="88">
        <v>11</v>
      </c>
      <c r="J28" s="88">
        <v>0.1875</v>
      </c>
      <c r="K28" s="99">
        <v>6</v>
      </c>
    </row>
    <row r="29" spans="1:1024">
      <c r="A29" s="6" t="s">
        <v>163</v>
      </c>
      <c r="B29" s="98" t="s">
        <v>134</v>
      </c>
      <c r="C29" s="98" t="s">
        <v>135</v>
      </c>
      <c r="D29" s="99">
        <v>21</v>
      </c>
      <c r="E29" s="99">
        <v>8</v>
      </c>
      <c r="F29" s="99" t="s">
        <v>38</v>
      </c>
      <c r="G29" s="88">
        <v>14</v>
      </c>
      <c r="H29" s="88">
        <v>0.19047619047619047</v>
      </c>
      <c r="I29" s="88">
        <v>4</v>
      </c>
      <c r="J29" s="88">
        <v>0.23809523809523808</v>
      </c>
      <c r="K29" s="99">
        <v>5</v>
      </c>
    </row>
    <row r="30" spans="1:1024">
      <c r="A30" s="6" t="s">
        <v>70</v>
      </c>
      <c r="B30" s="98" t="s">
        <v>134</v>
      </c>
      <c r="C30" s="98" t="s">
        <v>194</v>
      </c>
      <c r="D30" s="99">
        <v>55</v>
      </c>
      <c r="E30" s="99">
        <v>21</v>
      </c>
      <c r="F30" s="99" t="s">
        <v>138</v>
      </c>
      <c r="G30" s="88">
        <v>32</v>
      </c>
      <c r="H30" s="88">
        <v>0.32727272727272727</v>
      </c>
      <c r="I30" s="88">
        <v>18</v>
      </c>
      <c r="J30" s="88">
        <v>0.32727272727272727</v>
      </c>
      <c r="K30" s="99">
        <v>18</v>
      </c>
    </row>
    <row r="31" spans="1:1024">
      <c r="A31" s="6" t="s">
        <v>193</v>
      </c>
      <c r="B31" s="98" t="s">
        <v>134</v>
      </c>
      <c r="C31" s="98" t="s">
        <v>135</v>
      </c>
      <c r="D31" s="99">
        <v>15</v>
      </c>
      <c r="E31" s="99">
        <v>7</v>
      </c>
      <c r="F31" s="99" t="s">
        <v>38</v>
      </c>
      <c r="H31" s="88">
        <v>0.2</v>
      </c>
      <c r="I31" s="88">
        <v>3</v>
      </c>
      <c r="K31" s="99">
        <v>0</v>
      </c>
    </row>
    <row r="32" spans="1:1024">
      <c r="A32" s="6" t="s">
        <v>78</v>
      </c>
      <c r="B32" s="98" t="s">
        <v>134</v>
      </c>
      <c r="C32" s="98" t="s">
        <v>135</v>
      </c>
      <c r="D32" s="99">
        <v>6</v>
      </c>
      <c r="G32" s="88">
        <v>4</v>
      </c>
      <c r="H32" s="88">
        <v>0.33333333333333331</v>
      </c>
      <c r="I32" s="88">
        <v>2</v>
      </c>
      <c r="J32" s="88">
        <v>0.16666666666666666</v>
      </c>
      <c r="K32" s="99">
        <v>1</v>
      </c>
    </row>
    <row r="33" spans="1:11">
      <c r="A33" s="6" t="s">
        <v>189</v>
      </c>
      <c r="B33" s="98" t="s">
        <v>134</v>
      </c>
      <c r="C33" s="98" t="s">
        <v>135</v>
      </c>
      <c r="D33" s="99">
        <v>20</v>
      </c>
      <c r="E33" s="99">
        <v>6</v>
      </c>
      <c r="F33" s="99" t="s">
        <v>36</v>
      </c>
      <c r="G33" s="88">
        <v>8</v>
      </c>
      <c r="H33" s="88">
        <v>0.25</v>
      </c>
      <c r="I33" s="88">
        <v>5</v>
      </c>
      <c r="J33" s="88">
        <v>0.2</v>
      </c>
      <c r="K33" s="99">
        <v>4</v>
      </c>
    </row>
    <row r="34" spans="1:11">
      <c r="A34" s="6" t="s">
        <v>94</v>
      </c>
      <c r="B34" s="98" t="s">
        <v>134</v>
      </c>
      <c r="C34" s="98" t="s">
        <v>135</v>
      </c>
      <c r="D34" s="99">
        <v>20</v>
      </c>
      <c r="E34" s="99">
        <v>9</v>
      </c>
      <c r="F34" s="99" t="s">
        <v>39</v>
      </c>
      <c r="G34" s="88">
        <v>7</v>
      </c>
      <c r="H34" s="88">
        <v>0.25</v>
      </c>
      <c r="I34" s="88">
        <v>5</v>
      </c>
      <c r="J34" s="88">
        <v>0.25</v>
      </c>
      <c r="K34" s="99">
        <v>5</v>
      </c>
    </row>
    <row r="35" spans="1:11">
      <c r="A35" s="6" t="s">
        <v>102</v>
      </c>
      <c r="B35" s="98" t="s">
        <v>134</v>
      </c>
      <c r="C35" s="98" t="s">
        <v>135</v>
      </c>
      <c r="D35" s="99">
        <v>35</v>
      </c>
      <c r="E35" s="99">
        <v>9</v>
      </c>
      <c r="F35" s="99" t="s">
        <v>36</v>
      </c>
      <c r="G35" s="88">
        <v>13</v>
      </c>
      <c r="H35" s="88">
        <v>0.31428571428571428</v>
      </c>
      <c r="I35" s="88">
        <v>11</v>
      </c>
      <c r="J35" s="88">
        <v>0.22857142857142856</v>
      </c>
      <c r="K35" s="99">
        <v>8</v>
      </c>
    </row>
    <row r="36" spans="1:11">
      <c r="A36" s="6" t="s">
        <v>195</v>
      </c>
      <c r="B36" s="98" t="s">
        <v>134</v>
      </c>
      <c r="C36" s="98" t="s">
        <v>135</v>
      </c>
      <c r="D36" s="99">
        <v>22</v>
      </c>
      <c r="E36" s="99">
        <v>7</v>
      </c>
      <c r="F36" s="99" t="s">
        <v>36</v>
      </c>
      <c r="G36" s="88">
        <v>3</v>
      </c>
      <c r="H36" s="88">
        <v>9.0909090909090912E-2</v>
      </c>
      <c r="I36" s="88">
        <v>2</v>
      </c>
      <c r="J36" s="88">
        <v>0.22727272727272727</v>
      </c>
      <c r="K36" s="99">
        <v>5</v>
      </c>
    </row>
    <row r="38" spans="1:11">
      <c r="A38" s="6" t="s">
        <v>29</v>
      </c>
      <c r="D38" s="99">
        <v>285</v>
      </c>
      <c r="E38" s="99">
        <v>104</v>
      </c>
      <c r="F38" s="99" t="s">
        <v>139</v>
      </c>
      <c r="G38" s="88">
        <v>138</v>
      </c>
      <c r="H38" s="88">
        <v>0.31228070175438599</v>
      </c>
      <c r="I38" s="88">
        <v>89</v>
      </c>
      <c r="J38" s="88">
        <v>0.25263157894736843</v>
      </c>
      <c r="K38" s="99">
        <v>72</v>
      </c>
    </row>
  </sheetData>
  <mergeCells count="4">
    <mergeCell ref="B4:C4"/>
    <mergeCell ref="F4:F5"/>
    <mergeCell ref="E4:E5"/>
    <mergeCell ref="D4:D5"/>
  </mergeCells>
  <pageMargins left="0.25000000000000006" right="0.25000000000000006" top="1.1437007874015745" bottom="1.1437007874015745" header="0.74999999999999989" footer="0.74999999999999989"/>
  <pageSetup paperSize="9" fitToWidth="0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151D-9342-484B-9982-3395F1A4FF11}">
  <dimension ref="A1:AMJ37"/>
  <sheetViews>
    <sheetView workbookViewId="0">
      <selection activeCell="G18" sqref="G18"/>
    </sheetView>
  </sheetViews>
  <sheetFormatPr baseColWidth="10" defaultRowHeight="14.25"/>
  <cols>
    <col min="1" max="1" width="39.125" style="6" customWidth="1"/>
    <col min="2" max="2" width="6.125" style="98" customWidth="1"/>
    <col min="3" max="3" width="6" style="98" customWidth="1"/>
    <col min="4" max="4" width="9.25" style="99" customWidth="1"/>
    <col min="5" max="6" width="8.875" style="99" customWidth="1"/>
    <col min="7" max="7" width="8.125" style="88" customWidth="1"/>
    <col min="8" max="8" width="12.25" style="88" customWidth="1"/>
    <col min="9" max="9" width="8.25" style="88" customWidth="1"/>
    <col min="10" max="10" width="7.75" style="88" customWidth="1"/>
    <col min="11" max="11" width="8.5" style="99" customWidth="1"/>
    <col min="12" max="12" width="7.75" style="88" customWidth="1"/>
    <col min="13" max="13" width="8.5" style="99" customWidth="1"/>
    <col min="14" max="1024" width="11.125" style="6" customWidth="1"/>
  </cols>
  <sheetData>
    <row r="1" spans="1:13" ht="20.25">
      <c r="A1" s="97" t="s">
        <v>142</v>
      </c>
    </row>
    <row r="2" spans="1:13" ht="21" thickBot="1">
      <c r="A2" s="97"/>
      <c r="D2" s="99">
        <v>2021</v>
      </c>
      <c r="E2" s="99">
        <v>2020</v>
      </c>
    </row>
    <row r="3" spans="1:13" s="102" customFormat="1" ht="19.5" customHeight="1" thickBot="1">
      <c r="A3" s="100" t="s">
        <v>122</v>
      </c>
      <c r="B3" s="289" t="s">
        <v>123</v>
      </c>
      <c r="C3" s="289"/>
      <c r="D3" s="290" t="s">
        <v>124</v>
      </c>
      <c r="E3" s="193"/>
      <c r="F3" s="193"/>
      <c r="G3" s="291" t="s">
        <v>125</v>
      </c>
      <c r="H3" s="291"/>
      <c r="I3" s="101" t="s">
        <v>126</v>
      </c>
      <c r="J3" s="291" t="s">
        <v>127</v>
      </c>
      <c r="K3" s="291"/>
      <c r="L3" s="291" t="s">
        <v>128</v>
      </c>
      <c r="M3" s="291"/>
    </row>
    <row r="4" spans="1:13" s="102" customFormat="1" ht="15.75" thickBot="1">
      <c r="A4" s="103" t="s">
        <v>129</v>
      </c>
      <c r="B4" s="104" t="s">
        <v>130</v>
      </c>
      <c r="C4" s="105" t="s">
        <v>131</v>
      </c>
      <c r="D4" s="290"/>
      <c r="E4" s="99"/>
      <c r="F4" s="99"/>
      <c r="G4" s="106" t="s">
        <v>126</v>
      </c>
      <c r="H4" s="106" t="s">
        <v>16</v>
      </c>
      <c r="I4" s="107" t="s">
        <v>132</v>
      </c>
      <c r="J4" s="108" t="s">
        <v>133</v>
      </c>
      <c r="K4" s="109" t="s">
        <v>126</v>
      </c>
      <c r="L4" s="108" t="s">
        <v>133</v>
      </c>
      <c r="M4" s="109" t="s">
        <v>126</v>
      </c>
    </row>
    <row r="5" spans="1:13" ht="18.75" customHeight="1" thickBot="1">
      <c r="A5" s="110" t="s">
        <v>1</v>
      </c>
      <c r="B5" s="111" t="s">
        <v>134</v>
      </c>
      <c r="C5" s="112" t="s">
        <v>135</v>
      </c>
      <c r="D5" s="113">
        <v>76</v>
      </c>
      <c r="E5" s="113">
        <v>31</v>
      </c>
      <c r="F5" s="132"/>
      <c r="G5" s="114">
        <v>50</v>
      </c>
      <c r="H5" s="114" t="s">
        <v>136</v>
      </c>
      <c r="I5" s="115">
        <v>32</v>
      </c>
      <c r="J5" s="116">
        <v>0.22368421052631601</v>
      </c>
      <c r="K5" s="113">
        <v>17</v>
      </c>
      <c r="L5" s="117">
        <v>0.36842105263157898</v>
      </c>
      <c r="M5" s="113">
        <v>28</v>
      </c>
    </row>
    <row r="6" spans="1:13" ht="18.75" customHeight="1" thickBot="1">
      <c r="A6" s="118" t="s">
        <v>44</v>
      </c>
      <c r="B6" s="119" t="s">
        <v>134</v>
      </c>
      <c r="C6" s="120" t="s">
        <v>135</v>
      </c>
      <c r="D6" s="121">
        <v>45</v>
      </c>
      <c r="E6" s="121">
        <v>25</v>
      </c>
      <c r="F6" s="132"/>
      <c r="G6" s="121">
        <v>15</v>
      </c>
      <c r="H6" s="121" t="s">
        <v>37</v>
      </c>
      <c r="I6" s="122">
        <v>27</v>
      </c>
      <c r="J6" s="117">
        <v>0.46666666666666701</v>
      </c>
      <c r="K6" s="121">
        <v>21</v>
      </c>
      <c r="L6" s="117">
        <v>0.31111111111111101</v>
      </c>
      <c r="M6" s="121">
        <v>14</v>
      </c>
    </row>
    <row r="7" spans="1:13" ht="18.75" customHeight="1" thickBot="1">
      <c r="A7" s="118" t="s">
        <v>57</v>
      </c>
      <c r="B7" s="119" t="s">
        <v>134</v>
      </c>
      <c r="C7" s="120" t="s">
        <v>135</v>
      </c>
      <c r="D7" s="121">
        <v>16</v>
      </c>
      <c r="E7" s="121">
        <v>18</v>
      </c>
      <c r="F7" s="132"/>
      <c r="G7" s="121">
        <v>6</v>
      </c>
      <c r="H7" s="121" t="s">
        <v>37</v>
      </c>
      <c r="I7" s="122">
        <v>7</v>
      </c>
      <c r="J7" s="117">
        <v>0.3125</v>
      </c>
      <c r="K7" s="121">
        <v>5</v>
      </c>
      <c r="L7" s="117">
        <v>0.1875</v>
      </c>
      <c r="M7" s="121">
        <v>3</v>
      </c>
    </row>
    <row r="8" spans="1:13" ht="18.75" customHeight="1">
      <c r="A8" s="118"/>
      <c r="B8" s="119"/>
      <c r="C8" s="120"/>
      <c r="D8" s="121">
        <f>SUM(D5:D7)</f>
        <v>137</v>
      </c>
      <c r="E8" s="121">
        <f>SUM(E5:E7)</f>
        <v>74</v>
      </c>
      <c r="F8" s="132">
        <f>D8/E8</f>
        <v>1.8513513513513513</v>
      </c>
      <c r="G8" s="121"/>
      <c r="H8" s="121"/>
      <c r="I8" s="122"/>
      <c r="J8" s="117"/>
      <c r="K8" s="121"/>
      <c r="L8" s="117"/>
      <c r="M8" s="121"/>
    </row>
    <row r="9" spans="1:13" ht="18.75" customHeight="1">
      <c r="A9" s="118" t="s">
        <v>70</v>
      </c>
      <c r="B9" s="119" t="s">
        <v>134</v>
      </c>
      <c r="C9" s="120" t="s">
        <v>137</v>
      </c>
      <c r="D9" s="121">
        <v>56</v>
      </c>
      <c r="E9" s="121"/>
      <c r="F9" s="133"/>
      <c r="G9" s="121"/>
      <c r="H9" s="121"/>
      <c r="I9" s="122">
        <v>36</v>
      </c>
      <c r="J9" s="117">
        <v>0.214285714285714</v>
      </c>
      <c r="K9" s="121">
        <v>12</v>
      </c>
      <c r="L9" s="117">
        <v>0.17857142857142899</v>
      </c>
      <c r="M9" s="121">
        <v>10</v>
      </c>
    </row>
    <row r="10" spans="1:13" ht="18.75" customHeight="1">
      <c r="A10" s="118"/>
      <c r="B10" s="119" t="s">
        <v>134</v>
      </c>
      <c r="C10" s="120" t="s">
        <v>135</v>
      </c>
      <c r="D10" s="121"/>
      <c r="E10" s="121"/>
      <c r="F10" s="133"/>
      <c r="G10" s="121"/>
      <c r="H10" s="121"/>
      <c r="I10" s="122"/>
      <c r="J10" s="117"/>
      <c r="K10" s="121"/>
      <c r="L10" s="117"/>
      <c r="M10" s="121"/>
    </row>
    <row r="11" spans="1:13" ht="18.75" customHeight="1">
      <c r="A11" s="118" t="s">
        <v>78</v>
      </c>
      <c r="B11" s="119" t="s">
        <v>134</v>
      </c>
      <c r="C11" s="120" t="s">
        <v>135</v>
      </c>
      <c r="D11" s="121">
        <v>13</v>
      </c>
      <c r="E11" s="121">
        <v>14</v>
      </c>
      <c r="F11" s="133"/>
      <c r="G11" s="121"/>
      <c r="H11" s="121"/>
      <c r="I11" s="122">
        <v>3</v>
      </c>
      <c r="J11" s="117">
        <v>0.53846153846153799</v>
      </c>
      <c r="K11" s="121">
        <v>7</v>
      </c>
      <c r="L11" s="117">
        <v>0.46153846153846201</v>
      </c>
      <c r="M11" s="121">
        <v>6</v>
      </c>
    </row>
    <row r="12" spans="1:13" ht="18.75" customHeight="1">
      <c r="A12" s="118" t="s">
        <v>86</v>
      </c>
      <c r="B12" s="119" t="s">
        <v>134</v>
      </c>
      <c r="C12" s="120" t="s">
        <v>135</v>
      </c>
      <c r="D12" s="121">
        <v>24</v>
      </c>
      <c r="E12" s="121">
        <v>24</v>
      </c>
      <c r="F12" s="133"/>
      <c r="G12" s="121">
        <v>16</v>
      </c>
      <c r="H12" s="121" t="s">
        <v>36</v>
      </c>
      <c r="I12" s="122">
        <v>17</v>
      </c>
      <c r="J12" s="117">
        <v>0.29166666666666702</v>
      </c>
      <c r="K12" s="121">
        <v>7</v>
      </c>
      <c r="L12" s="117">
        <v>0.29166666666666702</v>
      </c>
      <c r="M12" s="121">
        <v>7</v>
      </c>
    </row>
    <row r="13" spans="1:13" ht="18.75" customHeight="1">
      <c r="A13" s="118" t="s">
        <v>94</v>
      </c>
      <c r="B13" s="119" t="s">
        <v>134</v>
      </c>
      <c r="C13" s="120" t="s">
        <v>135</v>
      </c>
      <c r="D13" s="121">
        <v>33</v>
      </c>
      <c r="E13" s="121">
        <v>29</v>
      </c>
      <c r="F13" s="133"/>
      <c r="G13" s="121">
        <v>14</v>
      </c>
      <c r="H13" s="121" t="s">
        <v>38</v>
      </c>
      <c r="I13" s="122">
        <v>15</v>
      </c>
      <c r="J13" s="117">
        <v>0</v>
      </c>
      <c r="K13" s="121">
        <v>0</v>
      </c>
      <c r="L13" s="117">
        <v>0.21212121212121199</v>
      </c>
      <c r="M13" s="121">
        <v>7</v>
      </c>
    </row>
    <row r="14" spans="1:13" ht="18.75" customHeight="1" thickBot="1">
      <c r="A14" s="118" t="s">
        <v>102</v>
      </c>
      <c r="B14" s="119" t="s">
        <v>134</v>
      </c>
      <c r="C14" s="120" t="s">
        <v>135</v>
      </c>
      <c r="D14" s="121">
        <v>32</v>
      </c>
      <c r="E14" s="121">
        <v>27</v>
      </c>
      <c r="F14" s="133"/>
      <c r="G14" s="121">
        <v>10</v>
      </c>
      <c r="H14" s="121" t="s">
        <v>38</v>
      </c>
      <c r="I14" s="122">
        <v>17</v>
      </c>
      <c r="J14" s="117">
        <v>0.15625</v>
      </c>
      <c r="K14" s="121">
        <v>5</v>
      </c>
      <c r="L14" s="117">
        <v>0.375</v>
      </c>
      <c r="M14" s="121">
        <v>12</v>
      </c>
    </row>
    <row r="15" spans="1:13" s="102" customFormat="1" ht="15.75" thickBot="1">
      <c r="A15" s="123" t="s">
        <v>29</v>
      </c>
      <c r="B15" s="124"/>
      <c r="C15" s="125"/>
      <c r="D15" s="126">
        <f>SUM(D8:D14)</f>
        <v>295</v>
      </c>
      <c r="E15" s="126">
        <f>SUM(E8:E14)</f>
        <v>168</v>
      </c>
      <c r="F15" s="132"/>
      <c r="G15" s="126">
        <v>111</v>
      </c>
      <c r="H15" s="127" t="s">
        <v>139</v>
      </c>
      <c r="I15" s="128">
        <v>154</v>
      </c>
      <c r="J15" s="129">
        <v>0.25084745762711902</v>
      </c>
      <c r="K15" s="126">
        <v>74</v>
      </c>
      <c r="L15" s="129">
        <v>0.29491525423728798</v>
      </c>
      <c r="M15" s="126">
        <v>87</v>
      </c>
    </row>
    <row r="16" spans="1:13">
      <c r="D16" s="99">
        <f>D15-D9</f>
        <v>239</v>
      </c>
      <c r="E16" s="99">
        <f>E15-E9</f>
        <v>168</v>
      </c>
      <c r="F16" s="132">
        <f>D16/E16</f>
        <v>1.4226190476190477</v>
      </c>
    </row>
    <row r="17" spans="1:13" ht="20.100000000000001" customHeight="1">
      <c r="A17" s="6" t="s">
        <v>140</v>
      </c>
    </row>
    <row r="18" spans="1:13" s="131" customFormat="1" ht="20.100000000000001" customHeight="1">
      <c r="A18" s="6" t="s">
        <v>141</v>
      </c>
      <c r="B18" s="130"/>
      <c r="C18" s="130"/>
    </row>
    <row r="25" spans="1:13" ht="15.75" thickBot="1">
      <c r="A25" s="102">
        <v>2020</v>
      </c>
    </row>
    <row r="26" spans="1:13" ht="18.75" thickBot="1">
      <c r="A26" s="134" t="s">
        <v>122</v>
      </c>
      <c r="B26" s="292" t="s">
        <v>123</v>
      </c>
      <c r="C26" s="292"/>
      <c r="D26" s="293" t="s">
        <v>124</v>
      </c>
      <c r="E26" s="194"/>
      <c r="F26" s="194"/>
      <c r="G26" s="294" t="s">
        <v>125</v>
      </c>
      <c r="H26" s="294"/>
      <c r="I26" s="135" t="s">
        <v>126</v>
      </c>
      <c r="J26" s="294" t="s">
        <v>127</v>
      </c>
      <c r="K26" s="294"/>
      <c r="L26" s="294" t="s">
        <v>128</v>
      </c>
      <c r="M26" s="294"/>
    </row>
    <row r="27" spans="1:13" ht="15.75" thickBot="1">
      <c r="A27" s="136" t="s">
        <v>129</v>
      </c>
      <c r="B27" s="137" t="s">
        <v>130</v>
      </c>
      <c r="C27" s="138" t="s">
        <v>131</v>
      </c>
      <c r="D27" s="293"/>
      <c r="E27" s="194"/>
      <c r="F27" s="194"/>
      <c r="G27" s="139" t="s">
        <v>126</v>
      </c>
      <c r="H27" s="140" t="s">
        <v>16</v>
      </c>
      <c r="I27" s="141" t="s">
        <v>143</v>
      </c>
      <c r="J27" s="142" t="s">
        <v>133</v>
      </c>
      <c r="K27" s="143" t="s">
        <v>126</v>
      </c>
      <c r="L27" s="142" t="s">
        <v>133</v>
      </c>
      <c r="M27" s="143" t="s">
        <v>126</v>
      </c>
    </row>
    <row r="28" spans="1:13">
      <c r="A28" s="110" t="s">
        <v>1</v>
      </c>
      <c r="B28" s="144" t="s">
        <v>134</v>
      </c>
      <c r="C28" s="145" t="s">
        <v>135</v>
      </c>
      <c r="D28" s="113">
        <v>31</v>
      </c>
      <c r="E28" s="113"/>
      <c r="F28" s="113"/>
      <c r="G28" s="146">
        <v>23</v>
      </c>
      <c r="H28" s="146" t="s">
        <v>138</v>
      </c>
      <c r="I28" s="147"/>
      <c r="J28" s="148">
        <v>0.32</v>
      </c>
      <c r="K28" s="149"/>
      <c r="L28" s="148">
        <v>0.32</v>
      </c>
      <c r="M28" s="149"/>
    </row>
    <row r="29" spans="1:13">
      <c r="A29" s="118" t="s">
        <v>144</v>
      </c>
      <c r="B29" s="150" t="s">
        <v>134</v>
      </c>
      <c r="C29" s="151" t="s">
        <v>135</v>
      </c>
      <c r="D29" s="121">
        <v>25</v>
      </c>
      <c r="E29" s="121"/>
      <c r="F29" s="121"/>
      <c r="G29" s="121">
        <v>13</v>
      </c>
      <c r="H29" s="121" t="s">
        <v>138</v>
      </c>
      <c r="I29" s="122"/>
      <c r="J29" s="152">
        <v>0.48</v>
      </c>
      <c r="K29" s="153"/>
      <c r="L29" s="152">
        <v>0.36</v>
      </c>
      <c r="M29" s="153"/>
    </row>
    <row r="30" spans="1:13">
      <c r="A30" s="118" t="s">
        <v>57</v>
      </c>
      <c r="B30" s="150" t="s">
        <v>134</v>
      </c>
      <c r="C30" s="151" t="s">
        <v>135</v>
      </c>
      <c r="D30" s="121">
        <v>18</v>
      </c>
      <c r="E30" s="121"/>
      <c r="F30" s="121"/>
      <c r="G30" s="121">
        <v>10</v>
      </c>
      <c r="H30" s="121" t="s">
        <v>145</v>
      </c>
      <c r="I30" s="122"/>
      <c r="J30" s="152">
        <v>0.5</v>
      </c>
      <c r="K30" s="153"/>
      <c r="L30" s="152">
        <v>0.17</v>
      </c>
      <c r="M30" s="153"/>
    </row>
    <row r="31" spans="1:13">
      <c r="A31" s="118" t="s">
        <v>146</v>
      </c>
      <c r="B31" s="150" t="s">
        <v>134</v>
      </c>
      <c r="C31" s="151" t="s">
        <v>135</v>
      </c>
      <c r="D31" s="121">
        <v>14</v>
      </c>
      <c r="E31" s="121"/>
      <c r="F31" s="121"/>
      <c r="G31" s="121">
        <v>9</v>
      </c>
      <c r="H31" s="121" t="s">
        <v>145</v>
      </c>
      <c r="I31" s="122"/>
      <c r="J31" s="152">
        <v>7.0000000000000007E-2</v>
      </c>
      <c r="K31" s="153"/>
      <c r="L31" s="152">
        <v>7.0000000000000007E-2</v>
      </c>
      <c r="M31" s="153"/>
    </row>
    <row r="32" spans="1:13">
      <c r="A32" s="118" t="s">
        <v>147</v>
      </c>
      <c r="B32" s="150" t="s">
        <v>134</v>
      </c>
      <c r="C32" s="151" t="s">
        <v>135</v>
      </c>
      <c r="D32" s="121">
        <v>6</v>
      </c>
      <c r="E32" s="121"/>
      <c r="F32" s="121"/>
      <c r="G32" s="121">
        <v>5</v>
      </c>
      <c r="H32" s="121" t="s">
        <v>138</v>
      </c>
      <c r="I32" s="122"/>
      <c r="J32" s="152">
        <v>0</v>
      </c>
      <c r="K32" s="153"/>
      <c r="L32" s="152">
        <v>0</v>
      </c>
      <c r="M32" s="153"/>
    </row>
    <row r="33" spans="1:13">
      <c r="A33" s="118" t="s">
        <v>86</v>
      </c>
      <c r="B33" s="150" t="s">
        <v>134</v>
      </c>
      <c r="C33" s="151" t="s">
        <v>135</v>
      </c>
      <c r="D33" s="121">
        <v>24</v>
      </c>
      <c r="E33" s="121"/>
      <c r="F33" s="121"/>
      <c r="G33" s="121">
        <v>16</v>
      </c>
      <c r="H33" s="121" t="s">
        <v>145</v>
      </c>
      <c r="I33" s="122"/>
      <c r="J33" s="152">
        <v>0.04</v>
      </c>
      <c r="K33" s="153"/>
      <c r="L33" s="152">
        <v>0.21</v>
      </c>
      <c r="M33" s="153"/>
    </row>
    <row r="34" spans="1:13">
      <c r="A34" s="118" t="s">
        <v>94</v>
      </c>
      <c r="B34" s="150" t="s">
        <v>134</v>
      </c>
      <c r="C34" s="151" t="s">
        <v>135</v>
      </c>
      <c r="D34" s="121">
        <v>29</v>
      </c>
      <c r="E34" s="121"/>
      <c r="F34" s="121"/>
      <c r="G34" s="121">
        <v>21</v>
      </c>
      <c r="H34" s="121" t="s">
        <v>145</v>
      </c>
      <c r="I34" s="122"/>
      <c r="J34" s="152">
        <v>0</v>
      </c>
      <c r="K34" s="153"/>
      <c r="L34" s="152">
        <v>0.41</v>
      </c>
      <c r="M34" s="153"/>
    </row>
    <row r="35" spans="1:13">
      <c r="A35" s="118" t="s">
        <v>102</v>
      </c>
      <c r="B35" s="150" t="s">
        <v>134</v>
      </c>
      <c r="C35" s="151" t="s">
        <v>135</v>
      </c>
      <c r="D35" s="121">
        <v>27</v>
      </c>
      <c r="E35" s="121"/>
      <c r="F35" s="121"/>
      <c r="G35" s="121">
        <v>17</v>
      </c>
      <c r="H35" s="121" t="s">
        <v>145</v>
      </c>
      <c r="I35" s="122"/>
      <c r="J35" s="152">
        <v>0.26</v>
      </c>
      <c r="K35" s="153"/>
      <c r="L35" s="152">
        <v>0.48</v>
      </c>
      <c r="M35" s="153"/>
    </row>
    <row r="36" spans="1:13">
      <c r="A36" s="118" t="s">
        <v>148</v>
      </c>
      <c r="B36" s="150" t="s">
        <v>134</v>
      </c>
      <c r="C36" s="151" t="s">
        <v>135</v>
      </c>
      <c r="D36" s="121">
        <v>4</v>
      </c>
      <c r="E36" s="121"/>
      <c r="F36" s="121"/>
      <c r="G36" s="121">
        <v>2</v>
      </c>
      <c r="H36" s="121" t="s">
        <v>149</v>
      </c>
      <c r="I36" s="122"/>
      <c r="J36" s="152">
        <v>0.5</v>
      </c>
      <c r="K36" s="153"/>
      <c r="L36" s="152">
        <v>0</v>
      </c>
      <c r="M36" s="153"/>
    </row>
    <row r="37" spans="1:13">
      <c r="D37" s="99">
        <v>178</v>
      </c>
    </row>
  </sheetData>
  <mergeCells count="10">
    <mergeCell ref="B3:C3"/>
    <mergeCell ref="D3:D4"/>
    <mergeCell ref="G3:H3"/>
    <mergeCell ref="J3:K3"/>
    <mergeCell ref="L3:M3"/>
    <mergeCell ref="B26:C26"/>
    <mergeCell ref="D26:D27"/>
    <mergeCell ref="G26:H26"/>
    <mergeCell ref="J26:K26"/>
    <mergeCell ref="L26:M26"/>
  </mergeCells>
  <pageMargins left="0.25000000000000006" right="0.25000000000000006" top="1.1437007874015745" bottom="1.1437007874015745" header="0.74999999999999989" footer="0.74999999999999989"/>
  <pageSetup paperSize="9" fitToWidth="0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W25"/>
  <sheetViews>
    <sheetView tabSelected="1" zoomScaleNormal="100" workbookViewId="0">
      <selection activeCell="A29" sqref="A29"/>
    </sheetView>
  </sheetViews>
  <sheetFormatPr baseColWidth="10" defaultRowHeight="14.25"/>
  <cols>
    <col min="1" max="1" width="47.625" style="6" customWidth="1"/>
    <col min="2" max="3" width="7.75" style="98" customWidth="1"/>
    <col min="4" max="4" width="8.875" style="99" customWidth="1"/>
    <col min="5" max="6" width="9.25" style="99" customWidth="1"/>
    <col min="7" max="1011" width="11.125" style="6" customWidth="1"/>
    <col min="1012" max="1019" width="10.625" customWidth="1"/>
  </cols>
  <sheetData>
    <row r="1" spans="1:1011" ht="20.25">
      <c r="A1" s="97" t="s">
        <v>211</v>
      </c>
    </row>
    <row r="2" spans="1:1011" ht="20.25">
      <c r="A2" s="97" t="s">
        <v>198</v>
      </c>
    </row>
    <row r="3" spans="1:1011" ht="21" thickBot="1">
      <c r="A3" s="97"/>
      <c r="D3" s="239">
        <v>2020</v>
      </c>
      <c r="E3" s="239">
        <v>2021</v>
      </c>
      <c r="F3" s="239">
        <v>2022</v>
      </c>
    </row>
    <row r="4" spans="1:1011" ht="19.5" customHeight="1" thickBot="1">
      <c r="A4" s="100" t="s">
        <v>122</v>
      </c>
      <c r="B4" s="289" t="s">
        <v>150</v>
      </c>
      <c r="C4" s="289"/>
      <c r="D4" s="295" t="s">
        <v>124</v>
      </c>
      <c r="E4" s="295" t="s">
        <v>124</v>
      </c>
      <c r="F4" s="295" t="s">
        <v>124</v>
      </c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  <c r="DH4" s="102"/>
      <c r="DI4" s="102"/>
      <c r="DJ4" s="102"/>
      <c r="DK4" s="102"/>
      <c r="DL4" s="102"/>
      <c r="DM4" s="102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A4" s="102"/>
      <c r="EB4" s="102"/>
      <c r="EC4" s="102"/>
      <c r="ED4" s="102"/>
      <c r="EE4" s="102"/>
      <c r="EF4" s="102"/>
      <c r="EG4" s="102"/>
      <c r="EH4" s="102"/>
      <c r="EI4" s="102"/>
      <c r="EJ4" s="102"/>
      <c r="EK4" s="102"/>
      <c r="EL4" s="102"/>
      <c r="EM4" s="102"/>
      <c r="EN4" s="102"/>
      <c r="EO4" s="102"/>
      <c r="EP4" s="102"/>
      <c r="EQ4" s="102"/>
      <c r="ER4" s="102"/>
      <c r="ES4" s="102"/>
      <c r="ET4" s="102"/>
      <c r="EU4" s="102"/>
      <c r="EV4" s="102"/>
      <c r="EW4" s="102"/>
      <c r="EX4" s="102"/>
      <c r="EY4" s="102"/>
      <c r="EZ4" s="102"/>
      <c r="FA4" s="102"/>
      <c r="FB4" s="102"/>
      <c r="FC4" s="102"/>
      <c r="FD4" s="102"/>
      <c r="FE4" s="102"/>
      <c r="FF4" s="102"/>
      <c r="FG4" s="102"/>
      <c r="FH4" s="102"/>
      <c r="FI4" s="102"/>
      <c r="FJ4" s="102"/>
      <c r="FK4" s="102"/>
      <c r="FL4" s="102"/>
      <c r="FM4" s="102"/>
      <c r="FN4" s="102"/>
      <c r="FO4" s="102"/>
      <c r="FP4" s="102"/>
      <c r="FQ4" s="102"/>
      <c r="FR4" s="102"/>
      <c r="FS4" s="102"/>
      <c r="FT4" s="102"/>
      <c r="FU4" s="102"/>
      <c r="FV4" s="102"/>
      <c r="FW4" s="102"/>
      <c r="FX4" s="102"/>
      <c r="FY4" s="102"/>
      <c r="FZ4" s="102"/>
      <c r="GA4" s="102"/>
      <c r="GB4" s="102"/>
      <c r="GC4" s="102"/>
      <c r="GD4" s="102"/>
      <c r="GE4" s="102"/>
      <c r="GF4" s="102"/>
      <c r="GG4" s="102"/>
      <c r="GH4" s="102"/>
      <c r="GI4" s="102"/>
      <c r="GJ4" s="102"/>
      <c r="GK4" s="102"/>
      <c r="GL4" s="102"/>
      <c r="GM4" s="102"/>
      <c r="GN4" s="102"/>
      <c r="GO4" s="102"/>
      <c r="GP4" s="102"/>
      <c r="GQ4" s="102"/>
      <c r="GR4" s="102"/>
      <c r="GS4" s="102"/>
      <c r="GT4" s="102"/>
      <c r="GU4" s="102"/>
      <c r="GV4" s="102"/>
      <c r="GW4" s="102"/>
      <c r="GX4" s="102"/>
      <c r="GY4" s="102"/>
      <c r="GZ4" s="102"/>
      <c r="HA4" s="102"/>
      <c r="HB4" s="102"/>
      <c r="HC4" s="102"/>
      <c r="HD4" s="102"/>
      <c r="HE4" s="102"/>
      <c r="HF4" s="102"/>
      <c r="HG4" s="102"/>
      <c r="HH4" s="102"/>
      <c r="HI4" s="102"/>
      <c r="HJ4" s="102"/>
      <c r="HK4" s="102"/>
      <c r="HL4" s="102"/>
      <c r="HM4" s="102"/>
      <c r="HN4" s="102"/>
      <c r="HO4" s="102"/>
      <c r="HP4" s="102"/>
      <c r="HQ4" s="102"/>
      <c r="HR4" s="102"/>
      <c r="HS4" s="102"/>
      <c r="HT4" s="102"/>
      <c r="HU4" s="102"/>
      <c r="HV4" s="102"/>
      <c r="HW4" s="102"/>
      <c r="HX4" s="102"/>
      <c r="HY4" s="102"/>
      <c r="HZ4" s="102"/>
      <c r="IA4" s="102"/>
      <c r="IB4" s="102"/>
      <c r="IC4" s="102"/>
      <c r="ID4" s="102"/>
      <c r="IE4" s="102"/>
      <c r="IF4" s="102"/>
      <c r="IG4" s="102"/>
      <c r="IH4" s="102"/>
      <c r="II4" s="102"/>
      <c r="IJ4" s="102"/>
      <c r="IK4" s="102"/>
      <c r="IL4" s="102"/>
      <c r="IM4" s="102"/>
      <c r="IN4" s="102"/>
      <c r="IO4" s="102"/>
      <c r="IP4" s="102"/>
      <c r="IQ4" s="102"/>
      <c r="IR4" s="102"/>
      <c r="IS4" s="102"/>
      <c r="IT4" s="102"/>
      <c r="IU4" s="102"/>
      <c r="IV4" s="102"/>
      <c r="IW4" s="102"/>
      <c r="IX4" s="102"/>
      <c r="IY4" s="102"/>
      <c r="IZ4" s="102"/>
      <c r="JA4" s="102"/>
      <c r="JB4" s="102"/>
      <c r="JC4" s="102"/>
      <c r="JD4" s="102"/>
      <c r="JE4" s="102"/>
      <c r="JF4" s="102"/>
      <c r="JG4" s="102"/>
      <c r="JH4" s="102"/>
      <c r="JI4" s="102"/>
      <c r="JJ4" s="102"/>
      <c r="JK4" s="102"/>
      <c r="JL4" s="102"/>
      <c r="JM4" s="102"/>
      <c r="JN4" s="102"/>
      <c r="JO4" s="102"/>
      <c r="JP4" s="102"/>
      <c r="JQ4" s="102"/>
      <c r="JR4" s="102"/>
      <c r="JS4" s="102"/>
      <c r="JT4" s="102"/>
      <c r="JU4" s="102"/>
      <c r="JV4" s="102"/>
      <c r="JW4" s="102"/>
      <c r="JX4" s="102"/>
      <c r="JY4" s="102"/>
      <c r="JZ4" s="102"/>
      <c r="KA4" s="102"/>
      <c r="KB4" s="102"/>
      <c r="KC4" s="102"/>
      <c r="KD4" s="102"/>
      <c r="KE4" s="102"/>
      <c r="KF4" s="102"/>
      <c r="KG4" s="102"/>
      <c r="KH4" s="102"/>
      <c r="KI4" s="102"/>
      <c r="KJ4" s="102"/>
      <c r="KK4" s="102"/>
      <c r="KL4" s="102"/>
      <c r="KM4" s="102"/>
      <c r="KN4" s="102"/>
      <c r="KO4" s="102"/>
      <c r="KP4" s="102"/>
      <c r="KQ4" s="102"/>
      <c r="KR4" s="102"/>
      <c r="KS4" s="102"/>
      <c r="KT4" s="102"/>
      <c r="KU4" s="102"/>
      <c r="KV4" s="102"/>
      <c r="KW4" s="102"/>
      <c r="KX4" s="102"/>
      <c r="KY4" s="102"/>
      <c r="KZ4" s="102"/>
      <c r="LA4" s="102"/>
      <c r="LB4" s="102"/>
      <c r="LC4" s="102"/>
      <c r="LD4" s="102"/>
      <c r="LE4" s="102"/>
      <c r="LF4" s="102"/>
      <c r="LG4" s="102"/>
      <c r="LH4" s="102"/>
      <c r="LI4" s="102"/>
      <c r="LJ4" s="102"/>
      <c r="LK4" s="102"/>
      <c r="LL4" s="102"/>
      <c r="LM4" s="102"/>
      <c r="LN4" s="102"/>
      <c r="LO4" s="102"/>
      <c r="LP4" s="102"/>
      <c r="LQ4" s="102"/>
      <c r="LR4" s="102"/>
      <c r="LS4" s="102"/>
      <c r="LT4" s="102"/>
      <c r="LU4" s="102"/>
      <c r="LV4" s="102"/>
      <c r="LW4" s="102"/>
      <c r="LX4" s="102"/>
      <c r="LY4" s="102"/>
      <c r="LZ4" s="102"/>
      <c r="MA4" s="102"/>
      <c r="MB4" s="102"/>
      <c r="MC4" s="102"/>
      <c r="MD4" s="102"/>
      <c r="ME4" s="102"/>
      <c r="MF4" s="102"/>
      <c r="MG4" s="102"/>
      <c r="MH4" s="102"/>
      <c r="MI4" s="102"/>
      <c r="MJ4" s="102"/>
      <c r="MK4" s="102"/>
      <c r="ML4" s="102"/>
      <c r="MM4" s="102"/>
      <c r="MN4" s="102"/>
      <c r="MO4" s="102"/>
      <c r="MP4" s="102"/>
      <c r="MQ4" s="102"/>
      <c r="MR4" s="102"/>
      <c r="MS4" s="102"/>
      <c r="MT4" s="102"/>
      <c r="MU4" s="102"/>
      <c r="MV4" s="102"/>
      <c r="MW4" s="102"/>
      <c r="MX4" s="102"/>
      <c r="MY4" s="102"/>
      <c r="MZ4" s="102"/>
      <c r="NA4" s="102"/>
      <c r="NB4" s="102"/>
      <c r="NC4" s="102"/>
      <c r="ND4" s="102"/>
      <c r="NE4" s="102"/>
      <c r="NF4" s="102"/>
      <c r="NG4" s="102"/>
      <c r="NH4" s="102"/>
      <c r="NI4" s="102"/>
      <c r="NJ4" s="102"/>
      <c r="NK4" s="102"/>
      <c r="NL4" s="102"/>
      <c r="NM4" s="102"/>
      <c r="NN4" s="102"/>
      <c r="NO4" s="102"/>
      <c r="NP4" s="102"/>
      <c r="NQ4" s="102"/>
      <c r="NR4" s="102"/>
      <c r="NS4" s="102"/>
      <c r="NT4" s="102"/>
      <c r="NU4" s="102"/>
      <c r="NV4" s="102"/>
      <c r="NW4" s="102"/>
      <c r="NX4" s="102"/>
      <c r="NY4" s="102"/>
      <c r="NZ4" s="102"/>
      <c r="OA4" s="102"/>
      <c r="OB4" s="102"/>
      <c r="OC4" s="102"/>
      <c r="OD4" s="102"/>
      <c r="OE4" s="102"/>
      <c r="OF4" s="102"/>
      <c r="OG4" s="102"/>
      <c r="OH4" s="102"/>
      <c r="OI4" s="102"/>
      <c r="OJ4" s="102"/>
      <c r="OK4" s="102"/>
      <c r="OL4" s="102"/>
      <c r="OM4" s="102"/>
      <c r="ON4" s="102"/>
      <c r="OO4" s="102"/>
      <c r="OP4" s="102"/>
      <c r="OQ4" s="102"/>
      <c r="OR4" s="102"/>
      <c r="OS4" s="102"/>
      <c r="OT4" s="102"/>
      <c r="OU4" s="102"/>
      <c r="OV4" s="102"/>
      <c r="OW4" s="102"/>
      <c r="OX4" s="102"/>
      <c r="OY4" s="102"/>
      <c r="OZ4" s="102"/>
      <c r="PA4" s="102"/>
      <c r="PB4" s="102"/>
      <c r="PC4" s="102"/>
      <c r="PD4" s="102"/>
      <c r="PE4" s="102"/>
      <c r="PF4" s="102"/>
      <c r="PG4" s="102"/>
      <c r="PH4" s="102"/>
      <c r="PI4" s="102"/>
      <c r="PJ4" s="102"/>
      <c r="PK4" s="102"/>
      <c r="PL4" s="102"/>
      <c r="PM4" s="102"/>
      <c r="PN4" s="102"/>
      <c r="PO4" s="102"/>
      <c r="PP4" s="102"/>
      <c r="PQ4" s="102"/>
      <c r="PR4" s="102"/>
      <c r="PS4" s="102"/>
      <c r="PT4" s="102"/>
      <c r="PU4" s="102"/>
      <c r="PV4" s="102"/>
      <c r="PW4" s="102"/>
      <c r="PX4" s="102"/>
      <c r="PY4" s="102"/>
      <c r="PZ4" s="102"/>
      <c r="QA4" s="102"/>
      <c r="QB4" s="102"/>
      <c r="QC4" s="102"/>
      <c r="QD4" s="102"/>
      <c r="QE4" s="102"/>
      <c r="QF4" s="102"/>
      <c r="QG4" s="102"/>
      <c r="QH4" s="102"/>
      <c r="QI4" s="102"/>
      <c r="QJ4" s="102"/>
      <c r="QK4" s="102"/>
      <c r="QL4" s="102"/>
      <c r="QM4" s="102"/>
      <c r="QN4" s="102"/>
      <c r="QO4" s="102"/>
      <c r="QP4" s="102"/>
      <c r="QQ4" s="102"/>
      <c r="QR4" s="102"/>
      <c r="QS4" s="102"/>
      <c r="QT4" s="102"/>
      <c r="QU4" s="102"/>
      <c r="QV4" s="102"/>
      <c r="QW4" s="102"/>
      <c r="QX4" s="102"/>
      <c r="QY4" s="102"/>
      <c r="QZ4" s="102"/>
      <c r="RA4" s="102"/>
      <c r="RB4" s="102"/>
      <c r="RC4" s="102"/>
      <c r="RD4" s="102"/>
      <c r="RE4" s="102"/>
      <c r="RF4" s="102"/>
      <c r="RG4" s="102"/>
      <c r="RH4" s="102"/>
      <c r="RI4" s="102"/>
      <c r="RJ4" s="102"/>
      <c r="RK4" s="102"/>
      <c r="RL4" s="102"/>
      <c r="RM4" s="102"/>
      <c r="RN4" s="102"/>
      <c r="RO4" s="102"/>
      <c r="RP4" s="102"/>
      <c r="RQ4" s="102"/>
      <c r="RR4" s="102"/>
      <c r="RS4" s="102"/>
      <c r="RT4" s="102"/>
      <c r="RU4" s="102"/>
      <c r="RV4" s="102"/>
      <c r="RW4" s="102"/>
      <c r="RX4" s="102"/>
      <c r="RY4" s="102"/>
      <c r="RZ4" s="102"/>
      <c r="SA4" s="102"/>
      <c r="SB4" s="102"/>
      <c r="SC4" s="102"/>
      <c r="SD4" s="102"/>
      <c r="SE4" s="102"/>
      <c r="SF4" s="102"/>
      <c r="SG4" s="102"/>
      <c r="SH4" s="102"/>
      <c r="SI4" s="102"/>
      <c r="SJ4" s="102"/>
      <c r="SK4" s="102"/>
      <c r="SL4" s="102"/>
      <c r="SM4" s="102"/>
      <c r="SN4" s="102"/>
      <c r="SO4" s="102"/>
      <c r="SP4" s="102"/>
      <c r="SQ4" s="102"/>
      <c r="SR4" s="102"/>
      <c r="SS4" s="102"/>
      <c r="ST4" s="102"/>
      <c r="SU4" s="102"/>
      <c r="SV4" s="102"/>
      <c r="SW4" s="102"/>
      <c r="SX4" s="102"/>
      <c r="SY4" s="102"/>
      <c r="SZ4" s="102"/>
      <c r="TA4" s="102"/>
      <c r="TB4" s="102"/>
      <c r="TC4" s="102"/>
      <c r="TD4" s="102"/>
      <c r="TE4" s="102"/>
      <c r="TF4" s="102"/>
      <c r="TG4" s="102"/>
      <c r="TH4" s="102"/>
      <c r="TI4" s="102"/>
      <c r="TJ4" s="102"/>
      <c r="TK4" s="102"/>
      <c r="TL4" s="102"/>
      <c r="TM4" s="102"/>
      <c r="TN4" s="102"/>
      <c r="TO4" s="102"/>
      <c r="TP4" s="102"/>
      <c r="TQ4" s="102"/>
      <c r="TR4" s="102"/>
      <c r="TS4" s="102"/>
      <c r="TT4" s="102"/>
      <c r="TU4" s="102"/>
      <c r="TV4" s="102"/>
      <c r="TW4" s="102"/>
      <c r="TX4" s="102"/>
      <c r="TY4" s="102"/>
      <c r="TZ4" s="102"/>
      <c r="UA4" s="102"/>
      <c r="UB4" s="102"/>
      <c r="UC4" s="102"/>
      <c r="UD4" s="102"/>
      <c r="UE4" s="102"/>
      <c r="UF4" s="102"/>
      <c r="UG4" s="102"/>
      <c r="UH4" s="102"/>
      <c r="UI4" s="102"/>
      <c r="UJ4" s="102"/>
      <c r="UK4" s="102"/>
      <c r="UL4" s="102"/>
      <c r="UM4" s="102"/>
      <c r="UN4" s="102"/>
      <c r="UO4" s="102"/>
      <c r="UP4" s="102"/>
      <c r="UQ4" s="102"/>
      <c r="UR4" s="102"/>
      <c r="US4" s="102"/>
      <c r="UT4" s="102"/>
      <c r="UU4" s="102"/>
      <c r="UV4" s="102"/>
      <c r="UW4" s="102"/>
      <c r="UX4" s="102"/>
      <c r="UY4" s="102"/>
      <c r="UZ4" s="102"/>
      <c r="VA4" s="102"/>
      <c r="VB4" s="102"/>
      <c r="VC4" s="102"/>
      <c r="VD4" s="102"/>
      <c r="VE4" s="102"/>
      <c r="VF4" s="102"/>
      <c r="VG4" s="102"/>
      <c r="VH4" s="102"/>
      <c r="VI4" s="102"/>
      <c r="VJ4" s="102"/>
      <c r="VK4" s="102"/>
      <c r="VL4" s="102"/>
      <c r="VM4" s="102"/>
      <c r="VN4" s="102"/>
      <c r="VO4" s="102"/>
      <c r="VP4" s="102"/>
      <c r="VQ4" s="102"/>
      <c r="VR4" s="102"/>
      <c r="VS4" s="102"/>
      <c r="VT4" s="102"/>
      <c r="VU4" s="102"/>
      <c r="VV4" s="102"/>
      <c r="VW4" s="102"/>
      <c r="VX4" s="102"/>
      <c r="VY4" s="102"/>
      <c r="VZ4" s="102"/>
      <c r="WA4" s="102"/>
      <c r="WB4" s="102"/>
      <c r="WC4" s="102"/>
      <c r="WD4" s="102"/>
      <c r="WE4" s="102"/>
      <c r="WF4" s="102"/>
      <c r="WG4" s="102"/>
      <c r="WH4" s="102"/>
      <c r="WI4" s="102"/>
      <c r="WJ4" s="102"/>
      <c r="WK4" s="102"/>
      <c r="WL4" s="102"/>
      <c r="WM4" s="102"/>
      <c r="WN4" s="102"/>
      <c r="WO4" s="102"/>
      <c r="WP4" s="102"/>
      <c r="WQ4" s="102"/>
      <c r="WR4" s="102"/>
      <c r="WS4" s="102"/>
      <c r="WT4" s="102"/>
      <c r="WU4" s="102"/>
      <c r="WV4" s="102"/>
      <c r="WW4" s="102"/>
      <c r="WX4" s="102"/>
      <c r="WY4" s="102"/>
      <c r="WZ4" s="102"/>
      <c r="XA4" s="102"/>
      <c r="XB4" s="102"/>
      <c r="XC4" s="102"/>
      <c r="XD4" s="102"/>
      <c r="XE4" s="102"/>
      <c r="XF4" s="102"/>
      <c r="XG4" s="102"/>
      <c r="XH4" s="102"/>
      <c r="XI4" s="102"/>
      <c r="XJ4" s="102"/>
      <c r="XK4" s="102"/>
      <c r="XL4" s="102"/>
      <c r="XM4" s="102"/>
      <c r="XN4" s="102"/>
      <c r="XO4" s="102"/>
      <c r="XP4" s="102"/>
      <c r="XQ4" s="102"/>
      <c r="XR4" s="102"/>
      <c r="XS4" s="102"/>
      <c r="XT4" s="102"/>
      <c r="XU4" s="102"/>
      <c r="XV4" s="102"/>
      <c r="XW4" s="102"/>
      <c r="XX4" s="102"/>
      <c r="XY4" s="102"/>
      <c r="XZ4" s="102"/>
      <c r="YA4" s="102"/>
      <c r="YB4" s="102"/>
      <c r="YC4" s="102"/>
      <c r="YD4" s="102"/>
      <c r="YE4" s="102"/>
      <c r="YF4" s="102"/>
      <c r="YG4" s="102"/>
      <c r="YH4" s="102"/>
      <c r="YI4" s="102"/>
      <c r="YJ4" s="102"/>
      <c r="YK4" s="102"/>
      <c r="YL4" s="102"/>
      <c r="YM4" s="102"/>
      <c r="YN4" s="102"/>
      <c r="YO4" s="102"/>
      <c r="YP4" s="102"/>
      <c r="YQ4" s="102"/>
      <c r="YR4" s="102"/>
      <c r="YS4" s="102"/>
      <c r="YT4" s="102"/>
      <c r="YU4" s="102"/>
      <c r="YV4" s="102"/>
      <c r="YW4" s="102"/>
      <c r="YX4" s="102"/>
      <c r="YY4" s="102"/>
      <c r="YZ4" s="102"/>
      <c r="ZA4" s="102"/>
      <c r="ZB4" s="102"/>
      <c r="ZC4" s="102"/>
      <c r="ZD4" s="102"/>
      <c r="ZE4" s="102"/>
      <c r="ZF4" s="102"/>
      <c r="ZG4" s="102"/>
      <c r="ZH4" s="102"/>
      <c r="ZI4" s="102"/>
      <c r="ZJ4" s="102"/>
      <c r="ZK4" s="102"/>
      <c r="ZL4" s="102"/>
      <c r="ZM4" s="102"/>
      <c r="ZN4" s="102"/>
      <c r="ZO4" s="102"/>
      <c r="ZP4" s="102"/>
      <c r="ZQ4" s="102"/>
      <c r="ZR4" s="102"/>
      <c r="ZS4" s="102"/>
      <c r="ZT4" s="102"/>
      <c r="ZU4" s="102"/>
      <c r="ZV4" s="102"/>
      <c r="ZW4" s="102"/>
      <c r="ZX4" s="102"/>
      <c r="ZY4" s="102"/>
      <c r="ZZ4" s="102"/>
      <c r="AAA4" s="102"/>
      <c r="AAB4" s="102"/>
      <c r="AAC4" s="102"/>
      <c r="AAD4" s="102"/>
      <c r="AAE4" s="102"/>
      <c r="AAF4" s="102"/>
      <c r="AAG4" s="102"/>
      <c r="AAH4" s="102"/>
      <c r="AAI4" s="102"/>
      <c r="AAJ4" s="102"/>
      <c r="AAK4" s="102"/>
      <c r="AAL4" s="102"/>
      <c r="AAM4" s="102"/>
      <c r="AAN4" s="102"/>
      <c r="AAO4" s="102"/>
      <c r="AAP4" s="102"/>
      <c r="AAQ4" s="102"/>
      <c r="AAR4" s="102"/>
      <c r="AAS4" s="102"/>
      <c r="AAT4" s="102"/>
      <c r="AAU4" s="102"/>
      <c r="AAV4" s="102"/>
      <c r="AAW4" s="102"/>
      <c r="AAX4" s="102"/>
      <c r="AAY4" s="102"/>
      <c r="AAZ4" s="102"/>
      <c r="ABA4" s="102"/>
      <c r="ABB4" s="102"/>
      <c r="ABC4" s="102"/>
      <c r="ABD4" s="102"/>
      <c r="ABE4" s="102"/>
      <c r="ABF4" s="102"/>
      <c r="ABG4" s="102"/>
      <c r="ABH4" s="102"/>
      <c r="ABI4" s="102"/>
      <c r="ABJ4" s="102"/>
      <c r="ABK4" s="102"/>
      <c r="ABL4" s="102"/>
      <c r="ABM4" s="102"/>
      <c r="ABN4" s="102"/>
      <c r="ABO4" s="102"/>
      <c r="ABP4" s="102"/>
      <c r="ABQ4" s="102"/>
      <c r="ABR4" s="102"/>
      <c r="ABS4" s="102"/>
      <c r="ABT4" s="102"/>
      <c r="ABU4" s="102"/>
      <c r="ABV4" s="102"/>
      <c r="ABW4" s="102"/>
      <c r="ABX4" s="102"/>
      <c r="ABY4" s="102"/>
      <c r="ABZ4" s="102"/>
      <c r="ACA4" s="102"/>
      <c r="ACB4" s="102"/>
      <c r="ACC4" s="102"/>
      <c r="ACD4" s="102"/>
      <c r="ACE4" s="102"/>
      <c r="ACF4" s="102"/>
      <c r="ACG4" s="102"/>
      <c r="ACH4" s="102"/>
      <c r="ACI4" s="102"/>
      <c r="ACJ4" s="102"/>
      <c r="ACK4" s="102"/>
      <c r="ACL4" s="102"/>
      <c r="ACM4" s="102"/>
      <c r="ACN4" s="102"/>
      <c r="ACO4" s="102"/>
      <c r="ACP4" s="102"/>
      <c r="ACQ4" s="102"/>
      <c r="ACR4" s="102"/>
      <c r="ACS4" s="102"/>
      <c r="ACT4" s="102"/>
      <c r="ACU4" s="102"/>
      <c r="ACV4" s="102"/>
      <c r="ACW4" s="102"/>
      <c r="ACX4" s="102"/>
      <c r="ACY4" s="102"/>
      <c r="ACZ4" s="102"/>
      <c r="ADA4" s="102"/>
      <c r="ADB4" s="102"/>
      <c r="ADC4" s="102"/>
      <c r="ADD4" s="102"/>
      <c r="ADE4" s="102"/>
      <c r="ADF4" s="102"/>
      <c r="ADG4" s="102"/>
      <c r="ADH4" s="102"/>
      <c r="ADI4" s="102"/>
      <c r="ADJ4" s="102"/>
      <c r="ADK4" s="102"/>
      <c r="ADL4" s="102"/>
      <c r="ADM4" s="102"/>
      <c r="ADN4" s="102"/>
      <c r="ADO4" s="102"/>
      <c r="ADP4" s="102"/>
      <c r="ADQ4" s="102"/>
      <c r="ADR4" s="102"/>
      <c r="ADS4" s="102"/>
      <c r="ADT4" s="102"/>
      <c r="ADU4" s="102"/>
      <c r="ADV4" s="102"/>
      <c r="ADW4" s="102"/>
      <c r="ADX4" s="102"/>
      <c r="ADY4" s="102"/>
      <c r="ADZ4" s="102"/>
      <c r="AEA4" s="102"/>
      <c r="AEB4" s="102"/>
      <c r="AEC4" s="102"/>
      <c r="AED4" s="102"/>
      <c r="AEE4" s="102"/>
      <c r="AEF4" s="102"/>
      <c r="AEG4" s="102"/>
      <c r="AEH4" s="102"/>
      <c r="AEI4" s="102"/>
      <c r="AEJ4" s="102"/>
      <c r="AEK4" s="102"/>
      <c r="AEL4" s="102"/>
      <c r="AEM4" s="102"/>
      <c r="AEN4" s="102"/>
      <c r="AEO4" s="102"/>
      <c r="AEP4" s="102"/>
      <c r="AEQ4" s="102"/>
      <c r="AER4" s="102"/>
      <c r="AES4" s="102"/>
      <c r="AET4" s="102"/>
      <c r="AEU4" s="102"/>
      <c r="AEV4" s="102"/>
      <c r="AEW4" s="102"/>
      <c r="AEX4" s="102"/>
      <c r="AEY4" s="102"/>
      <c r="AEZ4" s="102"/>
      <c r="AFA4" s="102"/>
      <c r="AFB4" s="102"/>
      <c r="AFC4" s="102"/>
      <c r="AFD4" s="102"/>
      <c r="AFE4" s="102"/>
      <c r="AFF4" s="102"/>
      <c r="AFG4" s="102"/>
      <c r="AFH4" s="102"/>
      <c r="AFI4" s="102"/>
      <c r="AFJ4" s="102"/>
      <c r="AFK4" s="102"/>
      <c r="AFL4" s="102"/>
      <c r="AFM4" s="102"/>
      <c r="AFN4" s="102"/>
      <c r="AFO4" s="102"/>
      <c r="AFP4" s="102"/>
      <c r="AFQ4" s="102"/>
      <c r="AFR4" s="102"/>
      <c r="AFS4" s="102"/>
      <c r="AFT4" s="102"/>
      <c r="AFU4" s="102"/>
      <c r="AFV4" s="102"/>
      <c r="AFW4" s="102"/>
      <c r="AFX4" s="102"/>
      <c r="AFY4" s="102"/>
      <c r="AFZ4" s="102"/>
      <c r="AGA4" s="102"/>
      <c r="AGB4" s="102"/>
      <c r="AGC4" s="102"/>
      <c r="AGD4" s="102"/>
      <c r="AGE4" s="102"/>
      <c r="AGF4" s="102"/>
      <c r="AGG4" s="102"/>
      <c r="AGH4" s="102"/>
      <c r="AGI4" s="102"/>
      <c r="AGJ4" s="102"/>
      <c r="AGK4" s="102"/>
      <c r="AGL4" s="102"/>
      <c r="AGM4" s="102"/>
      <c r="AGN4" s="102"/>
      <c r="AGO4" s="102"/>
      <c r="AGP4" s="102"/>
      <c r="AGQ4" s="102"/>
      <c r="AGR4" s="102"/>
      <c r="AGS4" s="102"/>
      <c r="AGT4" s="102"/>
      <c r="AGU4" s="102"/>
      <c r="AGV4" s="102"/>
      <c r="AGW4" s="102"/>
      <c r="AGX4" s="102"/>
      <c r="AGY4" s="102"/>
      <c r="AGZ4" s="102"/>
      <c r="AHA4" s="102"/>
      <c r="AHB4" s="102"/>
      <c r="AHC4" s="102"/>
      <c r="AHD4" s="102"/>
      <c r="AHE4" s="102"/>
      <c r="AHF4" s="102"/>
      <c r="AHG4" s="102"/>
      <c r="AHH4" s="102"/>
      <c r="AHI4" s="102"/>
      <c r="AHJ4" s="102"/>
      <c r="AHK4" s="102"/>
      <c r="AHL4" s="102"/>
      <c r="AHM4" s="102"/>
      <c r="AHN4" s="102"/>
      <c r="AHO4" s="102"/>
      <c r="AHP4" s="102"/>
      <c r="AHQ4" s="102"/>
      <c r="AHR4" s="102"/>
      <c r="AHS4" s="102"/>
      <c r="AHT4" s="102"/>
      <c r="AHU4" s="102"/>
      <c r="AHV4" s="102"/>
      <c r="AHW4" s="102"/>
      <c r="AHX4" s="102"/>
      <c r="AHY4" s="102"/>
      <c r="AHZ4" s="102"/>
      <c r="AIA4" s="102"/>
      <c r="AIB4" s="102"/>
      <c r="AIC4" s="102"/>
      <c r="AID4" s="102"/>
      <c r="AIE4" s="102"/>
      <c r="AIF4" s="102"/>
      <c r="AIG4" s="102"/>
      <c r="AIH4" s="102"/>
      <c r="AII4" s="102"/>
      <c r="AIJ4" s="102"/>
      <c r="AIK4" s="102"/>
      <c r="AIL4" s="102"/>
      <c r="AIM4" s="102"/>
      <c r="AIN4" s="102"/>
      <c r="AIO4" s="102"/>
      <c r="AIP4" s="102"/>
      <c r="AIQ4" s="102"/>
      <c r="AIR4" s="102"/>
      <c r="AIS4" s="102"/>
      <c r="AIT4" s="102"/>
      <c r="AIU4" s="102"/>
      <c r="AIV4" s="102"/>
      <c r="AIW4" s="102"/>
      <c r="AIX4" s="102"/>
      <c r="AIY4" s="102"/>
      <c r="AIZ4" s="102"/>
      <c r="AJA4" s="102"/>
      <c r="AJB4" s="102"/>
      <c r="AJC4" s="102"/>
      <c r="AJD4" s="102"/>
      <c r="AJE4" s="102"/>
      <c r="AJF4" s="102"/>
      <c r="AJG4" s="102"/>
      <c r="AJH4" s="102"/>
      <c r="AJI4" s="102"/>
      <c r="AJJ4" s="102"/>
      <c r="AJK4" s="102"/>
      <c r="AJL4" s="102"/>
      <c r="AJM4" s="102"/>
      <c r="AJN4" s="102"/>
      <c r="AJO4" s="102"/>
      <c r="AJP4" s="102"/>
      <c r="AJQ4" s="102"/>
      <c r="AJR4" s="102"/>
      <c r="AJS4" s="102"/>
      <c r="AJT4" s="102"/>
      <c r="AJU4" s="102"/>
      <c r="AJV4" s="102"/>
      <c r="AJW4" s="102"/>
      <c r="AJX4" s="102"/>
      <c r="AJY4" s="102"/>
      <c r="AJZ4" s="102"/>
      <c r="AKA4" s="102"/>
      <c r="AKB4" s="102"/>
      <c r="AKC4" s="102"/>
      <c r="AKD4" s="102"/>
      <c r="AKE4" s="102"/>
      <c r="AKF4" s="102"/>
      <c r="AKG4" s="102"/>
      <c r="AKH4" s="102"/>
      <c r="AKI4" s="102"/>
      <c r="AKJ4" s="102"/>
      <c r="AKK4" s="102"/>
      <c r="AKL4" s="102"/>
      <c r="AKM4" s="102"/>
      <c r="AKN4" s="102"/>
      <c r="AKO4" s="102"/>
      <c r="AKP4" s="102"/>
      <c r="AKQ4" s="102"/>
      <c r="AKR4" s="102"/>
      <c r="AKS4" s="102"/>
      <c r="AKT4" s="102"/>
      <c r="AKU4" s="102"/>
      <c r="AKV4" s="102"/>
      <c r="AKW4" s="102"/>
      <c r="AKX4" s="102"/>
      <c r="AKY4" s="102"/>
      <c r="AKZ4" s="102"/>
      <c r="ALA4" s="102"/>
      <c r="ALB4" s="102"/>
      <c r="ALC4" s="102"/>
      <c r="ALD4" s="102"/>
      <c r="ALE4" s="102"/>
      <c r="ALF4" s="102"/>
      <c r="ALG4" s="102"/>
      <c r="ALH4" s="102"/>
      <c r="ALI4" s="102"/>
      <c r="ALJ4" s="102"/>
      <c r="ALK4" s="102"/>
      <c r="ALL4" s="102"/>
      <c r="ALM4" s="102"/>
      <c r="ALN4" s="102"/>
      <c r="ALO4" s="102"/>
      <c r="ALP4" s="102"/>
      <c r="ALQ4" s="102"/>
      <c r="ALR4" s="102"/>
      <c r="ALS4" s="102"/>
      <c r="ALT4" s="102"/>
      <c r="ALU4" s="102"/>
      <c r="ALV4" s="102"/>
      <c r="ALW4" s="102"/>
    </row>
    <row r="5" spans="1:1011" ht="15.75" thickBot="1">
      <c r="A5" s="136" t="s">
        <v>151</v>
      </c>
      <c r="B5" s="104" t="s">
        <v>130</v>
      </c>
      <c r="C5" s="105" t="s">
        <v>131</v>
      </c>
      <c r="D5" s="290"/>
      <c r="E5" s="290"/>
      <c r="F5" s="290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02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02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02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2"/>
      <c r="FI5" s="102"/>
      <c r="FJ5" s="102"/>
      <c r="FK5" s="102"/>
      <c r="FL5" s="102"/>
      <c r="FM5" s="102"/>
      <c r="FN5" s="102"/>
      <c r="FO5" s="102"/>
      <c r="FP5" s="102"/>
      <c r="FQ5" s="102"/>
      <c r="FR5" s="102"/>
      <c r="FS5" s="102"/>
      <c r="FT5" s="102"/>
      <c r="FU5" s="102"/>
      <c r="FV5" s="102"/>
      <c r="FW5" s="102"/>
      <c r="FX5" s="102"/>
      <c r="FY5" s="102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02"/>
      <c r="GP5" s="102"/>
      <c r="GQ5" s="102"/>
      <c r="GR5" s="102"/>
      <c r="GS5" s="102"/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/>
      <c r="HF5" s="102"/>
      <c r="HG5" s="102"/>
      <c r="HH5" s="102"/>
      <c r="HI5" s="102"/>
      <c r="HJ5" s="102"/>
      <c r="HK5" s="102"/>
      <c r="HL5" s="102"/>
      <c r="HM5" s="102"/>
      <c r="HN5" s="102"/>
      <c r="HO5" s="102"/>
      <c r="HP5" s="102"/>
      <c r="HQ5" s="102"/>
      <c r="HR5" s="102"/>
      <c r="HS5" s="102"/>
      <c r="HT5" s="102"/>
      <c r="HU5" s="102"/>
      <c r="HV5" s="102"/>
      <c r="HW5" s="102"/>
      <c r="HX5" s="102"/>
      <c r="HY5" s="102"/>
      <c r="HZ5" s="102"/>
      <c r="IA5" s="102"/>
      <c r="IB5" s="102"/>
      <c r="IC5" s="102"/>
      <c r="ID5" s="102"/>
      <c r="IE5" s="102"/>
      <c r="IF5" s="102"/>
      <c r="IG5" s="102"/>
      <c r="IH5" s="102"/>
      <c r="II5" s="102"/>
      <c r="IJ5" s="102"/>
      <c r="IK5" s="102"/>
      <c r="IL5" s="102"/>
      <c r="IM5" s="102"/>
      <c r="IN5" s="102"/>
      <c r="IO5" s="102"/>
      <c r="IP5" s="102"/>
      <c r="IQ5" s="102"/>
      <c r="IR5" s="102"/>
      <c r="IS5" s="102"/>
      <c r="IT5" s="102"/>
      <c r="IU5" s="102"/>
      <c r="IV5" s="102"/>
      <c r="IW5" s="102"/>
      <c r="IX5" s="102"/>
      <c r="IY5" s="102"/>
      <c r="IZ5" s="102"/>
      <c r="JA5" s="102"/>
      <c r="JB5" s="102"/>
      <c r="JC5" s="102"/>
      <c r="JD5" s="102"/>
      <c r="JE5" s="102"/>
      <c r="JF5" s="102"/>
      <c r="JG5" s="102"/>
      <c r="JH5" s="102"/>
      <c r="JI5" s="102"/>
      <c r="JJ5" s="102"/>
      <c r="JK5" s="102"/>
      <c r="JL5" s="102"/>
      <c r="JM5" s="102"/>
      <c r="JN5" s="102"/>
      <c r="JO5" s="102"/>
      <c r="JP5" s="102"/>
      <c r="JQ5" s="102"/>
      <c r="JR5" s="102"/>
      <c r="JS5" s="102"/>
      <c r="JT5" s="102"/>
      <c r="JU5" s="102"/>
      <c r="JV5" s="102"/>
      <c r="JW5" s="102"/>
      <c r="JX5" s="102"/>
      <c r="JY5" s="102"/>
      <c r="JZ5" s="102"/>
      <c r="KA5" s="102"/>
      <c r="KB5" s="102"/>
      <c r="KC5" s="102"/>
      <c r="KD5" s="102"/>
      <c r="KE5" s="102"/>
      <c r="KF5" s="102"/>
      <c r="KG5" s="102"/>
      <c r="KH5" s="102"/>
      <c r="KI5" s="102"/>
      <c r="KJ5" s="102"/>
      <c r="KK5" s="102"/>
      <c r="KL5" s="102"/>
      <c r="KM5" s="102"/>
      <c r="KN5" s="102"/>
      <c r="KO5" s="102"/>
      <c r="KP5" s="102"/>
      <c r="KQ5" s="102"/>
      <c r="KR5" s="102"/>
      <c r="KS5" s="102"/>
      <c r="KT5" s="102"/>
      <c r="KU5" s="102"/>
      <c r="KV5" s="102"/>
      <c r="KW5" s="102"/>
      <c r="KX5" s="102"/>
      <c r="KY5" s="102"/>
      <c r="KZ5" s="102"/>
      <c r="LA5" s="102"/>
      <c r="LB5" s="102"/>
      <c r="LC5" s="102"/>
      <c r="LD5" s="102"/>
      <c r="LE5" s="102"/>
      <c r="LF5" s="102"/>
      <c r="LG5" s="102"/>
      <c r="LH5" s="102"/>
      <c r="LI5" s="102"/>
      <c r="LJ5" s="102"/>
      <c r="LK5" s="102"/>
      <c r="LL5" s="102"/>
      <c r="LM5" s="102"/>
      <c r="LN5" s="102"/>
      <c r="LO5" s="102"/>
      <c r="LP5" s="102"/>
      <c r="LQ5" s="102"/>
      <c r="LR5" s="102"/>
      <c r="LS5" s="102"/>
      <c r="LT5" s="102"/>
      <c r="LU5" s="102"/>
      <c r="LV5" s="102"/>
      <c r="LW5" s="102"/>
      <c r="LX5" s="102"/>
      <c r="LY5" s="102"/>
      <c r="LZ5" s="102"/>
      <c r="MA5" s="102"/>
      <c r="MB5" s="102"/>
      <c r="MC5" s="102"/>
      <c r="MD5" s="102"/>
      <c r="ME5" s="102"/>
      <c r="MF5" s="102"/>
      <c r="MG5" s="102"/>
      <c r="MH5" s="102"/>
      <c r="MI5" s="102"/>
      <c r="MJ5" s="102"/>
      <c r="MK5" s="102"/>
      <c r="ML5" s="102"/>
      <c r="MM5" s="102"/>
      <c r="MN5" s="102"/>
      <c r="MO5" s="102"/>
      <c r="MP5" s="102"/>
      <c r="MQ5" s="102"/>
      <c r="MR5" s="102"/>
      <c r="MS5" s="102"/>
      <c r="MT5" s="102"/>
      <c r="MU5" s="102"/>
      <c r="MV5" s="102"/>
      <c r="MW5" s="102"/>
      <c r="MX5" s="102"/>
      <c r="MY5" s="102"/>
      <c r="MZ5" s="102"/>
      <c r="NA5" s="102"/>
      <c r="NB5" s="102"/>
      <c r="NC5" s="102"/>
      <c r="ND5" s="102"/>
      <c r="NE5" s="102"/>
      <c r="NF5" s="102"/>
      <c r="NG5" s="102"/>
      <c r="NH5" s="102"/>
      <c r="NI5" s="102"/>
      <c r="NJ5" s="102"/>
      <c r="NK5" s="102"/>
      <c r="NL5" s="102"/>
      <c r="NM5" s="102"/>
      <c r="NN5" s="102"/>
      <c r="NO5" s="102"/>
      <c r="NP5" s="102"/>
      <c r="NQ5" s="102"/>
      <c r="NR5" s="102"/>
      <c r="NS5" s="102"/>
      <c r="NT5" s="102"/>
      <c r="NU5" s="102"/>
      <c r="NV5" s="102"/>
      <c r="NW5" s="102"/>
      <c r="NX5" s="102"/>
      <c r="NY5" s="102"/>
      <c r="NZ5" s="102"/>
      <c r="OA5" s="102"/>
      <c r="OB5" s="102"/>
      <c r="OC5" s="102"/>
      <c r="OD5" s="102"/>
      <c r="OE5" s="102"/>
      <c r="OF5" s="102"/>
      <c r="OG5" s="102"/>
      <c r="OH5" s="102"/>
      <c r="OI5" s="102"/>
      <c r="OJ5" s="102"/>
      <c r="OK5" s="102"/>
      <c r="OL5" s="102"/>
      <c r="OM5" s="102"/>
      <c r="ON5" s="102"/>
      <c r="OO5" s="102"/>
      <c r="OP5" s="102"/>
      <c r="OQ5" s="102"/>
      <c r="OR5" s="102"/>
      <c r="OS5" s="102"/>
      <c r="OT5" s="102"/>
      <c r="OU5" s="102"/>
      <c r="OV5" s="102"/>
      <c r="OW5" s="102"/>
      <c r="OX5" s="102"/>
      <c r="OY5" s="102"/>
      <c r="OZ5" s="102"/>
      <c r="PA5" s="102"/>
      <c r="PB5" s="102"/>
      <c r="PC5" s="102"/>
      <c r="PD5" s="102"/>
      <c r="PE5" s="102"/>
      <c r="PF5" s="102"/>
      <c r="PG5" s="102"/>
      <c r="PH5" s="102"/>
      <c r="PI5" s="102"/>
      <c r="PJ5" s="102"/>
      <c r="PK5" s="102"/>
      <c r="PL5" s="102"/>
      <c r="PM5" s="102"/>
      <c r="PN5" s="102"/>
      <c r="PO5" s="102"/>
      <c r="PP5" s="102"/>
      <c r="PQ5" s="102"/>
      <c r="PR5" s="102"/>
      <c r="PS5" s="102"/>
      <c r="PT5" s="102"/>
      <c r="PU5" s="102"/>
      <c r="PV5" s="102"/>
      <c r="PW5" s="102"/>
      <c r="PX5" s="102"/>
      <c r="PY5" s="102"/>
      <c r="PZ5" s="102"/>
      <c r="QA5" s="102"/>
      <c r="QB5" s="102"/>
      <c r="QC5" s="102"/>
      <c r="QD5" s="102"/>
      <c r="QE5" s="102"/>
      <c r="QF5" s="102"/>
      <c r="QG5" s="102"/>
      <c r="QH5" s="102"/>
      <c r="QI5" s="102"/>
      <c r="QJ5" s="102"/>
      <c r="QK5" s="102"/>
      <c r="QL5" s="102"/>
      <c r="QM5" s="102"/>
      <c r="QN5" s="102"/>
      <c r="QO5" s="102"/>
      <c r="QP5" s="102"/>
      <c r="QQ5" s="102"/>
      <c r="QR5" s="102"/>
      <c r="QS5" s="102"/>
      <c r="QT5" s="102"/>
      <c r="QU5" s="102"/>
      <c r="QV5" s="102"/>
      <c r="QW5" s="102"/>
      <c r="QX5" s="102"/>
      <c r="QY5" s="102"/>
      <c r="QZ5" s="102"/>
      <c r="RA5" s="102"/>
      <c r="RB5" s="102"/>
      <c r="RC5" s="102"/>
      <c r="RD5" s="102"/>
      <c r="RE5" s="102"/>
      <c r="RF5" s="102"/>
      <c r="RG5" s="102"/>
      <c r="RH5" s="102"/>
      <c r="RI5" s="102"/>
      <c r="RJ5" s="102"/>
      <c r="RK5" s="102"/>
      <c r="RL5" s="102"/>
      <c r="RM5" s="102"/>
      <c r="RN5" s="102"/>
      <c r="RO5" s="102"/>
      <c r="RP5" s="102"/>
      <c r="RQ5" s="102"/>
      <c r="RR5" s="102"/>
      <c r="RS5" s="102"/>
      <c r="RT5" s="102"/>
      <c r="RU5" s="102"/>
      <c r="RV5" s="102"/>
      <c r="RW5" s="102"/>
      <c r="RX5" s="102"/>
      <c r="RY5" s="102"/>
      <c r="RZ5" s="102"/>
      <c r="SA5" s="102"/>
      <c r="SB5" s="102"/>
      <c r="SC5" s="102"/>
      <c r="SD5" s="102"/>
      <c r="SE5" s="102"/>
      <c r="SF5" s="102"/>
      <c r="SG5" s="102"/>
      <c r="SH5" s="102"/>
      <c r="SI5" s="102"/>
      <c r="SJ5" s="102"/>
      <c r="SK5" s="102"/>
      <c r="SL5" s="102"/>
      <c r="SM5" s="102"/>
      <c r="SN5" s="102"/>
      <c r="SO5" s="102"/>
      <c r="SP5" s="102"/>
      <c r="SQ5" s="102"/>
      <c r="SR5" s="102"/>
      <c r="SS5" s="102"/>
      <c r="ST5" s="102"/>
      <c r="SU5" s="102"/>
      <c r="SV5" s="102"/>
      <c r="SW5" s="102"/>
      <c r="SX5" s="102"/>
      <c r="SY5" s="102"/>
      <c r="SZ5" s="102"/>
      <c r="TA5" s="102"/>
      <c r="TB5" s="102"/>
      <c r="TC5" s="102"/>
      <c r="TD5" s="102"/>
      <c r="TE5" s="102"/>
      <c r="TF5" s="102"/>
      <c r="TG5" s="102"/>
      <c r="TH5" s="102"/>
      <c r="TI5" s="102"/>
      <c r="TJ5" s="102"/>
      <c r="TK5" s="102"/>
      <c r="TL5" s="102"/>
      <c r="TM5" s="102"/>
      <c r="TN5" s="102"/>
      <c r="TO5" s="102"/>
      <c r="TP5" s="102"/>
      <c r="TQ5" s="102"/>
      <c r="TR5" s="102"/>
      <c r="TS5" s="102"/>
      <c r="TT5" s="102"/>
      <c r="TU5" s="102"/>
      <c r="TV5" s="102"/>
      <c r="TW5" s="102"/>
      <c r="TX5" s="102"/>
      <c r="TY5" s="102"/>
      <c r="TZ5" s="102"/>
      <c r="UA5" s="102"/>
      <c r="UB5" s="102"/>
      <c r="UC5" s="102"/>
      <c r="UD5" s="102"/>
      <c r="UE5" s="102"/>
      <c r="UF5" s="102"/>
      <c r="UG5" s="102"/>
      <c r="UH5" s="102"/>
      <c r="UI5" s="102"/>
      <c r="UJ5" s="102"/>
      <c r="UK5" s="102"/>
      <c r="UL5" s="102"/>
      <c r="UM5" s="102"/>
      <c r="UN5" s="102"/>
      <c r="UO5" s="102"/>
      <c r="UP5" s="102"/>
      <c r="UQ5" s="102"/>
      <c r="UR5" s="102"/>
      <c r="US5" s="102"/>
      <c r="UT5" s="102"/>
      <c r="UU5" s="102"/>
      <c r="UV5" s="102"/>
      <c r="UW5" s="102"/>
      <c r="UX5" s="102"/>
      <c r="UY5" s="102"/>
      <c r="UZ5" s="102"/>
      <c r="VA5" s="102"/>
      <c r="VB5" s="102"/>
      <c r="VC5" s="102"/>
      <c r="VD5" s="102"/>
      <c r="VE5" s="102"/>
      <c r="VF5" s="102"/>
      <c r="VG5" s="102"/>
      <c r="VH5" s="102"/>
      <c r="VI5" s="102"/>
      <c r="VJ5" s="102"/>
      <c r="VK5" s="102"/>
      <c r="VL5" s="102"/>
      <c r="VM5" s="102"/>
      <c r="VN5" s="102"/>
      <c r="VO5" s="102"/>
      <c r="VP5" s="102"/>
      <c r="VQ5" s="102"/>
      <c r="VR5" s="102"/>
      <c r="VS5" s="102"/>
      <c r="VT5" s="102"/>
      <c r="VU5" s="102"/>
      <c r="VV5" s="102"/>
      <c r="VW5" s="102"/>
      <c r="VX5" s="102"/>
      <c r="VY5" s="102"/>
      <c r="VZ5" s="102"/>
      <c r="WA5" s="102"/>
      <c r="WB5" s="102"/>
      <c r="WC5" s="102"/>
      <c r="WD5" s="102"/>
      <c r="WE5" s="102"/>
      <c r="WF5" s="102"/>
      <c r="WG5" s="102"/>
      <c r="WH5" s="102"/>
      <c r="WI5" s="102"/>
      <c r="WJ5" s="102"/>
      <c r="WK5" s="102"/>
      <c r="WL5" s="102"/>
      <c r="WM5" s="102"/>
      <c r="WN5" s="102"/>
      <c r="WO5" s="102"/>
      <c r="WP5" s="102"/>
      <c r="WQ5" s="102"/>
      <c r="WR5" s="102"/>
      <c r="WS5" s="102"/>
      <c r="WT5" s="102"/>
      <c r="WU5" s="102"/>
      <c r="WV5" s="102"/>
      <c r="WW5" s="102"/>
      <c r="WX5" s="102"/>
      <c r="WY5" s="102"/>
      <c r="WZ5" s="102"/>
      <c r="XA5" s="102"/>
      <c r="XB5" s="102"/>
      <c r="XC5" s="102"/>
      <c r="XD5" s="102"/>
      <c r="XE5" s="102"/>
      <c r="XF5" s="102"/>
      <c r="XG5" s="102"/>
      <c r="XH5" s="102"/>
      <c r="XI5" s="102"/>
      <c r="XJ5" s="102"/>
      <c r="XK5" s="102"/>
      <c r="XL5" s="102"/>
      <c r="XM5" s="102"/>
      <c r="XN5" s="102"/>
      <c r="XO5" s="102"/>
      <c r="XP5" s="102"/>
      <c r="XQ5" s="102"/>
      <c r="XR5" s="102"/>
      <c r="XS5" s="102"/>
      <c r="XT5" s="102"/>
      <c r="XU5" s="102"/>
      <c r="XV5" s="102"/>
      <c r="XW5" s="102"/>
      <c r="XX5" s="102"/>
      <c r="XY5" s="102"/>
      <c r="XZ5" s="102"/>
      <c r="YA5" s="102"/>
      <c r="YB5" s="102"/>
      <c r="YC5" s="102"/>
      <c r="YD5" s="102"/>
      <c r="YE5" s="102"/>
      <c r="YF5" s="102"/>
      <c r="YG5" s="102"/>
      <c r="YH5" s="102"/>
      <c r="YI5" s="102"/>
      <c r="YJ5" s="102"/>
      <c r="YK5" s="102"/>
      <c r="YL5" s="102"/>
      <c r="YM5" s="102"/>
      <c r="YN5" s="102"/>
      <c r="YO5" s="102"/>
      <c r="YP5" s="102"/>
      <c r="YQ5" s="102"/>
      <c r="YR5" s="102"/>
      <c r="YS5" s="102"/>
      <c r="YT5" s="102"/>
      <c r="YU5" s="102"/>
      <c r="YV5" s="102"/>
      <c r="YW5" s="102"/>
      <c r="YX5" s="102"/>
      <c r="YY5" s="102"/>
      <c r="YZ5" s="102"/>
      <c r="ZA5" s="102"/>
      <c r="ZB5" s="102"/>
      <c r="ZC5" s="102"/>
      <c r="ZD5" s="102"/>
      <c r="ZE5" s="102"/>
      <c r="ZF5" s="102"/>
      <c r="ZG5" s="102"/>
      <c r="ZH5" s="102"/>
      <c r="ZI5" s="102"/>
      <c r="ZJ5" s="102"/>
      <c r="ZK5" s="102"/>
      <c r="ZL5" s="102"/>
      <c r="ZM5" s="102"/>
      <c r="ZN5" s="102"/>
      <c r="ZO5" s="102"/>
      <c r="ZP5" s="102"/>
      <c r="ZQ5" s="102"/>
      <c r="ZR5" s="102"/>
      <c r="ZS5" s="102"/>
      <c r="ZT5" s="102"/>
      <c r="ZU5" s="102"/>
      <c r="ZV5" s="102"/>
      <c r="ZW5" s="102"/>
      <c r="ZX5" s="102"/>
      <c r="ZY5" s="102"/>
      <c r="ZZ5" s="102"/>
      <c r="AAA5" s="102"/>
      <c r="AAB5" s="102"/>
      <c r="AAC5" s="102"/>
      <c r="AAD5" s="102"/>
      <c r="AAE5" s="102"/>
      <c r="AAF5" s="102"/>
      <c r="AAG5" s="102"/>
      <c r="AAH5" s="102"/>
      <c r="AAI5" s="102"/>
      <c r="AAJ5" s="102"/>
      <c r="AAK5" s="102"/>
      <c r="AAL5" s="102"/>
      <c r="AAM5" s="102"/>
      <c r="AAN5" s="102"/>
      <c r="AAO5" s="102"/>
      <c r="AAP5" s="102"/>
      <c r="AAQ5" s="102"/>
      <c r="AAR5" s="102"/>
      <c r="AAS5" s="102"/>
      <c r="AAT5" s="102"/>
      <c r="AAU5" s="102"/>
      <c r="AAV5" s="102"/>
      <c r="AAW5" s="102"/>
      <c r="AAX5" s="102"/>
      <c r="AAY5" s="102"/>
      <c r="AAZ5" s="102"/>
      <c r="ABA5" s="102"/>
      <c r="ABB5" s="102"/>
      <c r="ABC5" s="102"/>
      <c r="ABD5" s="102"/>
      <c r="ABE5" s="102"/>
      <c r="ABF5" s="102"/>
      <c r="ABG5" s="102"/>
      <c r="ABH5" s="102"/>
      <c r="ABI5" s="102"/>
      <c r="ABJ5" s="102"/>
      <c r="ABK5" s="102"/>
      <c r="ABL5" s="102"/>
      <c r="ABM5" s="102"/>
      <c r="ABN5" s="102"/>
      <c r="ABO5" s="102"/>
      <c r="ABP5" s="102"/>
      <c r="ABQ5" s="102"/>
      <c r="ABR5" s="102"/>
      <c r="ABS5" s="102"/>
      <c r="ABT5" s="102"/>
      <c r="ABU5" s="102"/>
      <c r="ABV5" s="102"/>
      <c r="ABW5" s="102"/>
      <c r="ABX5" s="102"/>
      <c r="ABY5" s="102"/>
      <c r="ABZ5" s="102"/>
      <c r="ACA5" s="102"/>
      <c r="ACB5" s="102"/>
      <c r="ACC5" s="102"/>
      <c r="ACD5" s="102"/>
      <c r="ACE5" s="102"/>
      <c r="ACF5" s="102"/>
      <c r="ACG5" s="102"/>
      <c r="ACH5" s="102"/>
      <c r="ACI5" s="102"/>
      <c r="ACJ5" s="102"/>
      <c r="ACK5" s="102"/>
      <c r="ACL5" s="102"/>
      <c r="ACM5" s="102"/>
      <c r="ACN5" s="102"/>
      <c r="ACO5" s="102"/>
      <c r="ACP5" s="102"/>
      <c r="ACQ5" s="102"/>
      <c r="ACR5" s="102"/>
      <c r="ACS5" s="102"/>
      <c r="ACT5" s="102"/>
      <c r="ACU5" s="102"/>
      <c r="ACV5" s="102"/>
      <c r="ACW5" s="102"/>
      <c r="ACX5" s="102"/>
      <c r="ACY5" s="102"/>
      <c r="ACZ5" s="102"/>
      <c r="ADA5" s="102"/>
      <c r="ADB5" s="102"/>
      <c r="ADC5" s="102"/>
      <c r="ADD5" s="102"/>
      <c r="ADE5" s="102"/>
      <c r="ADF5" s="102"/>
      <c r="ADG5" s="102"/>
      <c r="ADH5" s="102"/>
      <c r="ADI5" s="102"/>
      <c r="ADJ5" s="102"/>
      <c r="ADK5" s="102"/>
      <c r="ADL5" s="102"/>
      <c r="ADM5" s="102"/>
      <c r="ADN5" s="102"/>
      <c r="ADO5" s="102"/>
      <c r="ADP5" s="102"/>
      <c r="ADQ5" s="102"/>
      <c r="ADR5" s="102"/>
      <c r="ADS5" s="102"/>
      <c r="ADT5" s="102"/>
      <c r="ADU5" s="102"/>
      <c r="ADV5" s="102"/>
      <c r="ADW5" s="102"/>
      <c r="ADX5" s="102"/>
      <c r="ADY5" s="102"/>
      <c r="ADZ5" s="102"/>
      <c r="AEA5" s="102"/>
      <c r="AEB5" s="102"/>
      <c r="AEC5" s="102"/>
      <c r="AED5" s="102"/>
      <c r="AEE5" s="102"/>
      <c r="AEF5" s="102"/>
      <c r="AEG5" s="102"/>
      <c r="AEH5" s="102"/>
      <c r="AEI5" s="102"/>
      <c r="AEJ5" s="102"/>
      <c r="AEK5" s="102"/>
      <c r="AEL5" s="102"/>
      <c r="AEM5" s="102"/>
      <c r="AEN5" s="102"/>
      <c r="AEO5" s="102"/>
      <c r="AEP5" s="102"/>
      <c r="AEQ5" s="102"/>
      <c r="AER5" s="102"/>
      <c r="AES5" s="102"/>
      <c r="AET5" s="102"/>
      <c r="AEU5" s="102"/>
      <c r="AEV5" s="102"/>
      <c r="AEW5" s="102"/>
      <c r="AEX5" s="102"/>
      <c r="AEY5" s="102"/>
      <c r="AEZ5" s="102"/>
      <c r="AFA5" s="102"/>
      <c r="AFB5" s="102"/>
      <c r="AFC5" s="102"/>
      <c r="AFD5" s="102"/>
      <c r="AFE5" s="102"/>
      <c r="AFF5" s="102"/>
      <c r="AFG5" s="102"/>
      <c r="AFH5" s="102"/>
      <c r="AFI5" s="102"/>
      <c r="AFJ5" s="102"/>
      <c r="AFK5" s="102"/>
      <c r="AFL5" s="102"/>
      <c r="AFM5" s="102"/>
      <c r="AFN5" s="102"/>
      <c r="AFO5" s="102"/>
      <c r="AFP5" s="102"/>
      <c r="AFQ5" s="102"/>
      <c r="AFR5" s="102"/>
      <c r="AFS5" s="102"/>
      <c r="AFT5" s="102"/>
      <c r="AFU5" s="102"/>
      <c r="AFV5" s="102"/>
      <c r="AFW5" s="102"/>
      <c r="AFX5" s="102"/>
      <c r="AFY5" s="102"/>
      <c r="AFZ5" s="102"/>
      <c r="AGA5" s="102"/>
      <c r="AGB5" s="102"/>
      <c r="AGC5" s="102"/>
      <c r="AGD5" s="102"/>
      <c r="AGE5" s="102"/>
      <c r="AGF5" s="102"/>
      <c r="AGG5" s="102"/>
      <c r="AGH5" s="102"/>
      <c r="AGI5" s="102"/>
      <c r="AGJ5" s="102"/>
      <c r="AGK5" s="102"/>
      <c r="AGL5" s="102"/>
      <c r="AGM5" s="102"/>
      <c r="AGN5" s="102"/>
      <c r="AGO5" s="102"/>
      <c r="AGP5" s="102"/>
      <c r="AGQ5" s="102"/>
      <c r="AGR5" s="102"/>
      <c r="AGS5" s="102"/>
      <c r="AGT5" s="102"/>
      <c r="AGU5" s="102"/>
      <c r="AGV5" s="102"/>
      <c r="AGW5" s="102"/>
      <c r="AGX5" s="102"/>
      <c r="AGY5" s="102"/>
      <c r="AGZ5" s="102"/>
      <c r="AHA5" s="102"/>
      <c r="AHB5" s="102"/>
      <c r="AHC5" s="102"/>
      <c r="AHD5" s="102"/>
      <c r="AHE5" s="102"/>
      <c r="AHF5" s="102"/>
      <c r="AHG5" s="102"/>
      <c r="AHH5" s="102"/>
      <c r="AHI5" s="102"/>
      <c r="AHJ5" s="102"/>
      <c r="AHK5" s="102"/>
      <c r="AHL5" s="102"/>
      <c r="AHM5" s="102"/>
      <c r="AHN5" s="102"/>
      <c r="AHO5" s="102"/>
      <c r="AHP5" s="102"/>
      <c r="AHQ5" s="102"/>
      <c r="AHR5" s="102"/>
      <c r="AHS5" s="102"/>
      <c r="AHT5" s="102"/>
      <c r="AHU5" s="102"/>
      <c r="AHV5" s="102"/>
      <c r="AHW5" s="102"/>
      <c r="AHX5" s="102"/>
      <c r="AHY5" s="102"/>
      <c r="AHZ5" s="102"/>
      <c r="AIA5" s="102"/>
      <c r="AIB5" s="102"/>
      <c r="AIC5" s="102"/>
      <c r="AID5" s="102"/>
      <c r="AIE5" s="102"/>
      <c r="AIF5" s="102"/>
      <c r="AIG5" s="102"/>
      <c r="AIH5" s="102"/>
      <c r="AII5" s="102"/>
      <c r="AIJ5" s="102"/>
      <c r="AIK5" s="102"/>
      <c r="AIL5" s="102"/>
      <c r="AIM5" s="102"/>
      <c r="AIN5" s="102"/>
      <c r="AIO5" s="102"/>
      <c r="AIP5" s="102"/>
      <c r="AIQ5" s="102"/>
      <c r="AIR5" s="102"/>
      <c r="AIS5" s="102"/>
      <c r="AIT5" s="102"/>
      <c r="AIU5" s="102"/>
      <c r="AIV5" s="102"/>
      <c r="AIW5" s="102"/>
      <c r="AIX5" s="102"/>
      <c r="AIY5" s="102"/>
      <c r="AIZ5" s="102"/>
      <c r="AJA5" s="102"/>
      <c r="AJB5" s="102"/>
      <c r="AJC5" s="102"/>
      <c r="AJD5" s="102"/>
      <c r="AJE5" s="102"/>
      <c r="AJF5" s="102"/>
      <c r="AJG5" s="102"/>
      <c r="AJH5" s="102"/>
      <c r="AJI5" s="102"/>
      <c r="AJJ5" s="102"/>
      <c r="AJK5" s="102"/>
      <c r="AJL5" s="102"/>
      <c r="AJM5" s="102"/>
      <c r="AJN5" s="102"/>
      <c r="AJO5" s="102"/>
      <c r="AJP5" s="102"/>
      <c r="AJQ5" s="102"/>
      <c r="AJR5" s="102"/>
      <c r="AJS5" s="102"/>
      <c r="AJT5" s="102"/>
      <c r="AJU5" s="102"/>
      <c r="AJV5" s="102"/>
      <c r="AJW5" s="102"/>
      <c r="AJX5" s="102"/>
      <c r="AJY5" s="102"/>
      <c r="AJZ5" s="102"/>
      <c r="AKA5" s="102"/>
      <c r="AKB5" s="102"/>
      <c r="AKC5" s="102"/>
      <c r="AKD5" s="102"/>
      <c r="AKE5" s="102"/>
      <c r="AKF5" s="102"/>
      <c r="AKG5" s="102"/>
      <c r="AKH5" s="102"/>
      <c r="AKI5" s="102"/>
      <c r="AKJ5" s="102"/>
      <c r="AKK5" s="102"/>
      <c r="AKL5" s="102"/>
      <c r="AKM5" s="102"/>
      <c r="AKN5" s="102"/>
      <c r="AKO5" s="102"/>
      <c r="AKP5" s="102"/>
      <c r="AKQ5" s="102"/>
      <c r="AKR5" s="102"/>
      <c r="AKS5" s="102"/>
      <c r="AKT5" s="102"/>
      <c r="AKU5" s="102"/>
      <c r="AKV5" s="102"/>
      <c r="AKW5" s="102"/>
      <c r="AKX5" s="102"/>
      <c r="AKY5" s="102"/>
      <c r="AKZ5" s="102"/>
      <c r="ALA5" s="102"/>
      <c r="ALB5" s="102"/>
      <c r="ALC5" s="102"/>
      <c r="ALD5" s="102"/>
      <c r="ALE5" s="102"/>
      <c r="ALF5" s="102"/>
      <c r="ALG5" s="102"/>
      <c r="ALH5" s="102"/>
      <c r="ALI5" s="102"/>
      <c r="ALJ5" s="102"/>
      <c r="ALK5" s="102"/>
      <c r="ALL5" s="102"/>
      <c r="ALM5" s="102"/>
      <c r="ALN5" s="102"/>
      <c r="ALO5" s="102"/>
      <c r="ALP5" s="102"/>
      <c r="ALQ5" s="102"/>
      <c r="ALR5" s="102"/>
      <c r="ALS5" s="102"/>
      <c r="ALT5" s="102"/>
      <c r="ALU5" s="102"/>
      <c r="ALV5" s="102"/>
      <c r="ALW5" s="102"/>
    </row>
    <row r="6" spans="1:1011" ht="18.75" customHeight="1">
      <c r="A6" s="110" t="s">
        <v>1</v>
      </c>
      <c r="B6" s="111" t="s">
        <v>134</v>
      </c>
      <c r="C6" s="112" t="s">
        <v>135</v>
      </c>
      <c r="D6" s="113">
        <v>31</v>
      </c>
      <c r="E6" s="113">
        <v>76</v>
      </c>
      <c r="F6" s="113">
        <v>59</v>
      </c>
    </row>
    <row r="7" spans="1:1011" ht="18.75" customHeight="1">
      <c r="A7" s="118" t="s">
        <v>44</v>
      </c>
      <c r="B7" s="119" t="s">
        <v>134</v>
      </c>
      <c r="C7" s="120" t="s">
        <v>135</v>
      </c>
      <c r="D7" s="121">
        <v>25</v>
      </c>
      <c r="E7" s="121">
        <v>45</v>
      </c>
      <c r="F7" s="121">
        <v>32</v>
      </c>
    </row>
    <row r="8" spans="1:1011" ht="18.75" customHeight="1">
      <c r="A8" s="118" t="s">
        <v>163</v>
      </c>
      <c r="B8" s="119" t="s">
        <v>134</v>
      </c>
      <c r="C8" s="120" t="s">
        <v>135</v>
      </c>
      <c r="D8" s="121">
        <v>18</v>
      </c>
      <c r="E8" s="121">
        <v>16</v>
      </c>
      <c r="F8" s="121">
        <v>21</v>
      </c>
    </row>
    <row r="9" spans="1:1011" ht="18.75" customHeight="1">
      <c r="A9" s="118" t="s">
        <v>152</v>
      </c>
      <c r="B9" s="119" t="s">
        <v>134</v>
      </c>
      <c r="C9" s="120" t="s">
        <v>137</v>
      </c>
      <c r="D9" s="252"/>
      <c r="E9" s="121">
        <v>56</v>
      </c>
      <c r="F9" s="121">
        <v>55</v>
      </c>
    </row>
    <row r="10" spans="1:1011" ht="18.75" customHeight="1" thickBot="1">
      <c r="A10" s="248"/>
      <c r="B10" s="249"/>
      <c r="C10" s="250"/>
      <c r="D10" s="251">
        <f>SUM(D6:D8)</f>
        <v>74</v>
      </c>
      <c r="E10" s="251">
        <f>SUM(E6:E8)</f>
        <v>137</v>
      </c>
      <c r="F10" s="251">
        <f>SUM(F6:F9)</f>
        <v>167</v>
      </c>
    </row>
    <row r="11" spans="1:1011" ht="18.75" customHeight="1">
      <c r="A11" s="244"/>
      <c r="B11" s="245"/>
      <c r="C11" s="246"/>
      <c r="D11" s="247"/>
      <c r="E11" s="247"/>
      <c r="F11" s="247"/>
    </row>
    <row r="12" spans="1:1011" ht="18.75" customHeight="1">
      <c r="A12" s="118" t="s">
        <v>208</v>
      </c>
      <c r="B12" s="119"/>
      <c r="C12" s="120"/>
      <c r="D12" s="121"/>
      <c r="E12" s="121"/>
      <c r="F12" s="121">
        <v>15</v>
      </c>
    </row>
    <row r="13" spans="1:1011" ht="18.75" customHeight="1">
      <c r="A13" s="118" t="s">
        <v>78</v>
      </c>
      <c r="B13" s="119" t="s">
        <v>134</v>
      </c>
      <c r="C13" s="120" t="s">
        <v>135</v>
      </c>
      <c r="D13" s="121">
        <v>14</v>
      </c>
      <c r="E13" s="121">
        <v>13</v>
      </c>
      <c r="F13" s="121">
        <v>6</v>
      </c>
    </row>
    <row r="14" spans="1:1011" ht="18.75" customHeight="1" thickBot="1">
      <c r="A14" s="240"/>
      <c r="B14" s="241"/>
      <c r="C14" s="242"/>
      <c r="D14" s="243"/>
      <c r="E14" s="243"/>
      <c r="F14" s="243"/>
    </row>
    <row r="15" spans="1:1011" ht="18.75" customHeight="1">
      <c r="A15" s="110" t="s">
        <v>86</v>
      </c>
      <c r="B15" s="111" t="s">
        <v>134</v>
      </c>
      <c r="C15" s="112" t="s">
        <v>135</v>
      </c>
      <c r="D15" s="113">
        <v>24</v>
      </c>
      <c r="E15" s="113">
        <v>24</v>
      </c>
      <c r="F15" s="113">
        <v>20</v>
      </c>
    </row>
    <row r="16" spans="1:1011" ht="18.75" customHeight="1">
      <c r="A16" s="118" t="s">
        <v>94</v>
      </c>
      <c r="B16" s="119" t="s">
        <v>134</v>
      </c>
      <c r="C16" s="120" t="s">
        <v>135</v>
      </c>
      <c r="D16" s="121">
        <v>29</v>
      </c>
      <c r="E16" s="121">
        <v>33</v>
      </c>
      <c r="F16" s="121">
        <v>20</v>
      </c>
    </row>
    <row r="17" spans="1:1011" ht="18.75" customHeight="1">
      <c r="A17" s="118" t="s">
        <v>102</v>
      </c>
      <c r="B17" s="119" t="s">
        <v>134</v>
      </c>
      <c r="C17" s="120" t="s">
        <v>135</v>
      </c>
      <c r="D17" s="121">
        <v>27</v>
      </c>
      <c r="E17" s="121">
        <v>32</v>
      </c>
      <c r="F17" s="121">
        <v>35</v>
      </c>
    </row>
    <row r="18" spans="1:1011" ht="18.75" customHeight="1">
      <c r="A18" s="118" t="s">
        <v>209</v>
      </c>
      <c r="B18" s="119" t="s">
        <v>134</v>
      </c>
      <c r="C18" s="120" t="s">
        <v>135</v>
      </c>
      <c r="D18" s="252"/>
      <c r="E18" s="252"/>
      <c r="F18" s="121">
        <v>22</v>
      </c>
    </row>
    <row r="19" spans="1:1011" ht="18.75" customHeight="1">
      <c r="A19" s="118"/>
      <c r="B19" s="119"/>
      <c r="C19" s="120"/>
      <c r="D19" s="154">
        <f>SUM(D13:D18)</f>
        <v>94</v>
      </c>
      <c r="E19" s="154">
        <f>SUM(E13:E18)</f>
        <v>102</v>
      </c>
      <c r="F19" s="154">
        <f>SUM(F15:F18)</f>
        <v>97</v>
      </c>
    </row>
    <row r="20" spans="1:1011" ht="18.75" customHeight="1" thickBot="1">
      <c r="A20" s="118"/>
      <c r="B20" s="119"/>
      <c r="C20" s="120"/>
      <c r="D20" s="154"/>
      <c r="E20" s="154"/>
      <c r="F20" s="154"/>
    </row>
    <row r="21" spans="1:1011" ht="15.75" thickBot="1">
      <c r="A21" s="123" t="s">
        <v>29</v>
      </c>
      <c r="B21" s="124"/>
      <c r="C21" s="125"/>
      <c r="D21" s="126">
        <f>D19+D10</f>
        <v>168</v>
      </c>
      <c r="E21" s="126">
        <f>E19+E10</f>
        <v>239</v>
      </c>
      <c r="F21" s="126">
        <f>F19+F10</f>
        <v>264</v>
      </c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  <c r="CL21" s="102"/>
      <c r="CM21" s="102"/>
      <c r="CN21" s="102"/>
      <c r="CO21" s="102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2"/>
      <c r="DB21" s="102"/>
      <c r="DC21" s="102"/>
      <c r="DD21" s="102"/>
      <c r="DE21" s="102"/>
      <c r="DF21" s="102"/>
      <c r="DG21" s="102"/>
      <c r="DH21" s="102"/>
      <c r="DI21" s="102"/>
      <c r="DJ21" s="102"/>
      <c r="DK21" s="102"/>
      <c r="DL21" s="102"/>
      <c r="DM21" s="102"/>
      <c r="DN21" s="102"/>
      <c r="DO21" s="102"/>
      <c r="DP21" s="102"/>
      <c r="DQ21" s="102"/>
      <c r="DR21" s="102"/>
      <c r="DS21" s="102"/>
      <c r="DT21" s="102"/>
      <c r="DU21" s="102"/>
      <c r="DV21" s="102"/>
      <c r="DW21" s="102"/>
      <c r="DX21" s="102"/>
      <c r="DY21" s="102"/>
      <c r="DZ21" s="102"/>
      <c r="EA21" s="102"/>
      <c r="EB21" s="102"/>
      <c r="EC21" s="102"/>
      <c r="ED21" s="102"/>
      <c r="EE21" s="102"/>
      <c r="EF21" s="102"/>
      <c r="EG21" s="102"/>
      <c r="EH21" s="102"/>
      <c r="EI21" s="102"/>
      <c r="EJ21" s="102"/>
      <c r="EK21" s="102"/>
      <c r="EL21" s="102"/>
      <c r="EM21" s="102"/>
      <c r="EN21" s="102"/>
      <c r="EO21" s="102"/>
      <c r="EP21" s="102"/>
      <c r="EQ21" s="102"/>
      <c r="ER21" s="102"/>
      <c r="ES21" s="102"/>
      <c r="ET21" s="102"/>
      <c r="EU21" s="102"/>
      <c r="EV21" s="102"/>
      <c r="EW21" s="102"/>
      <c r="EX21" s="102"/>
      <c r="EY21" s="102"/>
      <c r="EZ21" s="102"/>
      <c r="FA21" s="102"/>
      <c r="FB21" s="102"/>
      <c r="FC21" s="102"/>
      <c r="FD21" s="102"/>
      <c r="FE21" s="102"/>
      <c r="FF21" s="102"/>
      <c r="FG21" s="102"/>
      <c r="FH21" s="102"/>
      <c r="FI21" s="102"/>
      <c r="FJ21" s="102"/>
      <c r="FK21" s="102"/>
      <c r="FL21" s="102"/>
      <c r="FM21" s="102"/>
      <c r="FN21" s="102"/>
      <c r="FO21" s="102"/>
      <c r="FP21" s="102"/>
      <c r="FQ21" s="102"/>
      <c r="FR21" s="102"/>
      <c r="FS21" s="102"/>
      <c r="FT21" s="102"/>
      <c r="FU21" s="102"/>
      <c r="FV21" s="102"/>
      <c r="FW21" s="102"/>
      <c r="FX21" s="102"/>
      <c r="FY21" s="102"/>
      <c r="FZ21" s="102"/>
      <c r="GA21" s="102"/>
      <c r="GB21" s="102"/>
      <c r="GC21" s="102"/>
      <c r="GD21" s="102"/>
      <c r="GE21" s="102"/>
      <c r="GF21" s="102"/>
      <c r="GG21" s="102"/>
      <c r="GH21" s="102"/>
      <c r="GI21" s="102"/>
      <c r="GJ21" s="102"/>
      <c r="GK21" s="102"/>
      <c r="GL21" s="102"/>
      <c r="GM21" s="102"/>
      <c r="GN21" s="102"/>
      <c r="GO21" s="102"/>
      <c r="GP21" s="102"/>
      <c r="GQ21" s="102"/>
      <c r="GR21" s="102"/>
      <c r="GS21" s="102"/>
      <c r="GT21" s="102"/>
      <c r="GU21" s="102"/>
      <c r="GV21" s="102"/>
      <c r="GW21" s="102"/>
      <c r="GX21" s="102"/>
      <c r="GY21" s="102"/>
      <c r="GZ21" s="102"/>
      <c r="HA21" s="102"/>
      <c r="HB21" s="102"/>
      <c r="HC21" s="102"/>
      <c r="HD21" s="102"/>
      <c r="HE21" s="102"/>
      <c r="HF21" s="102"/>
      <c r="HG21" s="102"/>
      <c r="HH21" s="102"/>
      <c r="HI21" s="102"/>
      <c r="HJ21" s="102"/>
      <c r="HK21" s="102"/>
      <c r="HL21" s="102"/>
      <c r="HM21" s="102"/>
      <c r="HN21" s="102"/>
      <c r="HO21" s="102"/>
      <c r="HP21" s="102"/>
      <c r="HQ21" s="102"/>
      <c r="HR21" s="102"/>
      <c r="HS21" s="102"/>
      <c r="HT21" s="102"/>
      <c r="HU21" s="102"/>
      <c r="HV21" s="102"/>
      <c r="HW21" s="102"/>
      <c r="HX21" s="102"/>
      <c r="HY21" s="102"/>
      <c r="HZ21" s="102"/>
      <c r="IA21" s="102"/>
      <c r="IB21" s="102"/>
      <c r="IC21" s="102"/>
      <c r="ID21" s="102"/>
      <c r="IE21" s="102"/>
      <c r="IF21" s="102"/>
      <c r="IG21" s="102"/>
      <c r="IH21" s="102"/>
      <c r="II21" s="102"/>
      <c r="IJ21" s="102"/>
      <c r="IK21" s="102"/>
      <c r="IL21" s="102"/>
      <c r="IM21" s="102"/>
      <c r="IN21" s="102"/>
      <c r="IO21" s="102"/>
      <c r="IP21" s="102"/>
      <c r="IQ21" s="102"/>
      <c r="IR21" s="102"/>
      <c r="IS21" s="102"/>
      <c r="IT21" s="102"/>
      <c r="IU21" s="102"/>
      <c r="IV21" s="102"/>
      <c r="IW21" s="102"/>
      <c r="IX21" s="102"/>
      <c r="IY21" s="102"/>
      <c r="IZ21" s="102"/>
      <c r="JA21" s="102"/>
      <c r="JB21" s="102"/>
      <c r="JC21" s="102"/>
      <c r="JD21" s="102"/>
      <c r="JE21" s="102"/>
      <c r="JF21" s="102"/>
      <c r="JG21" s="102"/>
      <c r="JH21" s="102"/>
      <c r="JI21" s="102"/>
      <c r="JJ21" s="102"/>
      <c r="JK21" s="102"/>
      <c r="JL21" s="102"/>
      <c r="JM21" s="102"/>
      <c r="JN21" s="102"/>
      <c r="JO21" s="102"/>
      <c r="JP21" s="102"/>
      <c r="JQ21" s="102"/>
      <c r="JR21" s="102"/>
      <c r="JS21" s="102"/>
      <c r="JT21" s="102"/>
      <c r="JU21" s="102"/>
      <c r="JV21" s="102"/>
      <c r="JW21" s="102"/>
      <c r="JX21" s="102"/>
      <c r="JY21" s="102"/>
      <c r="JZ21" s="102"/>
      <c r="KA21" s="102"/>
      <c r="KB21" s="102"/>
      <c r="KC21" s="102"/>
      <c r="KD21" s="102"/>
      <c r="KE21" s="102"/>
      <c r="KF21" s="102"/>
      <c r="KG21" s="102"/>
      <c r="KH21" s="102"/>
      <c r="KI21" s="102"/>
      <c r="KJ21" s="102"/>
      <c r="KK21" s="102"/>
      <c r="KL21" s="102"/>
      <c r="KM21" s="102"/>
      <c r="KN21" s="102"/>
      <c r="KO21" s="102"/>
      <c r="KP21" s="102"/>
      <c r="KQ21" s="102"/>
      <c r="KR21" s="102"/>
      <c r="KS21" s="102"/>
      <c r="KT21" s="102"/>
      <c r="KU21" s="102"/>
      <c r="KV21" s="102"/>
      <c r="KW21" s="102"/>
      <c r="KX21" s="102"/>
      <c r="KY21" s="102"/>
      <c r="KZ21" s="102"/>
      <c r="LA21" s="102"/>
      <c r="LB21" s="102"/>
      <c r="LC21" s="102"/>
      <c r="LD21" s="102"/>
      <c r="LE21" s="102"/>
      <c r="LF21" s="102"/>
      <c r="LG21" s="102"/>
      <c r="LH21" s="102"/>
      <c r="LI21" s="102"/>
      <c r="LJ21" s="102"/>
      <c r="LK21" s="102"/>
      <c r="LL21" s="102"/>
      <c r="LM21" s="102"/>
      <c r="LN21" s="102"/>
      <c r="LO21" s="102"/>
      <c r="LP21" s="102"/>
      <c r="LQ21" s="102"/>
      <c r="LR21" s="102"/>
      <c r="LS21" s="102"/>
      <c r="LT21" s="102"/>
      <c r="LU21" s="102"/>
      <c r="LV21" s="102"/>
      <c r="LW21" s="102"/>
      <c r="LX21" s="102"/>
      <c r="LY21" s="102"/>
      <c r="LZ21" s="102"/>
      <c r="MA21" s="102"/>
      <c r="MB21" s="102"/>
      <c r="MC21" s="102"/>
      <c r="MD21" s="102"/>
      <c r="ME21" s="102"/>
      <c r="MF21" s="102"/>
      <c r="MG21" s="102"/>
      <c r="MH21" s="102"/>
      <c r="MI21" s="102"/>
      <c r="MJ21" s="102"/>
      <c r="MK21" s="102"/>
      <c r="ML21" s="102"/>
      <c r="MM21" s="102"/>
      <c r="MN21" s="102"/>
      <c r="MO21" s="102"/>
      <c r="MP21" s="102"/>
      <c r="MQ21" s="102"/>
      <c r="MR21" s="102"/>
      <c r="MS21" s="102"/>
      <c r="MT21" s="102"/>
      <c r="MU21" s="102"/>
      <c r="MV21" s="102"/>
      <c r="MW21" s="102"/>
      <c r="MX21" s="102"/>
      <c r="MY21" s="102"/>
      <c r="MZ21" s="102"/>
      <c r="NA21" s="102"/>
      <c r="NB21" s="102"/>
      <c r="NC21" s="102"/>
      <c r="ND21" s="102"/>
      <c r="NE21" s="102"/>
      <c r="NF21" s="102"/>
      <c r="NG21" s="102"/>
      <c r="NH21" s="102"/>
      <c r="NI21" s="102"/>
      <c r="NJ21" s="102"/>
      <c r="NK21" s="102"/>
      <c r="NL21" s="102"/>
      <c r="NM21" s="102"/>
      <c r="NN21" s="102"/>
      <c r="NO21" s="102"/>
      <c r="NP21" s="102"/>
      <c r="NQ21" s="102"/>
      <c r="NR21" s="102"/>
      <c r="NS21" s="102"/>
      <c r="NT21" s="102"/>
      <c r="NU21" s="102"/>
      <c r="NV21" s="102"/>
      <c r="NW21" s="102"/>
      <c r="NX21" s="102"/>
      <c r="NY21" s="102"/>
      <c r="NZ21" s="102"/>
      <c r="OA21" s="102"/>
      <c r="OB21" s="102"/>
      <c r="OC21" s="102"/>
      <c r="OD21" s="102"/>
      <c r="OE21" s="102"/>
      <c r="OF21" s="102"/>
      <c r="OG21" s="102"/>
      <c r="OH21" s="102"/>
      <c r="OI21" s="102"/>
      <c r="OJ21" s="102"/>
      <c r="OK21" s="102"/>
      <c r="OL21" s="102"/>
      <c r="OM21" s="102"/>
      <c r="ON21" s="102"/>
      <c r="OO21" s="102"/>
      <c r="OP21" s="102"/>
      <c r="OQ21" s="102"/>
      <c r="OR21" s="102"/>
      <c r="OS21" s="102"/>
      <c r="OT21" s="102"/>
      <c r="OU21" s="102"/>
      <c r="OV21" s="102"/>
      <c r="OW21" s="102"/>
      <c r="OX21" s="102"/>
      <c r="OY21" s="102"/>
      <c r="OZ21" s="102"/>
      <c r="PA21" s="102"/>
      <c r="PB21" s="102"/>
      <c r="PC21" s="102"/>
      <c r="PD21" s="102"/>
      <c r="PE21" s="102"/>
      <c r="PF21" s="102"/>
      <c r="PG21" s="102"/>
      <c r="PH21" s="102"/>
      <c r="PI21" s="102"/>
      <c r="PJ21" s="102"/>
      <c r="PK21" s="102"/>
      <c r="PL21" s="102"/>
      <c r="PM21" s="102"/>
      <c r="PN21" s="102"/>
      <c r="PO21" s="102"/>
      <c r="PP21" s="102"/>
      <c r="PQ21" s="102"/>
      <c r="PR21" s="102"/>
      <c r="PS21" s="102"/>
      <c r="PT21" s="102"/>
      <c r="PU21" s="102"/>
      <c r="PV21" s="102"/>
      <c r="PW21" s="102"/>
      <c r="PX21" s="102"/>
      <c r="PY21" s="102"/>
      <c r="PZ21" s="102"/>
      <c r="QA21" s="102"/>
      <c r="QB21" s="102"/>
      <c r="QC21" s="102"/>
      <c r="QD21" s="102"/>
      <c r="QE21" s="102"/>
      <c r="QF21" s="102"/>
      <c r="QG21" s="102"/>
      <c r="QH21" s="102"/>
      <c r="QI21" s="102"/>
      <c r="QJ21" s="102"/>
      <c r="QK21" s="102"/>
      <c r="QL21" s="102"/>
      <c r="QM21" s="102"/>
      <c r="QN21" s="102"/>
      <c r="QO21" s="102"/>
      <c r="QP21" s="102"/>
      <c r="QQ21" s="102"/>
      <c r="QR21" s="102"/>
      <c r="QS21" s="102"/>
      <c r="QT21" s="102"/>
      <c r="QU21" s="102"/>
      <c r="QV21" s="102"/>
      <c r="QW21" s="102"/>
      <c r="QX21" s="102"/>
      <c r="QY21" s="102"/>
      <c r="QZ21" s="102"/>
      <c r="RA21" s="102"/>
      <c r="RB21" s="102"/>
      <c r="RC21" s="102"/>
      <c r="RD21" s="102"/>
      <c r="RE21" s="102"/>
      <c r="RF21" s="102"/>
      <c r="RG21" s="102"/>
      <c r="RH21" s="102"/>
      <c r="RI21" s="102"/>
      <c r="RJ21" s="102"/>
      <c r="RK21" s="102"/>
      <c r="RL21" s="102"/>
      <c r="RM21" s="102"/>
      <c r="RN21" s="102"/>
      <c r="RO21" s="102"/>
      <c r="RP21" s="102"/>
      <c r="RQ21" s="102"/>
      <c r="RR21" s="102"/>
      <c r="RS21" s="102"/>
      <c r="RT21" s="102"/>
      <c r="RU21" s="102"/>
      <c r="RV21" s="102"/>
      <c r="RW21" s="102"/>
      <c r="RX21" s="102"/>
      <c r="RY21" s="102"/>
      <c r="RZ21" s="102"/>
      <c r="SA21" s="102"/>
      <c r="SB21" s="102"/>
      <c r="SC21" s="102"/>
      <c r="SD21" s="102"/>
      <c r="SE21" s="102"/>
      <c r="SF21" s="102"/>
      <c r="SG21" s="102"/>
      <c r="SH21" s="102"/>
      <c r="SI21" s="102"/>
      <c r="SJ21" s="102"/>
      <c r="SK21" s="102"/>
      <c r="SL21" s="102"/>
      <c r="SM21" s="102"/>
      <c r="SN21" s="102"/>
      <c r="SO21" s="102"/>
      <c r="SP21" s="102"/>
      <c r="SQ21" s="102"/>
      <c r="SR21" s="102"/>
      <c r="SS21" s="102"/>
      <c r="ST21" s="102"/>
      <c r="SU21" s="102"/>
      <c r="SV21" s="102"/>
      <c r="SW21" s="102"/>
      <c r="SX21" s="102"/>
      <c r="SY21" s="102"/>
      <c r="SZ21" s="102"/>
      <c r="TA21" s="102"/>
      <c r="TB21" s="102"/>
      <c r="TC21" s="102"/>
      <c r="TD21" s="102"/>
      <c r="TE21" s="102"/>
      <c r="TF21" s="102"/>
      <c r="TG21" s="102"/>
      <c r="TH21" s="102"/>
      <c r="TI21" s="102"/>
      <c r="TJ21" s="102"/>
      <c r="TK21" s="102"/>
      <c r="TL21" s="102"/>
      <c r="TM21" s="102"/>
      <c r="TN21" s="102"/>
      <c r="TO21" s="102"/>
      <c r="TP21" s="102"/>
      <c r="TQ21" s="102"/>
      <c r="TR21" s="102"/>
      <c r="TS21" s="102"/>
      <c r="TT21" s="102"/>
      <c r="TU21" s="102"/>
      <c r="TV21" s="102"/>
      <c r="TW21" s="102"/>
      <c r="TX21" s="102"/>
      <c r="TY21" s="102"/>
      <c r="TZ21" s="102"/>
      <c r="UA21" s="102"/>
      <c r="UB21" s="102"/>
      <c r="UC21" s="102"/>
      <c r="UD21" s="102"/>
      <c r="UE21" s="102"/>
      <c r="UF21" s="102"/>
      <c r="UG21" s="102"/>
      <c r="UH21" s="102"/>
      <c r="UI21" s="102"/>
      <c r="UJ21" s="102"/>
      <c r="UK21" s="102"/>
      <c r="UL21" s="102"/>
      <c r="UM21" s="102"/>
      <c r="UN21" s="102"/>
      <c r="UO21" s="102"/>
      <c r="UP21" s="102"/>
      <c r="UQ21" s="102"/>
      <c r="UR21" s="102"/>
      <c r="US21" s="102"/>
      <c r="UT21" s="102"/>
      <c r="UU21" s="102"/>
      <c r="UV21" s="102"/>
      <c r="UW21" s="102"/>
      <c r="UX21" s="102"/>
      <c r="UY21" s="102"/>
      <c r="UZ21" s="102"/>
      <c r="VA21" s="102"/>
      <c r="VB21" s="102"/>
      <c r="VC21" s="102"/>
      <c r="VD21" s="102"/>
      <c r="VE21" s="102"/>
      <c r="VF21" s="102"/>
      <c r="VG21" s="102"/>
      <c r="VH21" s="102"/>
      <c r="VI21" s="102"/>
      <c r="VJ21" s="102"/>
      <c r="VK21" s="102"/>
      <c r="VL21" s="102"/>
      <c r="VM21" s="102"/>
      <c r="VN21" s="102"/>
      <c r="VO21" s="102"/>
      <c r="VP21" s="102"/>
      <c r="VQ21" s="102"/>
      <c r="VR21" s="102"/>
      <c r="VS21" s="102"/>
      <c r="VT21" s="102"/>
      <c r="VU21" s="102"/>
      <c r="VV21" s="102"/>
      <c r="VW21" s="102"/>
      <c r="VX21" s="102"/>
      <c r="VY21" s="102"/>
      <c r="VZ21" s="102"/>
      <c r="WA21" s="102"/>
      <c r="WB21" s="102"/>
      <c r="WC21" s="102"/>
      <c r="WD21" s="102"/>
      <c r="WE21" s="102"/>
      <c r="WF21" s="102"/>
      <c r="WG21" s="102"/>
      <c r="WH21" s="102"/>
      <c r="WI21" s="102"/>
      <c r="WJ21" s="102"/>
      <c r="WK21" s="102"/>
      <c r="WL21" s="102"/>
      <c r="WM21" s="102"/>
      <c r="WN21" s="102"/>
      <c r="WO21" s="102"/>
      <c r="WP21" s="102"/>
      <c r="WQ21" s="102"/>
      <c r="WR21" s="102"/>
      <c r="WS21" s="102"/>
      <c r="WT21" s="102"/>
      <c r="WU21" s="102"/>
      <c r="WV21" s="102"/>
      <c r="WW21" s="102"/>
      <c r="WX21" s="102"/>
      <c r="WY21" s="102"/>
      <c r="WZ21" s="102"/>
      <c r="XA21" s="102"/>
      <c r="XB21" s="102"/>
      <c r="XC21" s="102"/>
      <c r="XD21" s="102"/>
      <c r="XE21" s="102"/>
      <c r="XF21" s="102"/>
      <c r="XG21" s="102"/>
      <c r="XH21" s="102"/>
      <c r="XI21" s="102"/>
      <c r="XJ21" s="102"/>
      <c r="XK21" s="102"/>
      <c r="XL21" s="102"/>
      <c r="XM21" s="102"/>
      <c r="XN21" s="102"/>
      <c r="XO21" s="102"/>
      <c r="XP21" s="102"/>
      <c r="XQ21" s="102"/>
      <c r="XR21" s="102"/>
      <c r="XS21" s="102"/>
      <c r="XT21" s="102"/>
      <c r="XU21" s="102"/>
      <c r="XV21" s="102"/>
      <c r="XW21" s="102"/>
      <c r="XX21" s="102"/>
      <c r="XY21" s="102"/>
      <c r="XZ21" s="102"/>
      <c r="YA21" s="102"/>
      <c r="YB21" s="102"/>
      <c r="YC21" s="102"/>
      <c r="YD21" s="102"/>
      <c r="YE21" s="102"/>
      <c r="YF21" s="102"/>
      <c r="YG21" s="102"/>
      <c r="YH21" s="102"/>
      <c r="YI21" s="102"/>
      <c r="YJ21" s="102"/>
      <c r="YK21" s="102"/>
      <c r="YL21" s="102"/>
      <c r="YM21" s="102"/>
      <c r="YN21" s="102"/>
      <c r="YO21" s="102"/>
      <c r="YP21" s="102"/>
      <c r="YQ21" s="102"/>
      <c r="YR21" s="102"/>
      <c r="YS21" s="102"/>
      <c r="YT21" s="102"/>
      <c r="YU21" s="102"/>
      <c r="YV21" s="102"/>
      <c r="YW21" s="102"/>
      <c r="YX21" s="102"/>
      <c r="YY21" s="102"/>
      <c r="YZ21" s="102"/>
      <c r="ZA21" s="102"/>
      <c r="ZB21" s="102"/>
      <c r="ZC21" s="102"/>
      <c r="ZD21" s="102"/>
      <c r="ZE21" s="102"/>
      <c r="ZF21" s="102"/>
      <c r="ZG21" s="102"/>
      <c r="ZH21" s="102"/>
      <c r="ZI21" s="102"/>
      <c r="ZJ21" s="102"/>
      <c r="ZK21" s="102"/>
      <c r="ZL21" s="102"/>
      <c r="ZM21" s="102"/>
      <c r="ZN21" s="102"/>
      <c r="ZO21" s="102"/>
      <c r="ZP21" s="102"/>
      <c r="ZQ21" s="102"/>
      <c r="ZR21" s="102"/>
      <c r="ZS21" s="102"/>
      <c r="ZT21" s="102"/>
      <c r="ZU21" s="102"/>
      <c r="ZV21" s="102"/>
      <c r="ZW21" s="102"/>
      <c r="ZX21" s="102"/>
      <c r="ZY21" s="102"/>
      <c r="ZZ21" s="102"/>
      <c r="AAA21" s="102"/>
      <c r="AAB21" s="102"/>
      <c r="AAC21" s="102"/>
      <c r="AAD21" s="102"/>
      <c r="AAE21" s="102"/>
      <c r="AAF21" s="102"/>
      <c r="AAG21" s="102"/>
      <c r="AAH21" s="102"/>
      <c r="AAI21" s="102"/>
      <c r="AAJ21" s="102"/>
      <c r="AAK21" s="102"/>
      <c r="AAL21" s="102"/>
      <c r="AAM21" s="102"/>
      <c r="AAN21" s="102"/>
      <c r="AAO21" s="102"/>
      <c r="AAP21" s="102"/>
      <c r="AAQ21" s="102"/>
      <c r="AAR21" s="102"/>
      <c r="AAS21" s="102"/>
      <c r="AAT21" s="102"/>
      <c r="AAU21" s="102"/>
      <c r="AAV21" s="102"/>
      <c r="AAW21" s="102"/>
      <c r="AAX21" s="102"/>
      <c r="AAY21" s="102"/>
      <c r="AAZ21" s="102"/>
      <c r="ABA21" s="102"/>
      <c r="ABB21" s="102"/>
      <c r="ABC21" s="102"/>
      <c r="ABD21" s="102"/>
      <c r="ABE21" s="102"/>
      <c r="ABF21" s="102"/>
      <c r="ABG21" s="102"/>
      <c r="ABH21" s="102"/>
      <c r="ABI21" s="102"/>
      <c r="ABJ21" s="102"/>
      <c r="ABK21" s="102"/>
      <c r="ABL21" s="102"/>
      <c r="ABM21" s="102"/>
      <c r="ABN21" s="102"/>
      <c r="ABO21" s="102"/>
      <c r="ABP21" s="102"/>
      <c r="ABQ21" s="102"/>
      <c r="ABR21" s="102"/>
      <c r="ABS21" s="102"/>
      <c r="ABT21" s="102"/>
      <c r="ABU21" s="102"/>
      <c r="ABV21" s="102"/>
      <c r="ABW21" s="102"/>
      <c r="ABX21" s="102"/>
      <c r="ABY21" s="102"/>
      <c r="ABZ21" s="102"/>
      <c r="ACA21" s="102"/>
      <c r="ACB21" s="102"/>
      <c r="ACC21" s="102"/>
      <c r="ACD21" s="102"/>
      <c r="ACE21" s="102"/>
      <c r="ACF21" s="102"/>
      <c r="ACG21" s="102"/>
      <c r="ACH21" s="102"/>
      <c r="ACI21" s="102"/>
      <c r="ACJ21" s="102"/>
      <c r="ACK21" s="102"/>
      <c r="ACL21" s="102"/>
      <c r="ACM21" s="102"/>
      <c r="ACN21" s="102"/>
      <c r="ACO21" s="102"/>
      <c r="ACP21" s="102"/>
      <c r="ACQ21" s="102"/>
      <c r="ACR21" s="102"/>
      <c r="ACS21" s="102"/>
      <c r="ACT21" s="102"/>
      <c r="ACU21" s="102"/>
      <c r="ACV21" s="102"/>
      <c r="ACW21" s="102"/>
      <c r="ACX21" s="102"/>
      <c r="ACY21" s="102"/>
      <c r="ACZ21" s="102"/>
      <c r="ADA21" s="102"/>
      <c r="ADB21" s="102"/>
      <c r="ADC21" s="102"/>
      <c r="ADD21" s="102"/>
      <c r="ADE21" s="102"/>
      <c r="ADF21" s="102"/>
      <c r="ADG21" s="102"/>
      <c r="ADH21" s="102"/>
      <c r="ADI21" s="102"/>
      <c r="ADJ21" s="102"/>
      <c r="ADK21" s="102"/>
      <c r="ADL21" s="102"/>
      <c r="ADM21" s="102"/>
      <c r="ADN21" s="102"/>
      <c r="ADO21" s="102"/>
      <c r="ADP21" s="102"/>
      <c r="ADQ21" s="102"/>
      <c r="ADR21" s="102"/>
      <c r="ADS21" s="102"/>
      <c r="ADT21" s="102"/>
      <c r="ADU21" s="102"/>
      <c r="ADV21" s="102"/>
      <c r="ADW21" s="102"/>
      <c r="ADX21" s="102"/>
      <c r="ADY21" s="102"/>
      <c r="ADZ21" s="102"/>
      <c r="AEA21" s="102"/>
      <c r="AEB21" s="102"/>
      <c r="AEC21" s="102"/>
      <c r="AED21" s="102"/>
      <c r="AEE21" s="102"/>
      <c r="AEF21" s="102"/>
      <c r="AEG21" s="102"/>
      <c r="AEH21" s="102"/>
      <c r="AEI21" s="102"/>
      <c r="AEJ21" s="102"/>
      <c r="AEK21" s="102"/>
      <c r="AEL21" s="102"/>
      <c r="AEM21" s="102"/>
      <c r="AEN21" s="102"/>
      <c r="AEO21" s="102"/>
      <c r="AEP21" s="102"/>
      <c r="AEQ21" s="102"/>
      <c r="AER21" s="102"/>
      <c r="AES21" s="102"/>
      <c r="AET21" s="102"/>
      <c r="AEU21" s="102"/>
      <c r="AEV21" s="102"/>
      <c r="AEW21" s="102"/>
      <c r="AEX21" s="102"/>
      <c r="AEY21" s="102"/>
      <c r="AEZ21" s="102"/>
      <c r="AFA21" s="102"/>
      <c r="AFB21" s="102"/>
      <c r="AFC21" s="102"/>
      <c r="AFD21" s="102"/>
      <c r="AFE21" s="102"/>
      <c r="AFF21" s="102"/>
      <c r="AFG21" s="102"/>
      <c r="AFH21" s="102"/>
      <c r="AFI21" s="102"/>
      <c r="AFJ21" s="102"/>
      <c r="AFK21" s="102"/>
      <c r="AFL21" s="102"/>
      <c r="AFM21" s="102"/>
      <c r="AFN21" s="102"/>
      <c r="AFO21" s="102"/>
      <c r="AFP21" s="102"/>
      <c r="AFQ21" s="102"/>
      <c r="AFR21" s="102"/>
      <c r="AFS21" s="102"/>
      <c r="AFT21" s="102"/>
      <c r="AFU21" s="102"/>
      <c r="AFV21" s="102"/>
      <c r="AFW21" s="102"/>
      <c r="AFX21" s="102"/>
      <c r="AFY21" s="102"/>
      <c r="AFZ21" s="102"/>
      <c r="AGA21" s="102"/>
      <c r="AGB21" s="102"/>
      <c r="AGC21" s="102"/>
      <c r="AGD21" s="102"/>
      <c r="AGE21" s="102"/>
      <c r="AGF21" s="102"/>
      <c r="AGG21" s="102"/>
      <c r="AGH21" s="102"/>
      <c r="AGI21" s="102"/>
      <c r="AGJ21" s="102"/>
      <c r="AGK21" s="102"/>
      <c r="AGL21" s="102"/>
      <c r="AGM21" s="102"/>
      <c r="AGN21" s="102"/>
      <c r="AGO21" s="102"/>
      <c r="AGP21" s="102"/>
      <c r="AGQ21" s="102"/>
      <c r="AGR21" s="102"/>
      <c r="AGS21" s="102"/>
      <c r="AGT21" s="102"/>
      <c r="AGU21" s="102"/>
      <c r="AGV21" s="102"/>
      <c r="AGW21" s="102"/>
      <c r="AGX21" s="102"/>
      <c r="AGY21" s="102"/>
      <c r="AGZ21" s="102"/>
      <c r="AHA21" s="102"/>
      <c r="AHB21" s="102"/>
      <c r="AHC21" s="102"/>
      <c r="AHD21" s="102"/>
      <c r="AHE21" s="102"/>
      <c r="AHF21" s="102"/>
      <c r="AHG21" s="102"/>
      <c r="AHH21" s="102"/>
      <c r="AHI21" s="102"/>
      <c r="AHJ21" s="102"/>
      <c r="AHK21" s="102"/>
      <c r="AHL21" s="102"/>
      <c r="AHM21" s="102"/>
      <c r="AHN21" s="102"/>
      <c r="AHO21" s="102"/>
      <c r="AHP21" s="102"/>
      <c r="AHQ21" s="102"/>
      <c r="AHR21" s="102"/>
      <c r="AHS21" s="102"/>
      <c r="AHT21" s="102"/>
      <c r="AHU21" s="102"/>
      <c r="AHV21" s="102"/>
      <c r="AHW21" s="102"/>
      <c r="AHX21" s="102"/>
      <c r="AHY21" s="102"/>
      <c r="AHZ21" s="102"/>
      <c r="AIA21" s="102"/>
      <c r="AIB21" s="102"/>
      <c r="AIC21" s="102"/>
      <c r="AID21" s="102"/>
      <c r="AIE21" s="102"/>
      <c r="AIF21" s="102"/>
      <c r="AIG21" s="102"/>
      <c r="AIH21" s="102"/>
      <c r="AII21" s="102"/>
      <c r="AIJ21" s="102"/>
      <c r="AIK21" s="102"/>
      <c r="AIL21" s="102"/>
      <c r="AIM21" s="102"/>
      <c r="AIN21" s="102"/>
      <c r="AIO21" s="102"/>
      <c r="AIP21" s="102"/>
      <c r="AIQ21" s="102"/>
      <c r="AIR21" s="102"/>
      <c r="AIS21" s="102"/>
      <c r="AIT21" s="102"/>
      <c r="AIU21" s="102"/>
      <c r="AIV21" s="102"/>
      <c r="AIW21" s="102"/>
      <c r="AIX21" s="102"/>
      <c r="AIY21" s="102"/>
      <c r="AIZ21" s="102"/>
      <c r="AJA21" s="102"/>
      <c r="AJB21" s="102"/>
      <c r="AJC21" s="102"/>
      <c r="AJD21" s="102"/>
      <c r="AJE21" s="102"/>
      <c r="AJF21" s="102"/>
      <c r="AJG21" s="102"/>
      <c r="AJH21" s="102"/>
      <c r="AJI21" s="102"/>
      <c r="AJJ21" s="102"/>
      <c r="AJK21" s="102"/>
      <c r="AJL21" s="102"/>
      <c r="AJM21" s="102"/>
      <c r="AJN21" s="102"/>
      <c r="AJO21" s="102"/>
      <c r="AJP21" s="102"/>
      <c r="AJQ21" s="102"/>
      <c r="AJR21" s="102"/>
      <c r="AJS21" s="102"/>
      <c r="AJT21" s="102"/>
      <c r="AJU21" s="102"/>
      <c r="AJV21" s="102"/>
      <c r="AJW21" s="102"/>
      <c r="AJX21" s="102"/>
      <c r="AJY21" s="102"/>
      <c r="AJZ21" s="102"/>
      <c r="AKA21" s="102"/>
      <c r="AKB21" s="102"/>
      <c r="AKC21" s="102"/>
      <c r="AKD21" s="102"/>
      <c r="AKE21" s="102"/>
      <c r="AKF21" s="102"/>
      <c r="AKG21" s="102"/>
      <c r="AKH21" s="102"/>
      <c r="AKI21" s="102"/>
      <c r="AKJ21" s="102"/>
      <c r="AKK21" s="102"/>
      <c r="AKL21" s="102"/>
      <c r="AKM21" s="102"/>
      <c r="AKN21" s="102"/>
      <c r="AKO21" s="102"/>
      <c r="AKP21" s="102"/>
      <c r="AKQ21" s="102"/>
      <c r="AKR21" s="102"/>
      <c r="AKS21" s="102"/>
      <c r="AKT21" s="102"/>
      <c r="AKU21" s="102"/>
      <c r="AKV21" s="102"/>
      <c r="AKW21" s="102"/>
      <c r="AKX21" s="102"/>
      <c r="AKY21" s="102"/>
      <c r="AKZ21" s="102"/>
      <c r="ALA21" s="102"/>
      <c r="ALB21" s="102"/>
      <c r="ALC21" s="102"/>
      <c r="ALD21" s="102"/>
      <c r="ALE21" s="102"/>
      <c r="ALF21" s="102"/>
      <c r="ALG21" s="102"/>
      <c r="ALH21" s="102"/>
      <c r="ALI21" s="102"/>
      <c r="ALJ21" s="102"/>
      <c r="ALK21" s="102"/>
      <c r="ALL21" s="102"/>
      <c r="ALM21" s="102"/>
      <c r="ALN21" s="102"/>
      <c r="ALO21" s="102"/>
      <c r="ALP21" s="102"/>
      <c r="ALQ21" s="102"/>
      <c r="ALR21" s="102"/>
      <c r="ALS21" s="102"/>
      <c r="ALT21" s="102"/>
      <c r="ALU21" s="102"/>
      <c r="ALV21" s="102"/>
      <c r="ALW21" s="102"/>
    </row>
    <row r="22" spans="1:1011" ht="20.100000000000001" customHeight="1"/>
    <row r="23" spans="1:1011">
      <c r="A23" s="6" t="s">
        <v>210</v>
      </c>
    </row>
    <row r="24" spans="1:1011" ht="20.100000000000001" customHeight="1">
      <c r="A24" s="6" t="s">
        <v>206</v>
      </c>
      <c r="B24" s="130"/>
      <c r="C24" s="130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  <c r="BH24" s="131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1"/>
      <c r="BT24" s="131"/>
      <c r="BU24" s="131"/>
      <c r="BV24" s="131"/>
      <c r="BW24" s="131"/>
      <c r="BX24" s="131"/>
      <c r="BY24" s="131"/>
      <c r="BZ24" s="131"/>
      <c r="CA24" s="131"/>
      <c r="CB24" s="131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1"/>
      <c r="CR24" s="131"/>
      <c r="CS24" s="131"/>
      <c r="CT24" s="131"/>
      <c r="CU24" s="131"/>
      <c r="CV24" s="131"/>
      <c r="CW24" s="131"/>
      <c r="CX24" s="131"/>
      <c r="CY24" s="131"/>
      <c r="CZ24" s="131"/>
      <c r="DA24" s="131"/>
      <c r="DB24" s="131"/>
      <c r="DC24" s="131"/>
      <c r="DD24" s="131"/>
      <c r="DE24" s="131"/>
      <c r="DF24" s="131"/>
      <c r="DG24" s="131"/>
      <c r="DH24" s="131"/>
      <c r="DI24" s="131"/>
      <c r="DJ24" s="131"/>
      <c r="DK24" s="131"/>
      <c r="DL24" s="131"/>
      <c r="DM24" s="131"/>
      <c r="DN24" s="131"/>
      <c r="DO24" s="131"/>
      <c r="DP24" s="131"/>
      <c r="DQ24" s="131"/>
      <c r="DR24" s="131"/>
      <c r="DS24" s="131"/>
      <c r="DT24" s="131"/>
      <c r="DU24" s="131"/>
      <c r="DV24" s="131"/>
      <c r="DW24" s="131"/>
      <c r="DX24" s="131"/>
      <c r="DY24" s="131"/>
      <c r="DZ24" s="131"/>
      <c r="EA24" s="131"/>
      <c r="EB24" s="131"/>
      <c r="EC24" s="131"/>
      <c r="ED24" s="131"/>
      <c r="EE24" s="131"/>
      <c r="EF24" s="131"/>
      <c r="EG24" s="131"/>
      <c r="EH24" s="131"/>
      <c r="EI24" s="131"/>
      <c r="EJ24" s="131"/>
      <c r="EK24" s="131"/>
      <c r="EL24" s="131"/>
      <c r="EM24" s="131"/>
      <c r="EN24" s="131"/>
      <c r="EO24" s="131"/>
      <c r="EP24" s="131"/>
      <c r="EQ24" s="131"/>
      <c r="ER24" s="131"/>
      <c r="ES24" s="131"/>
      <c r="ET24" s="131"/>
      <c r="EU24" s="131"/>
      <c r="EV24" s="131"/>
      <c r="EW24" s="131"/>
      <c r="EX24" s="131"/>
      <c r="EY24" s="131"/>
      <c r="EZ24" s="131"/>
      <c r="FA24" s="131"/>
      <c r="FB24" s="131"/>
      <c r="FC24" s="131"/>
      <c r="FD24" s="131"/>
      <c r="FE24" s="131"/>
      <c r="FF24" s="131"/>
      <c r="FG24" s="131"/>
      <c r="FH24" s="131"/>
      <c r="FI24" s="131"/>
      <c r="FJ24" s="131"/>
      <c r="FK24" s="131"/>
      <c r="FL24" s="131"/>
      <c r="FM24" s="131"/>
      <c r="FN24" s="131"/>
      <c r="FO24" s="131"/>
      <c r="FP24" s="131"/>
      <c r="FQ24" s="131"/>
      <c r="FR24" s="131"/>
      <c r="FS24" s="131"/>
      <c r="FT24" s="131"/>
      <c r="FU24" s="131"/>
      <c r="FV24" s="131"/>
      <c r="FW24" s="131"/>
      <c r="FX24" s="131"/>
      <c r="FY24" s="131"/>
      <c r="FZ24" s="131"/>
      <c r="GA24" s="131"/>
      <c r="GB24" s="131"/>
      <c r="GC24" s="131"/>
      <c r="GD24" s="131"/>
      <c r="GE24" s="131"/>
      <c r="GF24" s="131"/>
      <c r="GG24" s="131"/>
      <c r="GH24" s="131"/>
      <c r="GI24" s="131"/>
      <c r="GJ24" s="131"/>
      <c r="GK24" s="131"/>
      <c r="GL24" s="131"/>
      <c r="GM24" s="131"/>
      <c r="GN24" s="131"/>
      <c r="GO24" s="131"/>
      <c r="GP24" s="131"/>
      <c r="GQ24" s="131"/>
      <c r="GR24" s="131"/>
      <c r="GS24" s="131"/>
      <c r="GT24" s="131"/>
      <c r="GU24" s="131"/>
      <c r="GV24" s="131"/>
      <c r="GW24" s="131"/>
      <c r="GX24" s="131"/>
      <c r="GY24" s="131"/>
      <c r="GZ24" s="131"/>
      <c r="HA24" s="131"/>
      <c r="HB24" s="131"/>
      <c r="HC24" s="131"/>
      <c r="HD24" s="131"/>
      <c r="HE24" s="131"/>
      <c r="HF24" s="131"/>
      <c r="HG24" s="131"/>
      <c r="HH24" s="131"/>
      <c r="HI24" s="131"/>
      <c r="HJ24" s="131"/>
      <c r="HK24" s="131"/>
      <c r="HL24" s="131"/>
      <c r="HM24" s="131"/>
      <c r="HN24" s="131"/>
      <c r="HO24" s="131"/>
      <c r="HP24" s="131"/>
      <c r="HQ24" s="131"/>
      <c r="HR24" s="131"/>
      <c r="HS24" s="131"/>
      <c r="HT24" s="131"/>
      <c r="HU24" s="131"/>
      <c r="HV24" s="131"/>
      <c r="HW24" s="131"/>
      <c r="HX24" s="131"/>
      <c r="HY24" s="131"/>
      <c r="HZ24" s="131"/>
      <c r="IA24" s="131"/>
      <c r="IB24" s="131"/>
      <c r="IC24" s="131"/>
      <c r="ID24" s="131"/>
      <c r="IE24" s="131"/>
      <c r="IF24" s="131"/>
      <c r="IG24" s="131"/>
      <c r="IH24" s="131"/>
      <c r="II24" s="131"/>
      <c r="IJ24" s="131"/>
      <c r="IK24" s="131"/>
      <c r="IL24" s="131"/>
      <c r="IM24" s="131"/>
      <c r="IN24" s="131"/>
      <c r="IO24" s="131"/>
      <c r="IP24" s="131"/>
      <c r="IQ24" s="131"/>
      <c r="IR24" s="131"/>
      <c r="IS24" s="131"/>
      <c r="IT24" s="131"/>
      <c r="IU24" s="131"/>
      <c r="IV24" s="131"/>
      <c r="IW24" s="131"/>
      <c r="IX24" s="131"/>
      <c r="IY24" s="131"/>
      <c r="IZ24" s="131"/>
      <c r="JA24" s="131"/>
      <c r="JB24" s="131"/>
      <c r="JC24" s="131"/>
      <c r="JD24" s="131"/>
      <c r="JE24" s="131"/>
      <c r="JF24" s="131"/>
      <c r="JG24" s="131"/>
      <c r="JH24" s="131"/>
      <c r="JI24" s="131"/>
      <c r="JJ24" s="131"/>
      <c r="JK24" s="131"/>
      <c r="JL24" s="131"/>
      <c r="JM24" s="131"/>
      <c r="JN24" s="131"/>
      <c r="JO24" s="131"/>
      <c r="JP24" s="131"/>
      <c r="JQ24" s="131"/>
      <c r="JR24" s="131"/>
      <c r="JS24" s="131"/>
      <c r="JT24" s="131"/>
      <c r="JU24" s="131"/>
      <c r="JV24" s="131"/>
      <c r="JW24" s="131"/>
      <c r="JX24" s="131"/>
      <c r="JY24" s="131"/>
      <c r="JZ24" s="131"/>
      <c r="KA24" s="131"/>
      <c r="KB24" s="131"/>
      <c r="KC24" s="131"/>
      <c r="KD24" s="131"/>
      <c r="KE24" s="131"/>
      <c r="KF24" s="131"/>
      <c r="KG24" s="131"/>
      <c r="KH24" s="131"/>
      <c r="KI24" s="131"/>
      <c r="KJ24" s="131"/>
      <c r="KK24" s="131"/>
      <c r="KL24" s="131"/>
      <c r="KM24" s="131"/>
      <c r="KN24" s="131"/>
      <c r="KO24" s="131"/>
      <c r="KP24" s="131"/>
      <c r="KQ24" s="131"/>
      <c r="KR24" s="131"/>
      <c r="KS24" s="131"/>
      <c r="KT24" s="131"/>
      <c r="KU24" s="131"/>
      <c r="KV24" s="131"/>
      <c r="KW24" s="131"/>
      <c r="KX24" s="131"/>
      <c r="KY24" s="131"/>
      <c r="KZ24" s="131"/>
      <c r="LA24" s="131"/>
      <c r="LB24" s="131"/>
      <c r="LC24" s="131"/>
      <c r="LD24" s="131"/>
      <c r="LE24" s="131"/>
      <c r="LF24" s="131"/>
      <c r="LG24" s="131"/>
      <c r="LH24" s="131"/>
      <c r="LI24" s="131"/>
      <c r="LJ24" s="131"/>
      <c r="LK24" s="131"/>
      <c r="LL24" s="131"/>
      <c r="LM24" s="131"/>
      <c r="LN24" s="131"/>
      <c r="LO24" s="131"/>
      <c r="LP24" s="131"/>
      <c r="LQ24" s="131"/>
      <c r="LR24" s="131"/>
      <c r="LS24" s="131"/>
      <c r="LT24" s="131"/>
      <c r="LU24" s="131"/>
      <c r="LV24" s="131"/>
      <c r="LW24" s="131"/>
      <c r="LX24" s="131"/>
      <c r="LY24" s="131"/>
      <c r="LZ24" s="131"/>
      <c r="MA24" s="131"/>
      <c r="MB24" s="131"/>
      <c r="MC24" s="131"/>
      <c r="MD24" s="131"/>
      <c r="ME24" s="131"/>
      <c r="MF24" s="131"/>
      <c r="MG24" s="131"/>
      <c r="MH24" s="131"/>
      <c r="MI24" s="131"/>
      <c r="MJ24" s="131"/>
      <c r="MK24" s="131"/>
      <c r="ML24" s="131"/>
      <c r="MM24" s="131"/>
      <c r="MN24" s="131"/>
      <c r="MO24" s="131"/>
      <c r="MP24" s="131"/>
      <c r="MQ24" s="131"/>
      <c r="MR24" s="131"/>
      <c r="MS24" s="131"/>
      <c r="MT24" s="131"/>
      <c r="MU24" s="131"/>
      <c r="MV24" s="131"/>
      <c r="MW24" s="131"/>
      <c r="MX24" s="131"/>
      <c r="MY24" s="131"/>
      <c r="MZ24" s="131"/>
      <c r="NA24" s="131"/>
      <c r="NB24" s="131"/>
      <c r="NC24" s="131"/>
      <c r="ND24" s="131"/>
      <c r="NE24" s="131"/>
      <c r="NF24" s="131"/>
      <c r="NG24" s="131"/>
      <c r="NH24" s="131"/>
      <c r="NI24" s="131"/>
      <c r="NJ24" s="131"/>
      <c r="NK24" s="131"/>
      <c r="NL24" s="131"/>
      <c r="NM24" s="131"/>
      <c r="NN24" s="131"/>
      <c r="NO24" s="131"/>
      <c r="NP24" s="131"/>
      <c r="NQ24" s="131"/>
      <c r="NR24" s="131"/>
      <c r="NS24" s="131"/>
      <c r="NT24" s="131"/>
      <c r="NU24" s="131"/>
      <c r="NV24" s="131"/>
      <c r="NW24" s="131"/>
      <c r="NX24" s="131"/>
      <c r="NY24" s="131"/>
      <c r="NZ24" s="131"/>
      <c r="OA24" s="131"/>
      <c r="OB24" s="131"/>
      <c r="OC24" s="131"/>
      <c r="OD24" s="131"/>
      <c r="OE24" s="131"/>
      <c r="OF24" s="131"/>
      <c r="OG24" s="131"/>
      <c r="OH24" s="131"/>
      <c r="OI24" s="131"/>
      <c r="OJ24" s="131"/>
      <c r="OK24" s="131"/>
      <c r="OL24" s="131"/>
      <c r="OM24" s="131"/>
      <c r="ON24" s="131"/>
      <c r="OO24" s="131"/>
      <c r="OP24" s="131"/>
      <c r="OQ24" s="131"/>
      <c r="OR24" s="131"/>
      <c r="OS24" s="131"/>
      <c r="OT24" s="131"/>
      <c r="OU24" s="131"/>
      <c r="OV24" s="131"/>
      <c r="OW24" s="131"/>
      <c r="OX24" s="131"/>
      <c r="OY24" s="131"/>
      <c r="OZ24" s="131"/>
      <c r="PA24" s="131"/>
      <c r="PB24" s="131"/>
      <c r="PC24" s="131"/>
      <c r="PD24" s="131"/>
      <c r="PE24" s="131"/>
      <c r="PF24" s="131"/>
      <c r="PG24" s="131"/>
      <c r="PH24" s="131"/>
      <c r="PI24" s="131"/>
      <c r="PJ24" s="131"/>
      <c r="PK24" s="131"/>
      <c r="PL24" s="131"/>
      <c r="PM24" s="131"/>
      <c r="PN24" s="131"/>
      <c r="PO24" s="131"/>
      <c r="PP24" s="131"/>
      <c r="PQ24" s="131"/>
      <c r="PR24" s="131"/>
      <c r="PS24" s="131"/>
      <c r="PT24" s="131"/>
      <c r="PU24" s="131"/>
      <c r="PV24" s="131"/>
      <c r="PW24" s="131"/>
      <c r="PX24" s="131"/>
      <c r="PY24" s="131"/>
      <c r="PZ24" s="131"/>
      <c r="QA24" s="131"/>
      <c r="QB24" s="131"/>
      <c r="QC24" s="131"/>
      <c r="QD24" s="131"/>
      <c r="QE24" s="131"/>
      <c r="QF24" s="131"/>
      <c r="QG24" s="131"/>
      <c r="QH24" s="131"/>
      <c r="QI24" s="131"/>
      <c r="QJ24" s="131"/>
      <c r="QK24" s="131"/>
      <c r="QL24" s="131"/>
      <c r="QM24" s="131"/>
      <c r="QN24" s="131"/>
      <c r="QO24" s="131"/>
      <c r="QP24" s="131"/>
      <c r="QQ24" s="131"/>
      <c r="QR24" s="131"/>
      <c r="QS24" s="131"/>
      <c r="QT24" s="131"/>
      <c r="QU24" s="131"/>
      <c r="QV24" s="131"/>
      <c r="QW24" s="131"/>
      <c r="QX24" s="131"/>
      <c r="QY24" s="131"/>
      <c r="QZ24" s="131"/>
      <c r="RA24" s="131"/>
      <c r="RB24" s="131"/>
      <c r="RC24" s="131"/>
      <c r="RD24" s="131"/>
      <c r="RE24" s="131"/>
      <c r="RF24" s="131"/>
      <c r="RG24" s="131"/>
      <c r="RH24" s="131"/>
      <c r="RI24" s="131"/>
      <c r="RJ24" s="131"/>
      <c r="RK24" s="131"/>
      <c r="RL24" s="131"/>
      <c r="RM24" s="131"/>
      <c r="RN24" s="131"/>
      <c r="RO24" s="131"/>
      <c r="RP24" s="131"/>
      <c r="RQ24" s="131"/>
      <c r="RR24" s="131"/>
      <c r="RS24" s="131"/>
      <c r="RT24" s="131"/>
      <c r="RU24" s="131"/>
      <c r="RV24" s="131"/>
      <c r="RW24" s="131"/>
      <c r="RX24" s="131"/>
      <c r="RY24" s="131"/>
      <c r="RZ24" s="131"/>
      <c r="SA24" s="131"/>
      <c r="SB24" s="131"/>
      <c r="SC24" s="131"/>
      <c r="SD24" s="131"/>
      <c r="SE24" s="131"/>
      <c r="SF24" s="131"/>
      <c r="SG24" s="131"/>
      <c r="SH24" s="131"/>
      <c r="SI24" s="131"/>
      <c r="SJ24" s="131"/>
      <c r="SK24" s="131"/>
      <c r="SL24" s="131"/>
      <c r="SM24" s="131"/>
      <c r="SN24" s="131"/>
      <c r="SO24" s="131"/>
      <c r="SP24" s="131"/>
      <c r="SQ24" s="131"/>
      <c r="SR24" s="131"/>
      <c r="SS24" s="131"/>
      <c r="ST24" s="131"/>
      <c r="SU24" s="131"/>
      <c r="SV24" s="131"/>
      <c r="SW24" s="131"/>
      <c r="SX24" s="131"/>
      <c r="SY24" s="131"/>
      <c r="SZ24" s="131"/>
      <c r="TA24" s="131"/>
      <c r="TB24" s="131"/>
      <c r="TC24" s="131"/>
      <c r="TD24" s="131"/>
      <c r="TE24" s="131"/>
      <c r="TF24" s="131"/>
      <c r="TG24" s="131"/>
      <c r="TH24" s="131"/>
      <c r="TI24" s="131"/>
      <c r="TJ24" s="131"/>
      <c r="TK24" s="131"/>
      <c r="TL24" s="131"/>
      <c r="TM24" s="131"/>
      <c r="TN24" s="131"/>
      <c r="TO24" s="131"/>
      <c r="TP24" s="131"/>
      <c r="TQ24" s="131"/>
      <c r="TR24" s="131"/>
      <c r="TS24" s="131"/>
      <c r="TT24" s="131"/>
      <c r="TU24" s="131"/>
      <c r="TV24" s="131"/>
      <c r="TW24" s="131"/>
      <c r="TX24" s="131"/>
      <c r="TY24" s="131"/>
      <c r="TZ24" s="131"/>
      <c r="UA24" s="131"/>
      <c r="UB24" s="131"/>
      <c r="UC24" s="131"/>
      <c r="UD24" s="131"/>
      <c r="UE24" s="131"/>
      <c r="UF24" s="131"/>
      <c r="UG24" s="131"/>
      <c r="UH24" s="131"/>
      <c r="UI24" s="131"/>
      <c r="UJ24" s="131"/>
      <c r="UK24" s="131"/>
      <c r="UL24" s="131"/>
      <c r="UM24" s="131"/>
      <c r="UN24" s="131"/>
      <c r="UO24" s="131"/>
      <c r="UP24" s="131"/>
      <c r="UQ24" s="131"/>
      <c r="UR24" s="131"/>
      <c r="US24" s="131"/>
      <c r="UT24" s="131"/>
      <c r="UU24" s="131"/>
      <c r="UV24" s="131"/>
      <c r="UW24" s="131"/>
      <c r="UX24" s="131"/>
      <c r="UY24" s="131"/>
      <c r="UZ24" s="131"/>
      <c r="VA24" s="131"/>
      <c r="VB24" s="131"/>
      <c r="VC24" s="131"/>
      <c r="VD24" s="131"/>
      <c r="VE24" s="131"/>
      <c r="VF24" s="131"/>
      <c r="VG24" s="131"/>
      <c r="VH24" s="131"/>
      <c r="VI24" s="131"/>
      <c r="VJ24" s="131"/>
      <c r="VK24" s="131"/>
      <c r="VL24" s="131"/>
      <c r="VM24" s="131"/>
      <c r="VN24" s="131"/>
      <c r="VO24" s="131"/>
      <c r="VP24" s="131"/>
      <c r="VQ24" s="131"/>
      <c r="VR24" s="131"/>
      <c r="VS24" s="131"/>
      <c r="VT24" s="131"/>
      <c r="VU24" s="131"/>
      <c r="VV24" s="131"/>
      <c r="VW24" s="131"/>
      <c r="VX24" s="131"/>
      <c r="VY24" s="131"/>
      <c r="VZ24" s="131"/>
      <c r="WA24" s="131"/>
      <c r="WB24" s="131"/>
      <c r="WC24" s="131"/>
      <c r="WD24" s="131"/>
      <c r="WE24" s="131"/>
      <c r="WF24" s="131"/>
      <c r="WG24" s="131"/>
      <c r="WH24" s="131"/>
      <c r="WI24" s="131"/>
      <c r="WJ24" s="131"/>
      <c r="WK24" s="131"/>
      <c r="WL24" s="131"/>
      <c r="WM24" s="131"/>
      <c r="WN24" s="131"/>
      <c r="WO24" s="131"/>
      <c r="WP24" s="131"/>
      <c r="WQ24" s="131"/>
      <c r="WR24" s="131"/>
      <c r="WS24" s="131"/>
      <c r="WT24" s="131"/>
      <c r="WU24" s="131"/>
      <c r="WV24" s="131"/>
      <c r="WW24" s="131"/>
      <c r="WX24" s="131"/>
      <c r="WY24" s="131"/>
      <c r="WZ24" s="131"/>
      <c r="XA24" s="131"/>
      <c r="XB24" s="131"/>
      <c r="XC24" s="131"/>
      <c r="XD24" s="131"/>
      <c r="XE24" s="131"/>
      <c r="XF24" s="131"/>
      <c r="XG24" s="131"/>
      <c r="XH24" s="131"/>
      <c r="XI24" s="131"/>
      <c r="XJ24" s="131"/>
      <c r="XK24" s="131"/>
      <c r="XL24" s="131"/>
      <c r="XM24" s="131"/>
      <c r="XN24" s="131"/>
      <c r="XO24" s="131"/>
      <c r="XP24" s="131"/>
      <c r="XQ24" s="131"/>
      <c r="XR24" s="131"/>
      <c r="XS24" s="131"/>
      <c r="XT24" s="131"/>
      <c r="XU24" s="131"/>
      <c r="XV24" s="131"/>
      <c r="XW24" s="131"/>
      <c r="XX24" s="131"/>
      <c r="XY24" s="131"/>
      <c r="XZ24" s="131"/>
      <c r="YA24" s="131"/>
      <c r="YB24" s="131"/>
      <c r="YC24" s="131"/>
      <c r="YD24" s="131"/>
      <c r="YE24" s="131"/>
      <c r="YF24" s="131"/>
      <c r="YG24" s="131"/>
      <c r="YH24" s="131"/>
      <c r="YI24" s="131"/>
      <c r="YJ24" s="131"/>
      <c r="YK24" s="131"/>
      <c r="YL24" s="131"/>
      <c r="YM24" s="131"/>
      <c r="YN24" s="131"/>
      <c r="YO24" s="131"/>
      <c r="YP24" s="131"/>
      <c r="YQ24" s="131"/>
      <c r="YR24" s="131"/>
      <c r="YS24" s="131"/>
      <c r="YT24" s="131"/>
      <c r="YU24" s="131"/>
      <c r="YV24" s="131"/>
      <c r="YW24" s="131"/>
      <c r="YX24" s="131"/>
      <c r="YY24" s="131"/>
      <c r="YZ24" s="131"/>
      <c r="ZA24" s="131"/>
      <c r="ZB24" s="131"/>
      <c r="ZC24" s="131"/>
      <c r="ZD24" s="131"/>
      <c r="ZE24" s="131"/>
      <c r="ZF24" s="131"/>
      <c r="ZG24" s="131"/>
      <c r="ZH24" s="131"/>
      <c r="ZI24" s="131"/>
      <c r="ZJ24" s="131"/>
      <c r="ZK24" s="131"/>
      <c r="ZL24" s="131"/>
      <c r="ZM24" s="131"/>
      <c r="ZN24" s="131"/>
      <c r="ZO24" s="131"/>
      <c r="ZP24" s="131"/>
      <c r="ZQ24" s="131"/>
      <c r="ZR24" s="131"/>
      <c r="ZS24" s="131"/>
      <c r="ZT24" s="131"/>
      <c r="ZU24" s="131"/>
      <c r="ZV24" s="131"/>
      <c r="ZW24" s="131"/>
      <c r="ZX24" s="131"/>
      <c r="ZY24" s="131"/>
      <c r="ZZ24" s="131"/>
      <c r="AAA24" s="131"/>
      <c r="AAB24" s="131"/>
      <c r="AAC24" s="131"/>
      <c r="AAD24" s="131"/>
      <c r="AAE24" s="131"/>
      <c r="AAF24" s="131"/>
      <c r="AAG24" s="131"/>
      <c r="AAH24" s="131"/>
      <c r="AAI24" s="131"/>
      <c r="AAJ24" s="131"/>
      <c r="AAK24" s="131"/>
      <c r="AAL24" s="131"/>
      <c r="AAM24" s="131"/>
      <c r="AAN24" s="131"/>
      <c r="AAO24" s="131"/>
      <c r="AAP24" s="131"/>
      <c r="AAQ24" s="131"/>
      <c r="AAR24" s="131"/>
      <c r="AAS24" s="131"/>
      <c r="AAT24" s="131"/>
      <c r="AAU24" s="131"/>
      <c r="AAV24" s="131"/>
      <c r="AAW24" s="131"/>
      <c r="AAX24" s="131"/>
      <c r="AAY24" s="131"/>
      <c r="AAZ24" s="131"/>
      <c r="ABA24" s="131"/>
      <c r="ABB24" s="131"/>
      <c r="ABC24" s="131"/>
      <c r="ABD24" s="131"/>
      <c r="ABE24" s="131"/>
      <c r="ABF24" s="131"/>
      <c r="ABG24" s="131"/>
      <c r="ABH24" s="131"/>
      <c r="ABI24" s="131"/>
      <c r="ABJ24" s="131"/>
      <c r="ABK24" s="131"/>
      <c r="ABL24" s="131"/>
      <c r="ABM24" s="131"/>
      <c r="ABN24" s="131"/>
      <c r="ABO24" s="131"/>
      <c r="ABP24" s="131"/>
      <c r="ABQ24" s="131"/>
      <c r="ABR24" s="131"/>
      <c r="ABS24" s="131"/>
      <c r="ABT24" s="131"/>
      <c r="ABU24" s="131"/>
      <c r="ABV24" s="131"/>
      <c r="ABW24" s="131"/>
      <c r="ABX24" s="131"/>
      <c r="ABY24" s="131"/>
      <c r="ABZ24" s="131"/>
      <c r="ACA24" s="131"/>
      <c r="ACB24" s="131"/>
      <c r="ACC24" s="131"/>
      <c r="ACD24" s="131"/>
      <c r="ACE24" s="131"/>
      <c r="ACF24" s="131"/>
      <c r="ACG24" s="131"/>
      <c r="ACH24" s="131"/>
      <c r="ACI24" s="131"/>
      <c r="ACJ24" s="131"/>
      <c r="ACK24" s="131"/>
      <c r="ACL24" s="131"/>
      <c r="ACM24" s="131"/>
      <c r="ACN24" s="131"/>
      <c r="ACO24" s="131"/>
      <c r="ACP24" s="131"/>
      <c r="ACQ24" s="131"/>
      <c r="ACR24" s="131"/>
      <c r="ACS24" s="131"/>
      <c r="ACT24" s="131"/>
      <c r="ACU24" s="131"/>
      <c r="ACV24" s="131"/>
      <c r="ACW24" s="131"/>
      <c r="ACX24" s="131"/>
      <c r="ACY24" s="131"/>
      <c r="ACZ24" s="131"/>
      <c r="ADA24" s="131"/>
      <c r="ADB24" s="131"/>
      <c r="ADC24" s="131"/>
      <c r="ADD24" s="131"/>
      <c r="ADE24" s="131"/>
      <c r="ADF24" s="131"/>
      <c r="ADG24" s="131"/>
      <c r="ADH24" s="131"/>
      <c r="ADI24" s="131"/>
      <c r="ADJ24" s="131"/>
      <c r="ADK24" s="131"/>
      <c r="ADL24" s="131"/>
      <c r="ADM24" s="131"/>
      <c r="ADN24" s="131"/>
      <c r="ADO24" s="131"/>
      <c r="ADP24" s="131"/>
      <c r="ADQ24" s="131"/>
      <c r="ADR24" s="131"/>
      <c r="ADS24" s="131"/>
      <c r="ADT24" s="131"/>
      <c r="ADU24" s="131"/>
      <c r="ADV24" s="131"/>
      <c r="ADW24" s="131"/>
      <c r="ADX24" s="131"/>
      <c r="ADY24" s="131"/>
      <c r="ADZ24" s="131"/>
      <c r="AEA24" s="131"/>
      <c r="AEB24" s="131"/>
      <c r="AEC24" s="131"/>
      <c r="AED24" s="131"/>
      <c r="AEE24" s="131"/>
      <c r="AEF24" s="131"/>
      <c r="AEG24" s="131"/>
      <c r="AEH24" s="131"/>
      <c r="AEI24" s="131"/>
      <c r="AEJ24" s="131"/>
      <c r="AEK24" s="131"/>
      <c r="AEL24" s="131"/>
      <c r="AEM24" s="131"/>
      <c r="AEN24" s="131"/>
      <c r="AEO24" s="131"/>
      <c r="AEP24" s="131"/>
      <c r="AEQ24" s="131"/>
      <c r="AER24" s="131"/>
      <c r="AES24" s="131"/>
      <c r="AET24" s="131"/>
      <c r="AEU24" s="131"/>
      <c r="AEV24" s="131"/>
      <c r="AEW24" s="131"/>
      <c r="AEX24" s="131"/>
      <c r="AEY24" s="131"/>
      <c r="AEZ24" s="131"/>
      <c r="AFA24" s="131"/>
      <c r="AFB24" s="131"/>
      <c r="AFC24" s="131"/>
      <c r="AFD24" s="131"/>
      <c r="AFE24" s="131"/>
      <c r="AFF24" s="131"/>
      <c r="AFG24" s="131"/>
      <c r="AFH24" s="131"/>
      <c r="AFI24" s="131"/>
      <c r="AFJ24" s="131"/>
      <c r="AFK24" s="131"/>
      <c r="AFL24" s="131"/>
      <c r="AFM24" s="131"/>
      <c r="AFN24" s="131"/>
      <c r="AFO24" s="131"/>
      <c r="AFP24" s="131"/>
      <c r="AFQ24" s="131"/>
      <c r="AFR24" s="131"/>
      <c r="AFS24" s="131"/>
      <c r="AFT24" s="131"/>
      <c r="AFU24" s="131"/>
      <c r="AFV24" s="131"/>
      <c r="AFW24" s="131"/>
      <c r="AFX24" s="131"/>
      <c r="AFY24" s="131"/>
      <c r="AFZ24" s="131"/>
      <c r="AGA24" s="131"/>
      <c r="AGB24" s="131"/>
      <c r="AGC24" s="131"/>
      <c r="AGD24" s="131"/>
      <c r="AGE24" s="131"/>
      <c r="AGF24" s="131"/>
      <c r="AGG24" s="131"/>
      <c r="AGH24" s="131"/>
      <c r="AGI24" s="131"/>
      <c r="AGJ24" s="131"/>
      <c r="AGK24" s="131"/>
      <c r="AGL24" s="131"/>
      <c r="AGM24" s="131"/>
      <c r="AGN24" s="131"/>
      <c r="AGO24" s="131"/>
      <c r="AGP24" s="131"/>
      <c r="AGQ24" s="131"/>
      <c r="AGR24" s="131"/>
      <c r="AGS24" s="131"/>
      <c r="AGT24" s="131"/>
      <c r="AGU24" s="131"/>
      <c r="AGV24" s="131"/>
      <c r="AGW24" s="131"/>
      <c r="AGX24" s="131"/>
      <c r="AGY24" s="131"/>
      <c r="AGZ24" s="131"/>
      <c r="AHA24" s="131"/>
      <c r="AHB24" s="131"/>
      <c r="AHC24" s="131"/>
      <c r="AHD24" s="131"/>
      <c r="AHE24" s="131"/>
      <c r="AHF24" s="131"/>
      <c r="AHG24" s="131"/>
      <c r="AHH24" s="131"/>
      <c r="AHI24" s="131"/>
      <c r="AHJ24" s="131"/>
      <c r="AHK24" s="131"/>
      <c r="AHL24" s="131"/>
      <c r="AHM24" s="131"/>
      <c r="AHN24" s="131"/>
      <c r="AHO24" s="131"/>
      <c r="AHP24" s="131"/>
      <c r="AHQ24" s="131"/>
      <c r="AHR24" s="131"/>
      <c r="AHS24" s="131"/>
      <c r="AHT24" s="131"/>
      <c r="AHU24" s="131"/>
      <c r="AHV24" s="131"/>
      <c r="AHW24" s="131"/>
      <c r="AHX24" s="131"/>
      <c r="AHY24" s="131"/>
      <c r="AHZ24" s="131"/>
      <c r="AIA24" s="131"/>
      <c r="AIB24" s="131"/>
      <c r="AIC24" s="131"/>
      <c r="AID24" s="131"/>
      <c r="AIE24" s="131"/>
      <c r="AIF24" s="131"/>
      <c r="AIG24" s="131"/>
      <c r="AIH24" s="131"/>
      <c r="AII24" s="131"/>
      <c r="AIJ24" s="131"/>
      <c r="AIK24" s="131"/>
      <c r="AIL24" s="131"/>
      <c r="AIM24" s="131"/>
      <c r="AIN24" s="131"/>
      <c r="AIO24" s="131"/>
      <c r="AIP24" s="131"/>
      <c r="AIQ24" s="131"/>
      <c r="AIR24" s="131"/>
      <c r="AIS24" s="131"/>
      <c r="AIT24" s="131"/>
      <c r="AIU24" s="131"/>
      <c r="AIV24" s="131"/>
      <c r="AIW24" s="131"/>
      <c r="AIX24" s="131"/>
      <c r="AIY24" s="131"/>
      <c r="AIZ24" s="131"/>
      <c r="AJA24" s="131"/>
      <c r="AJB24" s="131"/>
      <c r="AJC24" s="131"/>
      <c r="AJD24" s="131"/>
      <c r="AJE24" s="131"/>
      <c r="AJF24" s="131"/>
      <c r="AJG24" s="131"/>
      <c r="AJH24" s="131"/>
      <c r="AJI24" s="131"/>
      <c r="AJJ24" s="131"/>
      <c r="AJK24" s="131"/>
      <c r="AJL24" s="131"/>
      <c r="AJM24" s="131"/>
      <c r="AJN24" s="131"/>
      <c r="AJO24" s="131"/>
      <c r="AJP24" s="131"/>
      <c r="AJQ24" s="131"/>
      <c r="AJR24" s="131"/>
      <c r="AJS24" s="131"/>
      <c r="AJT24" s="131"/>
      <c r="AJU24" s="131"/>
      <c r="AJV24" s="131"/>
      <c r="AJW24" s="131"/>
      <c r="AJX24" s="131"/>
      <c r="AJY24" s="131"/>
      <c r="AJZ24" s="131"/>
      <c r="AKA24" s="131"/>
      <c r="AKB24" s="131"/>
      <c r="AKC24" s="131"/>
      <c r="AKD24" s="131"/>
      <c r="AKE24" s="131"/>
      <c r="AKF24" s="131"/>
      <c r="AKG24" s="131"/>
      <c r="AKH24" s="131"/>
      <c r="AKI24" s="131"/>
      <c r="AKJ24" s="131"/>
      <c r="AKK24" s="131"/>
      <c r="AKL24" s="131"/>
      <c r="AKM24" s="131"/>
      <c r="AKN24" s="131"/>
      <c r="AKO24" s="131"/>
      <c r="AKP24" s="131"/>
      <c r="AKQ24" s="131"/>
      <c r="AKR24" s="131"/>
      <c r="AKS24" s="131"/>
      <c r="AKT24" s="131"/>
      <c r="AKU24" s="131"/>
      <c r="AKV24" s="131"/>
      <c r="AKW24" s="131"/>
      <c r="AKX24" s="131"/>
      <c r="AKY24" s="131"/>
      <c r="AKZ24" s="131"/>
      <c r="ALA24" s="131"/>
      <c r="ALB24" s="131"/>
      <c r="ALC24" s="131"/>
      <c r="ALD24" s="131"/>
      <c r="ALE24" s="131"/>
      <c r="ALF24" s="131"/>
      <c r="ALG24" s="131"/>
      <c r="ALH24" s="131"/>
      <c r="ALI24" s="131"/>
      <c r="ALJ24" s="131"/>
      <c r="ALK24" s="131"/>
      <c r="ALL24" s="131"/>
      <c r="ALM24" s="131"/>
      <c r="ALN24" s="131"/>
      <c r="ALO24" s="131"/>
      <c r="ALP24" s="131"/>
      <c r="ALQ24" s="131"/>
      <c r="ALR24" s="131"/>
      <c r="ALS24" s="131"/>
      <c r="ALT24" s="131"/>
      <c r="ALU24" s="131"/>
      <c r="ALV24" s="131"/>
      <c r="ALW24" s="131"/>
    </row>
    <row r="25" spans="1:1011" ht="20.100000000000001" customHeight="1">
      <c r="A25" s="6" t="s">
        <v>207</v>
      </c>
      <c r="B25" s="130"/>
      <c r="C25" s="130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  <c r="BV25" s="131"/>
      <c r="BW25" s="131"/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1"/>
      <c r="CR25" s="131"/>
      <c r="CS25" s="131"/>
      <c r="CT25" s="131"/>
      <c r="CU25" s="131"/>
      <c r="CV25" s="131"/>
      <c r="CW25" s="131"/>
      <c r="CX25" s="131"/>
      <c r="CY25" s="131"/>
      <c r="CZ25" s="131"/>
      <c r="DA25" s="131"/>
      <c r="DB25" s="131"/>
      <c r="DC25" s="131"/>
      <c r="DD25" s="131"/>
      <c r="DE25" s="131"/>
      <c r="DF25" s="131"/>
      <c r="DG25" s="131"/>
      <c r="DH25" s="131"/>
      <c r="DI25" s="131"/>
      <c r="DJ25" s="131"/>
      <c r="DK25" s="131"/>
      <c r="DL25" s="131"/>
      <c r="DM25" s="131"/>
      <c r="DN25" s="131"/>
      <c r="DO25" s="131"/>
      <c r="DP25" s="131"/>
      <c r="DQ25" s="131"/>
      <c r="DR25" s="131"/>
      <c r="DS25" s="131"/>
      <c r="DT25" s="131"/>
      <c r="DU25" s="131"/>
      <c r="DV25" s="131"/>
      <c r="DW25" s="131"/>
      <c r="DX25" s="131"/>
      <c r="DY25" s="131"/>
      <c r="DZ25" s="131"/>
      <c r="EA25" s="131"/>
      <c r="EB25" s="131"/>
      <c r="EC25" s="131"/>
      <c r="ED25" s="131"/>
      <c r="EE25" s="131"/>
      <c r="EF25" s="131"/>
      <c r="EG25" s="131"/>
      <c r="EH25" s="131"/>
      <c r="EI25" s="131"/>
      <c r="EJ25" s="131"/>
      <c r="EK25" s="131"/>
      <c r="EL25" s="131"/>
      <c r="EM25" s="131"/>
      <c r="EN25" s="131"/>
      <c r="EO25" s="131"/>
      <c r="EP25" s="131"/>
      <c r="EQ25" s="131"/>
      <c r="ER25" s="131"/>
      <c r="ES25" s="131"/>
      <c r="ET25" s="131"/>
      <c r="EU25" s="131"/>
      <c r="EV25" s="131"/>
      <c r="EW25" s="131"/>
      <c r="EX25" s="131"/>
      <c r="EY25" s="131"/>
      <c r="EZ25" s="131"/>
      <c r="FA25" s="131"/>
      <c r="FB25" s="131"/>
      <c r="FC25" s="131"/>
      <c r="FD25" s="131"/>
      <c r="FE25" s="131"/>
      <c r="FF25" s="131"/>
      <c r="FG25" s="131"/>
      <c r="FH25" s="131"/>
      <c r="FI25" s="131"/>
      <c r="FJ25" s="131"/>
      <c r="FK25" s="131"/>
      <c r="FL25" s="131"/>
      <c r="FM25" s="131"/>
      <c r="FN25" s="131"/>
      <c r="FO25" s="131"/>
      <c r="FP25" s="131"/>
      <c r="FQ25" s="131"/>
      <c r="FR25" s="131"/>
      <c r="FS25" s="131"/>
      <c r="FT25" s="131"/>
      <c r="FU25" s="131"/>
      <c r="FV25" s="131"/>
      <c r="FW25" s="131"/>
      <c r="FX25" s="131"/>
      <c r="FY25" s="131"/>
      <c r="FZ25" s="131"/>
      <c r="GA25" s="131"/>
      <c r="GB25" s="131"/>
      <c r="GC25" s="131"/>
      <c r="GD25" s="131"/>
      <c r="GE25" s="131"/>
      <c r="GF25" s="131"/>
      <c r="GG25" s="131"/>
      <c r="GH25" s="131"/>
      <c r="GI25" s="131"/>
      <c r="GJ25" s="131"/>
      <c r="GK25" s="131"/>
      <c r="GL25" s="131"/>
      <c r="GM25" s="131"/>
      <c r="GN25" s="131"/>
      <c r="GO25" s="131"/>
      <c r="GP25" s="131"/>
      <c r="GQ25" s="131"/>
      <c r="GR25" s="131"/>
      <c r="GS25" s="131"/>
      <c r="GT25" s="131"/>
      <c r="GU25" s="131"/>
      <c r="GV25" s="131"/>
      <c r="GW25" s="131"/>
      <c r="GX25" s="131"/>
      <c r="GY25" s="131"/>
      <c r="GZ25" s="131"/>
      <c r="HA25" s="131"/>
      <c r="HB25" s="131"/>
      <c r="HC25" s="131"/>
      <c r="HD25" s="131"/>
      <c r="HE25" s="131"/>
      <c r="HF25" s="131"/>
      <c r="HG25" s="131"/>
      <c r="HH25" s="131"/>
      <c r="HI25" s="131"/>
      <c r="HJ25" s="131"/>
      <c r="HK25" s="131"/>
      <c r="HL25" s="131"/>
      <c r="HM25" s="131"/>
      <c r="HN25" s="131"/>
      <c r="HO25" s="131"/>
      <c r="HP25" s="131"/>
      <c r="HQ25" s="131"/>
      <c r="HR25" s="131"/>
      <c r="HS25" s="131"/>
      <c r="HT25" s="131"/>
      <c r="HU25" s="131"/>
      <c r="HV25" s="131"/>
      <c r="HW25" s="131"/>
      <c r="HX25" s="131"/>
      <c r="HY25" s="131"/>
      <c r="HZ25" s="131"/>
      <c r="IA25" s="131"/>
      <c r="IB25" s="131"/>
      <c r="IC25" s="131"/>
      <c r="ID25" s="131"/>
      <c r="IE25" s="131"/>
      <c r="IF25" s="131"/>
      <c r="IG25" s="131"/>
      <c r="IH25" s="131"/>
      <c r="II25" s="131"/>
      <c r="IJ25" s="131"/>
      <c r="IK25" s="131"/>
      <c r="IL25" s="131"/>
      <c r="IM25" s="131"/>
      <c r="IN25" s="131"/>
      <c r="IO25" s="131"/>
      <c r="IP25" s="131"/>
      <c r="IQ25" s="131"/>
      <c r="IR25" s="131"/>
      <c r="IS25" s="131"/>
      <c r="IT25" s="131"/>
      <c r="IU25" s="131"/>
      <c r="IV25" s="131"/>
      <c r="IW25" s="131"/>
      <c r="IX25" s="131"/>
      <c r="IY25" s="131"/>
      <c r="IZ25" s="131"/>
      <c r="JA25" s="131"/>
      <c r="JB25" s="131"/>
      <c r="JC25" s="131"/>
      <c r="JD25" s="131"/>
      <c r="JE25" s="131"/>
      <c r="JF25" s="131"/>
      <c r="JG25" s="131"/>
      <c r="JH25" s="131"/>
      <c r="JI25" s="131"/>
      <c r="JJ25" s="131"/>
      <c r="JK25" s="131"/>
      <c r="JL25" s="131"/>
      <c r="JM25" s="131"/>
      <c r="JN25" s="131"/>
      <c r="JO25" s="131"/>
      <c r="JP25" s="131"/>
      <c r="JQ25" s="131"/>
      <c r="JR25" s="131"/>
      <c r="JS25" s="131"/>
      <c r="JT25" s="131"/>
      <c r="JU25" s="131"/>
      <c r="JV25" s="131"/>
      <c r="JW25" s="131"/>
      <c r="JX25" s="131"/>
      <c r="JY25" s="131"/>
      <c r="JZ25" s="131"/>
      <c r="KA25" s="131"/>
      <c r="KB25" s="131"/>
      <c r="KC25" s="131"/>
      <c r="KD25" s="131"/>
      <c r="KE25" s="131"/>
      <c r="KF25" s="131"/>
      <c r="KG25" s="131"/>
      <c r="KH25" s="131"/>
      <c r="KI25" s="131"/>
      <c r="KJ25" s="131"/>
      <c r="KK25" s="131"/>
      <c r="KL25" s="131"/>
      <c r="KM25" s="131"/>
      <c r="KN25" s="131"/>
      <c r="KO25" s="131"/>
      <c r="KP25" s="131"/>
      <c r="KQ25" s="131"/>
      <c r="KR25" s="131"/>
      <c r="KS25" s="131"/>
      <c r="KT25" s="131"/>
      <c r="KU25" s="131"/>
      <c r="KV25" s="131"/>
      <c r="KW25" s="131"/>
      <c r="KX25" s="131"/>
      <c r="KY25" s="131"/>
      <c r="KZ25" s="131"/>
      <c r="LA25" s="131"/>
      <c r="LB25" s="131"/>
      <c r="LC25" s="131"/>
      <c r="LD25" s="131"/>
      <c r="LE25" s="131"/>
      <c r="LF25" s="131"/>
      <c r="LG25" s="131"/>
      <c r="LH25" s="131"/>
      <c r="LI25" s="131"/>
      <c r="LJ25" s="131"/>
      <c r="LK25" s="131"/>
      <c r="LL25" s="131"/>
      <c r="LM25" s="131"/>
      <c r="LN25" s="131"/>
      <c r="LO25" s="131"/>
      <c r="LP25" s="131"/>
      <c r="LQ25" s="131"/>
      <c r="LR25" s="131"/>
      <c r="LS25" s="131"/>
      <c r="LT25" s="131"/>
      <c r="LU25" s="131"/>
      <c r="LV25" s="131"/>
      <c r="LW25" s="131"/>
      <c r="LX25" s="131"/>
      <c r="LY25" s="131"/>
      <c r="LZ25" s="131"/>
      <c r="MA25" s="131"/>
      <c r="MB25" s="131"/>
      <c r="MC25" s="131"/>
      <c r="MD25" s="131"/>
      <c r="ME25" s="131"/>
      <c r="MF25" s="131"/>
      <c r="MG25" s="131"/>
      <c r="MH25" s="131"/>
      <c r="MI25" s="131"/>
      <c r="MJ25" s="131"/>
      <c r="MK25" s="131"/>
      <c r="ML25" s="131"/>
      <c r="MM25" s="131"/>
      <c r="MN25" s="131"/>
      <c r="MO25" s="131"/>
      <c r="MP25" s="131"/>
      <c r="MQ25" s="131"/>
      <c r="MR25" s="131"/>
      <c r="MS25" s="131"/>
      <c r="MT25" s="131"/>
      <c r="MU25" s="131"/>
      <c r="MV25" s="131"/>
      <c r="MW25" s="131"/>
      <c r="MX25" s="131"/>
      <c r="MY25" s="131"/>
      <c r="MZ25" s="131"/>
      <c r="NA25" s="131"/>
      <c r="NB25" s="131"/>
      <c r="NC25" s="131"/>
      <c r="ND25" s="131"/>
      <c r="NE25" s="131"/>
      <c r="NF25" s="131"/>
      <c r="NG25" s="131"/>
      <c r="NH25" s="131"/>
      <c r="NI25" s="131"/>
      <c r="NJ25" s="131"/>
      <c r="NK25" s="131"/>
      <c r="NL25" s="131"/>
      <c r="NM25" s="131"/>
      <c r="NN25" s="131"/>
      <c r="NO25" s="131"/>
      <c r="NP25" s="131"/>
      <c r="NQ25" s="131"/>
      <c r="NR25" s="131"/>
      <c r="NS25" s="131"/>
      <c r="NT25" s="131"/>
      <c r="NU25" s="131"/>
      <c r="NV25" s="131"/>
      <c r="NW25" s="131"/>
      <c r="NX25" s="131"/>
      <c r="NY25" s="131"/>
      <c r="NZ25" s="131"/>
      <c r="OA25" s="131"/>
      <c r="OB25" s="131"/>
      <c r="OC25" s="131"/>
      <c r="OD25" s="131"/>
      <c r="OE25" s="131"/>
      <c r="OF25" s="131"/>
      <c r="OG25" s="131"/>
      <c r="OH25" s="131"/>
      <c r="OI25" s="131"/>
      <c r="OJ25" s="131"/>
      <c r="OK25" s="131"/>
      <c r="OL25" s="131"/>
      <c r="OM25" s="131"/>
      <c r="ON25" s="131"/>
      <c r="OO25" s="131"/>
      <c r="OP25" s="131"/>
      <c r="OQ25" s="131"/>
      <c r="OR25" s="131"/>
      <c r="OS25" s="131"/>
      <c r="OT25" s="131"/>
      <c r="OU25" s="131"/>
      <c r="OV25" s="131"/>
      <c r="OW25" s="131"/>
      <c r="OX25" s="131"/>
      <c r="OY25" s="131"/>
      <c r="OZ25" s="131"/>
      <c r="PA25" s="131"/>
      <c r="PB25" s="131"/>
      <c r="PC25" s="131"/>
      <c r="PD25" s="131"/>
      <c r="PE25" s="131"/>
      <c r="PF25" s="131"/>
      <c r="PG25" s="131"/>
      <c r="PH25" s="131"/>
      <c r="PI25" s="131"/>
      <c r="PJ25" s="131"/>
      <c r="PK25" s="131"/>
      <c r="PL25" s="131"/>
      <c r="PM25" s="131"/>
      <c r="PN25" s="131"/>
      <c r="PO25" s="131"/>
      <c r="PP25" s="131"/>
      <c r="PQ25" s="131"/>
      <c r="PR25" s="131"/>
      <c r="PS25" s="131"/>
      <c r="PT25" s="131"/>
      <c r="PU25" s="131"/>
      <c r="PV25" s="131"/>
      <c r="PW25" s="131"/>
      <c r="PX25" s="131"/>
      <c r="PY25" s="131"/>
      <c r="PZ25" s="131"/>
      <c r="QA25" s="131"/>
      <c r="QB25" s="131"/>
      <c r="QC25" s="131"/>
      <c r="QD25" s="131"/>
      <c r="QE25" s="131"/>
      <c r="QF25" s="131"/>
      <c r="QG25" s="131"/>
      <c r="QH25" s="131"/>
      <c r="QI25" s="131"/>
      <c r="QJ25" s="131"/>
      <c r="QK25" s="131"/>
      <c r="QL25" s="131"/>
      <c r="QM25" s="131"/>
      <c r="QN25" s="131"/>
      <c r="QO25" s="131"/>
      <c r="QP25" s="131"/>
      <c r="QQ25" s="131"/>
      <c r="QR25" s="131"/>
      <c r="QS25" s="131"/>
      <c r="QT25" s="131"/>
      <c r="QU25" s="131"/>
      <c r="QV25" s="131"/>
      <c r="QW25" s="131"/>
      <c r="QX25" s="131"/>
      <c r="QY25" s="131"/>
      <c r="QZ25" s="131"/>
      <c r="RA25" s="131"/>
      <c r="RB25" s="131"/>
      <c r="RC25" s="131"/>
      <c r="RD25" s="131"/>
      <c r="RE25" s="131"/>
      <c r="RF25" s="131"/>
      <c r="RG25" s="131"/>
      <c r="RH25" s="131"/>
      <c r="RI25" s="131"/>
      <c r="RJ25" s="131"/>
      <c r="RK25" s="131"/>
      <c r="RL25" s="131"/>
      <c r="RM25" s="131"/>
      <c r="RN25" s="131"/>
      <c r="RO25" s="131"/>
      <c r="RP25" s="131"/>
      <c r="RQ25" s="131"/>
      <c r="RR25" s="131"/>
      <c r="RS25" s="131"/>
      <c r="RT25" s="131"/>
      <c r="RU25" s="131"/>
      <c r="RV25" s="131"/>
      <c r="RW25" s="131"/>
      <c r="RX25" s="131"/>
      <c r="RY25" s="131"/>
      <c r="RZ25" s="131"/>
      <c r="SA25" s="131"/>
      <c r="SB25" s="131"/>
      <c r="SC25" s="131"/>
      <c r="SD25" s="131"/>
      <c r="SE25" s="131"/>
      <c r="SF25" s="131"/>
      <c r="SG25" s="131"/>
      <c r="SH25" s="131"/>
      <c r="SI25" s="131"/>
      <c r="SJ25" s="131"/>
      <c r="SK25" s="131"/>
      <c r="SL25" s="131"/>
      <c r="SM25" s="131"/>
      <c r="SN25" s="131"/>
      <c r="SO25" s="131"/>
      <c r="SP25" s="131"/>
      <c r="SQ25" s="131"/>
      <c r="SR25" s="131"/>
      <c r="SS25" s="131"/>
      <c r="ST25" s="131"/>
      <c r="SU25" s="131"/>
      <c r="SV25" s="131"/>
      <c r="SW25" s="131"/>
      <c r="SX25" s="131"/>
      <c r="SY25" s="131"/>
      <c r="SZ25" s="131"/>
      <c r="TA25" s="131"/>
      <c r="TB25" s="131"/>
      <c r="TC25" s="131"/>
      <c r="TD25" s="131"/>
      <c r="TE25" s="131"/>
      <c r="TF25" s="131"/>
      <c r="TG25" s="131"/>
      <c r="TH25" s="131"/>
      <c r="TI25" s="131"/>
      <c r="TJ25" s="131"/>
      <c r="TK25" s="131"/>
      <c r="TL25" s="131"/>
      <c r="TM25" s="131"/>
      <c r="TN25" s="131"/>
      <c r="TO25" s="131"/>
      <c r="TP25" s="131"/>
      <c r="TQ25" s="131"/>
      <c r="TR25" s="131"/>
      <c r="TS25" s="131"/>
      <c r="TT25" s="131"/>
      <c r="TU25" s="131"/>
      <c r="TV25" s="131"/>
      <c r="TW25" s="131"/>
      <c r="TX25" s="131"/>
      <c r="TY25" s="131"/>
      <c r="TZ25" s="131"/>
      <c r="UA25" s="131"/>
      <c r="UB25" s="131"/>
      <c r="UC25" s="131"/>
      <c r="UD25" s="131"/>
      <c r="UE25" s="131"/>
      <c r="UF25" s="131"/>
      <c r="UG25" s="131"/>
      <c r="UH25" s="131"/>
      <c r="UI25" s="131"/>
      <c r="UJ25" s="131"/>
      <c r="UK25" s="131"/>
      <c r="UL25" s="131"/>
      <c r="UM25" s="131"/>
      <c r="UN25" s="131"/>
      <c r="UO25" s="131"/>
      <c r="UP25" s="131"/>
      <c r="UQ25" s="131"/>
      <c r="UR25" s="131"/>
      <c r="US25" s="131"/>
      <c r="UT25" s="131"/>
      <c r="UU25" s="131"/>
      <c r="UV25" s="131"/>
      <c r="UW25" s="131"/>
      <c r="UX25" s="131"/>
      <c r="UY25" s="131"/>
      <c r="UZ25" s="131"/>
      <c r="VA25" s="131"/>
      <c r="VB25" s="131"/>
      <c r="VC25" s="131"/>
      <c r="VD25" s="131"/>
      <c r="VE25" s="131"/>
      <c r="VF25" s="131"/>
      <c r="VG25" s="131"/>
      <c r="VH25" s="131"/>
      <c r="VI25" s="131"/>
      <c r="VJ25" s="131"/>
      <c r="VK25" s="131"/>
      <c r="VL25" s="131"/>
      <c r="VM25" s="131"/>
      <c r="VN25" s="131"/>
      <c r="VO25" s="131"/>
      <c r="VP25" s="131"/>
      <c r="VQ25" s="131"/>
      <c r="VR25" s="131"/>
      <c r="VS25" s="131"/>
      <c r="VT25" s="131"/>
      <c r="VU25" s="131"/>
      <c r="VV25" s="131"/>
      <c r="VW25" s="131"/>
      <c r="VX25" s="131"/>
      <c r="VY25" s="131"/>
      <c r="VZ25" s="131"/>
      <c r="WA25" s="131"/>
      <c r="WB25" s="131"/>
      <c r="WC25" s="131"/>
      <c r="WD25" s="131"/>
      <c r="WE25" s="131"/>
      <c r="WF25" s="131"/>
      <c r="WG25" s="131"/>
      <c r="WH25" s="131"/>
      <c r="WI25" s="131"/>
      <c r="WJ25" s="131"/>
      <c r="WK25" s="131"/>
      <c r="WL25" s="131"/>
      <c r="WM25" s="131"/>
      <c r="WN25" s="131"/>
      <c r="WO25" s="131"/>
      <c r="WP25" s="131"/>
      <c r="WQ25" s="131"/>
      <c r="WR25" s="131"/>
      <c r="WS25" s="131"/>
      <c r="WT25" s="131"/>
      <c r="WU25" s="131"/>
      <c r="WV25" s="131"/>
      <c r="WW25" s="131"/>
      <c r="WX25" s="131"/>
      <c r="WY25" s="131"/>
      <c r="WZ25" s="131"/>
      <c r="XA25" s="131"/>
      <c r="XB25" s="131"/>
      <c r="XC25" s="131"/>
      <c r="XD25" s="131"/>
      <c r="XE25" s="131"/>
      <c r="XF25" s="131"/>
      <c r="XG25" s="131"/>
      <c r="XH25" s="131"/>
      <c r="XI25" s="131"/>
      <c r="XJ25" s="131"/>
      <c r="XK25" s="131"/>
      <c r="XL25" s="131"/>
      <c r="XM25" s="131"/>
      <c r="XN25" s="131"/>
      <c r="XO25" s="131"/>
      <c r="XP25" s="131"/>
      <c r="XQ25" s="131"/>
      <c r="XR25" s="131"/>
      <c r="XS25" s="131"/>
      <c r="XT25" s="131"/>
      <c r="XU25" s="131"/>
      <c r="XV25" s="131"/>
      <c r="XW25" s="131"/>
      <c r="XX25" s="131"/>
      <c r="XY25" s="131"/>
      <c r="XZ25" s="131"/>
      <c r="YA25" s="131"/>
      <c r="YB25" s="131"/>
      <c r="YC25" s="131"/>
      <c r="YD25" s="131"/>
      <c r="YE25" s="131"/>
      <c r="YF25" s="131"/>
      <c r="YG25" s="131"/>
      <c r="YH25" s="131"/>
      <c r="YI25" s="131"/>
      <c r="YJ25" s="131"/>
      <c r="YK25" s="131"/>
      <c r="YL25" s="131"/>
      <c r="YM25" s="131"/>
      <c r="YN25" s="131"/>
      <c r="YO25" s="131"/>
      <c r="YP25" s="131"/>
      <c r="YQ25" s="131"/>
      <c r="YR25" s="131"/>
      <c r="YS25" s="131"/>
      <c r="YT25" s="131"/>
      <c r="YU25" s="131"/>
      <c r="YV25" s="131"/>
      <c r="YW25" s="131"/>
      <c r="YX25" s="131"/>
      <c r="YY25" s="131"/>
      <c r="YZ25" s="131"/>
      <c r="ZA25" s="131"/>
      <c r="ZB25" s="131"/>
      <c r="ZC25" s="131"/>
      <c r="ZD25" s="131"/>
      <c r="ZE25" s="131"/>
      <c r="ZF25" s="131"/>
      <c r="ZG25" s="131"/>
      <c r="ZH25" s="131"/>
      <c r="ZI25" s="131"/>
      <c r="ZJ25" s="131"/>
      <c r="ZK25" s="131"/>
      <c r="ZL25" s="131"/>
      <c r="ZM25" s="131"/>
      <c r="ZN25" s="131"/>
      <c r="ZO25" s="131"/>
      <c r="ZP25" s="131"/>
      <c r="ZQ25" s="131"/>
      <c r="ZR25" s="131"/>
      <c r="ZS25" s="131"/>
      <c r="ZT25" s="131"/>
      <c r="ZU25" s="131"/>
      <c r="ZV25" s="131"/>
      <c r="ZW25" s="131"/>
      <c r="ZX25" s="131"/>
      <c r="ZY25" s="131"/>
      <c r="ZZ25" s="131"/>
      <c r="AAA25" s="131"/>
      <c r="AAB25" s="131"/>
      <c r="AAC25" s="131"/>
      <c r="AAD25" s="131"/>
      <c r="AAE25" s="131"/>
      <c r="AAF25" s="131"/>
      <c r="AAG25" s="131"/>
      <c r="AAH25" s="131"/>
      <c r="AAI25" s="131"/>
      <c r="AAJ25" s="131"/>
      <c r="AAK25" s="131"/>
      <c r="AAL25" s="131"/>
      <c r="AAM25" s="131"/>
      <c r="AAN25" s="131"/>
      <c r="AAO25" s="131"/>
      <c r="AAP25" s="131"/>
      <c r="AAQ25" s="131"/>
      <c r="AAR25" s="131"/>
      <c r="AAS25" s="131"/>
      <c r="AAT25" s="131"/>
      <c r="AAU25" s="131"/>
      <c r="AAV25" s="131"/>
      <c r="AAW25" s="131"/>
      <c r="AAX25" s="131"/>
      <c r="AAY25" s="131"/>
      <c r="AAZ25" s="131"/>
      <c r="ABA25" s="131"/>
      <c r="ABB25" s="131"/>
      <c r="ABC25" s="131"/>
      <c r="ABD25" s="131"/>
      <c r="ABE25" s="131"/>
      <c r="ABF25" s="131"/>
      <c r="ABG25" s="131"/>
      <c r="ABH25" s="131"/>
      <c r="ABI25" s="131"/>
      <c r="ABJ25" s="131"/>
      <c r="ABK25" s="131"/>
      <c r="ABL25" s="131"/>
      <c r="ABM25" s="131"/>
      <c r="ABN25" s="131"/>
      <c r="ABO25" s="131"/>
      <c r="ABP25" s="131"/>
      <c r="ABQ25" s="131"/>
      <c r="ABR25" s="131"/>
      <c r="ABS25" s="131"/>
      <c r="ABT25" s="131"/>
      <c r="ABU25" s="131"/>
      <c r="ABV25" s="131"/>
      <c r="ABW25" s="131"/>
      <c r="ABX25" s="131"/>
      <c r="ABY25" s="131"/>
      <c r="ABZ25" s="131"/>
      <c r="ACA25" s="131"/>
      <c r="ACB25" s="131"/>
      <c r="ACC25" s="131"/>
      <c r="ACD25" s="131"/>
      <c r="ACE25" s="131"/>
      <c r="ACF25" s="131"/>
      <c r="ACG25" s="131"/>
      <c r="ACH25" s="131"/>
      <c r="ACI25" s="131"/>
      <c r="ACJ25" s="131"/>
      <c r="ACK25" s="131"/>
      <c r="ACL25" s="131"/>
      <c r="ACM25" s="131"/>
      <c r="ACN25" s="131"/>
      <c r="ACO25" s="131"/>
      <c r="ACP25" s="131"/>
      <c r="ACQ25" s="131"/>
      <c r="ACR25" s="131"/>
      <c r="ACS25" s="131"/>
      <c r="ACT25" s="131"/>
      <c r="ACU25" s="131"/>
      <c r="ACV25" s="131"/>
      <c r="ACW25" s="131"/>
      <c r="ACX25" s="131"/>
      <c r="ACY25" s="131"/>
      <c r="ACZ25" s="131"/>
      <c r="ADA25" s="131"/>
      <c r="ADB25" s="131"/>
      <c r="ADC25" s="131"/>
      <c r="ADD25" s="131"/>
      <c r="ADE25" s="131"/>
      <c r="ADF25" s="131"/>
      <c r="ADG25" s="131"/>
      <c r="ADH25" s="131"/>
      <c r="ADI25" s="131"/>
      <c r="ADJ25" s="131"/>
      <c r="ADK25" s="131"/>
      <c r="ADL25" s="131"/>
      <c r="ADM25" s="131"/>
      <c r="ADN25" s="131"/>
      <c r="ADO25" s="131"/>
      <c r="ADP25" s="131"/>
      <c r="ADQ25" s="131"/>
      <c r="ADR25" s="131"/>
      <c r="ADS25" s="131"/>
      <c r="ADT25" s="131"/>
      <c r="ADU25" s="131"/>
      <c r="ADV25" s="131"/>
      <c r="ADW25" s="131"/>
      <c r="ADX25" s="131"/>
      <c r="ADY25" s="131"/>
      <c r="ADZ25" s="131"/>
      <c r="AEA25" s="131"/>
      <c r="AEB25" s="131"/>
      <c r="AEC25" s="131"/>
      <c r="AED25" s="131"/>
      <c r="AEE25" s="131"/>
      <c r="AEF25" s="131"/>
      <c r="AEG25" s="131"/>
      <c r="AEH25" s="131"/>
      <c r="AEI25" s="131"/>
      <c r="AEJ25" s="131"/>
      <c r="AEK25" s="131"/>
      <c r="AEL25" s="131"/>
      <c r="AEM25" s="131"/>
      <c r="AEN25" s="131"/>
      <c r="AEO25" s="131"/>
      <c r="AEP25" s="131"/>
      <c r="AEQ25" s="131"/>
      <c r="AER25" s="131"/>
      <c r="AES25" s="131"/>
      <c r="AET25" s="131"/>
      <c r="AEU25" s="131"/>
      <c r="AEV25" s="131"/>
      <c r="AEW25" s="131"/>
      <c r="AEX25" s="131"/>
      <c r="AEY25" s="131"/>
      <c r="AEZ25" s="131"/>
      <c r="AFA25" s="131"/>
      <c r="AFB25" s="131"/>
      <c r="AFC25" s="131"/>
      <c r="AFD25" s="131"/>
      <c r="AFE25" s="131"/>
      <c r="AFF25" s="131"/>
      <c r="AFG25" s="131"/>
      <c r="AFH25" s="131"/>
      <c r="AFI25" s="131"/>
      <c r="AFJ25" s="131"/>
      <c r="AFK25" s="131"/>
      <c r="AFL25" s="131"/>
      <c r="AFM25" s="131"/>
      <c r="AFN25" s="131"/>
      <c r="AFO25" s="131"/>
      <c r="AFP25" s="131"/>
      <c r="AFQ25" s="131"/>
      <c r="AFR25" s="131"/>
      <c r="AFS25" s="131"/>
      <c r="AFT25" s="131"/>
      <c r="AFU25" s="131"/>
      <c r="AFV25" s="131"/>
      <c r="AFW25" s="131"/>
      <c r="AFX25" s="131"/>
      <c r="AFY25" s="131"/>
      <c r="AFZ25" s="131"/>
      <c r="AGA25" s="131"/>
      <c r="AGB25" s="131"/>
      <c r="AGC25" s="131"/>
      <c r="AGD25" s="131"/>
      <c r="AGE25" s="131"/>
      <c r="AGF25" s="131"/>
      <c r="AGG25" s="131"/>
      <c r="AGH25" s="131"/>
      <c r="AGI25" s="131"/>
      <c r="AGJ25" s="131"/>
      <c r="AGK25" s="131"/>
      <c r="AGL25" s="131"/>
      <c r="AGM25" s="131"/>
      <c r="AGN25" s="131"/>
      <c r="AGO25" s="131"/>
      <c r="AGP25" s="131"/>
      <c r="AGQ25" s="131"/>
      <c r="AGR25" s="131"/>
      <c r="AGS25" s="131"/>
      <c r="AGT25" s="131"/>
      <c r="AGU25" s="131"/>
      <c r="AGV25" s="131"/>
      <c r="AGW25" s="131"/>
      <c r="AGX25" s="131"/>
      <c r="AGY25" s="131"/>
      <c r="AGZ25" s="131"/>
      <c r="AHA25" s="131"/>
      <c r="AHB25" s="131"/>
      <c r="AHC25" s="131"/>
      <c r="AHD25" s="131"/>
      <c r="AHE25" s="131"/>
      <c r="AHF25" s="131"/>
      <c r="AHG25" s="131"/>
      <c r="AHH25" s="131"/>
      <c r="AHI25" s="131"/>
      <c r="AHJ25" s="131"/>
      <c r="AHK25" s="131"/>
      <c r="AHL25" s="131"/>
      <c r="AHM25" s="131"/>
      <c r="AHN25" s="131"/>
      <c r="AHO25" s="131"/>
      <c r="AHP25" s="131"/>
      <c r="AHQ25" s="131"/>
      <c r="AHR25" s="131"/>
      <c r="AHS25" s="131"/>
      <c r="AHT25" s="131"/>
      <c r="AHU25" s="131"/>
      <c r="AHV25" s="131"/>
      <c r="AHW25" s="131"/>
      <c r="AHX25" s="131"/>
      <c r="AHY25" s="131"/>
      <c r="AHZ25" s="131"/>
      <c r="AIA25" s="131"/>
      <c r="AIB25" s="131"/>
      <c r="AIC25" s="131"/>
      <c r="AID25" s="131"/>
      <c r="AIE25" s="131"/>
      <c r="AIF25" s="131"/>
      <c r="AIG25" s="131"/>
      <c r="AIH25" s="131"/>
      <c r="AII25" s="131"/>
      <c r="AIJ25" s="131"/>
      <c r="AIK25" s="131"/>
      <c r="AIL25" s="131"/>
      <c r="AIM25" s="131"/>
      <c r="AIN25" s="131"/>
      <c r="AIO25" s="131"/>
      <c r="AIP25" s="131"/>
      <c r="AIQ25" s="131"/>
      <c r="AIR25" s="131"/>
      <c r="AIS25" s="131"/>
      <c r="AIT25" s="131"/>
      <c r="AIU25" s="131"/>
      <c r="AIV25" s="131"/>
      <c r="AIW25" s="131"/>
      <c r="AIX25" s="131"/>
      <c r="AIY25" s="131"/>
      <c r="AIZ25" s="131"/>
      <c r="AJA25" s="131"/>
      <c r="AJB25" s="131"/>
      <c r="AJC25" s="131"/>
      <c r="AJD25" s="131"/>
      <c r="AJE25" s="131"/>
      <c r="AJF25" s="131"/>
      <c r="AJG25" s="131"/>
      <c r="AJH25" s="131"/>
      <c r="AJI25" s="131"/>
      <c r="AJJ25" s="131"/>
      <c r="AJK25" s="131"/>
      <c r="AJL25" s="131"/>
      <c r="AJM25" s="131"/>
      <c r="AJN25" s="131"/>
      <c r="AJO25" s="131"/>
      <c r="AJP25" s="131"/>
      <c r="AJQ25" s="131"/>
      <c r="AJR25" s="131"/>
      <c r="AJS25" s="131"/>
      <c r="AJT25" s="131"/>
      <c r="AJU25" s="131"/>
      <c r="AJV25" s="131"/>
      <c r="AJW25" s="131"/>
      <c r="AJX25" s="131"/>
      <c r="AJY25" s="131"/>
      <c r="AJZ25" s="131"/>
      <c r="AKA25" s="131"/>
      <c r="AKB25" s="131"/>
      <c r="AKC25" s="131"/>
      <c r="AKD25" s="131"/>
      <c r="AKE25" s="131"/>
      <c r="AKF25" s="131"/>
      <c r="AKG25" s="131"/>
      <c r="AKH25" s="131"/>
      <c r="AKI25" s="131"/>
      <c r="AKJ25" s="131"/>
      <c r="AKK25" s="131"/>
      <c r="AKL25" s="131"/>
      <c r="AKM25" s="131"/>
      <c r="AKN25" s="131"/>
      <c r="AKO25" s="131"/>
      <c r="AKP25" s="131"/>
      <c r="AKQ25" s="131"/>
      <c r="AKR25" s="131"/>
      <c r="AKS25" s="131"/>
      <c r="AKT25" s="131"/>
      <c r="AKU25" s="131"/>
      <c r="AKV25" s="131"/>
      <c r="AKW25" s="131"/>
      <c r="AKX25" s="131"/>
      <c r="AKY25" s="131"/>
      <c r="AKZ25" s="131"/>
      <c r="ALA25" s="131"/>
      <c r="ALB25" s="131"/>
      <c r="ALC25" s="131"/>
      <c r="ALD25" s="131"/>
      <c r="ALE25" s="131"/>
      <c r="ALF25" s="131"/>
      <c r="ALG25" s="131"/>
      <c r="ALH25" s="131"/>
      <c r="ALI25" s="131"/>
      <c r="ALJ25" s="131"/>
      <c r="ALK25" s="131"/>
      <c r="ALL25" s="131"/>
      <c r="ALM25" s="131"/>
      <c r="ALN25" s="131"/>
      <c r="ALO25" s="131"/>
      <c r="ALP25" s="131"/>
      <c r="ALQ25" s="131"/>
      <c r="ALR25" s="131"/>
      <c r="ALS25" s="131"/>
      <c r="ALT25" s="131"/>
      <c r="ALU25" s="131"/>
      <c r="ALV25" s="131"/>
      <c r="ALW25" s="131"/>
    </row>
  </sheetData>
  <mergeCells count="4">
    <mergeCell ref="B4:C4"/>
    <mergeCell ref="E4:E5"/>
    <mergeCell ref="D4:D5"/>
    <mergeCell ref="F4:F5"/>
  </mergeCells>
  <pageMargins left="0.25000000000000006" right="0.25000000000000006" top="1.1437007874015745" bottom="1.1437007874015745" header="0.74999999999999989" footer="0.74999999999999989"/>
  <pageSetup paperSize="9" scale="99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435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11</vt:i4>
      </vt:variant>
    </vt:vector>
  </HeadingPairs>
  <TitlesOfParts>
    <vt:vector size="25" baseType="lpstr">
      <vt:lpstr>LA_RO_BIOCOOP</vt:lpstr>
      <vt:lpstr>LA_RO_POSTE</vt:lpstr>
      <vt:lpstr>LA_RO_ENILV</vt:lpstr>
      <vt:lpstr>LA_RO_SNCF</vt:lpstr>
      <vt:lpstr>AMANCY SOUS TERRAIN</vt:lpstr>
      <vt:lpstr>ARENT_PAPETERIE</vt:lpstr>
      <vt:lpstr>ST_PI_BORNE_DESSY</vt:lpstr>
      <vt:lpstr>BO_BORNE_TUCINGE</vt:lpstr>
      <vt:lpstr>ST_PI_BORNE_RD1203</vt:lpstr>
      <vt:lpstr>ST PI M BRICOLAGE</vt:lpstr>
      <vt:lpstr>SYNTHESE</vt:lpstr>
      <vt:lpstr>2020 2021 2022</vt:lpstr>
      <vt:lpstr>2020 2021</vt:lpstr>
      <vt:lpstr>DIFFUSION</vt:lpstr>
      <vt:lpstr>'2020 2021 2022'!Zone_d_impression</vt:lpstr>
      <vt:lpstr>'AMANCY SOUS TERRAIN'!Zone_d_impression</vt:lpstr>
      <vt:lpstr>ARENT_PAPETERIE!Zone_d_impression</vt:lpstr>
      <vt:lpstr>BO_BORNE_TUCINGE!Zone_d_impression</vt:lpstr>
      <vt:lpstr>LA_RO_BIOCOOP!Zone_d_impression</vt:lpstr>
      <vt:lpstr>LA_RO_ENILV!Zone_d_impression</vt:lpstr>
      <vt:lpstr>LA_RO_POSTE!Zone_d_impression</vt:lpstr>
      <vt:lpstr>LA_RO_SNCF!Zone_d_impression</vt:lpstr>
      <vt:lpstr>'ST PI M BRICOLAGE'!Zone_d_impression</vt:lpstr>
      <vt:lpstr>ST_PI_BORNE_DESSY!Zone_d_impression</vt:lpstr>
      <vt:lpstr>ST_PI_BORNE_RD1203!Zone_d_impression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</dc:creator>
  <cp:lastModifiedBy>Trans Mis</cp:lastModifiedBy>
  <cp:revision>62</cp:revision>
  <cp:lastPrinted>2022-11-29T19:51:31Z</cp:lastPrinted>
  <dcterms:created xsi:type="dcterms:W3CDTF">2013-06-07T11:50:48Z</dcterms:created>
  <dcterms:modified xsi:type="dcterms:W3CDTF">2022-11-29T19:52:16Z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