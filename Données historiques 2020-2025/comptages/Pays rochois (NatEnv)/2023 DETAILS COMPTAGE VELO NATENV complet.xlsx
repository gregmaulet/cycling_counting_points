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Z Perso\VELO\CICLABLE\COMPTAGES 2023\"/>
    </mc:Choice>
  </mc:AlternateContent>
  <xr:revisionPtr revIDLastSave="0" documentId="13_ncr:1_{DBA37F77-CA80-4477-B127-094F98EFE04A}" xr6:coauthVersionLast="36" xr6:coauthVersionMax="36" xr10:uidLastSave="{00000000-0000-0000-0000-000000000000}"/>
  <bookViews>
    <workbookView xWindow="0" yWindow="0" windowWidth="16380" windowHeight="8190" tabRatio="500" firstSheet="7" activeTab="10" xr2:uid="{00000000-000D-0000-FFFF-FFFF00000000}"/>
  </bookViews>
  <sheets>
    <sheet name="LA_RO_BIOCOOP" sheetId="1" r:id="rId1"/>
    <sheet name="LA_RO_POSTE" sheetId="2" r:id="rId2"/>
    <sheet name="LA_RO_SNCF" sheetId="3" r:id="rId3"/>
    <sheet name="LA RO ANDREV 23" sheetId="4" r:id="rId4"/>
    <sheet name="LA RO ANDREV 24" sheetId="5" r:id="rId5"/>
    <sheet name="ARENT_PAPETERIE" sheetId="6" r:id="rId6"/>
    <sheet name="ST_PI_BORNE_DESSY" sheetId="7" r:id="rId7"/>
    <sheet name="BO_BORNE_TUCINGE" sheetId="8" r:id="rId8"/>
    <sheet name="ST_PI_BORNE_RD1203" sheetId="9" r:id="rId9"/>
    <sheet name="ST PI M BRICOLAGE" sheetId="10" r:id="rId10"/>
    <sheet name="2023" sheetId="11" r:id="rId11"/>
    <sheet name="synthèse" sheetId="12" r:id="rId12"/>
    <sheet name="synthèse_2" sheetId="13" r:id="rId13"/>
  </sheets>
  <definedNames>
    <definedName name="Print_Area" localSheetId="5">ARENT_PAPETERIE!$A$1:$Z$32</definedName>
    <definedName name="Print_Area" localSheetId="7">BO_BORNE_TUCINGE!$A$1:$J$21</definedName>
    <definedName name="Print_Area" localSheetId="3">'LA RO ANDREV 23'!$A$1:$J$22</definedName>
    <definedName name="Print_Area" localSheetId="4">'LA RO ANDREV 24'!$A$1:$J$32</definedName>
    <definedName name="Print_Area" localSheetId="0">LA_RO_BIOCOOP!$A$1:$AL$22</definedName>
    <definedName name="Print_Area" localSheetId="1">LA_RO_POSTE!$A$1:$BV$34</definedName>
    <definedName name="Print_Area" localSheetId="2">LA_RO_SNCF!$A$1:$Z$33</definedName>
    <definedName name="Print_Area" localSheetId="9">'ST PI M BRICOLAGE'!$A$1:$R$27</definedName>
    <definedName name="Print_Area" localSheetId="6">ST_PI_BORNE_DESSY!$A$1:$Z$22</definedName>
    <definedName name="Print_Area" localSheetId="8">ST_PI_BORNE_RD1203!$A$1:$V$39,ST_PI_BORNE_RD1203!$A$42:$V$84</definedName>
    <definedName name="_xlnm.Print_Area" localSheetId="5">ARENT_PAPETERIE!$A$1:$Z$32</definedName>
    <definedName name="_xlnm.Print_Area" localSheetId="7">BO_BORNE_TUCINGE!$A$1:$J$21</definedName>
    <definedName name="_xlnm.Print_Area" localSheetId="3">'LA RO ANDREV 23'!$A$1:$J$23</definedName>
    <definedName name="_xlnm.Print_Area" localSheetId="4">'LA RO ANDREV 24'!$A$1:$R$33</definedName>
    <definedName name="_xlnm.Print_Area" localSheetId="0">LA_RO_BIOCOOP!$A$1:$AL$22</definedName>
    <definedName name="_xlnm.Print_Area" localSheetId="1">LA_RO_POSTE!$A$1:$AP$36</definedName>
    <definedName name="_xlnm.Print_Area" localSheetId="2">LA_RO_SNCF!$A$1:$Z$33</definedName>
    <definedName name="_xlnm.Print_Area" localSheetId="9">'ST PI M BRICOLAGE'!$A$1:$S$31</definedName>
    <definedName name="_xlnm.Print_Area" localSheetId="6">ST_PI_BORNE_DESSY!$A$1:$Z$22</definedName>
    <definedName name="_xlnm.Print_Area" localSheetId="8">ST_PI_BORNE_RD1203!$A$42:$V$81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3" l="1"/>
  <c r="G20" i="13" l="1"/>
  <c r="F20" i="13"/>
  <c r="E20" i="13"/>
  <c r="G21" i="13"/>
  <c r="F14" i="13"/>
  <c r="F21" i="13" s="1"/>
  <c r="E14" i="13"/>
  <c r="E21" i="13" s="1"/>
  <c r="E21" i="12"/>
  <c r="G20" i="12"/>
  <c r="F20" i="12"/>
  <c r="F21" i="12" s="1"/>
  <c r="E20" i="12"/>
  <c r="G14" i="12"/>
  <c r="F14" i="12"/>
  <c r="E14" i="12"/>
  <c r="C80" i="11"/>
  <c r="G75" i="11"/>
  <c r="G80" i="11" s="1"/>
  <c r="F80" i="11" s="1"/>
  <c r="F75" i="11"/>
  <c r="E75" i="11"/>
  <c r="E80" i="11" s="1"/>
  <c r="D80" i="11" s="1"/>
  <c r="C75" i="11"/>
  <c r="G69" i="11"/>
  <c r="F69" i="11" s="1"/>
  <c r="E69" i="11"/>
  <c r="D69" i="11"/>
  <c r="C69" i="11"/>
  <c r="C60" i="11"/>
  <c r="G57" i="11"/>
  <c r="F57" i="11" s="1"/>
  <c r="E57" i="11"/>
  <c r="E60" i="11" s="1"/>
  <c r="C57" i="11"/>
  <c r="F56" i="11"/>
  <c r="D56" i="11"/>
  <c r="F55" i="11"/>
  <c r="D55" i="11"/>
  <c r="F54" i="11"/>
  <c r="D54" i="11"/>
  <c r="F53" i="11"/>
  <c r="D53" i="11"/>
  <c r="G51" i="11"/>
  <c r="F51" i="11" s="1"/>
  <c r="E51" i="11"/>
  <c r="D51" i="11" s="1"/>
  <c r="C51" i="11"/>
  <c r="F50" i="11"/>
  <c r="D50" i="11"/>
  <c r="F49" i="11"/>
  <c r="D49" i="11"/>
  <c r="F48" i="11"/>
  <c r="D48" i="11"/>
  <c r="F47" i="11"/>
  <c r="D47" i="11"/>
  <c r="D42" i="11"/>
  <c r="F38" i="11"/>
  <c r="D38" i="11"/>
  <c r="G37" i="11"/>
  <c r="G42" i="11" s="1"/>
  <c r="F42" i="11" s="1"/>
  <c r="F37" i="11"/>
  <c r="E37" i="11"/>
  <c r="E42" i="11" s="1"/>
  <c r="D37" i="11"/>
  <c r="C37" i="11"/>
  <c r="C42" i="11" s="1"/>
  <c r="F36" i="11"/>
  <c r="D36" i="11"/>
  <c r="F35" i="11"/>
  <c r="D35" i="11"/>
  <c r="F34" i="11"/>
  <c r="D34" i="11"/>
  <c r="F33" i="11"/>
  <c r="D33" i="11"/>
  <c r="F32" i="11"/>
  <c r="D32" i="11"/>
  <c r="G30" i="11"/>
  <c r="F30" i="11" s="1"/>
  <c r="E30" i="11"/>
  <c r="D30" i="11" s="1"/>
  <c r="C30" i="11"/>
  <c r="F29" i="11"/>
  <c r="D29" i="11"/>
  <c r="F28" i="11"/>
  <c r="D28" i="11"/>
  <c r="F27" i="11"/>
  <c r="D27" i="11"/>
  <c r="F26" i="11"/>
  <c r="D26" i="11"/>
  <c r="G19" i="11"/>
  <c r="G22" i="11" s="1"/>
  <c r="F19" i="11"/>
  <c r="E19" i="11"/>
  <c r="C19" i="11"/>
  <c r="F18" i="11"/>
  <c r="D18" i="11"/>
  <c r="F17" i="11"/>
  <c r="D17" i="11"/>
  <c r="F16" i="11"/>
  <c r="D16" i="11"/>
  <c r="F15" i="11"/>
  <c r="D15" i="11"/>
  <c r="F14" i="11"/>
  <c r="D14" i="11"/>
  <c r="F13" i="11"/>
  <c r="D13" i="11"/>
  <c r="F12" i="11"/>
  <c r="D12" i="11"/>
  <c r="G10" i="11"/>
  <c r="E10" i="11"/>
  <c r="C10" i="11"/>
  <c r="F8" i="11"/>
  <c r="D8" i="11"/>
  <c r="F7" i="11"/>
  <c r="D7" i="11"/>
  <c r="F6" i="11"/>
  <c r="D6" i="11"/>
  <c r="F5" i="11"/>
  <c r="D5" i="11"/>
  <c r="U44" i="10"/>
  <c r="AB41" i="10"/>
  <c r="AA41" i="10"/>
  <c r="Z41" i="10"/>
  <c r="Y41" i="10"/>
  <c r="S40" i="10"/>
  <c r="F40" i="10"/>
  <c r="E40" i="10"/>
  <c r="X40" i="10" s="1"/>
  <c r="D40" i="10"/>
  <c r="C40" i="10"/>
  <c r="V40" i="10" s="1"/>
  <c r="S39" i="10"/>
  <c r="F39" i="10"/>
  <c r="E39" i="10"/>
  <c r="D39" i="10"/>
  <c r="C39" i="10"/>
  <c r="X38" i="10"/>
  <c r="W38" i="10"/>
  <c r="V38" i="10"/>
  <c r="S38" i="10"/>
  <c r="F38" i="10"/>
  <c r="E38" i="10"/>
  <c r="D38" i="10"/>
  <c r="C38" i="10"/>
  <c r="X37" i="10"/>
  <c r="V37" i="10"/>
  <c r="S37" i="10"/>
  <c r="F37" i="10"/>
  <c r="W37" i="10" s="1"/>
  <c r="E37" i="10"/>
  <c r="D37" i="10"/>
  <c r="C37" i="10"/>
  <c r="W36" i="10"/>
  <c r="U36" i="10"/>
  <c r="S36" i="10"/>
  <c r="F36" i="10"/>
  <c r="E36" i="10"/>
  <c r="D36" i="10"/>
  <c r="C36" i="10"/>
  <c r="W108" i="9"/>
  <c r="W107" i="9"/>
  <c r="W106" i="9"/>
  <c r="W105" i="9"/>
  <c r="W104" i="9"/>
  <c r="W103" i="9"/>
  <c r="Y97" i="9"/>
  <c r="AF94" i="9"/>
  <c r="AE94" i="9"/>
  <c r="AD94" i="9"/>
  <c r="AC94" i="9"/>
  <c r="AB93" i="9"/>
  <c r="W93" i="9"/>
  <c r="F93" i="9"/>
  <c r="E93" i="9"/>
  <c r="D93" i="9"/>
  <c r="C93" i="9"/>
  <c r="AB92" i="9"/>
  <c r="AA92" i="9"/>
  <c r="W92" i="9"/>
  <c r="F92" i="9"/>
  <c r="E92" i="9"/>
  <c r="D92" i="9"/>
  <c r="C92" i="9"/>
  <c r="Z92" i="9" s="1"/>
  <c r="W91" i="9"/>
  <c r="F91" i="9"/>
  <c r="E91" i="9"/>
  <c r="AB91" i="9" s="1"/>
  <c r="D91" i="9"/>
  <c r="C91" i="9"/>
  <c r="Z90" i="9"/>
  <c r="W90" i="9"/>
  <c r="F90" i="9"/>
  <c r="E90" i="9"/>
  <c r="AB90" i="9" s="1"/>
  <c r="AB105" i="9" s="1"/>
  <c r="D90" i="9"/>
  <c r="C90" i="9"/>
  <c r="AB89" i="9"/>
  <c r="W89" i="9"/>
  <c r="F89" i="9"/>
  <c r="F94" i="9" s="1"/>
  <c r="E89" i="9"/>
  <c r="E94" i="9" s="1"/>
  <c r="D89" i="9"/>
  <c r="D94" i="9" s="1"/>
  <c r="C89" i="9"/>
  <c r="W77" i="9"/>
  <c r="W76" i="9"/>
  <c r="W75" i="9"/>
  <c r="W78" i="9" s="1"/>
  <c r="W74" i="9"/>
  <c r="W73" i="9"/>
  <c r="W67" i="9"/>
  <c r="W66" i="9"/>
  <c r="W65" i="9"/>
  <c r="W64" i="9"/>
  <c r="W63" i="9"/>
  <c r="W68" i="9" s="1"/>
  <c r="W57" i="9"/>
  <c r="W56" i="9"/>
  <c r="W55" i="9"/>
  <c r="W54" i="9"/>
  <c r="W53" i="9"/>
  <c r="W27" i="9"/>
  <c r="W26" i="9"/>
  <c r="W25" i="9"/>
  <c r="W24" i="9"/>
  <c r="W23" i="9"/>
  <c r="W15" i="9"/>
  <c r="W14" i="9"/>
  <c r="W18" i="9" s="1"/>
  <c r="U47" i="8"/>
  <c r="M47" i="8"/>
  <c r="K45" i="8"/>
  <c r="K44" i="8"/>
  <c r="P41" i="8"/>
  <c r="P47" i="8" s="1"/>
  <c r="K41" i="8"/>
  <c r="U37" i="8"/>
  <c r="M35" i="8"/>
  <c r="T32" i="8"/>
  <c r="R32" i="8"/>
  <c r="Q32" i="8"/>
  <c r="J32" i="8"/>
  <c r="I32" i="8"/>
  <c r="H32" i="8"/>
  <c r="G32" i="8"/>
  <c r="F32" i="8"/>
  <c r="E32" i="8"/>
  <c r="D32" i="8"/>
  <c r="C32" i="8"/>
  <c r="P31" i="8"/>
  <c r="K31" i="8"/>
  <c r="J31" i="8"/>
  <c r="I31" i="8"/>
  <c r="H31" i="8"/>
  <c r="U31" i="8" s="1"/>
  <c r="G31" i="8"/>
  <c r="F31" i="8"/>
  <c r="E31" i="8"/>
  <c r="D31" i="8"/>
  <c r="C31" i="8"/>
  <c r="K30" i="8"/>
  <c r="J30" i="8"/>
  <c r="I30" i="8"/>
  <c r="H30" i="8"/>
  <c r="G30" i="8"/>
  <c r="F30" i="8"/>
  <c r="M30" i="8" s="1"/>
  <c r="E30" i="8"/>
  <c r="D30" i="8"/>
  <c r="C30" i="8"/>
  <c r="K29" i="8"/>
  <c r="K43" i="8" s="1"/>
  <c r="J29" i="8"/>
  <c r="I29" i="8"/>
  <c r="O29" i="8" s="1"/>
  <c r="H29" i="8"/>
  <c r="G29" i="8"/>
  <c r="U29" i="8" s="1"/>
  <c r="F29" i="8"/>
  <c r="E29" i="8"/>
  <c r="D29" i="8"/>
  <c r="C29" i="8"/>
  <c r="K28" i="8"/>
  <c r="K42" i="8" s="1"/>
  <c r="J28" i="8"/>
  <c r="I28" i="8"/>
  <c r="P28" i="8" s="1"/>
  <c r="H28" i="8"/>
  <c r="G28" i="8"/>
  <c r="F28" i="8"/>
  <c r="E28" i="8"/>
  <c r="D28" i="8"/>
  <c r="C28" i="8"/>
  <c r="U27" i="8"/>
  <c r="U41" i="8" s="1"/>
  <c r="P27" i="8"/>
  <c r="N27" i="8"/>
  <c r="K27" i="8"/>
  <c r="J27" i="8"/>
  <c r="I27" i="8"/>
  <c r="H27" i="8"/>
  <c r="G27" i="8"/>
  <c r="F27" i="8"/>
  <c r="O27" i="8" s="1"/>
  <c r="O41" i="8" s="1"/>
  <c r="E27" i="8"/>
  <c r="D27" i="8"/>
  <c r="C27" i="8"/>
  <c r="G24" i="8"/>
  <c r="C24" i="8"/>
  <c r="C23" i="8"/>
  <c r="AC49" i="7"/>
  <c r="AA49" i="7"/>
  <c r="AA47" i="7"/>
  <c r="AF46" i="7"/>
  <c r="AA46" i="7"/>
  <c r="AA45" i="7"/>
  <c r="AA44" i="7"/>
  <c r="AL39" i="7"/>
  <c r="AK39" i="7"/>
  <c r="AC37" i="7"/>
  <c r="AJ34" i="7"/>
  <c r="AH34" i="7"/>
  <c r="AG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C34" i="7" s="1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AL33" i="7" s="1"/>
  <c r="C33" i="7"/>
  <c r="AE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AK32" i="7" s="1"/>
  <c r="G32" i="7"/>
  <c r="F32" i="7"/>
  <c r="E32" i="7"/>
  <c r="AF32" i="7" s="1"/>
  <c r="D32" i="7"/>
  <c r="AL32" i="7" s="1"/>
  <c r="C32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AF31" i="7" s="1"/>
  <c r="L31" i="7"/>
  <c r="K31" i="7"/>
  <c r="J31" i="7"/>
  <c r="I31" i="7"/>
  <c r="H31" i="7"/>
  <c r="G31" i="7"/>
  <c r="AK31" i="7" s="1"/>
  <c r="F31" i="7"/>
  <c r="AE31" i="7" s="1"/>
  <c r="E31" i="7"/>
  <c r="D31" i="7"/>
  <c r="C31" i="7"/>
  <c r="AC31" i="7" s="1"/>
  <c r="AK44" i="7" s="1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AF30" i="7" s="1"/>
  <c r="L30" i="7"/>
  <c r="K30" i="7"/>
  <c r="AK30" i="7" s="1"/>
  <c r="J30" i="7"/>
  <c r="I30" i="7"/>
  <c r="H30" i="7"/>
  <c r="G30" i="7"/>
  <c r="F30" i="7"/>
  <c r="AE30" i="7" s="1"/>
  <c r="E30" i="7"/>
  <c r="D30" i="7"/>
  <c r="C30" i="7"/>
  <c r="AK29" i="7"/>
  <c r="AE29" i="7"/>
  <c r="AA29" i="7"/>
  <c r="AA43" i="7" s="1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AF29" i="7" s="1"/>
  <c r="AF43" i="7" s="1"/>
  <c r="D29" i="7"/>
  <c r="C29" i="7"/>
  <c r="W26" i="7"/>
  <c r="S26" i="7"/>
  <c r="O26" i="7"/>
  <c r="K26" i="7"/>
  <c r="G26" i="7"/>
  <c r="C26" i="7"/>
  <c r="S25" i="7"/>
  <c r="K25" i="7"/>
  <c r="C25" i="7"/>
  <c r="AA52" i="6"/>
  <c r="AC44" i="6"/>
  <c r="AI41" i="6"/>
  <c r="F41" i="6"/>
  <c r="E41" i="6"/>
  <c r="D41" i="6"/>
  <c r="C41" i="6"/>
  <c r="AF40" i="6"/>
  <c r="AE40" i="6"/>
  <c r="AD40" i="6"/>
  <c r="F40" i="6"/>
  <c r="E40" i="6"/>
  <c r="D40" i="6"/>
  <c r="C40" i="6"/>
  <c r="AC40" i="6" s="1"/>
  <c r="AD39" i="6"/>
  <c r="AA39" i="6"/>
  <c r="AA53" i="6" s="1"/>
  <c r="F39" i="6"/>
  <c r="E39" i="6"/>
  <c r="AF39" i="6" s="1"/>
  <c r="D39" i="6"/>
  <c r="C39" i="6"/>
  <c r="AD38" i="6"/>
  <c r="AA38" i="6"/>
  <c r="F38" i="6"/>
  <c r="AE38" i="6" s="1"/>
  <c r="E38" i="6"/>
  <c r="AF38" i="6" s="1"/>
  <c r="AF52" i="6" s="1"/>
  <c r="D38" i="6"/>
  <c r="C38" i="6"/>
  <c r="AF37" i="6"/>
  <c r="AA37" i="6"/>
  <c r="AA51" i="6" s="1"/>
  <c r="F37" i="6"/>
  <c r="E37" i="6"/>
  <c r="D37" i="6"/>
  <c r="C37" i="6"/>
  <c r="AF36" i="6"/>
  <c r="AE36" i="6"/>
  <c r="AD36" i="6"/>
  <c r="AA36" i="6"/>
  <c r="AA50" i="6" s="1"/>
  <c r="F36" i="6"/>
  <c r="E36" i="6"/>
  <c r="D36" i="6"/>
  <c r="C36" i="6"/>
  <c r="AC36" i="6" s="1"/>
  <c r="M58" i="5"/>
  <c r="Q57" i="5"/>
  <c r="Q56" i="5"/>
  <c r="K56" i="5"/>
  <c r="O55" i="5"/>
  <c r="Q54" i="5"/>
  <c r="Q53" i="5"/>
  <c r="P53" i="5"/>
  <c r="K53" i="5"/>
  <c r="Q48" i="5"/>
  <c r="U43" i="5"/>
  <c r="T43" i="5"/>
  <c r="S43" i="5"/>
  <c r="R43" i="5"/>
  <c r="Q42" i="5"/>
  <c r="M42" i="5"/>
  <c r="K42" i="5"/>
  <c r="F42" i="5"/>
  <c r="P42" i="5" s="1"/>
  <c r="P56" i="5" s="1"/>
  <c r="E42" i="5"/>
  <c r="D42" i="5"/>
  <c r="C42" i="5"/>
  <c r="Q41" i="5"/>
  <c r="Q55" i="5" s="1"/>
  <c r="K41" i="5"/>
  <c r="K55" i="5" s="1"/>
  <c r="F41" i="5"/>
  <c r="O41" i="5" s="1"/>
  <c r="E41" i="5"/>
  <c r="D41" i="5"/>
  <c r="C41" i="5"/>
  <c r="C43" i="5" s="1"/>
  <c r="Q40" i="5"/>
  <c r="P40" i="5"/>
  <c r="P54" i="5" s="1"/>
  <c r="O40" i="5"/>
  <c r="N40" i="5"/>
  <c r="N54" i="5" s="1"/>
  <c r="K40" i="5"/>
  <c r="K54" i="5" s="1"/>
  <c r="F40" i="5"/>
  <c r="E40" i="5"/>
  <c r="D40" i="5"/>
  <c r="M40" i="5" s="1"/>
  <c r="C40" i="5"/>
  <c r="Q39" i="5"/>
  <c r="P39" i="5"/>
  <c r="N39" i="5"/>
  <c r="M39" i="5"/>
  <c r="K39" i="5"/>
  <c r="F39" i="5"/>
  <c r="E39" i="5"/>
  <c r="O39" i="5" s="1"/>
  <c r="D39" i="5"/>
  <c r="C39" i="5"/>
  <c r="Q38" i="5"/>
  <c r="Q43" i="5" s="1"/>
  <c r="K38" i="5"/>
  <c r="K52" i="5" s="1"/>
  <c r="F38" i="5"/>
  <c r="E38" i="5"/>
  <c r="E43" i="5" s="1"/>
  <c r="D38" i="5"/>
  <c r="C38" i="5"/>
  <c r="M48" i="4"/>
  <c r="K46" i="4"/>
  <c r="O43" i="4"/>
  <c r="M36" i="4"/>
  <c r="U33" i="4"/>
  <c r="T33" i="4"/>
  <c r="S33" i="4"/>
  <c r="R33" i="4"/>
  <c r="M33" i="4"/>
  <c r="J33" i="4"/>
  <c r="I33" i="4"/>
  <c r="H33" i="4"/>
  <c r="G33" i="4"/>
  <c r="F33" i="4"/>
  <c r="E33" i="4"/>
  <c r="D33" i="4"/>
  <c r="C33" i="4"/>
  <c r="P32" i="4"/>
  <c r="P46" i="4" s="1"/>
  <c r="N32" i="4"/>
  <c r="M32" i="4"/>
  <c r="K32" i="4"/>
  <c r="J32" i="4"/>
  <c r="I32" i="4"/>
  <c r="H32" i="4"/>
  <c r="G32" i="4"/>
  <c r="F32" i="4"/>
  <c r="E32" i="4"/>
  <c r="D32" i="4"/>
  <c r="C32" i="4"/>
  <c r="K31" i="4"/>
  <c r="K45" i="4" s="1"/>
  <c r="J31" i="4"/>
  <c r="I31" i="4"/>
  <c r="O31" i="4" s="1"/>
  <c r="O45" i="4" s="1"/>
  <c r="H31" i="4"/>
  <c r="G31" i="4"/>
  <c r="F31" i="4"/>
  <c r="E31" i="4"/>
  <c r="D31" i="4"/>
  <c r="C31" i="4"/>
  <c r="O30" i="4"/>
  <c r="O44" i="4" s="1"/>
  <c r="K30" i="4"/>
  <c r="K44" i="4" s="1"/>
  <c r="J30" i="4"/>
  <c r="I30" i="4"/>
  <c r="H30" i="4"/>
  <c r="G30" i="4"/>
  <c r="F30" i="4"/>
  <c r="E30" i="4"/>
  <c r="P30" i="4" s="1"/>
  <c r="D30" i="4"/>
  <c r="C30" i="4"/>
  <c r="N30" i="4" s="1"/>
  <c r="P29" i="4"/>
  <c r="K29" i="4"/>
  <c r="K43" i="4" s="1"/>
  <c r="J29" i="4"/>
  <c r="I29" i="4"/>
  <c r="H29" i="4"/>
  <c r="G29" i="4"/>
  <c r="F29" i="4"/>
  <c r="E29" i="4"/>
  <c r="O29" i="4" s="1"/>
  <c r="D29" i="4"/>
  <c r="C29" i="4"/>
  <c r="N29" i="4" s="1"/>
  <c r="N28" i="4"/>
  <c r="N42" i="4" s="1"/>
  <c r="N48" i="4" s="1"/>
  <c r="M28" i="4"/>
  <c r="K28" i="4"/>
  <c r="K42" i="4" s="1"/>
  <c r="J28" i="4"/>
  <c r="I28" i="4"/>
  <c r="H28" i="4"/>
  <c r="G28" i="4"/>
  <c r="F28" i="4"/>
  <c r="E28" i="4"/>
  <c r="P28" i="4" s="1"/>
  <c r="P42" i="4" s="1"/>
  <c r="P48" i="4" s="1"/>
  <c r="D28" i="4"/>
  <c r="C28" i="4"/>
  <c r="G25" i="4"/>
  <c r="C25" i="4"/>
  <c r="C24" i="4"/>
  <c r="AG57" i="3"/>
  <c r="AG56" i="3"/>
  <c r="AA56" i="3"/>
  <c r="AG55" i="3"/>
  <c r="AD55" i="3"/>
  <c r="AA55" i="3"/>
  <c r="AG54" i="3"/>
  <c r="AA54" i="3"/>
  <c r="AG53" i="3"/>
  <c r="AA53" i="3"/>
  <c r="AG49" i="3"/>
  <c r="AC47" i="3"/>
  <c r="AK44" i="3"/>
  <c r="AJ44" i="3"/>
  <c r="AI44" i="3"/>
  <c r="AH44" i="3"/>
  <c r="AG44" i="3"/>
  <c r="AG58" i="3" s="1"/>
  <c r="F44" i="3"/>
  <c r="E44" i="3"/>
  <c r="D44" i="3"/>
  <c r="C44" i="3"/>
  <c r="AF43" i="3"/>
  <c r="AF57" i="3" s="1"/>
  <c r="AD43" i="3"/>
  <c r="AD57" i="3" s="1"/>
  <c r="AC43" i="3"/>
  <c r="AA43" i="3"/>
  <c r="AA57" i="3" s="1"/>
  <c r="F43" i="3"/>
  <c r="E43" i="3"/>
  <c r="AE43" i="3" s="1"/>
  <c r="AE57" i="3" s="1"/>
  <c r="D43" i="3"/>
  <c r="C43" i="3"/>
  <c r="AA42" i="3"/>
  <c r="F42" i="3"/>
  <c r="E42" i="3"/>
  <c r="AE42" i="3" s="1"/>
  <c r="D42" i="3"/>
  <c r="AC42" i="3" s="1"/>
  <c r="C42" i="3"/>
  <c r="AC41" i="3"/>
  <c r="AA41" i="3"/>
  <c r="F41" i="3"/>
  <c r="E41" i="3"/>
  <c r="D41" i="3"/>
  <c r="C41" i="3"/>
  <c r="AD41" i="3" s="1"/>
  <c r="AE40" i="3"/>
  <c r="AA40" i="3"/>
  <c r="F40" i="3"/>
  <c r="E40" i="3"/>
  <c r="AF40" i="3" s="1"/>
  <c r="D40" i="3"/>
  <c r="C40" i="3"/>
  <c r="AF39" i="3"/>
  <c r="AF53" i="3" s="1"/>
  <c r="AD39" i="3"/>
  <c r="AC39" i="3"/>
  <c r="AA39" i="3"/>
  <c r="F39" i="3"/>
  <c r="E39" i="3"/>
  <c r="AE39" i="3" s="1"/>
  <c r="D39" i="3"/>
  <c r="C39" i="3"/>
  <c r="AG61" i="2"/>
  <c r="AG60" i="2"/>
  <c r="AA60" i="2"/>
  <c r="AG59" i="2"/>
  <c r="AA59" i="2"/>
  <c r="AG58" i="2"/>
  <c r="AA58" i="2"/>
  <c r="AG57" i="2"/>
  <c r="AA57" i="2"/>
  <c r="AG56" i="2"/>
  <c r="AA56" i="2"/>
  <c r="AG52" i="2"/>
  <c r="AC49" i="2"/>
  <c r="AK46" i="2"/>
  <c r="AJ46" i="2"/>
  <c r="AI46" i="2"/>
  <c r="AH46" i="2"/>
  <c r="AF45" i="2"/>
  <c r="AE45" i="2"/>
  <c r="AE60" i="2" s="1"/>
  <c r="AD45" i="2"/>
  <c r="AD60" i="2" s="1"/>
  <c r="F45" i="2"/>
  <c r="E45" i="2"/>
  <c r="D45" i="2"/>
  <c r="C45" i="2"/>
  <c r="AC45" i="2" s="1"/>
  <c r="F44" i="2"/>
  <c r="E44" i="2"/>
  <c r="AF44" i="2" s="1"/>
  <c r="D44" i="2"/>
  <c r="C44" i="2"/>
  <c r="F43" i="2"/>
  <c r="E43" i="2"/>
  <c r="AC43" i="2" s="1"/>
  <c r="D43" i="2"/>
  <c r="C43" i="2"/>
  <c r="AF42" i="2"/>
  <c r="AE42" i="2"/>
  <c r="F42" i="2"/>
  <c r="E42" i="2"/>
  <c r="D42" i="2"/>
  <c r="C42" i="2"/>
  <c r="AC42" i="2" s="1"/>
  <c r="AD41" i="2"/>
  <c r="F41" i="2"/>
  <c r="F46" i="2" s="1"/>
  <c r="E41" i="2"/>
  <c r="AF41" i="2" s="1"/>
  <c r="D41" i="2"/>
  <c r="D46" i="2" s="1"/>
  <c r="C41" i="2"/>
  <c r="AR49" i="1"/>
  <c r="AR47" i="1"/>
  <c r="AM47" i="1"/>
  <c r="AR46" i="1"/>
  <c r="AM46" i="1"/>
  <c r="AR45" i="1"/>
  <c r="AM45" i="1"/>
  <c r="AR44" i="1"/>
  <c r="AM44" i="1"/>
  <c r="AO38" i="1"/>
  <c r="AX35" i="1"/>
  <c r="AV35" i="1"/>
  <c r="AU35" i="1"/>
  <c r="AT35" i="1"/>
  <c r="AS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Y35" i="1" s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AY34" i="1" s="1"/>
  <c r="E34" i="1"/>
  <c r="D34" i="1"/>
  <c r="C34" i="1"/>
  <c r="AP34" i="1" s="1"/>
  <c r="AY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AR33" i="1" s="1"/>
  <c r="H33" i="1"/>
  <c r="G33" i="1"/>
  <c r="F33" i="1"/>
  <c r="E33" i="1"/>
  <c r="AQ33" i="1" s="1"/>
  <c r="D33" i="1"/>
  <c r="C33" i="1"/>
  <c r="AP33" i="1" s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AO32" i="1" s="1"/>
  <c r="G32" i="1"/>
  <c r="F32" i="1"/>
  <c r="E32" i="1"/>
  <c r="AQ32" i="1" s="1"/>
  <c r="D32" i="1"/>
  <c r="C32" i="1"/>
  <c r="AX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AY31" i="1" s="1"/>
  <c r="K31" i="1"/>
  <c r="J31" i="1"/>
  <c r="I31" i="1"/>
  <c r="AR31" i="1" s="1"/>
  <c r="H31" i="1"/>
  <c r="G31" i="1"/>
  <c r="F31" i="1"/>
  <c r="E31" i="1"/>
  <c r="D31" i="1"/>
  <c r="C31" i="1"/>
  <c r="AQ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AY30" i="1" s="1"/>
  <c r="E30" i="1"/>
  <c r="AX30" i="1" s="1"/>
  <c r="D30" i="1"/>
  <c r="C30" i="1"/>
  <c r="AI27" i="1"/>
  <c r="AE27" i="1"/>
  <c r="AA27" i="1"/>
  <c r="W27" i="1"/>
  <c r="S27" i="1"/>
  <c r="O27" i="1"/>
  <c r="K27" i="1"/>
  <c r="G27" i="1"/>
  <c r="C27" i="1"/>
  <c r="AA26" i="1"/>
  <c r="O26" i="1"/>
  <c r="C26" i="1"/>
  <c r="AM18" i="1"/>
  <c r="AM17" i="1"/>
  <c r="AM16" i="1"/>
  <c r="AM15" i="1"/>
  <c r="AM14" i="1"/>
  <c r="AM13" i="1"/>
  <c r="AE44" i="7" l="1"/>
  <c r="AE45" i="7"/>
  <c r="H16" i="13"/>
  <c r="H16" i="12"/>
  <c r="U45" i="8"/>
  <c r="P44" i="4"/>
  <c r="P43" i="4"/>
  <c r="Z107" i="9"/>
  <c r="AB107" i="9"/>
  <c r="AE56" i="3"/>
  <c r="AP47" i="1"/>
  <c r="O42" i="8"/>
  <c r="O43" i="8"/>
  <c r="AQ46" i="1"/>
  <c r="AO33" i="1"/>
  <c r="AQ47" i="1" s="1"/>
  <c r="AC29" i="7"/>
  <c r="AL29" i="7"/>
  <c r="AK45" i="7"/>
  <c r="AC32" i="7"/>
  <c r="AL46" i="7" s="1"/>
  <c r="N29" i="8"/>
  <c r="AP30" i="1"/>
  <c r="AO30" i="1"/>
  <c r="AX33" i="1"/>
  <c r="AD40" i="3"/>
  <c r="AC40" i="3"/>
  <c r="N42" i="5"/>
  <c r="P43" i="5"/>
  <c r="P57" i="5" s="1"/>
  <c r="N53" i="5"/>
  <c r="AE41" i="6"/>
  <c r="AD29" i="7"/>
  <c r="AD32" i="7"/>
  <c r="U30" i="8"/>
  <c r="U44" i="8" s="1"/>
  <c r="U38" i="10"/>
  <c r="D60" i="11"/>
  <c r="F10" i="11"/>
  <c r="D10" i="11"/>
  <c r="AR30" i="1"/>
  <c r="AO34" i="1"/>
  <c r="AD56" i="2"/>
  <c r="AD46" i="2"/>
  <c r="M29" i="4"/>
  <c r="O37" i="4" s="1"/>
  <c r="M30" i="4"/>
  <c r="K37" i="4" s="1"/>
  <c r="K48" i="4" s="1"/>
  <c r="N31" i="4"/>
  <c r="N46" i="4"/>
  <c r="O53" i="5"/>
  <c r="O54" i="5"/>
  <c r="O42" i="5"/>
  <c r="AD37" i="6"/>
  <c r="AC37" i="6"/>
  <c r="AC39" i="6"/>
  <c r="AD53" i="6" s="1"/>
  <c r="AK43" i="7"/>
  <c r="C94" i="9"/>
  <c r="AQ34" i="1"/>
  <c r="AE41" i="2"/>
  <c r="M38" i="5"/>
  <c r="P47" i="5" s="1"/>
  <c r="W58" i="9"/>
  <c r="AP31" i="1"/>
  <c r="AO31" i="1"/>
  <c r="AX34" i="1"/>
  <c r="AR34" i="1"/>
  <c r="AC44" i="2"/>
  <c r="AG62" i="2" s="1"/>
  <c r="AF60" i="2"/>
  <c r="O28" i="4"/>
  <c r="O42" i="4" s="1"/>
  <c r="AE37" i="6"/>
  <c r="AF53" i="6"/>
  <c r="AL30" i="7"/>
  <c r="Z89" i="9"/>
  <c r="Y89" i="9"/>
  <c r="Y91" i="9"/>
  <c r="Y92" i="9"/>
  <c r="AA107" i="9" s="1"/>
  <c r="G60" i="11"/>
  <c r="F60" i="11" s="1"/>
  <c r="U42" i="8"/>
  <c r="AF33" i="7"/>
  <c r="AF47" i="7" s="1"/>
  <c r="N28" i="8"/>
  <c r="N32" i="8" s="1"/>
  <c r="N46" i="8" s="1"/>
  <c r="M29" i="8"/>
  <c r="N31" i="8"/>
  <c r="M31" i="8"/>
  <c r="U43" i="8"/>
  <c r="U40" i="10"/>
  <c r="AF43" i="2"/>
  <c r="AE43" i="2"/>
  <c r="AD43" i="2"/>
  <c r="AE43" i="7"/>
  <c r="AC33" i="7"/>
  <c r="AL47" i="7" s="1"/>
  <c r="AQ31" i="1"/>
  <c r="P38" i="5"/>
  <c r="P52" i="5" s="1"/>
  <c r="P58" i="5" s="1"/>
  <c r="F43" i="5"/>
  <c r="M47" i="5"/>
  <c r="AD54" i="3"/>
  <c r="AF41" i="6"/>
  <c r="AF50" i="6"/>
  <c r="O28" i="8"/>
  <c r="O32" i="8" s="1"/>
  <c r="AB104" i="9"/>
  <c r="W40" i="10"/>
  <c r="D19" i="11"/>
  <c r="E22" i="11"/>
  <c r="M31" i="4"/>
  <c r="N41" i="5"/>
  <c r="N55" i="5" s="1"/>
  <c r="M41" i="5"/>
  <c r="K47" i="5" s="1"/>
  <c r="K58" i="5" s="1"/>
  <c r="AD30" i="7"/>
  <c r="M27" i="8"/>
  <c r="M32" i="8" s="1"/>
  <c r="N41" i="8"/>
  <c r="N47" i="8" s="1"/>
  <c r="AP32" i="1"/>
  <c r="AP46" i="1" s="1"/>
  <c r="AD42" i="2"/>
  <c r="AD44" i="2"/>
  <c r="AF42" i="3"/>
  <c r="AE53" i="3"/>
  <c r="N38" i="5"/>
  <c r="N52" i="5" s="1"/>
  <c r="N58" i="5" s="1"/>
  <c r="D43" i="5"/>
  <c r="M43" i="5" s="1"/>
  <c r="AC38" i="6"/>
  <c r="AC41" i="6" s="1"/>
  <c r="AE39" i="6"/>
  <c r="AK33" i="7"/>
  <c r="AK47" i="7" s="1"/>
  <c r="U28" i="8"/>
  <c r="N30" i="8"/>
  <c r="N44" i="8" s="1"/>
  <c r="O31" i="8"/>
  <c r="O45" i="8" s="1"/>
  <c r="O47" i="8" s="1"/>
  <c r="W28" i="9"/>
  <c r="Z93" i="9"/>
  <c r="Y93" i="9"/>
  <c r="V36" i="10"/>
  <c r="C41" i="10"/>
  <c r="U37" i="10"/>
  <c r="U41" i="10" s="1"/>
  <c r="V39" i="10"/>
  <c r="F41" i="10"/>
  <c r="G21" i="12"/>
  <c r="AQ35" i="1"/>
  <c r="E46" i="2"/>
  <c r="AF56" i="2"/>
  <c r="AD42" i="3"/>
  <c r="AD56" i="3" s="1"/>
  <c r="O32" i="4"/>
  <c r="AX32" i="1"/>
  <c r="AR32" i="1"/>
  <c r="AE44" i="2"/>
  <c r="AE59" i="2" s="1"/>
  <c r="AF48" i="3"/>
  <c r="AF59" i="3" s="1"/>
  <c r="AE48" i="3"/>
  <c r="AE59" i="3" s="1"/>
  <c r="AD48" i="3"/>
  <c r="AD59" i="3" s="1"/>
  <c r="AC44" i="3"/>
  <c r="AC48" i="3"/>
  <c r="AF41" i="3"/>
  <c r="AF44" i="3" s="1"/>
  <c r="AF58" i="3" s="1"/>
  <c r="AE41" i="3"/>
  <c r="AE44" i="3" s="1"/>
  <c r="AE58" i="3" s="1"/>
  <c r="O38" i="5"/>
  <c r="O52" i="5" s="1"/>
  <c r="AF34" i="7"/>
  <c r="AB103" i="9"/>
  <c r="AB94" i="9"/>
  <c r="Z91" i="9"/>
  <c r="Z106" i="9" s="1"/>
  <c r="D41" i="10"/>
  <c r="N47" i="5"/>
  <c r="P31" i="4"/>
  <c r="P45" i="4" s="1"/>
  <c r="AD31" i="7"/>
  <c r="AF44" i="7" s="1"/>
  <c r="AL31" i="7"/>
  <c r="AY32" i="1"/>
  <c r="C46" i="2"/>
  <c r="AD53" i="3"/>
  <c r="AD44" i="3"/>
  <c r="AD58" i="3" s="1"/>
  <c r="P41" i="5"/>
  <c r="P55" i="5" s="1"/>
  <c r="Q52" i="5"/>
  <c r="Q58" i="5" s="1"/>
  <c r="M28" i="8"/>
  <c r="P30" i="8"/>
  <c r="P44" i="8" s="1"/>
  <c r="O30" i="8"/>
  <c r="O44" i="8" s="1"/>
  <c r="Y90" i="9"/>
  <c r="Z104" i="9" s="1"/>
  <c r="AA91" i="9"/>
  <c r="AA106" i="9" s="1"/>
  <c r="AA93" i="9"/>
  <c r="AA108" i="9" s="1"/>
  <c r="E41" i="10"/>
  <c r="X36" i="10"/>
  <c r="X41" i="10" s="1"/>
  <c r="X39" i="10"/>
  <c r="W39" i="10"/>
  <c r="W41" i="10" s="1"/>
  <c r="C22" i="11"/>
  <c r="F22" i="11" s="1"/>
  <c r="D75" i="11"/>
  <c r="P29" i="8"/>
  <c r="AA90" i="9"/>
  <c r="U39" i="10"/>
  <c r="AD33" i="7"/>
  <c r="AD47" i="7" s="1"/>
  <c r="AE33" i="7"/>
  <c r="AE47" i="7" s="1"/>
  <c r="D57" i="11"/>
  <c r="AC30" i="7"/>
  <c r="AA89" i="9"/>
  <c r="AC41" i="2"/>
  <c r="AO39" i="1" l="1"/>
  <c r="H15" i="12"/>
  <c r="H15" i="13"/>
  <c r="H19" i="12"/>
  <c r="H19" i="13"/>
  <c r="H12" i="13"/>
  <c r="H12" i="12"/>
  <c r="AE53" i="6"/>
  <c r="O46" i="8"/>
  <c r="AE34" i="7"/>
  <c r="AE48" i="7" s="1"/>
  <c r="AK34" i="7"/>
  <c r="AK48" i="7" s="1"/>
  <c r="AD46" i="7"/>
  <c r="N42" i="8"/>
  <c r="N43" i="8"/>
  <c r="P37" i="4"/>
  <c r="AK46" i="7"/>
  <c r="AA103" i="9"/>
  <c r="AA94" i="9"/>
  <c r="AF54" i="6"/>
  <c r="AL34" i="7"/>
  <c r="AL48" i="7" s="1"/>
  <c r="AL43" i="7"/>
  <c r="V41" i="10"/>
  <c r="AL44" i="7"/>
  <c r="AL45" i="7"/>
  <c r="AD43" i="7"/>
  <c r="AD34" i="7"/>
  <c r="AD48" i="7" s="1"/>
  <c r="AE52" i="6"/>
  <c r="AD51" i="6"/>
  <c r="AF51" i="6"/>
  <c r="AD50" i="6"/>
  <c r="AA105" i="9"/>
  <c r="AA104" i="9"/>
  <c r="P43" i="8"/>
  <c r="P42" i="8"/>
  <c r="Q47" i="5"/>
  <c r="Z108" i="9"/>
  <c r="AF56" i="3"/>
  <c r="AB106" i="9"/>
  <c r="Z94" i="9"/>
  <c r="Z103" i="9"/>
  <c r="AG48" i="3"/>
  <c r="AG59" i="3" s="1"/>
  <c r="AA48" i="3"/>
  <c r="AA59" i="3" s="1"/>
  <c r="N37" i="4"/>
  <c r="AE58" i="2"/>
  <c r="AE57" i="2"/>
  <c r="AF57" i="2"/>
  <c r="AF58" i="2"/>
  <c r="M37" i="4"/>
  <c r="AD41" i="6"/>
  <c r="AD54" i="6" s="1"/>
  <c r="N43" i="4"/>
  <c r="AF59" i="2"/>
  <c r="AD59" i="2"/>
  <c r="AE46" i="7"/>
  <c r="AE46" i="2"/>
  <c r="AE56" i="2"/>
  <c r="S45" i="10"/>
  <c r="P32" i="8"/>
  <c r="P46" i="8" s="1"/>
  <c r="AP45" i="1"/>
  <c r="AP44" i="1"/>
  <c r="N44" i="4"/>
  <c r="AF55" i="3"/>
  <c r="AF54" i="3"/>
  <c r="D22" i="11"/>
  <c r="AQ45" i="1"/>
  <c r="AQ44" i="1"/>
  <c r="P36" i="8"/>
  <c r="O36" i="8"/>
  <c r="N36" i="8"/>
  <c r="M36" i="8"/>
  <c r="U36" i="8"/>
  <c r="K36" i="8"/>
  <c r="K47" i="8" s="1"/>
  <c r="P33" i="4"/>
  <c r="P47" i="4" s="1"/>
  <c r="AB108" i="9"/>
  <c r="AF46" i="2"/>
  <c r="AF61" i="2" s="1"/>
  <c r="AP35" i="1"/>
  <c r="H17" i="12"/>
  <c r="H17" i="13"/>
  <c r="AD45" i="7"/>
  <c r="AD44" i="7"/>
  <c r="AR35" i="1"/>
  <c r="O33" i="4"/>
  <c r="O47" i="4" s="1"/>
  <c r="O46" i="4"/>
  <c r="O48" i="4" s="1"/>
  <c r="AE54" i="3"/>
  <c r="AE55" i="3"/>
  <c r="AF45" i="7"/>
  <c r="AK38" i="7"/>
  <c r="AC38" i="7"/>
  <c r="AL38" i="7"/>
  <c r="AF38" i="7"/>
  <c r="AF49" i="7" s="1"/>
  <c r="AE38" i="7"/>
  <c r="AE49" i="7" s="1"/>
  <c r="AD38" i="7"/>
  <c r="AD49" i="7" s="1"/>
  <c r="N45" i="8"/>
  <c r="P45" i="8"/>
  <c r="AE50" i="6"/>
  <c r="AE51" i="6"/>
  <c r="AD52" i="6"/>
  <c r="Z105" i="9"/>
  <c r="AD58" i="2"/>
  <c r="AD57" i="2"/>
  <c r="AE54" i="6"/>
  <c r="AD45" i="6"/>
  <c r="AF45" i="6"/>
  <c r="AE45" i="6"/>
  <c r="AC45" i="6"/>
  <c r="AA45" i="6"/>
  <c r="AA55" i="6" s="1"/>
  <c r="AB98" i="9"/>
  <c r="Y98" i="9"/>
  <c r="Y94" i="9"/>
  <c r="AA98" i="9"/>
  <c r="Z98" i="9"/>
  <c r="W98" i="9"/>
  <c r="W109" i="9" s="1"/>
  <c r="O56" i="5"/>
  <c r="O58" i="5" s="1"/>
  <c r="O43" i="5"/>
  <c r="O57" i="5" s="1"/>
  <c r="N56" i="5"/>
  <c r="N43" i="5"/>
  <c r="N57" i="5" s="1"/>
  <c r="AD50" i="2"/>
  <c r="AD62" i="2" s="1"/>
  <c r="AF50" i="2"/>
  <c r="AF62" i="2" s="1"/>
  <c r="AC46" i="2"/>
  <c r="AD61" i="2" s="1"/>
  <c r="AA50" i="2"/>
  <c r="AA62" i="2" s="1"/>
  <c r="AE50" i="2"/>
  <c r="AE62" i="2" s="1"/>
  <c r="AC50" i="2"/>
  <c r="H11" i="12"/>
  <c r="H11" i="13"/>
  <c r="AQ48" i="1"/>
  <c r="U32" i="8"/>
  <c r="U46" i="8" s="1"/>
  <c r="O47" i="5"/>
  <c r="N45" i="4"/>
  <c r="N33" i="4"/>
  <c r="N47" i="4" s="1"/>
  <c r="AR39" i="1"/>
  <c r="AQ39" i="1"/>
  <c r="AQ49" i="1" s="1"/>
  <c r="AO35" i="1"/>
  <c r="AM39" i="1" s="1"/>
  <c r="AM49" i="1" s="1"/>
  <c r="AF55" i="6" l="1"/>
  <c r="AB109" i="9"/>
  <c r="AD55" i="6"/>
  <c r="AL49" i="7"/>
  <c r="AE61" i="2"/>
  <c r="Z109" i="9"/>
  <c r="AA109" i="9"/>
  <c r="AK49" i="7"/>
  <c r="AP48" i="1"/>
  <c r="AR48" i="1"/>
  <c r="AF48" i="7"/>
  <c r="H9" i="12"/>
  <c r="H9" i="13"/>
  <c r="AE55" i="6"/>
  <c r="H8" i="12"/>
  <c r="H8" i="13"/>
  <c r="H18" i="12"/>
  <c r="H18" i="13"/>
  <c r="H20" i="13"/>
  <c r="J20" i="13" s="1"/>
  <c r="AP39" i="1"/>
  <c r="AP49" i="1" s="1"/>
  <c r="Y109" i="9"/>
  <c r="H20" i="12"/>
  <c r="J20" i="12" s="1"/>
  <c r="H14" i="13" l="1"/>
  <c r="J14" i="13" s="1"/>
  <c r="H21" i="12"/>
  <c r="H14" i="12"/>
  <c r="J14" i="12" s="1"/>
  <c r="H21" i="13" l="1"/>
</calcChain>
</file>

<file path=xl/sharedStrings.xml><?xml version="1.0" encoding="utf-8"?>
<sst xmlns="http://schemas.openxmlformats.org/spreadsheetml/2006/main" count="1562" uniqueCount="195">
  <si>
    <t>Lieu :</t>
  </si>
  <si>
    <t>La Roche Face Biocoop</t>
  </si>
  <si>
    <t>Date :</t>
  </si>
  <si>
    <t>Nom des personnes participant au comptage :</t>
  </si>
  <si>
    <t>Philippe Poirier</t>
  </si>
  <si>
    <t>Météo :</t>
  </si>
  <si>
    <t>bonne</t>
  </si>
  <si>
    <t>Remarques :</t>
  </si>
  <si>
    <t>PRINCIPE D’UTILISATION : pour chaque intervalle de temps, comptabiliser VAE/vélo dans la colonne H/F</t>
  </si>
  <si>
    <t>Rajouter aussi en bas de la feuille si déplacement vélo sur trottoir et/ou si enfant</t>
  </si>
  <si>
    <t>Comptabiliser en bas de la grille si 2 roues hors vélo qui ne sont pas cochés dans la grille (trottinette, skate, ets)</t>
  </si>
  <si>
    <t>De La Gare (Fg St Bernard) vers</t>
  </si>
  <si>
    <t>Du Pont du Foron vers</t>
  </si>
  <si>
    <t>Du Rd Point La Poste vers</t>
  </si>
  <si>
    <t>Rd Pt Poste</t>
  </si>
  <si>
    <t>Rue Perrine</t>
  </si>
  <si>
    <t>Pont du Foron</t>
  </si>
  <si>
    <t>La Gare</t>
  </si>
  <si>
    <t>H</t>
  </si>
  <si>
    <t>F</t>
  </si>
  <si>
    <t>Période</t>
  </si>
  <si>
    <t>VAE</t>
  </si>
  <si>
    <t>vélo</t>
  </si>
  <si>
    <t>dont Enfant</t>
  </si>
  <si>
    <t>vélo sur trottoir</t>
  </si>
  <si>
    <t>dont Cyclo sportifs</t>
  </si>
  <si>
    <t>hors grille, plus 2 roues hors vélo (trottinette, skate...)</t>
  </si>
  <si>
    <t>TOTAL</t>
  </si>
  <si>
    <t>Nombre de VAE dans le total</t>
  </si>
  <si>
    <t>Nombre de femmes dans le total</t>
  </si>
  <si>
    <t>Nombre de VAE chez les femmes</t>
  </si>
  <si>
    <t>Cycles direc La Gare</t>
  </si>
  <si>
    <t>plus trotinette skate</t>
  </si>
  <si>
    <t>dont enfant</t>
  </si>
  <si>
    <t>dont cyclo</t>
  </si>
  <si>
    <t>6:30 à 7:00</t>
  </si>
  <si>
    <t>7:00 à 7:30</t>
  </si>
  <si>
    <t>7:30 à 8:00</t>
  </si>
  <si>
    <t>8:00 à 8:30</t>
  </si>
  <si>
    <t>8:30 à 9:00</t>
  </si>
  <si>
    <t>H POINTE</t>
  </si>
  <si>
    <t>Total H pointe</t>
  </si>
  <si>
    <t>Part des VAE dans le total</t>
  </si>
  <si>
    <t>Part des femmes dans le total</t>
  </si>
  <si>
    <t>Part des VAE chez les femmes</t>
  </si>
  <si>
    <t>Rond Point La Poste</t>
  </si>
  <si>
    <t>De Bonneville vers</t>
  </si>
  <si>
    <t>De Grenette (contre-sens)</t>
  </si>
  <si>
    <t>De La Base(contre-sens)</t>
  </si>
  <si>
    <t>Grenette</t>
  </si>
  <si>
    <t>Orange</t>
  </si>
  <si>
    <t>La Base</t>
  </si>
  <si>
    <t>J Jaurès (contre sens)</t>
  </si>
  <si>
    <t>Bonneville</t>
  </si>
  <si>
    <t>Place Grenette</t>
  </si>
  <si>
    <t>00 – 15</t>
  </si>
  <si>
    <t>15 – 30</t>
  </si>
  <si>
    <t>De Orange vers</t>
  </si>
  <si>
    <t>De Jean Jaurès MJC vers</t>
  </si>
  <si>
    <t>x</t>
  </si>
  <si>
    <t>33 motos</t>
  </si>
  <si>
    <t>Remarque</t>
  </si>
  <si>
    <t>La Roche Gare/Passage à niveau</t>
  </si>
  <si>
    <t>D’Eteaux vers</t>
  </si>
  <si>
    <t>De av Lucien Rannard vers</t>
  </si>
  <si>
    <t>Av L Rannard</t>
  </si>
  <si>
    <t>Av J Jaurès</t>
  </si>
  <si>
    <t>Gare/av Gare</t>
  </si>
  <si>
    <t>Eteaux</t>
  </si>
  <si>
    <t>De av J Jaurès vers</t>
  </si>
  <si>
    <t>De Gare et av Gare vers</t>
  </si>
  <si>
    <t>Cycles sur route de Reignier</t>
  </si>
  <si>
    <t>8:00 à 8:20</t>
  </si>
  <si>
    <t>La Roche Andrevetan</t>
  </si>
  <si>
    <t>Rue de La Patience</t>
  </si>
  <si>
    <t>Vers La Roche</t>
  </si>
  <si>
    <t>Vers St Pierre</t>
  </si>
  <si>
    <t>Rue Patience/St Sixt</t>
  </si>
  <si>
    <t>De La Roche vers</t>
  </si>
  <si>
    <t>De St Pierre rue Patience vers</t>
  </si>
  <si>
    <t>St Pierre/ Rue Patience</t>
  </si>
  <si>
    <t>St Sixt</t>
  </si>
  <si>
    <t>La Roche</t>
  </si>
  <si>
    <t>De St Sixt vers</t>
  </si>
  <si>
    <t>Rue Patience</t>
  </si>
  <si>
    <t>Jacqueline a utilisé l'autre fiche de comptage</t>
  </si>
  <si>
    <t>Axe St Sixt / La Roche =  8</t>
  </si>
  <si>
    <t>Axe St Sixt / St Pierre =  2</t>
  </si>
  <si>
    <t>Arenthon La Papeterie</t>
  </si>
  <si>
    <t>Rajouter aussi en bas de la feuille si enfant</t>
  </si>
  <si>
    <t>De Arenthon vers</t>
  </si>
  <si>
    <t>TNA</t>
  </si>
  <si>
    <t>Rte Papeterie</t>
  </si>
  <si>
    <t>Arenthon</t>
  </si>
  <si>
    <t>De Rte Papeterie vers</t>
  </si>
  <si>
    <t>De TNA vers</t>
  </si>
  <si>
    <t>St Pierre Franchissement du Borne Dessy</t>
  </si>
  <si>
    <t>SS</t>
  </si>
  <si>
    <t>SOLEIL</t>
  </si>
  <si>
    <t>De Rte Gorges du Borne vers</t>
  </si>
  <si>
    <t>De Avenue des Digues vers</t>
  </si>
  <si>
    <t>De Avenue de Monaz vers</t>
  </si>
  <si>
    <t>Av des Digues</t>
  </si>
  <si>
    <t>Av Monaz</t>
  </si>
  <si>
    <t>Rte Gorges du Borne</t>
  </si>
  <si>
    <t>en jaune, tableau global Yannick</t>
  </si>
  <si>
    <t>Cycles sur rte de Dessy</t>
  </si>
  <si>
    <t>Cycles sur rte des Digues</t>
  </si>
  <si>
    <t>Bonneville Franchissement du Borne Tucinge</t>
  </si>
  <si>
    <t>Pont du Borne</t>
  </si>
  <si>
    <t>Depuis Bonneville</t>
  </si>
  <si>
    <t>Depuis St Pierre</t>
  </si>
  <si>
    <t>classe 28 élèves enlevés dans le tableau final, 14 H et 14 F</t>
  </si>
  <si>
    <t>28 enfants enlevés</t>
  </si>
  <si>
    <t>Cycles en direction de Bonneville</t>
  </si>
  <si>
    <t>St Pierre Pont sur le Borne Principal - RD 1203</t>
  </si>
  <si>
    <t>côté La Roche</t>
  </si>
  <si>
    <t>côté Bonneville</t>
  </si>
  <si>
    <t>De Stade vers</t>
  </si>
  <si>
    <t>Prison</t>
  </si>
  <si>
    <t>Tucinges</t>
  </si>
  <si>
    <t>Digues</t>
  </si>
  <si>
    <t>Stade</t>
  </si>
  <si>
    <t>De Prison vers</t>
  </si>
  <si>
    <t>Principe d'utilisation pour chaque intervalle de temps, Marquer une croix vélo ou VAE dans la colonne H ou F</t>
  </si>
  <si>
    <t>Et cocher en bas de la grille si déplacement sur trottoir  et/ou si enfant  et/ou si 2 roues hors vélo (trottinette, skate, ets)</t>
  </si>
  <si>
    <t>De Toisinges vers</t>
  </si>
  <si>
    <t>De Digues vers</t>
  </si>
  <si>
    <t>ST PIERRE Mr BRICOLAGE</t>
  </si>
  <si>
    <t>PISTE CYCLABLE en continu</t>
  </si>
  <si>
    <t>JAMAIS sur PISTE CYCLABLE</t>
  </si>
  <si>
    <t>Vers Bonnevile</t>
  </si>
  <si>
    <t>Direction La Roche</t>
  </si>
  <si>
    <t>Direction Bonneville</t>
  </si>
  <si>
    <t>PARTIELLEMENT sur PISTE CYCLABLE</t>
  </si>
  <si>
    <t>Vers La  Roche</t>
  </si>
  <si>
    <t>Vers StT Pierre ou zone Jourdies</t>
  </si>
  <si>
    <t>Nombre de bénévoles</t>
  </si>
  <si>
    <t>Postes de comptage</t>
  </si>
  <si>
    <t>Nombre de vélos</t>
  </si>
  <si>
    <t>% VAE dans le total</t>
  </si>
  <si>
    <t>NB VAE dans le total</t>
  </si>
  <si>
    <t>% femmes dans le total</t>
  </si>
  <si>
    <t>NB de femmes dans le total</t>
  </si>
  <si>
    <t>total</t>
  </si>
  <si>
    <t>LA ROCHE_Carrefour Biocoop</t>
  </si>
  <si>
    <t>LA ROCHE_Giratoire La Poste</t>
  </si>
  <si>
    <t>LA ROCHE_Giratoire ENILV</t>
  </si>
  <si>
    <t>LA ROCHE_Gare Passage à niveau (new 2021)</t>
  </si>
  <si>
    <t>LA ROCHE Andrevetan/St Sixt (new 2023)</t>
  </si>
  <si>
    <t>TOTAL LA ROCHE</t>
  </si>
  <si>
    <t>ARENTHON_La Papeterie</t>
  </si>
  <si>
    <t>ST-PIERRE_Franchissement Borne-Dessy</t>
  </si>
  <si>
    <t>BONNEVILLE_Franchissement Borne-Tucinge</t>
  </si>
  <si>
    <t>ST-PIERRE_Pont principal sur le Borne RD1203</t>
  </si>
  <si>
    <t>AMANCY Sous-terrain Vozerier (2022)</t>
  </si>
  <si>
    <t>ST-PIERRE M. Bricolage (new2022)</t>
  </si>
  <si>
    <t>AMANCY_Giratoire Coriandre</t>
  </si>
  <si>
    <t>TOTAL ST PIERRE</t>
  </si>
  <si>
    <t>COMMUNE_Carrefour</t>
  </si>
  <si>
    <t>Sous-total</t>
  </si>
  <si>
    <t>femmes</t>
  </si>
  <si>
    <t>ST-PIERRE_Pont principal sur le Borne</t>
  </si>
  <si>
    <t>AMANCY Sous-terrain Vozerier (new 2022)</t>
  </si>
  <si>
    <t>ST-PIERRE M. Bricolage</t>
  </si>
  <si>
    <t>COMPTAGES VELO 2020/2021/2022/2023 COMPARATIF</t>
  </si>
  <si>
    <t>nombre de point de comptage</t>
  </si>
  <si>
    <t>SECTEUR "NATENV"</t>
  </si>
  <si>
    <t>Période comptée</t>
  </si>
  <si>
    <t>COMMUNE Nom du carrefour</t>
  </si>
  <si>
    <t>Début</t>
  </si>
  <si>
    <t>Fin</t>
  </si>
  <si>
    <t>6h30</t>
  </si>
  <si>
    <t>9h00</t>
  </si>
  <si>
    <t>La Roche Rond-Point ENILV</t>
  </si>
  <si>
    <t>8h20</t>
  </si>
  <si>
    <t>La Roche Andrevetan/St Sixt</t>
  </si>
  <si>
    <t>Amancy Vozerier Sous-Terrain</t>
  </si>
  <si>
    <t>4 points LA ROCHE</t>
  </si>
  <si>
    <t>St Pierre Borne Dessy</t>
  </si>
  <si>
    <t>Bonneville Borne Tucinges/Prison</t>
  </si>
  <si>
    <t>28 élèves enlevés</t>
  </si>
  <si>
    <t>St Pierre Borne - RD 1203</t>
  </si>
  <si>
    <t>St Pierre Mr Bricolage</t>
  </si>
  <si>
    <t>5 points Arenthon-ST PIERRE</t>
  </si>
  <si>
    <t>% VAE</t>
  </si>
  <si>
    <t>% femmes</t>
  </si>
  <si>
    <t>20 trotinettes biocop enlevées en 2021</t>
  </si>
  <si>
    <t>LA ROCHE</t>
  </si>
  <si>
    <t>ST PIERRE</t>
  </si>
  <si>
    <t>NB point</t>
  </si>
  <si>
    <t>Nb vélos</t>
  </si>
  <si>
    <t>% femme</t>
  </si>
  <si>
    <t>Nb</t>
  </si>
  <si>
    <t>28 élèves 2023 enlevés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</si>
</sst>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 %"/>
    <numFmt numFmtId="165" formatCode="#,##0.00\ [$€-40C];[Red]\-#,##0.00\ [$€-40C]"/>
    <numFmt numFmtId="166" formatCode="dd/mm/yy"/>
  </numFmts>
  <fonts count="50">
    <font>
      <sz val="11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i/>
      <sz val="16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b/>
      <i/>
      <u/>
      <sz val="10"/>
      <color rgb="FF000000"/>
      <name val="Arial"/>
      <family val="2"/>
      <charset val="1"/>
    </font>
    <font>
      <b/>
      <i/>
      <u/>
      <sz val="11"/>
      <color rgb="FF000000"/>
      <name val="Arial"/>
      <family val="2"/>
      <charset val="1"/>
    </font>
    <font>
      <b/>
      <sz val="16"/>
      <color rgb="FF000000"/>
      <name val="Ubuntu"/>
      <charset val="1"/>
    </font>
    <font>
      <b/>
      <sz val="20"/>
      <color rgb="FF000000"/>
      <name val="Ubuntu"/>
      <charset val="1"/>
    </font>
    <font>
      <sz val="16"/>
      <color rgb="FF000000"/>
      <name val="Ubuntu"/>
      <charset val="1"/>
    </font>
    <font>
      <b/>
      <sz val="22"/>
      <color rgb="FF000000"/>
      <name val="Ubuntu"/>
      <charset val="1"/>
    </font>
    <font>
      <b/>
      <sz val="26"/>
      <color rgb="FF000000"/>
      <name val="Ubuntu"/>
      <charset val="1"/>
    </font>
    <font>
      <b/>
      <sz val="18"/>
      <color rgb="FF000000"/>
      <name val="Ubuntu"/>
      <charset val="1"/>
    </font>
    <font>
      <b/>
      <sz val="24"/>
      <color rgb="FF000000"/>
      <name val="Ubuntu"/>
      <charset val="1"/>
    </font>
    <font>
      <b/>
      <sz val="18"/>
      <color rgb="FF000000"/>
      <name val="Arial"/>
      <family val="2"/>
      <charset val="1"/>
    </font>
    <font>
      <b/>
      <sz val="14"/>
      <color rgb="FF000000"/>
      <name val="Ubuntu"/>
      <charset val="1"/>
    </font>
    <font>
      <b/>
      <sz val="16"/>
      <color rgb="FF000000"/>
      <name val="Arial"/>
      <family val="2"/>
      <charset val="1"/>
    </font>
    <font>
      <sz val="18"/>
      <color rgb="FF000000"/>
      <name val="Ubuntu"/>
      <charset val="1"/>
    </font>
    <font>
      <sz val="12"/>
      <color rgb="FF000000"/>
      <name val="Ubuntu"/>
      <charset val="1"/>
    </font>
    <font>
      <sz val="20"/>
      <color rgb="FF000000"/>
      <name val="Arial"/>
      <family val="2"/>
      <charset val="1"/>
    </font>
    <font>
      <sz val="24"/>
      <color rgb="FF000000"/>
      <name val="Ubuntu"/>
      <charset val="1"/>
    </font>
    <font>
      <sz val="16"/>
      <color rgb="FF000000"/>
      <name val="Arial"/>
      <family val="2"/>
      <charset val="1"/>
    </font>
    <font>
      <b/>
      <sz val="18"/>
      <color rgb="FFFF0000"/>
      <name val="Ubuntu"/>
      <charset val="1"/>
    </font>
    <font>
      <sz val="18"/>
      <color rgb="FFFF0000"/>
      <name val="Ubuntu"/>
      <charset val="1"/>
    </font>
    <font>
      <sz val="14"/>
      <color rgb="FF000000"/>
      <name val="Arial"/>
      <family val="2"/>
      <charset val="1"/>
    </font>
    <font>
      <sz val="14"/>
      <color rgb="FF000000"/>
      <name val="Ubuntu"/>
      <charset val="1"/>
    </font>
    <font>
      <b/>
      <sz val="14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Arial"/>
      <family val="2"/>
      <charset val="1"/>
    </font>
    <font>
      <strike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7F7F7F"/>
      <name val="Calibri"/>
      <family val="2"/>
      <charset val="1"/>
    </font>
    <font>
      <i/>
      <sz val="11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9"/>
      <color rgb="FF000000"/>
      <name val="Arial"/>
      <family val="2"/>
      <charset val="1"/>
    </font>
    <font>
      <i/>
      <sz val="9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7F7F7F"/>
      </patternFill>
    </fill>
    <fill>
      <patternFill patternType="solid">
        <fgColor rgb="FFDDDDDD"/>
        <bgColor rgb="FFD9D9D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F2F2F2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7F7F7F"/>
        <bgColor rgb="FF808080"/>
      </patternFill>
    </fill>
    <fill>
      <patternFill patternType="solid">
        <fgColor rgb="FF92D050"/>
        <bgColor rgb="FFBFBFBF"/>
      </patternFill>
    </fill>
  </fills>
  <borders count="7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Dashed">
        <color auto="1"/>
      </top>
      <bottom style="thin">
        <color auto="1"/>
      </bottom>
      <diagonal/>
    </border>
    <border>
      <left/>
      <right style="thin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ed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auto="1"/>
      </left>
      <right/>
      <top style="thin">
        <color auto="1"/>
      </top>
      <bottom style="mediumDashed">
        <color auto="1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D9D9D9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dotted">
        <color rgb="FF7F7F7F"/>
      </right>
      <top style="medium">
        <color auto="1"/>
      </top>
      <bottom style="medium">
        <color auto="1"/>
      </bottom>
      <diagonal/>
    </border>
    <border>
      <left style="dotted">
        <color rgb="FF7F7F7F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rgb="FF7F7F7F"/>
      </right>
      <top/>
      <bottom/>
      <diagonal/>
    </border>
    <border>
      <left style="medium">
        <color auto="1"/>
      </left>
      <right style="dotted">
        <color rgb="FF7F7F7F"/>
      </right>
      <top/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rgb="FF7F7F7F"/>
      </right>
      <top style="dotted">
        <color auto="1"/>
      </top>
      <bottom style="dotted">
        <color auto="1"/>
      </bottom>
      <diagonal/>
    </border>
    <border>
      <left style="dotted">
        <color rgb="FF7F7F7F"/>
      </left>
      <right style="dotted">
        <color rgb="FF7F7F7F"/>
      </right>
      <top style="dotted">
        <color auto="1"/>
      </top>
      <bottom style="dotted">
        <color auto="1"/>
      </bottom>
      <diagonal/>
    </border>
    <border>
      <left style="dotted">
        <color rgb="FF7F7F7F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rgb="FF7F7F7F"/>
      </right>
      <top style="dotted">
        <color auto="1"/>
      </top>
      <bottom style="dotted">
        <color auto="1"/>
      </bottom>
      <diagonal/>
    </border>
    <border>
      <left/>
      <right style="dotted">
        <color rgb="FF7F7F7F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rgb="FF7F7F7F"/>
      </right>
      <top style="dotted">
        <color auto="1"/>
      </top>
      <bottom style="thin">
        <color auto="1"/>
      </bottom>
      <diagonal/>
    </border>
    <border>
      <left/>
      <right style="dotted">
        <color rgb="FF7F7F7F"/>
      </right>
      <top style="dotted">
        <color auto="1"/>
      </top>
      <bottom style="thin">
        <color auto="1"/>
      </bottom>
      <diagonal/>
    </border>
    <border>
      <left style="dotted">
        <color rgb="FF7F7F7F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rgb="FF7F7F7F"/>
      </right>
      <top style="dotted">
        <color auto="1"/>
      </top>
      <bottom style="thin">
        <color auto="1"/>
      </bottom>
      <diagonal/>
    </border>
    <border>
      <left style="dotted">
        <color rgb="FF7F7F7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rgb="FF7F7F7F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rgb="FF7F7F7F"/>
      </right>
      <top style="thin">
        <color auto="1"/>
      </top>
      <bottom style="dotted">
        <color auto="1"/>
      </bottom>
      <diagonal/>
    </border>
    <border>
      <left style="dotted">
        <color rgb="FF7F7F7F"/>
      </left>
      <right style="dotted">
        <color rgb="FF7F7F7F"/>
      </right>
      <top style="thin">
        <color auto="1"/>
      </top>
      <bottom style="dotted">
        <color auto="1"/>
      </bottom>
      <diagonal/>
    </border>
    <border>
      <left style="dotted">
        <color rgb="FF7F7F7F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rgb="FF7F7F7F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rgb="FF7F7F7F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164" fontId="49" fillId="0" borderId="0" applyBorder="0" applyProtection="0"/>
    <xf numFmtId="0" fontId="1" fillId="2" borderId="0"/>
    <xf numFmtId="0" fontId="1" fillId="2" borderId="0"/>
    <xf numFmtId="0" fontId="1" fillId="3" borderId="0"/>
    <xf numFmtId="0" fontId="1" fillId="3" borderId="0"/>
    <xf numFmtId="0" fontId="2" fillId="4" borderId="0"/>
    <xf numFmtId="0" fontId="2" fillId="4" borderId="0"/>
    <xf numFmtId="0" fontId="2" fillId="0" borderId="0"/>
    <xf numFmtId="0" fontId="2" fillId="0" borderId="0"/>
    <xf numFmtId="0" fontId="3" fillId="5" borderId="0"/>
    <xf numFmtId="0" fontId="3" fillId="5" borderId="0"/>
    <xf numFmtId="0" fontId="4" fillId="6" borderId="0"/>
    <xf numFmtId="0" fontId="4" fillId="6" borderId="0"/>
    <xf numFmtId="0" fontId="5" fillId="0" borderId="0"/>
    <xf numFmtId="0" fontId="5" fillId="0" borderId="0"/>
    <xf numFmtId="0" fontId="6" fillId="7" borderId="0"/>
    <xf numFmtId="0" fontId="6" fillId="7" borderId="0"/>
    <xf numFmtId="0" fontId="7" fillId="0" borderId="0"/>
    <xf numFmtId="0" fontId="7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10" fillId="0" borderId="0">
      <alignment horizontal="center"/>
    </xf>
    <xf numFmtId="0" fontId="11" fillId="0" borderId="0"/>
    <xf numFmtId="0" fontId="11" fillId="0" borderId="0"/>
    <xf numFmtId="0" fontId="12" fillId="8" borderId="0"/>
    <xf numFmtId="0" fontId="12" fillId="8" borderId="0"/>
    <xf numFmtId="0" fontId="49" fillId="0" borderId="0"/>
    <xf numFmtId="164" fontId="49" fillId="0" borderId="0"/>
    <xf numFmtId="0" fontId="13" fillId="0" borderId="0"/>
    <xf numFmtId="0" fontId="13" fillId="0" borderId="0"/>
    <xf numFmtId="0" fontId="14" fillId="0" borderId="0"/>
    <xf numFmtId="165" fontId="1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" fillId="0" borderId="0"/>
    <xf numFmtId="0" fontId="3" fillId="0" borderId="0"/>
    <xf numFmtId="164" fontId="49" fillId="0" borderId="0"/>
  </cellStyleXfs>
  <cellXfs count="352">
    <xf numFmtId="0" fontId="0" fillId="0" borderId="0" xfId="0"/>
    <xf numFmtId="0" fontId="0" fillId="0" borderId="0" xfId="0" applyAlignment="1">
      <alignment vertical="center"/>
    </xf>
    <xf numFmtId="0" fontId="0" fillId="9" borderId="0" xfId="0" applyFill="1" applyAlignment="1">
      <alignment vertical="center"/>
    </xf>
    <xf numFmtId="0" fontId="15" fillId="9" borderId="0" xfId="0" applyFont="1" applyFill="1" applyAlignment="1">
      <alignment horizontal="left" vertical="center"/>
    </xf>
    <xf numFmtId="0" fontId="16" fillId="9" borderId="0" xfId="0" applyFont="1" applyFill="1" applyAlignment="1">
      <alignment vertical="center"/>
    </xf>
    <xf numFmtId="0" fontId="17" fillId="9" borderId="0" xfId="0" applyFont="1" applyFill="1" applyAlignment="1">
      <alignment vertical="center"/>
    </xf>
    <xf numFmtId="0" fontId="15" fillId="9" borderId="0" xfId="0" applyFont="1" applyFill="1" applyAlignment="1">
      <alignment horizontal="right" vertical="center"/>
    </xf>
    <xf numFmtId="14" fontId="17" fillId="9" borderId="0" xfId="0" applyNumberFormat="1" applyFont="1" applyFill="1" applyAlignment="1">
      <alignment vertical="center"/>
    </xf>
    <xf numFmtId="0" fontId="0" fillId="9" borderId="0" xfId="0" applyFill="1"/>
    <xf numFmtId="0" fontId="15" fillId="9" borderId="0" xfId="0" applyFont="1" applyFill="1" applyAlignment="1">
      <alignment vertical="center"/>
    </xf>
    <xf numFmtId="0" fontId="18" fillId="0" borderId="0" xfId="0" applyFont="1"/>
    <xf numFmtId="0" fontId="18" fillId="9" borderId="0" xfId="0" applyFont="1" applyFill="1" applyAlignment="1">
      <alignment horizontal="left" vertical="center"/>
    </xf>
    <xf numFmtId="0" fontId="19" fillId="9" borderId="0" xfId="0" applyFont="1" applyFill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7" fillId="10" borderId="0" xfId="0" applyFont="1" applyFill="1" applyAlignment="1">
      <alignment vertical="center"/>
    </xf>
    <xf numFmtId="0" fontId="15" fillId="10" borderId="3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20" fontId="15" fillId="10" borderId="3" xfId="0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9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left" vertical="center"/>
    </xf>
    <xf numFmtId="0" fontId="0" fillId="10" borderId="0" xfId="0" applyFill="1" applyAlignment="1">
      <alignment vertical="center"/>
    </xf>
    <xf numFmtId="0" fontId="24" fillId="9" borderId="5" xfId="0" applyFont="1" applyFill="1" applyBorder="1" applyAlignment="1">
      <alignment horizontal="center" vertical="center" wrapText="1"/>
    </xf>
    <xf numFmtId="0" fontId="24" fillId="10" borderId="5" xfId="0" applyFont="1" applyFill="1" applyBorder="1" applyAlignment="1">
      <alignment horizontal="center" vertical="center" wrapText="1"/>
    </xf>
    <xf numFmtId="0" fontId="24" fillId="10" borderId="7" xfId="0" applyFont="1" applyFill="1" applyBorder="1" applyAlignment="1">
      <alignment horizontal="center" vertical="center" wrapText="1"/>
    </xf>
    <xf numFmtId="0" fontId="15" fillId="9" borderId="8" xfId="0" applyFont="1" applyFill="1" applyBorder="1" applyAlignment="1">
      <alignment horizontal="left" vertical="center"/>
    </xf>
    <xf numFmtId="0" fontId="15" fillId="9" borderId="3" xfId="0" applyFont="1" applyFill="1" applyBorder="1" applyAlignment="1">
      <alignment horizontal="center" vertical="center"/>
    </xf>
    <xf numFmtId="0" fontId="24" fillId="10" borderId="6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/>
    </xf>
    <xf numFmtId="3" fontId="25" fillId="9" borderId="3" xfId="41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3" fontId="20" fillId="12" borderId="3" xfId="41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right" vertical="center"/>
    </xf>
    <xf numFmtId="0" fontId="17" fillId="10" borderId="10" xfId="0" applyFont="1" applyFill="1" applyBorder="1" applyAlignment="1">
      <alignment horizontal="center" vertical="center"/>
    </xf>
    <xf numFmtId="0" fontId="17" fillId="10" borderId="11" xfId="0" applyFont="1" applyFill="1" applyBorder="1" applyAlignment="1">
      <alignment horizontal="center" vertical="center"/>
    </xf>
    <xf numFmtId="0" fontId="25" fillId="9" borderId="12" xfId="0" applyFont="1" applyFill="1" applyBorder="1" applyAlignment="1">
      <alignment horizontal="center" vertical="center"/>
    </xf>
    <xf numFmtId="0" fontId="20" fillId="12" borderId="9" xfId="0" applyFont="1" applyFill="1" applyBorder="1" applyAlignment="1">
      <alignment horizontal="center" vertical="center"/>
    </xf>
    <xf numFmtId="0" fontId="20" fillId="12" borderId="0" xfId="0" applyFont="1" applyFill="1" applyBorder="1" applyAlignment="1">
      <alignment horizontal="center" vertical="center"/>
    </xf>
    <xf numFmtId="0" fontId="20" fillId="9" borderId="9" xfId="0" applyFont="1" applyFill="1" applyBorder="1" applyAlignment="1">
      <alignment horizontal="center" vertical="center"/>
    </xf>
    <xf numFmtId="3" fontId="20" fillId="12" borderId="9" xfId="41" applyNumberFormat="1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/>
    </xf>
    <xf numFmtId="0" fontId="20" fillId="11" borderId="13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0" fontId="17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24" fillId="10" borderId="3" xfId="0" applyFont="1" applyFill="1" applyBorder="1" applyAlignment="1">
      <alignment horizontal="center" vertical="center"/>
    </xf>
    <xf numFmtId="0" fontId="24" fillId="10" borderId="3" xfId="0" applyFont="1" applyFill="1" applyBorder="1" applyAlignment="1">
      <alignment horizontal="center" vertical="center" wrapText="1"/>
    </xf>
    <xf numFmtId="0" fontId="15" fillId="10" borderId="8" xfId="0" applyFont="1" applyFill="1" applyBorder="1" applyAlignment="1">
      <alignment horizontal="left" vertical="center"/>
    </xf>
    <xf numFmtId="0" fontId="20" fillId="0" borderId="3" xfId="0" applyFont="1" applyBorder="1" applyAlignment="1">
      <alignment horizontal="center" vertical="center"/>
    </xf>
    <xf numFmtId="164" fontId="25" fillId="9" borderId="3" xfId="41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164" fontId="15" fillId="9" borderId="3" xfId="0" applyNumberFormat="1" applyFont="1" applyFill="1" applyBorder="1" applyAlignment="1">
      <alignment horizontal="center" vertical="center"/>
    </xf>
    <xf numFmtId="0" fontId="21" fillId="9" borderId="15" xfId="0" applyFont="1" applyFill="1" applyBorder="1" applyAlignment="1">
      <alignment horizontal="center" vertical="center" wrapText="1"/>
    </xf>
    <xf numFmtId="0" fontId="21" fillId="9" borderId="16" xfId="0" applyFont="1" applyFill="1" applyBorder="1" applyAlignment="1">
      <alignment horizontal="center" vertical="center" wrapText="1"/>
    </xf>
    <xf numFmtId="0" fontId="20" fillId="10" borderId="17" xfId="0" applyFont="1" applyFill="1" applyBorder="1" applyAlignment="1">
      <alignment horizontal="center" vertical="center" wrapText="1"/>
    </xf>
    <xf numFmtId="0" fontId="20" fillId="10" borderId="0" xfId="0" applyFont="1" applyFill="1" applyBorder="1" applyAlignment="1">
      <alignment horizontal="center" vertical="center" wrapText="1"/>
    </xf>
    <xf numFmtId="0" fontId="20" fillId="10" borderId="18" xfId="0" applyFont="1" applyFill="1" applyBorder="1" applyAlignment="1">
      <alignment horizontal="center" vertical="center" wrapText="1"/>
    </xf>
    <xf numFmtId="0" fontId="15" fillId="10" borderId="17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/>
    </xf>
    <xf numFmtId="20" fontId="20" fillId="10" borderId="3" xfId="0" applyNumberFormat="1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5" fillId="13" borderId="0" xfId="0" applyFont="1" applyFill="1" applyAlignment="1">
      <alignment horizontal="left" vertical="center"/>
    </xf>
    <xf numFmtId="0" fontId="17" fillId="13" borderId="0" xfId="0" applyFont="1" applyFill="1" applyAlignment="1">
      <alignment vertical="center"/>
    </xf>
    <xf numFmtId="3" fontId="25" fillId="0" borderId="3" xfId="0" applyNumberFormat="1" applyFont="1" applyBorder="1" applyAlignment="1">
      <alignment horizontal="center" vertical="center"/>
    </xf>
    <xf numFmtId="0" fontId="17" fillId="9" borderId="21" xfId="0" applyFont="1" applyFill="1" applyBorder="1" applyAlignment="1">
      <alignment vertical="center"/>
    </xf>
    <xf numFmtId="1" fontId="25" fillId="0" borderId="0" xfId="41" applyNumberFormat="1" applyFont="1" applyAlignment="1">
      <alignment horizontal="center" vertical="center"/>
    </xf>
    <xf numFmtId="1" fontId="25" fillId="0" borderId="17" xfId="41" applyNumberFormat="1" applyFont="1" applyBorder="1" applyAlignment="1">
      <alignment horizontal="left" vertical="center"/>
    </xf>
    <xf numFmtId="0" fontId="17" fillId="9" borderId="22" xfId="0" applyFont="1" applyFill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3" fontId="20" fillId="11" borderId="3" xfId="0" applyNumberFormat="1" applyFont="1" applyFill="1" applyBorder="1" applyAlignment="1">
      <alignment horizontal="center" vertical="center"/>
    </xf>
    <xf numFmtId="3" fontId="20" fillId="12" borderId="3" xfId="0" applyNumberFormat="1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20" fillId="12" borderId="17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10" borderId="0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49" fontId="17" fillId="0" borderId="0" xfId="0" applyNumberFormat="1" applyFont="1" applyAlignment="1">
      <alignment vertical="center"/>
    </xf>
    <xf numFmtId="0" fontId="20" fillId="0" borderId="0" xfId="0" applyFont="1" applyAlignment="1">
      <alignment horizontal="left" vertical="center"/>
    </xf>
    <xf numFmtId="0" fontId="15" fillId="10" borderId="2" xfId="0" applyFont="1" applyFill="1" applyBorder="1" applyAlignment="1">
      <alignment horizontal="center" vertical="center"/>
    </xf>
    <xf numFmtId="20" fontId="15" fillId="10" borderId="6" xfId="0" applyNumberFormat="1" applyFont="1" applyFill="1" applyBorder="1" applyAlignment="1">
      <alignment horizontal="center" vertical="center"/>
    </xf>
    <xf numFmtId="0" fontId="15" fillId="9" borderId="0" xfId="0" applyFont="1" applyFill="1" applyAlignment="1">
      <alignment horizontal="right"/>
    </xf>
    <xf numFmtId="0" fontId="23" fillId="9" borderId="0" xfId="0" applyFont="1" applyFill="1" applyAlignment="1">
      <alignment horizontal="left" vertical="center"/>
    </xf>
    <xf numFmtId="0" fontId="15" fillId="10" borderId="23" xfId="0" applyFont="1" applyFill="1" applyBorder="1" applyAlignment="1">
      <alignment horizontal="center" vertical="center"/>
    </xf>
    <xf numFmtId="0" fontId="49" fillId="0" borderId="0" xfId="29" applyAlignment="1">
      <alignment vertical="center"/>
    </xf>
    <xf numFmtId="0" fontId="49" fillId="0" borderId="0" xfId="29"/>
    <xf numFmtId="0" fontId="15" fillId="9" borderId="0" xfId="29" applyFont="1" applyFill="1" applyAlignment="1">
      <alignment horizontal="left" vertical="center"/>
    </xf>
    <xf numFmtId="0" fontId="16" fillId="9" borderId="0" xfId="29" applyFont="1" applyFill="1" applyAlignment="1">
      <alignment vertical="center"/>
    </xf>
    <xf numFmtId="0" fontId="17" fillId="9" borderId="0" xfId="29" applyFont="1" applyFill="1" applyAlignment="1">
      <alignment vertical="center"/>
    </xf>
    <xf numFmtId="0" fontId="49" fillId="9" borderId="0" xfId="29" applyFill="1" applyAlignment="1">
      <alignment vertical="center"/>
    </xf>
    <xf numFmtId="166" fontId="17" fillId="9" borderId="0" xfId="29" applyNumberFormat="1" applyFont="1" applyFill="1" applyAlignment="1">
      <alignment vertical="center"/>
    </xf>
    <xf numFmtId="0" fontId="49" fillId="9" borderId="0" xfId="29" applyFill="1"/>
    <xf numFmtId="0" fontId="15" fillId="9" borderId="0" xfId="29" applyFont="1" applyFill="1" applyAlignment="1">
      <alignment vertical="center"/>
    </xf>
    <xf numFmtId="0" fontId="18" fillId="9" borderId="0" xfId="29" applyFont="1" applyFill="1" applyAlignment="1">
      <alignment horizontal="left" vertical="center"/>
    </xf>
    <xf numFmtId="0" fontId="19" fillId="9" borderId="0" xfId="29" applyFont="1" applyFill="1" applyAlignment="1">
      <alignment horizontal="left" vertical="center"/>
    </xf>
    <xf numFmtId="0" fontId="20" fillId="0" borderId="0" xfId="29" applyFont="1" applyAlignment="1">
      <alignment horizontal="left" vertical="center"/>
    </xf>
    <xf numFmtId="0" fontId="17" fillId="0" borderId="0" xfId="29" applyFont="1" applyAlignment="1">
      <alignment vertical="center"/>
    </xf>
    <xf numFmtId="0" fontId="15" fillId="13" borderId="4" xfId="29" applyFont="1" applyFill="1" applyBorder="1" applyAlignment="1">
      <alignment horizontal="center" vertical="center"/>
    </xf>
    <xf numFmtId="20" fontId="15" fillId="13" borderId="3" xfId="29" applyNumberFormat="1" applyFont="1" applyFill="1" applyBorder="1" applyAlignment="1">
      <alignment horizontal="center" vertical="center"/>
    </xf>
    <xf numFmtId="0" fontId="17" fillId="0" borderId="3" xfId="29" applyFont="1" applyBorder="1" applyAlignment="1">
      <alignment horizontal="center" vertical="center"/>
    </xf>
    <xf numFmtId="0" fontId="17" fillId="0" borderId="19" xfId="29" applyFont="1" applyBorder="1" applyAlignment="1">
      <alignment horizontal="center" vertical="center"/>
    </xf>
    <xf numFmtId="0" fontId="17" fillId="0" borderId="20" xfId="29" applyFont="1" applyBorder="1" applyAlignment="1">
      <alignment horizontal="center" vertical="center"/>
    </xf>
    <xf numFmtId="0" fontId="15" fillId="9" borderId="0" xfId="29" applyFont="1" applyFill="1" applyAlignment="1">
      <alignment horizontal="center" vertical="center"/>
    </xf>
    <xf numFmtId="0" fontId="17" fillId="0" borderId="0" xfId="29" applyFont="1" applyAlignment="1">
      <alignment horizontal="center" vertical="center"/>
    </xf>
    <xf numFmtId="0" fontId="49" fillId="0" borderId="5" xfId="29" applyBorder="1" applyAlignment="1">
      <alignment horizontal="left" vertical="center"/>
    </xf>
    <xf numFmtId="0" fontId="18" fillId="0" borderId="5" xfId="29" applyFont="1" applyBorder="1" applyAlignment="1">
      <alignment horizontal="left" vertical="center"/>
    </xf>
    <xf numFmtId="0" fontId="49" fillId="0" borderId="7" xfId="29" applyBorder="1" applyAlignment="1">
      <alignment horizontal="left" vertical="center"/>
    </xf>
    <xf numFmtId="0" fontId="49" fillId="0" borderId="0" xfId="29" applyAlignment="1">
      <alignment horizontal="left" vertical="center"/>
    </xf>
    <xf numFmtId="0" fontId="27" fillId="0" borderId="5" xfId="29" applyFont="1" applyBorder="1" applyAlignment="1">
      <alignment horizontal="left" vertical="center"/>
    </xf>
    <xf numFmtId="0" fontId="23" fillId="9" borderId="0" xfId="29" applyFont="1" applyFill="1" applyAlignment="1">
      <alignment horizontal="left" vertical="center"/>
    </xf>
    <xf numFmtId="0" fontId="15" fillId="10" borderId="0" xfId="29" applyFont="1" applyFill="1" applyAlignment="1">
      <alignment horizontal="left" vertical="center"/>
    </xf>
    <xf numFmtId="0" fontId="17" fillId="10" borderId="0" xfId="29" applyFont="1" applyFill="1" applyAlignment="1">
      <alignment vertical="center"/>
    </xf>
    <xf numFmtId="0" fontId="15" fillId="10" borderId="8" xfId="29" applyFont="1" applyFill="1" applyBorder="1" applyAlignment="1">
      <alignment horizontal="left" vertical="center"/>
    </xf>
    <xf numFmtId="0" fontId="15" fillId="10" borderId="4" xfId="29" applyFont="1" applyFill="1" applyBorder="1" applyAlignment="1">
      <alignment horizontal="center" vertical="center"/>
    </xf>
    <xf numFmtId="0" fontId="20" fillId="0" borderId="3" xfId="29" applyFont="1" applyBorder="1" applyAlignment="1">
      <alignment horizontal="center" vertical="center"/>
    </xf>
    <xf numFmtId="3" fontId="25" fillId="9" borderId="3" xfId="30" applyNumberFormat="1" applyFont="1" applyFill="1" applyBorder="1" applyAlignment="1">
      <alignment horizontal="center" vertical="center"/>
    </xf>
    <xf numFmtId="0" fontId="17" fillId="9" borderId="24" xfId="0" applyFont="1" applyFill="1" applyBorder="1" applyAlignment="1">
      <alignment vertical="center"/>
    </xf>
    <xf numFmtId="0" fontId="15" fillId="0" borderId="3" xfId="29" applyFont="1" applyBorder="1" applyAlignment="1">
      <alignment horizontal="center" vertical="center"/>
    </xf>
    <xf numFmtId="0" fontId="20" fillId="11" borderId="3" xfId="29" applyFont="1" applyFill="1" applyBorder="1" applyAlignment="1">
      <alignment horizontal="center" vertical="center"/>
    </xf>
    <xf numFmtId="3" fontId="20" fillId="11" borderId="3" xfId="30" applyNumberFormat="1" applyFont="1" applyFill="1" applyBorder="1" applyAlignment="1">
      <alignment horizontal="center" vertical="center"/>
    </xf>
    <xf numFmtId="3" fontId="20" fillId="12" borderId="3" xfId="30" applyNumberFormat="1" applyFont="1" applyFill="1" applyBorder="1" applyAlignment="1">
      <alignment horizontal="center" vertical="center"/>
    </xf>
    <xf numFmtId="0" fontId="15" fillId="10" borderId="9" xfId="29" applyFont="1" applyFill="1" applyBorder="1" applyAlignment="1">
      <alignment horizontal="center" vertical="center"/>
    </xf>
    <xf numFmtId="0" fontId="15" fillId="0" borderId="9" xfId="29" applyFont="1" applyBorder="1" applyAlignment="1">
      <alignment horizontal="center" vertical="center"/>
    </xf>
    <xf numFmtId="0" fontId="15" fillId="0" borderId="9" xfId="29" applyFont="1" applyBorder="1" applyAlignment="1">
      <alignment horizontal="left" vertical="center"/>
    </xf>
    <xf numFmtId="0" fontId="17" fillId="0" borderId="9" xfId="29" applyFont="1" applyBorder="1" applyAlignment="1">
      <alignment vertical="center"/>
    </xf>
    <xf numFmtId="0" fontId="17" fillId="0" borderId="9" xfId="29" applyFont="1" applyBorder="1" applyAlignment="1">
      <alignment horizontal="right" vertical="center"/>
    </xf>
    <xf numFmtId="0" fontId="15" fillId="9" borderId="3" xfId="29" applyFont="1" applyFill="1" applyBorder="1" applyAlignment="1">
      <alignment horizontal="center" vertical="center"/>
    </xf>
    <xf numFmtId="3" fontId="15" fillId="9" borderId="3" xfId="29" applyNumberFormat="1" applyFont="1" applyFill="1" applyBorder="1" applyAlignment="1">
      <alignment horizontal="center" vertical="center"/>
    </xf>
    <xf numFmtId="1" fontId="25" fillId="0" borderId="9" xfId="41" applyNumberFormat="1" applyFont="1" applyBorder="1" applyAlignment="1">
      <alignment horizontal="left" vertical="center"/>
    </xf>
    <xf numFmtId="1" fontId="25" fillId="0" borderId="25" xfId="41" applyNumberFormat="1" applyFont="1" applyBorder="1" applyAlignment="1">
      <alignment horizontal="left" vertical="center"/>
    </xf>
    <xf numFmtId="1" fontId="25" fillId="0" borderId="0" xfId="41" applyNumberFormat="1" applyFont="1" applyBorder="1" applyAlignment="1">
      <alignment horizontal="left" vertical="center"/>
    </xf>
    <xf numFmtId="0" fontId="15" fillId="0" borderId="0" xfId="29" applyFont="1" applyAlignment="1">
      <alignment horizontal="left" vertical="center"/>
    </xf>
    <xf numFmtId="164" fontId="25" fillId="9" borderId="3" xfId="30" applyFont="1" applyFill="1" applyBorder="1" applyAlignment="1">
      <alignment horizontal="center" vertical="center"/>
    </xf>
    <xf numFmtId="1" fontId="25" fillId="0" borderId="0" xfId="30" applyNumberFormat="1" applyFont="1" applyAlignment="1">
      <alignment vertical="center" wrapText="1"/>
    </xf>
    <xf numFmtId="1" fontId="25" fillId="0" borderId="17" xfId="30" applyNumberFormat="1" applyFont="1" applyBorder="1" applyAlignment="1">
      <alignment horizontal="left" vertical="center"/>
    </xf>
    <xf numFmtId="1" fontId="25" fillId="0" borderId="0" xfId="30" applyNumberFormat="1" applyFont="1" applyAlignment="1">
      <alignment horizontal="center" vertical="center"/>
    </xf>
    <xf numFmtId="0" fontId="20" fillId="10" borderId="3" xfId="29" applyFont="1" applyFill="1" applyBorder="1" applyAlignment="1">
      <alignment horizontal="center" vertical="center"/>
    </xf>
    <xf numFmtId="164" fontId="25" fillId="10" borderId="3" xfId="30" applyFont="1" applyFill="1" applyBorder="1" applyAlignment="1">
      <alignment horizontal="center" vertical="center"/>
    </xf>
    <xf numFmtId="164" fontId="15" fillId="9" borderId="3" xfId="29" applyNumberFormat="1" applyFont="1" applyFill="1" applyBorder="1" applyAlignment="1">
      <alignment horizontal="center" vertical="center"/>
    </xf>
    <xf numFmtId="166" fontId="17" fillId="9" borderId="0" xfId="0" applyNumberFormat="1" applyFont="1" applyFill="1" applyAlignment="1">
      <alignment vertical="center"/>
    </xf>
    <xf numFmtId="0" fontId="21" fillId="9" borderId="0" xfId="0" applyFont="1" applyFill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0" fontId="28" fillId="9" borderId="0" xfId="0" applyFont="1" applyFill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3" fontId="15" fillId="9" borderId="3" xfId="0" applyNumberFormat="1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164" fontId="25" fillId="10" borderId="3" xfId="41" applyFont="1" applyFill="1" applyBorder="1" applyAlignment="1">
      <alignment horizontal="center" vertical="center"/>
    </xf>
    <xf numFmtId="49" fontId="17" fillId="9" borderId="0" xfId="0" applyNumberFormat="1" applyFont="1" applyFill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0" fontId="15" fillId="9" borderId="26" xfId="0" applyFont="1" applyFill="1" applyBorder="1" applyAlignment="1">
      <alignment horizontal="left" vertical="center"/>
    </xf>
    <xf numFmtId="0" fontId="17" fillId="11" borderId="0" xfId="0" applyFont="1" applyFill="1" applyAlignment="1">
      <alignment vertical="center"/>
    </xf>
    <xf numFmtId="3" fontId="20" fillId="9" borderId="3" xfId="41" applyNumberFormat="1" applyFont="1" applyFill="1" applyBorder="1" applyAlignment="1">
      <alignment horizontal="center" vertical="center"/>
    </xf>
    <xf numFmtId="3" fontId="20" fillId="11" borderId="3" xfId="41" applyNumberFormat="1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0" fontId="25" fillId="12" borderId="3" xfId="0" applyFont="1" applyFill="1" applyBorder="1" applyAlignment="1">
      <alignment horizontal="center" vertical="center"/>
    </xf>
    <xf numFmtId="0" fontId="15" fillId="10" borderId="27" xfId="0" applyFont="1" applyFill="1" applyBorder="1" applyAlignment="1">
      <alignment horizontal="center" vertical="center"/>
    </xf>
    <xf numFmtId="0" fontId="15" fillId="10" borderId="28" xfId="0" applyFont="1" applyFill="1" applyBorder="1" applyAlignment="1">
      <alignment horizontal="center" vertical="center"/>
    </xf>
    <xf numFmtId="0" fontId="29" fillId="0" borderId="0" xfId="0" applyFont="1"/>
    <xf numFmtId="0" fontId="29" fillId="0" borderId="5" xfId="0" applyFont="1" applyBorder="1" applyAlignment="1">
      <alignment horizontal="left" vertical="center"/>
    </xf>
    <xf numFmtId="0" fontId="30" fillId="9" borderId="3" xfId="0" applyFont="1" applyFill="1" applyBorder="1" applyAlignment="1">
      <alignment horizontal="center" vertical="center"/>
    </xf>
    <xf numFmtId="3" fontId="31" fillId="9" borderId="3" xfId="4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9" borderId="29" xfId="0" applyFont="1" applyFill="1" applyBorder="1" applyAlignment="1">
      <alignment horizontal="left" vertical="center"/>
    </xf>
    <xf numFmtId="0" fontId="33" fillId="9" borderId="0" xfId="0" applyFont="1" applyFill="1" applyAlignment="1">
      <alignment vertical="center"/>
    </xf>
    <xf numFmtId="0" fontId="32" fillId="9" borderId="0" xfId="0" applyFont="1" applyFill="1" applyAlignment="1">
      <alignment vertical="center"/>
    </xf>
    <xf numFmtId="0" fontId="32" fillId="9" borderId="0" xfId="0" applyFont="1" applyFill="1"/>
    <xf numFmtId="0" fontId="33" fillId="9" borderId="29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23" fillId="9" borderId="0" xfId="0" applyFont="1" applyFill="1" applyAlignment="1">
      <alignment horizontal="center" vertical="center"/>
    </xf>
    <xf numFmtId="0" fontId="34" fillId="10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24" fillId="10" borderId="9" xfId="0" applyFont="1" applyFill="1" applyBorder="1" applyAlignment="1">
      <alignment horizontal="center" vertical="center" wrapText="1"/>
    </xf>
    <xf numFmtId="0" fontId="24" fillId="10" borderId="32" xfId="0" applyFont="1" applyFill="1" applyBorder="1" applyAlignment="1">
      <alignment horizontal="center" vertical="center" wrapText="1"/>
    </xf>
    <xf numFmtId="0" fontId="24" fillId="10" borderId="0" xfId="0" applyFont="1" applyFill="1" applyBorder="1" applyAlignment="1">
      <alignment horizontal="center" vertical="center" wrapText="1"/>
    </xf>
    <xf numFmtId="0" fontId="24" fillId="10" borderId="18" xfId="0" applyFont="1" applyFill="1" applyBorder="1" applyAlignment="1">
      <alignment horizontal="center" vertical="center" wrapText="1"/>
    </xf>
    <xf numFmtId="0" fontId="23" fillId="10" borderId="8" xfId="0" applyFont="1" applyFill="1" applyBorder="1" applyAlignment="1">
      <alignment horizontal="left" vertical="center"/>
    </xf>
    <xf numFmtId="0" fontId="24" fillId="10" borderId="8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1" fontId="25" fillId="0" borderId="0" xfId="41" applyNumberFormat="1" applyFont="1" applyAlignment="1">
      <alignment vertical="center" wrapText="1"/>
    </xf>
    <xf numFmtId="1" fontId="25" fillId="0" borderId="18" xfId="41" applyNumberFormat="1" applyFont="1" applyBorder="1" applyAlignment="1">
      <alignment vertical="center" wrapText="1"/>
    </xf>
    <xf numFmtId="0" fontId="17" fillId="9" borderId="0" xfId="0" applyFont="1" applyFill="1" applyAlignment="1">
      <alignment horizontal="right" vertical="center"/>
    </xf>
    <xf numFmtId="20" fontId="15" fillId="10" borderId="3" xfId="29" applyNumberFormat="1" applyFont="1" applyFill="1" applyBorder="1" applyAlignment="1">
      <alignment horizontal="center" vertical="center"/>
    </xf>
    <xf numFmtId="0" fontId="21" fillId="0" borderId="0" xfId="29" applyFont="1" applyAlignment="1">
      <alignment vertical="center"/>
    </xf>
    <xf numFmtId="20" fontId="15" fillId="10" borderId="1" xfId="29" applyNumberFormat="1" applyFont="1" applyFill="1" applyBorder="1" applyAlignment="1">
      <alignment horizontal="center" vertical="center"/>
    </xf>
    <xf numFmtId="0" fontId="17" fillId="0" borderId="1" xfId="29" applyFont="1" applyBorder="1" applyAlignment="1">
      <alignment horizontal="center" vertical="center"/>
    </xf>
    <xf numFmtId="0" fontId="17" fillId="0" borderId="14" xfId="29" applyFont="1" applyBorder="1" applyAlignment="1">
      <alignment horizontal="center" vertical="center"/>
    </xf>
    <xf numFmtId="0" fontId="17" fillId="0" borderId="16" xfId="29" applyFont="1" applyBorder="1" applyAlignment="1">
      <alignment horizontal="center" vertical="center"/>
    </xf>
    <xf numFmtId="0" fontId="17" fillId="0" borderId="5" xfId="29" applyFont="1" applyBorder="1" applyAlignment="1">
      <alignment horizontal="center" vertical="center"/>
    </xf>
    <xf numFmtId="0" fontId="15" fillId="0" borderId="8" xfId="29" applyFont="1" applyBorder="1" applyAlignment="1">
      <alignment horizontal="left" vertical="center"/>
    </xf>
    <xf numFmtId="0" fontId="49" fillId="0" borderId="8" xfId="29" applyBorder="1" applyAlignment="1">
      <alignment vertical="center"/>
    </xf>
    <xf numFmtId="0" fontId="15" fillId="0" borderId="5" xfId="29" applyFont="1" applyBorder="1" applyAlignment="1">
      <alignment horizontal="left" vertical="center"/>
    </xf>
    <xf numFmtId="0" fontId="49" fillId="0" borderId="5" xfId="29" applyBorder="1" applyAlignment="1">
      <alignment vertical="center"/>
    </xf>
    <xf numFmtId="0" fontId="17" fillId="0" borderId="0" xfId="29" applyFont="1" applyBorder="1" applyAlignment="1">
      <alignment horizontal="center" vertical="center"/>
    </xf>
    <xf numFmtId="0" fontId="21" fillId="9" borderId="0" xfId="29" applyFont="1" applyFill="1" applyAlignment="1">
      <alignment horizontal="center" vertical="center" wrapText="1"/>
    </xf>
    <xf numFmtId="1" fontId="25" fillId="0" borderId="0" xfId="41" applyNumberFormat="1" applyFont="1" applyBorder="1" applyAlignment="1">
      <alignment vertical="center" wrapText="1"/>
    </xf>
    <xf numFmtId="0" fontId="15" fillId="0" borderId="9" xfId="29" applyFont="1" applyBorder="1" applyAlignment="1">
      <alignment vertical="center"/>
    </xf>
    <xf numFmtId="1" fontId="25" fillId="0" borderId="18" xfId="30" applyNumberFormat="1" applyFont="1" applyBorder="1" applyAlignment="1">
      <alignment vertical="center" wrapText="1"/>
    </xf>
    <xf numFmtId="0" fontId="35" fillId="14" borderId="35" xfId="0" applyFont="1" applyFill="1" applyBorder="1" applyAlignment="1">
      <alignment horizontal="center" vertical="center" wrapText="1"/>
    </xf>
    <xf numFmtId="0" fontId="35" fillId="14" borderId="38" xfId="0" applyFont="1" applyFill="1" applyBorder="1" applyAlignment="1">
      <alignment horizontal="center" vertical="center" wrapText="1"/>
    </xf>
    <xf numFmtId="0" fontId="35" fillId="14" borderId="39" xfId="0" applyFont="1" applyFill="1" applyBorder="1" applyAlignment="1">
      <alignment horizontal="center" vertical="center" wrapText="1"/>
    </xf>
    <xf numFmtId="0" fontId="36" fillId="15" borderId="5" xfId="0" applyFont="1" applyFill="1" applyBorder="1" applyAlignment="1">
      <alignment horizontal="center" vertical="center" wrapText="1"/>
    </xf>
    <xf numFmtId="0" fontId="0" fillId="15" borderId="40" xfId="0" applyFont="1" applyFill="1" applyBorder="1" applyAlignment="1">
      <alignment vertical="center"/>
    </xf>
    <xf numFmtId="0" fontId="0" fillId="15" borderId="41" xfId="0" applyFill="1" applyBorder="1" applyAlignment="1">
      <alignment horizontal="center" vertical="center"/>
    </xf>
    <xf numFmtId="164" fontId="37" fillId="9" borderId="42" xfId="1" applyFont="1" applyFill="1" applyBorder="1" applyAlignment="1" applyProtection="1">
      <alignment horizontal="center" vertical="center"/>
    </xf>
    <xf numFmtId="3" fontId="0" fillId="15" borderId="43" xfId="41" applyNumberFormat="1" applyFont="1" applyFill="1" applyBorder="1" applyAlignment="1" applyProtection="1">
      <alignment horizontal="center" vertical="center"/>
    </xf>
    <xf numFmtId="164" fontId="37" fillId="9" borderId="44" xfId="1" applyFont="1" applyFill="1" applyBorder="1" applyAlignment="1" applyProtection="1">
      <alignment horizontal="center" vertical="center"/>
    </xf>
    <xf numFmtId="0" fontId="38" fillId="0" borderId="0" xfId="0" applyFont="1"/>
    <xf numFmtId="0" fontId="39" fillId="15" borderId="40" xfId="0" applyFont="1" applyFill="1" applyBorder="1" applyAlignment="1">
      <alignment vertical="center"/>
    </xf>
    <xf numFmtId="0" fontId="40" fillId="15" borderId="40" xfId="0" applyFont="1" applyFill="1" applyBorder="1" applyAlignment="1">
      <alignment vertical="center"/>
    </xf>
    <xf numFmtId="0" fontId="37" fillId="15" borderId="41" xfId="0" applyFont="1" applyFill="1" applyBorder="1" applyAlignment="1">
      <alignment horizontal="center" vertical="center"/>
    </xf>
    <xf numFmtId="164" fontId="37" fillId="9" borderId="45" xfId="1" applyFont="1" applyFill="1" applyBorder="1" applyAlignment="1" applyProtection="1">
      <alignment horizontal="center" vertical="center"/>
    </xf>
    <xf numFmtId="3" fontId="37" fillId="15" borderId="43" xfId="1" applyNumberFormat="1" applyFont="1" applyFill="1" applyBorder="1" applyAlignment="1" applyProtection="1">
      <alignment horizontal="center" vertical="center"/>
    </xf>
    <xf numFmtId="0" fontId="38" fillId="0" borderId="0" xfId="0" applyFont="1" applyAlignment="1">
      <alignment horizontal="right"/>
    </xf>
    <xf numFmtId="0" fontId="41" fillId="15" borderId="41" xfId="0" applyFont="1" applyFill="1" applyBorder="1" applyAlignment="1">
      <alignment horizontal="center" vertical="center"/>
    </xf>
    <xf numFmtId="164" fontId="41" fillId="9" borderId="42" xfId="1" applyFont="1" applyFill="1" applyBorder="1" applyAlignment="1" applyProtection="1">
      <alignment horizontal="center" vertical="center"/>
    </xf>
    <xf numFmtId="0" fontId="42" fillId="15" borderId="40" xfId="0" applyFont="1" applyFill="1" applyBorder="1" applyAlignment="1">
      <alignment horizontal="right" vertical="center"/>
    </xf>
    <xf numFmtId="0" fontId="43" fillId="15" borderId="40" xfId="0" applyFont="1" applyFill="1" applyBorder="1" applyAlignment="1">
      <alignment vertical="center"/>
    </xf>
    <xf numFmtId="0" fontId="43" fillId="15" borderId="46" xfId="0" applyFont="1" applyFill="1" applyBorder="1" applyAlignment="1">
      <alignment vertical="center"/>
    </xf>
    <xf numFmtId="0" fontId="37" fillId="15" borderId="47" xfId="0" applyFont="1" applyFill="1" applyBorder="1" applyAlignment="1">
      <alignment horizontal="center" vertical="center"/>
    </xf>
    <xf numFmtId="164" fontId="37" fillId="9" borderId="48" xfId="1" applyFont="1" applyFill="1" applyBorder="1" applyAlignment="1" applyProtection="1">
      <alignment horizontal="center" vertical="center"/>
    </xf>
    <xf numFmtId="3" fontId="37" fillId="15" borderId="49" xfId="1" applyNumberFormat="1" applyFont="1" applyFill="1" applyBorder="1" applyAlignment="1" applyProtection="1">
      <alignment horizontal="center" vertical="center"/>
    </xf>
    <xf numFmtId="164" fontId="37" fillId="9" borderId="50" xfId="1" applyFont="1" applyFill="1" applyBorder="1" applyAlignment="1" applyProtection="1">
      <alignment horizontal="center" vertical="center"/>
    </xf>
    <xf numFmtId="0" fontId="36" fillId="9" borderId="5" xfId="0" applyFont="1" applyFill="1" applyBorder="1" applyAlignment="1">
      <alignment horizontal="left" vertical="center"/>
    </xf>
    <xf numFmtId="0" fontId="0" fillId="9" borderId="6" xfId="0" applyFill="1" applyBorder="1" applyAlignment="1">
      <alignment vertical="center"/>
    </xf>
    <xf numFmtId="3" fontId="37" fillId="9" borderId="51" xfId="1" applyNumberFormat="1" applyFont="1" applyFill="1" applyBorder="1" applyAlignment="1" applyProtection="1">
      <alignment horizontal="center" vertical="center"/>
    </xf>
    <xf numFmtId="164" fontId="0" fillId="9" borderId="52" xfId="1" applyFont="1" applyFill="1" applyBorder="1" applyAlignment="1" applyProtection="1">
      <alignment horizontal="center" vertical="center"/>
    </xf>
    <xf numFmtId="0" fontId="0" fillId="0" borderId="0" xfId="0" applyFont="1" applyAlignment="1">
      <alignment horizontal="center"/>
    </xf>
    <xf numFmtId="0" fontId="0" fillId="15" borderId="53" xfId="0" applyFont="1" applyFill="1" applyBorder="1" applyAlignment="1">
      <alignment vertical="center"/>
    </xf>
    <xf numFmtId="0" fontId="0" fillId="15" borderId="54" xfId="0" applyFill="1" applyBorder="1" applyAlignment="1">
      <alignment horizontal="center" vertical="center"/>
    </xf>
    <xf numFmtId="164" fontId="37" fillId="9" borderId="55" xfId="1" applyFont="1" applyFill="1" applyBorder="1" applyAlignment="1" applyProtection="1">
      <alignment horizontal="center" vertical="center"/>
    </xf>
    <xf numFmtId="3" fontId="0" fillId="15" borderId="56" xfId="41" applyNumberFormat="1" applyFont="1" applyFill="1" applyBorder="1" applyAlignment="1" applyProtection="1">
      <alignment horizontal="center" vertical="center"/>
    </xf>
    <xf numFmtId="164" fontId="37" fillId="9" borderId="57" xfId="1" applyFont="1" applyFill="1" applyBorder="1" applyAlignment="1" applyProtection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9" borderId="58" xfId="0" applyFill="1" applyBorder="1" applyAlignment="1">
      <alignment horizontal="center" vertical="center"/>
    </xf>
    <xf numFmtId="3" fontId="0" fillId="0" borderId="59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44" fillId="0" borderId="3" xfId="0" applyNumberFormat="1" applyFont="1" applyBorder="1" applyAlignment="1">
      <alignment horizontal="center" vertical="center"/>
    </xf>
    <xf numFmtId="0" fontId="38" fillId="10" borderId="60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44" fillId="0" borderId="2" xfId="0" applyNumberFormat="1" applyFont="1" applyBorder="1" applyAlignment="1">
      <alignment horizontal="center" vertical="center"/>
    </xf>
    <xf numFmtId="3" fontId="38" fillId="0" borderId="61" xfId="0" applyNumberFormat="1" applyFont="1" applyBorder="1" applyAlignment="1">
      <alignment horizontal="center" vertical="center"/>
    </xf>
    <xf numFmtId="0" fontId="0" fillId="15" borderId="62" xfId="0" applyFill="1" applyBorder="1" applyAlignment="1">
      <alignment horizontal="center" vertical="center"/>
    </xf>
    <xf numFmtId="3" fontId="0" fillId="15" borderId="63" xfId="41" applyNumberFormat="1" applyFont="1" applyFill="1" applyBorder="1" applyAlignment="1" applyProtection="1">
      <alignment horizontal="center" vertical="center"/>
    </xf>
    <xf numFmtId="0" fontId="24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6" fillId="14" borderId="64" xfId="0" applyFont="1" applyFill="1" applyBorder="1" applyAlignment="1">
      <alignment vertical="center"/>
    </xf>
    <xf numFmtId="0" fontId="0" fillId="10" borderId="64" xfId="0" applyFont="1" applyFill="1" applyBorder="1" applyAlignment="1">
      <alignment vertical="center"/>
    </xf>
    <xf numFmtId="0" fontId="47" fillId="10" borderId="65" xfId="0" applyFont="1" applyFill="1" applyBorder="1" applyAlignment="1">
      <alignment horizontal="center" vertical="center"/>
    </xf>
    <xf numFmtId="0" fontId="47" fillId="10" borderId="66" xfId="0" applyFont="1" applyFill="1" applyBorder="1" applyAlignment="1">
      <alignment horizontal="center" vertical="center"/>
    </xf>
    <xf numFmtId="0" fontId="0" fillId="10" borderId="67" xfId="0" applyFont="1" applyFill="1" applyBorder="1" applyAlignment="1">
      <alignment vertical="center"/>
    </xf>
    <xf numFmtId="0" fontId="45" fillId="0" borderId="68" xfId="0" applyFont="1" applyBorder="1" applyAlignment="1">
      <alignment horizontal="center" vertical="center"/>
    </xf>
    <xf numFmtId="0" fontId="45" fillId="0" borderId="59" xfId="0" applyFont="1" applyBorder="1" applyAlignment="1">
      <alignment horizontal="center" vertical="center"/>
    </xf>
    <xf numFmtId="0" fontId="0" fillId="10" borderId="69" xfId="0" applyFont="1" applyFill="1" applyBorder="1" applyAlignment="1">
      <alignment vertical="center"/>
    </xf>
    <xf numFmtId="0" fontId="45" fillId="0" borderId="31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3" fontId="0" fillId="0" borderId="70" xfId="0" applyNumberForma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38" fillId="10" borderId="71" xfId="0" applyFont="1" applyFill="1" applyBorder="1" applyAlignment="1">
      <alignment vertical="center"/>
    </xf>
    <xf numFmtId="0" fontId="48" fillId="0" borderId="72" xfId="0" applyFont="1" applyBorder="1" applyAlignment="1">
      <alignment horizontal="center" vertical="center"/>
    </xf>
    <xf numFmtId="0" fontId="48" fillId="0" borderId="60" xfId="0" applyFont="1" applyBorder="1" applyAlignment="1">
      <alignment horizontal="center" vertical="center"/>
    </xf>
    <xf numFmtId="0" fontId="0" fillId="10" borderId="73" xfId="0" applyFont="1" applyFill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38" fillId="10" borderId="76" xfId="0" applyFont="1" applyFill="1" applyBorder="1" applyAlignment="1">
      <alignment vertical="center"/>
    </xf>
    <xf numFmtId="0" fontId="38" fillId="10" borderId="64" xfId="0" applyFont="1" applyFill="1" applyBorder="1" applyAlignment="1">
      <alignment vertical="center"/>
    </xf>
    <xf numFmtId="0" fontId="47" fillId="0" borderId="77" xfId="0" applyFont="1" applyBorder="1" applyAlignment="1">
      <alignment horizontal="center" vertical="center"/>
    </xf>
    <xf numFmtId="0" fontId="47" fillId="0" borderId="61" xfId="0" applyFont="1" applyBorder="1" applyAlignment="1">
      <alignment horizontal="center" vertical="center"/>
    </xf>
    <xf numFmtId="164" fontId="0" fillId="0" borderId="0" xfId="0" applyNumberFormat="1"/>
    <xf numFmtId="0" fontId="15" fillId="10" borderId="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24" fillId="10" borderId="3" xfId="0" applyFont="1" applyFill="1" applyBorder="1" applyAlignment="1">
      <alignment horizontal="center" vertical="center"/>
    </xf>
    <xf numFmtId="0" fontId="24" fillId="10" borderId="3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/>
    </xf>
    <xf numFmtId="0" fontId="24" fillId="10" borderId="7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10" borderId="5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15" fillId="12" borderId="3" xfId="0" applyFont="1" applyFill="1" applyBorder="1" applyAlignment="1">
      <alignment horizontal="center" vertical="center"/>
    </xf>
    <xf numFmtId="0" fontId="24" fillId="10" borderId="6" xfId="0" applyFont="1" applyFill="1" applyBorder="1" applyAlignment="1">
      <alignment horizontal="center" vertical="center" wrapText="1"/>
    </xf>
    <xf numFmtId="0" fontId="21" fillId="9" borderId="19" xfId="0" applyFont="1" applyFill="1" applyBorder="1" applyAlignment="1">
      <alignment horizontal="center" vertical="center" wrapText="1"/>
    </xf>
    <xf numFmtId="0" fontId="21" fillId="9" borderId="20" xfId="0" applyFont="1" applyFill="1" applyBorder="1" applyAlignment="1">
      <alignment horizontal="center" vertical="center" wrapText="1"/>
    </xf>
    <xf numFmtId="0" fontId="21" fillId="9" borderId="14" xfId="0" applyFont="1" applyFill="1" applyBorder="1" applyAlignment="1">
      <alignment horizontal="center" vertical="center" wrapText="1"/>
    </xf>
    <xf numFmtId="0" fontId="21" fillId="9" borderId="15" xfId="0" applyFont="1" applyFill="1" applyBorder="1" applyAlignment="1">
      <alignment horizontal="center" vertical="center" wrapText="1"/>
    </xf>
    <xf numFmtId="0" fontId="15" fillId="10" borderId="3" xfId="29" applyFont="1" applyFill="1" applyBorder="1" applyAlignment="1">
      <alignment horizontal="center" vertical="center"/>
    </xf>
    <xf numFmtId="0" fontId="24" fillId="10" borderId="3" xfId="29" applyFont="1" applyFill="1" applyBorder="1" applyAlignment="1">
      <alignment horizontal="center" vertical="center" wrapText="1"/>
    </xf>
    <xf numFmtId="0" fontId="24" fillId="10" borderId="3" xfId="29" applyFont="1" applyFill="1" applyBorder="1" applyAlignment="1">
      <alignment horizontal="center" vertical="center"/>
    </xf>
    <xf numFmtId="0" fontId="15" fillId="12" borderId="3" xfId="29" applyFont="1" applyFill="1" applyBorder="1" applyAlignment="1">
      <alignment horizontal="center" vertical="center"/>
    </xf>
    <xf numFmtId="0" fontId="20" fillId="10" borderId="2" xfId="29" applyFont="1" applyFill="1" applyBorder="1" applyAlignment="1">
      <alignment horizontal="center" vertical="center" wrapText="1"/>
    </xf>
    <xf numFmtId="0" fontId="15" fillId="10" borderId="2" xfId="29" applyFont="1" applyFill="1" applyBorder="1" applyAlignment="1">
      <alignment horizontal="center" vertical="center" wrapText="1"/>
    </xf>
    <xf numFmtId="0" fontId="24" fillId="10" borderId="5" xfId="29" applyFont="1" applyFill="1" applyBorder="1" applyAlignment="1">
      <alignment horizontal="center" vertical="center" wrapText="1"/>
    </xf>
    <xf numFmtId="0" fontId="24" fillId="10" borderId="7" xfId="29" applyFont="1" applyFill="1" applyBorder="1" applyAlignment="1">
      <alignment horizontal="center" vertical="center" wrapText="1"/>
    </xf>
    <xf numFmtId="0" fontId="15" fillId="13" borderId="3" xfId="29" applyFont="1" applyFill="1" applyBorder="1" applyAlignment="1">
      <alignment horizontal="center" vertical="center"/>
    </xf>
    <xf numFmtId="0" fontId="21" fillId="10" borderId="1" xfId="29" applyFont="1" applyFill="1" applyBorder="1" applyAlignment="1">
      <alignment horizontal="center" vertical="center" wrapText="1"/>
    </xf>
    <xf numFmtId="0" fontId="24" fillId="10" borderId="6" xfId="29" applyFont="1" applyFill="1" applyBorder="1" applyAlignment="1">
      <alignment horizontal="center" vertical="center" wrapText="1"/>
    </xf>
    <xf numFmtId="0" fontId="21" fillId="9" borderId="1" xfId="29" applyFont="1" applyFill="1" applyBorder="1" applyAlignment="1">
      <alignment horizontal="center" vertical="center" wrapText="1"/>
    </xf>
    <xf numFmtId="0" fontId="20" fillId="9" borderId="2" xfId="29" applyFont="1" applyFill="1" applyBorder="1" applyAlignment="1">
      <alignment horizontal="center" vertical="center" wrapText="1"/>
    </xf>
    <xf numFmtId="0" fontId="15" fillId="13" borderId="2" xfId="29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0" fillId="10" borderId="17" xfId="0" applyFont="1" applyFill="1" applyBorder="1" applyAlignment="1">
      <alignment horizontal="center" vertical="center" wrapText="1"/>
    </xf>
    <xf numFmtId="0" fontId="15" fillId="10" borderId="17" xfId="0" applyFont="1" applyFill="1" applyBorder="1" applyAlignment="1">
      <alignment horizontal="center" vertical="center" wrapText="1"/>
    </xf>
    <xf numFmtId="0" fontId="24" fillId="10" borderId="7" xfId="0" applyFont="1" applyFill="1" applyBorder="1" applyAlignment="1">
      <alignment horizontal="center" vertical="center"/>
    </xf>
    <xf numFmtId="0" fontId="21" fillId="10" borderId="25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15" fillId="9" borderId="3" xfId="29" applyFont="1" applyFill="1" applyBorder="1" applyAlignment="1">
      <alignment horizontal="center" vertical="center"/>
    </xf>
    <xf numFmtId="164" fontId="35" fillId="14" borderId="37" xfId="1" applyFont="1" applyFill="1" applyBorder="1" applyAlignment="1" applyProtection="1">
      <alignment horizontal="center" vertical="center" wrapText="1"/>
    </xf>
    <xf numFmtId="0" fontId="36" fillId="15" borderId="5" xfId="0" applyFont="1" applyFill="1" applyBorder="1" applyAlignment="1">
      <alignment horizontal="center" vertical="center" wrapText="1"/>
    </xf>
    <xf numFmtId="0" fontId="35" fillId="14" borderId="33" xfId="0" applyFont="1" applyFill="1" applyBorder="1" applyAlignment="1">
      <alignment horizontal="center" vertical="center" wrapText="1"/>
    </xf>
    <xf numFmtId="0" fontId="35" fillId="14" borderId="34" xfId="0" applyFont="1" applyFill="1" applyBorder="1" applyAlignment="1">
      <alignment vertical="center" wrapText="1"/>
    </xf>
    <xf numFmtId="164" fontId="35" fillId="14" borderId="36" xfId="1" applyFont="1" applyFill="1" applyBorder="1" applyAlignment="1" applyProtection="1">
      <alignment horizontal="center" vertical="center" wrapText="1"/>
    </xf>
    <xf numFmtId="0" fontId="47" fillId="10" borderId="35" xfId="0" applyFont="1" applyFill="1" applyBorder="1" applyAlignment="1">
      <alignment horizontal="center" vertical="center"/>
    </xf>
    <xf numFmtId="3" fontId="38" fillId="10" borderId="61" xfId="0" applyNumberFormat="1" applyFont="1" applyFill="1" applyBorder="1" applyAlignment="1">
      <alignment horizontal="center" vertical="center" wrapText="1"/>
    </xf>
  </cellXfs>
  <cellStyles count="42">
    <cellStyle name="Accent 1 5" xfId="2" xr:uid="{00000000-0005-0000-0000-000006000000}"/>
    <cellStyle name="Accent 1 6" xfId="3" xr:uid="{00000000-0005-0000-0000-000007000000}"/>
    <cellStyle name="Accent 2 6" xfId="4" xr:uid="{00000000-0005-0000-0000-000008000000}"/>
    <cellStyle name="Accent 2 7" xfId="5" xr:uid="{00000000-0005-0000-0000-000009000000}"/>
    <cellStyle name="Accent 3 7" xfId="6" xr:uid="{00000000-0005-0000-0000-00000A000000}"/>
    <cellStyle name="Accent 3 8" xfId="7" xr:uid="{00000000-0005-0000-0000-00000B000000}"/>
    <cellStyle name="Accent 4" xfId="8" xr:uid="{00000000-0005-0000-0000-00000C000000}"/>
    <cellStyle name="Accent 5" xfId="9" xr:uid="{00000000-0005-0000-0000-00000D000000}"/>
    <cellStyle name="Bad 8" xfId="10" xr:uid="{00000000-0005-0000-0000-00000E000000}"/>
    <cellStyle name="Bad 9" xfId="11" xr:uid="{00000000-0005-0000-0000-00000F000000}"/>
    <cellStyle name="Error 10" xfId="12" xr:uid="{00000000-0005-0000-0000-000010000000}"/>
    <cellStyle name="Error 9" xfId="13" xr:uid="{00000000-0005-0000-0000-000011000000}"/>
    <cellStyle name="Excel Built-in Percent 12" xfId="41" xr:uid="{00000000-0005-0000-0000-00002D000000}"/>
    <cellStyle name="Footnote 10" xfId="14" xr:uid="{00000000-0005-0000-0000-000012000000}"/>
    <cellStyle name="Footnote 13" xfId="15" xr:uid="{00000000-0005-0000-0000-000013000000}"/>
    <cellStyle name="Good 11" xfId="16" xr:uid="{00000000-0005-0000-0000-000014000000}"/>
    <cellStyle name="Good 14" xfId="17" xr:uid="{00000000-0005-0000-0000-000015000000}"/>
    <cellStyle name="Heading 1 13" xfId="18" xr:uid="{00000000-0005-0000-0000-000016000000}"/>
    <cellStyle name="Heading 1 16" xfId="19" xr:uid="{00000000-0005-0000-0000-000017000000}"/>
    <cellStyle name="Heading 12" xfId="20" xr:uid="{00000000-0005-0000-0000-000018000000}"/>
    <cellStyle name="Heading 15" xfId="21" xr:uid="{00000000-0005-0000-0000-000019000000}"/>
    <cellStyle name="Heading 2 14" xfId="22" xr:uid="{00000000-0005-0000-0000-00001A000000}"/>
    <cellStyle name="Heading 2 17" xfId="23" xr:uid="{00000000-0005-0000-0000-00001B000000}"/>
    <cellStyle name="Heading 3" xfId="24" xr:uid="{00000000-0005-0000-0000-00001C000000}"/>
    <cellStyle name="Hyperlink 15" xfId="25" xr:uid="{00000000-0005-0000-0000-00001D000000}"/>
    <cellStyle name="Hyperlink 18" xfId="26" xr:uid="{00000000-0005-0000-0000-00001E000000}"/>
    <cellStyle name="Neutral 16" xfId="27" xr:uid="{00000000-0005-0000-0000-00001F000000}"/>
    <cellStyle name="Neutral 19" xfId="28" xr:uid="{00000000-0005-0000-0000-000020000000}"/>
    <cellStyle name="Normal" xfId="0" builtinId="0"/>
    <cellStyle name="Normal 2" xfId="29" xr:uid="{00000000-0005-0000-0000-000021000000}"/>
    <cellStyle name="Pourcentage" xfId="1" builtinId="5"/>
    <cellStyle name="Pourcentage 2" xfId="30" xr:uid="{00000000-0005-0000-0000-000022000000}"/>
    <cellStyle name="Result 17" xfId="31" xr:uid="{00000000-0005-0000-0000-000023000000}"/>
    <cellStyle name="Result 20" xfId="32" xr:uid="{00000000-0005-0000-0000-000024000000}"/>
    <cellStyle name="Result 4" xfId="33" xr:uid="{00000000-0005-0000-0000-000025000000}"/>
    <cellStyle name="Résultat2" xfId="34" xr:uid="{00000000-0005-0000-0000-000026000000}"/>
    <cellStyle name="Status 18" xfId="35" xr:uid="{00000000-0005-0000-0000-000027000000}"/>
    <cellStyle name="Status 21" xfId="36" xr:uid="{00000000-0005-0000-0000-000028000000}"/>
    <cellStyle name="Text 19" xfId="37" xr:uid="{00000000-0005-0000-0000-000029000000}"/>
    <cellStyle name="Text 22" xfId="38" xr:uid="{00000000-0005-0000-0000-00002A000000}"/>
    <cellStyle name="Warning 20" xfId="39" xr:uid="{00000000-0005-0000-0000-00002B000000}"/>
    <cellStyle name="Warning 23" xfId="40" xr:uid="{00000000-0005-0000-0000-00002C000000}"/>
  </cellStyles>
  <dxfs count="1">
    <dxf>
      <font>
        <color rgb="FFF2F2F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2D05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9"/>
  <sheetViews>
    <sheetView topLeftCell="A16" zoomScale="50" zoomScaleNormal="50" workbookViewId="0">
      <selection activeCell="AQ32" sqref="AQ32"/>
    </sheetView>
  </sheetViews>
  <sheetFormatPr baseColWidth="10" defaultColWidth="11.25" defaultRowHeight="14.25"/>
  <cols>
    <col min="1" max="1" width="8.875" style="1" customWidth="1"/>
    <col min="2" max="2" width="11.25" style="1"/>
    <col min="3" max="38" width="6.875" style="1" customWidth="1"/>
    <col min="39" max="39" width="16.125" style="2" customWidth="1"/>
    <col min="40" max="40" width="12.125" style="2" customWidth="1"/>
    <col min="41" max="48" width="26.375" style="2" customWidth="1"/>
    <col min="49" max="50" width="26.375" style="1" customWidth="1"/>
    <col min="51" max="1024" width="11.25" style="1"/>
  </cols>
  <sheetData>
    <row r="1" spans="1:64" ht="52.5" customHeight="1">
      <c r="A1" s="3" t="s">
        <v>0</v>
      </c>
      <c r="B1" s="4" t="s">
        <v>1</v>
      </c>
      <c r="C1" s="5"/>
      <c r="D1" s="5"/>
      <c r="E1" s="5"/>
      <c r="F1" s="2"/>
      <c r="G1" s="5"/>
      <c r="H1" s="5"/>
      <c r="I1" s="5"/>
      <c r="J1" s="5"/>
      <c r="K1" s="2"/>
      <c r="L1" s="2"/>
      <c r="M1" s="2"/>
      <c r="N1" s="2"/>
      <c r="P1" s="6" t="s">
        <v>2</v>
      </c>
      <c r="Q1" s="5"/>
      <c r="R1" s="7">
        <v>45085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2"/>
      <c r="AF1" s="2"/>
      <c r="AG1" s="5"/>
      <c r="AH1" s="5"/>
      <c r="AI1" s="2"/>
      <c r="AJ1" s="2"/>
      <c r="AK1" s="2"/>
      <c r="AL1" s="2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</row>
    <row r="2" spans="1:64" ht="52.5" customHeight="1">
      <c r="A2" s="3" t="s">
        <v>3</v>
      </c>
      <c r="B2" s="5"/>
      <c r="C2" s="5"/>
      <c r="D2" s="5"/>
      <c r="E2" s="5"/>
      <c r="F2" s="2"/>
      <c r="G2" s="5"/>
      <c r="H2" s="5"/>
      <c r="I2" s="5"/>
      <c r="J2" s="5" t="s">
        <v>4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2"/>
      <c r="AF2" s="5"/>
      <c r="AG2" s="5"/>
      <c r="AH2" s="5"/>
      <c r="AI2" s="2"/>
      <c r="AJ2" s="2"/>
      <c r="AK2" s="2"/>
      <c r="AL2" s="2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</row>
    <row r="3" spans="1:64" ht="52.5" customHeight="1">
      <c r="A3" s="3" t="s">
        <v>5</v>
      </c>
      <c r="B3" s="5"/>
      <c r="C3" s="5" t="s">
        <v>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9" t="s">
        <v>7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2"/>
      <c r="AJ3" s="2"/>
      <c r="AK3" s="2"/>
      <c r="AL3" s="2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</row>
    <row r="4" spans="1:64" ht="19.5" customHeight="1">
      <c r="A4" s="10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</row>
    <row r="5" spans="1:64" ht="35.1" customHeight="1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2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2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</row>
    <row r="6" spans="1:64" ht="35.1" customHeight="1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2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2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</row>
    <row r="7" spans="1:64" ht="35.1" customHeight="1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2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2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</row>
    <row r="8" spans="1:64" ht="16.899999999999999" customHeight="1">
      <c r="A8" s="1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2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2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</row>
    <row r="9" spans="1:64" ht="32.25" customHeight="1">
      <c r="A9" s="14"/>
      <c r="B9" s="15"/>
      <c r="C9" s="317" t="s">
        <v>11</v>
      </c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317"/>
      <c r="O9" s="317" t="s">
        <v>12</v>
      </c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 t="s">
        <v>13</v>
      </c>
      <c r="AB9" s="317"/>
      <c r="AC9" s="317"/>
      <c r="AD9" s="317"/>
      <c r="AE9" s="317"/>
      <c r="AF9" s="317"/>
      <c r="AG9" s="317"/>
      <c r="AH9" s="317"/>
      <c r="AI9" s="317"/>
      <c r="AJ9" s="317"/>
      <c r="AK9" s="317"/>
      <c r="AL9" s="317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</row>
    <row r="10" spans="1:64" ht="22.7" customHeight="1">
      <c r="A10" s="14"/>
      <c r="B10" s="15"/>
      <c r="C10" s="312" t="s">
        <v>14</v>
      </c>
      <c r="D10" s="312"/>
      <c r="E10" s="312"/>
      <c r="F10" s="312"/>
      <c r="G10" s="312" t="s">
        <v>15</v>
      </c>
      <c r="H10" s="312"/>
      <c r="I10" s="312"/>
      <c r="J10" s="312"/>
      <c r="K10" s="312" t="s">
        <v>16</v>
      </c>
      <c r="L10" s="312"/>
      <c r="M10" s="312"/>
      <c r="N10" s="312"/>
      <c r="O10" s="312" t="s">
        <v>15</v>
      </c>
      <c r="P10" s="312"/>
      <c r="Q10" s="312"/>
      <c r="R10" s="312"/>
      <c r="S10" s="312" t="s">
        <v>14</v>
      </c>
      <c r="T10" s="312"/>
      <c r="U10" s="312"/>
      <c r="V10" s="312"/>
      <c r="W10" s="312" t="s">
        <v>17</v>
      </c>
      <c r="X10" s="312"/>
      <c r="Y10" s="312"/>
      <c r="Z10" s="312"/>
      <c r="AA10" s="312" t="s">
        <v>15</v>
      </c>
      <c r="AB10" s="312"/>
      <c r="AC10" s="312"/>
      <c r="AD10" s="312"/>
      <c r="AE10" s="312" t="s">
        <v>16</v>
      </c>
      <c r="AF10" s="312"/>
      <c r="AG10" s="312"/>
      <c r="AH10" s="312"/>
      <c r="AI10" s="312" t="s">
        <v>17</v>
      </c>
      <c r="AJ10" s="312"/>
      <c r="AK10" s="312"/>
      <c r="AL10" s="312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</row>
    <row r="11" spans="1:64" ht="18.600000000000001" customHeight="1">
      <c r="A11" s="14"/>
      <c r="B11" s="15"/>
      <c r="C11" s="309" t="s">
        <v>18</v>
      </c>
      <c r="D11" s="309"/>
      <c r="E11" s="309" t="s">
        <v>19</v>
      </c>
      <c r="F11" s="309"/>
      <c r="G11" s="309" t="s">
        <v>18</v>
      </c>
      <c r="H11" s="309"/>
      <c r="I11" s="309" t="s">
        <v>19</v>
      </c>
      <c r="J11" s="309"/>
      <c r="K11" s="309" t="s">
        <v>18</v>
      </c>
      <c r="L11" s="309"/>
      <c r="M11" s="309" t="s">
        <v>19</v>
      </c>
      <c r="N11" s="309"/>
      <c r="O11" s="309" t="s">
        <v>18</v>
      </c>
      <c r="P11" s="309"/>
      <c r="Q11" s="309" t="s">
        <v>19</v>
      </c>
      <c r="R11" s="309"/>
      <c r="S11" s="309" t="s">
        <v>18</v>
      </c>
      <c r="T11" s="309"/>
      <c r="U11" s="309" t="s">
        <v>19</v>
      </c>
      <c r="V11" s="309"/>
      <c r="W11" s="309" t="s">
        <v>18</v>
      </c>
      <c r="X11" s="309"/>
      <c r="Y11" s="309" t="s">
        <v>19</v>
      </c>
      <c r="Z11" s="309"/>
      <c r="AA11" s="309" t="s">
        <v>18</v>
      </c>
      <c r="AB11" s="309"/>
      <c r="AC11" s="309" t="s">
        <v>19</v>
      </c>
      <c r="AD11" s="309"/>
      <c r="AE11" s="309" t="s">
        <v>18</v>
      </c>
      <c r="AF11" s="309"/>
      <c r="AG11" s="309" t="s">
        <v>19</v>
      </c>
      <c r="AH11" s="309"/>
      <c r="AI11" s="309" t="s">
        <v>18</v>
      </c>
      <c r="AJ11" s="309"/>
      <c r="AK11" s="309" t="s">
        <v>19</v>
      </c>
      <c r="AL11" s="309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64" ht="20.25">
      <c r="A12" s="302" t="s">
        <v>20</v>
      </c>
      <c r="B12" s="302"/>
      <c r="C12" s="17" t="s">
        <v>21</v>
      </c>
      <c r="D12" s="17" t="s">
        <v>22</v>
      </c>
      <c r="E12" s="17" t="s">
        <v>21</v>
      </c>
      <c r="F12" s="17" t="s">
        <v>22</v>
      </c>
      <c r="G12" s="17" t="s">
        <v>21</v>
      </c>
      <c r="H12" s="17" t="s">
        <v>22</v>
      </c>
      <c r="I12" s="17" t="s">
        <v>21</v>
      </c>
      <c r="J12" s="17" t="s">
        <v>22</v>
      </c>
      <c r="K12" s="17" t="s">
        <v>21</v>
      </c>
      <c r="L12" s="17" t="s">
        <v>22</v>
      </c>
      <c r="M12" s="17" t="s">
        <v>21</v>
      </c>
      <c r="N12" s="17" t="s">
        <v>22</v>
      </c>
      <c r="O12" s="17" t="s">
        <v>21</v>
      </c>
      <c r="P12" s="17" t="s">
        <v>22</v>
      </c>
      <c r="Q12" s="17" t="s">
        <v>21</v>
      </c>
      <c r="R12" s="17" t="s">
        <v>22</v>
      </c>
      <c r="S12" s="17" t="s">
        <v>21</v>
      </c>
      <c r="T12" s="17" t="s">
        <v>22</v>
      </c>
      <c r="U12" s="17" t="s">
        <v>21</v>
      </c>
      <c r="V12" s="17" t="s">
        <v>22</v>
      </c>
      <c r="W12" s="17" t="s">
        <v>21</v>
      </c>
      <c r="X12" s="17" t="s">
        <v>22</v>
      </c>
      <c r="Y12" s="17" t="s">
        <v>21</v>
      </c>
      <c r="Z12" s="17" t="s">
        <v>22</v>
      </c>
      <c r="AA12" s="17" t="s">
        <v>21</v>
      </c>
      <c r="AB12" s="17" t="s">
        <v>22</v>
      </c>
      <c r="AC12" s="17" t="s">
        <v>21</v>
      </c>
      <c r="AD12" s="17" t="s">
        <v>22</v>
      </c>
      <c r="AE12" s="17" t="s">
        <v>21</v>
      </c>
      <c r="AF12" s="17" t="s">
        <v>22</v>
      </c>
      <c r="AG12" s="17" t="s">
        <v>21</v>
      </c>
      <c r="AH12" s="17" t="s">
        <v>22</v>
      </c>
      <c r="AI12" s="17" t="s">
        <v>21</v>
      </c>
      <c r="AJ12" s="17" t="s">
        <v>22</v>
      </c>
      <c r="AK12" s="17" t="s">
        <v>21</v>
      </c>
      <c r="AL12" s="17" t="s">
        <v>22</v>
      </c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64" ht="69.95" customHeight="1">
      <c r="A13" s="18">
        <v>0.27083333333333298</v>
      </c>
      <c r="B13" s="18">
        <v>0.29166666666666702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>
        <v>3</v>
      </c>
      <c r="U13" s="19"/>
      <c r="V13" s="19">
        <v>1</v>
      </c>
      <c r="W13" s="19"/>
      <c r="X13" s="19">
        <v>2</v>
      </c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8">
        <f t="shared" ref="AM13:AM18" si="0">SUM(C13:AL13)</f>
        <v>6</v>
      </c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</row>
    <row r="14" spans="1:64" ht="69.95" customHeight="1">
      <c r="A14" s="18">
        <v>0.29166666666666702</v>
      </c>
      <c r="B14" s="18">
        <v>0.3125</v>
      </c>
      <c r="C14" s="19"/>
      <c r="D14" s="19">
        <v>1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>
        <v>1</v>
      </c>
      <c r="X14" s="19">
        <v>5</v>
      </c>
      <c r="Y14" s="19"/>
      <c r="Z14" s="19">
        <v>2</v>
      </c>
      <c r="AA14" s="19"/>
      <c r="AB14" s="19"/>
      <c r="AC14" s="19"/>
      <c r="AD14" s="19"/>
      <c r="AE14" s="19"/>
      <c r="AF14" s="19"/>
      <c r="AG14" s="19">
        <v>1</v>
      </c>
      <c r="AH14" s="19"/>
      <c r="AI14" s="19"/>
      <c r="AJ14" s="19"/>
      <c r="AK14" s="19"/>
      <c r="AL14" s="19">
        <v>1</v>
      </c>
      <c r="AM14" s="8">
        <f t="shared" si="0"/>
        <v>11</v>
      </c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</row>
    <row r="15" spans="1:64" ht="69.95" customHeight="1">
      <c r="A15" s="18">
        <v>0.3125</v>
      </c>
      <c r="B15" s="18">
        <v>0.33333333333333298</v>
      </c>
      <c r="C15" s="19"/>
      <c r="D15" s="19"/>
      <c r="E15" s="19"/>
      <c r="F15" s="19"/>
      <c r="G15" s="19"/>
      <c r="H15" s="19"/>
      <c r="I15" s="19"/>
      <c r="J15" s="19"/>
      <c r="K15" s="19"/>
      <c r="L15" s="19">
        <v>2</v>
      </c>
      <c r="M15" s="19"/>
      <c r="N15" s="19"/>
      <c r="O15" s="19"/>
      <c r="P15" s="19"/>
      <c r="Q15" s="19"/>
      <c r="R15" s="19"/>
      <c r="S15" s="19"/>
      <c r="T15" s="19">
        <v>4</v>
      </c>
      <c r="U15" s="19">
        <v>4</v>
      </c>
      <c r="V15" s="19">
        <v>1</v>
      </c>
      <c r="W15" s="19"/>
      <c r="X15" s="19">
        <v>2</v>
      </c>
      <c r="Y15" s="19"/>
      <c r="Z15" s="19">
        <v>1</v>
      </c>
      <c r="AA15" s="19"/>
      <c r="AB15" s="19">
        <v>1</v>
      </c>
      <c r="AC15" s="19"/>
      <c r="AD15" s="19"/>
      <c r="AE15" s="19">
        <v>1</v>
      </c>
      <c r="AF15" s="19">
        <v>1</v>
      </c>
      <c r="AG15" s="19"/>
      <c r="AH15" s="19"/>
      <c r="AI15" s="19"/>
      <c r="AJ15" s="19"/>
      <c r="AK15" s="19"/>
      <c r="AL15" s="19">
        <v>1</v>
      </c>
      <c r="AM15" s="8">
        <f t="shared" si="0"/>
        <v>18</v>
      </c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</row>
    <row r="16" spans="1:64" ht="69.95" customHeight="1">
      <c r="A16" s="18">
        <v>0.33333333333333298</v>
      </c>
      <c r="B16" s="18">
        <v>0.35416666666666702</v>
      </c>
      <c r="C16" s="19"/>
      <c r="D16" s="19"/>
      <c r="E16" s="19"/>
      <c r="F16" s="19"/>
      <c r="G16" s="19"/>
      <c r="H16" s="19">
        <v>1</v>
      </c>
      <c r="I16" s="19"/>
      <c r="J16" s="19"/>
      <c r="K16" s="19"/>
      <c r="L16" s="19"/>
      <c r="M16" s="19"/>
      <c r="N16" s="19">
        <v>1</v>
      </c>
      <c r="O16" s="19">
        <v>1</v>
      </c>
      <c r="P16" s="19"/>
      <c r="Q16" s="19">
        <v>1</v>
      </c>
      <c r="R16" s="19">
        <v>2</v>
      </c>
      <c r="S16" s="19"/>
      <c r="T16" s="19">
        <v>2</v>
      </c>
      <c r="U16" s="19">
        <v>1</v>
      </c>
      <c r="V16" s="19"/>
      <c r="W16" s="19"/>
      <c r="X16" s="19">
        <v>5</v>
      </c>
      <c r="Y16" s="19"/>
      <c r="Z16" s="19">
        <v>2</v>
      </c>
      <c r="AA16" s="19">
        <v>1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8">
        <f t="shared" si="0"/>
        <v>17</v>
      </c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</row>
    <row r="17" spans="1:64" ht="69.95" customHeight="1">
      <c r="A17" s="18">
        <v>0.35416666666666702</v>
      </c>
      <c r="B17" s="18">
        <v>0.375</v>
      </c>
      <c r="C17" s="19"/>
      <c r="D17" s="19"/>
      <c r="E17" s="19"/>
      <c r="F17" s="19"/>
      <c r="G17" s="19"/>
      <c r="H17" s="19"/>
      <c r="I17" s="19"/>
      <c r="J17" s="19"/>
      <c r="K17" s="19">
        <v>1</v>
      </c>
      <c r="L17" s="19">
        <v>1</v>
      </c>
      <c r="M17" s="19"/>
      <c r="N17" s="19"/>
      <c r="O17" s="19"/>
      <c r="P17" s="19">
        <v>1</v>
      </c>
      <c r="Q17" s="19"/>
      <c r="R17" s="19"/>
      <c r="S17" s="19"/>
      <c r="T17" s="19">
        <v>2</v>
      </c>
      <c r="U17" s="19">
        <v>1</v>
      </c>
      <c r="V17" s="19">
        <v>1</v>
      </c>
      <c r="W17" s="19">
        <v>1</v>
      </c>
      <c r="X17" s="19">
        <v>2</v>
      </c>
      <c r="Y17" s="19">
        <v>2</v>
      </c>
      <c r="Z17" s="19"/>
      <c r="AA17" s="19"/>
      <c r="AB17" s="19"/>
      <c r="AC17" s="19"/>
      <c r="AD17" s="19"/>
      <c r="AE17" s="19"/>
      <c r="AF17" s="19">
        <v>2</v>
      </c>
      <c r="AG17" s="19"/>
      <c r="AH17" s="19"/>
      <c r="AI17" s="19"/>
      <c r="AJ17" s="19">
        <v>2</v>
      </c>
      <c r="AK17" s="19"/>
      <c r="AL17" s="19"/>
      <c r="AM17" s="8">
        <f t="shared" si="0"/>
        <v>16</v>
      </c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</row>
    <row r="18" spans="1:64" ht="7.5" customHeight="1">
      <c r="AM18" s="8">
        <f t="shared" si="0"/>
        <v>0</v>
      </c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</row>
    <row r="19" spans="1:64" s="23" customFormat="1" ht="39.75" customHeight="1">
      <c r="A19" s="20">
        <v>5</v>
      </c>
      <c r="B19" s="21" t="s">
        <v>23</v>
      </c>
      <c r="C19" s="22"/>
      <c r="D19" s="22"/>
      <c r="E19" s="22"/>
      <c r="F19" s="22"/>
      <c r="G19" s="22"/>
      <c r="H19" s="22"/>
      <c r="I19" s="20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64" s="23" customFormat="1" ht="39.75" customHeight="1">
      <c r="A20" s="20">
        <v>2</v>
      </c>
      <c r="B20" s="21" t="s">
        <v>24</v>
      </c>
      <c r="C20" s="22"/>
      <c r="D20" s="22"/>
      <c r="E20" s="22"/>
      <c r="F20" s="22"/>
      <c r="G20" s="22"/>
      <c r="H20" s="22"/>
      <c r="I20" s="20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64" s="23" customFormat="1" ht="39.75" customHeight="1">
      <c r="A21" s="20"/>
      <c r="B21" s="21" t="s">
        <v>25</v>
      </c>
      <c r="C21" s="22"/>
      <c r="D21" s="22"/>
      <c r="E21" s="22"/>
      <c r="F21" s="22"/>
      <c r="G21" s="22"/>
      <c r="H21" s="22"/>
      <c r="I21" s="20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64" s="23" customFormat="1" ht="39.75" customHeight="1">
      <c r="A22" s="20">
        <v>23</v>
      </c>
      <c r="B22" s="21" t="s">
        <v>26</v>
      </c>
      <c r="C22" s="22"/>
      <c r="D22" s="22"/>
      <c r="E22" s="22"/>
      <c r="F22" s="22"/>
      <c r="G22" s="22"/>
      <c r="H22" s="22"/>
      <c r="I22" s="20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64" ht="54.95" customHeight="1">
      <c r="A23" s="24"/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</row>
    <row r="24" spans="1:64" ht="54.95" customHeight="1">
      <c r="A24" s="24"/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5"/>
      <c r="AX24" s="25"/>
    </row>
    <row r="25" spans="1:64" ht="25.5" customHeight="1">
      <c r="A25" s="27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28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28"/>
      <c r="AW25" s="28"/>
      <c r="AX25" s="28"/>
    </row>
    <row r="26" spans="1:64" ht="32.25" customHeight="1">
      <c r="A26" s="14"/>
      <c r="B26" s="15"/>
      <c r="C26" s="317" t="str">
        <f>C9</f>
        <v>De La Gare (Fg St Bernard) vers</v>
      </c>
      <c r="D26" s="317"/>
      <c r="E26" s="317"/>
      <c r="F26" s="317"/>
      <c r="G26" s="317"/>
      <c r="H26" s="317"/>
      <c r="I26" s="317"/>
      <c r="J26" s="317"/>
      <c r="K26" s="317"/>
      <c r="L26" s="317"/>
      <c r="M26" s="317"/>
      <c r="N26" s="317"/>
      <c r="O26" s="317" t="str">
        <f>O9</f>
        <v>Du Pont du Foron vers</v>
      </c>
      <c r="P26" s="317"/>
      <c r="Q26" s="317"/>
      <c r="R26" s="317"/>
      <c r="S26" s="317"/>
      <c r="T26" s="317"/>
      <c r="U26" s="317"/>
      <c r="V26" s="317"/>
      <c r="W26" s="317"/>
      <c r="X26" s="317"/>
      <c r="Y26" s="317"/>
      <c r="Z26" s="317"/>
      <c r="AA26" s="317" t="str">
        <f>AA9</f>
        <v>Du Rd Point La Poste vers</v>
      </c>
      <c r="AB26" s="317"/>
      <c r="AC26" s="317"/>
      <c r="AD26" s="317"/>
      <c r="AE26" s="317"/>
      <c r="AF26" s="317"/>
      <c r="AG26" s="317"/>
      <c r="AH26" s="317"/>
      <c r="AI26" s="317"/>
      <c r="AJ26" s="317"/>
      <c r="AK26" s="317"/>
      <c r="AL26" s="317"/>
      <c r="AM26" s="3"/>
      <c r="AN26" s="5"/>
      <c r="AO26" s="313" t="s">
        <v>27</v>
      </c>
      <c r="AP26" s="314" t="s">
        <v>28</v>
      </c>
      <c r="AQ26" s="315" t="s">
        <v>29</v>
      </c>
      <c r="AR26" s="315" t="s">
        <v>30</v>
      </c>
      <c r="AS26" s="29"/>
      <c r="AT26" s="29"/>
      <c r="AU26" s="29"/>
      <c r="AV26" s="29"/>
      <c r="AW26" s="29"/>
      <c r="AX26" s="316" t="s">
        <v>30</v>
      </c>
      <c r="AY26" s="311" t="s">
        <v>31</v>
      </c>
    </row>
    <row r="27" spans="1:64" ht="22.7" customHeight="1">
      <c r="A27" s="14"/>
      <c r="B27" s="15"/>
      <c r="C27" s="312" t="str">
        <f>C10</f>
        <v>Rd Pt Poste</v>
      </c>
      <c r="D27" s="312"/>
      <c r="E27" s="312"/>
      <c r="F27" s="312"/>
      <c r="G27" s="312" t="str">
        <f>G10</f>
        <v>Rue Perrine</v>
      </c>
      <c r="H27" s="312"/>
      <c r="I27" s="312"/>
      <c r="J27" s="312"/>
      <c r="K27" s="312" t="str">
        <f>K10</f>
        <v>Pont du Foron</v>
      </c>
      <c r="L27" s="312"/>
      <c r="M27" s="312"/>
      <c r="N27" s="312"/>
      <c r="O27" s="312" t="str">
        <f>O10</f>
        <v>Rue Perrine</v>
      </c>
      <c r="P27" s="312"/>
      <c r="Q27" s="312"/>
      <c r="R27" s="312"/>
      <c r="S27" s="312" t="str">
        <f>S10</f>
        <v>Rd Pt Poste</v>
      </c>
      <c r="T27" s="312"/>
      <c r="U27" s="312"/>
      <c r="V27" s="312"/>
      <c r="W27" s="312" t="str">
        <f>W10</f>
        <v>La Gare</v>
      </c>
      <c r="X27" s="312"/>
      <c r="Y27" s="312"/>
      <c r="Z27" s="312"/>
      <c r="AA27" s="312" t="str">
        <f>AA10</f>
        <v>Rue Perrine</v>
      </c>
      <c r="AB27" s="312"/>
      <c r="AC27" s="312"/>
      <c r="AD27" s="312"/>
      <c r="AE27" s="312" t="str">
        <f>AE10</f>
        <v>Pont du Foron</v>
      </c>
      <c r="AF27" s="312"/>
      <c r="AG27" s="312"/>
      <c r="AH27" s="312"/>
      <c r="AI27" s="312" t="str">
        <f>AI10</f>
        <v>La Gare</v>
      </c>
      <c r="AJ27" s="312"/>
      <c r="AK27" s="312"/>
      <c r="AL27" s="312"/>
      <c r="AM27" s="3"/>
      <c r="AN27" s="5"/>
      <c r="AO27" s="313"/>
      <c r="AP27" s="314"/>
      <c r="AQ27" s="315"/>
      <c r="AR27" s="315"/>
      <c r="AS27" s="29"/>
      <c r="AT27" s="29"/>
      <c r="AU27" s="29"/>
      <c r="AV27" s="29"/>
      <c r="AW27" s="29"/>
      <c r="AX27" s="316"/>
      <c r="AY27" s="311"/>
    </row>
    <row r="28" spans="1:64" ht="18.600000000000001" customHeight="1">
      <c r="A28" s="14"/>
      <c r="B28" s="15"/>
      <c r="C28" s="309" t="s">
        <v>18</v>
      </c>
      <c r="D28" s="309"/>
      <c r="E28" s="309" t="s">
        <v>19</v>
      </c>
      <c r="F28" s="309"/>
      <c r="G28" s="309" t="s">
        <v>18</v>
      </c>
      <c r="H28" s="309"/>
      <c r="I28" s="309" t="s">
        <v>19</v>
      </c>
      <c r="J28" s="309"/>
      <c r="K28" s="309" t="s">
        <v>18</v>
      </c>
      <c r="L28" s="309"/>
      <c r="M28" s="309" t="s">
        <v>19</v>
      </c>
      <c r="N28" s="309"/>
      <c r="O28" s="309" t="s">
        <v>18</v>
      </c>
      <c r="P28" s="309"/>
      <c r="Q28" s="309" t="s">
        <v>19</v>
      </c>
      <c r="R28" s="309"/>
      <c r="S28" s="309" t="s">
        <v>18</v>
      </c>
      <c r="T28" s="309"/>
      <c r="U28" s="309" t="s">
        <v>19</v>
      </c>
      <c r="V28" s="309"/>
      <c r="W28" s="309" t="s">
        <v>18</v>
      </c>
      <c r="X28" s="309"/>
      <c r="Y28" s="309" t="s">
        <v>19</v>
      </c>
      <c r="Z28" s="309"/>
      <c r="AA28" s="309" t="s">
        <v>18</v>
      </c>
      <c r="AB28" s="309"/>
      <c r="AC28" s="309" t="s">
        <v>19</v>
      </c>
      <c r="AD28" s="309"/>
      <c r="AE28" s="309" t="s">
        <v>18</v>
      </c>
      <c r="AF28" s="309"/>
      <c r="AG28" s="309" t="s">
        <v>19</v>
      </c>
      <c r="AH28" s="309"/>
      <c r="AI28" s="309" t="s">
        <v>18</v>
      </c>
      <c r="AJ28" s="309"/>
      <c r="AK28" s="309" t="s">
        <v>19</v>
      </c>
      <c r="AL28" s="309"/>
      <c r="AM28" s="32"/>
      <c r="AN28" s="5"/>
      <c r="AO28" s="313"/>
      <c r="AP28" s="314"/>
      <c r="AQ28" s="315"/>
      <c r="AR28" s="315"/>
      <c r="AS28" s="29"/>
      <c r="AT28" s="29"/>
      <c r="AU28" s="29"/>
      <c r="AV28" s="29"/>
      <c r="AW28" s="29"/>
      <c r="AX28" s="316"/>
      <c r="AY28" s="311"/>
    </row>
    <row r="29" spans="1:64" ht="40.5">
      <c r="A29" s="302" t="s">
        <v>20</v>
      </c>
      <c r="B29" s="302"/>
      <c r="C29" s="17" t="s">
        <v>21</v>
      </c>
      <c r="D29" s="17" t="s">
        <v>22</v>
      </c>
      <c r="E29" s="17" t="s">
        <v>21</v>
      </c>
      <c r="F29" s="17" t="s">
        <v>22</v>
      </c>
      <c r="G29" s="17" t="s">
        <v>21</v>
      </c>
      <c r="H29" s="17" t="s">
        <v>22</v>
      </c>
      <c r="I29" s="17" t="s">
        <v>21</v>
      </c>
      <c r="J29" s="17" t="s">
        <v>22</v>
      </c>
      <c r="K29" s="17" t="s">
        <v>21</v>
      </c>
      <c r="L29" s="17" t="s">
        <v>22</v>
      </c>
      <c r="M29" s="17" t="s">
        <v>21</v>
      </c>
      <c r="N29" s="17" t="s">
        <v>22</v>
      </c>
      <c r="O29" s="17" t="s">
        <v>21</v>
      </c>
      <c r="P29" s="17" t="s">
        <v>22</v>
      </c>
      <c r="Q29" s="17" t="s">
        <v>21</v>
      </c>
      <c r="R29" s="17" t="s">
        <v>22</v>
      </c>
      <c r="S29" s="17" t="s">
        <v>21</v>
      </c>
      <c r="T29" s="17" t="s">
        <v>22</v>
      </c>
      <c r="U29" s="17" t="s">
        <v>21</v>
      </c>
      <c r="V29" s="17" t="s">
        <v>22</v>
      </c>
      <c r="W29" s="17" t="s">
        <v>21</v>
      </c>
      <c r="X29" s="17" t="s">
        <v>22</v>
      </c>
      <c r="Y29" s="17" t="s">
        <v>21</v>
      </c>
      <c r="Z29" s="17" t="s">
        <v>22</v>
      </c>
      <c r="AA29" s="17" t="s">
        <v>21</v>
      </c>
      <c r="AB29" s="17" t="s">
        <v>22</v>
      </c>
      <c r="AC29" s="17" t="s">
        <v>21</v>
      </c>
      <c r="AD29" s="17" t="s">
        <v>22</v>
      </c>
      <c r="AE29" s="17" t="s">
        <v>21</v>
      </c>
      <c r="AF29" s="17" t="s">
        <v>22</v>
      </c>
      <c r="AG29" s="17" t="s">
        <v>21</v>
      </c>
      <c r="AH29" s="17" t="s">
        <v>22</v>
      </c>
      <c r="AI29" s="17" t="s">
        <v>21</v>
      </c>
      <c r="AJ29" s="17" t="s">
        <v>22</v>
      </c>
      <c r="AK29" s="17" t="s">
        <v>21</v>
      </c>
      <c r="AL29" s="17" t="s">
        <v>22</v>
      </c>
      <c r="AM29" s="310" t="s">
        <v>20</v>
      </c>
      <c r="AN29" s="310"/>
      <c r="AO29" s="313"/>
      <c r="AP29" s="314"/>
      <c r="AQ29" s="315"/>
      <c r="AR29" s="315"/>
      <c r="AS29" s="34" t="s">
        <v>32</v>
      </c>
      <c r="AT29" s="34" t="s">
        <v>33</v>
      </c>
      <c r="AU29" s="34" t="s">
        <v>24</v>
      </c>
      <c r="AV29" s="34" t="s">
        <v>34</v>
      </c>
      <c r="AW29" s="29"/>
      <c r="AX29" s="316"/>
      <c r="AY29" s="311"/>
    </row>
    <row r="30" spans="1:64" s="1" customFormat="1" ht="54.95" customHeight="1">
      <c r="A30" s="302" t="s">
        <v>35</v>
      </c>
      <c r="B30" s="302"/>
      <c r="C30" s="19">
        <f t="shared" ref="C30:AL30" si="1">+C13</f>
        <v>0</v>
      </c>
      <c r="D30" s="19">
        <f t="shared" si="1"/>
        <v>0</v>
      </c>
      <c r="E30" s="19">
        <f t="shared" si="1"/>
        <v>0</v>
      </c>
      <c r="F30" s="19">
        <f t="shared" si="1"/>
        <v>0</v>
      </c>
      <c r="G30" s="19">
        <f t="shared" si="1"/>
        <v>0</v>
      </c>
      <c r="H30" s="19">
        <f t="shared" si="1"/>
        <v>0</v>
      </c>
      <c r="I30" s="19">
        <f t="shared" si="1"/>
        <v>0</v>
      </c>
      <c r="J30" s="19">
        <f t="shared" si="1"/>
        <v>0</v>
      </c>
      <c r="K30" s="19">
        <f t="shared" si="1"/>
        <v>0</v>
      </c>
      <c r="L30" s="19">
        <f t="shared" si="1"/>
        <v>0</v>
      </c>
      <c r="M30" s="19">
        <f t="shared" si="1"/>
        <v>0</v>
      </c>
      <c r="N30" s="19">
        <f t="shared" si="1"/>
        <v>0</v>
      </c>
      <c r="O30" s="19">
        <f t="shared" si="1"/>
        <v>0</v>
      </c>
      <c r="P30" s="19">
        <f t="shared" si="1"/>
        <v>0</v>
      </c>
      <c r="Q30" s="19">
        <f t="shared" si="1"/>
        <v>0</v>
      </c>
      <c r="R30" s="19">
        <f t="shared" si="1"/>
        <v>0</v>
      </c>
      <c r="S30" s="19">
        <f t="shared" si="1"/>
        <v>0</v>
      </c>
      <c r="T30" s="19">
        <f t="shared" si="1"/>
        <v>3</v>
      </c>
      <c r="U30" s="19">
        <f t="shared" si="1"/>
        <v>0</v>
      </c>
      <c r="V30" s="19">
        <f t="shared" si="1"/>
        <v>1</v>
      </c>
      <c r="W30" s="19">
        <f t="shared" si="1"/>
        <v>0</v>
      </c>
      <c r="X30" s="19">
        <f t="shared" si="1"/>
        <v>2</v>
      </c>
      <c r="Y30" s="19">
        <f t="shared" si="1"/>
        <v>0</v>
      </c>
      <c r="Z30" s="19">
        <f t="shared" si="1"/>
        <v>0</v>
      </c>
      <c r="AA30" s="19">
        <f t="shared" si="1"/>
        <v>0</v>
      </c>
      <c r="AB30" s="19">
        <f t="shared" si="1"/>
        <v>0</v>
      </c>
      <c r="AC30" s="19">
        <f t="shared" si="1"/>
        <v>0</v>
      </c>
      <c r="AD30" s="19">
        <f t="shared" si="1"/>
        <v>0</v>
      </c>
      <c r="AE30" s="19">
        <f t="shared" si="1"/>
        <v>0</v>
      </c>
      <c r="AF30" s="19">
        <f t="shared" si="1"/>
        <v>0</v>
      </c>
      <c r="AG30" s="19">
        <f t="shared" si="1"/>
        <v>0</v>
      </c>
      <c r="AH30" s="19">
        <f t="shared" si="1"/>
        <v>0</v>
      </c>
      <c r="AI30" s="19">
        <f t="shared" si="1"/>
        <v>0</v>
      </c>
      <c r="AJ30" s="19">
        <f t="shared" si="1"/>
        <v>0</v>
      </c>
      <c r="AK30" s="19">
        <f t="shared" si="1"/>
        <v>0</v>
      </c>
      <c r="AL30" s="19">
        <f t="shared" si="1"/>
        <v>0</v>
      </c>
      <c r="AM30" s="302" t="s">
        <v>35</v>
      </c>
      <c r="AN30" s="302"/>
      <c r="AO30" s="35">
        <f>SUM(C30:AL30)</f>
        <v>6</v>
      </c>
      <c r="AP30" s="36">
        <f>C30+E30+G30+I30+K30+M30+O30+Q30+S30+U30+W30+Y30+AA30+AC30+AE30+AG30+AI30+AK30</f>
        <v>0</v>
      </c>
      <c r="AQ30" s="36">
        <f>E30+F30+I30+J30+M30+N30+Q30+R30+U30+V30+Y30+Z30+AC30+AD30+AG30+AH30+AK30+AL30</f>
        <v>1</v>
      </c>
      <c r="AR30" s="36">
        <f>E30+I30+M30+Q30+U30+Y30+AC30+AG30+AK30</f>
        <v>0</v>
      </c>
      <c r="AW30" s="36"/>
      <c r="AX30" s="36">
        <f t="shared" ref="AX30:AX35" si="2">E30+I30+M30+Q30+U30+Y30+AC30+AG30+AK30</f>
        <v>0</v>
      </c>
      <c r="AY30" s="36">
        <f t="shared" ref="AY30:AY35" si="3">SUM(C30:N30)+SUM(W30:Z30)+SUM(AI30:AL30)</f>
        <v>2</v>
      </c>
    </row>
    <row r="31" spans="1:64" s="1" customFormat="1" ht="54.95" customHeight="1">
      <c r="A31" s="302" t="s">
        <v>36</v>
      </c>
      <c r="B31" s="302"/>
      <c r="C31" s="19">
        <f t="shared" ref="C31:AL31" si="4">+C14</f>
        <v>0</v>
      </c>
      <c r="D31" s="19">
        <f t="shared" si="4"/>
        <v>1</v>
      </c>
      <c r="E31" s="19">
        <f t="shared" si="4"/>
        <v>0</v>
      </c>
      <c r="F31" s="19">
        <f t="shared" si="4"/>
        <v>0</v>
      </c>
      <c r="G31" s="19">
        <f t="shared" si="4"/>
        <v>0</v>
      </c>
      <c r="H31" s="19">
        <f t="shared" si="4"/>
        <v>0</v>
      </c>
      <c r="I31" s="19">
        <f t="shared" si="4"/>
        <v>0</v>
      </c>
      <c r="J31" s="19">
        <f t="shared" si="4"/>
        <v>0</v>
      </c>
      <c r="K31" s="19">
        <f t="shared" si="4"/>
        <v>0</v>
      </c>
      <c r="L31" s="19">
        <f t="shared" si="4"/>
        <v>0</v>
      </c>
      <c r="M31" s="19">
        <f t="shared" si="4"/>
        <v>0</v>
      </c>
      <c r="N31" s="19">
        <f t="shared" si="4"/>
        <v>0</v>
      </c>
      <c r="O31" s="19">
        <f t="shared" si="4"/>
        <v>0</v>
      </c>
      <c r="P31" s="19">
        <f t="shared" si="4"/>
        <v>0</v>
      </c>
      <c r="Q31" s="19">
        <f t="shared" si="4"/>
        <v>0</v>
      </c>
      <c r="R31" s="19">
        <f t="shared" si="4"/>
        <v>0</v>
      </c>
      <c r="S31" s="19">
        <f t="shared" si="4"/>
        <v>0</v>
      </c>
      <c r="T31" s="19">
        <f t="shared" si="4"/>
        <v>0</v>
      </c>
      <c r="U31" s="19">
        <f t="shared" si="4"/>
        <v>0</v>
      </c>
      <c r="V31" s="19">
        <f t="shared" si="4"/>
        <v>0</v>
      </c>
      <c r="W31" s="19">
        <f t="shared" si="4"/>
        <v>1</v>
      </c>
      <c r="X31" s="19">
        <f t="shared" si="4"/>
        <v>5</v>
      </c>
      <c r="Y31" s="19">
        <f t="shared" si="4"/>
        <v>0</v>
      </c>
      <c r="Z31" s="19">
        <f t="shared" si="4"/>
        <v>2</v>
      </c>
      <c r="AA31" s="19">
        <f t="shared" si="4"/>
        <v>0</v>
      </c>
      <c r="AB31" s="19">
        <f t="shared" si="4"/>
        <v>0</v>
      </c>
      <c r="AC31" s="19">
        <f t="shared" si="4"/>
        <v>0</v>
      </c>
      <c r="AD31" s="19">
        <f t="shared" si="4"/>
        <v>0</v>
      </c>
      <c r="AE31" s="19">
        <f t="shared" si="4"/>
        <v>0</v>
      </c>
      <c r="AF31" s="19">
        <f t="shared" si="4"/>
        <v>0</v>
      </c>
      <c r="AG31" s="19">
        <f t="shared" si="4"/>
        <v>1</v>
      </c>
      <c r="AH31" s="19">
        <f t="shared" si="4"/>
        <v>0</v>
      </c>
      <c r="AI31" s="19">
        <f t="shared" si="4"/>
        <v>0</v>
      </c>
      <c r="AJ31" s="19">
        <f t="shared" si="4"/>
        <v>0</v>
      </c>
      <c r="AK31" s="19">
        <f t="shared" si="4"/>
        <v>0</v>
      </c>
      <c r="AL31" s="19">
        <f t="shared" si="4"/>
        <v>1</v>
      </c>
      <c r="AM31" s="302" t="s">
        <v>36</v>
      </c>
      <c r="AN31" s="302"/>
      <c r="AO31" s="35">
        <f>SUM(C31:AL31)</f>
        <v>11</v>
      </c>
      <c r="AP31" s="36">
        <f>C31+E31+G31+I31+K31+M31+O31+Q31+S31+U31+W31+Y31+AA31+AC31+AE31+AG31+AI31+AK31</f>
        <v>2</v>
      </c>
      <c r="AQ31" s="36">
        <f>E31+F31+I31+J31+M31+N31+Q31+R31+U31+V31+Y31+Z31+AC31+AD31+AG31+AH31+AK31+AL31</f>
        <v>4</v>
      </c>
      <c r="AR31" s="36">
        <f>E31+I31+M31+Q31+U31+Y31+AC31+AG31+AK31</f>
        <v>1</v>
      </c>
      <c r="AW31" s="36"/>
      <c r="AX31" s="36">
        <f t="shared" si="2"/>
        <v>1</v>
      </c>
      <c r="AY31" s="36">
        <f t="shared" si="3"/>
        <v>10</v>
      </c>
    </row>
    <row r="32" spans="1:64" s="1" customFormat="1" ht="54.95" customHeight="1">
      <c r="A32" s="302" t="s">
        <v>37</v>
      </c>
      <c r="B32" s="302"/>
      <c r="C32" s="19">
        <f t="shared" ref="C32:AL32" si="5">+C15</f>
        <v>0</v>
      </c>
      <c r="D32" s="19">
        <f t="shared" si="5"/>
        <v>0</v>
      </c>
      <c r="E32" s="19">
        <f t="shared" si="5"/>
        <v>0</v>
      </c>
      <c r="F32" s="19">
        <f t="shared" si="5"/>
        <v>0</v>
      </c>
      <c r="G32" s="19">
        <f t="shared" si="5"/>
        <v>0</v>
      </c>
      <c r="H32" s="19">
        <f t="shared" si="5"/>
        <v>0</v>
      </c>
      <c r="I32" s="19">
        <f t="shared" si="5"/>
        <v>0</v>
      </c>
      <c r="J32" s="19">
        <f t="shared" si="5"/>
        <v>0</v>
      </c>
      <c r="K32" s="19">
        <f t="shared" si="5"/>
        <v>0</v>
      </c>
      <c r="L32" s="19">
        <f t="shared" si="5"/>
        <v>2</v>
      </c>
      <c r="M32" s="19">
        <f t="shared" si="5"/>
        <v>0</v>
      </c>
      <c r="N32" s="19">
        <f t="shared" si="5"/>
        <v>0</v>
      </c>
      <c r="O32" s="19">
        <f t="shared" si="5"/>
        <v>0</v>
      </c>
      <c r="P32" s="19">
        <f t="shared" si="5"/>
        <v>0</v>
      </c>
      <c r="Q32" s="19">
        <f t="shared" si="5"/>
        <v>0</v>
      </c>
      <c r="R32" s="19">
        <f t="shared" si="5"/>
        <v>0</v>
      </c>
      <c r="S32" s="19">
        <f t="shared" si="5"/>
        <v>0</v>
      </c>
      <c r="T32" s="19">
        <f t="shared" si="5"/>
        <v>4</v>
      </c>
      <c r="U32" s="19">
        <f t="shared" si="5"/>
        <v>4</v>
      </c>
      <c r="V32" s="19">
        <f t="shared" si="5"/>
        <v>1</v>
      </c>
      <c r="W32" s="19">
        <f t="shared" si="5"/>
        <v>0</v>
      </c>
      <c r="X32" s="19">
        <f t="shared" si="5"/>
        <v>2</v>
      </c>
      <c r="Y32" s="19">
        <f t="shared" si="5"/>
        <v>0</v>
      </c>
      <c r="Z32" s="19">
        <f t="shared" si="5"/>
        <v>1</v>
      </c>
      <c r="AA32" s="19">
        <f t="shared" si="5"/>
        <v>0</v>
      </c>
      <c r="AB32" s="19">
        <f t="shared" si="5"/>
        <v>1</v>
      </c>
      <c r="AC32" s="19">
        <f t="shared" si="5"/>
        <v>0</v>
      </c>
      <c r="AD32" s="19">
        <f t="shared" si="5"/>
        <v>0</v>
      </c>
      <c r="AE32" s="19">
        <f t="shared" si="5"/>
        <v>1</v>
      </c>
      <c r="AF32" s="19">
        <f t="shared" si="5"/>
        <v>1</v>
      </c>
      <c r="AG32" s="19">
        <f t="shared" si="5"/>
        <v>0</v>
      </c>
      <c r="AH32" s="19">
        <f t="shared" si="5"/>
        <v>0</v>
      </c>
      <c r="AI32" s="19">
        <f t="shared" si="5"/>
        <v>0</v>
      </c>
      <c r="AJ32" s="19">
        <f t="shared" si="5"/>
        <v>0</v>
      </c>
      <c r="AK32" s="19">
        <f t="shared" si="5"/>
        <v>0</v>
      </c>
      <c r="AL32" s="19">
        <f t="shared" si="5"/>
        <v>1</v>
      </c>
      <c r="AM32" s="302" t="s">
        <v>37</v>
      </c>
      <c r="AN32" s="302"/>
      <c r="AO32" s="35">
        <f>SUM(C32:AL32)</f>
        <v>18</v>
      </c>
      <c r="AP32" s="36">
        <f>C32+E32+G32+I32+K32+M32+O32+Q32+S32+U32+W32+Y32+AA32+AC32+AE32+AG32+AI32+AK32</f>
        <v>5</v>
      </c>
      <c r="AQ32" s="36">
        <f>E32+F32+I32+J32+M32+N32+Q32+R32+U32+V32+Y32+Z32+AC32+AD32+AG32+AH32+AK32+AL32</f>
        <v>7</v>
      </c>
      <c r="AR32" s="36">
        <f>E32+I32+M32+Q32+U32+Y32+AC32+AG32+AK32</f>
        <v>4</v>
      </c>
      <c r="AW32" s="36"/>
      <c r="AX32" s="36">
        <f t="shared" si="2"/>
        <v>4</v>
      </c>
      <c r="AY32" s="36">
        <f t="shared" si="3"/>
        <v>6</v>
      </c>
    </row>
    <row r="33" spans="1:52" s="1" customFormat="1" ht="54.95" customHeight="1">
      <c r="A33" s="302" t="s">
        <v>38</v>
      </c>
      <c r="B33" s="302"/>
      <c r="C33" s="19">
        <f t="shared" ref="C33:AL33" si="6">+C16</f>
        <v>0</v>
      </c>
      <c r="D33" s="19">
        <f t="shared" si="6"/>
        <v>0</v>
      </c>
      <c r="E33" s="19">
        <f t="shared" si="6"/>
        <v>0</v>
      </c>
      <c r="F33" s="19">
        <f t="shared" si="6"/>
        <v>0</v>
      </c>
      <c r="G33" s="19">
        <f t="shared" si="6"/>
        <v>0</v>
      </c>
      <c r="H33" s="19">
        <f t="shared" si="6"/>
        <v>1</v>
      </c>
      <c r="I33" s="19">
        <f t="shared" si="6"/>
        <v>0</v>
      </c>
      <c r="J33" s="19">
        <f t="shared" si="6"/>
        <v>0</v>
      </c>
      <c r="K33" s="19">
        <f t="shared" si="6"/>
        <v>0</v>
      </c>
      <c r="L33" s="19">
        <f t="shared" si="6"/>
        <v>0</v>
      </c>
      <c r="M33" s="19">
        <f t="shared" si="6"/>
        <v>0</v>
      </c>
      <c r="N33" s="19">
        <f t="shared" si="6"/>
        <v>1</v>
      </c>
      <c r="O33" s="19">
        <f t="shared" si="6"/>
        <v>1</v>
      </c>
      <c r="P33" s="19">
        <f t="shared" si="6"/>
        <v>0</v>
      </c>
      <c r="Q33" s="19">
        <f t="shared" si="6"/>
        <v>1</v>
      </c>
      <c r="R33" s="19">
        <f t="shared" si="6"/>
        <v>2</v>
      </c>
      <c r="S33" s="19">
        <f t="shared" si="6"/>
        <v>0</v>
      </c>
      <c r="T33" s="19">
        <f t="shared" si="6"/>
        <v>2</v>
      </c>
      <c r="U33" s="19">
        <f t="shared" si="6"/>
        <v>1</v>
      </c>
      <c r="V33" s="19">
        <f t="shared" si="6"/>
        <v>0</v>
      </c>
      <c r="W33" s="19">
        <f t="shared" si="6"/>
        <v>0</v>
      </c>
      <c r="X33" s="19">
        <f t="shared" si="6"/>
        <v>5</v>
      </c>
      <c r="Y33" s="19">
        <f t="shared" si="6"/>
        <v>0</v>
      </c>
      <c r="Z33" s="19">
        <f t="shared" si="6"/>
        <v>2</v>
      </c>
      <c r="AA33" s="19">
        <f t="shared" si="6"/>
        <v>1</v>
      </c>
      <c r="AB33" s="19">
        <f t="shared" si="6"/>
        <v>0</v>
      </c>
      <c r="AC33" s="19">
        <f t="shared" si="6"/>
        <v>0</v>
      </c>
      <c r="AD33" s="19">
        <f t="shared" si="6"/>
        <v>0</v>
      </c>
      <c r="AE33" s="19">
        <f t="shared" si="6"/>
        <v>0</v>
      </c>
      <c r="AF33" s="19">
        <f t="shared" si="6"/>
        <v>0</v>
      </c>
      <c r="AG33" s="19">
        <f t="shared" si="6"/>
        <v>0</v>
      </c>
      <c r="AH33" s="19">
        <f t="shared" si="6"/>
        <v>0</v>
      </c>
      <c r="AI33" s="19">
        <f t="shared" si="6"/>
        <v>0</v>
      </c>
      <c r="AJ33" s="19">
        <f t="shared" si="6"/>
        <v>0</v>
      </c>
      <c r="AK33" s="19">
        <f t="shared" si="6"/>
        <v>0</v>
      </c>
      <c r="AL33" s="19">
        <f t="shared" si="6"/>
        <v>0</v>
      </c>
      <c r="AM33" s="302" t="s">
        <v>38</v>
      </c>
      <c r="AN33" s="302"/>
      <c r="AO33" s="35">
        <f>SUM(C33:AL33)</f>
        <v>17</v>
      </c>
      <c r="AP33" s="36">
        <f>C33+E33+G33+I33+K33+M33+O33+Q33+S33+U33+W33+Y33+AA33+AC33+AE33+AG33+AI33+AK33</f>
        <v>4</v>
      </c>
      <c r="AQ33" s="36">
        <f>E33+F33+I33+J33+M33+N33+Q33+R33+U33+V33+Y33+Z33+AC33+AD33+AG33+AH33+AK33+AL33</f>
        <v>7</v>
      </c>
      <c r="AR33" s="36">
        <f>E33+I33+M33+Q33+U33+Y33+AC33+AG33+AK33</f>
        <v>2</v>
      </c>
      <c r="AW33" s="36"/>
      <c r="AX33" s="36">
        <f t="shared" si="2"/>
        <v>2</v>
      </c>
      <c r="AY33" s="36">
        <f t="shared" si="3"/>
        <v>9</v>
      </c>
    </row>
    <row r="34" spans="1:52" s="1" customFormat="1" ht="54.95" customHeight="1">
      <c r="A34" s="302" t="s">
        <v>39</v>
      </c>
      <c r="B34" s="302"/>
      <c r="C34" s="19">
        <f t="shared" ref="C34:AL34" si="7">+C17</f>
        <v>0</v>
      </c>
      <c r="D34" s="19">
        <f t="shared" si="7"/>
        <v>0</v>
      </c>
      <c r="E34" s="19">
        <f t="shared" si="7"/>
        <v>0</v>
      </c>
      <c r="F34" s="19">
        <f t="shared" si="7"/>
        <v>0</v>
      </c>
      <c r="G34" s="19">
        <f t="shared" si="7"/>
        <v>0</v>
      </c>
      <c r="H34" s="19">
        <f t="shared" si="7"/>
        <v>0</v>
      </c>
      <c r="I34" s="19">
        <f t="shared" si="7"/>
        <v>0</v>
      </c>
      <c r="J34" s="19">
        <f t="shared" si="7"/>
        <v>0</v>
      </c>
      <c r="K34" s="19">
        <f t="shared" si="7"/>
        <v>1</v>
      </c>
      <c r="L34" s="19">
        <f t="shared" si="7"/>
        <v>1</v>
      </c>
      <c r="M34" s="19">
        <f t="shared" si="7"/>
        <v>0</v>
      </c>
      <c r="N34" s="19">
        <f t="shared" si="7"/>
        <v>0</v>
      </c>
      <c r="O34" s="19">
        <f t="shared" si="7"/>
        <v>0</v>
      </c>
      <c r="P34" s="19">
        <f t="shared" si="7"/>
        <v>1</v>
      </c>
      <c r="Q34" s="19">
        <f t="shared" si="7"/>
        <v>0</v>
      </c>
      <c r="R34" s="19">
        <f t="shared" si="7"/>
        <v>0</v>
      </c>
      <c r="S34" s="19">
        <f t="shared" si="7"/>
        <v>0</v>
      </c>
      <c r="T34" s="19">
        <f t="shared" si="7"/>
        <v>2</v>
      </c>
      <c r="U34" s="19">
        <f t="shared" si="7"/>
        <v>1</v>
      </c>
      <c r="V34" s="19">
        <f t="shared" si="7"/>
        <v>1</v>
      </c>
      <c r="W34" s="19">
        <f t="shared" si="7"/>
        <v>1</v>
      </c>
      <c r="X34" s="19">
        <f t="shared" si="7"/>
        <v>2</v>
      </c>
      <c r="Y34" s="19">
        <f t="shared" si="7"/>
        <v>2</v>
      </c>
      <c r="Z34" s="19">
        <f t="shared" si="7"/>
        <v>0</v>
      </c>
      <c r="AA34" s="19">
        <f t="shared" si="7"/>
        <v>0</v>
      </c>
      <c r="AB34" s="19">
        <f t="shared" si="7"/>
        <v>0</v>
      </c>
      <c r="AC34" s="19">
        <f t="shared" si="7"/>
        <v>0</v>
      </c>
      <c r="AD34" s="19">
        <f t="shared" si="7"/>
        <v>0</v>
      </c>
      <c r="AE34" s="19">
        <f t="shared" si="7"/>
        <v>0</v>
      </c>
      <c r="AF34" s="19">
        <f t="shared" si="7"/>
        <v>2</v>
      </c>
      <c r="AG34" s="19">
        <f t="shared" si="7"/>
        <v>0</v>
      </c>
      <c r="AH34" s="19">
        <f t="shared" si="7"/>
        <v>0</v>
      </c>
      <c r="AI34" s="19">
        <f t="shared" si="7"/>
        <v>0</v>
      </c>
      <c r="AJ34" s="19">
        <f t="shared" si="7"/>
        <v>2</v>
      </c>
      <c r="AK34" s="19">
        <f t="shared" si="7"/>
        <v>0</v>
      </c>
      <c r="AL34" s="19">
        <f t="shared" si="7"/>
        <v>0</v>
      </c>
      <c r="AM34" s="302" t="s">
        <v>39</v>
      </c>
      <c r="AN34" s="302"/>
      <c r="AO34" s="35">
        <f>SUM(C34:AL34)</f>
        <v>16</v>
      </c>
      <c r="AP34" s="36">
        <f>C34+E34+G34+I34+K34+M34+O34+Q34+S34+U34+W34+Y34+AA34+AC34+AE34+AG34+AI34+AK34</f>
        <v>5</v>
      </c>
      <c r="AQ34" s="36">
        <f>E34+F34+I34+J34+M34+N34+Q34+R34+U34+V34+Y34+Z34+AC34+AD34+AG34+AH34+AK34+AL34</f>
        <v>4</v>
      </c>
      <c r="AR34" s="36">
        <f>E34+I34+M34+Q34+U34+Y34+AC34+AG34+AK34</f>
        <v>3</v>
      </c>
      <c r="AW34" s="36"/>
      <c r="AX34" s="36">
        <f t="shared" si="2"/>
        <v>3</v>
      </c>
      <c r="AY34" s="36">
        <f t="shared" si="3"/>
        <v>9</v>
      </c>
    </row>
    <row r="35" spans="1:52" ht="54.95" customHeight="1">
      <c r="A35" s="302" t="s">
        <v>27</v>
      </c>
      <c r="B35" s="302"/>
      <c r="C35" s="19">
        <f t="shared" ref="C35:AL35" si="8">+C18</f>
        <v>0</v>
      </c>
      <c r="D35" s="19">
        <f t="shared" si="8"/>
        <v>0</v>
      </c>
      <c r="E35" s="19">
        <f t="shared" si="8"/>
        <v>0</v>
      </c>
      <c r="F35" s="19">
        <f t="shared" si="8"/>
        <v>0</v>
      </c>
      <c r="G35" s="19">
        <f t="shared" si="8"/>
        <v>0</v>
      </c>
      <c r="H35" s="19">
        <f t="shared" si="8"/>
        <v>0</v>
      </c>
      <c r="I35" s="19">
        <f t="shared" si="8"/>
        <v>0</v>
      </c>
      <c r="J35" s="19">
        <f t="shared" si="8"/>
        <v>0</v>
      </c>
      <c r="K35" s="19">
        <f t="shared" si="8"/>
        <v>0</v>
      </c>
      <c r="L35" s="19">
        <f t="shared" si="8"/>
        <v>0</v>
      </c>
      <c r="M35" s="19">
        <f t="shared" si="8"/>
        <v>0</v>
      </c>
      <c r="N35" s="19">
        <f t="shared" si="8"/>
        <v>0</v>
      </c>
      <c r="O35" s="19">
        <f t="shared" si="8"/>
        <v>0</v>
      </c>
      <c r="P35" s="19">
        <f t="shared" si="8"/>
        <v>0</v>
      </c>
      <c r="Q35" s="19">
        <f t="shared" si="8"/>
        <v>0</v>
      </c>
      <c r="R35" s="19">
        <f t="shared" si="8"/>
        <v>0</v>
      </c>
      <c r="S35" s="19">
        <f t="shared" si="8"/>
        <v>0</v>
      </c>
      <c r="T35" s="19">
        <f t="shared" si="8"/>
        <v>0</v>
      </c>
      <c r="U35" s="19">
        <f t="shared" si="8"/>
        <v>0</v>
      </c>
      <c r="V35" s="19">
        <f t="shared" si="8"/>
        <v>0</v>
      </c>
      <c r="W35" s="19">
        <f t="shared" si="8"/>
        <v>0</v>
      </c>
      <c r="X35" s="19">
        <f t="shared" si="8"/>
        <v>0</v>
      </c>
      <c r="Y35" s="19">
        <f t="shared" si="8"/>
        <v>0</v>
      </c>
      <c r="Z35" s="19">
        <f t="shared" si="8"/>
        <v>0</v>
      </c>
      <c r="AA35" s="19">
        <f t="shared" si="8"/>
        <v>0</v>
      </c>
      <c r="AB35" s="19">
        <f t="shared" si="8"/>
        <v>0</v>
      </c>
      <c r="AC35" s="19">
        <f t="shared" si="8"/>
        <v>0</v>
      </c>
      <c r="AD35" s="19">
        <f t="shared" si="8"/>
        <v>0</v>
      </c>
      <c r="AE35" s="19">
        <f t="shared" si="8"/>
        <v>0</v>
      </c>
      <c r="AF35" s="19">
        <f t="shared" si="8"/>
        <v>0</v>
      </c>
      <c r="AG35" s="19">
        <f t="shared" si="8"/>
        <v>0</v>
      </c>
      <c r="AH35" s="19">
        <f t="shared" si="8"/>
        <v>0</v>
      </c>
      <c r="AI35" s="19">
        <f t="shared" si="8"/>
        <v>0</v>
      </c>
      <c r="AJ35" s="19">
        <f t="shared" si="8"/>
        <v>0</v>
      </c>
      <c r="AK35" s="19">
        <f t="shared" si="8"/>
        <v>0</v>
      </c>
      <c r="AL35" s="19">
        <f t="shared" si="8"/>
        <v>0</v>
      </c>
      <c r="AM35" s="307" t="s">
        <v>27</v>
      </c>
      <c r="AN35" s="307"/>
      <c r="AO35" s="37">
        <f>SUM(AO30:AO34)</f>
        <v>68</v>
      </c>
      <c r="AP35" s="37">
        <f>SUM(AP30:AP34)</f>
        <v>16</v>
      </c>
      <c r="AQ35" s="37">
        <f>SUM(AQ30:AQ34)</f>
        <v>23</v>
      </c>
      <c r="AR35" s="38">
        <f>SUM(AR30:AR34)</f>
        <v>10</v>
      </c>
      <c r="AS35" s="39">
        <f>A22</f>
        <v>23</v>
      </c>
      <c r="AT35" s="40">
        <f>A19</f>
        <v>5</v>
      </c>
      <c r="AU35" s="40">
        <f>A20</f>
        <v>2</v>
      </c>
      <c r="AV35" s="40">
        <f>A21</f>
        <v>0</v>
      </c>
      <c r="AW35" s="35"/>
      <c r="AX35" s="41">
        <f t="shared" si="2"/>
        <v>0</v>
      </c>
      <c r="AY35" s="41">
        <f t="shared" si="3"/>
        <v>0</v>
      </c>
    </row>
    <row r="36" spans="1:52" ht="54.95" customHeight="1">
      <c r="A36" s="42"/>
      <c r="B36" s="42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4" t="s">
        <v>40</v>
      </c>
      <c r="AM36" s="45" t="s">
        <v>37</v>
      </c>
      <c r="AN36" s="46"/>
      <c r="AO36" s="47">
        <v>18</v>
      </c>
      <c r="AP36" s="47"/>
      <c r="AQ36" s="47"/>
      <c r="AR36" s="47"/>
      <c r="AS36" s="48"/>
      <c r="AT36" s="49"/>
      <c r="AU36" s="48"/>
      <c r="AV36" s="48"/>
      <c r="AW36" s="50"/>
      <c r="AX36" s="51"/>
      <c r="AY36" s="51"/>
    </row>
    <row r="37" spans="1:52" ht="54.95" customHeight="1">
      <c r="A37" s="42"/>
      <c r="B37" s="42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4" t="s">
        <v>40</v>
      </c>
      <c r="AM37" s="52" t="s">
        <v>38</v>
      </c>
      <c r="AN37" s="53"/>
      <c r="AO37" s="54">
        <v>17</v>
      </c>
      <c r="AP37" s="54"/>
      <c r="AQ37" s="54"/>
      <c r="AR37" s="54"/>
      <c r="AS37" s="48"/>
      <c r="AT37" s="49"/>
      <c r="AU37" s="48"/>
      <c r="AV37" s="48"/>
      <c r="AW37" s="50"/>
      <c r="AX37" s="51"/>
      <c r="AY37" s="51"/>
    </row>
    <row r="38" spans="1:52" ht="54.95" customHeight="1">
      <c r="A38" s="42"/>
      <c r="B38" s="42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4"/>
      <c r="AM38" s="308" t="s">
        <v>41</v>
      </c>
      <c r="AN38" s="308"/>
      <c r="AO38" s="55">
        <f>SUM(AO36:AO37)</f>
        <v>35</v>
      </c>
      <c r="AP38" s="56"/>
      <c r="AQ38" s="56"/>
      <c r="AR38" s="56"/>
      <c r="AS38" s="48"/>
      <c r="AT38" s="49"/>
      <c r="AU38" s="48"/>
      <c r="AV38" s="48"/>
      <c r="AW38" s="50"/>
      <c r="AX38" s="51"/>
      <c r="AY38" s="51"/>
    </row>
    <row r="39" spans="1:52" ht="54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7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44"/>
      <c r="AM39" s="304" t="str">
        <f>IF(AO30=MAX($AO$30:$AO$35),AM30,IF(AO31=MAX($AO$30:$AO$35),AM31,IF(AO32=MAX($AO$30:$AO$35),AM32,IF(AO33=MAX($AO$30:$AO$35),AM33,IF(AO34=MAX($AO$30:$AO$35),AM34,AM33)))))</f>
        <v>8:00 à 8:30</v>
      </c>
      <c r="AN39" s="304"/>
      <c r="AO39" s="17">
        <f>IF(AQ30=MAX($AO$30:$AO$35),AO30,IF(AQ31=MAX($AO$30:$AO$35),AO31,IF(AQ32=MAX($AO$30:$AO$35),AO32,IF(AQ33=MAX($AO$30:$AO$35),AO33,IF(AQ34=MAX($AO$30:$AO$35),AO34,AO33)))))</f>
        <v>17</v>
      </c>
      <c r="AP39" s="17">
        <f>IF(AT30=MAX($AO$30:$AO$35),AP30,IF(AT31=MAX($AO$30:$AO$35),AP31,IF(AT32=MAX($AO$30:$AO$35),AP32,IF(AT33=MAX($AO$30:$AO$35),AP33,IF(AT34=MAX($AO$30:$AO$35),AP34,AP33)))))</f>
        <v>4</v>
      </c>
      <c r="AQ39" s="17">
        <f>IF(AU30=MAX($AO$30:$AO$35),AQ30,IF(AU31=MAX($AO$30:$AO$35),AQ31,IF(AU32=MAX($AO$30:$AO$35),AQ32,IF(AU33=MAX($AO$30:$AO$35),AQ33,IF(AU34=MAX($AO$30:$AO$35),AQ34,AQ33)))))</f>
        <v>7</v>
      </c>
      <c r="AR39" s="17">
        <f>IF(AV30=MAX($AO$30:$AO$35),AR30,IF(AV31=MAX($AO$30:$AO$35),AR31,IF(AV32=MAX($AO$30:$AO$35),AR32,IF(AV33=MAX($AO$30:$AO$35),AR33,IF(AV34=MAX($AO$30:$AO$35),AR34,AR33)))))</f>
        <v>2</v>
      </c>
      <c r="AS39" s="58"/>
      <c r="AU39" s="58"/>
      <c r="AV39" s="58"/>
      <c r="AW39" s="58"/>
      <c r="AX39" s="58"/>
      <c r="AY39" s="58"/>
      <c r="AZ39" s="58"/>
    </row>
    <row r="40" spans="1:52" ht="20.25" customHeight="1">
      <c r="AL40" s="59"/>
      <c r="AM40" s="14"/>
      <c r="AN40" s="15"/>
      <c r="AO40" s="305" t="s">
        <v>27</v>
      </c>
      <c r="AP40" s="306" t="s">
        <v>42</v>
      </c>
      <c r="AQ40" s="306" t="s">
        <v>43</v>
      </c>
      <c r="AR40" s="306" t="s">
        <v>44</v>
      </c>
    </row>
    <row r="41" spans="1:52" ht="20.25">
      <c r="AL41" s="59"/>
      <c r="AM41" s="14"/>
      <c r="AN41" s="15"/>
      <c r="AO41" s="305"/>
      <c r="AP41" s="306"/>
      <c r="AQ41" s="306"/>
      <c r="AR41" s="306"/>
    </row>
    <row r="42" spans="1:52" ht="20.25">
      <c r="AL42" s="59"/>
      <c r="AM42" s="62"/>
      <c r="AN42" s="15"/>
      <c r="AO42" s="305"/>
      <c r="AP42" s="306"/>
      <c r="AQ42" s="306"/>
      <c r="AR42" s="306"/>
    </row>
    <row r="43" spans="1:52" ht="20.25">
      <c r="AL43" s="59"/>
      <c r="AM43" s="302" t="s">
        <v>20</v>
      </c>
      <c r="AN43" s="302"/>
      <c r="AO43" s="305"/>
      <c r="AP43" s="306"/>
      <c r="AQ43" s="306"/>
      <c r="AR43" s="306"/>
    </row>
    <row r="44" spans="1:52" ht="23.25">
      <c r="AL44" s="59"/>
      <c r="AM44" s="302" t="str">
        <f>AM30</f>
        <v>6:30 à 7:00</v>
      </c>
      <c r="AN44" s="302"/>
      <c r="AO44" s="63"/>
      <c r="AP44" s="64">
        <f>IF(AP31=0,0,AP31/AO31)</f>
        <v>0.18181818181818182</v>
      </c>
      <c r="AQ44" s="64">
        <f>IF(AQ31=0,0,AQ31/AO31)</f>
        <v>0.36363636363636365</v>
      </c>
      <c r="AR44" s="64">
        <f>IF(AT31=0,0,AT31/AP31)</f>
        <v>0</v>
      </c>
    </row>
    <row r="45" spans="1:52" ht="23.25">
      <c r="AL45" s="59"/>
      <c r="AM45" s="302" t="str">
        <f>AM31</f>
        <v>7:00 à 7:30</v>
      </c>
      <c r="AN45" s="302"/>
      <c r="AO45" s="63"/>
      <c r="AP45" s="64">
        <f>IF(AP31=0,0,AP31/AO31)</f>
        <v>0.18181818181818182</v>
      </c>
      <c r="AQ45" s="64">
        <f>IF(AQ31=0,0,AQ31/AO31)</f>
        <v>0.36363636363636365</v>
      </c>
      <c r="AR45" s="64">
        <f>IF(AT31=0,0,AT31/AP31)</f>
        <v>0</v>
      </c>
    </row>
    <row r="46" spans="1:52" ht="23.25">
      <c r="AM46" s="302" t="str">
        <f>AM32</f>
        <v>7:30 à 8:00</v>
      </c>
      <c r="AN46" s="302"/>
      <c r="AO46" s="63"/>
      <c r="AP46" s="64">
        <f>IF(AP32=0,0,AP32/AO32)</f>
        <v>0.27777777777777779</v>
      </c>
      <c r="AQ46" s="64">
        <f>IF(AQ32=0,0,AQ32/AO32)</f>
        <v>0.3888888888888889</v>
      </c>
      <c r="AR46" s="64">
        <f>IF(AT32=0,0,AT32/AP32)</f>
        <v>0</v>
      </c>
    </row>
    <row r="47" spans="1:52" ht="23.25">
      <c r="AM47" s="302" t="str">
        <f>AM33</f>
        <v>8:00 à 8:30</v>
      </c>
      <c r="AN47" s="302"/>
      <c r="AO47" s="63"/>
      <c r="AP47" s="64">
        <f>IF(AP33=0,0,AP33/AO33)</f>
        <v>0.23529411764705882</v>
      </c>
      <c r="AQ47" s="64">
        <f>IF(AQ33=0,0,AQ33/AO33)</f>
        <v>0.41176470588235292</v>
      </c>
      <c r="AR47" s="64">
        <f>IF(AT33=0,0,AT33/AP33)</f>
        <v>0</v>
      </c>
    </row>
    <row r="48" spans="1:52" ht="23.25">
      <c r="AM48" s="303" t="s">
        <v>27</v>
      </c>
      <c r="AN48" s="303"/>
      <c r="AO48" s="65"/>
      <c r="AP48" s="64">
        <f>IF(AP35=0,0,AP35/AO35)</f>
        <v>0.23529411764705882</v>
      </c>
      <c r="AQ48" s="64">
        <f>IF(AQ35=0,0,AQ35/AO35)</f>
        <v>0.33823529411764708</v>
      </c>
      <c r="AR48" s="64">
        <f>IF(AT35=0,0,AT35/AP35)</f>
        <v>0.3125</v>
      </c>
    </row>
    <row r="49" spans="39:44" ht="20.25">
      <c r="AM49" s="302" t="str">
        <f>AM39</f>
        <v>8:00 à 8:30</v>
      </c>
      <c r="AN49" s="302"/>
      <c r="AO49" s="33"/>
      <c r="AP49" s="66" t="e">
        <f>AP39/$AC$44</f>
        <v>#DIV/0!</v>
      </c>
      <c r="AQ49" s="66" t="e">
        <f>AQ39/$AC$44</f>
        <v>#DIV/0!</v>
      </c>
      <c r="AR49" s="66" t="e">
        <f>AT39/$AC$44</f>
        <v>#DIV/0!</v>
      </c>
    </row>
  </sheetData>
  <mergeCells count="94">
    <mergeCell ref="C9:N9"/>
    <mergeCell ref="O9:Z9"/>
    <mergeCell ref="AA9:AL9"/>
    <mergeCell ref="C10:F10"/>
    <mergeCell ref="G10:J10"/>
    <mergeCell ref="K10:N10"/>
    <mergeCell ref="O10:R10"/>
    <mergeCell ref="S10:V10"/>
    <mergeCell ref="W10:Z10"/>
    <mergeCell ref="AA10:AD10"/>
    <mergeCell ref="AE10:AH10"/>
    <mergeCell ref="AI10:AL10"/>
    <mergeCell ref="U11:V11"/>
    <mergeCell ref="C11:D11"/>
    <mergeCell ref="E11:F11"/>
    <mergeCell ref="G11:H11"/>
    <mergeCell ref="I11:J11"/>
    <mergeCell ref="K11:L11"/>
    <mergeCell ref="AG11:AH11"/>
    <mergeCell ref="AI11:AJ11"/>
    <mergeCell ref="AK11:AL11"/>
    <mergeCell ref="A12:B12"/>
    <mergeCell ref="C26:N26"/>
    <mergeCell ref="O26:Z26"/>
    <mergeCell ref="AA26:AL26"/>
    <mergeCell ref="W11:X11"/>
    <mergeCell ref="Y11:Z11"/>
    <mergeCell ref="AA11:AB11"/>
    <mergeCell ref="AC11:AD11"/>
    <mergeCell ref="AE11:AF11"/>
    <mergeCell ref="M11:N11"/>
    <mergeCell ref="O11:P11"/>
    <mergeCell ref="Q11:R11"/>
    <mergeCell ref="S11:T11"/>
    <mergeCell ref="AO26:AO29"/>
    <mergeCell ref="AP26:AP29"/>
    <mergeCell ref="AQ26:AQ29"/>
    <mergeCell ref="AR26:AR29"/>
    <mergeCell ref="AX26:AX29"/>
    <mergeCell ref="AY26:AY29"/>
    <mergeCell ref="C27:F27"/>
    <mergeCell ref="G27:J27"/>
    <mergeCell ref="K27:N27"/>
    <mergeCell ref="O27:R27"/>
    <mergeCell ref="S27:V27"/>
    <mergeCell ref="W27:Z27"/>
    <mergeCell ref="AA27:AD27"/>
    <mergeCell ref="AE27:AH27"/>
    <mergeCell ref="AI27:AL27"/>
    <mergeCell ref="C28:D28"/>
    <mergeCell ref="E28:F28"/>
    <mergeCell ref="G28:H28"/>
    <mergeCell ref="I28:J28"/>
    <mergeCell ref="K28:L28"/>
    <mergeCell ref="M28:N28"/>
    <mergeCell ref="AI28:AJ28"/>
    <mergeCell ref="AK28:AL28"/>
    <mergeCell ref="A29:B29"/>
    <mergeCell ref="AM29:AN29"/>
    <mergeCell ref="A30:B30"/>
    <mergeCell ref="AM30:AN30"/>
    <mergeCell ref="Y28:Z28"/>
    <mergeCell ref="AA28:AB28"/>
    <mergeCell ref="AC28:AD28"/>
    <mergeCell ref="AE28:AF28"/>
    <mergeCell ref="AG28:AH28"/>
    <mergeCell ref="O28:P28"/>
    <mergeCell ref="Q28:R28"/>
    <mergeCell ref="S28:T28"/>
    <mergeCell ref="U28:V28"/>
    <mergeCell ref="W28:X28"/>
    <mergeCell ref="A31:B31"/>
    <mergeCell ref="AM31:AN31"/>
    <mergeCell ref="A32:B32"/>
    <mergeCell ref="AM32:AN32"/>
    <mergeCell ref="A33:B33"/>
    <mergeCell ref="AM33:AN33"/>
    <mergeCell ref="A34:B34"/>
    <mergeCell ref="AM34:AN34"/>
    <mergeCell ref="A35:B35"/>
    <mergeCell ref="AM35:AN35"/>
    <mergeCell ref="AM38:AN38"/>
    <mergeCell ref="AM39:AN39"/>
    <mergeCell ref="AO40:AO43"/>
    <mergeCell ref="AP40:AP43"/>
    <mergeCell ref="AQ40:AQ43"/>
    <mergeCell ref="AR40:AR43"/>
    <mergeCell ref="AM43:AN43"/>
    <mergeCell ref="AM49:AN49"/>
    <mergeCell ref="AM44:AN44"/>
    <mergeCell ref="AM45:AN45"/>
    <mergeCell ref="AM46:AN46"/>
    <mergeCell ref="AM47:AN47"/>
    <mergeCell ref="AM48:AN48"/>
  </mergeCells>
  <pageMargins left="0.39374999999999999" right="0.39374999999999999" top="1.1812499999999999" bottom="1.1812499999999999" header="0.51180555555555496" footer="0.51180555555555496"/>
  <pageSetup paperSize="9" scale="47" pageOrder="overThenDown" orientation="landscape" useFirstPageNumber="1" horizontalDpi="300" verticalDpi="300"/>
  <colBreaks count="1" manualBreakCount="1">
    <brk id="3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67"/>
  <sheetViews>
    <sheetView topLeftCell="A20" zoomScale="40" zoomScaleNormal="40" workbookViewId="0">
      <selection activeCell="AE46" sqref="AE46"/>
    </sheetView>
  </sheetViews>
  <sheetFormatPr baseColWidth="10" defaultColWidth="11.25" defaultRowHeight="14.25"/>
  <cols>
    <col min="1" max="2" width="14.75" style="1" customWidth="1"/>
    <col min="3" max="33" width="9.625" style="1" customWidth="1"/>
    <col min="34" max="34" width="20.25" style="1" customWidth="1"/>
    <col min="35" max="38" width="14.625" style="1" customWidth="1"/>
    <col min="39" max="42" width="9.625" style="1" customWidth="1"/>
    <col min="43" max="74" width="4.875" style="1" customWidth="1"/>
    <col min="75" max="77" width="11.25" style="1"/>
    <col min="78" max="81" width="17.125" style="1" customWidth="1"/>
    <col min="82" max="1024" width="11.25" style="1"/>
  </cols>
  <sheetData>
    <row r="1" spans="1:1024" ht="52.5" customHeight="1">
      <c r="A1" s="3"/>
      <c r="B1" s="4" t="s">
        <v>45</v>
      </c>
      <c r="C1" s="5"/>
      <c r="D1" s="5"/>
      <c r="E1" s="5"/>
      <c r="F1" s="2"/>
      <c r="G1" s="5"/>
      <c r="H1" s="5"/>
      <c r="I1" s="5"/>
      <c r="J1" s="5"/>
      <c r="K1" s="2"/>
      <c r="L1" s="2"/>
      <c r="M1" s="2"/>
      <c r="N1" s="2"/>
      <c r="O1" s="6" t="s">
        <v>2</v>
      </c>
      <c r="P1" s="5"/>
      <c r="Q1" s="5"/>
      <c r="R1" s="5"/>
      <c r="S1" s="5"/>
      <c r="T1" s="5"/>
      <c r="U1" s="5"/>
      <c r="V1" s="5"/>
      <c r="W1" s="5"/>
      <c r="X1" s="5"/>
      <c r="Y1" s="6"/>
      <c r="Z1" s="5"/>
      <c r="AA1" s="5"/>
      <c r="AB1" s="5"/>
      <c r="AC1" s="5"/>
      <c r="AD1" s="5"/>
      <c r="AE1" s="2"/>
      <c r="AF1" s="2"/>
      <c r="AG1" s="5"/>
      <c r="AH1" s="2"/>
      <c r="AI1" s="5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1024" ht="52.5" customHeight="1">
      <c r="A2" s="3" t="s">
        <v>3</v>
      </c>
      <c r="B2" s="5"/>
      <c r="C2" s="5"/>
      <c r="D2" s="5"/>
      <c r="E2" s="5"/>
      <c r="F2" s="2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2"/>
      <c r="AF2" s="5"/>
      <c r="AG2" s="5"/>
      <c r="AH2" s="2"/>
      <c r="AI2" s="5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1024" ht="52.5" customHeight="1">
      <c r="A3" s="3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9" t="s">
        <v>7</v>
      </c>
      <c r="Q3" s="5"/>
      <c r="R3" s="5"/>
      <c r="S3" s="5"/>
      <c r="T3" s="5"/>
      <c r="U3" s="5"/>
      <c r="V3" s="5"/>
      <c r="W3" s="5"/>
      <c r="X3" s="5"/>
      <c r="Y3" s="9"/>
      <c r="Z3" s="5"/>
      <c r="AA3" s="5"/>
      <c r="AB3" s="5"/>
      <c r="AC3" s="5"/>
      <c r="AD3" s="5"/>
      <c r="AE3" s="5"/>
      <c r="AF3" s="5"/>
      <c r="AG3" s="5"/>
      <c r="AH3" s="2"/>
      <c r="AI3" s="5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1024" ht="25.5" customHeight="1"/>
    <row r="5" spans="1:1024" s="2" customFormat="1" ht="35.1" customHeight="1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1024" s="2" customFormat="1" ht="35.1" customHeight="1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1024" s="2" customFormat="1" ht="35.1" customHeight="1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1024" s="2" customFormat="1" ht="16.899999999999999" customHeight="1">
      <c r="A8" s="1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1024" s="2" customFormat="1" ht="60.2" customHeight="1">
      <c r="A9" s="3"/>
      <c r="B9" s="5"/>
      <c r="C9" s="322" t="s">
        <v>46</v>
      </c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  <c r="O9" s="322"/>
      <c r="P9" s="322"/>
      <c r="Q9" s="322"/>
      <c r="R9" s="322"/>
      <c r="S9" s="323" t="s">
        <v>47</v>
      </c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67" t="s">
        <v>48</v>
      </c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</row>
    <row r="10" spans="1:1024" ht="56.65" customHeight="1">
      <c r="A10" s="3"/>
      <c r="B10" s="5"/>
      <c r="C10" s="312" t="s">
        <v>49</v>
      </c>
      <c r="D10" s="312"/>
      <c r="E10" s="312"/>
      <c r="F10" s="312"/>
      <c r="G10" s="312" t="s">
        <v>50</v>
      </c>
      <c r="H10" s="312"/>
      <c r="I10" s="312"/>
      <c r="J10" s="312"/>
      <c r="K10" s="312" t="s">
        <v>51</v>
      </c>
      <c r="L10" s="312"/>
      <c r="M10" s="312"/>
      <c r="N10" s="312"/>
      <c r="O10" s="312" t="s">
        <v>52</v>
      </c>
      <c r="P10" s="312"/>
      <c r="Q10" s="312"/>
      <c r="R10" s="312"/>
      <c r="S10" s="312" t="s">
        <v>50</v>
      </c>
      <c r="T10" s="312"/>
      <c r="U10" s="312"/>
      <c r="V10" s="312"/>
      <c r="W10" s="312" t="s">
        <v>51</v>
      </c>
      <c r="X10" s="312"/>
      <c r="Y10" s="312"/>
      <c r="Z10" s="312"/>
      <c r="AA10" s="312" t="s">
        <v>53</v>
      </c>
      <c r="AB10" s="312"/>
      <c r="AC10" s="312"/>
      <c r="AD10" s="312"/>
      <c r="AE10" s="69" t="s">
        <v>53</v>
      </c>
      <c r="AF10" s="70"/>
      <c r="AG10" s="70"/>
      <c r="AH10" s="70"/>
      <c r="AI10" s="71"/>
      <c r="AJ10" s="69" t="s">
        <v>50</v>
      </c>
      <c r="AK10" s="70"/>
      <c r="AL10" s="71"/>
      <c r="AM10" s="69" t="s">
        <v>54</v>
      </c>
      <c r="AN10" s="70"/>
      <c r="AO10" s="70"/>
      <c r="AP10" s="71"/>
    </row>
    <row r="11" spans="1:1024" ht="18.600000000000001" customHeight="1">
      <c r="A11" s="3"/>
      <c r="B11" s="5"/>
      <c r="C11" s="309" t="s">
        <v>18</v>
      </c>
      <c r="D11" s="309"/>
      <c r="E11" s="309" t="s">
        <v>19</v>
      </c>
      <c r="F11" s="309"/>
      <c r="G11" s="309" t="s">
        <v>18</v>
      </c>
      <c r="H11" s="309"/>
      <c r="I11" s="309" t="s">
        <v>19</v>
      </c>
      <c r="J11" s="309"/>
      <c r="K11" s="309" t="s">
        <v>18</v>
      </c>
      <c r="L11" s="309"/>
      <c r="M11" s="309" t="s">
        <v>19</v>
      </c>
      <c r="N11" s="309"/>
      <c r="O11" s="309" t="s">
        <v>18</v>
      </c>
      <c r="P11" s="309"/>
      <c r="Q11" s="309" t="s">
        <v>19</v>
      </c>
      <c r="R11" s="309"/>
      <c r="S11" s="309" t="s">
        <v>18</v>
      </c>
      <c r="T11" s="309"/>
      <c r="U11" s="309" t="s">
        <v>19</v>
      </c>
      <c r="V11" s="309"/>
      <c r="W11" s="309" t="s">
        <v>18</v>
      </c>
      <c r="X11" s="309"/>
      <c r="Y11" s="309" t="s">
        <v>19</v>
      </c>
      <c r="Z11" s="309"/>
      <c r="AA11" s="309" t="s">
        <v>18</v>
      </c>
      <c r="AB11" s="309"/>
      <c r="AC11" s="309" t="s">
        <v>19</v>
      </c>
      <c r="AD11" s="309"/>
      <c r="AE11" s="72" t="s">
        <v>18</v>
      </c>
      <c r="AF11" s="73"/>
      <c r="AG11" s="72" t="s">
        <v>19</v>
      </c>
      <c r="AH11" s="72" t="s">
        <v>19</v>
      </c>
      <c r="AI11" s="73"/>
      <c r="AJ11" s="72" t="s">
        <v>18</v>
      </c>
      <c r="AK11" s="73"/>
      <c r="AL11" s="73"/>
      <c r="AM11" s="72" t="s">
        <v>18</v>
      </c>
      <c r="AN11" s="73"/>
      <c r="AO11" s="72" t="s">
        <v>19</v>
      </c>
      <c r="AP11" s="73"/>
    </row>
    <row r="12" spans="1:1024" ht="20.25">
      <c r="A12" s="310" t="s">
        <v>20</v>
      </c>
      <c r="B12" s="310"/>
      <c r="C12" s="74" t="s">
        <v>21</v>
      </c>
      <c r="D12" s="74" t="s">
        <v>22</v>
      </c>
      <c r="E12" s="74" t="s">
        <v>21</v>
      </c>
      <c r="F12" s="74" t="s">
        <v>22</v>
      </c>
      <c r="G12" s="74" t="s">
        <v>21</v>
      </c>
      <c r="H12" s="74" t="s">
        <v>22</v>
      </c>
      <c r="I12" s="74" t="s">
        <v>21</v>
      </c>
      <c r="J12" s="74" t="s">
        <v>22</v>
      </c>
      <c r="K12" s="74" t="s">
        <v>21</v>
      </c>
      <c r="L12" s="74" t="s">
        <v>22</v>
      </c>
      <c r="M12" s="74" t="s">
        <v>21</v>
      </c>
      <c r="N12" s="74" t="s">
        <v>22</v>
      </c>
      <c r="O12" s="74" t="s">
        <v>21</v>
      </c>
      <c r="P12" s="74" t="s">
        <v>22</v>
      </c>
      <c r="Q12" s="74" t="s">
        <v>21</v>
      </c>
      <c r="R12" s="74" t="s">
        <v>22</v>
      </c>
      <c r="S12" s="74" t="s">
        <v>21</v>
      </c>
      <c r="T12" s="74" t="s">
        <v>22</v>
      </c>
      <c r="U12" s="74" t="s">
        <v>21</v>
      </c>
      <c r="V12" s="74" t="s">
        <v>22</v>
      </c>
      <c r="W12" s="74" t="s">
        <v>21</v>
      </c>
      <c r="X12" s="74" t="s">
        <v>22</v>
      </c>
      <c r="Y12" s="74" t="s">
        <v>21</v>
      </c>
      <c r="Z12" s="74" t="s">
        <v>22</v>
      </c>
      <c r="AA12" s="74" t="s">
        <v>21</v>
      </c>
      <c r="AB12" s="74" t="s">
        <v>22</v>
      </c>
      <c r="AC12" s="74" t="s">
        <v>21</v>
      </c>
      <c r="AD12" s="74" t="s">
        <v>22</v>
      </c>
      <c r="AE12" s="74" t="s">
        <v>21</v>
      </c>
      <c r="AF12" s="74" t="s">
        <v>22</v>
      </c>
      <c r="AG12" s="74" t="s">
        <v>21</v>
      </c>
      <c r="AH12" s="74" t="s">
        <v>21</v>
      </c>
      <c r="AI12" s="74" t="s">
        <v>22</v>
      </c>
      <c r="AJ12" s="74" t="s">
        <v>21</v>
      </c>
      <c r="AK12" s="74" t="s">
        <v>22</v>
      </c>
      <c r="AL12" s="74" t="s">
        <v>22</v>
      </c>
      <c r="AM12" s="74" t="s">
        <v>21</v>
      </c>
      <c r="AN12" s="74" t="s">
        <v>22</v>
      </c>
      <c r="AO12" s="74" t="s">
        <v>21</v>
      </c>
      <c r="AP12" s="74" t="s">
        <v>22</v>
      </c>
    </row>
    <row r="13" spans="1:1024" ht="69.95" customHeight="1">
      <c r="A13" s="75">
        <v>0.27083333333333298</v>
      </c>
      <c r="B13" s="75">
        <v>0.29166666666666702</v>
      </c>
      <c r="C13" s="19"/>
      <c r="D13" s="19"/>
      <c r="E13" s="19"/>
      <c r="F13" s="19"/>
      <c r="G13" s="19"/>
      <c r="H13" s="19"/>
      <c r="I13" s="19">
        <v>1</v>
      </c>
      <c r="J13" s="19"/>
      <c r="K13" s="19">
        <v>1</v>
      </c>
      <c r="L13" s="19"/>
      <c r="M13" s="19"/>
      <c r="N13" s="19"/>
      <c r="O13" s="19"/>
      <c r="P13" s="19"/>
      <c r="Q13" s="19"/>
      <c r="R13" s="76"/>
      <c r="S13" s="77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76"/>
      <c r="AE13" s="77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</row>
    <row r="14" spans="1:1024" ht="69.95" customHeight="1">
      <c r="A14" s="75">
        <v>0.29166666666666702</v>
      </c>
      <c r="B14" s="75">
        <v>0.3125</v>
      </c>
      <c r="C14" s="19"/>
      <c r="D14" s="19"/>
      <c r="E14" s="19"/>
      <c r="F14" s="19"/>
      <c r="G14" s="19"/>
      <c r="H14" s="19"/>
      <c r="I14" s="19"/>
      <c r="J14" s="19">
        <v>1</v>
      </c>
      <c r="K14" s="19"/>
      <c r="L14" s="19"/>
      <c r="M14" s="19"/>
      <c r="N14" s="19"/>
      <c r="O14" s="19"/>
      <c r="P14" s="19">
        <v>1</v>
      </c>
      <c r="Q14" s="19"/>
      <c r="R14" s="76"/>
      <c r="S14" s="77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76"/>
      <c r="AE14" s="77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</row>
    <row r="15" spans="1:1024" ht="69.95" customHeight="1">
      <c r="A15" s="75">
        <v>0.3125</v>
      </c>
      <c r="B15" s="75">
        <v>0.33333333333333298</v>
      </c>
      <c r="C15" s="19"/>
      <c r="D15" s="19"/>
      <c r="E15" s="19"/>
      <c r="F15" s="19"/>
      <c r="G15" s="19"/>
      <c r="H15" s="19">
        <v>2</v>
      </c>
      <c r="I15" s="19"/>
      <c r="J15" s="19"/>
      <c r="K15" s="19"/>
      <c r="L15" s="19">
        <v>2</v>
      </c>
      <c r="M15" s="19"/>
      <c r="N15" s="19"/>
      <c r="O15" s="19">
        <v>1</v>
      </c>
      <c r="P15" s="19"/>
      <c r="Q15" s="19"/>
      <c r="R15" s="76"/>
      <c r="S15" s="77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76"/>
      <c r="AE15" s="77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</row>
    <row r="16" spans="1:1024" ht="69.95" customHeight="1">
      <c r="A16" s="75">
        <v>0.33333333333333298</v>
      </c>
      <c r="B16" s="75">
        <v>0.35416666666666702</v>
      </c>
      <c r="C16" s="19"/>
      <c r="D16" s="19"/>
      <c r="E16" s="19"/>
      <c r="F16" s="19"/>
      <c r="G16" s="19"/>
      <c r="H16" s="19"/>
      <c r="I16" s="19">
        <v>1</v>
      </c>
      <c r="J16" s="19"/>
      <c r="K16" s="19">
        <v>1</v>
      </c>
      <c r="L16" s="19">
        <v>1</v>
      </c>
      <c r="M16" s="19">
        <v>1</v>
      </c>
      <c r="N16" s="19"/>
      <c r="O16" s="19"/>
      <c r="P16" s="19"/>
      <c r="Q16" s="19"/>
      <c r="R16" s="76"/>
      <c r="S16" s="77"/>
      <c r="T16" s="19"/>
      <c r="U16" s="19"/>
      <c r="V16" s="19"/>
      <c r="W16" s="19">
        <v>1</v>
      </c>
      <c r="X16" s="19"/>
      <c r="Y16" s="19"/>
      <c r="Z16" s="19"/>
      <c r="AA16" s="19"/>
      <c r="AB16" s="19"/>
      <c r="AC16" s="19"/>
      <c r="AD16" s="76"/>
      <c r="AE16" s="77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</row>
    <row r="17" spans="1:1024" ht="69.95" customHeight="1">
      <c r="A17" s="75">
        <v>0.35416666666666702</v>
      </c>
      <c r="B17" s="75">
        <v>0.375</v>
      </c>
      <c r="C17" s="19"/>
      <c r="D17" s="19"/>
      <c r="E17" s="19"/>
      <c r="F17" s="19"/>
      <c r="G17" s="19">
        <v>2</v>
      </c>
      <c r="H17" s="19">
        <v>1</v>
      </c>
      <c r="I17" s="19">
        <v>1</v>
      </c>
      <c r="J17" s="19"/>
      <c r="K17" s="19">
        <v>1</v>
      </c>
      <c r="L17" s="19"/>
      <c r="M17" s="19"/>
      <c r="N17" s="19"/>
      <c r="O17" s="19"/>
      <c r="P17" s="19">
        <v>1</v>
      </c>
      <c r="Q17" s="19"/>
      <c r="R17" s="76"/>
      <c r="S17" s="77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76"/>
      <c r="AE17" s="77"/>
      <c r="AF17" s="19"/>
      <c r="AG17" s="19"/>
      <c r="AH17" s="19"/>
      <c r="AI17" s="19"/>
      <c r="AJ17" s="19">
        <v>1</v>
      </c>
      <c r="AK17" s="19"/>
      <c r="AL17" s="19"/>
      <c r="AM17" s="19"/>
      <c r="AN17" s="19"/>
      <c r="AO17" s="19"/>
      <c r="AP17" s="19"/>
    </row>
    <row r="18" spans="1:1024" ht="54.95" hidden="1" customHeight="1">
      <c r="A18" s="16">
        <v>9</v>
      </c>
      <c r="B18" s="16" t="s">
        <v>55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</row>
    <row r="19" spans="1:1024" ht="54.95" hidden="1" customHeight="1">
      <c r="A19" s="16"/>
      <c r="B19" s="16" t="s">
        <v>56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</row>
    <row r="20" spans="1:1024" ht="12.75" customHeight="1"/>
    <row r="21" spans="1:1024" s="2" customFormat="1" ht="60.2" customHeight="1">
      <c r="A21" s="3"/>
      <c r="B21" s="5"/>
      <c r="C21" s="320" t="s">
        <v>57</v>
      </c>
      <c r="D21" s="320"/>
      <c r="E21" s="320"/>
      <c r="F21" s="320"/>
      <c r="G21" s="320"/>
      <c r="H21" s="320"/>
      <c r="I21" s="320"/>
      <c r="J21" s="320"/>
      <c r="K21" s="320"/>
      <c r="L21" s="320"/>
      <c r="M21" s="320"/>
      <c r="N21" s="320"/>
      <c r="O21" s="321" t="s">
        <v>58</v>
      </c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1"/>
      <c r="AA21" s="321"/>
      <c r="AB21" s="321"/>
      <c r="AC21" s="321"/>
      <c r="AD21" s="321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</row>
    <row r="22" spans="1:1024" ht="56.65" customHeight="1">
      <c r="A22" s="3"/>
      <c r="B22" s="5"/>
      <c r="C22" s="312" t="s">
        <v>51</v>
      </c>
      <c r="D22" s="312"/>
      <c r="E22" s="312"/>
      <c r="F22" s="312"/>
      <c r="G22" s="312" t="s">
        <v>53</v>
      </c>
      <c r="H22" s="312"/>
      <c r="I22" s="312"/>
      <c r="J22" s="312"/>
      <c r="K22" s="312" t="s">
        <v>49</v>
      </c>
      <c r="L22" s="312"/>
      <c r="M22" s="312"/>
      <c r="N22" s="312"/>
      <c r="O22" s="312" t="s">
        <v>50</v>
      </c>
      <c r="P22" s="312"/>
      <c r="Q22" s="312"/>
      <c r="R22" s="312"/>
      <c r="S22" s="312" t="s">
        <v>49</v>
      </c>
      <c r="T22" s="312"/>
      <c r="U22" s="312"/>
      <c r="V22" s="312"/>
      <c r="W22" s="312" t="s">
        <v>53</v>
      </c>
      <c r="X22" s="312"/>
      <c r="Y22" s="312"/>
      <c r="Z22" s="312"/>
      <c r="AA22" s="312" t="s">
        <v>51</v>
      </c>
      <c r="AB22" s="312"/>
      <c r="AC22" s="312"/>
      <c r="AD22" s="312"/>
    </row>
    <row r="23" spans="1:1024" ht="18.600000000000001" customHeight="1">
      <c r="A23" s="3"/>
      <c r="B23" s="5"/>
      <c r="C23" s="309" t="s">
        <v>18</v>
      </c>
      <c r="D23" s="309"/>
      <c r="E23" s="309" t="s">
        <v>19</v>
      </c>
      <c r="F23" s="309"/>
      <c r="G23" s="309" t="s">
        <v>18</v>
      </c>
      <c r="H23" s="309"/>
      <c r="I23" s="309" t="s">
        <v>19</v>
      </c>
      <c r="J23" s="309"/>
      <c r="K23" s="309" t="s">
        <v>18</v>
      </c>
      <c r="L23" s="309"/>
      <c r="M23" s="309" t="s">
        <v>19</v>
      </c>
      <c r="N23" s="309"/>
      <c r="O23" s="309" t="s">
        <v>18</v>
      </c>
      <c r="P23" s="309"/>
      <c r="Q23" s="309" t="s">
        <v>19</v>
      </c>
      <c r="R23" s="309"/>
      <c r="S23" s="309" t="s">
        <v>18</v>
      </c>
      <c r="T23" s="309"/>
      <c r="U23" s="309" t="s">
        <v>19</v>
      </c>
      <c r="V23" s="309"/>
      <c r="W23" s="309" t="s">
        <v>18</v>
      </c>
      <c r="X23" s="309"/>
      <c r="Y23" s="309" t="s">
        <v>19</v>
      </c>
      <c r="Z23" s="309"/>
      <c r="AA23" s="309" t="s">
        <v>18</v>
      </c>
      <c r="AB23" s="309"/>
      <c r="AC23" s="309" t="s">
        <v>19</v>
      </c>
      <c r="AD23" s="309"/>
    </row>
    <row r="24" spans="1:1024" ht="20.25">
      <c r="A24" s="310" t="s">
        <v>20</v>
      </c>
      <c r="B24" s="310"/>
      <c r="C24" s="74" t="s">
        <v>21</v>
      </c>
      <c r="D24" s="74" t="s">
        <v>22</v>
      </c>
      <c r="E24" s="74" t="s">
        <v>21</v>
      </c>
      <c r="F24" s="74" t="s">
        <v>22</v>
      </c>
      <c r="G24" s="74" t="s">
        <v>21</v>
      </c>
      <c r="H24" s="74" t="s">
        <v>22</v>
      </c>
      <c r="I24" s="74" t="s">
        <v>21</v>
      </c>
      <c r="J24" s="74" t="s">
        <v>22</v>
      </c>
      <c r="K24" s="74" t="s">
        <v>21</v>
      </c>
      <c r="L24" s="74" t="s">
        <v>22</v>
      </c>
      <c r="M24" s="74" t="s">
        <v>21</v>
      </c>
      <c r="N24" s="74" t="s">
        <v>22</v>
      </c>
      <c r="O24" s="74" t="s">
        <v>21</v>
      </c>
      <c r="P24" s="74" t="s">
        <v>22</v>
      </c>
      <c r="Q24" s="74" t="s">
        <v>21</v>
      </c>
      <c r="R24" s="74" t="s">
        <v>22</v>
      </c>
      <c r="S24" s="74" t="s">
        <v>21</v>
      </c>
      <c r="T24" s="74" t="s">
        <v>22</v>
      </c>
      <c r="U24" s="74" t="s">
        <v>21</v>
      </c>
      <c r="V24" s="74" t="s">
        <v>22</v>
      </c>
      <c r="W24" s="74" t="s">
        <v>21</v>
      </c>
      <c r="X24" s="74" t="s">
        <v>22</v>
      </c>
      <c r="Y24" s="74" t="s">
        <v>21</v>
      </c>
      <c r="Z24" s="74" t="s">
        <v>22</v>
      </c>
      <c r="AA24" s="74" t="s">
        <v>21</v>
      </c>
      <c r="AB24" s="74" t="s">
        <v>22</v>
      </c>
      <c r="AC24" s="74" t="s">
        <v>21</v>
      </c>
      <c r="AD24" s="74" t="s">
        <v>22</v>
      </c>
    </row>
    <row r="25" spans="1:1024" ht="69.95" customHeight="1">
      <c r="A25" s="75">
        <v>0.27083333333333298</v>
      </c>
      <c r="B25" s="75">
        <v>0.29166666666666702</v>
      </c>
      <c r="C25" s="19"/>
      <c r="D25" s="19"/>
      <c r="E25" s="19"/>
      <c r="F25" s="19"/>
      <c r="G25" s="19"/>
      <c r="H25" s="19">
        <v>1</v>
      </c>
      <c r="I25" s="19"/>
      <c r="J25" s="19">
        <v>1</v>
      </c>
      <c r="K25" s="19"/>
      <c r="L25" s="19"/>
      <c r="M25" s="19"/>
      <c r="N25" s="76"/>
      <c r="O25" s="77"/>
      <c r="P25" s="19"/>
      <c r="Q25" s="19"/>
      <c r="R25" s="19"/>
      <c r="S25" s="19">
        <v>1</v>
      </c>
      <c r="T25" s="19"/>
      <c r="U25" s="19"/>
      <c r="V25" s="19"/>
      <c r="W25" s="19">
        <v>1</v>
      </c>
      <c r="X25" s="19"/>
      <c r="Y25" s="19"/>
      <c r="Z25" s="19"/>
      <c r="AA25" s="19"/>
      <c r="AB25" s="19"/>
      <c r="AC25" s="19"/>
      <c r="AD25" s="19"/>
    </row>
    <row r="26" spans="1:1024" ht="69.95" customHeight="1">
      <c r="A26" s="75">
        <v>0.29166666666666702</v>
      </c>
      <c r="B26" s="75">
        <v>0.3125</v>
      </c>
      <c r="C26" s="19"/>
      <c r="D26" s="19"/>
      <c r="E26" s="19"/>
      <c r="F26" s="19"/>
      <c r="G26" s="19"/>
      <c r="H26" s="19">
        <v>1</v>
      </c>
      <c r="I26" s="19"/>
      <c r="J26" s="19">
        <v>1</v>
      </c>
      <c r="K26" s="19"/>
      <c r="L26" s="19"/>
      <c r="M26" s="19"/>
      <c r="N26" s="76"/>
      <c r="O26" s="77"/>
      <c r="P26" s="19"/>
      <c r="Q26" s="19"/>
      <c r="R26" s="19"/>
      <c r="S26" s="19"/>
      <c r="T26" s="19"/>
      <c r="U26" s="19"/>
      <c r="V26" s="19"/>
      <c r="W26" s="19"/>
      <c r="X26" s="19">
        <v>1</v>
      </c>
      <c r="Y26" s="19"/>
      <c r="Z26" s="19"/>
      <c r="AA26" s="19"/>
      <c r="AB26" s="19"/>
      <c r="AC26" s="19">
        <v>1</v>
      </c>
      <c r="AD26" s="19"/>
    </row>
    <row r="27" spans="1:1024" ht="69.95" customHeight="1">
      <c r="A27" s="75">
        <v>0.3125</v>
      </c>
      <c r="B27" s="75">
        <v>0.33333333333333298</v>
      </c>
      <c r="C27" s="19"/>
      <c r="D27" s="19">
        <v>2</v>
      </c>
      <c r="E27" s="19">
        <v>1</v>
      </c>
      <c r="F27" s="19">
        <v>1</v>
      </c>
      <c r="G27" s="19"/>
      <c r="H27" s="19"/>
      <c r="I27" s="19"/>
      <c r="J27" s="19"/>
      <c r="K27" s="19"/>
      <c r="L27" s="19"/>
      <c r="M27" s="19"/>
      <c r="N27" s="76"/>
      <c r="O27" s="77">
        <v>1</v>
      </c>
      <c r="P27" s="19"/>
      <c r="Q27" s="19"/>
      <c r="R27" s="19"/>
      <c r="S27" s="19"/>
      <c r="T27" s="19"/>
      <c r="U27" s="19"/>
      <c r="V27" s="19"/>
      <c r="W27" s="19"/>
      <c r="X27" s="19">
        <v>2</v>
      </c>
      <c r="Y27" s="19"/>
      <c r="Z27" s="19"/>
      <c r="AA27" s="19"/>
      <c r="AB27" s="19"/>
      <c r="AC27" s="19"/>
      <c r="AD27" s="19"/>
    </row>
    <row r="28" spans="1:1024" ht="69.95" customHeight="1">
      <c r="A28" s="75">
        <v>0.33333333333333298</v>
      </c>
      <c r="B28" s="75">
        <v>0.35416666666666702</v>
      </c>
      <c r="C28" s="19">
        <v>1</v>
      </c>
      <c r="D28" s="19"/>
      <c r="E28" s="19">
        <v>1</v>
      </c>
      <c r="F28" s="19"/>
      <c r="G28" s="19">
        <v>1</v>
      </c>
      <c r="H28" s="19"/>
      <c r="I28" s="19"/>
      <c r="J28" s="19"/>
      <c r="K28" s="19"/>
      <c r="L28" s="19"/>
      <c r="M28" s="19"/>
      <c r="N28" s="76"/>
      <c r="O28" s="77">
        <v>1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spans="1:1024" ht="69.95" customHeight="1">
      <c r="A29" s="75">
        <v>0.35416666666666702</v>
      </c>
      <c r="B29" s="75">
        <v>0.375</v>
      </c>
      <c r="C29" s="19">
        <v>2</v>
      </c>
      <c r="D29" s="19"/>
      <c r="E29" s="19"/>
      <c r="F29" s="19"/>
      <c r="G29" s="19">
        <v>2</v>
      </c>
      <c r="H29" s="19"/>
      <c r="I29" s="19"/>
      <c r="J29" s="19"/>
      <c r="K29" s="19"/>
      <c r="L29" s="19"/>
      <c r="M29" s="19"/>
      <c r="N29" s="76"/>
      <c r="O29" s="77"/>
      <c r="P29" s="19"/>
      <c r="Q29" s="19">
        <v>1</v>
      </c>
      <c r="R29" s="19"/>
      <c r="S29" s="19"/>
      <c r="T29" s="19"/>
      <c r="U29" s="19"/>
      <c r="V29" s="19"/>
      <c r="W29" s="19"/>
      <c r="X29" s="19">
        <v>2</v>
      </c>
      <c r="Y29" s="19"/>
      <c r="Z29" s="19"/>
      <c r="AA29" s="19"/>
      <c r="AB29" s="19"/>
      <c r="AC29" s="19"/>
      <c r="AD29" s="19"/>
      <c r="AP29" s="1" t="s">
        <v>59</v>
      </c>
    </row>
    <row r="30" spans="1:1024" ht="54.95" hidden="1" customHeight="1">
      <c r="A30" s="16">
        <v>9</v>
      </c>
      <c r="B30" s="16" t="s">
        <v>55</v>
      </c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</row>
    <row r="31" spans="1:1024" ht="54.95" hidden="1" customHeight="1">
      <c r="A31" s="16"/>
      <c r="B31" s="16" t="s">
        <v>56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</row>
    <row r="32" spans="1:1024" ht="12.75" customHeight="1"/>
    <row r="33" spans="1:84" s="23" customFormat="1" ht="39.75" customHeight="1">
      <c r="A33" s="20">
        <v>6</v>
      </c>
      <c r="B33" s="21" t="s">
        <v>23</v>
      </c>
      <c r="C33" s="22"/>
      <c r="D33" s="22"/>
      <c r="E33" s="22"/>
      <c r="F33" s="22"/>
      <c r="G33" s="22"/>
      <c r="H33" s="22"/>
      <c r="I33" s="20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80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</row>
    <row r="34" spans="1:84" s="23" customFormat="1" ht="39.75" customHeight="1">
      <c r="A34" s="20">
        <v>5</v>
      </c>
      <c r="B34" s="21" t="s">
        <v>24</v>
      </c>
      <c r="C34" s="22"/>
      <c r="D34" s="22"/>
      <c r="E34" s="22"/>
      <c r="F34" s="22"/>
      <c r="G34" s="22"/>
      <c r="H34" s="22"/>
      <c r="I34" s="20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80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</row>
    <row r="35" spans="1:84" s="23" customFormat="1" ht="39.75" customHeight="1">
      <c r="A35" s="20"/>
      <c r="B35" s="21" t="s">
        <v>25</v>
      </c>
      <c r="C35" s="22"/>
      <c r="D35" s="22"/>
      <c r="E35" s="22"/>
      <c r="F35" s="22"/>
      <c r="G35" s="22"/>
      <c r="H35" s="22"/>
      <c r="I35" s="20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80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</row>
    <row r="36" spans="1:84" s="23" customFormat="1" ht="39.75" customHeight="1">
      <c r="A36" s="20">
        <v>22</v>
      </c>
      <c r="B36" s="21" t="s">
        <v>26</v>
      </c>
      <c r="C36" s="22"/>
      <c r="D36" s="22"/>
      <c r="E36" s="22"/>
      <c r="F36" s="22"/>
      <c r="G36" s="22"/>
      <c r="H36" s="22"/>
      <c r="I36" s="20"/>
      <c r="J36" s="22"/>
      <c r="K36" s="22"/>
      <c r="L36" s="22"/>
      <c r="M36" s="22"/>
      <c r="N36" s="20" t="s">
        <v>60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59"/>
      <c r="AJ36" s="59"/>
      <c r="AK36" s="59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80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</row>
    <row r="37" spans="1:84" s="2" customFormat="1" ht="25.5" customHeight="1">
      <c r="A37" s="81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3"/>
      <c r="AB37" s="84"/>
      <c r="AC37" s="305" t="s">
        <v>27</v>
      </c>
      <c r="AD37" s="319" t="s">
        <v>28</v>
      </c>
      <c r="AE37" s="319" t="s">
        <v>29</v>
      </c>
      <c r="AF37" s="319" t="s">
        <v>30</v>
      </c>
      <c r="AG37" s="31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</row>
    <row r="38" spans="1:84" ht="18.600000000000001" customHeight="1">
      <c r="A38" s="81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14"/>
      <c r="AB38" s="15"/>
      <c r="AC38" s="305"/>
      <c r="AD38" s="319"/>
      <c r="AE38" s="319"/>
      <c r="AF38" s="319"/>
      <c r="AG38" s="31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</row>
    <row r="39" spans="1:84" ht="20.25" customHeight="1">
      <c r="A39" s="14"/>
      <c r="B39" s="15"/>
      <c r="C39" s="309" t="s">
        <v>18</v>
      </c>
      <c r="D39" s="309"/>
      <c r="E39" s="309" t="s">
        <v>19</v>
      </c>
      <c r="F39" s="30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62"/>
      <c r="AB39" s="15"/>
      <c r="AC39" s="305"/>
      <c r="AD39" s="319"/>
      <c r="AE39" s="319"/>
      <c r="AF39" s="319"/>
      <c r="AG39" s="31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</row>
    <row r="40" spans="1:84" ht="54.95" customHeight="1">
      <c r="A40" s="302" t="s">
        <v>20</v>
      </c>
      <c r="B40" s="302"/>
      <c r="C40" s="17" t="s">
        <v>21</v>
      </c>
      <c r="D40" s="17" t="s">
        <v>22</v>
      </c>
      <c r="E40" s="17" t="s">
        <v>21</v>
      </c>
      <c r="F40" s="17" t="s">
        <v>22</v>
      </c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302" t="s">
        <v>20</v>
      </c>
      <c r="AB40" s="302"/>
      <c r="AC40" s="305"/>
      <c r="AD40" s="319"/>
      <c r="AE40" s="319"/>
      <c r="AF40" s="319"/>
      <c r="AG40" s="31"/>
      <c r="AH40" s="34" t="s">
        <v>32</v>
      </c>
      <c r="AI40" s="34" t="s">
        <v>33</v>
      </c>
      <c r="AJ40" s="34" t="s">
        <v>24</v>
      </c>
      <c r="AK40" s="34" t="s">
        <v>34</v>
      </c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</row>
    <row r="41" spans="1:84" ht="54.95" customHeight="1">
      <c r="A41" s="302" t="s">
        <v>35</v>
      </c>
      <c r="B41" s="302"/>
      <c r="C41" s="19">
        <f t="shared" ref="C41:D45" si="0">C13+G13+K13+O13+S13+W13+AA13+AE13+AJ13+AM13+C25+G25+K25+O25+S25+W25+AA25</f>
        <v>3</v>
      </c>
      <c r="D41" s="19">
        <f t="shared" si="0"/>
        <v>1</v>
      </c>
      <c r="E41" s="19">
        <f>E13+I13+M13+Q13+U13+Y13+AC13+AG13+AH13+AO13+E25+I25+M25+Q25+U25+Y25+AC25</f>
        <v>1</v>
      </c>
      <c r="F41" s="19">
        <f>F13+J13+N13+R13+V13+Z13+AD13+AI13+AL13+AP13+F25+J25+N25+R25+V25+Z25+AD25</f>
        <v>1</v>
      </c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302" t="s">
        <v>35</v>
      </c>
      <c r="AB41" s="302"/>
      <c r="AC41" s="85">
        <f>SUM(C41:F41)</f>
        <v>6</v>
      </c>
      <c r="AD41" s="36">
        <f>C41+E41</f>
        <v>4</v>
      </c>
      <c r="AE41" s="36">
        <f>E41+F41</f>
        <v>2</v>
      </c>
      <c r="AF41" s="36">
        <f>E41</f>
        <v>1</v>
      </c>
      <c r="AG41" s="36"/>
      <c r="AH41" s="59"/>
      <c r="AI41" s="86"/>
      <c r="AJ41" s="87"/>
      <c r="AK41" s="87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</row>
    <row r="42" spans="1:84" ht="54.95" customHeight="1">
      <c r="A42" s="302" t="s">
        <v>36</v>
      </c>
      <c r="B42" s="302"/>
      <c r="C42" s="19">
        <f t="shared" si="0"/>
        <v>0</v>
      </c>
      <c r="D42" s="19">
        <f t="shared" si="0"/>
        <v>3</v>
      </c>
      <c r="E42" s="19">
        <f>E14+I14+M14+Q14+U14+Y14+AC14+AG14+AH14+AO14+E26+I26+M26+Q26+U26+Y26+AC26</f>
        <v>1</v>
      </c>
      <c r="F42" s="19">
        <f>F14+J14+N14+R14+V14+Z14+AD14+AI14+AL14+AP14+F26+J26+N26+R26+V26+Z26+AD26</f>
        <v>2</v>
      </c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302" t="s">
        <v>36</v>
      </c>
      <c r="AB42" s="302"/>
      <c r="AC42" s="85">
        <f>SUM(C42:F42)</f>
        <v>6</v>
      </c>
      <c r="AD42" s="36">
        <f>C42+E42</f>
        <v>1</v>
      </c>
      <c r="AE42" s="36">
        <f>E42+F42</f>
        <v>3</v>
      </c>
      <c r="AF42" s="36">
        <f>E42</f>
        <v>1</v>
      </c>
      <c r="AG42" s="36"/>
      <c r="AH42" s="59"/>
      <c r="AI42" s="86"/>
      <c r="AJ42" s="87"/>
      <c r="AK42" s="87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</row>
    <row r="43" spans="1:84" ht="54.95" customHeight="1">
      <c r="A43" s="302" t="s">
        <v>37</v>
      </c>
      <c r="B43" s="302"/>
      <c r="C43" s="19">
        <f t="shared" si="0"/>
        <v>2</v>
      </c>
      <c r="D43" s="19">
        <f t="shared" si="0"/>
        <v>8</v>
      </c>
      <c r="E43" s="19">
        <f>E15+I15+M15+Q15+U15+Y15+AC15+AG15+AH15+AO15+E27+I27+M27+Q27+U27+Y27+AC27</f>
        <v>1</v>
      </c>
      <c r="F43" s="19">
        <f>F15+J15+N15+R15+V15+Z15+AD15+AI15+AL15+AP15+F27+J27+N27+R27+V27+Z27+AD27</f>
        <v>1</v>
      </c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302" t="s">
        <v>37</v>
      </c>
      <c r="AB43" s="302"/>
      <c r="AC43" s="85">
        <f>SUM(C43:F43)</f>
        <v>12</v>
      </c>
      <c r="AD43" s="36">
        <f>C43+E43</f>
        <v>3</v>
      </c>
      <c r="AE43" s="36">
        <f>E43+F43</f>
        <v>2</v>
      </c>
      <c r="AF43" s="36">
        <f>E43</f>
        <v>1</v>
      </c>
      <c r="AG43" s="36"/>
      <c r="AH43" s="59"/>
      <c r="AI43" s="86"/>
      <c r="AJ43" s="87"/>
      <c r="AK43" s="87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</row>
    <row r="44" spans="1:84" ht="54.95" customHeight="1">
      <c r="A44" s="302" t="s">
        <v>38</v>
      </c>
      <c r="B44" s="302"/>
      <c r="C44" s="19">
        <f t="shared" si="0"/>
        <v>5</v>
      </c>
      <c r="D44" s="19">
        <f t="shared" si="0"/>
        <v>1</v>
      </c>
      <c r="E44" s="19">
        <f>E16+I16+M16+Q16+U16+Y16+AC16+AG16+AH16+AO16+E28+I28+M28+Q28+U28+Y28+AC28</f>
        <v>3</v>
      </c>
      <c r="F44" s="19">
        <f>F16+J16+N16+R16+V16+Z16+AD16+AI16+AL16+AP16+F28+J28+N28+R28+V28+Z28+AD28</f>
        <v>0</v>
      </c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302" t="s">
        <v>38</v>
      </c>
      <c r="AB44" s="302"/>
      <c r="AC44" s="85">
        <f>SUM(C44:F44)</f>
        <v>9</v>
      </c>
      <c r="AD44" s="36">
        <f>C44+E44</f>
        <v>8</v>
      </c>
      <c r="AE44" s="36">
        <f>E44+F44</f>
        <v>3</v>
      </c>
      <c r="AF44" s="36">
        <f>E44</f>
        <v>3</v>
      </c>
      <c r="AG44" s="36"/>
      <c r="AH44" s="59"/>
      <c r="AI44" s="88"/>
      <c r="AJ44" s="87"/>
      <c r="AK44" s="87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</row>
    <row r="45" spans="1:84" ht="54.95" customHeight="1">
      <c r="A45" s="302" t="s">
        <v>39</v>
      </c>
      <c r="B45" s="302"/>
      <c r="C45" s="19">
        <f t="shared" si="0"/>
        <v>8</v>
      </c>
      <c r="D45" s="19">
        <f t="shared" si="0"/>
        <v>4</v>
      </c>
      <c r="E45" s="19">
        <f>E17+I17+M17+Q17+U17+Y17+AC17+AG17+AH17+AO17+E29+I29+M29+Q29+U29+Y29+AC29</f>
        <v>2</v>
      </c>
      <c r="F45" s="19">
        <f>F17+J17+N17+R17+V17+Z17+AD17+AI17+AL17+AP17+F29+J29+N29+R29+V29+Z29+AD29</f>
        <v>0</v>
      </c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302" t="s">
        <v>39</v>
      </c>
      <c r="AB45" s="302"/>
      <c r="AC45" s="85">
        <f>SUM(C45:F45)</f>
        <v>14</v>
      </c>
      <c r="AD45" s="36">
        <f>C45+E45</f>
        <v>10</v>
      </c>
      <c r="AE45" s="36">
        <f>E45+F45</f>
        <v>2</v>
      </c>
      <c r="AF45" s="36">
        <f>E45</f>
        <v>2</v>
      </c>
      <c r="AG45" s="36"/>
      <c r="AH45" s="59"/>
      <c r="AI45" s="89"/>
      <c r="AJ45" s="87"/>
      <c r="AK45" s="87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</row>
    <row r="46" spans="1:84" ht="53.25" customHeight="1">
      <c r="A46" s="302" t="s">
        <v>27</v>
      </c>
      <c r="B46" s="302"/>
      <c r="C46" s="90">
        <f>SUM(C41:C45)</f>
        <v>18</v>
      </c>
      <c r="D46" s="90">
        <f>SUM(D41:D45)</f>
        <v>17</v>
      </c>
      <c r="E46" s="90">
        <f>SUM(E41:E45)</f>
        <v>8</v>
      </c>
      <c r="F46" s="90">
        <f>SUM(F41:F45)</f>
        <v>4</v>
      </c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91"/>
      <c r="AA46" s="318" t="s">
        <v>27</v>
      </c>
      <c r="AB46" s="318"/>
      <c r="AC46" s="39">
        <f>SUM(AC41:AC45)</f>
        <v>47</v>
      </c>
      <c r="AD46" s="92">
        <f>SUM(AD41:AD45)</f>
        <v>26</v>
      </c>
      <c r="AE46" s="92">
        <f>SUM(AE41:AE45)</f>
        <v>12</v>
      </c>
      <c r="AF46" s="93">
        <f>SUM(AF41:AF45)</f>
        <v>8</v>
      </c>
      <c r="AG46" s="41"/>
      <c r="AH46" s="39">
        <f>A36</f>
        <v>22</v>
      </c>
      <c r="AI46" s="40">
        <f>A33</f>
        <v>6</v>
      </c>
      <c r="AJ46" s="40">
        <f>A34</f>
        <v>5</v>
      </c>
      <c r="AK46" s="40">
        <f>A35</f>
        <v>0</v>
      </c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</row>
    <row r="47" spans="1:84" ht="53.25" customHeight="1">
      <c r="A47" s="42"/>
      <c r="B47" s="42"/>
      <c r="C47" s="94"/>
      <c r="D47" s="94"/>
      <c r="E47" s="94"/>
      <c r="F47" s="94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44" t="s">
        <v>40</v>
      </c>
      <c r="AA47" s="45" t="s">
        <v>38</v>
      </c>
      <c r="AB47" s="46"/>
      <c r="AC47" s="47">
        <v>9</v>
      </c>
      <c r="AD47" s="47"/>
      <c r="AE47" s="47"/>
      <c r="AF47" s="47"/>
      <c r="AG47" s="41"/>
      <c r="AH47" s="49"/>
      <c r="AI47" s="95"/>
      <c r="AJ47" s="49"/>
      <c r="AK47" s="4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</row>
    <row r="48" spans="1:84" ht="53.25" customHeight="1">
      <c r="A48" s="42"/>
      <c r="B48" s="42"/>
      <c r="C48" s="94"/>
      <c r="D48" s="94"/>
      <c r="E48" s="94"/>
      <c r="F48" s="94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44" t="s">
        <v>40</v>
      </c>
      <c r="AA48" s="52" t="s">
        <v>39</v>
      </c>
      <c r="AB48" s="53"/>
      <c r="AC48" s="54">
        <v>14</v>
      </c>
      <c r="AD48" s="54"/>
      <c r="AE48" s="54"/>
      <c r="AF48" s="54"/>
      <c r="AG48" s="41"/>
      <c r="AH48" s="49"/>
      <c r="AI48" s="95"/>
      <c r="AJ48" s="49"/>
      <c r="AK48" s="4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</row>
    <row r="49" spans="1:84" ht="53.25" customHeight="1">
      <c r="A49" s="42"/>
      <c r="B49" s="42"/>
      <c r="C49" s="94"/>
      <c r="D49" s="94"/>
      <c r="E49" s="94"/>
      <c r="F49" s="94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44"/>
      <c r="AA49" s="308" t="s">
        <v>41</v>
      </c>
      <c r="AB49" s="308"/>
      <c r="AC49" s="55">
        <f>SUM(AC47:AC48)</f>
        <v>23</v>
      </c>
      <c r="AD49" s="56"/>
      <c r="AE49" s="56"/>
      <c r="AF49" s="56"/>
      <c r="AG49" s="41"/>
      <c r="AH49" s="49"/>
      <c r="AI49" s="95"/>
      <c r="AJ49" s="49"/>
      <c r="AK49" s="4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</row>
    <row r="50" spans="1:84" ht="72.75" customHeight="1">
      <c r="A50" s="57"/>
      <c r="B50" s="58"/>
      <c r="C50" s="58"/>
      <c r="D50" s="58"/>
      <c r="E50" s="58"/>
      <c r="F50" s="58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91" t="s">
        <v>40</v>
      </c>
      <c r="AA50" s="302" t="str">
        <f>IF($AC$37=MAX($AC$37:$AC$41),AA41,IF($AC$38=MAX($AC$37:$AC$41),AA42,IF($AC$39=MAX($AC$37:$AC$41),AA43,IF($AC$40=MAX($AC$37:$AC$41),AA44,IF($AC$41=MAX($AC$37:$AC$41),AA45,AA44)))))</f>
        <v>8:30 à 9:00</v>
      </c>
      <c r="AB50" s="302"/>
      <c r="AC50" s="33">
        <f>IF($AC$37=MAX($AC$37:$AC$41),AC41,IF($AC$38=MAX($AC$37:$AC$41),AC42,IF($AC$39=MAX($AC$37:$AC$41),AC43,IF($AC$40=MAX($AC$37:$AC$41),AC44,IF($AC$41=MAX($AC$37:$AC$41),AC45,AC44)))))</f>
        <v>14</v>
      </c>
      <c r="AD50" s="33">
        <f>IF($AC$37=MAX($AC$37:$AC$41),AD41,IF($AC$38=MAX($AC$37:$AC$41),AD42,IF($AC$39=MAX($AC$37:$AC$41),AD43,IF($AC$40=MAX($AC$37:$AC$41),AD44,IF($AC$41=MAX($AC$37:$AC$41),AD45,AD44)))))</f>
        <v>10</v>
      </c>
      <c r="AE50" s="33">
        <f>IF($AC$37=MAX($AC$37:$AC$41),AE41,IF($AC$38=MAX($AC$37:$AC$41),AE42,IF($AC$39=MAX($AC$37:$AC$41),AE43,IF($AC$40=MAX($AC$37:$AC$41),AE44,IF($AC$41=MAX($AC$37:$AC$41),AE45,AE44)))))</f>
        <v>2</v>
      </c>
      <c r="AF50" s="33">
        <f>IF($AC$37=MAX($AC$37:$AC$41),AF41,IF($AC$38=MAX($AC$37:$AC$41),AF42,IF($AC$39=MAX($AC$37:$AC$41),AF43,IF($AC$40=MAX($AC$37:$AC$41),AF44,IF($AC$41=MAX($AC$37:$AC$41),AF45,AF44)))))</f>
        <v>2</v>
      </c>
      <c r="AG50" s="33"/>
      <c r="AH50" s="59"/>
      <c r="AI50" s="88"/>
      <c r="AJ50" s="87"/>
      <c r="AK50" s="87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</row>
    <row r="51" spans="1:84" ht="23.25">
      <c r="A51" s="96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AA51" s="97"/>
      <c r="AB51" s="97"/>
      <c r="AC51" s="33"/>
      <c r="AD51" s="33"/>
      <c r="AE51" s="33"/>
      <c r="AF51" s="33"/>
      <c r="AG51" s="33"/>
      <c r="AH51" s="59"/>
      <c r="AI51" s="88"/>
      <c r="AJ51" s="87"/>
      <c r="AK51" s="34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</row>
    <row r="52" spans="1:84" ht="23.25" customHeight="1">
      <c r="A52" s="96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14"/>
      <c r="AB52" s="15"/>
      <c r="AC52" s="305" t="s">
        <v>27</v>
      </c>
      <c r="AD52" s="306" t="s">
        <v>42</v>
      </c>
      <c r="AE52" s="61" t="s">
        <v>43</v>
      </c>
      <c r="AF52" s="61" t="s">
        <v>44</v>
      </c>
      <c r="AG52" s="61">
        <f>AG37</f>
        <v>0</v>
      </c>
      <c r="AH52" s="59"/>
      <c r="AI52" s="88"/>
      <c r="AJ52" s="87"/>
      <c r="AK52" s="34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</row>
    <row r="53" spans="1:84" ht="40.5" customHeight="1">
      <c r="A53" s="96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14"/>
      <c r="AB53" s="15"/>
      <c r="AC53" s="305"/>
      <c r="AD53" s="306"/>
      <c r="AE53" s="61"/>
      <c r="AF53" s="61"/>
      <c r="AG53" s="61"/>
      <c r="AH53" s="59"/>
      <c r="AI53" s="34" t="s">
        <v>61</v>
      </c>
      <c r="AJ53" s="34"/>
      <c r="AK53" s="34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</row>
    <row r="54" spans="1:84" ht="20.25">
      <c r="A54" s="96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62"/>
      <c r="AB54" s="15"/>
      <c r="AC54" s="305"/>
      <c r="AD54" s="306"/>
      <c r="AE54" s="61"/>
      <c r="AF54" s="61"/>
      <c r="AG54" s="61"/>
      <c r="AH54" s="59"/>
      <c r="AI54" s="34"/>
      <c r="AJ54" s="34"/>
      <c r="AK54" s="34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</row>
    <row r="55" spans="1:84" ht="45" customHeight="1">
      <c r="A55" s="96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302" t="s">
        <v>20</v>
      </c>
      <c r="AB55" s="302"/>
      <c r="AC55" s="305"/>
      <c r="AD55" s="306"/>
      <c r="AE55" s="61"/>
      <c r="AF55" s="61"/>
      <c r="AG55" s="61"/>
      <c r="AH55" s="59"/>
      <c r="AI55" s="34"/>
      <c r="AJ55" s="34"/>
      <c r="AK55" s="34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</row>
    <row r="56" spans="1:84" ht="45" customHeight="1">
      <c r="A56" s="96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302" t="str">
        <f>AA41</f>
        <v>6:30 à 7:00</v>
      </c>
      <c r="AB56" s="302"/>
      <c r="AC56" s="63"/>
      <c r="AD56" s="64">
        <f>IF(AD41=0,0,AD41/AC41)</f>
        <v>0.66666666666666663</v>
      </c>
      <c r="AE56" s="64">
        <f>IF(AE41=0,0,AE41/AC41)</f>
        <v>0.33333333333333331</v>
      </c>
      <c r="AF56" s="64">
        <f>IF(AF41=0,0,AF41/AD41)</f>
        <v>0.25</v>
      </c>
      <c r="AG56" s="64">
        <f>IF(AG41=0,0,AG41/AC41)</f>
        <v>0</v>
      </c>
      <c r="AH56" s="59"/>
      <c r="AI56" s="34"/>
      <c r="AJ56" s="34"/>
      <c r="AK56" s="87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</row>
    <row r="57" spans="1:84" ht="45" customHeight="1">
      <c r="A57" s="96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302" t="str">
        <f>AA42</f>
        <v>7:00 à 7:30</v>
      </c>
      <c r="AB57" s="302"/>
      <c r="AC57" s="63"/>
      <c r="AD57" s="64">
        <f>IF(AD43=0,0,AD43/AC43)</f>
        <v>0.25</v>
      </c>
      <c r="AE57" s="64">
        <f>IF(AE43=0,0,AE43/AC43)</f>
        <v>0.16666666666666666</v>
      </c>
      <c r="AF57" s="64">
        <f>IF(AF43=0,0,AF43/AD43)</f>
        <v>0.33333333333333331</v>
      </c>
      <c r="AG57" s="64">
        <f>IF(AG43=0,0,AG43/AC43)</f>
        <v>0</v>
      </c>
      <c r="AH57" s="59"/>
      <c r="AI57" s="88"/>
      <c r="AJ57" s="87"/>
      <c r="AK57" s="87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</row>
    <row r="58" spans="1:84" ht="45" customHeight="1">
      <c r="A58" s="96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302" t="str">
        <f>AA43</f>
        <v>7:30 à 8:00</v>
      </c>
      <c r="AB58" s="302"/>
      <c r="AC58" s="63"/>
      <c r="AD58" s="64">
        <f>IF(AD43=0,0,AD43/AC43)</f>
        <v>0.25</v>
      </c>
      <c r="AE58" s="64">
        <f t="shared" ref="AE58:AF61" si="1">IF(AE43=0,0,AE43/AC43)</f>
        <v>0.16666666666666666</v>
      </c>
      <c r="AF58" s="64">
        <f t="shared" si="1"/>
        <v>0.33333333333333331</v>
      </c>
      <c r="AG58" s="64">
        <f>IF(AG43=0,0,AG43/AC43)</f>
        <v>0</v>
      </c>
      <c r="AH58" s="59"/>
      <c r="AI58" s="88"/>
      <c r="AJ58" s="87"/>
      <c r="AK58" s="87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</row>
    <row r="59" spans="1:84" ht="45" customHeight="1">
      <c r="A59" s="96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302" t="str">
        <f>AA44</f>
        <v>8:00 à 8:30</v>
      </c>
      <c r="AB59" s="302"/>
      <c r="AC59" s="63"/>
      <c r="AD59" s="64">
        <f>IF(AD44=0,0,AD44/AC44)</f>
        <v>0.88888888888888884</v>
      </c>
      <c r="AE59" s="64">
        <f t="shared" si="1"/>
        <v>0.33333333333333331</v>
      </c>
      <c r="AF59" s="64">
        <f t="shared" si="1"/>
        <v>0.375</v>
      </c>
      <c r="AG59" s="64">
        <f>IF(AG44=0,0,AG44/AC44)</f>
        <v>0</v>
      </c>
      <c r="AH59" s="59"/>
      <c r="AI59" s="88"/>
      <c r="AJ59" s="87"/>
      <c r="AK59" s="87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</row>
    <row r="60" spans="1:84" ht="45" customHeight="1"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302" t="str">
        <f>AA45</f>
        <v>8:30 à 9:00</v>
      </c>
      <c r="AB60" s="302"/>
      <c r="AC60" s="63"/>
      <c r="AD60" s="64">
        <f>IF(AD45=0,0,AD45/AC45)</f>
        <v>0.7142857142857143</v>
      </c>
      <c r="AE60" s="64">
        <f t="shared" si="1"/>
        <v>0.14285714285714285</v>
      </c>
      <c r="AF60" s="64">
        <f t="shared" si="1"/>
        <v>0.2</v>
      </c>
      <c r="AG60" s="64">
        <f>IF(AG45=0,0,AG45/AC45)</f>
        <v>0</v>
      </c>
      <c r="AH60" s="59"/>
      <c r="AI60" s="88"/>
      <c r="AJ60" s="87"/>
      <c r="AK60" s="87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</row>
    <row r="61" spans="1:84" ht="45" customHeight="1"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303" t="s">
        <v>27</v>
      </c>
      <c r="AB61" s="303"/>
      <c r="AC61" s="65"/>
      <c r="AD61" s="64">
        <f>IF(AD46=0,0,AD46/AC46)</f>
        <v>0.55319148936170215</v>
      </c>
      <c r="AE61" s="64">
        <f t="shared" si="1"/>
        <v>0.25531914893617019</v>
      </c>
      <c r="AF61" s="64">
        <f t="shared" si="1"/>
        <v>0.30769230769230771</v>
      </c>
      <c r="AG61" s="64">
        <f>IF(AG46=0,0,AG46/AC46)</f>
        <v>0</v>
      </c>
      <c r="AH61" s="59"/>
      <c r="AI61" s="88"/>
      <c r="AJ61" s="87"/>
      <c r="AK61" s="87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</row>
    <row r="62" spans="1:84" ht="23.25"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302" t="str">
        <f>AA50</f>
        <v>8:30 à 9:00</v>
      </c>
      <c r="AB62" s="302"/>
      <c r="AC62" s="33"/>
      <c r="AD62" s="66">
        <f>AD50/$AC$44</f>
        <v>1.1111111111111112</v>
      </c>
      <c r="AE62" s="66">
        <f>AE50/$AC$44</f>
        <v>0.22222222222222221</v>
      </c>
      <c r="AF62" s="66">
        <f>AF50/$AC$44</f>
        <v>0.22222222222222221</v>
      </c>
      <c r="AG62" s="66">
        <f>AG50/$AC$44</f>
        <v>0</v>
      </c>
      <c r="AH62" s="59"/>
      <c r="AI62" s="88"/>
      <c r="AJ62" s="87"/>
      <c r="AK62" s="87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</row>
    <row r="63" spans="1:84" ht="23.25"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88"/>
      <c r="AJ63" s="87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</row>
    <row r="64" spans="1:84" ht="20.25"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</row>
    <row r="65" spans="7:84" ht="20.25"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</row>
    <row r="66" spans="7:84" ht="20.25"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7:84" ht="20.25"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</sheetData>
  <mergeCells count="80">
    <mergeCell ref="C9:R9"/>
    <mergeCell ref="S9:AD9"/>
    <mergeCell ref="C10:F10"/>
    <mergeCell ref="G10:J10"/>
    <mergeCell ref="K10:N10"/>
    <mergeCell ref="O10:R10"/>
    <mergeCell ref="S10:V10"/>
    <mergeCell ref="W10:Z10"/>
    <mergeCell ref="AA10:AD10"/>
    <mergeCell ref="W11:X11"/>
    <mergeCell ref="Y11:Z11"/>
    <mergeCell ref="AA11:AB11"/>
    <mergeCell ref="AC11:AD11"/>
    <mergeCell ref="A12:B12"/>
    <mergeCell ref="M11:N11"/>
    <mergeCell ref="O11:P11"/>
    <mergeCell ref="Q11:R11"/>
    <mergeCell ref="S11:T11"/>
    <mergeCell ref="U11:V11"/>
    <mergeCell ref="C11:D11"/>
    <mergeCell ref="E11:F11"/>
    <mergeCell ref="G11:H11"/>
    <mergeCell ref="I11:J11"/>
    <mergeCell ref="K11:L11"/>
    <mergeCell ref="C21:N21"/>
    <mergeCell ref="O21:AD21"/>
    <mergeCell ref="C22:F22"/>
    <mergeCell ref="G22:J22"/>
    <mergeCell ref="K22:N22"/>
    <mergeCell ref="O22:R22"/>
    <mergeCell ref="S22:V22"/>
    <mergeCell ref="W22:Z22"/>
    <mergeCell ref="AA22:AD22"/>
    <mergeCell ref="W23:X23"/>
    <mergeCell ref="Y23:Z23"/>
    <mergeCell ref="AA23:AB23"/>
    <mergeCell ref="AC23:AD23"/>
    <mergeCell ref="A24:B24"/>
    <mergeCell ref="M23:N23"/>
    <mergeCell ref="O23:P23"/>
    <mergeCell ref="Q23:R23"/>
    <mergeCell ref="S23:T23"/>
    <mergeCell ref="U23:V23"/>
    <mergeCell ref="C23:D23"/>
    <mergeCell ref="E23:F23"/>
    <mergeCell ref="G23:H23"/>
    <mergeCell ref="I23:J23"/>
    <mergeCell ref="K23:L23"/>
    <mergeCell ref="AC37:AC40"/>
    <mergeCell ref="AD37:AD40"/>
    <mergeCell ref="AE37:AE40"/>
    <mergeCell ref="AF37:AF40"/>
    <mergeCell ref="C39:D39"/>
    <mergeCell ref="E39:F39"/>
    <mergeCell ref="A40:B40"/>
    <mergeCell ref="AA40:AB40"/>
    <mergeCell ref="A41:B41"/>
    <mergeCell ref="AA41:AB41"/>
    <mergeCell ref="A42:B42"/>
    <mergeCell ref="AA42:AB42"/>
    <mergeCell ref="A43:B43"/>
    <mergeCell ref="AA43:AB43"/>
    <mergeCell ref="A44:B44"/>
    <mergeCell ref="AA44:AB44"/>
    <mergeCell ref="A45:B45"/>
    <mergeCell ref="AA45:AB45"/>
    <mergeCell ref="A46:B46"/>
    <mergeCell ref="AA46:AB46"/>
    <mergeCell ref="AA49:AB49"/>
    <mergeCell ref="AA50:AB50"/>
    <mergeCell ref="AC52:AC55"/>
    <mergeCell ref="AA59:AB59"/>
    <mergeCell ref="AA60:AB60"/>
    <mergeCell ref="AA61:AB61"/>
    <mergeCell ref="AA62:AB62"/>
    <mergeCell ref="AD52:AD55"/>
    <mergeCell ref="AA55:AB55"/>
    <mergeCell ref="AA56:AB56"/>
    <mergeCell ref="AA57:AB57"/>
    <mergeCell ref="AA58:AB58"/>
  </mergeCells>
  <pageMargins left="0.196527777777778" right="0.196527777777778" top="0.98402777777777795" bottom="0.98402777777777795" header="0.51180555555555496" footer="0.51180555555555496"/>
  <pageSetup paperSize="9" fitToHeight="0" pageOrder="overThenDown" orientation="landscape" useFirstPageNumber="1" horizontalDpi="300" verticalDpi="300"/>
  <colBreaks count="1" manualBreakCount="1">
    <brk id="7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J59"/>
  <sheetViews>
    <sheetView topLeftCell="A28" zoomScale="50" zoomScaleNormal="50" workbookViewId="0">
      <selection activeCell="AC47" sqref="AC47"/>
    </sheetView>
  </sheetViews>
  <sheetFormatPr baseColWidth="10" defaultColWidth="11.25" defaultRowHeight="14.25"/>
  <cols>
    <col min="1" max="2" width="8.625" style="1" customWidth="1"/>
    <col min="3" max="26" width="6.625" style="1" customWidth="1"/>
    <col min="27" max="27" width="8.875" style="1" customWidth="1"/>
    <col min="28" max="28" width="14.375" style="1" customWidth="1"/>
    <col min="29" max="33" width="21.375" style="1" customWidth="1"/>
    <col min="34" max="37" width="15.625" style="1" customWidth="1"/>
    <col min="38" max="999" width="11.25" style="1"/>
    <col min="1000" max="1000" width="11.125" style="1" customWidth="1"/>
    <col min="1001" max="1024" width="10.5" customWidth="1"/>
  </cols>
  <sheetData>
    <row r="1" spans="1:26" ht="52.5" customHeight="1">
      <c r="A1" s="96"/>
      <c r="B1" s="98" t="s">
        <v>62</v>
      </c>
      <c r="C1" s="59"/>
      <c r="D1" s="59"/>
      <c r="E1" s="59"/>
      <c r="G1" s="59"/>
      <c r="H1" s="59"/>
      <c r="I1" s="59"/>
      <c r="J1" s="59"/>
      <c r="O1" s="99" t="s">
        <v>2</v>
      </c>
      <c r="P1" s="100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52.5" customHeight="1">
      <c r="A2" s="96" t="s">
        <v>3</v>
      </c>
      <c r="B2" s="59"/>
      <c r="C2" s="59"/>
      <c r="D2" s="59"/>
      <c r="E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52.5" customHeight="1">
      <c r="A3" s="96" t="s">
        <v>5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52.5" customHeight="1">
      <c r="A4" s="96" t="s">
        <v>7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25.5" customHeight="1">
      <c r="A5" s="101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 spans="1:26" ht="35.1" customHeight="1">
      <c r="A6" s="3" t="s">
        <v>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</row>
    <row r="7" spans="1:26" ht="35.1" customHeight="1">
      <c r="A7" s="3" t="s">
        <v>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</row>
    <row r="8" spans="1:26" ht="35.1" customHeight="1">
      <c r="A8" s="3" t="s">
        <v>10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</row>
    <row r="9" spans="1:26" ht="25.5" customHeight="1">
      <c r="A9" s="101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</row>
    <row r="10" spans="1:26" ht="32.25" customHeight="1">
      <c r="A10" s="3"/>
      <c r="B10" s="5"/>
      <c r="C10" s="317" t="s">
        <v>63</v>
      </c>
      <c r="D10" s="317"/>
      <c r="E10" s="317"/>
      <c r="F10" s="317"/>
      <c r="G10" s="317"/>
      <c r="H10" s="317"/>
      <c r="I10" s="317"/>
      <c r="J10" s="317"/>
      <c r="K10" s="317"/>
      <c r="L10" s="317"/>
      <c r="M10" s="317"/>
      <c r="N10" s="317"/>
      <c r="O10" s="317" t="s">
        <v>64</v>
      </c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</row>
    <row r="11" spans="1:26" ht="51.2" customHeight="1">
      <c r="A11" s="3"/>
      <c r="B11" s="5"/>
      <c r="C11" s="312" t="s">
        <v>65</v>
      </c>
      <c r="D11" s="312"/>
      <c r="E11" s="312"/>
      <c r="F11" s="312"/>
      <c r="G11" s="312" t="s">
        <v>66</v>
      </c>
      <c r="H11" s="312"/>
      <c r="I11" s="312"/>
      <c r="J11" s="312"/>
      <c r="K11" s="312" t="s">
        <v>67</v>
      </c>
      <c r="L11" s="312"/>
      <c r="M11" s="312"/>
      <c r="N11" s="312"/>
      <c r="O11" s="312" t="s">
        <v>66</v>
      </c>
      <c r="P11" s="312"/>
      <c r="Q11" s="312"/>
      <c r="R11" s="312"/>
      <c r="S11" s="312" t="s">
        <v>67</v>
      </c>
      <c r="T11" s="312"/>
      <c r="U11" s="312"/>
      <c r="V11" s="312"/>
      <c r="W11" s="312" t="s">
        <v>68</v>
      </c>
      <c r="X11" s="312"/>
      <c r="Y11" s="312"/>
      <c r="Z11" s="312"/>
    </row>
    <row r="12" spans="1:26" ht="18.600000000000001" customHeight="1">
      <c r="A12" s="3"/>
      <c r="B12" s="5"/>
      <c r="C12" s="309" t="s">
        <v>18</v>
      </c>
      <c r="D12" s="309"/>
      <c r="E12" s="309" t="s">
        <v>19</v>
      </c>
      <c r="F12" s="309"/>
      <c r="G12" s="309" t="s">
        <v>18</v>
      </c>
      <c r="H12" s="309"/>
      <c r="I12" s="309" t="s">
        <v>19</v>
      </c>
      <c r="J12" s="309"/>
      <c r="K12" s="309" t="s">
        <v>18</v>
      </c>
      <c r="L12" s="309"/>
      <c r="M12" s="309" t="s">
        <v>19</v>
      </c>
      <c r="N12" s="309"/>
      <c r="O12" s="309" t="s">
        <v>18</v>
      </c>
      <c r="P12" s="309"/>
      <c r="Q12" s="309" t="s">
        <v>19</v>
      </c>
      <c r="R12" s="309"/>
      <c r="S12" s="309" t="s">
        <v>18</v>
      </c>
      <c r="T12" s="309"/>
      <c r="U12" s="309" t="s">
        <v>19</v>
      </c>
      <c r="V12" s="309"/>
      <c r="W12" s="309" t="s">
        <v>18</v>
      </c>
      <c r="X12" s="309"/>
      <c r="Y12" s="309" t="s">
        <v>19</v>
      </c>
      <c r="Z12" s="309"/>
    </row>
    <row r="13" spans="1:26" ht="20.25">
      <c r="A13" s="302" t="s">
        <v>20</v>
      </c>
      <c r="B13" s="302"/>
      <c r="C13" s="102" t="s">
        <v>21</v>
      </c>
      <c r="D13" s="102" t="s">
        <v>22</v>
      </c>
      <c r="E13" s="102" t="s">
        <v>21</v>
      </c>
      <c r="F13" s="102" t="s">
        <v>22</v>
      </c>
      <c r="G13" s="102" t="s">
        <v>21</v>
      </c>
      <c r="H13" s="102" t="s">
        <v>22</v>
      </c>
      <c r="I13" s="102" t="s">
        <v>21</v>
      </c>
      <c r="J13" s="102" t="s">
        <v>22</v>
      </c>
      <c r="K13" s="102" t="s">
        <v>21</v>
      </c>
      <c r="L13" s="102" t="s">
        <v>22</v>
      </c>
      <c r="M13" s="102" t="s">
        <v>21</v>
      </c>
      <c r="N13" s="102" t="s">
        <v>22</v>
      </c>
      <c r="O13" s="102" t="s">
        <v>21</v>
      </c>
      <c r="P13" s="102" t="s">
        <v>22</v>
      </c>
      <c r="Q13" s="102" t="s">
        <v>21</v>
      </c>
      <c r="R13" s="102" t="s">
        <v>22</v>
      </c>
      <c r="S13" s="102" t="s">
        <v>21</v>
      </c>
      <c r="T13" s="102" t="s">
        <v>22</v>
      </c>
      <c r="U13" s="102" t="s">
        <v>21</v>
      </c>
      <c r="V13" s="102" t="s">
        <v>22</v>
      </c>
      <c r="W13" s="102" t="s">
        <v>21</v>
      </c>
      <c r="X13" s="102" t="s">
        <v>22</v>
      </c>
      <c r="Y13" s="102" t="s">
        <v>21</v>
      </c>
      <c r="Z13" s="102" t="s">
        <v>22</v>
      </c>
    </row>
    <row r="14" spans="1:26" ht="69.95" customHeight="1">
      <c r="A14" s="18">
        <v>0.27083333333333298</v>
      </c>
      <c r="B14" s="103">
        <v>0.29166666666666702</v>
      </c>
      <c r="C14" s="19"/>
      <c r="D14" s="19">
        <v>1</v>
      </c>
      <c r="E14" s="19"/>
      <c r="F14" s="19"/>
      <c r="G14" s="19">
        <v>1</v>
      </c>
      <c r="H14" s="19"/>
      <c r="I14" s="19"/>
      <c r="J14" s="19"/>
      <c r="K14" s="19"/>
      <c r="L14" s="19">
        <v>2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69.95" customHeight="1">
      <c r="A15" s="18">
        <v>0.29166666666666702</v>
      </c>
      <c r="B15" s="103">
        <v>0.3125</v>
      </c>
      <c r="C15" s="19"/>
      <c r="D15" s="19"/>
      <c r="E15" s="19"/>
      <c r="F15" s="19"/>
      <c r="G15" s="19"/>
      <c r="H15" s="19"/>
      <c r="I15" s="19"/>
      <c r="J15" s="19"/>
      <c r="K15" s="19"/>
      <c r="L15" s="19">
        <v>2</v>
      </c>
      <c r="M15" s="19">
        <v>2</v>
      </c>
      <c r="N15" s="19"/>
      <c r="O15" s="19"/>
      <c r="P15" s="19"/>
      <c r="Q15" s="19"/>
      <c r="R15" s="19"/>
      <c r="S15" s="19"/>
      <c r="T15" s="19">
        <v>2</v>
      </c>
      <c r="U15" s="19"/>
      <c r="V15" s="19"/>
      <c r="W15" s="19"/>
      <c r="X15" s="19"/>
      <c r="Y15" s="19"/>
      <c r="Z15" s="19"/>
    </row>
    <row r="16" spans="1:26" ht="69.95" customHeight="1">
      <c r="A16" s="18">
        <v>0.3125</v>
      </c>
      <c r="B16" s="103">
        <v>0.33333333333333298</v>
      </c>
      <c r="C16" s="19">
        <v>2</v>
      </c>
      <c r="D16" s="19">
        <v>2</v>
      </c>
      <c r="E16" s="19"/>
      <c r="F16" s="19"/>
      <c r="G16" s="19">
        <v>1</v>
      </c>
      <c r="H16" s="19">
        <v>1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>
        <v>1</v>
      </c>
      <c r="T16" s="19"/>
      <c r="U16" s="19"/>
      <c r="V16" s="19"/>
      <c r="W16" s="19"/>
      <c r="X16" s="19"/>
      <c r="Y16" s="19"/>
      <c r="Z16" s="19"/>
    </row>
    <row r="17" spans="1:47" ht="69.95" customHeight="1">
      <c r="A17" s="18">
        <v>0.33333333333333298</v>
      </c>
      <c r="B17" s="103">
        <v>0.34722222222222199</v>
      </c>
      <c r="C17" s="19"/>
      <c r="D17" s="19">
        <v>1</v>
      </c>
      <c r="E17" s="19">
        <v>1</v>
      </c>
      <c r="F17" s="19"/>
      <c r="G17" s="19"/>
      <c r="H17" s="19">
        <v>1</v>
      </c>
      <c r="I17" s="19"/>
      <c r="J17" s="19"/>
      <c r="K17" s="19"/>
      <c r="L17" s="19"/>
      <c r="M17" s="19">
        <v>1</v>
      </c>
      <c r="N17" s="19">
        <v>1</v>
      </c>
      <c r="O17" s="19"/>
      <c r="P17" s="19">
        <v>1</v>
      </c>
      <c r="Q17" s="19"/>
      <c r="R17" s="19"/>
      <c r="S17" s="19"/>
      <c r="T17" s="19">
        <v>1</v>
      </c>
      <c r="U17" s="19"/>
      <c r="V17" s="19"/>
      <c r="W17" s="19"/>
      <c r="X17" s="19"/>
      <c r="Y17" s="19"/>
      <c r="Z17" s="19"/>
    </row>
    <row r="18" spans="1:47" ht="69.95" customHeight="1">
      <c r="A18" s="18"/>
      <c r="B18" s="103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47" ht="25.5" customHeight="1">
      <c r="A19" s="101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</row>
    <row r="20" spans="1:47" ht="32.25" customHeight="1">
      <c r="A20" s="3"/>
      <c r="B20" s="5"/>
      <c r="C20" s="317" t="s">
        <v>69</v>
      </c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 t="s">
        <v>70</v>
      </c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</row>
    <row r="21" spans="1:47" ht="51.2" customHeight="1">
      <c r="A21" s="3"/>
      <c r="B21" s="5"/>
      <c r="C21" s="312" t="s">
        <v>67</v>
      </c>
      <c r="D21" s="312"/>
      <c r="E21" s="312"/>
      <c r="F21" s="312"/>
      <c r="G21" s="312" t="s">
        <v>68</v>
      </c>
      <c r="H21" s="312"/>
      <c r="I21" s="312"/>
      <c r="J21" s="312"/>
      <c r="K21" s="312" t="s">
        <v>65</v>
      </c>
      <c r="L21" s="312"/>
      <c r="M21" s="312"/>
      <c r="N21" s="312"/>
      <c r="O21" s="312" t="s">
        <v>68</v>
      </c>
      <c r="P21" s="312"/>
      <c r="Q21" s="312"/>
      <c r="R21" s="312"/>
      <c r="S21" s="312" t="s">
        <v>65</v>
      </c>
      <c r="T21" s="312"/>
      <c r="U21" s="312"/>
      <c r="V21" s="312"/>
      <c r="W21" s="312" t="s">
        <v>66</v>
      </c>
      <c r="X21" s="312"/>
      <c r="Y21" s="312"/>
      <c r="Z21" s="312"/>
    </row>
    <row r="22" spans="1:47" ht="18.600000000000001" customHeight="1">
      <c r="A22" s="3"/>
      <c r="B22" s="5"/>
      <c r="C22" s="309" t="s">
        <v>18</v>
      </c>
      <c r="D22" s="309"/>
      <c r="E22" s="309" t="s">
        <v>19</v>
      </c>
      <c r="F22" s="309"/>
      <c r="G22" s="309" t="s">
        <v>18</v>
      </c>
      <c r="H22" s="309"/>
      <c r="I22" s="309" t="s">
        <v>19</v>
      </c>
      <c r="J22" s="309"/>
      <c r="K22" s="309" t="s">
        <v>18</v>
      </c>
      <c r="L22" s="309"/>
      <c r="M22" s="309" t="s">
        <v>19</v>
      </c>
      <c r="N22" s="309"/>
      <c r="O22" s="309" t="s">
        <v>18</v>
      </c>
      <c r="P22" s="309"/>
      <c r="Q22" s="309" t="s">
        <v>19</v>
      </c>
      <c r="R22" s="309"/>
      <c r="S22" s="309" t="s">
        <v>18</v>
      </c>
      <c r="T22" s="309"/>
      <c r="U22" s="309" t="s">
        <v>19</v>
      </c>
      <c r="V22" s="309"/>
      <c r="W22" s="309" t="s">
        <v>18</v>
      </c>
      <c r="X22" s="309"/>
      <c r="Y22" s="309" t="s">
        <v>19</v>
      </c>
      <c r="Z22" s="309"/>
    </row>
    <row r="23" spans="1:47" ht="20.25">
      <c r="A23" s="302" t="s">
        <v>20</v>
      </c>
      <c r="B23" s="302"/>
      <c r="C23" s="102" t="s">
        <v>21</v>
      </c>
      <c r="D23" s="102" t="s">
        <v>22</v>
      </c>
      <c r="E23" s="102" t="s">
        <v>21</v>
      </c>
      <c r="F23" s="102" t="s">
        <v>22</v>
      </c>
      <c r="G23" s="102" t="s">
        <v>21</v>
      </c>
      <c r="H23" s="102" t="s">
        <v>22</v>
      </c>
      <c r="I23" s="102" t="s">
        <v>21</v>
      </c>
      <c r="J23" s="102" t="s">
        <v>22</v>
      </c>
      <c r="K23" s="102" t="s">
        <v>21</v>
      </c>
      <c r="L23" s="102" t="s">
        <v>22</v>
      </c>
      <c r="M23" s="102" t="s">
        <v>21</v>
      </c>
      <c r="N23" s="102" t="s">
        <v>22</v>
      </c>
      <c r="O23" s="102" t="s">
        <v>21</v>
      </c>
      <c r="P23" s="102" t="s">
        <v>22</v>
      </c>
      <c r="Q23" s="102" t="s">
        <v>21</v>
      </c>
      <c r="R23" s="102" t="s">
        <v>22</v>
      </c>
      <c r="S23" s="102" t="s">
        <v>21</v>
      </c>
      <c r="T23" s="102" t="s">
        <v>22</v>
      </c>
      <c r="U23" s="102" t="s">
        <v>21</v>
      </c>
      <c r="V23" s="102" t="s">
        <v>22</v>
      </c>
      <c r="W23" s="102" t="s">
        <v>21</v>
      </c>
      <c r="X23" s="102" t="s">
        <v>22</v>
      </c>
      <c r="Y23" s="102" t="s">
        <v>21</v>
      </c>
      <c r="Z23" s="102" t="s">
        <v>22</v>
      </c>
    </row>
    <row r="24" spans="1:47" ht="69.95" customHeight="1">
      <c r="A24" s="18">
        <v>0.27083333333333298</v>
      </c>
      <c r="B24" s="103">
        <v>0.29166666666666702</v>
      </c>
      <c r="C24" s="19"/>
      <c r="D24" s="19">
        <v>1</v>
      </c>
      <c r="E24" s="19"/>
      <c r="F24" s="19"/>
      <c r="G24" s="19"/>
      <c r="H24" s="19"/>
      <c r="I24" s="19"/>
      <c r="J24" s="19"/>
      <c r="K24" s="19"/>
      <c r="L24" s="19">
        <v>2</v>
      </c>
      <c r="M24" s="19"/>
      <c r="N24" s="19"/>
      <c r="O24" s="19"/>
      <c r="P24" s="19">
        <v>1</v>
      </c>
      <c r="Q24" s="19"/>
      <c r="R24" s="19"/>
      <c r="S24" s="19"/>
      <c r="T24" s="19">
        <v>1</v>
      </c>
      <c r="U24" s="19"/>
      <c r="V24" s="19"/>
      <c r="W24" s="19"/>
      <c r="X24" s="19">
        <v>1</v>
      </c>
      <c r="Y24" s="19"/>
      <c r="Z24" s="19"/>
    </row>
    <row r="25" spans="1:47" ht="69.95" customHeight="1">
      <c r="A25" s="18">
        <v>0.29166666666666702</v>
      </c>
      <c r="B25" s="103">
        <v>0.3125</v>
      </c>
      <c r="C25" s="19">
        <v>3</v>
      </c>
      <c r="D25" s="19">
        <v>3</v>
      </c>
      <c r="E25" s="19">
        <v>1</v>
      </c>
      <c r="F25" s="19">
        <v>1</v>
      </c>
      <c r="G25" s="19"/>
      <c r="H25" s="19"/>
      <c r="I25" s="19"/>
      <c r="J25" s="19"/>
      <c r="K25" s="19">
        <v>2</v>
      </c>
      <c r="L25" s="19"/>
      <c r="M25" s="19"/>
      <c r="N25" s="19"/>
      <c r="O25" s="19"/>
      <c r="P25" s="19">
        <v>1</v>
      </c>
      <c r="Q25" s="19"/>
      <c r="R25" s="19"/>
      <c r="S25" s="19"/>
      <c r="T25" s="19">
        <v>1</v>
      </c>
      <c r="U25" s="19"/>
      <c r="V25" s="19"/>
      <c r="W25" s="19"/>
      <c r="X25" s="19"/>
      <c r="Y25" s="19"/>
      <c r="Z25" s="19"/>
    </row>
    <row r="26" spans="1:47" ht="69.95" customHeight="1">
      <c r="A26" s="18">
        <v>0.3125</v>
      </c>
      <c r="B26" s="103">
        <v>0.33333333333333298</v>
      </c>
      <c r="C26" s="19"/>
      <c r="D26" s="19"/>
      <c r="E26" s="19">
        <v>1</v>
      </c>
      <c r="F26" s="19"/>
      <c r="G26" s="19"/>
      <c r="H26" s="19">
        <v>2</v>
      </c>
      <c r="I26" s="19"/>
      <c r="J26" s="19">
        <v>1</v>
      </c>
      <c r="K26" s="19"/>
      <c r="L26" s="19">
        <v>2</v>
      </c>
      <c r="M26" s="19"/>
      <c r="N26" s="19"/>
      <c r="O26" s="19"/>
      <c r="P26" s="19">
        <v>1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47" ht="69.95" customHeight="1">
      <c r="A27" s="18">
        <v>0.33333333333333298</v>
      </c>
      <c r="B27" s="103">
        <v>0.34722222222222199</v>
      </c>
      <c r="C27" s="19">
        <v>1</v>
      </c>
      <c r="D27" s="19">
        <v>2</v>
      </c>
      <c r="E27" s="19"/>
      <c r="F27" s="19"/>
      <c r="G27" s="19"/>
      <c r="H27" s="19">
        <v>1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47" ht="69.95" customHeight="1">
      <c r="A28" s="18"/>
      <c r="B28" s="103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47" ht="18" customHeight="1">
      <c r="A29" s="104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I29" s="25"/>
      <c r="AJ29" s="25"/>
      <c r="AK29" s="25"/>
    </row>
    <row r="30" spans="1:47" s="23" customFormat="1" ht="39.75" customHeight="1">
      <c r="A30" s="20">
        <v>4</v>
      </c>
      <c r="B30" s="21" t="s">
        <v>23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0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</row>
    <row r="31" spans="1:47" s="23" customFormat="1" ht="39.75" customHeight="1">
      <c r="A31" s="20">
        <v>3</v>
      </c>
      <c r="B31" s="21" t="s">
        <v>24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0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1:47" s="23" customFormat="1" ht="39.75" customHeight="1">
      <c r="A32" s="20"/>
      <c r="B32" s="21" t="s">
        <v>25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0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</row>
    <row r="33" spans="1:1024" s="23" customFormat="1" ht="39.75" customHeight="1">
      <c r="A33" s="20">
        <v>17</v>
      </c>
      <c r="B33" s="21" t="s">
        <v>26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0">
        <v>17</v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</row>
    <row r="34" spans="1:1024" s="2" customFormat="1" ht="25.5" customHeight="1">
      <c r="A34" s="10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ALM34" s="8"/>
      <c r="ALN34" s="8"/>
      <c r="ALO34" s="8"/>
      <c r="ALP34" s="8"/>
      <c r="ALQ34" s="8"/>
      <c r="ALR34" s="8"/>
      <c r="ALS34" s="8"/>
      <c r="ALT34" s="8"/>
      <c r="ALU34" s="8"/>
      <c r="ALV34" s="8"/>
      <c r="ALW34" s="8"/>
      <c r="ALX34" s="8"/>
      <c r="ALY34" s="8"/>
      <c r="ALZ34" s="8"/>
      <c r="AMA34" s="8"/>
      <c r="AMB34" s="8"/>
      <c r="AMC34" s="8"/>
      <c r="AMD34" s="8"/>
      <c r="AME34" s="8"/>
      <c r="AMF34" s="8"/>
      <c r="AMG34" s="8"/>
      <c r="AMH34" s="8"/>
      <c r="AMI34" s="8"/>
      <c r="AMJ34" s="8"/>
    </row>
    <row r="35" spans="1:1024" ht="32.25" customHeight="1">
      <c r="A35" s="14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14"/>
      <c r="AB35" s="15"/>
      <c r="AC35" s="305" t="s">
        <v>27</v>
      </c>
      <c r="AD35" s="319" t="s">
        <v>28</v>
      </c>
      <c r="AE35" s="316" t="s">
        <v>29</v>
      </c>
      <c r="AF35" s="316" t="s">
        <v>30</v>
      </c>
      <c r="AG35" s="311" t="s">
        <v>71</v>
      </c>
      <c r="AH35" s="59"/>
      <c r="AI35" s="59"/>
      <c r="AJ35" s="59"/>
      <c r="AK35" s="59"/>
    </row>
    <row r="36" spans="1:1024" ht="46.7" customHeight="1">
      <c r="A36" s="1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14"/>
      <c r="AB36" s="15"/>
      <c r="AC36" s="305"/>
      <c r="AD36" s="319"/>
      <c r="AE36" s="316"/>
      <c r="AF36" s="316"/>
      <c r="AG36" s="311"/>
      <c r="AH36" s="59"/>
      <c r="AI36" s="59"/>
      <c r="AJ36" s="59"/>
      <c r="AK36" s="59"/>
    </row>
    <row r="37" spans="1:1024" ht="18.600000000000001" customHeight="1">
      <c r="A37" s="14"/>
      <c r="B37" s="15"/>
      <c r="C37" s="309" t="s">
        <v>18</v>
      </c>
      <c r="D37" s="309"/>
      <c r="E37" s="309" t="s">
        <v>19</v>
      </c>
      <c r="F37" s="30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62"/>
      <c r="AB37" s="15"/>
      <c r="AC37" s="305"/>
      <c r="AD37" s="319"/>
      <c r="AE37" s="316"/>
      <c r="AF37" s="316"/>
      <c r="AG37" s="311"/>
      <c r="AH37" s="59"/>
      <c r="AI37" s="59"/>
      <c r="AJ37" s="59"/>
      <c r="AK37" s="59"/>
    </row>
    <row r="38" spans="1:1024" ht="60.75">
      <c r="A38" s="302" t="s">
        <v>20</v>
      </c>
      <c r="B38" s="302"/>
      <c r="C38" s="17" t="s">
        <v>21</v>
      </c>
      <c r="D38" s="17" t="s">
        <v>22</v>
      </c>
      <c r="E38" s="17" t="s">
        <v>21</v>
      </c>
      <c r="F38" s="17" t="s">
        <v>22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302" t="s">
        <v>20</v>
      </c>
      <c r="AB38" s="302"/>
      <c r="AC38" s="305"/>
      <c r="AD38" s="319"/>
      <c r="AE38" s="316"/>
      <c r="AF38" s="316"/>
      <c r="AG38" s="311"/>
      <c r="AH38" s="34" t="s">
        <v>32</v>
      </c>
      <c r="AI38" s="34" t="s">
        <v>33</v>
      </c>
      <c r="AJ38" s="34" t="s">
        <v>24</v>
      </c>
      <c r="AK38" s="34" t="s">
        <v>34</v>
      </c>
    </row>
    <row r="39" spans="1:1024" ht="54.95" customHeight="1">
      <c r="A39" s="302" t="s">
        <v>35</v>
      </c>
      <c r="B39" s="302"/>
      <c r="C39" s="19">
        <f t="shared" ref="C39:F43" si="0">C14+G14+K14+O14+S14+W14+C24+G24+K24+O24+S24+W24</f>
        <v>1</v>
      </c>
      <c r="D39" s="19">
        <f t="shared" si="0"/>
        <v>9</v>
      </c>
      <c r="E39" s="19">
        <f t="shared" si="0"/>
        <v>0</v>
      </c>
      <c r="F39" s="19">
        <f t="shared" si="0"/>
        <v>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302" t="str">
        <f>A39</f>
        <v>6:30 à 7:00</v>
      </c>
      <c r="AB39" s="302"/>
      <c r="AC39" s="65">
        <f>SUM(C39:Z39)</f>
        <v>10</v>
      </c>
      <c r="AD39" s="36">
        <f>C39+E39</f>
        <v>1</v>
      </c>
      <c r="AE39" s="36">
        <f>E39+F39</f>
        <v>0</v>
      </c>
      <c r="AF39" s="36">
        <f>E39</f>
        <v>0</v>
      </c>
      <c r="AG39" s="36"/>
      <c r="AH39" s="59"/>
      <c r="AI39" s="86"/>
      <c r="AJ39" s="87"/>
      <c r="AK39" s="87"/>
    </row>
    <row r="40" spans="1:1024" ht="54.95" customHeight="1">
      <c r="A40" s="302" t="s">
        <v>36</v>
      </c>
      <c r="B40" s="302"/>
      <c r="C40" s="19">
        <f t="shared" si="0"/>
        <v>5</v>
      </c>
      <c r="D40" s="19">
        <f t="shared" si="0"/>
        <v>9</v>
      </c>
      <c r="E40" s="19">
        <f t="shared" si="0"/>
        <v>3</v>
      </c>
      <c r="F40" s="19">
        <f t="shared" si="0"/>
        <v>1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302" t="str">
        <f>A40</f>
        <v>7:00 à 7:30</v>
      </c>
      <c r="AB40" s="302"/>
      <c r="AC40" s="65">
        <f>SUM(C40:Z40)</f>
        <v>18</v>
      </c>
      <c r="AD40" s="36">
        <f>C40+E40</f>
        <v>8</v>
      </c>
      <c r="AE40" s="36">
        <f>E40+F40</f>
        <v>4</v>
      </c>
      <c r="AF40" s="36">
        <f>E40</f>
        <v>3</v>
      </c>
      <c r="AG40" s="36"/>
      <c r="AH40" s="59"/>
      <c r="AI40" s="86"/>
      <c r="AJ40" s="87"/>
      <c r="AK40" s="87"/>
    </row>
    <row r="41" spans="1:1024" ht="54.95" customHeight="1">
      <c r="A41" s="302" t="s">
        <v>37</v>
      </c>
      <c r="B41" s="302"/>
      <c r="C41" s="19">
        <f t="shared" si="0"/>
        <v>4</v>
      </c>
      <c r="D41" s="19">
        <f t="shared" si="0"/>
        <v>8</v>
      </c>
      <c r="E41" s="19">
        <f t="shared" si="0"/>
        <v>1</v>
      </c>
      <c r="F41" s="19">
        <f t="shared" si="0"/>
        <v>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302" t="str">
        <f>A41</f>
        <v>7:30 à 8:00</v>
      </c>
      <c r="AB41" s="302"/>
      <c r="AC41" s="65">
        <f>SUM(C41:Z41)</f>
        <v>14</v>
      </c>
      <c r="AD41" s="36">
        <f>C41+E41</f>
        <v>5</v>
      </c>
      <c r="AE41" s="36">
        <f>E41+F41</f>
        <v>2</v>
      </c>
      <c r="AF41" s="36">
        <f>E41</f>
        <v>1</v>
      </c>
      <c r="AG41" s="36"/>
      <c r="AH41" s="59"/>
      <c r="AI41" s="86"/>
      <c r="AJ41" s="87"/>
      <c r="AK41" s="87"/>
    </row>
    <row r="42" spans="1:1024" ht="54.95" customHeight="1">
      <c r="A42" s="302" t="s">
        <v>72</v>
      </c>
      <c r="B42" s="302"/>
      <c r="C42" s="19">
        <f t="shared" si="0"/>
        <v>1</v>
      </c>
      <c r="D42" s="19">
        <f t="shared" si="0"/>
        <v>7</v>
      </c>
      <c r="E42" s="19">
        <f t="shared" si="0"/>
        <v>2</v>
      </c>
      <c r="F42" s="19">
        <f t="shared" si="0"/>
        <v>1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302" t="str">
        <f>A42</f>
        <v>8:00 à 8:20</v>
      </c>
      <c r="AB42" s="302"/>
      <c r="AC42" s="65">
        <f>SUM(C42:Z42)</f>
        <v>11</v>
      </c>
      <c r="AD42" s="36">
        <f>C42+E42</f>
        <v>3</v>
      </c>
      <c r="AE42" s="36">
        <f>E42+F42</f>
        <v>3</v>
      </c>
      <c r="AF42" s="36">
        <f>E42</f>
        <v>2</v>
      </c>
      <c r="AG42" s="36"/>
      <c r="AH42" s="59"/>
      <c r="AI42" s="88"/>
      <c r="AJ42" s="87"/>
      <c r="AK42" s="87"/>
    </row>
    <row r="43" spans="1:1024" ht="54.95" customHeight="1">
      <c r="A43" s="302"/>
      <c r="B43" s="302"/>
      <c r="C43" s="19">
        <f t="shared" si="0"/>
        <v>0</v>
      </c>
      <c r="D43" s="19">
        <f t="shared" si="0"/>
        <v>0</v>
      </c>
      <c r="E43" s="19">
        <f t="shared" si="0"/>
        <v>0</v>
      </c>
      <c r="F43" s="19">
        <f t="shared" si="0"/>
        <v>0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302">
        <f>A43</f>
        <v>0</v>
      </c>
      <c r="AB43" s="302"/>
      <c r="AC43" s="65">
        <f>SUM(C43:Z43)</f>
        <v>0</v>
      </c>
      <c r="AD43" s="36">
        <f>C43+E43</f>
        <v>0</v>
      </c>
      <c r="AE43" s="36">
        <f>E43+F43</f>
        <v>0</v>
      </c>
      <c r="AF43" s="36">
        <f>E43</f>
        <v>0</v>
      </c>
      <c r="AG43" s="36"/>
      <c r="AH43" s="59"/>
      <c r="AI43" s="89"/>
      <c r="AJ43" s="87"/>
      <c r="AK43" s="87"/>
    </row>
    <row r="44" spans="1:1024" ht="54.95" customHeight="1">
      <c r="A44" s="302" t="s">
        <v>27</v>
      </c>
      <c r="B44" s="302"/>
      <c r="C44" s="90">
        <f>SUM(C14:C18)</f>
        <v>2</v>
      </c>
      <c r="D44" s="90">
        <f>SUM(D14:D18)</f>
        <v>4</v>
      </c>
      <c r="E44" s="90">
        <f>SUM(E14:E18)</f>
        <v>1</v>
      </c>
      <c r="F44" s="90">
        <f>SUM(F14:F18)</f>
        <v>0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318" t="s">
        <v>27</v>
      </c>
      <c r="AB44" s="318"/>
      <c r="AC44" s="39">
        <f>SUM(AC39:AC43)</f>
        <v>53</v>
      </c>
      <c r="AD44" s="39">
        <f>SUM(AD39:AD43)</f>
        <v>17</v>
      </c>
      <c r="AE44" s="39">
        <f>SUM(AE39:AE43)</f>
        <v>9</v>
      </c>
      <c r="AF44" s="40">
        <f>SUM(AF39:AF43)</f>
        <v>6</v>
      </c>
      <c r="AG44" s="40">
        <f>SUM(AG39:AG43)</f>
        <v>0</v>
      </c>
      <c r="AH44" s="39">
        <f>A33</f>
        <v>17</v>
      </c>
      <c r="AI44" s="40">
        <f>A30</f>
        <v>4</v>
      </c>
      <c r="AJ44" s="40">
        <f>A31</f>
        <v>3</v>
      </c>
      <c r="AK44" s="40">
        <f>A32</f>
        <v>0</v>
      </c>
    </row>
    <row r="45" spans="1:1024" ht="54.95" customHeight="1">
      <c r="A45" s="42"/>
      <c r="B45" s="42"/>
      <c r="C45" s="94"/>
      <c r="D45" s="94"/>
      <c r="E45" s="94"/>
      <c r="F45" s="94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44" t="s">
        <v>40</v>
      </c>
      <c r="AA45" s="45" t="s">
        <v>36</v>
      </c>
      <c r="AB45" s="46"/>
      <c r="AC45" s="47">
        <v>18</v>
      </c>
      <c r="AD45" s="47"/>
      <c r="AE45" s="47"/>
      <c r="AF45" s="47"/>
      <c r="AG45" s="45"/>
      <c r="AH45" s="49"/>
      <c r="AI45" s="95"/>
      <c r="AJ45" s="49"/>
      <c r="AK45" s="49"/>
    </row>
    <row r="46" spans="1:1024" ht="54.95" customHeight="1">
      <c r="A46" s="42"/>
      <c r="B46" s="42"/>
      <c r="C46" s="94"/>
      <c r="D46" s="94"/>
      <c r="E46" s="94"/>
      <c r="F46" s="94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44" t="s">
        <v>40</v>
      </c>
      <c r="AA46" s="52" t="s">
        <v>37</v>
      </c>
      <c r="AB46" s="53"/>
      <c r="AC46" s="54">
        <v>14</v>
      </c>
      <c r="AD46" s="54"/>
      <c r="AE46" s="54"/>
      <c r="AF46" s="54"/>
      <c r="AG46" s="52"/>
      <c r="AH46" s="49"/>
      <c r="AI46" s="95"/>
      <c r="AJ46" s="49"/>
      <c r="AK46" s="49"/>
    </row>
    <row r="47" spans="1:1024" ht="54.95" customHeight="1">
      <c r="A47" s="42"/>
      <c r="B47" s="42"/>
      <c r="C47" s="94"/>
      <c r="D47" s="94"/>
      <c r="E47" s="94"/>
      <c r="F47" s="94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44"/>
      <c r="AA47" s="308" t="s">
        <v>41</v>
      </c>
      <c r="AB47" s="308"/>
      <c r="AC47" s="55">
        <f>SUM(AC45:AC46)</f>
        <v>32</v>
      </c>
      <c r="AD47" s="56"/>
      <c r="AE47" s="56"/>
      <c r="AF47" s="56"/>
      <c r="AG47" s="106"/>
      <c r="AH47" s="49"/>
      <c r="AI47" s="95"/>
      <c r="AJ47" s="49"/>
      <c r="AK47" s="49"/>
    </row>
    <row r="48" spans="1:1024" ht="42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44" t="s">
        <v>40</v>
      </c>
      <c r="AA48" s="302" t="str">
        <f>IF($AC$39=MAX($AC$39:$AC$43),AA39,IF($AC$40=MAX($AC$39:$AC$43),AA40,IF($AC$41=MAX($AC$39:$AC$43),AA41,IF($AC$42=MAX($AC$39:$AC$43),AA42,IF($AC$43=MAX($AC$39:$AC$43),AA43,AA42)))))</f>
        <v>7:00 à 7:30</v>
      </c>
      <c r="AB48" s="302"/>
      <c r="AC48" s="33">
        <f>IF($AC$39=MAX($AC$39:$AC$43),AC39,IF($AC$40=MAX($AC$39:$AC$43),AC40,IF($AC$41=MAX($AC$39:$AC$43),AC41,IF($AC$42=MAX($AC$39:$AC$43),AC42,IF($AC$43=MAX($AC$39:$AC$43),AC43,AC42)))))</f>
        <v>18</v>
      </c>
      <c r="AD48" s="33">
        <f>IF($AC$39=MAX($AC$39:$AC$43),AD39,IF($AC$40=MAX($AC$39:$AC$43),AD40,IF($AC$41=MAX($AC$39:$AC$43),AD41,IF($AC$42=MAX($AC$39:$AC$43),AD42,IF($AC$43=MAX($AC$39:$AC$43),AD43,AD42)))))</f>
        <v>8</v>
      </c>
      <c r="AE48" s="33">
        <f>IF($AC$39=MAX($AC$39:$AC$43),AE39,IF($AC$40=MAX($AC$39:$AC$43),AE40,IF($AC$41=MAX($AC$39:$AC$43),AE41,IF($AC$42=MAX($AC$39:$AC$43),AE42,IF($AC$43=MAX($AC$39:$AC$43),AE43,AE42)))))</f>
        <v>4</v>
      </c>
      <c r="AF48" s="33">
        <f>IF($AC$39=MAX($AC$39:$AC$43),AF39,IF($AC$40=MAX($AC$39:$AC$43),AF40,IF($AC$41=MAX($AC$39:$AC$43),AF41,IF($AC$42=MAX($AC$39:$AC$43),AF42,IF($AC$43=MAX($AC$39:$AC$43),AF43,AF42)))))</f>
        <v>3</v>
      </c>
      <c r="AG48" s="33">
        <f>IF($AC$39=MAX($AC$39:$AC$43),AG39,IF($AC$40=MAX($AC$39:$AC$43),AG40,IF($AC$41=MAX($AC$39:$AC$43),AG41,IF($AC$42=MAX($AC$39:$AC$43),AG42,IF($AC$43=MAX($AC$39:$AC$43),AG43,AG42)))))</f>
        <v>0</v>
      </c>
      <c r="AI48" s="88"/>
      <c r="AJ48" s="87"/>
      <c r="AK48" s="87"/>
    </row>
    <row r="49" spans="1:37" ht="20.25" customHeight="1">
      <c r="A49" s="96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14"/>
      <c r="AB49" s="15"/>
      <c r="AC49" s="305" t="s">
        <v>27</v>
      </c>
      <c r="AD49" s="306" t="s">
        <v>42</v>
      </c>
      <c r="AE49" s="306" t="s">
        <v>43</v>
      </c>
      <c r="AF49" s="306" t="s">
        <v>44</v>
      </c>
      <c r="AG49" s="306" t="str">
        <f>AG35</f>
        <v>Cycles sur route de Reignier</v>
      </c>
      <c r="AI49" s="319" t="s">
        <v>61</v>
      </c>
      <c r="AJ49" s="319"/>
      <c r="AK49" s="319"/>
    </row>
    <row r="50" spans="1:37" ht="20.25">
      <c r="A50" s="96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14"/>
      <c r="AB50" s="15"/>
      <c r="AC50" s="305"/>
      <c r="AD50" s="306"/>
      <c r="AE50" s="306"/>
      <c r="AF50" s="306"/>
      <c r="AG50" s="306"/>
      <c r="AH50" s="59"/>
      <c r="AI50" s="319"/>
      <c r="AJ50" s="319"/>
      <c r="AK50" s="319"/>
    </row>
    <row r="51" spans="1:37" ht="20.25">
      <c r="A51" s="96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62"/>
      <c r="AB51" s="15"/>
      <c r="AC51" s="305"/>
      <c r="AD51" s="306"/>
      <c r="AE51" s="306"/>
      <c r="AF51" s="306"/>
      <c r="AG51" s="306"/>
      <c r="AH51" s="59"/>
      <c r="AI51" s="319"/>
      <c r="AJ51" s="319"/>
      <c r="AK51" s="319"/>
    </row>
    <row r="52" spans="1:37" ht="20.25">
      <c r="A52" s="96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302" t="s">
        <v>20</v>
      </c>
      <c r="AB52" s="302"/>
      <c r="AC52" s="305"/>
      <c r="AD52" s="306"/>
      <c r="AE52" s="306"/>
      <c r="AF52" s="306"/>
      <c r="AG52" s="306"/>
      <c r="AH52" s="59"/>
      <c r="AI52" s="319"/>
      <c r="AJ52" s="319"/>
      <c r="AK52" s="319"/>
    </row>
    <row r="53" spans="1:37" ht="35.1" customHeight="1">
      <c r="A53" s="96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302" t="str">
        <f>AA39</f>
        <v>6:30 à 7:00</v>
      </c>
      <c r="AB53" s="302"/>
      <c r="AC53" s="63"/>
      <c r="AD53" s="64">
        <f>IF(AD39=0,0,AD39/AC39)</f>
        <v>0.1</v>
      </c>
      <c r="AE53" s="64">
        <f>IF(AE39=0,0,AE39/AC39)</f>
        <v>0</v>
      </c>
      <c r="AF53" s="64">
        <f>IF(AF39=0,0,AF39/AD39)</f>
        <v>0</v>
      </c>
      <c r="AG53" s="64">
        <f>IF(AG39=0,0,AG39/AC39)</f>
        <v>0</v>
      </c>
      <c r="AH53" s="59"/>
      <c r="AI53" s="88"/>
      <c r="AJ53" s="87"/>
      <c r="AK53" s="87"/>
    </row>
    <row r="54" spans="1:37" ht="35.1" customHeight="1">
      <c r="A54" s="96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302" t="str">
        <f>AA40</f>
        <v>7:00 à 7:30</v>
      </c>
      <c r="AB54" s="302"/>
      <c r="AC54" s="63"/>
      <c r="AD54" s="64">
        <f>IF(AD41=0,0,AD41/AC41)</f>
        <v>0.35714285714285715</v>
      </c>
      <c r="AE54" s="64">
        <f>IF(AE41=0,0,AE41/AC41)</f>
        <v>0.14285714285714285</v>
      </c>
      <c r="AF54" s="64">
        <f>IF(AF41=0,0,AF41/AD41)</f>
        <v>0.2</v>
      </c>
      <c r="AG54" s="64">
        <f>IF(AG41=0,0,AG41/AC41)</f>
        <v>0</v>
      </c>
      <c r="AH54" s="59"/>
      <c r="AI54" s="88"/>
      <c r="AJ54" s="87"/>
      <c r="AK54" s="87"/>
    </row>
    <row r="55" spans="1:37" ht="35.1" customHeight="1">
      <c r="A55" s="96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302" t="str">
        <f>AA41</f>
        <v>7:30 à 8:00</v>
      </c>
      <c r="AB55" s="302"/>
      <c r="AC55" s="63"/>
      <c r="AD55" s="64">
        <f>IF(AD41=0,0,AD41/AC41)</f>
        <v>0.35714285714285715</v>
      </c>
      <c r="AE55" s="64">
        <f t="shared" ref="AE55:AF58" si="1">IF(AE41=0,0,AE41/AC41)</f>
        <v>0.14285714285714285</v>
      </c>
      <c r="AF55" s="64">
        <f t="shared" si="1"/>
        <v>0.2</v>
      </c>
      <c r="AG55" s="64">
        <f>IF(AG41=0,0,AG41/AC41)</f>
        <v>0</v>
      </c>
      <c r="AH55" s="59"/>
      <c r="AI55" s="88"/>
      <c r="AJ55" s="87"/>
      <c r="AK55" s="87"/>
    </row>
    <row r="56" spans="1:37" ht="35.1" customHeight="1">
      <c r="A56" s="96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302" t="str">
        <f>AA42</f>
        <v>8:00 à 8:20</v>
      </c>
      <c r="AB56" s="302"/>
      <c r="AC56" s="63"/>
      <c r="AD56" s="64">
        <f>IF(AD42=0,0,AD42/AC42)</f>
        <v>0.27272727272727271</v>
      </c>
      <c r="AE56" s="64">
        <f t="shared" si="1"/>
        <v>0.27272727272727271</v>
      </c>
      <c r="AF56" s="64">
        <f t="shared" si="1"/>
        <v>0.66666666666666663</v>
      </c>
      <c r="AG56" s="64">
        <f>IF(AG42=0,0,AG42/AC42)</f>
        <v>0</v>
      </c>
      <c r="AH56" s="59"/>
      <c r="AI56" s="88"/>
      <c r="AJ56" s="87"/>
      <c r="AK56" s="87"/>
    </row>
    <row r="57" spans="1:37" ht="35.1" customHeight="1">
      <c r="F57" s="59"/>
      <c r="K57" s="59"/>
      <c r="L57" s="59"/>
      <c r="M57" s="59"/>
      <c r="N57" s="59"/>
      <c r="O57" s="59"/>
      <c r="P57" s="59"/>
      <c r="Q57" s="59"/>
      <c r="AA57" s="302">
        <f>AA43</f>
        <v>0</v>
      </c>
      <c r="AB57" s="302"/>
      <c r="AC57" s="63"/>
      <c r="AD57" s="64">
        <f>IF(AD43=0,0,AD43/AC43)</f>
        <v>0</v>
      </c>
      <c r="AE57" s="64">
        <f t="shared" si="1"/>
        <v>0</v>
      </c>
      <c r="AF57" s="64">
        <f t="shared" si="1"/>
        <v>0</v>
      </c>
      <c r="AG57" s="64">
        <f>IF(AG43=0,0,AG43/AC43)</f>
        <v>0</v>
      </c>
      <c r="AI57" s="88"/>
      <c r="AJ57" s="87"/>
      <c r="AK57" s="87"/>
    </row>
    <row r="58" spans="1:37" ht="35.1" customHeight="1">
      <c r="F58" s="59"/>
      <c r="K58" s="59"/>
      <c r="L58" s="59"/>
      <c r="M58" s="59"/>
      <c r="N58" s="59"/>
      <c r="O58" s="59"/>
      <c r="P58" s="59"/>
      <c r="Q58" s="59"/>
      <c r="AA58" s="303" t="s">
        <v>27</v>
      </c>
      <c r="AB58" s="303"/>
      <c r="AC58" s="65"/>
      <c r="AD58" s="64">
        <f>IF(AD44=0,0,AD44/AC44)</f>
        <v>0.32075471698113206</v>
      </c>
      <c r="AE58" s="64">
        <f t="shared" si="1"/>
        <v>0.16981132075471697</v>
      </c>
      <c r="AF58" s="64">
        <f t="shared" si="1"/>
        <v>0.35294117647058826</v>
      </c>
      <c r="AG58" s="64">
        <f>IF(AG44=0,0,AG44/AC44)</f>
        <v>0</v>
      </c>
      <c r="AI58" s="88"/>
      <c r="AJ58" s="87"/>
      <c r="AK58" s="87"/>
    </row>
    <row r="59" spans="1:37" ht="35.1" customHeight="1">
      <c r="AA59" s="302" t="str">
        <f>AA48</f>
        <v>7:00 à 7:30</v>
      </c>
      <c r="AB59" s="302"/>
      <c r="AC59" s="33"/>
      <c r="AD59" s="66">
        <f>AD48/$AC$48</f>
        <v>0.44444444444444442</v>
      </c>
      <c r="AE59" s="66">
        <f>AE48/$AC$48</f>
        <v>0.22222222222222221</v>
      </c>
      <c r="AF59" s="66">
        <f>AF48/$AC$48</f>
        <v>0.16666666666666666</v>
      </c>
      <c r="AG59" s="66">
        <f>AG48/$AC$48</f>
        <v>0</v>
      </c>
      <c r="AI59" s="88"/>
      <c r="AJ59" s="87"/>
      <c r="AK59" s="87"/>
    </row>
  </sheetData>
  <mergeCells count="79">
    <mergeCell ref="K12:L12"/>
    <mergeCell ref="C10:N10"/>
    <mergeCell ref="O10:Z10"/>
    <mergeCell ref="C11:F11"/>
    <mergeCell ref="G11:J11"/>
    <mergeCell ref="K11:N11"/>
    <mergeCell ref="O11:R11"/>
    <mergeCell ref="S11:V11"/>
    <mergeCell ref="W11:Z11"/>
    <mergeCell ref="O21:R21"/>
    <mergeCell ref="S21:V21"/>
    <mergeCell ref="W12:X12"/>
    <mergeCell ref="Y12:Z12"/>
    <mergeCell ref="A13:B13"/>
    <mergeCell ref="C20:N20"/>
    <mergeCell ref="O20:Z20"/>
    <mergeCell ref="M12:N12"/>
    <mergeCell ref="O12:P12"/>
    <mergeCell ref="Q12:R12"/>
    <mergeCell ref="S12:T12"/>
    <mergeCell ref="U12:V12"/>
    <mergeCell ref="C12:D12"/>
    <mergeCell ref="E12:F12"/>
    <mergeCell ref="G12:H12"/>
    <mergeCell ref="I12:J12"/>
    <mergeCell ref="W21:Z21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C21:F21"/>
    <mergeCell ref="G21:J21"/>
    <mergeCell ref="K21:N21"/>
    <mergeCell ref="A23:B23"/>
    <mergeCell ref="AC35:AC38"/>
    <mergeCell ref="AD35:AD38"/>
    <mergeCell ref="AE35:AE38"/>
    <mergeCell ref="AF35:AF38"/>
    <mergeCell ref="AG35:AG38"/>
    <mergeCell ref="C37:D37"/>
    <mergeCell ref="E37:F37"/>
    <mergeCell ref="A38:B38"/>
    <mergeCell ref="AA38:AB38"/>
    <mergeCell ref="A39:B39"/>
    <mergeCell ref="AA39:AB39"/>
    <mergeCell ref="A40:B40"/>
    <mergeCell ref="AA40:AB40"/>
    <mergeCell ref="A41:B41"/>
    <mergeCell ref="AA41:AB41"/>
    <mergeCell ref="A42:B42"/>
    <mergeCell ref="AA42:AB42"/>
    <mergeCell ref="A43:B43"/>
    <mergeCell ref="AA43:AB43"/>
    <mergeCell ref="A44:B44"/>
    <mergeCell ref="AA44:AB44"/>
    <mergeCell ref="AA47:AB47"/>
    <mergeCell ref="AA48:AB48"/>
    <mergeCell ref="AC49:AC52"/>
    <mergeCell ref="AD49:AD52"/>
    <mergeCell ref="AE49:AE52"/>
    <mergeCell ref="AF49:AF52"/>
    <mergeCell ref="AG49:AG52"/>
    <mergeCell ref="AI49:AK52"/>
    <mergeCell ref="AA52:AB52"/>
    <mergeCell ref="AA53:AB53"/>
    <mergeCell ref="AA59:AB59"/>
    <mergeCell ref="AA54:AB54"/>
    <mergeCell ref="AA55:AB55"/>
    <mergeCell ref="AA56:AB56"/>
    <mergeCell ref="AA57:AB57"/>
    <mergeCell ref="AA58:AB58"/>
  </mergeCells>
  <pageMargins left="0.196527777777778" right="0.196527777777778" top="0.98402777777777795" bottom="0.98402777777777795" header="0.51180555555555496" footer="0.51180555555555496"/>
  <pageSetup paperSize="9" fitToWidth="0" pageOrder="overThenDown" orientation="portrait" useFirstPageNumber="1" horizontalDpi="300" verticalDpi="300"/>
  <colBreaks count="1" manualBreakCount="1">
    <brk id="2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48"/>
  <sheetViews>
    <sheetView topLeftCell="A14" zoomScale="50" zoomScaleNormal="50" workbookViewId="0">
      <selection activeCell="K30" sqref="K30"/>
    </sheetView>
  </sheetViews>
  <sheetFormatPr baseColWidth="10" defaultColWidth="11.25" defaultRowHeight="14.25"/>
  <cols>
    <col min="1" max="1" width="9.875" style="107" customWidth="1"/>
    <col min="2" max="2" width="11.25" style="107"/>
    <col min="3" max="10" width="26" style="107" customWidth="1"/>
    <col min="11" max="12" width="10.875" style="107" customWidth="1"/>
    <col min="13" max="13" width="20" style="107" customWidth="1"/>
    <col min="14" max="14" width="22" style="107" customWidth="1"/>
    <col min="15" max="15" width="20" style="107" customWidth="1"/>
    <col min="16" max="16" width="21.5" style="107" customWidth="1"/>
    <col min="17" max="17" width="24" style="107" customWidth="1"/>
    <col min="18" max="1021" width="11.25" style="107"/>
    <col min="1022" max="1022" width="11.125" style="107" customWidth="1"/>
    <col min="1023" max="1024" width="11.25" style="108"/>
  </cols>
  <sheetData>
    <row r="1" spans="1:1022" s="112" customFormat="1" ht="52.5" customHeight="1">
      <c r="A1" s="109"/>
      <c r="B1" s="110" t="s">
        <v>73</v>
      </c>
      <c r="C1" s="111"/>
      <c r="D1" s="111"/>
      <c r="E1" s="111"/>
      <c r="G1" s="109" t="s">
        <v>2</v>
      </c>
      <c r="H1" s="113"/>
      <c r="I1" s="111"/>
      <c r="J1" s="111"/>
      <c r="O1" s="114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E1" s="111"/>
      <c r="AF1" s="111"/>
      <c r="AMF1" s="114"/>
      <c r="AMG1" s="114"/>
      <c r="AMH1" s="114"/>
    </row>
    <row r="2" spans="1:1022" s="112" customFormat="1" ht="52.5" customHeight="1">
      <c r="A2" s="109" t="s">
        <v>3</v>
      </c>
      <c r="B2" s="111"/>
      <c r="C2" s="111"/>
      <c r="D2" s="111"/>
      <c r="E2" s="111"/>
      <c r="G2" s="111"/>
      <c r="H2" s="111"/>
      <c r="I2" s="111"/>
      <c r="J2" s="111"/>
      <c r="K2" s="111"/>
      <c r="L2" s="111"/>
      <c r="M2" s="111"/>
      <c r="N2" s="111"/>
      <c r="O2" s="111"/>
      <c r="P2" s="114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D2" s="111"/>
      <c r="AE2" s="111"/>
      <c r="AF2" s="111"/>
      <c r="AMF2" s="114"/>
      <c r="AMG2" s="114"/>
      <c r="AMH2" s="114"/>
    </row>
    <row r="3" spans="1:1022" s="112" customFormat="1" ht="20.25" customHeight="1">
      <c r="A3" s="109" t="s">
        <v>5</v>
      </c>
      <c r="B3" s="111"/>
      <c r="C3" s="111"/>
      <c r="D3" s="111"/>
      <c r="E3" s="111"/>
      <c r="F3" s="111"/>
      <c r="G3" s="115" t="s">
        <v>7</v>
      </c>
      <c r="H3" s="111"/>
      <c r="I3" s="111"/>
      <c r="J3" s="111"/>
      <c r="K3" s="111"/>
      <c r="L3" s="111"/>
      <c r="M3" s="111"/>
      <c r="N3" s="111"/>
      <c r="O3" s="111"/>
      <c r="P3" s="114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MF3" s="114"/>
      <c r="AMG3" s="114"/>
      <c r="AMH3" s="114"/>
    </row>
    <row r="4" spans="1:1022" s="114" customFormat="1" ht="4.5" customHeight="1"/>
    <row r="5" spans="1:1022" s="112" customFormat="1" ht="35.1" customHeight="1">
      <c r="A5" s="116" t="s">
        <v>8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MH5" s="114"/>
    </row>
    <row r="6" spans="1:1022" s="112" customFormat="1" ht="35.1" customHeight="1">
      <c r="A6" s="116" t="s">
        <v>9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MH6" s="114"/>
    </row>
    <row r="7" spans="1:1022" s="112" customFormat="1" ht="35.1" customHeight="1">
      <c r="A7" s="116" t="s">
        <v>10</v>
      </c>
      <c r="B7" s="111"/>
      <c r="C7" s="111"/>
      <c r="D7" s="111"/>
      <c r="E7" s="111"/>
      <c r="F7" s="111"/>
      <c r="G7" s="117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MH7" s="114"/>
    </row>
    <row r="8" spans="1:1022" ht="25.5" customHeight="1">
      <c r="A8" s="118"/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</row>
    <row r="9" spans="1:1022" ht="30" customHeight="1">
      <c r="A9" s="109"/>
      <c r="B9" s="111"/>
      <c r="C9" s="335" t="s">
        <v>74</v>
      </c>
      <c r="D9" s="335"/>
      <c r="E9" s="335"/>
      <c r="F9" s="335"/>
      <c r="G9" s="335"/>
      <c r="H9" s="335"/>
      <c r="I9" s="335"/>
      <c r="J9" s="335"/>
    </row>
    <row r="10" spans="1:1022" ht="23.25" customHeight="1">
      <c r="A10" s="109"/>
      <c r="B10" s="111"/>
      <c r="C10" s="336" t="s">
        <v>75</v>
      </c>
      <c r="D10" s="336"/>
      <c r="E10" s="336"/>
      <c r="F10" s="336"/>
      <c r="G10" s="336" t="s">
        <v>76</v>
      </c>
      <c r="H10" s="336"/>
      <c r="I10" s="336"/>
      <c r="J10" s="336"/>
    </row>
    <row r="11" spans="1:1022" ht="20.25" customHeight="1">
      <c r="A11" s="109"/>
      <c r="B11" s="111"/>
      <c r="C11" s="337" t="s">
        <v>18</v>
      </c>
      <c r="D11" s="337"/>
      <c r="E11" s="337" t="s">
        <v>19</v>
      </c>
      <c r="F11" s="337"/>
      <c r="G11" s="337" t="s">
        <v>18</v>
      </c>
      <c r="H11" s="337"/>
      <c r="I11" s="337" t="s">
        <v>19</v>
      </c>
      <c r="J11" s="337"/>
    </row>
    <row r="12" spans="1:1022" ht="20.25">
      <c r="A12" s="332" t="s">
        <v>20</v>
      </c>
      <c r="B12" s="332"/>
      <c r="C12" s="120" t="s">
        <v>21</v>
      </c>
      <c r="D12" s="120" t="s">
        <v>22</v>
      </c>
      <c r="E12" s="120" t="s">
        <v>21</v>
      </c>
      <c r="F12" s="120" t="s">
        <v>22</v>
      </c>
      <c r="G12" s="120" t="s">
        <v>21</v>
      </c>
      <c r="H12" s="120" t="s">
        <v>22</v>
      </c>
      <c r="I12" s="120" t="s">
        <v>21</v>
      </c>
      <c r="J12" s="120" t="s">
        <v>22</v>
      </c>
    </row>
    <row r="13" spans="1:1022" ht="60" customHeight="1">
      <c r="A13" s="121">
        <v>0.27083333333333298</v>
      </c>
      <c r="B13" s="121">
        <v>0.29166666666666702</v>
      </c>
      <c r="C13" s="122">
        <v>1</v>
      </c>
      <c r="D13" s="122"/>
      <c r="E13" s="122"/>
      <c r="F13" s="123"/>
      <c r="G13" s="124">
        <v>1</v>
      </c>
      <c r="H13" s="122"/>
      <c r="I13" s="122"/>
      <c r="J13" s="122"/>
    </row>
    <row r="14" spans="1:1022" ht="60" customHeight="1">
      <c r="A14" s="121">
        <v>0.29166666666666702</v>
      </c>
      <c r="B14" s="121">
        <v>0.3125</v>
      </c>
      <c r="C14" s="122">
        <v>1</v>
      </c>
      <c r="D14" s="122"/>
      <c r="E14" s="122"/>
      <c r="F14" s="123"/>
      <c r="G14" s="124"/>
      <c r="H14" s="122"/>
      <c r="I14" s="122"/>
      <c r="J14" s="122"/>
    </row>
    <row r="15" spans="1:1022" ht="60" customHeight="1">
      <c r="A15" s="121">
        <v>0.3125</v>
      </c>
      <c r="B15" s="121">
        <v>0.33333333333333298</v>
      </c>
      <c r="C15" s="122">
        <v>2</v>
      </c>
      <c r="D15" s="122">
        <v>3</v>
      </c>
      <c r="E15" s="122"/>
      <c r="F15" s="123"/>
      <c r="G15" s="124">
        <v>3</v>
      </c>
      <c r="H15" s="122">
        <v>1</v>
      </c>
      <c r="I15" s="122"/>
      <c r="J15" s="122"/>
    </row>
    <row r="16" spans="1:1022" ht="60" customHeight="1">
      <c r="A16" s="121">
        <v>0.33333333333333298</v>
      </c>
      <c r="B16" s="121">
        <v>0.35416666666666702</v>
      </c>
      <c r="C16" s="122">
        <v>4</v>
      </c>
      <c r="D16" s="122">
        <v>1</v>
      </c>
      <c r="E16" s="122"/>
      <c r="F16" s="123"/>
      <c r="G16" s="124"/>
      <c r="H16" s="122"/>
      <c r="I16" s="122"/>
      <c r="J16" s="122"/>
    </row>
    <row r="17" spans="1:1022" ht="60" customHeight="1">
      <c r="A17" s="121">
        <v>0.35416666666666702</v>
      </c>
      <c r="B17" s="121">
        <v>0.375</v>
      </c>
      <c r="C17" s="122"/>
      <c r="D17" s="122">
        <v>2</v>
      </c>
      <c r="E17" s="122">
        <v>2</v>
      </c>
      <c r="F17" s="123"/>
      <c r="G17" s="124"/>
      <c r="H17" s="122">
        <v>5</v>
      </c>
      <c r="I17" s="122"/>
      <c r="J17" s="122"/>
    </row>
    <row r="18" spans="1:1022" ht="12" customHeight="1">
      <c r="A18" s="125"/>
      <c r="B18" s="125"/>
      <c r="C18" s="126"/>
      <c r="D18" s="126"/>
      <c r="E18" s="126"/>
      <c r="F18" s="126"/>
      <c r="G18" s="126"/>
      <c r="H18" s="126"/>
      <c r="I18" s="126"/>
      <c r="J18" s="126"/>
    </row>
    <row r="19" spans="1:1022" s="130" customFormat="1" ht="38.1" customHeight="1">
      <c r="A19" s="20"/>
      <c r="B19" s="21" t="s">
        <v>23</v>
      </c>
      <c r="C19" s="127"/>
      <c r="D19" s="127"/>
      <c r="E19" s="127"/>
      <c r="F19" s="127"/>
      <c r="G19" s="128"/>
      <c r="H19" s="127"/>
      <c r="I19" s="127"/>
      <c r="J19" s="129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MC19" s="107"/>
      <c r="AMD19" s="107"/>
      <c r="AME19" s="107"/>
      <c r="AMF19" s="107"/>
      <c r="AMG19" s="107"/>
      <c r="AMH19" s="107"/>
    </row>
    <row r="20" spans="1:1022" s="130" customFormat="1" ht="38.1" customHeight="1">
      <c r="A20" s="20"/>
      <c r="B20" s="21" t="s">
        <v>24</v>
      </c>
      <c r="C20" s="127"/>
      <c r="D20" s="127"/>
      <c r="E20" s="127"/>
      <c r="F20" s="127"/>
      <c r="G20" s="128"/>
      <c r="H20" s="127"/>
      <c r="I20" s="127"/>
      <c r="J20" s="129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MC20" s="107"/>
      <c r="AMD20" s="107"/>
      <c r="AME20" s="107"/>
      <c r="AMF20" s="107"/>
      <c r="AMG20" s="107"/>
      <c r="AMH20" s="107"/>
    </row>
    <row r="21" spans="1:1022" s="130" customFormat="1" ht="38.1" customHeight="1">
      <c r="A21" s="20"/>
      <c r="B21" s="21" t="s">
        <v>25</v>
      </c>
      <c r="C21" s="127"/>
      <c r="D21" s="127"/>
      <c r="E21" s="127"/>
      <c r="F21" s="127"/>
      <c r="G21" s="128"/>
      <c r="H21" s="127"/>
      <c r="I21" s="127"/>
      <c r="J21" s="129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MC21" s="107"/>
      <c r="AMD21" s="107"/>
      <c r="AME21" s="107"/>
      <c r="AMF21" s="107"/>
      <c r="AMG21" s="107"/>
      <c r="AMH21" s="107"/>
    </row>
    <row r="22" spans="1:1022" s="130" customFormat="1" ht="38.1" customHeight="1">
      <c r="A22" s="20">
        <v>6</v>
      </c>
      <c r="B22" s="21" t="s">
        <v>26</v>
      </c>
      <c r="C22" s="127"/>
      <c r="D22" s="127"/>
      <c r="E22" s="131"/>
      <c r="F22" s="127"/>
      <c r="G22" s="128"/>
      <c r="H22" s="127"/>
      <c r="I22" s="127"/>
      <c r="J22" s="129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MC22" s="107"/>
      <c r="AMD22" s="107"/>
      <c r="AME22" s="107"/>
      <c r="AMF22" s="107"/>
      <c r="AMG22" s="107"/>
      <c r="AMH22" s="107"/>
    </row>
    <row r="23" spans="1:1022" ht="20.25">
      <c r="A23" s="132"/>
      <c r="B23" s="111"/>
      <c r="C23" s="111"/>
      <c r="D23" s="111"/>
      <c r="E23" s="111"/>
      <c r="F23" s="111"/>
      <c r="G23" s="111"/>
      <c r="H23" s="111"/>
      <c r="I23" s="111"/>
      <c r="J23" s="111"/>
    </row>
    <row r="24" spans="1:1022" ht="30" customHeight="1">
      <c r="A24" s="133"/>
      <c r="B24" s="134"/>
      <c r="C24" s="333" t="str">
        <f>C9</f>
        <v>Rue de La Patience</v>
      </c>
      <c r="D24" s="333"/>
      <c r="E24" s="333"/>
      <c r="F24" s="333"/>
      <c r="G24" s="333"/>
      <c r="H24" s="333"/>
      <c r="I24" s="333"/>
      <c r="J24" s="333"/>
      <c r="K24" s="133"/>
      <c r="L24" s="134"/>
      <c r="M24" s="326" t="s">
        <v>27</v>
      </c>
      <c r="N24" s="334" t="s">
        <v>28</v>
      </c>
      <c r="O24" s="330" t="s">
        <v>29</v>
      </c>
      <c r="P24" s="330" t="s">
        <v>30</v>
      </c>
      <c r="Q24" s="331"/>
      <c r="R24" s="306" t="s">
        <v>32</v>
      </c>
      <c r="S24" s="306" t="s">
        <v>33</v>
      </c>
      <c r="T24" s="306" t="s">
        <v>24</v>
      </c>
      <c r="U24" s="306" t="s">
        <v>34</v>
      </c>
      <c r="V24" s="1"/>
    </row>
    <row r="25" spans="1:1022" ht="23.25">
      <c r="A25" s="133"/>
      <c r="B25" s="134"/>
      <c r="C25" s="328" t="str">
        <f>C10</f>
        <v>Vers La Roche</v>
      </c>
      <c r="D25" s="328"/>
      <c r="E25" s="328"/>
      <c r="F25" s="328"/>
      <c r="G25" s="328" t="str">
        <f>G10</f>
        <v>Vers St Pierre</v>
      </c>
      <c r="H25" s="328"/>
      <c r="I25" s="328"/>
      <c r="J25" s="328"/>
      <c r="K25" s="133"/>
      <c r="L25" s="134"/>
      <c r="M25" s="326"/>
      <c r="N25" s="334"/>
      <c r="O25" s="330"/>
      <c r="P25" s="330"/>
      <c r="Q25" s="331"/>
      <c r="R25" s="306"/>
      <c r="S25" s="306"/>
      <c r="T25" s="306"/>
      <c r="U25" s="306"/>
      <c r="V25" s="1"/>
    </row>
    <row r="26" spans="1:1022" ht="20.25" customHeight="1">
      <c r="A26" s="133"/>
      <c r="B26" s="134"/>
      <c r="C26" s="329" t="s">
        <v>18</v>
      </c>
      <c r="D26" s="329"/>
      <c r="E26" s="329" t="s">
        <v>19</v>
      </c>
      <c r="F26" s="329"/>
      <c r="G26" s="329" t="s">
        <v>18</v>
      </c>
      <c r="H26" s="329"/>
      <c r="I26" s="329" t="s">
        <v>19</v>
      </c>
      <c r="J26" s="329"/>
      <c r="K26" s="135"/>
      <c r="L26" s="134"/>
      <c r="M26" s="326"/>
      <c r="N26" s="334"/>
      <c r="O26" s="330"/>
      <c r="P26" s="330"/>
      <c r="Q26" s="331"/>
      <c r="R26" s="306"/>
      <c r="S26" s="306"/>
      <c r="T26" s="306"/>
      <c r="U26" s="306"/>
      <c r="V26" s="1"/>
    </row>
    <row r="27" spans="1:1022" ht="21" customHeight="1">
      <c r="A27" s="324" t="s">
        <v>20</v>
      </c>
      <c r="B27" s="324"/>
      <c r="C27" s="136" t="s">
        <v>21</v>
      </c>
      <c r="D27" s="136" t="s">
        <v>22</v>
      </c>
      <c r="E27" s="136" t="s">
        <v>21</v>
      </c>
      <c r="F27" s="136" t="s">
        <v>22</v>
      </c>
      <c r="G27" s="136" t="s">
        <v>21</v>
      </c>
      <c r="H27" s="136" t="s">
        <v>22</v>
      </c>
      <c r="I27" s="136" t="s">
        <v>21</v>
      </c>
      <c r="J27" s="136" t="s">
        <v>22</v>
      </c>
      <c r="K27" s="324" t="s">
        <v>20</v>
      </c>
      <c r="L27" s="324"/>
      <c r="M27" s="326"/>
      <c r="N27" s="334"/>
      <c r="O27" s="330"/>
      <c r="P27" s="330"/>
      <c r="Q27" s="331"/>
      <c r="R27" s="306"/>
      <c r="S27" s="306"/>
      <c r="T27" s="306"/>
      <c r="U27" s="306"/>
      <c r="V27" s="1"/>
    </row>
    <row r="28" spans="1:1022" ht="35.1" customHeight="1">
      <c r="A28" s="324" t="s">
        <v>35</v>
      </c>
      <c r="B28" s="324"/>
      <c r="C28" s="122">
        <f t="shared" ref="C28:J32" si="0">+C13</f>
        <v>1</v>
      </c>
      <c r="D28" s="122">
        <f t="shared" si="0"/>
        <v>0</v>
      </c>
      <c r="E28" s="122">
        <f t="shared" si="0"/>
        <v>0</v>
      </c>
      <c r="F28" s="122">
        <f t="shared" si="0"/>
        <v>0</v>
      </c>
      <c r="G28" s="122">
        <f t="shared" si="0"/>
        <v>1</v>
      </c>
      <c r="H28" s="122">
        <f t="shared" si="0"/>
        <v>0</v>
      </c>
      <c r="I28" s="122">
        <f t="shared" si="0"/>
        <v>0</v>
      </c>
      <c r="J28" s="122">
        <f t="shared" si="0"/>
        <v>0</v>
      </c>
      <c r="K28" s="324" t="str">
        <f>A28</f>
        <v>6:30 à 7:00</v>
      </c>
      <c r="L28" s="324"/>
      <c r="M28" s="137">
        <f t="shared" ref="M28:M33" si="1">SUM(C28:J28)</f>
        <v>2</v>
      </c>
      <c r="N28" s="138">
        <f>C28+E28+G28+I28</f>
        <v>2</v>
      </c>
      <c r="O28" s="138">
        <f>E28+F28+I28+J28</f>
        <v>0</v>
      </c>
      <c r="P28" s="138">
        <f>E28+I28</f>
        <v>0</v>
      </c>
      <c r="Q28" s="138"/>
      <c r="R28" s="59"/>
      <c r="S28" s="139"/>
      <c r="T28" s="87"/>
      <c r="U28" s="87"/>
      <c r="V28" s="1"/>
    </row>
    <row r="29" spans="1:1022" ht="35.1" customHeight="1">
      <c r="A29" s="324" t="s">
        <v>36</v>
      </c>
      <c r="B29" s="324"/>
      <c r="C29" s="122">
        <f t="shared" si="0"/>
        <v>1</v>
      </c>
      <c r="D29" s="122">
        <f t="shared" si="0"/>
        <v>0</v>
      </c>
      <c r="E29" s="122">
        <f t="shared" si="0"/>
        <v>0</v>
      </c>
      <c r="F29" s="122">
        <f t="shared" si="0"/>
        <v>0</v>
      </c>
      <c r="G29" s="122">
        <f t="shared" si="0"/>
        <v>0</v>
      </c>
      <c r="H29" s="122">
        <f t="shared" si="0"/>
        <v>0</v>
      </c>
      <c r="I29" s="122">
        <f t="shared" si="0"/>
        <v>0</v>
      </c>
      <c r="J29" s="122">
        <f t="shared" si="0"/>
        <v>0</v>
      </c>
      <c r="K29" s="324" t="str">
        <f>A29</f>
        <v>7:00 à 7:30</v>
      </c>
      <c r="L29" s="324"/>
      <c r="M29" s="137">
        <f t="shared" si="1"/>
        <v>1</v>
      </c>
      <c r="N29" s="138">
        <f>C29+E29+G29+I29</f>
        <v>1</v>
      </c>
      <c r="O29" s="138">
        <f>E29+F29+I29+J29</f>
        <v>0</v>
      </c>
      <c r="P29" s="138">
        <f>E29+I29</f>
        <v>0</v>
      </c>
      <c r="Q29" s="138"/>
      <c r="R29" s="59"/>
      <c r="S29" s="86"/>
      <c r="T29" s="87"/>
      <c r="U29" s="87"/>
      <c r="V29" s="1"/>
    </row>
    <row r="30" spans="1:1022" ht="35.1" customHeight="1">
      <c r="A30" s="324" t="s">
        <v>37</v>
      </c>
      <c r="B30" s="324"/>
      <c r="C30" s="122">
        <f t="shared" si="0"/>
        <v>2</v>
      </c>
      <c r="D30" s="122">
        <f t="shared" si="0"/>
        <v>3</v>
      </c>
      <c r="E30" s="122">
        <f t="shared" si="0"/>
        <v>0</v>
      </c>
      <c r="F30" s="122">
        <f t="shared" si="0"/>
        <v>0</v>
      </c>
      <c r="G30" s="122">
        <f t="shared" si="0"/>
        <v>3</v>
      </c>
      <c r="H30" s="122">
        <f t="shared" si="0"/>
        <v>1</v>
      </c>
      <c r="I30" s="122">
        <f t="shared" si="0"/>
        <v>0</v>
      </c>
      <c r="J30" s="122">
        <f t="shared" si="0"/>
        <v>0</v>
      </c>
      <c r="K30" s="324" t="str">
        <f>A30</f>
        <v>7:30 à 8:00</v>
      </c>
      <c r="L30" s="324"/>
      <c r="M30" s="137">
        <f t="shared" si="1"/>
        <v>9</v>
      </c>
      <c r="N30" s="138">
        <f>C30+E30+G30+I30</f>
        <v>5</v>
      </c>
      <c r="O30" s="138">
        <f>E30+F30+I30+J30</f>
        <v>0</v>
      </c>
      <c r="P30" s="138">
        <f>E30+I30</f>
        <v>0</v>
      </c>
      <c r="Q30" s="138"/>
      <c r="R30" s="59"/>
      <c r="S30" s="86"/>
      <c r="T30" s="87"/>
      <c r="U30" s="87"/>
      <c r="V30" s="1"/>
    </row>
    <row r="31" spans="1:1022" ht="35.1" customHeight="1">
      <c r="A31" s="324" t="s">
        <v>38</v>
      </c>
      <c r="B31" s="324"/>
      <c r="C31" s="122">
        <f t="shared" si="0"/>
        <v>4</v>
      </c>
      <c r="D31" s="122">
        <f t="shared" si="0"/>
        <v>1</v>
      </c>
      <c r="E31" s="122">
        <f t="shared" si="0"/>
        <v>0</v>
      </c>
      <c r="F31" s="122">
        <f t="shared" si="0"/>
        <v>0</v>
      </c>
      <c r="G31" s="122">
        <f t="shared" si="0"/>
        <v>0</v>
      </c>
      <c r="H31" s="122">
        <f t="shared" si="0"/>
        <v>0</v>
      </c>
      <c r="I31" s="122">
        <f t="shared" si="0"/>
        <v>0</v>
      </c>
      <c r="J31" s="122">
        <f t="shared" si="0"/>
        <v>0</v>
      </c>
      <c r="K31" s="324" t="str">
        <f>A31</f>
        <v>8:00 à 8:30</v>
      </c>
      <c r="L31" s="324"/>
      <c r="M31" s="137">
        <f t="shared" si="1"/>
        <v>5</v>
      </c>
      <c r="N31" s="138">
        <f>C31+E31+G31+I31</f>
        <v>4</v>
      </c>
      <c r="O31" s="138">
        <f>E31+F31+I31+J31</f>
        <v>0</v>
      </c>
      <c r="P31" s="138">
        <f>E31+I31</f>
        <v>0</v>
      </c>
      <c r="Q31" s="138"/>
      <c r="R31" s="59"/>
      <c r="S31" s="88"/>
      <c r="T31" s="87"/>
      <c r="U31" s="87"/>
      <c r="V31" s="1"/>
    </row>
    <row r="32" spans="1:1022" ht="35.1" customHeight="1">
      <c r="A32" s="324" t="s">
        <v>39</v>
      </c>
      <c r="B32" s="324"/>
      <c r="C32" s="122">
        <f t="shared" si="0"/>
        <v>0</v>
      </c>
      <c r="D32" s="122">
        <f t="shared" si="0"/>
        <v>2</v>
      </c>
      <c r="E32" s="122">
        <f t="shared" si="0"/>
        <v>2</v>
      </c>
      <c r="F32" s="122">
        <f t="shared" si="0"/>
        <v>0</v>
      </c>
      <c r="G32" s="122">
        <f t="shared" si="0"/>
        <v>0</v>
      </c>
      <c r="H32" s="122">
        <f t="shared" si="0"/>
        <v>5</v>
      </c>
      <c r="I32" s="122">
        <f t="shared" si="0"/>
        <v>0</v>
      </c>
      <c r="J32" s="122">
        <f t="shared" si="0"/>
        <v>0</v>
      </c>
      <c r="K32" s="324" t="str">
        <f>A32</f>
        <v>8:30 à 9:00</v>
      </c>
      <c r="L32" s="324"/>
      <c r="M32" s="137">
        <f t="shared" si="1"/>
        <v>9</v>
      </c>
      <c r="N32" s="138">
        <f>C32+E32+G32+I32</f>
        <v>2</v>
      </c>
      <c r="O32" s="138">
        <f>E32+F32+I32+J32</f>
        <v>2</v>
      </c>
      <c r="P32" s="138">
        <f>E32+I32</f>
        <v>2</v>
      </c>
      <c r="Q32" s="138"/>
      <c r="R32" s="59"/>
      <c r="S32" s="89"/>
      <c r="T32" s="87"/>
      <c r="U32" s="87"/>
      <c r="V32" s="1"/>
    </row>
    <row r="33" spans="1:22" ht="35.1" customHeight="1">
      <c r="A33" s="324" t="s">
        <v>27</v>
      </c>
      <c r="B33" s="324"/>
      <c r="C33" s="140">
        <f t="shared" ref="C33:J33" si="2">SUM(C13:C17)</f>
        <v>8</v>
      </c>
      <c r="D33" s="140">
        <f t="shared" si="2"/>
        <v>6</v>
      </c>
      <c r="E33" s="140">
        <f t="shared" si="2"/>
        <v>2</v>
      </c>
      <c r="F33" s="140">
        <f t="shared" si="2"/>
        <v>0</v>
      </c>
      <c r="G33" s="140">
        <f t="shared" si="2"/>
        <v>4</v>
      </c>
      <c r="H33" s="140">
        <f t="shared" si="2"/>
        <v>6</v>
      </c>
      <c r="I33" s="140">
        <f t="shared" si="2"/>
        <v>0</v>
      </c>
      <c r="J33" s="140">
        <f t="shared" si="2"/>
        <v>0</v>
      </c>
      <c r="K33" s="327" t="s">
        <v>27</v>
      </c>
      <c r="L33" s="327"/>
      <c r="M33" s="141">
        <f t="shared" si="1"/>
        <v>26</v>
      </c>
      <c r="N33" s="142">
        <f>N32+N31+N30+N29+N28</f>
        <v>14</v>
      </c>
      <c r="O33" s="142">
        <f>O32+O31+O30+O29+O28</f>
        <v>2</v>
      </c>
      <c r="P33" s="143">
        <f>P32+P31+P30+P29+P28</f>
        <v>2</v>
      </c>
      <c r="Q33" s="143"/>
      <c r="R33" s="39">
        <f>A22</f>
        <v>6</v>
      </c>
      <c r="S33" s="40">
        <f>A19</f>
        <v>0</v>
      </c>
      <c r="T33" s="40">
        <f>A20</f>
        <v>0</v>
      </c>
      <c r="U33" s="40">
        <f>A21</f>
        <v>0</v>
      </c>
      <c r="V33" s="1"/>
    </row>
    <row r="34" spans="1:22" ht="35.1" customHeight="1">
      <c r="A34" s="144"/>
      <c r="B34" s="144"/>
      <c r="C34" s="145"/>
      <c r="D34" s="145"/>
      <c r="E34" s="145"/>
      <c r="F34" s="145"/>
      <c r="G34" s="145"/>
      <c r="H34" s="145"/>
      <c r="I34" s="145"/>
      <c r="J34" s="145" t="s">
        <v>40</v>
      </c>
      <c r="K34" s="45" t="s">
        <v>38</v>
      </c>
      <c r="L34" s="46"/>
      <c r="M34" s="47">
        <v>5</v>
      </c>
      <c r="N34" s="47"/>
      <c r="O34" s="47"/>
      <c r="P34" s="47"/>
      <c r="Q34" s="143"/>
      <c r="R34" s="48"/>
      <c r="S34" s="48"/>
      <c r="T34" s="48"/>
      <c r="U34" s="48"/>
      <c r="V34" s="1"/>
    </row>
    <row r="35" spans="1:22" ht="35.1" customHeight="1">
      <c r="A35" s="144"/>
      <c r="B35" s="144"/>
      <c r="C35" s="145"/>
      <c r="D35" s="145"/>
      <c r="E35" s="145"/>
      <c r="F35" s="145"/>
      <c r="G35" s="145"/>
      <c r="H35" s="145"/>
      <c r="I35" s="145"/>
      <c r="J35" s="145" t="s">
        <v>40</v>
      </c>
      <c r="K35" s="52" t="s">
        <v>39</v>
      </c>
      <c r="L35" s="53"/>
      <c r="M35" s="54">
        <v>9</v>
      </c>
      <c r="N35" s="54"/>
      <c r="O35" s="54"/>
      <c r="P35" s="54"/>
      <c r="Q35" s="143"/>
      <c r="R35" s="48"/>
      <c r="S35" s="48"/>
      <c r="T35" s="48"/>
      <c r="U35" s="48"/>
      <c r="V35" s="1"/>
    </row>
    <row r="36" spans="1:22" ht="35.1" customHeight="1">
      <c r="A36" s="144"/>
      <c r="B36" s="144"/>
      <c r="C36" s="145"/>
      <c r="D36" s="145"/>
      <c r="E36" s="145"/>
      <c r="F36" s="145"/>
      <c r="G36" s="145"/>
      <c r="H36" s="145"/>
      <c r="I36" s="145"/>
      <c r="J36" s="145"/>
      <c r="K36" s="308" t="s">
        <v>41</v>
      </c>
      <c r="L36" s="308"/>
      <c r="M36" s="55">
        <f>SUM(M34:M35)</f>
        <v>14</v>
      </c>
      <c r="N36" s="56"/>
      <c r="O36" s="56"/>
      <c r="P36" s="56"/>
      <c r="Q36" s="143"/>
      <c r="R36" s="48"/>
      <c r="S36" s="48"/>
      <c r="T36" s="48"/>
      <c r="U36" s="48"/>
      <c r="V36" s="1"/>
    </row>
    <row r="37" spans="1:22" ht="35.1" customHeight="1">
      <c r="A37" s="146"/>
      <c r="B37" s="147"/>
      <c r="C37" s="147"/>
      <c r="D37" s="147"/>
      <c r="E37" s="147"/>
      <c r="F37" s="147"/>
      <c r="G37" s="147"/>
      <c r="H37" s="147"/>
      <c r="I37" s="147"/>
      <c r="J37" s="148" t="s">
        <v>40</v>
      </c>
      <c r="K37" s="324" t="str">
        <f>IF($M$32=MAX($M$28:$M$32),K32,IF($M$31=MAX($M$28:$M$32),K31,IF($M$30=MAX($M$28:$M$32),K30,IF($M$29=MAX($M$28:$M$32),K29,IF($M$28=MAX($M$28:$M$32),K28,K32)))))</f>
        <v>8:30 à 9:00</v>
      </c>
      <c r="L37" s="324"/>
      <c r="M37" s="149">
        <f>IF($M$32=MAX($M$28:$M$32),M32,IF($M$31=MAX($M$28:$M$32),M31,IF($M$30=MAX($M$28:$M$32),M30,IF($M$29=MAX($M$28:$M$32),M29,IF($M$28=MAX($M$28:$M$32),M28,M32)))))</f>
        <v>9</v>
      </c>
      <c r="N37" s="150">
        <f>IF($M$32=MAX($M$28:$M$32),N32,IF($M$31=MAX($M$28:$M$32),N31,IF($M$30=MAX($M$28:$M$32),N30,IF($M$29=MAX($M$28:$M$32),N29,IF($M$28=MAX($M$28:$M$32),N28,N32)))))</f>
        <v>2</v>
      </c>
      <c r="O37" s="150">
        <f>IF($M$32=MAX($M$28:$M$32),O32,IF($M$31=MAX($M$28:$M$32),O31,IF($M$30=MAX($M$28:$M$32),O30,IF($M$29=MAX($M$28:$M$32),O29,IF($M$28=MAX($M$28:$M$32),O28,O32)))))</f>
        <v>2</v>
      </c>
      <c r="P37" s="150">
        <f>IF($M$32=MAX($M$28:$M$32),P32,IF($M$31=MAX($M$28:$M$32),P31,IF($M$30=MAX($M$28:$M$32),P30,IF($M$29=MAX($M$28:$M$32),P29,IF($M$28=MAX($M$28:$M$32),P28,P32)))))</f>
        <v>2</v>
      </c>
      <c r="Q37" s="150"/>
      <c r="R37" s="151"/>
      <c r="S37" s="152"/>
      <c r="T37" s="151"/>
      <c r="U37" s="151"/>
      <c r="V37" s="153"/>
    </row>
    <row r="38" spans="1:22" ht="24.95" customHeight="1">
      <c r="A38" s="154"/>
      <c r="B38" s="119"/>
      <c r="C38" s="119"/>
      <c r="D38" s="119"/>
      <c r="E38" s="119"/>
      <c r="F38" s="119"/>
      <c r="G38" s="119"/>
      <c r="H38" s="119"/>
      <c r="I38" s="119"/>
      <c r="J38" s="119"/>
      <c r="K38" s="133"/>
      <c r="L38" s="134"/>
      <c r="M38" s="326" t="s">
        <v>27</v>
      </c>
      <c r="N38" s="325" t="s">
        <v>42</v>
      </c>
      <c r="O38" s="325" t="s">
        <v>43</v>
      </c>
      <c r="P38" s="325" t="s">
        <v>44</v>
      </c>
      <c r="Q38" s="325"/>
      <c r="R38" s="153"/>
      <c r="S38" s="88"/>
      <c r="T38" s="153"/>
      <c r="U38" s="153"/>
      <c r="V38" s="153"/>
    </row>
    <row r="39" spans="1:22" ht="24.95" customHeight="1">
      <c r="A39" s="154"/>
      <c r="B39" s="119"/>
      <c r="C39" s="119"/>
      <c r="D39" s="119"/>
      <c r="E39" s="119"/>
      <c r="F39" s="119"/>
      <c r="G39" s="119"/>
      <c r="H39" s="119"/>
      <c r="I39" s="119"/>
      <c r="J39" s="119"/>
      <c r="K39" s="133"/>
      <c r="L39" s="134"/>
      <c r="M39" s="326"/>
      <c r="N39" s="325"/>
      <c r="O39" s="325"/>
      <c r="P39" s="325"/>
      <c r="Q39" s="325"/>
      <c r="R39" s="153"/>
      <c r="S39" s="88"/>
      <c r="T39" s="153"/>
      <c r="U39" s="153"/>
      <c r="V39" s="153"/>
    </row>
    <row r="40" spans="1:22" ht="24.95" customHeight="1">
      <c r="A40" s="154"/>
      <c r="B40" s="119"/>
      <c r="C40" s="119"/>
      <c r="D40" s="119"/>
      <c r="E40" s="119"/>
      <c r="F40" s="119"/>
      <c r="G40" s="119"/>
      <c r="H40" s="119"/>
      <c r="I40" s="119"/>
      <c r="J40" s="119"/>
      <c r="K40" s="135"/>
      <c r="L40" s="134"/>
      <c r="M40" s="326"/>
      <c r="N40" s="325"/>
      <c r="O40" s="325"/>
      <c r="P40" s="325"/>
      <c r="Q40" s="325"/>
      <c r="R40" s="153"/>
      <c r="S40" s="88"/>
      <c r="T40" s="153"/>
      <c r="U40" s="153"/>
      <c r="V40" s="153"/>
    </row>
    <row r="41" spans="1:22" ht="35.1" customHeight="1">
      <c r="A41" s="154"/>
      <c r="B41" s="119"/>
      <c r="C41" s="119"/>
      <c r="D41" s="119"/>
      <c r="E41" s="119"/>
      <c r="F41" s="119"/>
      <c r="G41" s="119"/>
      <c r="H41" s="119"/>
      <c r="I41" s="119"/>
      <c r="J41" s="119"/>
      <c r="K41" s="324" t="s">
        <v>20</v>
      </c>
      <c r="L41" s="324"/>
      <c r="M41" s="326"/>
      <c r="N41" s="325"/>
      <c r="O41" s="325"/>
      <c r="P41" s="325"/>
      <c r="Q41" s="325"/>
      <c r="R41" s="153"/>
      <c r="S41" s="88"/>
      <c r="T41" s="153"/>
      <c r="U41" s="153"/>
      <c r="V41" s="153"/>
    </row>
    <row r="42" spans="1:22" ht="35.1" customHeight="1">
      <c r="A42" s="154"/>
      <c r="B42" s="119"/>
      <c r="C42" s="119"/>
      <c r="D42" s="119"/>
      <c r="E42" s="119"/>
      <c r="F42" s="119"/>
      <c r="G42" s="119"/>
      <c r="H42" s="119"/>
      <c r="I42" s="119"/>
      <c r="J42" s="119"/>
      <c r="K42" s="324" t="str">
        <f>K28</f>
        <v>6:30 à 7:00</v>
      </c>
      <c r="L42" s="324"/>
      <c r="M42" s="137"/>
      <c r="N42" s="155">
        <f>IF(N28=0,0,N28/M28)</f>
        <v>1</v>
      </c>
      <c r="O42" s="155">
        <f>IF(O28=0,0,O28/M28)</f>
        <v>0</v>
      </c>
      <c r="P42" s="155">
        <f>IF(P28=0,0,P28/N28)</f>
        <v>0</v>
      </c>
      <c r="Q42" s="155"/>
      <c r="R42" s="153"/>
      <c r="S42" s="88"/>
      <c r="T42" s="153"/>
      <c r="U42" s="153"/>
      <c r="V42" s="153"/>
    </row>
    <row r="43" spans="1:22" ht="35.1" customHeight="1">
      <c r="A43" s="154"/>
      <c r="B43" s="119"/>
      <c r="C43" s="119"/>
      <c r="D43" s="119"/>
      <c r="E43" s="119"/>
      <c r="F43" s="119"/>
      <c r="G43" s="119"/>
      <c r="H43" s="119"/>
      <c r="I43" s="119"/>
      <c r="J43" s="119"/>
      <c r="K43" s="324" t="str">
        <f>K29</f>
        <v>7:00 à 7:30</v>
      </c>
      <c r="L43" s="324"/>
      <c r="M43" s="137"/>
      <c r="N43" s="155">
        <f>IF(N30=0,0,N30/M30)</f>
        <v>0.55555555555555558</v>
      </c>
      <c r="O43" s="155">
        <f>IF(O30=0,0,O30/M30)</f>
        <v>0</v>
      </c>
      <c r="P43" s="155">
        <f>IF(P30=0,0,P30/N30)</f>
        <v>0</v>
      </c>
      <c r="Q43" s="155"/>
      <c r="R43" s="156"/>
      <c r="S43" s="157"/>
      <c r="T43" s="158"/>
      <c r="U43" s="158"/>
      <c r="V43" s="156"/>
    </row>
    <row r="44" spans="1:22" ht="35.1" customHeight="1">
      <c r="A44" s="154"/>
      <c r="B44" s="119"/>
      <c r="C44" s="119"/>
      <c r="D44" s="119"/>
      <c r="E44" s="119"/>
      <c r="F44" s="119"/>
      <c r="G44" s="119"/>
      <c r="H44" s="119"/>
      <c r="I44" s="119"/>
      <c r="J44" s="119"/>
      <c r="K44" s="324" t="str">
        <f>K30</f>
        <v>7:30 à 8:00</v>
      </c>
      <c r="L44" s="324"/>
      <c r="M44" s="137"/>
      <c r="N44" s="155">
        <f>IF(N30=0,0,N30/M30)</f>
        <v>0.55555555555555558</v>
      </c>
      <c r="O44" s="155">
        <f t="shared" ref="O44:P47" si="3">IF(O30=0,0,O30/M30)</f>
        <v>0</v>
      </c>
      <c r="P44" s="155">
        <f t="shared" si="3"/>
        <v>0</v>
      </c>
      <c r="Q44" s="155"/>
      <c r="R44" s="156"/>
      <c r="S44" s="157"/>
      <c r="T44" s="158"/>
      <c r="U44" s="158"/>
      <c r="V44" s="156"/>
    </row>
    <row r="45" spans="1:22" ht="35.1" customHeight="1">
      <c r="A45" s="154"/>
      <c r="B45" s="119"/>
      <c r="C45" s="119"/>
      <c r="D45" s="119"/>
      <c r="E45" s="119"/>
      <c r="F45" s="119"/>
      <c r="G45" s="119"/>
      <c r="H45" s="119"/>
      <c r="I45" s="119"/>
      <c r="J45" s="119"/>
      <c r="K45" s="324" t="str">
        <f>K31</f>
        <v>8:00 à 8:30</v>
      </c>
      <c r="L45" s="324"/>
      <c r="M45" s="137"/>
      <c r="N45" s="155">
        <f>IF(N31=0,0,N31/M31)</f>
        <v>0.8</v>
      </c>
      <c r="O45" s="155">
        <f t="shared" si="3"/>
        <v>0</v>
      </c>
      <c r="P45" s="155">
        <f t="shared" si="3"/>
        <v>0</v>
      </c>
      <c r="Q45" s="155"/>
      <c r="R45" s="156"/>
      <c r="S45" s="157"/>
      <c r="T45" s="158"/>
      <c r="U45" s="158"/>
      <c r="V45" s="156"/>
    </row>
    <row r="46" spans="1:22" ht="35.1" customHeight="1">
      <c r="F46" s="119"/>
      <c r="K46" s="324" t="str">
        <f>K32</f>
        <v>8:30 à 9:00</v>
      </c>
      <c r="L46" s="324"/>
      <c r="M46" s="137"/>
      <c r="N46" s="155">
        <f>IF(N32=0,0,N32/M32)</f>
        <v>0.22222222222222221</v>
      </c>
      <c r="O46" s="155">
        <f t="shared" si="3"/>
        <v>0.22222222222222221</v>
      </c>
      <c r="P46" s="155">
        <f t="shared" si="3"/>
        <v>1</v>
      </c>
      <c r="Q46" s="155"/>
      <c r="R46" s="156"/>
      <c r="S46" s="157"/>
      <c r="T46" s="158"/>
      <c r="U46" s="158"/>
      <c r="V46" s="156"/>
    </row>
    <row r="47" spans="1:22" ht="35.1" customHeight="1">
      <c r="F47" s="119"/>
      <c r="K47" s="324" t="s">
        <v>27</v>
      </c>
      <c r="L47" s="324"/>
      <c r="M47" s="159"/>
      <c r="N47" s="160">
        <f>IF(N33=0,0,N33/M33)</f>
        <v>0.53846153846153844</v>
      </c>
      <c r="O47" s="160">
        <f t="shared" si="3"/>
        <v>7.6923076923076927E-2</v>
      </c>
      <c r="P47" s="160">
        <f t="shared" si="3"/>
        <v>0.14285714285714285</v>
      </c>
      <c r="Q47" s="160"/>
      <c r="R47" s="156"/>
      <c r="S47" s="157"/>
      <c r="T47" s="158"/>
      <c r="U47" s="158"/>
      <c r="V47" s="156"/>
    </row>
    <row r="48" spans="1:22" ht="35.1" customHeight="1">
      <c r="K48" s="324" t="str">
        <f>K37</f>
        <v>8:30 à 9:00</v>
      </c>
      <c r="L48" s="324"/>
      <c r="M48" s="149">
        <f>IF($AU$49=MAX($AU$49:$AU$53),M42,IF($AU$50=MAX($AU$49:$AU$53),M44,IF($AU$51=MAX($AU$49:$AU$53),M45,IF($AU$52=MAX($AU$49:$AU$53),(M45),M46))))</f>
        <v>0</v>
      </c>
      <c r="N48" s="161">
        <f>IF($AU$49=MAX($AU$49:$AU$53),N42,IF($AU$50=MAX($AU$49:$AU$53),N44,IF($AU$51=MAX($AU$49:$AU$53),N45,IF($AU$52=MAX($AU$49:$AU$53),(N45),N46))))</f>
        <v>1</v>
      </c>
      <c r="O48" s="161">
        <f>O46</f>
        <v>0.22222222222222221</v>
      </c>
      <c r="P48" s="161">
        <f>IF($AU$49=MAX($AU$49:$AU$53),P42,IF($AU$50=MAX($AU$49:$AU$53),P44,IF($AU$51=MAX($AU$49:$AU$53),P45,IF($AU$52=MAX($AU$49:$AU$53),(P45),P46))))</f>
        <v>0</v>
      </c>
      <c r="Q48" s="161"/>
      <c r="R48" s="156"/>
      <c r="S48" s="157"/>
      <c r="T48" s="158"/>
      <c r="U48" s="158"/>
      <c r="V48" s="156"/>
    </row>
  </sheetData>
  <mergeCells count="53">
    <mergeCell ref="C9:J9"/>
    <mergeCell ref="C10:F10"/>
    <mergeCell ref="G10:J10"/>
    <mergeCell ref="C11:D11"/>
    <mergeCell ref="E11:F11"/>
    <mergeCell ref="G11:H11"/>
    <mergeCell ref="I11:J11"/>
    <mergeCell ref="A12:B12"/>
    <mergeCell ref="C24:J24"/>
    <mergeCell ref="M24:M27"/>
    <mergeCell ref="N24:N27"/>
    <mergeCell ref="O24:O27"/>
    <mergeCell ref="A27:B27"/>
    <mergeCell ref="U24:U27"/>
    <mergeCell ref="C25:F25"/>
    <mergeCell ref="G25:J25"/>
    <mergeCell ref="C26:D26"/>
    <mergeCell ref="E26:F26"/>
    <mergeCell ref="G26:H26"/>
    <mergeCell ref="I26:J26"/>
    <mergeCell ref="K27:L27"/>
    <mergeCell ref="P24:P27"/>
    <mergeCell ref="Q24:Q27"/>
    <mergeCell ref="R24:R27"/>
    <mergeCell ref="S24:S27"/>
    <mergeCell ref="T24:T27"/>
    <mergeCell ref="A28:B28"/>
    <mergeCell ref="K28:L28"/>
    <mergeCell ref="A29:B29"/>
    <mergeCell ref="K29:L29"/>
    <mergeCell ref="A30:B30"/>
    <mergeCell ref="K30:L30"/>
    <mergeCell ref="A31:B31"/>
    <mergeCell ref="K31:L31"/>
    <mergeCell ref="A32:B32"/>
    <mergeCell ref="K32:L32"/>
    <mergeCell ref="A33:B33"/>
    <mergeCell ref="K33:L33"/>
    <mergeCell ref="K36:L36"/>
    <mergeCell ref="K37:L37"/>
    <mergeCell ref="M38:M41"/>
    <mergeCell ref="N38:N41"/>
    <mergeCell ref="O38:O41"/>
    <mergeCell ref="P38:P41"/>
    <mergeCell ref="Q38:Q41"/>
    <mergeCell ref="K41:L41"/>
    <mergeCell ref="K42:L42"/>
    <mergeCell ref="K43:L43"/>
    <mergeCell ref="K44:L44"/>
    <mergeCell ref="K45:L45"/>
    <mergeCell ref="K46:L46"/>
    <mergeCell ref="K47:L47"/>
    <mergeCell ref="K48:L48"/>
  </mergeCells>
  <pageMargins left="0.51180555555555496" right="0.51180555555555496" top="0.94444444444444398" bottom="0.94444444444444398" header="0.51180555555555496" footer="0.51180555555555496"/>
  <pageSetup paperSize="9" scale="45" orientation="landscape" horizontalDpi="300" verticalDpi="300"/>
  <rowBreaks count="1" manualBreakCount="1">
    <brk id="23" max="16383" man="1"/>
  </rowBreaks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58"/>
  <sheetViews>
    <sheetView topLeftCell="A19" zoomScale="50" zoomScaleNormal="50" workbookViewId="0">
      <selection activeCell="K44" sqref="K44"/>
    </sheetView>
  </sheetViews>
  <sheetFormatPr baseColWidth="10" defaultColWidth="11.25" defaultRowHeight="14.25"/>
  <cols>
    <col min="1" max="1" width="9.875" style="1" customWidth="1"/>
    <col min="2" max="2" width="11.25" style="1"/>
    <col min="3" max="18" width="15.625" style="1" customWidth="1"/>
    <col min="19" max="1015" width="11.25" style="1"/>
    <col min="1016" max="1016" width="11.125" style="1" customWidth="1"/>
    <col min="1017" max="1024" width="10.5" customWidth="1"/>
  </cols>
  <sheetData>
    <row r="1" spans="1:1024" s="2" customFormat="1" ht="52.5" customHeight="1">
      <c r="A1" s="3"/>
      <c r="B1" s="4" t="s">
        <v>73</v>
      </c>
      <c r="C1" s="5"/>
      <c r="D1" s="5"/>
      <c r="E1" s="4" t="s">
        <v>77</v>
      </c>
      <c r="G1" s="1"/>
      <c r="H1" s="162"/>
      <c r="I1" s="5"/>
      <c r="J1" s="5"/>
      <c r="K1" s="3" t="s">
        <v>2</v>
      </c>
      <c r="O1" s="8"/>
      <c r="P1" s="5"/>
      <c r="Q1" s="5"/>
      <c r="R1" s="5"/>
      <c r="S1" s="5"/>
      <c r="T1" s="5"/>
      <c r="U1" s="5"/>
      <c r="V1" s="5"/>
      <c r="Y1" s="5"/>
      <c r="Z1" s="5"/>
      <c r="ALZ1" s="8"/>
      <c r="AMA1" s="8"/>
      <c r="AMB1" s="8"/>
      <c r="AMC1"/>
      <c r="AMD1"/>
      <c r="AME1"/>
      <c r="AMF1"/>
      <c r="AMG1"/>
      <c r="AMH1"/>
      <c r="AMI1"/>
      <c r="AMJ1"/>
    </row>
    <row r="2" spans="1:1024" s="2" customFormat="1" ht="52.5" customHeight="1">
      <c r="A2" s="3" t="s">
        <v>3</v>
      </c>
      <c r="B2" s="5"/>
      <c r="C2" s="5"/>
      <c r="D2" s="5"/>
      <c r="E2" s="5"/>
      <c r="G2" s="1"/>
      <c r="H2" s="5"/>
      <c r="I2" s="5"/>
      <c r="J2" s="5"/>
      <c r="K2" s="5"/>
      <c r="L2" s="5"/>
      <c r="M2" s="5"/>
      <c r="N2" s="5"/>
      <c r="O2" s="5"/>
      <c r="P2" s="8"/>
      <c r="Q2" s="5"/>
      <c r="R2" s="5"/>
      <c r="S2" s="5"/>
      <c r="T2" s="5"/>
      <c r="U2" s="5"/>
      <c r="V2" s="5"/>
      <c r="X2" s="5"/>
      <c r="Y2" s="5"/>
      <c r="Z2" s="5"/>
      <c r="ALZ2" s="8"/>
      <c r="AMA2" s="8"/>
      <c r="AMB2" s="8"/>
      <c r="AMC2"/>
      <c r="AMD2"/>
      <c r="AME2"/>
      <c r="AMF2"/>
      <c r="AMG2"/>
      <c r="AMH2"/>
      <c r="AMI2"/>
      <c r="AMJ2"/>
    </row>
    <row r="3" spans="1:1024" s="2" customFormat="1" ht="20.25" customHeight="1">
      <c r="A3" s="3" t="s">
        <v>5</v>
      </c>
      <c r="B3" s="5"/>
      <c r="C3" s="5"/>
      <c r="D3" s="5"/>
      <c r="E3" s="5"/>
      <c r="F3" s="5"/>
      <c r="G3" s="1"/>
      <c r="H3" s="5"/>
      <c r="I3" s="5"/>
      <c r="J3" s="5"/>
      <c r="K3" s="9" t="s">
        <v>7</v>
      </c>
      <c r="L3" s="5"/>
      <c r="M3" s="5"/>
      <c r="N3" s="5"/>
      <c r="O3" s="5"/>
      <c r="P3" s="8"/>
      <c r="Q3" s="5"/>
      <c r="R3" s="5"/>
      <c r="S3" s="5"/>
      <c r="T3" s="5"/>
      <c r="U3" s="5"/>
      <c r="V3" s="5"/>
      <c r="W3" s="5"/>
      <c r="X3" s="5"/>
      <c r="Y3" s="5"/>
      <c r="Z3" s="5"/>
      <c r="ALZ3" s="8"/>
      <c r="AMA3" s="8"/>
      <c r="AMB3" s="8"/>
      <c r="AMC3"/>
      <c r="AMD3"/>
      <c r="AME3"/>
      <c r="AMF3"/>
      <c r="AMG3"/>
      <c r="AMH3"/>
      <c r="AMI3"/>
      <c r="AMJ3"/>
    </row>
    <row r="4" spans="1:1024" s="8" customFormat="1" ht="4.5" customHeight="1"/>
    <row r="5" spans="1:1024" s="2" customFormat="1" ht="35.1" customHeight="1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MB5" s="8"/>
      <c r="AMC5"/>
      <c r="AMD5"/>
      <c r="AME5"/>
      <c r="AMF5"/>
      <c r="AMG5"/>
      <c r="AMH5"/>
      <c r="AMI5"/>
      <c r="AMJ5"/>
    </row>
    <row r="6" spans="1:1024" s="2" customFormat="1" ht="35.1" customHeight="1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MB6" s="8"/>
      <c r="AMC6"/>
      <c r="AMD6"/>
      <c r="AME6"/>
      <c r="AMF6"/>
      <c r="AMG6"/>
      <c r="AMH6"/>
      <c r="AMI6"/>
      <c r="AMJ6"/>
    </row>
    <row r="7" spans="1:1024" s="2" customFormat="1" ht="35.1" customHeight="1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MB7" s="8"/>
      <c r="AMC7"/>
      <c r="AMD7"/>
      <c r="AME7"/>
      <c r="AMF7"/>
      <c r="AMG7"/>
      <c r="AMH7"/>
      <c r="AMI7"/>
      <c r="AMJ7"/>
    </row>
    <row r="8" spans="1:1024" ht="25.5" customHeight="1">
      <c r="A8" s="101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</row>
    <row r="9" spans="1:1024" s="2" customFormat="1" ht="32.25" customHeight="1">
      <c r="A9" s="3"/>
      <c r="B9" s="5"/>
      <c r="C9" s="317" t="s">
        <v>78</v>
      </c>
      <c r="D9" s="317"/>
      <c r="E9" s="317"/>
      <c r="F9" s="317"/>
      <c r="G9" s="317"/>
      <c r="H9" s="317"/>
      <c r="I9" s="317"/>
      <c r="J9" s="317"/>
      <c r="K9" s="317" t="s">
        <v>79</v>
      </c>
      <c r="L9" s="317"/>
      <c r="M9" s="317"/>
      <c r="N9" s="317"/>
      <c r="O9" s="317"/>
      <c r="P9" s="317"/>
      <c r="Q9" s="317"/>
      <c r="R9" s="317"/>
      <c r="S9" s="163"/>
      <c r="T9" s="163"/>
      <c r="U9" s="163"/>
      <c r="V9" s="163"/>
      <c r="W9" s="163"/>
      <c r="X9" s="163"/>
      <c r="Y9" s="163"/>
      <c r="Z9" s="163"/>
      <c r="AMB9" s="8"/>
      <c r="AMC9"/>
      <c r="AMD9"/>
      <c r="AME9"/>
      <c r="AMF9"/>
      <c r="AMG9"/>
      <c r="AMH9"/>
      <c r="AMI9"/>
      <c r="AMJ9"/>
    </row>
    <row r="10" spans="1:1024" s="2" customFormat="1" ht="22.7" customHeight="1">
      <c r="A10" s="3"/>
      <c r="B10" s="5"/>
      <c r="C10" s="312" t="s">
        <v>80</v>
      </c>
      <c r="D10" s="312"/>
      <c r="E10" s="312"/>
      <c r="F10" s="312"/>
      <c r="G10" s="312" t="s">
        <v>81</v>
      </c>
      <c r="H10" s="312"/>
      <c r="I10" s="312"/>
      <c r="J10" s="312"/>
      <c r="K10" s="312" t="s">
        <v>82</v>
      </c>
      <c r="L10" s="312"/>
      <c r="M10" s="312"/>
      <c r="N10" s="312"/>
      <c r="O10" s="312" t="s">
        <v>81</v>
      </c>
      <c r="P10" s="312"/>
      <c r="Q10" s="312"/>
      <c r="R10" s="312"/>
      <c r="S10" s="164"/>
      <c r="T10" s="164"/>
      <c r="U10" s="164"/>
      <c r="V10" s="164"/>
      <c r="W10" s="164"/>
      <c r="X10" s="164"/>
      <c r="Y10" s="164"/>
      <c r="Z10" s="164"/>
      <c r="AMB10" s="8"/>
      <c r="AMC10"/>
      <c r="AMD10"/>
      <c r="AME10"/>
      <c r="AMF10"/>
      <c r="AMG10"/>
      <c r="AMH10"/>
      <c r="AMI10"/>
      <c r="AMJ10"/>
    </row>
    <row r="11" spans="1:1024" s="2" customFormat="1" ht="18.600000000000001" customHeight="1">
      <c r="A11" s="3"/>
      <c r="B11" s="5"/>
      <c r="C11" s="309" t="s">
        <v>18</v>
      </c>
      <c r="D11" s="309"/>
      <c r="E11" s="309" t="s">
        <v>19</v>
      </c>
      <c r="F11" s="309"/>
      <c r="G11" s="309" t="s">
        <v>18</v>
      </c>
      <c r="H11" s="309"/>
      <c r="I11" s="309" t="s">
        <v>19</v>
      </c>
      <c r="J11" s="309"/>
      <c r="K11" s="309" t="s">
        <v>18</v>
      </c>
      <c r="L11" s="309"/>
      <c r="M11" s="309" t="s">
        <v>19</v>
      </c>
      <c r="N11" s="309"/>
      <c r="O11" s="309" t="s">
        <v>18</v>
      </c>
      <c r="P11" s="309"/>
      <c r="Q11" s="309" t="s">
        <v>19</v>
      </c>
      <c r="R11" s="309"/>
      <c r="S11" s="165"/>
      <c r="T11" s="165"/>
      <c r="U11" s="165"/>
      <c r="V11" s="165"/>
      <c r="W11" s="165"/>
      <c r="X11" s="165"/>
      <c r="Y11" s="165"/>
      <c r="Z11" s="165"/>
      <c r="AMB11" s="8"/>
      <c r="AMC11"/>
      <c r="AMD11"/>
      <c r="AME11"/>
      <c r="AMF11"/>
      <c r="AMG11"/>
      <c r="AMH11"/>
      <c r="AMI11"/>
      <c r="AMJ11"/>
    </row>
    <row r="12" spans="1:1024" s="2" customFormat="1" ht="20.25">
      <c r="A12" s="302" t="s">
        <v>20</v>
      </c>
      <c r="B12" s="302"/>
      <c r="C12" s="17" t="s">
        <v>21</v>
      </c>
      <c r="D12" s="17" t="s">
        <v>22</v>
      </c>
      <c r="E12" s="17" t="s">
        <v>21</v>
      </c>
      <c r="F12" s="17" t="s">
        <v>22</v>
      </c>
      <c r="G12" s="17" t="s">
        <v>21</v>
      </c>
      <c r="H12" s="17" t="s">
        <v>22</v>
      </c>
      <c r="I12" s="17" t="s">
        <v>21</v>
      </c>
      <c r="J12" s="17" t="s">
        <v>22</v>
      </c>
      <c r="K12" s="17" t="s">
        <v>21</v>
      </c>
      <c r="L12" s="17" t="s">
        <v>22</v>
      </c>
      <c r="M12" s="17" t="s">
        <v>21</v>
      </c>
      <c r="N12" s="17" t="s">
        <v>22</v>
      </c>
      <c r="O12" s="17" t="s">
        <v>21</v>
      </c>
      <c r="P12" s="17" t="s">
        <v>22</v>
      </c>
      <c r="Q12" s="17" t="s">
        <v>21</v>
      </c>
      <c r="R12" s="17" t="s">
        <v>22</v>
      </c>
      <c r="S12" s="24"/>
      <c r="T12" s="24"/>
      <c r="U12" s="24"/>
      <c r="V12" s="24"/>
      <c r="W12" s="24"/>
      <c r="X12" s="24"/>
      <c r="Y12" s="24"/>
      <c r="Z12" s="24"/>
      <c r="AMB12" s="8"/>
      <c r="AMC12"/>
      <c r="AMD12"/>
      <c r="AME12"/>
      <c r="AMF12"/>
      <c r="AMG12"/>
      <c r="AMH12"/>
      <c r="AMI12"/>
      <c r="AMJ12"/>
    </row>
    <row r="13" spans="1:1024" ht="69.75" customHeight="1">
      <c r="A13" s="75">
        <v>0.27083333333333298</v>
      </c>
      <c r="B13" s="75">
        <v>0.29166666666666702</v>
      </c>
      <c r="C13" s="19">
        <v>1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25"/>
      <c r="T13" s="25"/>
      <c r="U13" s="25"/>
      <c r="V13" s="25"/>
      <c r="W13" s="25"/>
      <c r="X13" s="25"/>
      <c r="Y13" s="25"/>
      <c r="Z13" s="25"/>
    </row>
    <row r="14" spans="1:1024" ht="69.95" customHeight="1">
      <c r="A14" s="75">
        <v>0.29166666666666702</v>
      </c>
      <c r="B14" s="75">
        <v>0.3125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25"/>
      <c r="T14" s="25"/>
      <c r="U14" s="25"/>
      <c r="V14" s="25"/>
      <c r="W14" s="25"/>
      <c r="X14" s="25"/>
      <c r="Y14" s="25"/>
      <c r="Z14" s="25"/>
    </row>
    <row r="15" spans="1:1024" ht="69.95" customHeight="1">
      <c r="A15" s="75">
        <v>0.3125</v>
      </c>
      <c r="B15" s="75">
        <v>0.33333333333333298</v>
      </c>
      <c r="C15" s="19">
        <v>3</v>
      </c>
      <c r="D15" s="19">
        <v>1</v>
      </c>
      <c r="E15" s="19"/>
      <c r="F15" s="19"/>
      <c r="G15" s="19"/>
      <c r="H15" s="19"/>
      <c r="I15" s="19"/>
      <c r="J15" s="19"/>
      <c r="K15" s="19">
        <v>1</v>
      </c>
      <c r="L15" s="19">
        <v>3</v>
      </c>
      <c r="M15" s="19"/>
      <c r="N15" s="19"/>
      <c r="O15" s="19"/>
      <c r="P15" s="19"/>
      <c r="Q15" s="19"/>
      <c r="R15" s="19"/>
      <c r="S15" s="25"/>
      <c r="T15" s="25"/>
      <c r="U15" s="25"/>
      <c r="V15" s="25"/>
      <c r="W15" s="25"/>
      <c r="X15" s="25"/>
      <c r="Y15" s="25"/>
      <c r="Z15" s="25"/>
    </row>
    <row r="16" spans="1:1024" ht="69.95" customHeight="1">
      <c r="A16" s="75">
        <v>0.33333333333333298</v>
      </c>
      <c r="B16" s="75">
        <v>0.35416666666666702</v>
      </c>
      <c r="C16" s="19"/>
      <c r="D16" s="19"/>
      <c r="E16" s="19"/>
      <c r="F16" s="19"/>
      <c r="G16" s="19"/>
      <c r="H16" s="19">
        <v>1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25"/>
      <c r="T16" s="25"/>
      <c r="U16" s="25"/>
      <c r="V16" s="25"/>
      <c r="W16" s="25"/>
      <c r="X16" s="25"/>
      <c r="Y16" s="25"/>
      <c r="Z16" s="25"/>
    </row>
    <row r="17" spans="1:1024" ht="69.95" customHeight="1">
      <c r="A17" s="75">
        <v>0.35416666666666702</v>
      </c>
      <c r="B17" s="75">
        <v>0.375</v>
      </c>
      <c r="C17" s="19"/>
      <c r="D17" s="19">
        <v>5</v>
      </c>
      <c r="E17" s="19"/>
      <c r="F17" s="19"/>
      <c r="G17" s="19"/>
      <c r="H17" s="19"/>
      <c r="I17" s="19"/>
      <c r="J17" s="19"/>
      <c r="K17" s="19"/>
      <c r="L17" s="19">
        <v>1</v>
      </c>
      <c r="M17" s="19">
        <v>2</v>
      </c>
      <c r="N17" s="19"/>
      <c r="O17" s="19"/>
      <c r="P17" s="19"/>
      <c r="Q17" s="19"/>
      <c r="R17" s="19"/>
      <c r="S17" s="25"/>
      <c r="T17" s="25"/>
      <c r="U17" s="25"/>
      <c r="V17" s="25"/>
      <c r="W17" s="25"/>
      <c r="X17" s="25"/>
      <c r="Y17" s="25"/>
      <c r="Z17" s="25"/>
    </row>
    <row r="18" spans="1:1024" ht="12" customHeight="1">
      <c r="A18" s="24"/>
      <c r="B18" s="24"/>
      <c r="C18" s="25"/>
      <c r="D18" s="25"/>
      <c r="E18" s="25"/>
      <c r="F18" s="25"/>
      <c r="G18" s="25"/>
      <c r="H18" s="25"/>
      <c r="I18" s="25"/>
      <c r="J18" s="25"/>
    </row>
    <row r="19" spans="1:1024" s="2" customFormat="1" ht="32.25" customHeight="1">
      <c r="A19" s="3"/>
      <c r="B19" s="5"/>
      <c r="C19" s="317" t="s">
        <v>83</v>
      </c>
      <c r="D19" s="317"/>
      <c r="E19" s="317"/>
      <c r="F19" s="317"/>
      <c r="G19" s="317"/>
      <c r="H19" s="317"/>
      <c r="I19" s="317"/>
      <c r="J19" s="317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MB19" s="8"/>
      <c r="AMC19"/>
      <c r="AMD19"/>
      <c r="AME19"/>
      <c r="AMF19"/>
      <c r="AMG19"/>
      <c r="AMH19"/>
      <c r="AMI19"/>
      <c r="AMJ19"/>
    </row>
    <row r="20" spans="1:1024" s="2" customFormat="1" ht="22.7" customHeight="1">
      <c r="A20" s="3"/>
      <c r="B20" s="5"/>
      <c r="C20" s="312" t="s">
        <v>84</v>
      </c>
      <c r="D20" s="312"/>
      <c r="E20" s="312"/>
      <c r="F20" s="312"/>
      <c r="G20" s="312" t="s">
        <v>82</v>
      </c>
      <c r="H20" s="312"/>
      <c r="I20" s="312"/>
      <c r="J20" s="312"/>
      <c r="K20" s="163"/>
      <c r="L20" s="163"/>
      <c r="M20" s="163"/>
      <c r="N20" s="163"/>
      <c r="O20" s="163"/>
      <c r="P20" s="163"/>
      <c r="Q20" s="163"/>
      <c r="R20" s="163"/>
      <c r="S20" s="164"/>
      <c r="T20" s="164"/>
      <c r="U20" s="164"/>
      <c r="V20" s="164"/>
      <c r="W20" s="164"/>
      <c r="X20" s="164"/>
      <c r="Y20" s="164"/>
      <c r="Z20" s="164"/>
      <c r="AMB20" s="8"/>
      <c r="AMC20"/>
      <c r="AMD20"/>
      <c r="AME20"/>
      <c r="AMF20"/>
      <c r="AMG20"/>
      <c r="AMH20"/>
      <c r="AMI20"/>
      <c r="AMJ20"/>
    </row>
    <row r="21" spans="1:1024" s="2" customFormat="1" ht="18.600000000000001" customHeight="1">
      <c r="A21" s="3"/>
      <c r="B21" s="5"/>
      <c r="C21" s="309" t="s">
        <v>18</v>
      </c>
      <c r="D21" s="309"/>
      <c r="E21" s="309" t="s">
        <v>19</v>
      </c>
      <c r="F21" s="309"/>
      <c r="G21" s="309" t="s">
        <v>18</v>
      </c>
      <c r="H21" s="309"/>
      <c r="I21" s="309" t="s">
        <v>19</v>
      </c>
      <c r="J21" s="309"/>
      <c r="K21" s="163"/>
      <c r="L21" s="163"/>
      <c r="M21" s="163"/>
      <c r="N21" s="163"/>
      <c r="O21" s="163"/>
      <c r="P21" s="163"/>
      <c r="Q21" s="163"/>
      <c r="R21" s="163"/>
      <c r="S21" s="165"/>
      <c r="T21" s="165"/>
      <c r="U21" s="165"/>
      <c r="V21" s="165"/>
      <c r="W21" s="165"/>
      <c r="X21" s="165"/>
      <c r="Y21" s="165"/>
      <c r="Z21" s="165"/>
      <c r="AMB21" s="8"/>
      <c r="AMC21"/>
      <c r="AMD21"/>
      <c r="AME21"/>
      <c r="AMF21"/>
      <c r="AMG21"/>
      <c r="AMH21"/>
      <c r="AMI21"/>
      <c r="AMJ21"/>
    </row>
    <row r="22" spans="1:1024" s="2" customFormat="1" ht="30">
      <c r="A22" s="302" t="s">
        <v>20</v>
      </c>
      <c r="B22" s="302"/>
      <c r="C22" s="17" t="s">
        <v>21</v>
      </c>
      <c r="D22" s="17" t="s">
        <v>22</v>
      </c>
      <c r="E22" s="17" t="s">
        <v>21</v>
      </c>
      <c r="F22" s="17" t="s">
        <v>22</v>
      </c>
      <c r="G22" s="17" t="s">
        <v>21</v>
      </c>
      <c r="H22" s="17" t="s">
        <v>22</v>
      </c>
      <c r="I22" s="17" t="s">
        <v>21</v>
      </c>
      <c r="J22" s="17" t="s">
        <v>22</v>
      </c>
      <c r="K22" s="163"/>
      <c r="L22" s="163"/>
      <c r="M22" s="163"/>
      <c r="N22" s="163"/>
      <c r="O22" s="163"/>
      <c r="P22" s="163"/>
      <c r="Q22" s="163"/>
      <c r="R22" s="163"/>
      <c r="S22" s="24"/>
      <c r="T22" s="24"/>
      <c r="U22" s="24"/>
      <c r="V22" s="24"/>
      <c r="W22" s="24"/>
      <c r="X22" s="24"/>
      <c r="Y22" s="24"/>
      <c r="Z22" s="24"/>
      <c r="AMB22" s="8"/>
      <c r="AMC22"/>
      <c r="AMD22"/>
      <c r="AME22"/>
      <c r="AMF22"/>
      <c r="AMG22"/>
      <c r="AMH22"/>
      <c r="AMI22"/>
      <c r="AMJ22"/>
    </row>
    <row r="23" spans="1:1024" ht="69.95" customHeight="1">
      <c r="A23" s="75">
        <v>0.27083333333333298</v>
      </c>
      <c r="B23" s="75">
        <v>0.29166666666666702</v>
      </c>
      <c r="C23" s="19"/>
      <c r="D23" s="19"/>
      <c r="E23" s="19"/>
      <c r="F23" s="19"/>
      <c r="G23" s="19">
        <v>1</v>
      </c>
      <c r="H23" s="19"/>
      <c r="I23" s="19"/>
      <c r="J23" s="19"/>
      <c r="K23" s="163"/>
      <c r="L23" s="163"/>
      <c r="M23" s="163"/>
      <c r="N23" s="163"/>
      <c r="O23" s="163"/>
      <c r="P23" s="163"/>
      <c r="Q23" s="163"/>
      <c r="R23" s="163"/>
      <c r="S23" s="25"/>
      <c r="T23" s="25"/>
      <c r="U23" s="25"/>
      <c r="V23" s="25"/>
      <c r="W23" s="25"/>
      <c r="X23" s="25"/>
      <c r="Y23" s="25"/>
      <c r="Z23" s="25"/>
    </row>
    <row r="24" spans="1:1024" ht="69.95" customHeight="1">
      <c r="A24" s="75">
        <v>0.29166666666666702</v>
      </c>
      <c r="B24" s="75">
        <v>0.3125</v>
      </c>
      <c r="C24" s="19"/>
      <c r="D24" s="19"/>
      <c r="E24" s="19"/>
      <c r="F24" s="19"/>
      <c r="G24" s="19">
        <v>1</v>
      </c>
      <c r="H24" s="19"/>
      <c r="I24" s="19"/>
      <c r="J24" s="19"/>
      <c r="K24" s="163"/>
      <c r="L24" s="163"/>
      <c r="M24" s="163"/>
      <c r="N24" s="163"/>
      <c r="O24" s="163"/>
      <c r="P24" s="163"/>
      <c r="Q24" s="163"/>
      <c r="R24" s="163"/>
      <c r="S24" s="25"/>
      <c r="T24" s="25"/>
      <c r="U24" s="25"/>
      <c r="V24" s="25"/>
      <c r="W24" s="25"/>
      <c r="X24" s="25"/>
      <c r="Y24" s="25"/>
      <c r="Z24" s="25"/>
    </row>
    <row r="25" spans="1:1024" ht="69.95" customHeight="1">
      <c r="A25" s="75">
        <v>0.3125</v>
      </c>
      <c r="B25" s="75">
        <v>0.33333333333333298</v>
      </c>
      <c r="C25" s="19">
        <v>1</v>
      </c>
      <c r="D25" s="19"/>
      <c r="E25" s="19"/>
      <c r="F25" s="19"/>
      <c r="G25" s="19">
        <v>1</v>
      </c>
      <c r="H25" s="19"/>
      <c r="I25" s="19"/>
      <c r="J25" s="19"/>
      <c r="K25" s="163"/>
      <c r="L25" s="163"/>
      <c r="M25" s="166" t="s">
        <v>85</v>
      </c>
      <c r="N25" s="163"/>
      <c r="O25" s="163"/>
      <c r="P25" s="163"/>
      <c r="Q25" s="163"/>
      <c r="R25" s="163"/>
      <c r="S25" s="25"/>
      <c r="T25" s="25"/>
      <c r="U25" s="25"/>
      <c r="V25" s="25"/>
      <c r="W25" s="25"/>
      <c r="X25" s="25"/>
      <c r="Y25" s="25"/>
      <c r="Z25" s="25"/>
    </row>
    <row r="26" spans="1:1024" ht="69.95" customHeight="1">
      <c r="A26" s="75">
        <v>0.33333333333333298</v>
      </c>
      <c r="B26" s="75">
        <v>0.35416666666666702</v>
      </c>
      <c r="C26" s="19"/>
      <c r="D26" s="19"/>
      <c r="E26" s="19"/>
      <c r="F26" s="19"/>
      <c r="G26" s="19"/>
      <c r="H26" s="19"/>
      <c r="I26" s="19"/>
      <c r="J26" s="19"/>
      <c r="K26" s="163"/>
      <c r="L26" s="163"/>
      <c r="M26" s="166" t="s">
        <v>86</v>
      </c>
      <c r="N26" s="163"/>
      <c r="O26" s="163"/>
      <c r="P26" s="163"/>
      <c r="Q26" s="163"/>
      <c r="R26" s="163"/>
      <c r="S26" s="25"/>
      <c r="T26" s="25"/>
      <c r="U26" s="25"/>
      <c r="V26" s="25"/>
      <c r="W26" s="25"/>
      <c r="X26" s="25"/>
      <c r="Y26" s="25"/>
      <c r="Z26" s="25"/>
    </row>
    <row r="27" spans="1:1024" ht="69.95" customHeight="1">
      <c r="A27" s="75">
        <v>0.35416666666666702</v>
      </c>
      <c r="B27" s="75">
        <v>0.375</v>
      </c>
      <c r="C27" s="19">
        <v>1</v>
      </c>
      <c r="D27" s="19"/>
      <c r="E27" s="19"/>
      <c r="F27" s="19"/>
      <c r="G27" s="19">
        <v>1</v>
      </c>
      <c r="H27" s="19"/>
      <c r="I27" s="19">
        <v>2</v>
      </c>
      <c r="J27" s="19"/>
      <c r="K27" s="163"/>
      <c r="L27" s="163"/>
      <c r="M27" s="166" t="s">
        <v>87</v>
      </c>
      <c r="N27" s="163"/>
      <c r="O27" s="163"/>
      <c r="P27" s="163"/>
      <c r="Q27" s="163"/>
      <c r="R27" s="163"/>
      <c r="S27" s="25"/>
      <c r="T27" s="25"/>
      <c r="U27" s="25"/>
      <c r="V27" s="25"/>
      <c r="W27" s="25"/>
      <c r="X27" s="25"/>
      <c r="Y27" s="25"/>
      <c r="Z27" s="25"/>
    </row>
    <row r="28" spans="1:1024" ht="12" customHeight="1">
      <c r="A28" s="24"/>
      <c r="B28" s="24"/>
      <c r="C28" s="25"/>
      <c r="D28" s="25"/>
      <c r="E28" s="25"/>
      <c r="F28" s="25"/>
      <c r="G28" s="25"/>
      <c r="H28" s="25"/>
      <c r="I28" s="25"/>
      <c r="J28" s="25"/>
    </row>
    <row r="29" spans="1:1024" s="23" customFormat="1" ht="38.1" customHeight="1">
      <c r="A29" s="20"/>
      <c r="B29" s="21" t="s">
        <v>23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167"/>
      <c r="N29" s="22"/>
      <c r="O29" s="22"/>
      <c r="P29" s="80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MC29" s="1"/>
      <c r="AMD29" s="1"/>
      <c r="AME29" s="1"/>
      <c r="AMF29" s="1"/>
      <c r="AMG29" s="1"/>
      <c r="AMH29" s="1"/>
      <c r="AMI29"/>
      <c r="AMJ29"/>
    </row>
    <row r="30" spans="1:1024" s="23" customFormat="1" ht="38.1" customHeight="1">
      <c r="A30" s="20"/>
      <c r="B30" s="21" t="s">
        <v>24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67"/>
      <c r="N30" s="22"/>
      <c r="O30" s="22"/>
      <c r="P30" s="80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MC30" s="1"/>
      <c r="AMD30" s="1"/>
      <c r="AME30" s="1"/>
      <c r="AMF30" s="1"/>
      <c r="AMG30" s="1"/>
      <c r="AMH30" s="1"/>
      <c r="AMI30"/>
      <c r="AMJ30"/>
    </row>
    <row r="31" spans="1:1024" s="23" customFormat="1" ht="38.1" customHeight="1">
      <c r="A31" s="20"/>
      <c r="B31" s="21" t="s">
        <v>25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167"/>
      <c r="N31" s="22"/>
      <c r="O31" s="22"/>
      <c r="P31" s="80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MC31" s="1"/>
      <c r="AMD31" s="1"/>
      <c r="AME31" s="1"/>
      <c r="AMF31" s="1"/>
      <c r="AMG31" s="1"/>
      <c r="AMH31" s="1"/>
      <c r="AMI31"/>
      <c r="AMJ31"/>
    </row>
    <row r="32" spans="1:1024" s="23" customFormat="1" ht="38.1" customHeight="1">
      <c r="A32" s="20">
        <v>6</v>
      </c>
      <c r="B32" s="21" t="s">
        <v>26</v>
      </c>
      <c r="C32" s="22"/>
      <c r="D32" s="22"/>
      <c r="E32" s="22"/>
      <c r="F32" s="168">
        <v>6</v>
      </c>
      <c r="G32" s="22"/>
      <c r="H32" s="22"/>
      <c r="I32" s="22"/>
      <c r="J32" s="22"/>
      <c r="K32" s="22"/>
      <c r="L32" s="22"/>
      <c r="M32" s="167"/>
      <c r="N32" s="22"/>
      <c r="O32" s="22"/>
      <c r="P32" s="80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MC32" s="1"/>
      <c r="AMD32" s="1"/>
      <c r="AME32" s="1"/>
      <c r="AMF32" s="1"/>
      <c r="AMG32" s="1"/>
      <c r="AMH32" s="1"/>
      <c r="AMI32"/>
      <c r="AMJ32"/>
    </row>
    <row r="33" spans="1:21" ht="20.25">
      <c r="A33" s="105"/>
      <c r="B33" s="5"/>
      <c r="C33" s="5"/>
      <c r="D33" s="5"/>
      <c r="E33" s="5"/>
      <c r="F33" s="5"/>
      <c r="G33" s="5"/>
      <c r="H33" s="5"/>
      <c r="I33" s="5"/>
      <c r="J33" s="5"/>
    </row>
    <row r="34" spans="1:21" ht="20.25" customHeight="1">
      <c r="K34" s="14"/>
      <c r="L34" s="15"/>
      <c r="M34" s="305" t="s">
        <v>27</v>
      </c>
      <c r="N34" s="319" t="s">
        <v>28</v>
      </c>
      <c r="O34" s="316" t="s">
        <v>29</v>
      </c>
      <c r="P34" s="316" t="s">
        <v>30</v>
      </c>
      <c r="Q34" s="31"/>
      <c r="R34" s="306" t="s">
        <v>33</v>
      </c>
      <c r="S34" s="306" t="s">
        <v>24</v>
      </c>
      <c r="T34" s="306" t="s">
        <v>34</v>
      </c>
      <c r="U34" s="306" t="s">
        <v>32</v>
      </c>
    </row>
    <row r="35" spans="1:21" ht="20.25">
      <c r="K35" s="14"/>
      <c r="L35" s="15"/>
      <c r="M35" s="305"/>
      <c r="N35" s="319"/>
      <c r="O35" s="316"/>
      <c r="P35" s="316"/>
      <c r="Q35" s="31"/>
      <c r="R35" s="306"/>
      <c r="S35" s="306"/>
      <c r="T35" s="306"/>
      <c r="U35" s="306"/>
    </row>
    <row r="36" spans="1:21" ht="20.25" customHeight="1">
      <c r="A36" s="14"/>
      <c r="B36" s="15"/>
      <c r="C36" s="309" t="s">
        <v>18</v>
      </c>
      <c r="D36" s="309"/>
      <c r="E36" s="309" t="s">
        <v>19</v>
      </c>
      <c r="F36" s="309"/>
      <c r="K36" s="62"/>
      <c r="L36" s="15"/>
      <c r="M36" s="305"/>
      <c r="N36" s="319"/>
      <c r="O36" s="316"/>
      <c r="P36" s="316"/>
      <c r="Q36" s="31"/>
      <c r="R36" s="306"/>
      <c r="S36" s="306"/>
      <c r="T36" s="306"/>
      <c r="U36" s="306"/>
    </row>
    <row r="37" spans="1:21" ht="21" customHeight="1">
      <c r="A37" s="302" t="s">
        <v>20</v>
      </c>
      <c r="B37" s="302"/>
      <c r="C37" s="17" t="s">
        <v>21</v>
      </c>
      <c r="D37" s="17" t="s">
        <v>22</v>
      </c>
      <c r="E37" s="17" t="s">
        <v>21</v>
      </c>
      <c r="F37" s="17" t="s">
        <v>22</v>
      </c>
      <c r="K37" s="302" t="s">
        <v>20</v>
      </c>
      <c r="L37" s="302"/>
      <c r="M37" s="305"/>
      <c r="N37" s="319"/>
      <c r="O37" s="316"/>
      <c r="P37" s="316"/>
      <c r="Q37" s="31"/>
      <c r="R37" s="306"/>
      <c r="S37" s="306"/>
      <c r="T37" s="306"/>
      <c r="U37" s="306"/>
    </row>
    <row r="38" spans="1:21" ht="35.1" customHeight="1">
      <c r="A38" s="302" t="s">
        <v>35</v>
      </c>
      <c r="B38" s="302"/>
      <c r="C38" s="19">
        <f t="shared" ref="C38:F42" si="0">C13+G13+K13+O13+C23+G23</f>
        <v>2</v>
      </c>
      <c r="D38" s="19">
        <f t="shared" si="0"/>
        <v>0</v>
      </c>
      <c r="E38" s="19">
        <f t="shared" si="0"/>
        <v>0</v>
      </c>
      <c r="F38" s="19">
        <f t="shared" si="0"/>
        <v>0</v>
      </c>
      <c r="K38" s="302" t="str">
        <f>A38</f>
        <v>6:30 à 7:00</v>
      </c>
      <c r="L38" s="302"/>
      <c r="M38" s="63">
        <f t="shared" ref="M38:M43" si="1">SUM(C38:J38)</f>
        <v>2</v>
      </c>
      <c r="N38" s="36">
        <f>C38+E38</f>
        <v>2</v>
      </c>
      <c r="O38" s="36">
        <f>E38+F38</f>
        <v>0</v>
      </c>
      <c r="P38" s="36">
        <f>F38</f>
        <v>0</v>
      </c>
      <c r="Q38" s="36">
        <f>SUM(G38:J38)</f>
        <v>0</v>
      </c>
      <c r="R38" s="139"/>
      <c r="S38" s="87"/>
      <c r="T38" s="87"/>
      <c r="U38" s="59"/>
    </row>
    <row r="39" spans="1:21" ht="35.1" customHeight="1">
      <c r="A39" s="302" t="s">
        <v>36</v>
      </c>
      <c r="B39" s="302"/>
      <c r="C39" s="19">
        <f t="shared" si="0"/>
        <v>1</v>
      </c>
      <c r="D39" s="19">
        <f t="shared" si="0"/>
        <v>0</v>
      </c>
      <c r="E39" s="19">
        <f t="shared" si="0"/>
        <v>0</v>
      </c>
      <c r="F39" s="19">
        <f t="shared" si="0"/>
        <v>0</v>
      </c>
      <c r="K39" s="302" t="str">
        <f>A39</f>
        <v>7:00 à 7:30</v>
      </c>
      <c r="L39" s="302"/>
      <c r="M39" s="63">
        <f t="shared" si="1"/>
        <v>1</v>
      </c>
      <c r="N39" s="36">
        <f>C39+E39</f>
        <v>1</v>
      </c>
      <c r="O39" s="36">
        <f>E39+F39</f>
        <v>0</v>
      </c>
      <c r="P39" s="36">
        <f>F39</f>
        <v>0</v>
      </c>
      <c r="Q39" s="36">
        <f>SUM(G39:J39)</f>
        <v>0</v>
      </c>
      <c r="R39" s="86"/>
      <c r="S39" s="87"/>
      <c r="T39" s="87"/>
      <c r="U39" s="59"/>
    </row>
    <row r="40" spans="1:21" ht="35.1" customHeight="1">
      <c r="A40" s="302" t="s">
        <v>37</v>
      </c>
      <c r="B40" s="302"/>
      <c r="C40" s="19">
        <f t="shared" si="0"/>
        <v>6</v>
      </c>
      <c r="D40" s="19">
        <f t="shared" si="0"/>
        <v>4</v>
      </c>
      <c r="E40" s="19">
        <f t="shared" si="0"/>
        <v>0</v>
      </c>
      <c r="F40" s="19">
        <f t="shared" si="0"/>
        <v>0</v>
      </c>
      <c r="K40" s="302" t="str">
        <f>A40</f>
        <v>7:30 à 8:00</v>
      </c>
      <c r="L40" s="302"/>
      <c r="M40" s="63">
        <f t="shared" si="1"/>
        <v>10</v>
      </c>
      <c r="N40" s="36">
        <f>C40+E40</f>
        <v>6</v>
      </c>
      <c r="O40" s="36">
        <f>E40+F40</f>
        <v>0</v>
      </c>
      <c r="P40" s="36">
        <f>F40</f>
        <v>0</v>
      </c>
      <c r="Q40" s="36">
        <f>SUM(G40:J40)</f>
        <v>0</v>
      </c>
      <c r="R40" s="86"/>
      <c r="S40" s="87"/>
      <c r="T40" s="87"/>
      <c r="U40" s="59"/>
    </row>
    <row r="41" spans="1:21" ht="35.1" customHeight="1">
      <c r="A41" s="302" t="s">
        <v>38</v>
      </c>
      <c r="B41" s="302"/>
      <c r="C41" s="19">
        <f t="shared" si="0"/>
        <v>0</v>
      </c>
      <c r="D41" s="19">
        <f t="shared" si="0"/>
        <v>1</v>
      </c>
      <c r="E41" s="19">
        <f t="shared" si="0"/>
        <v>0</v>
      </c>
      <c r="F41" s="19">
        <f t="shared" si="0"/>
        <v>0</v>
      </c>
      <c r="K41" s="302" t="str">
        <f>A41</f>
        <v>8:00 à 8:30</v>
      </c>
      <c r="L41" s="302"/>
      <c r="M41" s="63">
        <f t="shared" si="1"/>
        <v>1</v>
      </c>
      <c r="N41" s="36">
        <f>C41+E41</f>
        <v>0</v>
      </c>
      <c r="O41" s="36">
        <f>E41+F41</f>
        <v>0</v>
      </c>
      <c r="P41" s="36">
        <f>F41</f>
        <v>0</v>
      </c>
      <c r="Q41" s="36">
        <f>SUM(G41:J41)</f>
        <v>0</v>
      </c>
      <c r="R41" s="88"/>
      <c r="S41" s="87"/>
      <c r="T41" s="87"/>
      <c r="U41" s="59"/>
    </row>
    <row r="42" spans="1:21" ht="35.1" customHeight="1">
      <c r="A42" s="302" t="s">
        <v>39</v>
      </c>
      <c r="B42" s="302"/>
      <c r="C42" s="19">
        <f t="shared" si="0"/>
        <v>2</v>
      </c>
      <c r="D42" s="19">
        <f t="shared" si="0"/>
        <v>6</v>
      </c>
      <c r="E42" s="19">
        <f t="shared" si="0"/>
        <v>4</v>
      </c>
      <c r="F42" s="19">
        <f t="shared" si="0"/>
        <v>0</v>
      </c>
      <c r="K42" s="302" t="str">
        <f>A42</f>
        <v>8:30 à 9:00</v>
      </c>
      <c r="L42" s="302"/>
      <c r="M42" s="63">
        <f t="shared" si="1"/>
        <v>12</v>
      </c>
      <c r="N42" s="36">
        <f>C42+E42</f>
        <v>6</v>
      </c>
      <c r="O42" s="36">
        <f>E42+F42</f>
        <v>4</v>
      </c>
      <c r="P42" s="36">
        <f>F42</f>
        <v>0</v>
      </c>
      <c r="Q42" s="36">
        <f>SUM(G42:J42)</f>
        <v>0</v>
      </c>
      <c r="R42" s="89"/>
      <c r="S42" s="87"/>
      <c r="T42" s="87"/>
      <c r="U42" s="59"/>
    </row>
    <row r="43" spans="1:21" ht="35.1" customHeight="1">
      <c r="A43" s="302" t="s">
        <v>27</v>
      </c>
      <c r="B43" s="302"/>
      <c r="C43" s="90">
        <f>SUM(C38:C42)</f>
        <v>11</v>
      </c>
      <c r="D43" s="90">
        <f>SUM(D38:D42)</f>
        <v>11</v>
      </c>
      <c r="E43" s="90">
        <f>SUM(E38:E42)</f>
        <v>4</v>
      </c>
      <c r="F43" s="90">
        <f>SUM(F38:F42)</f>
        <v>0</v>
      </c>
      <c r="K43" s="318" t="s">
        <v>27</v>
      </c>
      <c r="L43" s="318"/>
      <c r="M43" s="40">
        <f t="shared" si="1"/>
        <v>26</v>
      </c>
      <c r="N43" s="41">
        <f>N42+N41+N40+N39+N38</f>
        <v>15</v>
      </c>
      <c r="O43" s="41">
        <f>O42+O41+O40+O39+O38</f>
        <v>4</v>
      </c>
      <c r="P43" s="41">
        <f>P42+P41+P40+P39+P38</f>
        <v>0</v>
      </c>
      <c r="Q43" s="41">
        <f>Q42+Q40+Q38</f>
        <v>0</v>
      </c>
      <c r="R43" s="40">
        <f>A29</f>
        <v>0</v>
      </c>
      <c r="S43" s="40">
        <f>A30</f>
        <v>0</v>
      </c>
      <c r="T43" s="40">
        <f>A31</f>
        <v>0</v>
      </c>
      <c r="U43" s="40">
        <f>A32</f>
        <v>6</v>
      </c>
    </row>
    <row r="44" spans="1:21" ht="35.1" customHeight="1">
      <c r="A44" s="42"/>
      <c r="B44" s="42"/>
      <c r="C44" s="94"/>
      <c r="D44" s="94"/>
      <c r="E44" s="94"/>
      <c r="F44" s="94"/>
      <c r="K44" s="45"/>
      <c r="L44" s="46"/>
      <c r="M44" s="47"/>
      <c r="N44" s="47"/>
      <c r="O44" s="47"/>
      <c r="P44" s="47"/>
      <c r="Q44" s="45"/>
      <c r="R44" s="95"/>
      <c r="S44" s="49"/>
      <c r="T44" s="49"/>
      <c r="U44" s="49"/>
    </row>
    <row r="45" spans="1:21" ht="35.1" customHeight="1">
      <c r="A45" s="42"/>
      <c r="B45" s="42"/>
      <c r="C45" s="94"/>
      <c r="D45" s="94"/>
      <c r="E45" s="94"/>
      <c r="F45" s="94"/>
      <c r="K45" s="52"/>
      <c r="L45" s="53"/>
      <c r="M45" s="54"/>
      <c r="N45" s="54"/>
      <c r="O45" s="54"/>
      <c r="P45" s="54"/>
      <c r="Q45" s="52"/>
      <c r="R45" s="95"/>
      <c r="S45" s="49"/>
      <c r="T45" s="49"/>
      <c r="U45" s="49"/>
    </row>
    <row r="46" spans="1:21" ht="35.1" customHeight="1">
      <c r="A46" s="42"/>
      <c r="B46" s="42"/>
      <c r="C46" s="94"/>
      <c r="D46" s="94"/>
      <c r="E46" s="94"/>
      <c r="F46" s="94"/>
      <c r="K46" s="308"/>
      <c r="L46" s="308"/>
      <c r="M46" s="56"/>
      <c r="N46" s="56"/>
      <c r="O46" s="56"/>
      <c r="P46" s="56"/>
      <c r="Q46" s="106"/>
      <c r="R46" s="95"/>
      <c r="S46" s="49"/>
      <c r="T46" s="49"/>
      <c r="U46" s="49"/>
    </row>
    <row r="47" spans="1:21" ht="35.1" customHeight="1">
      <c r="A47" s="57"/>
      <c r="B47" s="58"/>
      <c r="C47" s="58"/>
      <c r="D47" s="58"/>
      <c r="E47" s="58"/>
      <c r="F47" s="58"/>
      <c r="G47" s="58"/>
      <c r="H47" s="58"/>
      <c r="I47" s="58"/>
      <c r="J47" s="44" t="s">
        <v>40</v>
      </c>
      <c r="K47" s="302" t="str">
        <f>IF($M$42=MAX($M$38:$M$42),K42,IF($M$41=MAX($M$38:$M$42),K41,IF($M$40=MAX($M$38:$M$42),K40,IF($M$39=MAX($M$38:$M$42),K39,IF($M$38=MAX($M$38:$M$42),K38,K42)))))</f>
        <v>8:30 à 9:00</v>
      </c>
      <c r="L47" s="302"/>
      <c r="M47" s="33">
        <f>IF($M$42=MAX($M$38:$M$42),M42,IF($M$41=MAX($M$38:$M$42),M41,IF($M$40=MAX($M$38:$M$42),M40,IF($M$39=MAX($M$38:$M$42),M39,IF($M$38=MAX($M$38:$M$42),M38,M42)))))</f>
        <v>12</v>
      </c>
      <c r="N47" s="169">
        <f>IF($M$42=MAX($M$38:$M$42),N42,IF($M$41=MAX($M$38:$M$42),N41,IF($M$40=MAX($M$38:$M$42),N40,IF($M$39=MAX($M$38:$M$42),N39,IF($M$38=MAX($M$38:$M$42),N38,N42)))))</f>
        <v>6</v>
      </c>
      <c r="O47" s="169">
        <f>IF($M$42=MAX($M$38:$M$42),O42,IF($M$41=MAX($M$38:$M$42),O41,IF($M$40=MAX($M$38:$M$42),O40,IF($M$39=MAX($M$38:$M$42),O39,IF($M$38=MAX($M$38:$M$42),O38,O42)))))</f>
        <v>4</v>
      </c>
      <c r="P47" s="169">
        <f>IF($M$42=MAX($M$38:$M$42),P42,IF($M$41=MAX($M$38:$M$42),P41,IF($M$40=MAX($M$38:$M$42),P40,IF($M$39=MAX($M$38:$M$42),P39,IF($M$38=MAX($M$38:$M$42),P38,P42)))))</f>
        <v>0</v>
      </c>
      <c r="Q47" s="169">
        <f>IF($M$42=MAX($M$38:$M$42),Q42,IF($M$41=MAX($M$38:$M$42),Q41,IF($M$40=MAX($M$38:$M$42),Q40,IF($M$39=MAX($M$38:$M$42),Q39,IF($M$38=MAX($M$38:$M$42),Q38,Q42)))))</f>
        <v>0</v>
      </c>
      <c r="R47" s="88"/>
    </row>
    <row r="48" spans="1:21" ht="24.95" customHeight="1">
      <c r="A48" s="96"/>
      <c r="B48" s="59"/>
      <c r="C48" s="59"/>
      <c r="D48" s="59"/>
      <c r="E48" s="59"/>
      <c r="F48" s="59"/>
      <c r="G48" s="59"/>
      <c r="H48" s="59"/>
      <c r="I48" s="59"/>
      <c r="J48" s="59"/>
      <c r="K48" s="14"/>
      <c r="L48" s="15"/>
      <c r="M48" s="305" t="s">
        <v>27</v>
      </c>
      <c r="N48" s="306" t="s">
        <v>42</v>
      </c>
      <c r="O48" s="306" t="s">
        <v>43</v>
      </c>
      <c r="P48" s="306" t="s">
        <v>44</v>
      </c>
      <c r="Q48" s="306">
        <f>Q34</f>
        <v>0</v>
      </c>
      <c r="R48" s="306" t="s">
        <v>61</v>
      </c>
    </row>
    <row r="49" spans="1:18" ht="24.95" customHeight="1">
      <c r="A49" s="96"/>
      <c r="B49" s="59"/>
      <c r="C49" s="59"/>
      <c r="D49" s="59"/>
      <c r="E49" s="59"/>
      <c r="F49" s="59"/>
      <c r="G49" s="59"/>
      <c r="H49" s="59"/>
      <c r="I49" s="59"/>
      <c r="J49" s="59"/>
      <c r="K49" s="14"/>
      <c r="L49" s="15"/>
      <c r="M49" s="305"/>
      <c r="N49" s="306"/>
      <c r="O49" s="306"/>
      <c r="P49" s="306"/>
      <c r="Q49" s="306"/>
      <c r="R49" s="306"/>
    </row>
    <row r="50" spans="1:18" ht="24.95" customHeight="1">
      <c r="A50" s="96"/>
      <c r="B50" s="59"/>
      <c r="C50" s="59"/>
      <c r="D50" s="59"/>
      <c r="E50" s="59"/>
      <c r="F50" s="59"/>
      <c r="G50" s="59"/>
      <c r="H50" s="59"/>
      <c r="I50" s="59"/>
      <c r="J50" s="59"/>
      <c r="K50" s="62"/>
      <c r="L50" s="15"/>
      <c r="M50" s="305"/>
      <c r="N50" s="306"/>
      <c r="O50" s="306"/>
      <c r="P50" s="306"/>
      <c r="Q50" s="306"/>
      <c r="R50" s="306"/>
    </row>
    <row r="51" spans="1:18" ht="35.1" customHeight="1">
      <c r="A51" s="96"/>
      <c r="B51" s="59"/>
      <c r="C51" s="59"/>
      <c r="D51" s="59"/>
      <c r="E51" s="59"/>
      <c r="F51" s="59"/>
      <c r="G51" s="59"/>
      <c r="H51" s="59"/>
      <c r="I51" s="59"/>
      <c r="J51" s="59"/>
      <c r="K51" s="302" t="s">
        <v>20</v>
      </c>
      <c r="L51" s="302"/>
      <c r="M51" s="305"/>
      <c r="N51" s="306"/>
      <c r="O51" s="306"/>
      <c r="P51" s="306"/>
      <c r="Q51" s="306"/>
      <c r="R51" s="306"/>
    </row>
    <row r="52" spans="1:18" ht="35.1" customHeight="1">
      <c r="A52" s="96"/>
      <c r="B52" s="59"/>
      <c r="C52" s="59"/>
      <c r="D52" s="59"/>
      <c r="E52" s="59"/>
      <c r="F52" s="59"/>
      <c r="G52" s="59"/>
      <c r="H52" s="59"/>
      <c r="I52" s="59"/>
      <c r="J52" s="59"/>
      <c r="K52" s="302" t="str">
        <f>K38</f>
        <v>6:30 à 7:00</v>
      </c>
      <c r="L52" s="302"/>
      <c r="M52" s="63"/>
      <c r="N52" s="64">
        <f>IF(N38=0,0,N38/M38)</f>
        <v>1</v>
      </c>
      <c r="O52" s="64">
        <f>IF(O38=0,0,O38/M38)</f>
        <v>0</v>
      </c>
      <c r="P52" s="64">
        <f>IF(P38=0,0,P38/N38)</f>
        <v>0</v>
      </c>
      <c r="Q52" s="64">
        <f>IF(Q38=0,0,Q38/M38)</f>
        <v>0</v>
      </c>
      <c r="R52" s="88"/>
    </row>
    <row r="53" spans="1:18" ht="35.1" customHeight="1">
      <c r="A53" s="96"/>
      <c r="B53" s="59"/>
      <c r="C53" s="59"/>
      <c r="D53" s="59"/>
      <c r="E53" s="59"/>
      <c r="F53" s="59"/>
      <c r="G53" s="59"/>
      <c r="H53" s="59"/>
      <c r="I53" s="59"/>
      <c r="J53" s="59"/>
      <c r="K53" s="302" t="str">
        <f>K39</f>
        <v>7:00 à 7:30</v>
      </c>
      <c r="L53" s="302"/>
      <c r="M53" s="63"/>
      <c r="N53" s="64">
        <f>IF(N40=0,0,N40/M40)</f>
        <v>0.6</v>
      </c>
      <c r="O53" s="64">
        <f>IF(O40=0,0,O40/M40)</f>
        <v>0</v>
      </c>
      <c r="P53" s="64">
        <f>IF(P40=0,0,P40/N40)</f>
        <v>0</v>
      </c>
      <c r="Q53" s="64">
        <f>IF(Q40=0,0,Q40/M40)</f>
        <v>0</v>
      </c>
      <c r="R53" s="88"/>
    </row>
    <row r="54" spans="1:18" ht="35.1" customHeight="1">
      <c r="A54" s="96"/>
      <c r="B54" s="59"/>
      <c r="C54" s="59"/>
      <c r="D54" s="59"/>
      <c r="E54" s="59"/>
      <c r="F54" s="59"/>
      <c r="G54" s="59"/>
      <c r="H54" s="59"/>
      <c r="I54" s="59"/>
      <c r="J54" s="59"/>
      <c r="K54" s="302" t="str">
        <f>K40</f>
        <v>7:30 à 8:00</v>
      </c>
      <c r="L54" s="302"/>
      <c r="M54" s="63"/>
      <c r="N54" s="64">
        <f>IF(N40=0,0,N40/M40)</f>
        <v>0.6</v>
      </c>
      <c r="O54" s="64">
        <f t="shared" ref="O54:P57" si="2">IF(O40=0,0,O40/M40)</f>
        <v>0</v>
      </c>
      <c r="P54" s="64">
        <f t="shared" si="2"/>
        <v>0</v>
      </c>
      <c r="Q54" s="64">
        <f>IF(Q40=0,0,Q40/M40)</f>
        <v>0</v>
      </c>
      <c r="R54" s="88"/>
    </row>
    <row r="55" spans="1:18" ht="35.1" customHeight="1">
      <c r="A55" s="96"/>
      <c r="B55" s="59"/>
      <c r="C55" s="59"/>
      <c r="D55" s="59"/>
      <c r="E55" s="59"/>
      <c r="F55" s="59"/>
      <c r="G55" s="59"/>
      <c r="H55" s="59"/>
      <c r="I55" s="59"/>
      <c r="J55" s="59"/>
      <c r="K55" s="302" t="str">
        <f>K41</f>
        <v>8:00 à 8:30</v>
      </c>
      <c r="L55" s="302"/>
      <c r="M55" s="63"/>
      <c r="N55" s="64">
        <f>IF(N41=0,0,N41/M41)</f>
        <v>0</v>
      </c>
      <c r="O55" s="64">
        <f t="shared" si="2"/>
        <v>0</v>
      </c>
      <c r="P55" s="64">
        <f t="shared" si="2"/>
        <v>0</v>
      </c>
      <c r="Q55" s="64">
        <f>IF(Q41=0,0,Q41/M41)</f>
        <v>0</v>
      </c>
      <c r="R55" s="88"/>
    </row>
    <row r="56" spans="1:18" ht="35.1" customHeight="1">
      <c r="F56" s="59"/>
      <c r="K56" s="302" t="str">
        <f>K42</f>
        <v>8:30 à 9:00</v>
      </c>
      <c r="L56" s="302"/>
      <c r="M56" s="63"/>
      <c r="N56" s="64">
        <f>IF(N42=0,0,N42/M42)</f>
        <v>0.5</v>
      </c>
      <c r="O56" s="64">
        <f t="shared" si="2"/>
        <v>0.33333333333333331</v>
      </c>
      <c r="P56" s="64">
        <f t="shared" si="2"/>
        <v>0</v>
      </c>
      <c r="Q56" s="64">
        <f>IF(Q42=0,0,Q42/M42)</f>
        <v>0</v>
      </c>
      <c r="R56" s="88"/>
    </row>
    <row r="57" spans="1:18" ht="35.1" customHeight="1">
      <c r="F57" s="59"/>
      <c r="K57" s="302" t="s">
        <v>27</v>
      </c>
      <c r="L57" s="302"/>
      <c r="M57" s="170"/>
      <c r="N57" s="171">
        <f>IF(N43=0,0,N43/M43)</f>
        <v>0.57692307692307687</v>
      </c>
      <c r="O57" s="171">
        <f t="shared" si="2"/>
        <v>0.15384615384615385</v>
      </c>
      <c r="P57" s="171">
        <f t="shared" si="2"/>
        <v>0</v>
      </c>
      <c r="Q57" s="171">
        <f>IF(Q43=0,0,Q43/M43)</f>
        <v>0</v>
      </c>
      <c r="R57" s="88"/>
    </row>
    <row r="58" spans="1:18" ht="35.1" customHeight="1">
      <c r="K58" s="302" t="str">
        <f>K47</f>
        <v>8:30 à 9:00</v>
      </c>
      <c r="L58" s="302"/>
      <c r="M58" s="33">
        <f>IF($AO$59=MAX($AO$59:$AO$63),M52,IF($AO$60=MAX($AO$59:$AO$63),M54,IF($AO$61=MAX($AO$59:$AO$63),M55,IF($AO$62=MAX($AO$59:$AO$63),(M55),M56))))</f>
        <v>0</v>
      </c>
      <c r="N58" s="66">
        <f>IF($AO$59=MAX($AO$59:$AO$63),N52,IF($AO$60=MAX($AO$59:$AO$63),N54,IF($AO$61=MAX($AO$59:$AO$63),N55,IF($AO$62=MAX($AO$59:$AO$63),(N55),N56))))</f>
        <v>1</v>
      </c>
      <c r="O58" s="66">
        <f>O56</f>
        <v>0.33333333333333331</v>
      </c>
      <c r="P58" s="66">
        <f>IF($AO$59=MAX($AO$59:$AO$63),P52,IF($AO$60=MAX($AO$59:$AO$63),P54,IF($AO$61=MAX($AO$59:$AO$63),P55,IF($AO$62=MAX($AO$59:$AO$63),(P55),P56))))</f>
        <v>0</v>
      </c>
      <c r="Q58" s="66">
        <f>IF($AO$59=MAX($AO$59:$AO$63),Q52,IF($AO$60=MAX($AO$59:$AO$63),Q54,IF($AO$61=MAX($AO$59:$AO$63),Q55,IF($AO$62=MAX($AO$59:$AO$63),(Q55),Q56))))</f>
        <v>0</v>
      </c>
      <c r="R58" s="88"/>
    </row>
  </sheetData>
  <mergeCells count="63">
    <mergeCell ref="C9:J9"/>
    <mergeCell ref="K9:R9"/>
    <mergeCell ref="C10:F10"/>
    <mergeCell ref="G10:J10"/>
    <mergeCell ref="K10:N10"/>
    <mergeCell ref="O10:R10"/>
    <mergeCell ref="M11:N11"/>
    <mergeCell ref="O11:P11"/>
    <mergeCell ref="Q11:R11"/>
    <mergeCell ref="A12:B12"/>
    <mergeCell ref="C19:J19"/>
    <mergeCell ref="C11:D11"/>
    <mergeCell ref="E11:F11"/>
    <mergeCell ref="G11:H11"/>
    <mergeCell ref="I11:J11"/>
    <mergeCell ref="K11:L11"/>
    <mergeCell ref="C20:F20"/>
    <mergeCell ref="G20:J20"/>
    <mergeCell ref="C21:D21"/>
    <mergeCell ref="E21:F21"/>
    <mergeCell ref="G21:H21"/>
    <mergeCell ref="I21:J21"/>
    <mergeCell ref="A22:B22"/>
    <mergeCell ref="M34:M37"/>
    <mergeCell ref="N34:N37"/>
    <mergeCell ref="O34:O37"/>
    <mergeCell ref="P34:P37"/>
    <mergeCell ref="A37:B37"/>
    <mergeCell ref="R34:R37"/>
    <mergeCell ref="S34:S37"/>
    <mergeCell ref="T34:T37"/>
    <mergeCell ref="U34:U37"/>
    <mergeCell ref="C36:D36"/>
    <mergeCell ref="E36:F36"/>
    <mergeCell ref="K37:L37"/>
    <mergeCell ref="A38:B38"/>
    <mergeCell ref="K38:L38"/>
    <mergeCell ref="A39:B39"/>
    <mergeCell ref="K39:L39"/>
    <mergeCell ref="A40:B40"/>
    <mergeCell ref="K40:L40"/>
    <mergeCell ref="A41:B41"/>
    <mergeCell ref="K41:L41"/>
    <mergeCell ref="A42:B42"/>
    <mergeCell ref="K42:L42"/>
    <mergeCell ref="A43:B43"/>
    <mergeCell ref="K43:L43"/>
    <mergeCell ref="K46:L46"/>
    <mergeCell ref="K47:L47"/>
    <mergeCell ref="M48:M51"/>
    <mergeCell ref="N48:N51"/>
    <mergeCell ref="O48:O51"/>
    <mergeCell ref="P48:P51"/>
    <mergeCell ref="Q48:Q51"/>
    <mergeCell ref="R48:R51"/>
    <mergeCell ref="K51:L51"/>
    <mergeCell ref="K52:L52"/>
    <mergeCell ref="K58:L58"/>
    <mergeCell ref="K53:L53"/>
    <mergeCell ref="K54:L54"/>
    <mergeCell ref="K55:L55"/>
    <mergeCell ref="K56:L56"/>
    <mergeCell ref="K57:L57"/>
  </mergeCells>
  <pageMargins left="0.51180555555555496" right="0.51180555555555496" top="0.35416666666666702" bottom="0.94513888888888897" header="0.51180555555555496" footer="0.51180555555555496"/>
  <pageSetup paperSize="9" scale="38" orientation="landscape" horizontalDpi="300" verticalDpi="300"/>
  <rowBreaks count="1" manualBreakCount="1">
    <brk id="3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MJ55"/>
  <sheetViews>
    <sheetView topLeftCell="A27" zoomScale="50" zoomScaleNormal="50" workbookViewId="0">
      <selection activeCell="AG41" sqref="AG41"/>
    </sheetView>
  </sheetViews>
  <sheetFormatPr baseColWidth="10" defaultColWidth="11.25" defaultRowHeight="14.25"/>
  <cols>
    <col min="1" max="1" width="9.75" style="1" customWidth="1"/>
    <col min="2" max="2" width="13.75" style="1" customWidth="1"/>
    <col min="3" max="26" width="8.625" style="1" customWidth="1"/>
    <col min="27" max="27" width="8.875" style="1" customWidth="1"/>
    <col min="28" max="28" width="14.375" style="1" customWidth="1"/>
    <col min="29" max="32" width="21.375" style="1" customWidth="1"/>
    <col min="33" max="33" width="14.125" style="1" customWidth="1"/>
    <col min="34" max="36" width="15.625" style="1" customWidth="1"/>
    <col min="37" max="986" width="11.25" style="1"/>
    <col min="987" max="987" width="11.125" style="1" customWidth="1"/>
    <col min="988" max="1024" width="10.5" customWidth="1"/>
  </cols>
  <sheetData>
    <row r="1" spans="1:32" s="8" customFormat="1" ht="52.5" customHeight="1">
      <c r="A1" s="3"/>
      <c r="B1" s="4" t="s">
        <v>88</v>
      </c>
      <c r="C1" s="5"/>
      <c r="D1" s="5"/>
      <c r="E1" s="5"/>
      <c r="F1" s="2"/>
      <c r="G1" s="5"/>
      <c r="H1" s="5"/>
      <c r="I1" s="5"/>
      <c r="J1" s="5"/>
      <c r="K1" s="2"/>
      <c r="L1" s="2"/>
      <c r="M1" s="2"/>
      <c r="N1" s="2"/>
      <c r="O1" s="6" t="s">
        <v>2</v>
      </c>
      <c r="P1" s="172"/>
      <c r="Q1" s="5"/>
      <c r="R1" s="5"/>
      <c r="S1" s="5"/>
      <c r="T1" s="5"/>
      <c r="U1" s="5"/>
      <c r="V1" s="5"/>
      <c r="W1" s="5"/>
      <c r="X1" s="5"/>
      <c r="Y1" s="5"/>
      <c r="Z1" s="5"/>
      <c r="AA1" s="2"/>
      <c r="AB1" s="2"/>
      <c r="AC1" s="2"/>
      <c r="AD1" s="2"/>
      <c r="AE1" s="2"/>
      <c r="AF1" s="2"/>
    </row>
    <row r="2" spans="1:32" s="8" customFormat="1" ht="52.5" customHeight="1">
      <c r="A2" s="3" t="s">
        <v>3</v>
      </c>
      <c r="B2" s="5"/>
      <c r="C2" s="5"/>
      <c r="D2" s="5"/>
      <c r="E2" s="5"/>
      <c r="F2" s="2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2"/>
      <c r="AB2" s="2"/>
      <c r="AC2" s="2"/>
      <c r="AD2" s="2"/>
      <c r="AE2" s="2"/>
      <c r="AF2" s="2"/>
    </row>
    <row r="3" spans="1:32" s="8" customFormat="1" ht="52.5" customHeight="1">
      <c r="A3" s="3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" t="s">
        <v>7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2"/>
      <c r="AB3" s="2"/>
      <c r="AC3" s="2"/>
      <c r="AD3" s="2"/>
      <c r="AE3" s="2"/>
      <c r="AF3" s="2"/>
    </row>
    <row r="4" spans="1:32" s="8" customFormat="1" ht="25.5" customHeight="1">
      <c r="A4" s="1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2"/>
      <c r="AA4" s="2"/>
      <c r="AB4" s="2"/>
      <c r="AC4" s="2"/>
      <c r="AD4" s="2"/>
      <c r="AE4" s="2"/>
      <c r="AF4" s="2"/>
    </row>
    <row r="5" spans="1:32" s="8" customFormat="1" ht="35.1" customHeight="1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2"/>
      <c r="AA5" s="2"/>
      <c r="AB5" s="2"/>
      <c r="AC5" s="2"/>
      <c r="AD5" s="2"/>
      <c r="AE5" s="2"/>
      <c r="AF5" s="2"/>
    </row>
    <row r="6" spans="1:32" s="8" customFormat="1" ht="35.1" customHeight="1">
      <c r="A6" s="11" t="s">
        <v>89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2"/>
      <c r="AA6" s="2"/>
      <c r="AB6" s="2"/>
      <c r="AC6" s="2"/>
      <c r="AD6" s="2"/>
      <c r="AE6" s="2"/>
      <c r="AF6" s="2"/>
    </row>
    <row r="7" spans="1:32" s="8" customFormat="1" ht="35.1" customHeight="1">
      <c r="A7" s="11" t="s">
        <v>10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2"/>
      <c r="AA7" s="2"/>
      <c r="AB7" s="2"/>
      <c r="AC7" s="2"/>
      <c r="AD7" s="2"/>
      <c r="AE7" s="2"/>
      <c r="AF7" s="2"/>
    </row>
    <row r="8" spans="1:32" s="8" customFormat="1" ht="25.5" customHeight="1">
      <c r="A8" s="1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2"/>
      <c r="AA8" s="2"/>
      <c r="AB8" s="2"/>
      <c r="AC8" s="2"/>
      <c r="AD8" s="2"/>
      <c r="AE8" s="2"/>
      <c r="AF8" s="2"/>
    </row>
    <row r="9" spans="1:32" s="8" customFormat="1" ht="32.25" customHeight="1">
      <c r="A9" s="3"/>
      <c r="B9" s="5"/>
      <c r="C9" s="338" t="s">
        <v>90</v>
      </c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 t="s">
        <v>46</v>
      </c>
      <c r="P9" s="338"/>
      <c r="Q9" s="338"/>
      <c r="R9" s="338"/>
      <c r="S9" s="338"/>
      <c r="T9" s="338"/>
      <c r="U9" s="338"/>
      <c r="V9" s="338"/>
      <c r="W9" s="338"/>
      <c r="X9" s="338"/>
      <c r="Y9" s="338"/>
      <c r="Z9" s="338"/>
      <c r="AA9" s="163"/>
      <c r="AB9" s="163"/>
      <c r="AC9" s="163"/>
      <c r="AD9" s="163"/>
      <c r="AE9" s="163"/>
      <c r="AF9" s="163"/>
    </row>
    <row r="10" spans="1:32" s="8" customFormat="1" ht="51.2" customHeight="1">
      <c r="A10" s="3"/>
      <c r="B10" s="5"/>
      <c r="C10" s="312" t="s">
        <v>53</v>
      </c>
      <c r="D10" s="312"/>
      <c r="E10" s="312"/>
      <c r="F10" s="312"/>
      <c r="G10" s="312" t="s">
        <v>91</v>
      </c>
      <c r="H10" s="312"/>
      <c r="I10" s="312"/>
      <c r="J10" s="312"/>
      <c r="K10" s="312" t="s">
        <v>92</v>
      </c>
      <c r="L10" s="312"/>
      <c r="M10" s="312"/>
      <c r="N10" s="312"/>
      <c r="O10" s="312" t="s">
        <v>91</v>
      </c>
      <c r="P10" s="312"/>
      <c r="Q10" s="312"/>
      <c r="R10" s="312"/>
      <c r="S10" s="312" t="s">
        <v>93</v>
      </c>
      <c r="T10" s="312"/>
      <c r="U10" s="312"/>
      <c r="V10" s="312"/>
      <c r="W10" s="312" t="s">
        <v>92</v>
      </c>
      <c r="X10" s="312"/>
      <c r="Y10" s="312"/>
      <c r="Z10" s="312"/>
      <c r="AA10" s="164"/>
      <c r="AB10" s="164"/>
      <c r="AC10" s="164"/>
      <c r="AD10" s="164"/>
      <c r="AE10" s="164"/>
      <c r="AF10" s="164"/>
    </row>
    <row r="11" spans="1:32" s="8" customFormat="1" ht="18.600000000000001" customHeight="1">
      <c r="A11" s="3"/>
      <c r="B11" s="5"/>
      <c r="C11" s="309" t="s">
        <v>18</v>
      </c>
      <c r="D11" s="309"/>
      <c r="E11" s="309" t="s">
        <v>19</v>
      </c>
      <c r="F11" s="309"/>
      <c r="G11" s="309" t="s">
        <v>18</v>
      </c>
      <c r="H11" s="309"/>
      <c r="I11" s="309" t="s">
        <v>19</v>
      </c>
      <c r="J11" s="309"/>
      <c r="K11" s="309" t="s">
        <v>18</v>
      </c>
      <c r="L11" s="309"/>
      <c r="M11" s="309" t="s">
        <v>19</v>
      </c>
      <c r="N11" s="309"/>
      <c r="O11" s="309" t="s">
        <v>18</v>
      </c>
      <c r="P11" s="309"/>
      <c r="Q11" s="309" t="s">
        <v>19</v>
      </c>
      <c r="R11" s="309"/>
      <c r="S11" s="309" t="s">
        <v>18</v>
      </c>
      <c r="T11" s="309"/>
      <c r="U11" s="309" t="s">
        <v>19</v>
      </c>
      <c r="V11" s="309"/>
      <c r="W11" s="309" t="s">
        <v>18</v>
      </c>
      <c r="X11" s="309"/>
      <c r="Y11" s="309" t="s">
        <v>19</v>
      </c>
      <c r="Z11" s="309"/>
      <c r="AA11" s="165"/>
      <c r="AB11" s="165"/>
      <c r="AC11" s="165"/>
      <c r="AD11" s="165"/>
      <c r="AE11" s="165"/>
      <c r="AF11" s="165"/>
    </row>
    <row r="12" spans="1:32" s="8" customFormat="1" ht="20.25">
      <c r="A12" s="302" t="s">
        <v>20</v>
      </c>
      <c r="B12" s="302"/>
      <c r="C12" s="17" t="s">
        <v>21</v>
      </c>
      <c r="D12" s="17" t="s">
        <v>22</v>
      </c>
      <c r="E12" s="17" t="s">
        <v>21</v>
      </c>
      <c r="F12" s="17" t="s">
        <v>22</v>
      </c>
      <c r="G12" s="17" t="s">
        <v>21</v>
      </c>
      <c r="H12" s="17" t="s">
        <v>22</v>
      </c>
      <c r="I12" s="17" t="s">
        <v>21</v>
      </c>
      <c r="J12" s="17" t="s">
        <v>22</v>
      </c>
      <c r="K12" s="17" t="s">
        <v>21</v>
      </c>
      <c r="L12" s="17" t="s">
        <v>22</v>
      </c>
      <c r="M12" s="17" t="s">
        <v>21</v>
      </c>
      <c r="N12" s="17" t="s">
        <v>22</v>
      </c>
      <c r="O12" s="17" t="s">
        <v>21</v>
      </c>
      <c r="P12" s="17" t="s">
        <v>22</v>
      </c>
      <c r="Q12" s="17" t="s">
        <v>21</v>
      </c>
      <c r="R12" s="17" t="s">
        <v>22</v>
      </c>
      <c r="S12" s="17" t="s">
        <v>21</v>
      </c>
      <c r="T12" s="17" t="s">
        <v>22</v>
      </c>
      <c r="U12" s="17" t="s">
        <v>21</v>
      </c>
      <c r="V12" s="17" t="s">
        <v>22</v>
      </c>
      <c r="W12" s="17" t="s">
        <v>21</v>
      </c>
      <c r="X12" s="17" t="s">
        <v>22</v>
      </c>
      <c r="Y12" s="17" t="s">
        <v>21</v>
      </c>
      <c r="Z12" s="17" t="s">
        <v>22</v>
      </c>
      <c r="AA12" s="24"/>
      <c r="AB12" s="24"/>
      <c r="AC12" s="24"/>
      <c r="AD12" s="24"/>
      <c r="AE12" s="24"/>
      <c r="AF12" s="24"/>
    </row>
    <row r="13" spans="1:32" ht="75" customHeight="1">
      <c r="A13" s="75">
        <v>0.27083333333333298</v>
      </c>
      <c r="B13" s="75">
        <v>0.29166666666666702</v>
      </c>
      <c r="C13" s="19">
        <v>1</v>
      </c>
      <c r="D13" s="19"/>
      <c r="E13" s="19">
        <v>1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25"/>
      <c r="AB13" s="25"/>
      <c r="AC13" s="25"/>
      <c r="AD13" s="25"/>
      <c r="AE13" s="25"/>
      <c r="AF13" s="25"/>
    </row>
    <row r="14" spans="1:32" ht="75" customHeight="1">
      <c r="A14" s="75">
        <v>0.29166666666666702</v>
      </c>
      <c r="B14" s="75">
        <v>0.3125</v>
      </c>
      <c r="C14" s="19">
        <v>1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>
        <v>1</v>
      </c>
      <c r="Q14" s="19"/>
      <c r="R14" s="19"/>
      <c r="S14" s="19"/>
      <c r="T14" s="19"/>
      <c r="U14" s="19"/>
      <c r="V14" s="19"/>
      <c r="W14" s="19"/>
      <c r="X14" s="19">
        <v>1</v>
      </c>
      <c r="Y14" s="19"/>
      <c r="Z14" s="19"/>
      <c r="AA14" s="25"/>
      <c r="AB14" s="25"/>
      <c r="AC14" s="25"/>
      <c r="AD14" s="25"/>
      <c r="AE14" s="25"/>
      <c r="AF14" s="25"/>
    </row>
    <row r="15" spans="1:32" ht="75" customHeight="1">
      <c r="A15" s="75">
        <v>0.3125</v>
      </c>
      <c r="B15" s="75">
        <v>0.33333333333333298</v>
      </c>
      <c r="C15" s="19"/>
      <c r="D15" s="19">
        <v>1</v>
      </c>
      <c r="E15" s="19"/>
      <c r="F15" s="19"/>
      <c r="G15" s="19"/>
      <c r="H15" s="19"/>
      <c r="I15" s="19"/>
      <c r="J15" s="19"/>
      <c r="K15" s="19"/>
      <c r="L15" s="19"/>
      <c r="M15" s="19"/>
      <c r="N15" s="19">
        <v>1</v>
      </c>
      <c r="O15" s="19"/>
      <c r="P15" s="19">
        <v>1</v>
      </c>
      <c r="Q15" s="19"/>
      <c r="R15" s="19"/>
      <c r="S15" s="19"/>
      <c r="T15" s="19">
        <v>1</v>
      </c>
      <c r="U15" s="19"/>
      <c r="V15" s="19"/>
      <c r="W15" s="19"/>
      <c r="X15" s="19"/>
      <c r="Y15" s="19"/>
      <c r="Z15" s="19"/>
      <c r="AA15" s="25"/>
      <c r="AB15" s="25"/>
      <c r="AC15" s="25"/>
      <c r="AD15" s="25"/>
      <c r="AE15" s="25"/>
      <c r="AF15" s="25"/>
    </row>
    <row r="16" spans="1:32" ht="75" customHeight="1">
      <c r="A16" s="75">
        <v>0.33333333333333298</v>
      </c>
      <c r="B16" s="75">
        <v>0.35416666666666702</v>
      </c>
      <c r="C16" s="19">
        <v>1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5"/>
      <c r="AB16" s="25"/>
      <c r="AC16" s="25"/>
      <c r="AD16" s="25"/>
      <c r="AE16" s="25"/>
      <c r="AF16" s="25"/>
    </row>
    <row r="17" spans="1:1024" ht="75" customHeight="1">
      <c r="A17" s="75">
        <v>0.35416666666666702</v>
      </c>
      <c r="B17" s="75">
        <v>0.375</v>
      </c>
      <c r="C17" s="19"/>
      <c r="D17" s="19"/>
      <c r="E17" s="19"/>
      <c r="F17" s="19"/>
      <c r="G17" s="19"/>
      <c r="H17" s="19">
        <v>1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>
        <v>2</v>
      </c>
      <c r="Y17" s="19"/>
      <c r="Z17" s="19"/>
      <c r="AA17" s="25"/>
      <c r="AB17" s="25"/>
      <c r="AC17" s="25"/>
      <c r="AD17" s="25"/>
      <c r="AE17" s="25"/>
      <c r="AF17" s="25"/>
    </row>
    <row r="18" spans="1:1024" ht="18" customHeight="1">
      <c r="A18" s="104"/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1024" s="8" customFormat="1" ht="32.25" customHeight="1">
      <c r="A19" s="3"/>
      <c r="B19" s="5"/>
      <c r="C19" s="338" t="s">
        <v>94</v>
      </c>
      <c r="D19" s="338"/>
      <c r="E19" s="338"/>
      <c r="F19" s="338"/>
      <c r="G19" s="338"/>
      <c r="H19" s="338"/>
      <c r="I19" s="338"/>
      <c r="J19" s="338"/>
      <c r="K19" s="338"/>
      <c r="L19" s="338"/>
      <c r="M19" s="338"/>
      <c r="N19" s="338"/>
      <c r="O19" s="338" t="s">
        <v>95</v>
      </c>
      <c r="P19" s="338"/>
      <c r="Q19" s="338"/>
      <c r="R19" s="338"/>
      <c r="S19" s="338"/>
      <c r="T19" s="338"/>
      <c r="U19" s="338"/>
      <c r="V19" s="338"/>
      <c r="W19" s="338"/>
      <c r="X19" s="338"/>
      <c r="Y19" s="338"/>
      <c r="Z19" s="338"/>
      <c r="AA19" s="163"/>
      <c r="AB19" s="163"/>
      <c r="AC19" s="163"/>
      <c r="AD19" s="163"/>
      <c r="AE19" s="163"/>
      <c r="AF19" s="163"/>
    </row>
    <row r="20" spans="1:1024" s="8" customFormat="1" ht="51.2" customHeight="1">
      <c r="A20" s="3"/>
      <c r="B20" s="5"/>
      <c r="C20" s="312" t="s">
        <v>93</v>
      </c>
      <c r="D20" s="312"/>
      <c r="E20" s="312"/>
      <c r="F20" s="312"/>
      <c r="G20" s="312" t="s">
        <v>91</v>
      </c>
      <c r="H20" s="312"/>
      <c r="I20" s="312"/>
      <c r="J20" s="312"/>
      <c r="K20" s="312" t="s">
        <v>53</v>
      </c>
      <c r="L20" s="312"/>
      <c r="M20" s="312"/>
      <c r="N20" s="312"/>
      <c r="O20" s="312" t="s">
        <v>53</v>
      </c>
      <c r="P20" s="312"/>
      <c r="Q20" s="312"/>
      <c r="R20" s="312"/>
      <c r="S20" s="312" t="s">
        <v>93</v>
      </c>
      <c r="T20" s="312"/>
      <c r="U20" s="312"/>
      <c r="V20" s="312"/>
      <c r="W20" s="312" t="s">
        <v>92</v>
      </c>
      <c r="X20" s="312"/>
      <c r="Y20" s="312"/>
      <c r="Z20" s="312"/>
      <c r="AA20" s="164"/>
      <c r="AB20" s="164"/>
      <c r="AC20" s="164"/>
      <c r="AD20" s="164"/>
      <c r="AE20" s="164"/>
      <c r="AF20" s="164"/>
    </row>
    <row r="21" spans="1:1024" s="8" customFormat="1" ht="18.600000000000001" customHeight="1">
      <c r="A21" s="3"/>
      <c r="B21" s="5"/>
      <c r="C21" s="309" t="s">
        <v>18</v>
      </c>
      <c r="D21" s="309"/>
      <c r="E21" s="309" t="s">
        <v>19</v>
      </c>
      <c r="F21" s="309"/>
      <c r="G21" s="309" t="s">
        <v>18</v>
      </c>
      <c r="H21" s="309"/>
      <c r="I21" s="309" t="s">
        <v>19</v>
      </c>
      <c r="J21" s="309"/>
      <c r="K21" s="309" t="s">
        <v>18</v>
      </c>
      <c r="L21" s="309"/>
      <c r="M21" s="309" t="s">
        <v>19</v>
      </c>
      <c r="N21" s="309"/>
      <c r="O21" s="309" t="s">
        <v>18</v>
      </c>
      <c r="P21" s="309"/>
      <c r="Q21" s="309" t="s">
        <v>19</v>
      </c>
      <c r="R21" s="309"/>
      <c r="S21" s="309" t="s">
        <v>18</v>
      </c>
      <c r="T21" s="309"/>
      <c r="U21" s="309" t="s">
        <v>19</v>
      </c>
      <c r="V21" s="309"/>
      <c r="W21" s="309" t="s">
        <v>18</v>
      </c>
      <c r="X21" s="309"/>
      <c r="Y21" s="309" t="s">
        <v>19</v>
      </c>
      <c r="Z21" s="309"/>
      <c r="AA21" s="165"/>
      <c r="AB21" s="165"/>
      <c r="AC21" s="165"/>
      <c r="AD21" s="165"/>
      <c r="AE21" s="165"/>
      <c r="AF21" s="165"/>
    </row>
    <row r="22" spans="1:1024" s="8" customFormat="1" ht="20.25">
      <c r="A22" s="302" t="s">
        <v>20</v>
      </c>
      <c r="B22" s="302"/>
      <c r="C22" s="17" t="s">
        <v>21</v>
      </c>
      <c r="D22" s="17" t="s">
        <v>22</v>
      </c>
      <c r="E22" s="17" t="s">
        <v>21</v>
      </c>
      <c r="F22" s="17" t="s">
        <v>22</v>
      </c>
      <c r="G22" s="17" t="s">
        <v>21</v>
      </c>
      <c r="H22" s="17" t="s">
        <v>22</v>
      </c>
      <c r="I22" s="17" t="s">
        <v>21</v>
      </c>
      <c r="J22" s="17" t="s">
        <v>22</v>
      </c>
      <c r="K22" s="17" t="s">
        <v>21</v>
      </c>
      <c r="L22" s="17" t="s">
        <v>22</v>
      </c>
      <c r="M22" s="17" t="s">
        <v>21</v>
      </c>
      <c r="N22" s="17" t="s">
        <v>22</v>
      </c>
      <c r="O22" s="17" t="s">
        <v>21</v>
      </c>
      <c r="P22" s="17" t="s">
        <v>22</v>
      </c>
      <c r="Q22" s="17" t="s">
        <v>21</v>
      </c>
      <c r="R22" s="17" t="s">
        <v>22</v>
      </c>
      <c r="S22" s="17" t="s">
        <v>21</v>
      </c>
      <c r="T22" s="17" t="s">
        <v>22</v>
      </c>
      <c r="U22" s="17" t="s">
        <v>21</v>
      </c>
      <c r="V22" s="17" t="s">
        <v>22</v>
      </c>
      <c r="W22" s="17" t="s">
        <v>21</v>
      </c>
      <c r="X22" s="17" t="s">
        <v>22</v>
      </c>
      <c r="Y22" s="17" t="s">
        <v>21</v>
      </c>
      <c r="Z22" s="17" t="s">
        <v>22</v>
      </c>
      <c r="AA22" s="24"/>
      <c r="AB22" s="24"/>
      <c r="AC22" s="24"/>
      <c r="AD22" s="24"/>
      <c r="AE22" s="24"/>
      <c r="AF22" s="24"/>
    </row>
    <row r="23" spans="1:1024" ht="75" customHeight="1">
      <c r="A23" s="75">
        <v>0.27083333333333298</v>
      </c>
      <c r="B23" s="75">
        <v>0.29166666666666702</v>
      </c>
      <c r="C23" s="19"/>
      <c r="D23" s="19"/>
      <c r="E23" s="19"/>
      <c r="F23" s="19"/>
      <c r="G23" s="19">
        <v>1</v>
      </c>
      <c r="H23" s="19"/>
      <c r="I23" s="19"/>
      <c r="J23" s="19"/>
      <c r="K23" s="19"/>
      <c r="L23" s="19">
        <v>1</v>
      </c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>
        <v>1</v>
      </c>
      <c r="Y23" s="19"/>
      <c r="Z23" s="19"/>
      <c r="AA23" s="25"/>
      <c r="AB23" s="25"/>
      <c r="AC23" s="25"/>
      <c r="AD23" s="25"/>
      <c r="AE23" s="25"/>
      <c r="AF23" s="25"/>
    </row>
    <row r="24" spans="1:1024" ht="75" customHeight="1">
      <c r="A24" s="75">
        <v>0.29166666666666702</v>
      </c>
      <c r="B24" s="75">
        <v>0.3125</v>
      </c>
      <c r="C24" s="19"/>
      <c r="D24" s="19"/>
      <c r="E24" s="19"/>
      <c r="F24" s="19"/>
      <c r="G24" s="19"/>
      <c r="H24" s="19">
        <v>1</v>
      </c>
      <c r="I24" s="19"/>
      <c r="J24" s="19"/>
      <c r="K24" s="19"/>
      <c r="L24" s="19"/>
      <c r="M24" s="19">
        <v>1</v>
      </c>
      <c r="N24" s="19"/>
      <c r="O24" s="19">
        <v>1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5"/>
      <c r="AB24" s="25"/>
      <c r="AC24" s="25"/>
      <c r="AD24" s="25"/>
      <c r="AE24" s="25"/>
      <c r="AF24" s="25"/>
    </row>
    <row r="25" spans="1:1024" ht="75" customHeight="1">
      <c r="A25" s="75">
        <v>0.3125</v>
      </c>
      <c r="B25" s="75">
        <v>0.33333333333333298</v>
      </c>
      <c r="C25" s="19"/>
      <c r="D25" s="19"/>
      <c r="E25" s="19"/>
      <c r="F25" s="19"/>
      <c r="G25" s="19"/>
      <c r="H25" s="19">
        <v>1</v>
      </c>
      <c r="I25" s="19"/>
      <c r="J25" s="19"/>
      <c r="K25" s="19"/>
      <c r="L25" s="19">
        <v>1</v>
      </c>
      <c r="M25" s="19"/>
      <c r="N25" s="19"/>
      <c r="O25" s="19"/>
      <c r="P25" s="19">
        <v>1</v>
      </c>
      <c r="Q25" s="19"/>
      <c r="R25" s="19"/>
      <c r="S25" s="19"/>
      <c r="T25" s="19"/>
      <c r="U25" s="19"/>
      <c r="V25" s="19"/>
      <c r="W25" s="19">
        <v>1</v>
      </c>
      <c r="X25" s="19"/>
      <c r="Y25" s="19"/>
      <c r="Z25" s="19"/>
      <c r="AA25" s="25"/>
      <c r="AB25" s="25"/>
      <c r="AC25" s="25"/>
      <c r="AD25" s="25"/>
      <c r="AE25" s="25"/>
      <c r="AF25" s="25"/>
    </row>
    <row r="26" spans="1:1024" ht="75" customHeight="1">
      <c r="A26" s="75">
        <v>0.33333333333333298</v>
      </c>
      <c r="B26" s="75">
        <v>0.35416666666666702</v>
      </c>
      <c r="C26" s="19"/>
      <c r="D26" s="19"/>
      <c r="E26" s="19"/>
      <c r="F26" s="19"/>
      <c r="G26" s="19"/>
      <c r="H26" s="19">
        <v>1</v>
      </c>
      <c r="I26" s="19"/>
      <c r="J26" s="19"/>
      <c r="K26" s="19"/>
      <c r="L26" s="19"/>
      <c r="M26" s="19">
        <v>1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5"/>
      <c r="AB26" s="25"/>
      <c r="AC26" s="25"/>
      <c r="AD26" s="25"/>
      <c r="AE26" s="25"/>
      <c r="AF26" s="25"/>
    </row>
    <row r="27" spans="1:1024" ht="75" customHeight="1">
      <c r="A27" s="75">
        <v>0.35416666666666702</v>
      </c>
      <c r="B27" s="75">
        <v>0.375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>
        <v>1</v>
      </c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25"/>
      <c r="AB27" s="25"/>
      <c r="AC27" s="25"/>
      <c r="AD27" s="25"/>
      <c r="AE27" s="25"/>
      <c r="AF27" s="25"/>
    </row>
    <row r="28" spans="1:1024" ht="18" customHeight="1">
      <c r="A28" s="104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1024" s="23" customFormat="1" ht="39.75" customHeight="1">
      <c r="A29" s="20">
        <v>1</v>
      </c>
      <c r="B29" s="21" t="s">
        <v>23</v>
      </c>
      <c r="C29" s="22"/>
      <c r="D29" s="22"/>
      <c r="E29" s="22"/>
      <c r="F29" s="22"/>
      <c r="G29" s="22"/>
      <c r="H29" s="22"/>
      <c r="I29" s="20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1024" s="23" customFormat="1" ht="38.1" customHeight="1">
      <c r="A30" s="20"/>
      <c r="B30" s="21" t="s">
        <v>24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67"/>
      <c r="N30" s="22"/>
      <c r="O30" s="22"/>
      <c r="P30" s="80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MD30" s="1"/>
      <c r="AME30" s="1"/>
      <c r="AMF30" s="1"/>
      <c r="AMG30" s="1"/>
      <c r="AMH30" s="1"/>
      <c r="AMI30" s="1"/>
      <c r="AMJ30"/>
    </row>
    <row r="31" spans="1:1024" s="23" customFormat="1" ht="39.75" customHeight="1">
      <c r="A31" s="20">
        <v>3</v>
      </c>
      <c r="B31" s="21" t="s">
        <v>25</v>
      </c>
      <c r="C31" s="22"/>
      <c r="D31" s="22"/>
      <c r="E31" s="22"/>
      <c r="F31" s="22"/>
      <c r="G31" s="22"/>
      <c r="H31" s="22"/>
      <c r="I31" s="20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1024" s="23" customFormat="1" ht="39.75" customHeight="1">
      <c r="A32" s="20">
        <v>1</v>
      </c>
      <c r="B32" s="21" t="s">
        <v>26</v>
      </c>
      <c r="C32" s="22"/>
      <c r="D32" s="22"/>
      <c r="E32" s="22"/>
      <c r="F32" s="22"/>
      <c r="G32" s="22"/>
      <c r="H32" s="22"/>
      <c r="I32" s="20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1024" s="2" customFormat="1" ht="32.25" customHeight="1">
      <c r="A33" s="163"/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8"/>
      <c r="AB33" s="8"/>
      <c r="AC33" s="8"/>
      <c r="AD33" s="8"/>
      <c r="AE33" s="8"/>
      <c r="AF33" s="8"/>
      <c r="AKZ33" s="8"/>
      <c r="ALA33" s="8"/>
      <c r="ALB33" s="8"/>
      <c r="ALC33" s="8"/>
      <c r="ALD33" s="8"/>
      <c r="ALE33" s="8"/>
      <c r="ALF33" s="8"/>
      <c r="ALG33" s="8"/>
      <c r="ALH33" s="8"/>
      <c r="ALI33" s="8"/>
      <c r="ALJ33" s="8"/>
      <c r="ALK33" s="8"/>
      <c r="ALL33" s="8"/>
      <c r="ALM33" s="8"/>
      <c r="ALN33" s="8"/>
      <c r="ALO33" s="8"/>
      <c r="ALP33" s="8"/>
      <c r="ALQ33" s="8"/>
      <c r="ALR33" s="8"/>
      <c r="ALS33" s="8"/>
      <c r="ALT33" s="8"/>
      <c r="ALU33" s="8"/>
      <c r="ALV33" s="8"/>
      <c r="ALW33" s="8"/>
      <c r="ALX33" s="8"/>
      <c r="ALY33" s="8"/>
      <c r="ALZ33" s="8"/>
      <c r="AMA33" s="8"/>
      <c r="AMB33" s="8"/>
      <c r="AMC33" s="8"/>
      <c r="AMD33" s="8"/>
      <c r="AME33" s="8"/>
      <c r="AMF33" s="8"/>
      <c r="AMG33" s="8"/>
      <c r="AMH33" s="8"/>
      <c r="AMI33" s="8"/>
      <c r="AMJ33" s="8"/>
    </row>
    <row r="34" spans="1:1024" ht="30" customHeight="1">
      <c r="A34" s="163"/>
      <c r="B34" s="163"/>
      <c r="C34" s="309" t="s">
        <v>18</v>
      </c>
      <c r="D34" s="309"/>
      <c r="E34" s="309" t="s">
        <v>19</v>
      </c>
      <c r="F34" s="309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</row>
    <row r="35" spans="1:1024" ht="71.25" customHeight="1">
      <c r="A35" s="302" t="s">
        <v>20</v>
      </c>
      <c r="B35" s="302"/>
      <c r="C35" s="17" t="s">
        <v>21</v>
      </c>
      <c r="D35" s="17" t="s">
        <v>22</v>
      </c>
      <c r="E35" s="17" t="s">
        <v>21</v>
      </c>
      <c r="F35" s="17" t="s">
        <v>22</v>
      </c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302" t="s">
        <v>20</v>
      </c>
      <c r="AB35" s="302"/>
      <c r="AC35" s="60" t="s">
        <v>27</v>
      </c>
      <c r="AD35" s="34" t="s">
        <v>28</v>
      </c>
      <c r="AE35" s="30" t="s">
        <v>29</v>
      </c>
      <c r="AF35" s="30" t="s">
        <v>30</v>
      </c>
      <c r="AG35" s="34" t="s">
        <v>32</v>
      </c>
      <c r="AH35" s="34" t="s">
        <v>33</v>
      </c>
      <c r="AI35" s="34" t="s">
        <v>24</v>
      </c>
      <c r="AJ35" s="34" t="s">
        <v>34</v>
      </c>
    </row>
    <row r="36" spans="1:1024" ht="54.95" customHeight="1">
      <c r="A36" s="302" t="s">
        <v>35</v>
      </c>
      <c r="B36" s="302"/>
      <c r="C36" s="19">
        <f t="shared" ref="C36:F40" si="0">C13+G13+K13+O13+S13+W13+C23+G23+K23+O23+S23+W23</f>
        <v>2</v>
      </c>
      <c r="D36" s="19">
        <f t="shared" si="0"/>
        <v>2</v>
      </c>
      <c r="E36" s="19">
        <f t="shared" si="0"/>
        <v>1</v>
      </c>
      <c r="F36" s="19">
        <f t="shared" si="0"/>
        <v>0</v>
      </c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302" t="str">
        <f>A36</f>
        <v>6:30 à 7:00</v>
      </c>
      <c r="AB36" s="302"/>
      <c r="AC36" s="65">
        <f>SUM(C36:Z36)</f>
        <v>5</v>
      </c>
      <c r="AD36" s="36">
        <f>C36+E36</f>
        <v>3</v>
      </c>
      <c r="AE36" s="36">
        <f>E36+F36</f>
        <v>1</v>
      </c>
      <c r="AF36" s="36">
        <f>E36</f>
        <v>1</v>
      </c>
    </row>
    <row r="37" spans="1:1024" ht="54.95" customHeight="1">
      <c r="A37" s="302" t="s">
        <v>36</v>
      </c>
      <c r="B37" s="302"/>
      <c r="C37" s="19">
        <f t="shared" si="0"/>
        <v>2</v>
      </c>
      <c r="D37" s="19">
        <f t="shared" si="0"/>
        <v>3</v>
      </c>
      <c r="E37" s="19">
        <f t="shared" si="0"/>
        <v>1</v>
      </c>
      <c r="F37" s="19">
        <f t="shared" si="0"/>
        <v>0</v>
      </c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302" t="str">
        <f>A37</f>
        <v>7:00 à 7:30</v>
      </c>
      <c r="AB37" s="302"/>
      <c r="AC37" s="65">
        <f>SUM(C37:Z37)</f>
        <v>6</v>
      </c>
      <c r="AD37" s="36">
        <f>C37+E37</f>
        <v>3</v>
      </c>
      <c r="AE37" s="36">
        <f>E37+F37</f>
        <v>1</v>
      </c>
      <c r="AF37" s="36">
        <f>E37</f>
        <v>1</v>
      </c>
    </row>
    <row r="38" spans="1:1024" ht="54.95" customHeight="1">
      <c r="A38" s="302" t="s">
        <v>37</v>
      </c>
      <c r="B38" s="302"/>
      <c r="C38" s="19">
        <f t="shared" si="0"/>
        <v>1</v>
      </c>
      <c r="D38" s="19">
        <f t="shared" si="0"/>
        <v>6</v>
      </c>
      <c r="E38" s="19">
        <f t="shared" si="0"/>
        <v>0</v>
      </c>
      <c r="F38" s="19">
        <f t="shared" si="0"/>
        <v>1</v>
      </c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302" t="str">
        <f>A38</f>
        <v>7:30 à 8:00</v>
      </c>
      <c r="AB38" s="302"/>
      <c r="AC38" s="65">
        <f>SUM(C38:Z38)</f>
        <v>8</v>
      </c>
      <c r="AD38" s="36">
        <f>C38+E38</f>
        <v>1</v>
      </c>
      <c r="AE38" s="36">
        <f>E38+F38</f>
        <v>1</v>
      </c>
      <c r="AF38" s="36">
        <f>E38</f>
        <v>0</v>
      </c>
    </row>
    <row r="39" spans="1:1024" ht="54.95" customHeight="1">
      <c r="A39" s="302" t="s">
        <v>38</v>
      </c>
      <c r="B39" s="302"/>
      <c r="C39" s="19">
        <f t="shared" si="0"/>
        <v>1</v>
      </c>
      <c r="D39" s="19">
        <f t="shared" si="0"/>
        <v>1</v>
      </c>
      <c r="E39" s="19">
        <f t="shared" si="0"/>
        <v>1</v>
      </c>
      <c r="F39" s="19">
        <f t="shared" si="0"/>
        <v>0</v>
      </c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302" t="str">
        <f>A39</f>
        <v>8:00 à 8:30</v>
      </c>
      <c r="AB39" s="302"/>
      <c r="AC39" s="65">
        <f>SUM(C39:Z39)</f>
        <v>3</v>
      </c>
      <c r="AD39" s="36">
        <f>C39+E39</f>
        <v>2</v>
      </c>
      <c r="AE39" s="36">
        <f>E39+F39</f>
        <v>1</v>
      </c>
      <c r="AF39" s="36">
        <f>E39</f>
        <v>1</v>
      </c>
    </row>
    <row r="40" spans="1:1024" ht="54.95" customHeight="1">
      <c r="A40" s="302" t="s">
        <v>39</v>
      </c>
      <c r="B40" s="302"/>
      <c r="C40" s="19">
        <f t="shared" si="0"/>
        <v>0</v>
      </c>
      <c r="D40" s="19">
        <f t="shared" si="0"/>
        <v>4</v>
      </c>
      <c r="E40" s="19">
        <f t="shared" si="0"/>
        <v>0</v>
      </c>
      <c r="F40" s="19">
        <f t="shared" si="0"/>
        <v>0</v>
      </c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302" t="s">
        <v>39</v>
      </c>
      <c r="AB40" s="302"/>
      <c r="AC40" s="65">
        <f>SUM(C40:Z40)</f>
        <v>4</v>
      </c>
      <c r="AD40" s="36">
        <f>C40+E40</f>
        <v>0</v>
      </c>
      <c r="AE40" s="36">
        <f>E40+F40</f>
        <v>0</v>
      </c>
      <c r="AF40" s="36">
        <f>E40</f>
        <v>0</v>
      </c>
    </row>
    <row r="41" spans="1:1024" ht="42.75" customHeight="1">
      <c r="A41" s="302" t="s">
        <v>27</v>
      </c>
      <c r="B41" s="302"/>
      <c r="C41" s="90">
        <f>SUM(C13:C17)</f>
        <v>3</v>
      </c>
      <c r="D41" s="90">
        <f>SUM(D13:D17)</f>
        <v>1</v>
      </c>
      <c r="E41" s="90">
        <f>SUM(E13:E17)</f>
        <v>1</v>
      </c>
      <c r="F41" s="90">
        <f>SUM(F13:F17)</f>
        <v>0</v>
      </c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AA41" s="318" t="s">
        <v>27</v>
      </c>
      <c r="AB41" s="318"/>
      <c r="AC41" s="39">
        <f>SUM(AC36:AC40)</f>
        <v>26</v>
      </c>
      <c r="AD41" s="39">
        <f>SUM(AD36:AD40)</f>
        <v>9</v>
      </c>
      <c r="AE41" s="39">
        <f>SUM(AE36:AE40)</f>
        <v>4</v>
      </c>
      <c r="AF41" s="40">
        <f>SUM(AF36:AF40)</f>
        <v>3</v>
      </c>
      <c r="AG41" s="39">
        <v>1</v>
      </c>
      <c r="AH41" s="40">
        <v>1</v>
      </c>
      <c r="AI41" s="40">
        <f>A30</f>
        <v>0</v>
      </c>
      <c r="AJ41" s="40">
        <v>3</v>
      </c>
    </row>
    <row r="42" spans="1:1024" ht="42.75" customHeight="1">
      <c r="A42" s="97"/>
      <c r="B42" s="97"/>
      <c r="C42" s="173"/>
      <c r="D42" s="173"/>
      <c r="E42" s="173"/>
      <c r="F42" s="173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AA42" s="45" t="s">
        <v>36</v>
      </c>
      <c r="AB42" s="46"/>
      <c r="AC42" s="47">
        <v>6</v>
      </c>
      <c r="AD42" s="47"/>
      <c r="AE42" s="47"/>
      <c r="AF42" s="47"/>
      <c r="AG42" s="49"/>
      <c r="AH42" s="49"/>
      <c r="AI42" s="49"/>
      <c r="AJ42" s="49"/>
    </row>
    <row r="43" spans="1:1024" ht="42.75" customHeight="1">
      <c r="A43" s="97"/>
      <c r="B43" s="97"/>
      <c r="C43" s="173"/>
      <c r="D43" s="173"/>
      <c r="E43" s="173"/>
      <c r="F43" s="173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AA43" s="52" t="s">
        <v>37</v>
      </c>
      <c r="AB43" s="53"/>
      <c r="AC43" s="54">
        <v>8</v>
      </c>
      <c r="AD43" s="54"/>
      <c r="AE43" s="54"/>
      <c r="AF43" s="54"/>
      <c r="AG43" s="49"/>
      <c r="AH43" s="49"/>
      <c r="AI43" s="49"/>
      <c r="AJ43" s="49"/>
    </row>
    <row r="44" spans="1:1024" ht="42.75" customHeight="1">
      <c r="A44" s="97"/>
      <c r="B44" s="97"/>
      <c r="C44" s="173"/>
      <c r="D44" s="173"/>
      <c r="E44" s="173"/>
      <c r="F44" s="173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AA44" s="308" t="s">
        <v>41</v>
      </c>
      <c r="AB44" s="308"/>
      <c r="AC44" s="55">
        <f>SUM(AC42:AC43)</f>
        <v>14</v>
      </c>
      <c r="AD44" s="56"/>
      <c r="AE44" s="56"/>
      <c r="AF44" s="56"/>
      <c r="AG44" s="49"/>
      <c r="AH44" s="49"/>
      <c r="AI44" s="49"/>
      <c r="AJ44" s="49"/>
    </row>
    <row r="45" spans="1:1024" ht="66.75" customHeight="1">
      <c r="A45" s="96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44" t="s">
        <v>40</v>
      </c>
      <c r="AA45" s="302" t="str">
        <f>IF($AC$37=MAX($AC$36:$AC$40),AA37,IF($AC$38=MAX($AC$36:$AC$40),AA38,IF($AC$39=MAX($AC$36:$AC$40),AA39,IF($AC$40=MAX($AC$36:$AC$40),AA40,IF($AC$36=MAX($AC$36:$AC$40),AA36,AA39)))))</f>
        <v>7:30 à 8:00</v>
      </c>
      <c r="AB45" s="302"/>
      <c r="AC45" s="33">
        <f>IF($AC$37=MAX($AC$36:$AC$40),AC37,IF($AC$38=MAX($AC$36:$AC$40),AC38,IF($AC$39=MAX($AC$36:$AC$40),AC39,IF($AC$40=MAX($AC$36:$AC$40),AC40,IF($AC$41=MAX($AC$36:$AC$40),AC41,AC39)))))</f>
        <v>8</v>
      </c>
      <c r="AD45" s="33">
        <f>IF($AC$37=MAX($AC$36:$AC$40),AD37,IF($AC$38=MAX($AC$36:$AC$40),AD38,IF($AC$39=MAX($AC$36:$AC$40),AD39,IF($AC$40=MAX($AC$36:$AC$40),AD40,IF($AC$41=MAX($AC$36:$AC$40),AD41,AD39)))))</f>
        <v>1</v>
      </c>
      <c r="AE45" s="33">
        <f>IF($AC$37=MAX($AC$36:$AC$40),AE37,IF($AC$38=MAX($AC$36:$AC$40),AE38,IF($AC$39=MAX($AC$36:$AC$40),AE39,IF($AC$40=MAX($AC$36:$AC$40),AE40,IF($AC$41=MAX($AC$36:$AC$40),AE41,AE39)))))</f>
        <v>1</v>
      </c>
      <c r="AF45" s="33">
        <f>IF($AC$37=MAX($AC$36:$AC$40),AF37,IF($AC$38=MAX($AC$36:$AC$40),AF38,IF($AC$39=MAX($AC$36:$AC$40),AF39,IF($AC$40=MAX($AC$36:$AC$40),AF40,IF($AC$41=MAX($AC$36:$AC$40),AF41,AF39)))))</f>
        <v>0</v>
      </c>
    </row>
    <row r="46" spans="1:1024" ht="20.25" customHeight="1">
      <c r="A46" s="96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14"/>
      <c r="AB46" s="15"/>
      <c r="AC46" s="305" t="s">
        <v>27</v>
      </c>
      <c r="AD46" s="306" t="s">
        <v>42</v>
      </c>
      <c r="AE46" s="306" t="s">
        <v>43</v>
      </c>
      <c r="AF46" s="306" t="s">
        <v>44</v>
      </c>
    </row>
    <row r="47" spans="1:1024" ht="20.25">
      <c r="A47" s="96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14"/>
      <c r="AB47" s="15"/>
      <c r="AC47" s="305"/>
      <c r="AD47" s="306"/>
      <c r="AE47" s="306"/>
      <c r="AF47" s="306"/>
    </row>
    <row r="48" spans="1:1024" ht="20.25">
      <c r="A48" s="96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62"/>
      <c r="AB48" s="15"/>
      <c r="AC48" s="305"/>
      <c r="AD48" s="306"/>
      <c r="AE48" s="306"/>
      <c r="AF48" s="306"/>
    </row>
    <row r="49" spans="1:32" ht="35.1" customHeight="1">
      <c r="A49" s="96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302" t="s">
        <v>20</v>
      </c>
      <c r="AB49" s="302"/>
      <c r="AC49" s="305"/>
      <c r="AD49" s="306"/>
      <c r="AE49" s="306"/>
      <c r="AF49" s="306"/>
    </row>
    <row r="50" spans="1:32" ht="35.1" customHeight="1">
      <c r="A50" s="96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302" t="str">
        <f>AA36</f>
        <v>6:30 à 7:00</v>
      </c>
      <c r="AB50" s="302"/>
      <c r="AC50" s="63"/>
      <c r="AD50" s="64">
        <f>IF(AD37=0,0,AD37/AC37)</f>
        <v>0.5</v>
      </c>
      <c r="AE50" s="64">
        <f>IF(AE37=0,0,AE37/AC37)</f>
        <v>0.16666666666666666</v>
      </c>
      <c r="AF50" s="64">
        <f>IF(AF37=0,0,AF37/AD37)</f>
        <v>0.33333333333333331</v>
      </c>
    </row>
    <row r="51" spans="1:32" ht="35.1" customHeight="1">
      <c r="A51" s="96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302" t="str">
        <f>AA37</f>
        <v>7:00 à 7:30</v>
      </c>
      <c r="AB51" s="302"/>
      <c r="AC51" s="63"/>
      <c r="AD51" s="64">
        <f>IF(AD37=0,0,AD37/AC37)</f>
        <v>0.5</v>
      </c>
      <c r="AE51" s="64">
        <f t="shared" ref="AE51:AF53" si="1">IF(AE37=0,0,AE37/AC37)</f>
        <v>0.16666666666666666</v>
      </c>
      <c r="AF51" s="64">
        <f t="shared" si="1"/>
        <v>0.33333333333333331</v>
      </c>
    </row>
    <row r="52" spans="1:32" ht="35.1" customHeight="1">
      <c r="F52" s="59"/>
      <c r="K52" s="59"/>
      <c r="L52" s="59"/>
      <c r="M52" s="59"/>
      <c r="N52" s="59"/>
      <c r="O52" s="59"/>
      <c r="P52" s="59"/>
      <c r="Q52" s="59"/>
      <c r="AA52" s="302" t="str">
        <f>AA38</f>
        <v>7:30 à 8:00</v>
      </c>
      <c r="AB52" s="302"/>
      <c r="AC52" s="63"/>
      <c r="AD52" s="64">
        <f>IF(AD38=0,0,AD38/AC38)</f>
        <v>0.125</v>
      </c>
      <c r="AE52" s="64">
        <f t="shared" si="1"/>
        <v>0.125</v>
      </c>
      <c r="AF52" s="64">
        <f t="shared" si="1"/>
        <v>0</v>
      </c>
    </row>
    <row r="53" spans="1:32" ht="35.1" customHeight="1">
      <c r="F53" s="59"/>
      <c r="K53" s="59"/>
      <c r="L53" s="59"/>
      <c r="M53" s="59"/>
      <c r="N53" s="59"/>
      <c r="O53" s="59"/>
      <c r="P53" s="59"/>
      <c r="Q53" s="59"/>
      <c r="AA53" s="302" t="str">
        <f>AA39</f>
        <v>8:00 à 8:30</v>
      </c>
      <c r="AB53" s="302"/>
      <c r="AC53" s="63"/>
      <c r="AD53" s="64">
        <f>IF(AD39=0,0,AD39/AC39)</f>
        <v>0.66666666666666663</v>
      </c>
      <c r="AE53" s="64">
        <f t="shared" si="1"/>
        <v>0.33333333333333331</v>
      </c>
      <c r="AF53" s="64">
        <f t="shared" si="1"/>
        <v>0.5</v>
      </c>
    </row>
    <row r="54" spans="1:32" ht="35.1" customHeight="1">
      <c r="AA54" s="303" t="s">
        <v>27</v>
      </c>
      <c r="AB54" s="303"/>
      <c r="AC54" s="65"/>
      <c r="AD54" s="64">
        <f>IF(AD41=0,0,AD41/AC41)</f>
        <v>0.34615384615384615</v>
      </c>
      <c r="AE54" s="64">
        <f>IF(AE41=0,0,AE41/AC41)</f>
        <v>0.15384615384615385</v>
      </c>
      <c r="AF54" s="64">
        <f>IF(AF41=0,0,AF41/AD41)</f>
        <v>0.33333333333333331</v>
      </c>
    </row>
    <row r="55" spans="1:32" ht="36.75" customHeight="1">
      <c r="AA55" s="302" t="str">
        <f>AA45</f>
        <v>7:30 à 8:00</v>
      </c>
      <c r="AB55" s="302"/>
      <c r="AC55" s="33"/>
      <c r="AD55" s="66">
        <f>AD45/$AC$45</f>
        <v>0.125</v>
      </c>
      <c r="AE55" s="66">
        <f>AE45/$AC$45</f>
        <v>0.125</v>
      </c>
      <c r="AF55" s="66">
        <f>AF45/$AC$45</f>
        <v>0</v>
      </c>
    </row>
  </sheetData>
  <mergeCells count="71">
    <mergeCell ref="K11:L11"/>
    <mergeCell ref="C9:N9"/>
    <mergeCell ref="O9:Z9"/>
    <mergeCell ref="C10:F10"/>
    <mergeCell ref="G10:J10"/>
    <mergeCell ref="K10:N10"/>
    <mergeCell ref="O10:R10"/>
    <mergeCell ref="S10:V10"/>
    <mergeCell ref="W10:Z10"/>
    <mergeCell ref="O20:R20"/>
    <mergeCell ref="S20:V20"/>
    <mergeCell ref="W11:X11"/>
    <mergeCell ref="Y11:Z11"/>
    <mergeCell ref="A12:B12"/>
    <mergeCell ref="C19:N19"/>
    <mergeCell ref="O19:Z19"/>
    <mergeCell ref="M11:N11"/>
    <mergeCell ref="O11:P11"/>
    <mergeCell ref="Q11:R11"/>
    <mergeCell ref="S11:T11"/>
    <mergeCell ref="U11:V11"/>
    <mergeCell ref="C11:D11"/>
    <mergeCell ref="E11:F11"/>
    <mergeCell ref="G11:H11"/>
    <mergeCell ref="I11:J11"/>
    <mergeCell ref="W20:Z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C20:F20"/>
    <mergeCell ref="G20:J20"/>
    <mergeCell ref="K20:N20"/>
    <mergeCell ref="A22:B22"/>
    <mergeCell ref="C34:D34"/>
    <mergeCell ref="E34:F34"/>
    <mergeCell ref="A35:B35"/>
    <mergeCell ref="AA35:AB35"/>
    <mergeCell ref="A36:B36"/>
    <mergeCell ref="AA36:AB36"/>
    <mergeCell ref="A37:B37"/>
    <mergeCell ref="AA37:AB37"/>
    <mergeCell ref="A38:B38"/>
    <mergeCell ref="AA38:AB38"/>
    <mergeCell ref="A39:B39"/>
    <mergeCell ref="AA39:AB39"/>
    <mergeCell ref="A40:B40"/>
    <mergeCell ref="AA40:AB40"/>
    <mergeCell ref="A41:B41"/>
    <mergeCell ref="AA41:AB41"/>
    <mergeCell ref="AA44:AB44"/>
    <mergeCell ref="AA45:AB45"/>
    <mergeCell ref="AC46:AC49"/>
    <mergeCell ref="AD46:AD49"/>
    <mergeCell ref="AE46:AE49"/>
    <mergeCell ref="AA53:AB53"/>
    <mergeCell ref="AA54:AB54"/>
    <mergeCell ref="AA55:AB55"/>
    <mergeCell ref="AF46:AF49"/>
    <mergeCell ref="AA49:AB49"/>
    <mergeCell ref="AA50:AB50"/>
    <mergeCell ref="AA51:AB51"/>
    <mergeCell ref="AA52:AB52"/>
  </mergeCells>
  <pageMargins left="0.196527777777778" right="0.196527777777778" top="1.1812499999999999" bottom="1.1812499999999999" header="0.51180555555555496" footer="0.51180555555555496"/>
  <pageSetup paperSize="9" fitToHeight="0" pageOrder="overThenDown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50"/>
  <sheetViews>
    <sheetView topLeftCell="A22" zoomScale="50" zoomScaleNormal="50" workbookViewId="0">
      <selection activeCell="AC34" sqref="AC34"/>
    </sheetView>
  </sheetViews>
  <sheetFormatPr baseColWidth="10" defaultColWidth="11.25" defaultRowHeight="14.25"/>
  <cols>
    <col min="1" max="1" width="8.875" style="1" customWidth="1"/>
    <col min="2" max="2" width="11.25" style="1"/>
    <col min="3" max="28" width="9.875" style="1" customWidth="1"/>
    <col min="29" max="32" width="17.125" style="1" customWidth="1"/>
    <col min="33" max="36" width="10.875" style="1" customWidth="1"/>
    <col min="37" max="38" width="17.125" style="1" customWidth="1"/>
    <col min="39" max="39" width="10.875" style="1" customWidth="1"/>
    <col min="40" max="1024" width="11.25" style="1"/>
  </cols>
  <sheetData>
    <row r="1" spans="1:1024" s="2" customFormat="1" ht="52.5" customHeight="1">
      <c r="A1" s="3"/>
      <c r="B1" s="4" t="s">
        <v>96</v>
      </c>
      <c r="C1" s="5"/>
      <c r="D1" s="5"/>
      <c r="E1" s="5"/>
      <c r="G1" s="5"/>
      <c r="H1" s="5"/>
      <c r="I1" s="5"/>
      <c r="J1" s="5"/>
      <c r="O1" s="6" t="s">
        <v>2</v>
      </c>
      <c r="P1" s="162">
        <v>45085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K1" s="5"/>
      <c r="AL1" s="5"/>
      <c r="AMI1" s="8"/>
      <c r="AMJ1" s="8"/>
    </row>
    <row r="2" spans="1:1024" s="2" customFormat="1" ht="52.5" customHeight="1">
      <c r="A2" s="3" t="s">
        <v>3</v>
      </c>
      <c r="B2" s="5"/>
      <c r="C2" s="5"/>
      <c r="D2" s="5"/>
      <c r="E2" s="5"/>
      <c r="G2" s="5"/>
      <c r="H2" s="5" t="s">
        <v>97</v>
      </c>
      <c r="I2" s="5"/>
      <c r="J2" s="5"/>
      <c r="K2" s="5"/>
      <c r="L2" s="5"/>
      <c r="M2" s="5"/>
      <c r="N2" s="5"/>
      <c r="O2" s="5"/>
      <c r="P2" s="8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F2" s="5"/>
      <c r="AK2" s="5"/>
      <c r="AL2" s="5"/>
      <c r="AMI2" s="8"/>
      <c r="AMJ2" s="8"/>
    </row>
    <row r="3" spans="1:1024" s="2" customFormat="1" ht="52.5" customHeight="1">
      <c r="A3" s="3" t="s">
        <v>5</v>
      </c>
      <c r="B3" s="5"/>
      <c r="C3" s="5" t="s">
        <v>98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9" t="s">
        <v>7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K3" s="5"/>
      <c r="AL3" s="5"/>
      <c r="AMI3" s="8"/>
      <c r="AMJ3" s="8"/>
    </row>
    <row r="4" spans="1:1024" s="8" customFormat="1" ht="25.5" customHeight="1"/>
    <row r="5" spans="1:1024" s="8" customFormat="1" ht="35.1" customHeight="1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2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2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pans="1:1024" s="8" customFormat="1" ht="35.1" customHeight="1">
      <c r="A6" s="11" t="s">
        <v>89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2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2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pans="1:1024" s="8" customFormat="1" ht="35.1" customHeight="1">
      <c r="A7" s="11" t="s">
        <v>10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2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2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1024" s="2" customFormat="1" ht="16.899999999999999" customHeight="1">
      <c r="A8" s="1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1024" s="2" customFormat="1" ht="32.25" customHeight="1">
      <c r="A9" s="3"/>
      <c r="B9" s="5"/>
      <c r="C9" s="317" t="s">
        <v>99</v>
      </c>
      <c r="D9" s="317"/>
      <c r="E9" s="317"/>
      <c r="F9" s="317"/>
      <c r="G9" s="317"/>
      <c r="H9" s="317"/>
      <c r="I9" s="317"/>
      <c r="J9" s="317"/>
      <c r="K9" s="317" t="s">
        <v>100</v>
      </c>
      <c r="L9" s="317"/>
      <c r="M9" s="317"/>
      <c r="N9" s="317"/>
      <c r="O9" s="317"/>
      <c r="P9" s="317"/>
      <c r="Q9" s="317"/>
      <c r="R9" s="317"/>
      <c r="S9" s="317" t="s">
        <v>101</v>
      </c>
      <c r="T9" s="317"/>
      <c r="U9" s="317"/>
      <c r="V9" s="317"/>
      <c r="W9" s="317"/>
      <c r="X9" s="317"/>
      <c r="Y9" s="317"/>
      <c r="Z9" s="317"/>
      <c r="AA9" s="163"/>
      <c r="AB9" s="163"/>
      <c r="AC9" s="163"/>
      <c r="AD9" s="163"/>
      <c r="AE9" s="163"/>
      <c r="AF9" s="163"/>
      <c r="AK9" s="163"/>
      <c r="AL9" s="163"/>
    </row>
    <row r="10" spans="1:1024" s="2" customFormat="1" ht="22.7" customHeight="1">
      <c r="A10" s="3"/>
      <c r="B10" s="5"/>
      <c r="C10" s="312" t="s">
        <v>102</v>
      </c>
      <c r="D10" s="312"/>
      <c r="E10" s="312"/>
      <c r="F10" s="312"/>
      <c r="G10" s="312" t="s">
        <v>103</v>
      </c>
      <c r="H10" s="312"/>
      <c r="I10" s="312"/>
      <c r="J10" s="312"/>
      <c r="K10" s="312" t="s">
        <v>103</v>
      </c>
      <c r="L10" s="312"/>
      <c r="M10" s="312"/>
      <c r="N10" s="312"/>
      <c r="O10" s="312" t="s">
        <v>104</v>
      </c>
      <c r="P10" s="312"/>
      <c r="Q10" s="312"/>
      <c r="R10" s="312"/>
      <c r="S10" s="312" t="s">
        <v>104</v>
      </c>
      <c r="T10" s="312"/>
      <c r="U10" s="312"/>
      <c r="V10" s="312"/>
      <c r="W10" s="312" t="s">
        <v>102</v>
      </c>
      <c r="X10" s="312"/>
      <c r="Y10" s="312"/>
      <c r="Z10" s="312"/>
      <c r="AA10" s="164"/>
      <c r="AB10" s="164"/>
      <c r="AC10" s="164"/>
      <c r="AD10" s="164"/>
      <c r="AE10" s="164"/>
      <c r="AF10" s="164"/>
      <c r="AK10" s="164"/>
      <c r="AL10" s="164"/>
    </row>
    <row r="11" spans="1:1024" s="2" customFormat="1" ht="18.600000000000001" customHeight="1">
      <c r="A11" s="3"/>
      <c r="B11" s="5"/>
      <c r="C11" s="309" t="s">
        <v>18</v>
      </c>
      <c r="D11" s="309"/>
      <c r="E11" s="309" t="s">
        <v>19</v>
      </c>
      <c r="F11" s="309"/>
      <c r="G11" s="309" t="s">
        <v>18</v>
      </c>
      <c r="H11" s="309"/>
      <c r="I11" s="309" t="s">
        <v>19</v>
      </c>
      <c r="J11" s="309"/>
      <c r="K11" s="309" t="s">
        <v>18</v>
      </c>
      <c r="L11" s="309"/>
      <c r="M11" s="309" t="s">
        <v>19</v>
      </c>
      <c r="N11" s="309"/>
      <c r="O11" s="309" t="s">
        <v>18</v>
      </c>
      <c r="P11" s="309"/>
      <c r="Q11" s="309" t="s">
        <v>19</v>
      </c>
      <c r="R11" s="309"/>
      <c r="S11" s="309" t="s">
        <v>18</v>
      </c>
      <c r="T11" s="309"/>
      <c r="U11" s="309" t="s">
        <v>19</v>
      </c>
      <c r="V11" s="309"/>
      <c r="W11" s="309" t="s">
        <v>18</v>
      </c>
      <c r="X11" s="309"/>
      <c r="Y11" s="309" t="s">
        <v>19</v>
      </c>
      <c r="Z11" s="309"/>
      <c r="AA11" s="165"/>
      <c r="AB11" s="165"/>
      <c r="AC11" s="165"/>
      <c r="AD11" s="165"/>
      <c r="AE11" s="165"/>
      <c r="AF11" s="165"/>
      <c r="AK11" s="165"/>
      <c r="AL11" s="165"/>
    </row>
    <row r="12" spans="1:1024" s="2" customFormat="1" ht="20.25">
      <c r="A12" s="302" t="s">
        <v>20</v>
      </c>
      <c r="B12" s="302"/>
      <c r="C12" s="17" t="s">
        <v>21</v>
      </c>
      <c r="D12" s="17" t="s">
        <v>22</v>
      </c>
      <c r="E12" s="17" t="s">
        <v>21</v>
      </c>
      <c r="F12" s="17" t="s">
        <v>22</v>
      </c>
      <c r="G12" s="17" t="s">
        <v>21</v>
      </c>
      <c r="H12" s="17" t="s">
        <v>22</v>
      </c>
      <c r="I12" s="17" t="s">
        <v>21</v>
      </c>
      <c r="J12" s="17" t="s">
        <v>22</v>
      </c>
      <c r="K12" s="17" t="s">
        <v>21</v>
      </c>
      <c r="L12" s="17" t="s">
        <v>22</v>
      </c>
      <c r="M12" s="17" t="s">
        <v>21</v>
      </c>
      <c r="N12" s="17" t="s">
        <v>22</v>
      </c>
      <c r="O12" s="17" t="s">
        <v>21</v>
      </c>
      <c r="P12" s="17" t="s">
        <v>22</v>
      </c>
      <c r="Q12" s="17" t="s">
        <v>21</v>
      </c>
      <c r="R12" s="17" t="s">
        <v>22</v>
      </c>
      <c r="S12" s="17" t="s">
        <v>21</v>
      </c>
      <c r="T12" s="17" t="s">
        <v>22</v>
      </c>
      <c r="U12" s="17" t="s">
        <v>21</v>
      </c>
      <c r="V12" s="17" t="s">
        <v>22</v>
      </c>
      <c r="W12" s="17" t="s">
        <v>21</v>
      </c>
      <c r="X12" s="17" t="s">
        <v>22</v>
      </c>
      <c r="Y12" s="17" t="s">
        <v>21</v>
      </c>
      <c r="Z12" s="17" t="s">
        <v>22</v>
      </c>
      <c r="AA12" s="24"/>
      <c r="AB12" s="24"/>
      <c r="AC12" s="24"/>
      <c r="AD12" s="24"/>
      <c r="AE12" s="24"/>
      <c r="AF12" s="24"/>
      <c r="AK12" s="24"/>
      <c r="AL12" s="24"/>
    </row>
    <row r="13" spans="1:1024" ht="80.099999999999994" customHeight="1">
      <c r="A13" s="75">
        <v>0.27083333333333298</v>
      </c>
      <c r="B13" s="75">
        <v>0.29166666666666702</v>
      </c>
      <c r="C13" s="19"/>
      <c r="D13" s="19">
        <v>2</v>
      </c>
      <c r="E13" s="19"/>
      <c r="F13" s="19"/>
      <c r="G13" s="19">
        <v>1</v>
      </c>
      <c r="H13" s="19">
        <v>2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>
        <v>1</v>
      </c>
      <c r="T13" s="19"/>
      <c r="U13" s="19"/>
      <c r="V13" s="19"/>
      <c r="W13" s="19"/>
      <c r="X13" s="19"/>
      <c r="Y13" s="19"/>
      <c r="Z13" s="19"/>
      <c r="AA13" s="25"/>
      <c r="AB13" s="25"/>
      <c r="AC13" s="25"/>
      <c r="AD13" s="25"/>
      <c r="AE13" s="25"/>
      <c r="AF13" s="25"/>
      <c r="AK13" s="25"/>
      <c r="AL13" s="25"/>
    </row>
    <row r="14" spans="1:1024" ht="80.099999999999994" customHeight="1">
      <c r="A14" s="75">
        <v>0.29166666666666702</v>
      </c>
      <c r="B14" s="75">
        <v>0.3125</v>
      </c>
      <c r="C14" s="19"/>
      <c r="D14" s="19"/>
      <c r="E14" s="19"/>
      <c r="F14" s="19"/>
      <c r="G14" s="19">
        <v>3</v>
      </c>
      <c r="H14" s="19">
        <v>1</v>
      </c>
      <c r="I14" s="19">
        <v>1</v>
      </c>
      <c r="J14" s="19">
        <v>1</v>
      </c>
      <c r="K14" s="19"/>
      <c r="L14" s="19">
        <v>1</v>
      </c>
      <c r="M14" s="19"/>
      <c r="N14" s="19"/>
      <c r="O14" s="19"/>
      <c r="P14" s="19"/>
      <c r="Q14" s="19"/>
      <c r="R14" s="19"/>
      <c r="S14" s="19"/>
      <c r="T14" s="19">
        <v>1</v>
      </c>
      <c r="U14" s="19"/>
      <c r="V14" s="19"/>
      <c r="W14" s="19"/>
      <c r="X14" s="19"/>
      <c r="Y14" s="19"/>
      <c r="Z14" s="19"/>
      <c r="AA14" s="25"/>
      <c r="AB14" s="25"/>
      <c r="AC14" s="25"/>
      <c r="AD14" s="25"/>
      <c r="AE14" s="25"/>
      <c r="AF14" s="25"/>
      <c r="AK14" s="25"/>
      <c r="AL14" s="25"/>
    </row>
    <row r="15" spans="1:1024" ht="80.099999999999994" customHeight="1">
      <c r="A15" s="75">
        <v>0.3125</v>
      </c>
      <c r="B15" s="75">
        <v>0.33333333333333298</v>
      </c>
      <c r="C15" s="19">
        <v>1</v>
      </c>
      <c r="D15" s="19">
        <v>2</v>
      </c>
      <c r="E15" s="19">
        <v>1</v>
      </c>
      <c r="F15" s="19">
        <v>1</v>
      </c>
      <c r="G15" s="19">
        <v>1</v>
      </c>
      <c r="H15" s="19">
        <v>3</v>
      </c>
      <c r="I15" s="19">
        <v>2</v>
      </c>
      <c r="J15" s="19">
        <v>2</v>
      </c>
      <c r="K15" s="19"/>
      <c r="L15" s="19"/>
      <c r="M15" s="19"/>
      <c r="N15" s="19"/>
      <c r="O15" s="19"/>
      <c r="P15" s="19">
        <v>1</v>
      </c>
      <c r="Q15" s="19"/>
      <c r="R15" s="19"/>
      <c r="S15" s="19">
        <v>1</v>
      </c>
      <c r="T15" s="19"/>
      <c r="U15" s="19">
        <v>1</v>
      </c>
      <c r="V15" s="19"/>
      <c r="W15" s="19"/>
      <c r="X15" s="19"/>
      <c r="Y15" s="19"/>
      <c r="Z15" s="19">
        <v>1</v>
      </c>
      <c r="AA15" s="25"/>
      <c r="AB15" s="25"/>
      <c r="AC15" s="25"/>
      <c r="AD15" s="25"/>
      <c r="AE15" s="25"/>
      <c r="AF15" s="25"/>
      <c r="AK15" s="25"/>
      <c r="AL15" s="25"/>
    </row>
    <row r="16" spans="1:1024" ht="80.099999999999994" customHeight="1">
      <c r="A16" s="75">
        <v>0.33333333333333298</v>
      </c>
      <c r="B16" s="75">
        <v>0.35416666666666702</v>
      </c>
      <c r="C16" s="19"/>
      <c r="D16" s="19">
        <v>1</v>
      </c>
      <c r="E16" s="19"/>
      <c r="F16" s="19">
        <v>1</v>
      </c>
      <c r="G16" s="19">
        <v>1</v>
      </c>
      <c r="H16" s="19">
        <v>3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>
        <v>2</v>
      </c>
      <c r="U16" s="19"/>
      <c r="V16" s="19"/>
      <c r="W16" s="19"/>
      <c r="X16" s="19"/>
      <c r="Y16" s="19"/>
      <c r="Z16" s="19"/>
      <c r="AA16" s="25"/>
      <c r="AB16" s="25"/>
      <c r="AC16" s="25"/>
      <c r="AD16" s="25"/>
      <c r="AE16" s="25"/>
      <c r="AF16" s="25"/>
      <c r="AK16" s="25"/>
      <c r="AL16" s="25"/>
    </row>
    <row r="17" spans="1:38" ht="80.099999999999994" customHeight="1">
      <c r="A17" s="75">
        <v>0.35416666666666702</v>
      </c>
      <c r="B17" s="75">
        <v>0.375</v>
      </c>
      <c r="C17" s="19"/>
      <c r="D17" s="19"/>
      <c r="E17" s="19"/>
      <c r="F17" s="19"/>
      <c r="G17" s="19"/>
      <c r="H17" s="19">
        <v>1</v>
      </c>
      <c r="I17" s="19"/>
      <c r="J17" s="19"/>
      <c r="K17" s="19"/>
      <c r="L17" s="19">
        <v>2</v>
      </c>
      <c r="M17" s="19"/>
      <c r="N17" s="19"/>
      <c r="O17" s="19"/>
      <c r="P17" s="19">
        <v>1</v>
      </c>
      <c r="Q17" s="19"/>
      <c r="R17" s="19"/>
      <c r="S17" s="19"/>
      <c r="T17" s="19">
        <v>4</v>
      </c>
      <c r="U17" s="19"/>
      <c r="V17" s="19">
        <v>1</v>
      </c>
      <c r="W17" s="19"/>
      <c r="X17" s="19"/>
      <c r="Y17" s="19"/>
      <c r="Z17" s="19">
        <v>1</v>
      </c>
      <c r="AA17" s="25"/>
      <c r="AB17" s="25"/>
      <c r="AC17" s="25"/>
      <c r="AD17" s="25"/>
      <c r="AE17" s="25"/>
      <c r="AF17" s="25"/>
      <c r="AK17" s="25"/>
      <c r="AL17" s="25"/>
    </row>
    <row r="18" spans="1:38" ht="13.15" customHeight="1"/>
    <row r="19" spans="1:38" s="23" customFormat="1" ht="39.75" customHeight="1">
      <c r="A19" s="20">
        <v>2</v>
      </c>
      <c r="B19" s="21" t="s">
        <v>23</v>
      </c>
      <c r="C19" s="22"/>
      <c r="D19" s="22"/>
      <c r="E19" s="22"/>
      <c r="F19" s="22"/>
      <c r="G19" s="22"/>
      <c r="H19" s="22"/>
      <c r="I19" s="20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38" s="23" customFormat="1" ht="39.75" customHeight="1">
      <c r="A20" s="20"/>
      <c r="B20" s="21" t="s">
        <v>24</v>
      </c>
      <c r="C20" s="22"/>
      <c r="D20" s="22"/>
      <c r="E20" s="22"/>
      <c r="F20" s="22"/>
      <c r="G20" s="22"/>
      <c r="H20" s="22"/>
      <c r="I20" s="20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38" s="23" customFormat="1" ht="39.75" customHeight="1">
      <c r="A21" s="20">
        <v>17</v>
      </c>
      <c r="B21" s="21" t="s">
        <v>25</v>
      </c>
      <c r="C21" s="22"/>
      <c r="D21" s="22"/>
      <c r="E21" s="22"/>
      <c r="F21" s="22"/>
      <c r="G21" s="22"/>
      <c r="H21" s="22"/>
      <c r="I21" s="20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38" s="23" customFormat="1" ht="39.75" customHeight="1">
      <c r="A22" s="20">
        <v>1</v>
      </c>
      <c r="B22" s="21" t="s">
        <v>26</v>
      </c>
      <c r="C22" s="22"/>
      <c r="D22" s="22"/>
      <c r="E22" s="22"/>
      <c r="F22" s="22"/>
      <c r="G22" s="22"/>
      <c r="H22" s="22"/>
      <c r="I22" s="20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38" s="2" customFormat="1" ht="25.5" customHeight="1">
      <c r="A23" s="10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175"/>
      <c r="AB23" s="5"/>
      <c r="AC23" s="5"/>
      <c r="AD23" s="5"/>
      <c r="AE23" s="5"/>
      <c r="AF23" s="5"/>
      <c r="AK23" s="5"/>
      <c r="AL23" s="5"/>
    </row>
    <row r="24" spans="1:38" s="2" customFormat="1" ht="25.5" customHeight="1">
      <c r="A24" s="10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175"/>
      <c r="AB24" s="5"/>
      <c r="AC24" s="176" t="s">
        <v>105</v>
      </c>
      <c r="AD24" s="5"/>
      <c r="AE24" s="5"/>
      <c r="AF24" s="5"/>
      <c r="AK24" s="5"/>
      <c r="AL24" s="5"/>
    </row>
    <row r="25" spans="1:38" ht="32.25" customHeight="1">
      <c r="A25" s="14"/>
      <c r="B25" s="15"/>
      <c r="C25" s="317" t="str">
        <f>C9</f>
        <v>De Rte Gorges du Borne vers</v>
      </c>
      <c r="D25" s="317"/>
      <c r="E25" s="317"/>
      <c r="F25" s="317"/>
      <c r="G25" s="317"/>
      <c r="H25" s="317"/>
      <c r="I25" s="317"/>
      <c r="J25" s="317"/>
      <c r="K25" s="317" t="str">
        <f>K9</f>
        <v>De Avenue des Digues vers</v>
      </c>
      <c r="L25" s="317"/>
      <c r="M25" s="317"/>
      <c r="N25" s="317"/>
      <c r="O25" s="317"/>
      <c r="P25" s="317"/>
      <c r="Q25" s="317"/>
      <c r="R25" s="317"/>
      <c r="S25" s="317" t="str">
        <f>S9</f>
        <v>De Avenue de Monaz vers</v>
      </c>
      <c r="T25" s="317"/>
      <c r="U25" s="317"/>
      <c r="V25" s="317"/>
      <c r="W25" s="317"/>
      <c r="X25" s="317"/>
      <c r="Y25" s="317"/>
      <c r="Z25" s="317"/>
      <c r="AA25" s="14"/>
      <c r="AB25" s="15"/>
      <c r="AC25" s="305" t="s">
        <v>27</v>
      </c>
      <c r="AD25" s="319" t="s">
        <v>28</v>
      </c>
      <c r="AE25" s="316" t="s">
        <v>29</v>
      </c>
      <c r="AF25" s="316" t="s">
        <v>30</v>
      </c>
      <c r="AK25" s="311" t="s">
        <v>106</v>
      </c>
      <c r="AL25" s="306" t="s">
        <v>107</v>
      </c>
    </row>
    <row r="26" spans="1:38" ht="22.7" customHeight="1">
      <c r="A26" s="14"/>
      <c r="B26" s="15"/>
      <c r="C26" s="312" t="str">
        <f>C10</f>
        <v>Av des Digues</v>
      </c>
      <c r="D26" s="312"/>
      <c r="E26" s="312"/>
      <c r="F26" s="312"/>
      <c r="G26" s="312" t="str">
        <f>G10</f>
        <v>Av Monaz</v>
      </c>
      <c r="H26" s="312"/>
      <c r="I26" s="312"/>
      <c r="J26" s="312"/>
      <c r="K26" s="312" t="str">
        <f>K10</f>
        <v>Av Monaz</v>
      </c>
      <c r="L26" s="312"/>
      <c r="M26" s="312"/>
      <c r="N26" s="312"/>
      <c r="O26" s="312" t="str">
        <f>O10</f>
        <v>Rte Gorges du Borne</v>
      </c>
      <c r="P26" s="312"/>
      <c r="Q26" s="312"/>
      <c r="R26" s="312"/>
      <c r="S26" s="312" t="str">
        <f>S10</f>
        <v>Rte Gorges du Borne</v>
      </c>
      <c r="T26" s="312"/>
      <c r="U26" s="312"/>
      <c r="V26" s="312"/>
      <c r="W26" s="312" t="str">
        <f>W10</f>
        <v>Av des Digues</v>
      </c>
      <c r="X26" s="312"/>
      <c r="Y26" s="312"/>
      <c r="Z26" s="312"/>
      <c r="AA26" s="14"/>
      <c r="AB26" s="15"/>
      <c r="AC26" s="305"/>
      <c r="AD26" s="319"/>
      <c r="AE26" s="316"/>
      <c r="AF26" s="316"/>
      <c r="AK26" s="311"/>
      <c r="AL26" s="306"/>
    </row>
    <row r="27" spans="1:38" ht="18.600000000000001" customHeight="1">
      <c r="A27" s="14"/>
      <c r="B27" s="15"/>
      <c r="C27" s="309" t="s">
        <v>18</v>
      </c>
      <c r="D27" s="309"/>
      <c r="E27" s="309" t="s">
        <v>19</v>
      </c>
      <c r="F27" s="309"/>
      <c r="G27" s="309" t="s">
        <v>18</v>
      </c>
      <c r="H27" s="309"/>
      <c r="I27" s="309" t="s">
        <v>19</v>
      </c>
      <c r="J27" s="309"/>
      <c r="K27" s="309" t="s">
        <v>18</v>
      </c>
      <c r="L27" s="309"/>
      <c r="M27" s="309" t="s">
        <v>19</v>
      </c>
      <c r="N27" s="309"/>
      <c r="O27" s="309" t="s">
        <v>18</v>
      </c>
      <c r="P27" s="309"/>
      <c r="Q27" s="309" t="s">
        <v>19</v>
      </c>
      <c r="R27" s="309"/>
      <c r="S27" s="309" t="s">
        <v>18</v>
      </c>
      <c r="T27" s="309"/>
      <c r="U27" s="309" t="s">
        <v>19</v>
      </c>
      <c r="V27" s="309"/>
      <c r="W27" s="309" t="s">
        <v>18</v>
      </c>
      <c r="X27" s="309"/>
      <c r="Y27" s="309" t="s">
        <v>19</v>
      </c>
      <c r="Z27" s="309"/>
      <c r="AA27" s="62"/>
      <c r="AB27" s="15"/>
      <c r="AC27" s="305"/>
      <c r="AD27" s="319"/>
      <c r="AE27" s="316"/>
      <c r="AF27" s="316"/>
      <c r="AK27" s="311"/>
      <c r="AL27" s="306"/>
    </row>
    <row r="28" spans="1:38" ht="81">
      <c r="A28" s="302" t="s">
        <v>20</v>
      </c>
      <c r="B28" s="302"/>
      <c r="C28" s="17" t="s">
        <v>21</v>
      </c>
      <c r="D28" s="17" t="s">
        <v>22</v>
      </c>
      <c r="E28" s="17" t="s">
        <v>21</v>
      </c>
      <c r="F28" s="17" t="s">
        <v>22</v>
      </c>
      <c r="G28" s="17" t="s">
        <v>21</v>
      </c>
      <c r="H28" s="17" t="s">
        <v>22</v>
      </c>
      <c r="I28" s="17" t="s">
        <v>21</v>
      </c>
      <c r="J28" s="17" t="s">
        <v>22</v>
      </c>
      <c r="K28" s="17" t="s">
        <v>21</v>
      </c>
      <c r="L28" s="17" t="s">
        <v>22</v>
      </c>
      <c r="M28" s="17" t="s">
        <v>21</v>
      </c>
      <c r="N28" s="17" t="s">
        <v>22</v>
      </c>
      <c r="O28" s="17" t="s">
        <v>21</v>
      </c>
      <c r="P28" s="17" t="s">
        <v>22</v>
      </c>
      <c r="Q28" s="17" t="s">
        <v>21</v>
      </c>
      <c r="R28" s="17" t="s">
        <v>22</v>
      </c>
      <c r="S28" s="17" t="s">
        <v>21</v>
      </c>
      <c r="T28" s="17" t="s">
        <v>22</v>
      </c>
      <c r="U28" s="17" t="s">
        <v>21</v>
      </c>
      <c r="V28" s="17" t="s">
        <v>22</v>
      </c>
      <c r="W28" s="17" t="s">
        <v>21</v>
      </c>
      <c r="X28" s="17" t="s">
        <v>22</v>
      </c>
      <c r="Y28" s="17" t="s">
        <v>21</v>
      </c>
      <c r="Z28" s="17" t="s">
        <v>22</v>
      </c>
      <c r="AA28" s="302" t="s">
        <v>20</v>
      </c>
      <c r="AB28" s="302"/>
      <c r="AC28" s="305"/>
      <c r="AD28" s="319"/>
      <c r="AE28" s="316"/>
      <c r="AF28" s="316"/>
      <c r="AG28" s="34" t="s">
        <v>32</v>
      </c>
      <c r="AH28" s="34" t="s">
        <v>33</v>
      </c>
      <c r="AI28" s="34" t="s">
        <v>24</v>
      </c>
      <c r="AJ28" s="34" t="s">
        <v>34</v>
      </c>
      <c r="AK28" s="311"/>
      <c r="AL28" s="306"/>
    </row>
    <row r="29" spans="1:38" ht="54.95" customHeight="1">
      <c r="A29" s="302" t="s">
        <v>35</v>
      </c>
      <c r="B29" s="302"/>
      <c r="C29" s="19">
        <f t="shared" ref="C29:Z29" si="0">C13</f>
        <v>0</v>
      </c>
      <c r="D29" s="19">
        <f t="shared" si="0"/>
        <v>2</v>
      </c>
      <c r="E29" s="19">
        <f t="shared" si="0"/>
        <v>0</v>
      </c>
      <c r="F29" s="19">
        <f t="shared" si="0"/>
        <v>0</v>
      </c>
      <c r="G29" s="19">
        <f t="shared" si="0"/>
        <v>1</v>
      </c>
      <c r="H29" s="19">
        <f t="shared" si="0"/>
        <v>2</v>
      </c>
      <c r="I29" s="19">
        <f t="shared" si="0"/>
        <v>0</v>
      </c>
      <c r="J29" s="19">
        <f t="shared" si="0"/>
        <v>0</v>
      </c>
      <c r="K29" s="19">
        <f t="shared" si="0"/>
        <v>0</v>
      </c>
      <c r="L29" s="19">
        <f t="shared" si="0"/>
        <v>0</v>
      </c>
      <c r="M29" s="19">
        <f t="shared" si="0"/>
        <v>0</v>
      </c>
      <c r="N29" s="19">
        <f t="shared" si="0"/>
        <v>0</v>
      </c>
      <c r="O29" s="19">
        <f t="shared" si="0"/>
        <v>0</v>
      </c>
      <c r="P29" s="19">
        <f t="shared" si="0"/>
        <v>0</v>
      </c>
      <c r="Q29" s="19">
        <f t="shared" si="0"/>
        <v>0</v>
      </c>
      <c r="R29" s="19">
        <f t="shared" si="0"/>
        <v>0</v>
      </c>
      <c r="S29" s="19">
        <f t="shared" si="0"/>
        <v>1</v>
      </c>
      <c r="T29" s="19">
        <f t="shared" si="0"/>
        <v>0</v>
      </c>
      <c r="U29" s="19">
        <f t="shared" si="0"/>
        <v>0</v>
      </c>
      <c r="V29" s="19">
        <f t="shared" si="0"/>
        <v>0</v>
      </c>
      <c r="W29" s="19">
        <f t="shared" si="0"/>
        <v>0</v>
      </c>
      <c r="X29" s="19">
        <f t="shared" si="0"/>
        <v>0</v>
      </c>
      <c r="Y29" s="19">
        <f t="shared" si="0"/>
        <v>0</v>
      </c>
      <c r="Z29" s="19">
        <f t="shared" si="0"/>
        <v>0</v>
      </c>
      <c r="AA29" s="302" t="str">
        <f>A29</f>
        <v>6:30 à 7:00</v>
      </c>
      <c r="AB29" s="302"/>
      <c r="AC29" s="177">
        <f t="shared" ref="AC29:AC34" si="1">SUM(C29:Z29)</f>
        <v>6</v>
      </c>
      <c r="AD29" s="36">
        <f>C29+E29+G29+I29+K29+M29+O29+Q29+S29+U29+W29+Y29</f>
        <v>2</v>
      </c>
      <c r="AE29" s="36">
        <f>E29+F29+I29+J29+M29+N29+Q29+R29+U29+V29+Y29+Z29</f>
        <v>0</v>
      </c>
      <c r="AF29" s="36">
        <f>E29+I29+M29+Q29+U29+Y29</f>
        <v>0</v>
      </c>
      <c r="AK29" s="36">
        <f>SUM(G29:N29)+SUM(S29:Z29)</f>
        <v>4</v>
      </c>
      <c r="AL29" s="36">
        <f>SUM(C29:F29)+SUM(W29:Z29)+SUM(K29:R29)</f>
        <v>2</v>
      </c>
    </row>
    <row r="30" spans="1:38" ht="54.95" customHeight="1">
      <c r="A30" s="302" t="s">
        <v>36</v>
      </c>
      <c r="B30" s="302"/>
      <c r="C30" s="19">
        <f t="shared" ref="C30:Z30" si="2">C14</f>
        <v>0</v>
      </c>
      <c r="D30" s="19">
        <f t="shared" si="2"/>
        <v>0</v>
      </c>
      <c r="E30" s="19">
        <f t="shared" si="2"/>
        <v>0</v>
      </c>
      <c r="F30" s="19">
        <f t="shared" si="2"/>
        <v>0</v>
      </c>
      <c r="G30" s="19">
        <f t="shared" si="2"/>
        <v>3</v>
      </c>
      <c r="H30" s="19">
        <f t="shared" si="2"/>
        <v>1</v>
      </c>
      <c r="I30" s="19">
        <f t="shared" si="2"/>
        <v>1</v>
      </c>
      <c r="J30" s="19">
        <f t="shared" si="2"/>
        <v>1</v>
      </c>
      <c r="K30" s="19">
        <f t="shared" si="2"/>
        <v>0</v>
      </c>
      <c r="L30" s="19">
        <f t="shared" si="2"/>
        <v>1</v>
      </c>
      <c r="M30" s="19">
        <f t="shared" si="2"/>
        <v>0</v>
      </c>
      <c r="N30" s="19">
        <f t="shared" si="2"/>
        <v>0</v>
      </c>
      <c r="O30" s="19">
        <f t="shared" si="2"/>
        <v>0</v>
      </c>
      <c r="P30" s="19">
        <f t="shared" si="2"/>
        <v>0</v>
      </c>
      <c r="Q30" s="19">
        <f t="shared" si="2"/>
        <v>0</v>
      </c>
      <c r="R30" s="19">
        <f t="shared" si="2"/>
        <v>0</v>
      </c>
      <c r="S30" s="19">
        <f t="shared" si="2"/>
        <v>0</v>
      </c>
      <c r="T30" s="19">
        <f t="shared" si="2"/>
        <v>1</v>
      </c>
      <c r="U30" s="19">
        <f t="shared" si="2"/>
        <v>0</v>
      </c>
      <c r="V30" s="19">
        <f t="shared" si="2"/>
        <v>0</v>
      </c>
      <c r="W30" s="19">
        <f t="shared" si="2"/>
        <v>0</v>
      </c>
      <c r="X30" s="19">
        <f t="shared" si="2"/>
        <v>0</v>
      </c>
      <c r="Y30" s="19">
        <f t="shared" si="2"/>
        <v>0</v>
      </c>
      <c r="Z30" s="19">
        <f t="shared" si="2"/>
        <v>0</v>
      </c>
      <c r="AA30" s="302" t="str">
        <f>A30</f>
        <v>7:00 à 7:30</v>
      </c>
      <c r="AB30" s="302"/>
      <c r="AC30" s="177">
        <f t="shared" si="1"/>
        <v>8</v>
      </c>
      <c r="AD30" s="36">
        <f>C30+E30+G30+I30+K30+M30+O30+Q30+S30+U30+W30+Y30</f>
        <v>4</v>
      </c>
      <c r="AE30" s="36">
        <f>E30+F30+I30+J30+M30+N30+Q30+R30+U30+V30+Y30+Z30</f>
        <v>2</v>
      </c>
      <c r="AF30" s="36">
        <f>E30+I30+M30+Q30+U30+Y30</f>
        <v>1</v>
      </c>
      <c r="AK30" s="36">
        <f>SUM(G30:N30)+SUM(S30:Z30)</f>
        <v>8</v>
      </c>
      <c r="AL30" s="36">
        <f>SUM(C30:F30)+SUM(W30:Z30)+SUM(K30:R30)</f>
        <v>1</v>
      </c>
    </row>
    <row r="31" spans="1:38" ht="54.95" customHeight="1">
      <c r="A31" s="302" t="s">
        <v>37</v>
      </c>
      <c r="B31" s="302"/>
      <c r="C31" s="19">
        <f t="shared" ref="C31:Z31" si="3">C15</f>
        <v>1</v>
      </c>
      <c r="D31" s="19">
        <f t="shared" si="3"/>
        <v>2</v>
      </c>
      <c r="E31" s="19">
        <f t="shared" si="3"/>
        <v>1</v>
      </c>
      <c r="F31" s="19">
        <f t="shared" si="3"/>
        <v>1</v>
      </c>
      <c r="G31" s="19">
        <f t="shared" si="3"/>
        <v>1</v>
      </c>
      <c r="H31" s="19">
        <f t="shared" si="3"/>
        <v>3</v>
      </c>
      <c r="I31" s="19">
        <f t="shared" si="3"/>
        <v>2</v>
      </c>
      <c r="J31" s="19">
        <f t="shared" si="3"/>
        <v>2</v>
      </c>
      <c r="K31" s="19">
        <f t="shared" si="3"/>
        <v>0</v>
      </c>
      <c r="L31" s="19">
        <f t="shared" si="3"/>
        <v>0</v>
      </c>
      <c r="M31" s="19">
        <f t="shared" si="3"/>
        <v>0</v>
      </c>
      <c r="N31" s="19">
        <f t="shared" si="3"/>
        <v>0</v>
      </c>
      <c r="O31" s="19">
        <f t="shared" si="3"/>
        <v>0</v>
      </c>
      <c r="P31" s="19">
        <f t="shared" si="3"/>
        <v>1</v>
      </c>
      <c r="Q31" s="19">
        <f t="shared" si="3"/>
        <v>0</v>
      </c>
      <c r="R31" s="19">
        <f t="shared" si="3"/>
        <v>0</v>
      </c>
      <c r="S31" s="19">
        <f t="shared" si="3"/>
        <v>1</v>
      </c>
      <c r="T31" s="19">
        <f t="shared" si="3"/>
        <v>0</v>
      </c>
      <c r="U31" s="19">
        <f t="shared" si="3"/>
        <v>1</v>
      </c>
      <c r="V31" s="19">
        <f t="shared" si="3"/>
        <v>0</v>
      </c>
      <c r="W31" s="19">
        <f t="shared" si="3"/>
        <v>0</v>
      </c>
      <c r="X31" s="19">
        <f t="shared" si="3"/>
        <v>0</v>
      </c>
      <c r="Y31" s="19">
        <f t="shared" si="3"/>
        <v>0</v>
      </c>
      <c r="Z31" s="19">
        <f t="shared" si="3"/>
        <v>1</v>
      </c>
      <c r="AA31" s="302" t="str">
        <f>A31</f>
        <v>7:30 à 8:00</v>
      </c>
      <c r="AB31" s="302"/>
      <c r="AC31" s="177">
        <f t="shared" si="1"/>
        <v>17</v>
      </c>
      <c r="AD31" s="36">
        <f>C31+E31+G31+I31+K31+M31+O31+Q31+S31+U31+W31+Y31</f>
        <v>7</v>
      </c>
      <c r="AE31" s="36">
        <f>E31+F31+I31+J31+M31+N31+Q31+R31+U31+V31+Y31+Z31</f>
        <v>8</v>
      </c>
      <c r="AF31" s="36">
        <f>E31+I31+M31+Q31+U31+Y31</f>
        <v>4</v>
      </c>
      <c r="AK31" s="36">
        <f>SUM(G31:N31)+SUM(S31:Z31)</f>
        <v>11</v>
      </c>
      <c r="AL31" s="36">
        <f>SUM(C31:F31)+SUM(W31:Z31)+SUM(K31:R31)</f>
        <v>7</v>
      </c>
    </row>
    <row r="32" spans="1:38" ht="54.95" customHeight="1">
      <c r="A32" s="302" t="s">
        <v>38</v>
      </c>
      <c r="B32" s="302"/>
      <c r="C32" s="19">
        <f t="shared" ref="C32:Z32" si="4">C16</f>
        <v>0</v>
      </c>
      <c r="D32" s="19">
        <f t="shared" si="4"/>
        <v>1</v>
      </c>
      <c r="E32" s="19">
        <f t="shared" si="4"/>
        <v>0</v>
      </c>
      <c r="F32" s="19">
        <f t="shared" si="4"/>
        <v>1</v>
      </c>
      <c r="G32" s="19">
        <f t="shared" si="4"/>
        <v>1</v>
      </c>
      <c r="H32" s="19">
        <f t="shared" si="4"/>
        <v>3</v>
      </c>
      <c r="I32" s="19">
        <f t="shared" si="4"/>
        <v>0</v>
      </c>
      <c r="J32" s="19">
        <f t="shared" si="4"/>
        <v>0</v>
      </c>
      <c r="K32" s="19">
        <f t="shared" si="4"/>
        <v>0</v>
      </c>
      <c r="L32" s="19">
        <f t="shared" si="4"/>
        <v>0</v>
      </c>
      <c r="M32" s="19">
        <f t="shared" si="4"/>
        <v>0</v>
      </c>
      <c r="N32" s="19">
        <f t="shared" si="4"/>
        <v>0</v>
      </c>
      <c r="O32" s="19">
        <f t="shared" si="4"/>
        <v>0</v>
      </c>
      <c r="P32" s="19">
        <f t="shared" si="4"/>
        <v>0</v>
      </c>
      <c r="Q32" s="19">
        <f t="shared" si="4"/>
        <v>0</v>
      </c>
      <c r="R32" s="19">
        <f t="shared" si="4"/>
        <v>0</v>
      </c>
      <c r="S32" s="19">
        <f t="shared" si="4"/>
        <v>0</v>
      </c>
      <c r="T32" s="19">
        <f t="shared" si="4"/>
        <v>2</v>
      </c>
      <c r="U32" s="19">
        <f t="shared" si="4"/>
        <v>0</v>
      </c>
      <c r="V32" s="19">
        <f t="shared" si="4"/>
        <v>0</v>
      </c>
      <c r="W32" s="19">
        <f t="shared" si="4"/>
        <v>0</v>
      </c>
      <c r="X32" s="19">
        <f t="shared" si="4"/>
        <v>0</v>
      </c>
      <c r="Y32" s="19">
        <f t="shared" si="4"/>
        <v>0</v>
      </c>
      <c r="Z32" s="19">
        <f t="shared" si="4"/>
        <v>0</v>
      </c>
      <c r="AA32" s="302" t="str">
        <f>A32</f>
        <v>8:00 à 8:30</v>
      </c>
      <c r="AB32" s="302"/>
      <c r="AC32" s="177">
        <f t="shared" si="1"/>
        <v>8</v>
      </c>
      <c r="AD32" s="36">
        <f>C32+E32+G32+I32+K32+M32+O32+Q32+S32+U32+W32+Y32</f>
        <v>1</v>
      </c>
      <c r="AE32" s="36">
        <f>E32+F32+I32+J32+M32+N32+Q32+R32+U32+V32+Y32+Z32</f>
        <v>1</v>
      </c>
      <c r="AF32" s="36">
        <f>E32+I32+M32+Q32+U32+Y32</f>
        <v>0</v>
      </c>
      <c r="AK32" s="36">
        <f>SUM(G32:N32)+SUM(S32:Z32)</f>
        <v>6</v>
      </c>
      <c r="AL32" s="36">
        <f>SUM(C32:F32)+SUM(W32:Z32)+SUM(K32:R32)</f>
        <v>2</v>
      </c>
    </row>
    <row r="33" spans="1:39" ht="54.95" customHeight="1">
      <c r="A33" s="302" t="s">
        <v>39</v>
      </c>
      <c r="B33" s="302"/>
      <c r="C33" s="19">
        <f t="shared" ref="C33:Z33" si="5">C17</f>
        <v>0</v>
      </c>
      <c r="D33" s="19">
        <f t="shared" si="5"/>
        <v>0</v>
      </c>
      <c r="E33" s="19">
        <f t="shared" si="5"/>
        <v>0</v>
      </c>
      <c r="F33" s="19">
        <f t="shared" si="5"/>
        <v>0</v>
      </c>
      <c r="G33" s="19">
        <f t="shared" si="5"/>
        <v>0</v>
      </c>
      <c r="H33" s="19">
        <f t="shared" si="5"/>
        <v>1</v>
      </c>
      <c r="I33" s="19">
        <f t="shared" si="5"/>
        <v>0</v>
      </c>
      <c r="J33" s="19">
        <f t="shared" si="5"/>
        <v>0</v>
      </c>
      <c r="K33" s="19">
        <f t="shared" si="5"/>
        <v>0</v>
      </c>
      <c r="L33" s="19">
        <f t="shared" si="5"/>
        <v>2</v>
      </c>
      <c r="M33" s="19">
        <f t="shared" si="5"/>
        <v>0</v>
      </c>
      <c r="N33" s="19">
        <f t="shared" si="5"/>
        <v>0</v>
      </c>
      <c r="O33" s="19">
        <f t="shared" si="5"/>
        <v>0</v>
      </c>
      <c r="P33" s="19">
        <f t="shared" si="5"/>
        <v>1</v>
      </c>
      <c r="Q33" s="19">
        <f t="shared" si="5"/>
        <v>0</v>
      </c>
      <c r="R33" s="19">
        <f t="shared" si="5"/>
        <v>0</v>
      </c>
      <c r="S33" s="19">
        <f t="shared" si="5"/>
        <v>0</v>
      </c>
      <c r="T33" s="19">
        <f t="shared" si="5"/>
        <v>4</v>
      </c>
      <c r="U33" s="19">
        <f t="shared" si="5"/>
        <v>0</v>
      </c>
      <c r="V33" s="19">
        <f t="shared" si="5"/>
        <v>1</v>
      </c>
      <c r="W33" s="19">
        <f t="shared" si="5"/>
        <v>0</v>
      </c>
      <c r="X33" s="19">
        <f t="shared" si="5"/>
        <v>0</v>
      </c>
      <c r="Y33" s="19">
        <f t="shared" si="5"/>
        <v>0</v>
      </c>
      <c r="Z33" s="19">
        <f t="shared" si="5"/>
        <v>1</v>
      </c>
      <c r="AA33" s="302" t="str">
        <f>A33</f>
        <v>8:30 à 9:00</v>
      </c>
      <c r="AB33" s="302"/>
      <c r="AC33" s="177">
        <f t="shared" si="1"/>
        <v>10</v>
      </c>
      <c r="AD33" s="36">
        <f>C33+E33+G33+I33+K33+M33+O33+Q33+S33+U33+W33+Y33</f>
        <v>0</v>
      </c>
      <c r="AE33" s="36">
        <f>E33+F33+I33+J33+M33+N33+Q33+R33+U33+V33+Y33+Z33</f>
        <v>2</v>
      </c>
      <c r="AF33" s="36">
        <f>E33+I33+M33+Q33+U33+Y33</f>
        <v>0</v>
      </c>
      <c r="AK33" s="36">
        <f>SUM(G33:N33)+SUM(S33:Z33)</f>
        <v>9</v>
      </c>
      <c r="AL33" s="36">
        <f>SUM(C33:F33)+SUM(W33:Z33)+SUM(K33:R33)</f>
        <v>4</v>
      </c>
    </row>
    <row r="34" spans="1:39" ht="54.95" customHeight="1">
      <c r="A34" s="302" t="s">
        <v>27</v>
      </c>
      <c r="B34" s="302"/>
      <c r="C34" s="90">
        <f t="shared" ref="C34:Z34" si="6">SUM(C13:C17)</f>
        <v>1</v>
      </c>
      <c r="D34" s="90">
        <f t="shared" si="6"/>
        <v>5</v>
      </c>
      <c r="E34" s="90">
        <f t="shared" si="6"/>
        <v>1</v>
      </c>
      <c r="F34" s="90">
        <f t="shared" si="6"/>
        <v>2</v>
      </c>
      <c r="G34" s="90">
        <f t="shared" si="6"/>
        <v>6</v>
      </c>
      <c r="H34" s="90">
        <f t="shared" si="6"/>
        <v>10</v>
      </c>
      <c r="I34" s="90">
        <f t="shared" si="6"/>
        <v>3</v>
      </c>
      <c r="J34" s="90">
        <f t="shared" si="6"/>
        <v>3</v>
      </c>
      <c r="K34" s="90">
        <f t="shared" si="6"/>
        <v>0</v>
      </c>
      <c r="L34" s="90">
        <f t="shared" si="6"/>
        <v>3</v>
      </c>
      <c r="M34" s="90">
        <f t="shared" si="6"/>
        <v>0</v>
      </c>
      <c r="N34" s="90">
        <f t="shared" si="6"/>
        <v>0</v>
      </c>
      <c r="O34" s="90">
        <f t="shared" si="6"/>
        <v>0</v>
      </c>
      <c r="P34" s="90">
        <f t="shared" si="6"/>
        <v>2</v>
      </c>
      <c r="Q34" s="90">
        <f t="shared" si="6"/>
        <v>0</v>
      </c>
      <c r="R34" s="90">
        <f t="shared" si="6"/>
        <v>0</v>
      </c>
      <c r="S34" s="90">
        <f t="shared" si="6"/>
        <v>2</v>
      </c>
      <c r="T34" s="90">
        <f t="shared" si="6"/>
        <v>7</v>
      </c>
      <c r="U34" s="90">
        <f t="shared" si="6"/>
        <v>1</v>
      </c>
      <c r="V34" s="90">
        <f t="shared" si="6"/>
        <v>1</v>
      </c>
      <c r="W34" s="90">
        <f t="shared" si="6"/>
        <v>0</v>
      </c>
      <c r="X34" s="90">
        <f t="shared" si="6"/>
        <v>0</v>
      </c>
      <c r="Y34" s="90">
        <f t="shared" si="6"/>
        <v>0</v>
      </c>
      <c r="Z34" s="90">
        <f t="shared" si="6"/>
        <v>2</v>
      </c>
      <c r="AA34" s="318" t="s">
        <v>27</v>
      </c>
      <c r="AB34" s="318"/>
      <c r="AC34" s="39">
        <f t="shared" si="1"/>
        <v>49</v>
      </c>
      <c r="AD34" s="178">
        <f>AD29+AD30+AD31+AD32+AD33</f>
        <v>14</v>
      </c>
      <c r="AE34" s="178">
        <f>AE29+AE31+AE33</f>
        <v>10</v>
      </c>
      <c r="AF34" s="41">
        <f>AF29+AF31+AF33</f>
        <v>4</v>
      </c>
      <c r="AG34" s="179">
        <f>A22</f>
        <v>1</v>
      </c>
      <c r="AH34" s="180">
        <f>A19</f>
        <v>2</v>
      </c>
      <c r="AI34" s="180"/>
      <c r="AJ34" s="180">
        <f>A21</f>
        <v>17</v>
      </c>
      <c r="AK34" s="41">
        <f>AK29+AK31+AK33</f>
        <v>24</v>
      </c>
      <c r="AL34" s="41">
        <f>AL29+AL31+AL33</f>
        <v>13</v>
      </c>
    </row>
    <row r="35" spans="1:39" ht="54.95" customHeight="1">
      <c r="A35" s="42"/>
      <c r="B35" s="42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45" t="s">
        <v>36</v>
      </c>
      <c r="AB35" s="46"/>
      <c r="AC35" s="47">
        <v>8</v>
      </c>
      <c r="AD35" s="47"/>
      <c r="AE35" s="47"/>
      <c r="AF35" s="47"/>
      <c r="AG35" s="59"/>
      <c r="AH35" s="59"/>
      <c r="AI35" s="59"/>
      <c r="AJ35" s="59"/>
      <c r="AK35" s="41"/>
      <c r="AL35" s="41"/>
    </row>
    <row r="36" spans="1:39" ht="54.95" customHeight="1">
      <c r="A36" s="42"/>
      <c r="B36" s="42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52" t="s">
        <v>37</v>
      </c>
      <c r="AB36" s="53"/>
      <c r="AC36" s="54">
        <v>17</v>
      </c>
      <c r="AD36" s="54"/>
      <c r="AE36" s="54"/>
      <c r="AF36" s="54"/>
      <c r="AG36" s="59"/>
      <c r="AH36" s="59"/>
      <c r="AI36" s="59"/>
      <c r="AJ36" s="59"/>
      <c r="AK36" s="41"/>
      <c r="AL36" s="41"/>
    </row>
    <row r="37" spans="1:39" ht="54.95" customHeight="1">
      <c r="A37" s="42"/>
      <c r="B37" s="42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308" t="s">
        <v>41</v>
      </c>
      <c r="AB37" s="308"/>
      <c r="AC37" s="55">
        <f>SUM(AC35:AC36)</f>
        <v>25</v>
      </c>
      <c r="AD37" s="56"/>
      <c r="AE37" s="56"/>
      <c r="AF37" s="56"/>
      <c r="AG37" s="59"/>
      <c r="AH37" s="59"/>
      <c r="AI37" s="59"/>
      <c r="AJ37" s="59"/>
      <c r="AK37" s="41"/>
      <c r="AL37" s="41"/>
    </row>
    <row r="38" spans="1:39" ht="44.25" customHeight="1">
      <c r="A38" s="5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7"/>
      <c r="T38" s="58"/>
      <c r="U38" s="58"/>
      <c r="V38" s="58"/>
      <c r="W38" s="58"/>
      <c r="X38" s="58"/>
      <c r="Y38" s="58"/>
      <c r="Z38" s="44" t="s">
        <v>40</v>
      </c>
      <c r="AA38" s="302" t="s">
        <v>36</v>
      </c>
      <c r="AB38" s="302"/>
      <c r="AC38" s="33">
        <f>IF($AC$33=MAX($AC$29:$AC$33),AC33,IF($AC$32=MAX($AC$29:$AC$33),AC32,IF($AC$31=MAX($AC$29:$AC$33),AC31,IF($AC$30=MAX($AC$29:$AC$33),AC30,IF($AC$29=MAX($AC$29:$AC$33),AC29)))))</f>
        <v>17</v>
      </c>
      <c r="AD38" s="169">
        <f>IF($AC$33=MAX($AC$29:$AC$33),AD33,IF($AC$32=MAX($AC$29:$AC$33),AD32,IF($AC$31=MAX($AC$29:$AC$33),AD31,IF($AC$30=MAX($AC$29:$AC$33),AD30,IF($AC$29=MAX($AC$29:$AC$33),AD29)))))</f>
        <v>7</v>
      </c>
      <c r="AE38" s="169">
        <f>IF($AC$33=MAX($AC$29:$AC$33),AE33,IF($AC$32=MAX($AC$29:$AC$33),AE32,IF($AC$31=MAX($AC$29:$AC$33),AE31,IF($AC$30=MAX($AC$29:$AC$33),AE30,IF($AC$29=MAX($AC$29:$AC$33),AE29)))))</f>
        <v>8</v>
      </c>
      <c r="AF38" s="169">
        <f>IF($AC$33=MAX($AC$29:$AC$33),AF33,IF($AC$32=MAX($AC$29:$AC$33),AF32,IF($AC$31=MAX($AC$29:$AC$33),AF31,IF($AC$30=MAX($AC$29:$AC$33),AF30,IF($AC$29=MAX($AC$29:$AC$33),AF29)))))</f>
        <v>4</v>
      </c>
      <c r="AG38" s="59"/>
      <c r="AH38" s="59"/>
      <c r="AI38" s="59"/>
      <c r="AJ38" s="59"/>
      <c r="AK38" s="169">
        <f>IF($AC$33=MAX($AC$29:$AC$33),AK33,IF($AC$32=MAX($AC$29:$AC$33),AK32,IF($AC$31=MAX($AC$29:$AC$33),AK31,IF($AC$30=MAX($AC$29:$AC$33),AK30,IF($AC$29=MAX($AC$29:$AC$33),AK29)))))</f>
        <v>11</v>
      </c>
      <c r="AL38" s="169">
        <f>IF($AC$33=MAX($AC$29:$AC$33),AL33,IF($AC$32=MAX($AC$29:$AC$33),AL32,IF($AC$31=MAX($AC$29:$AC$33),AL31,IF($AC$30=MAX($AC$29:$AC$33),AL30,IF($AC$29=MAX($AC$29:$AC$33),AL29)))))</f>
        <v>7</v>
      </c>
    </row>
    <row r="39" spans="1:39" ht="21" customHeight="1">
      <c r="A39" s="96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96"/>
      <c r="T39" s="59"/>
      <c r="U39" s="59"/>
      <c r="V39" s="59"/>
      <c r="W39" s="59"/>
      <c r="X39" s="59"/>
      <c r="Y39" s="59"/>
      <c r="Z39" s="59"/>
      <c r="AA39" s="14"/>
      <c r="AB39" s="15"/>
      <c r="AC39" s="305" t="s">
        <v>27</v>
      </c>
      <c r="AD39" s="306" t="s">
        <v>42</v>
      </c>
      <c r="AE39" s="306" t="s">
        <v>43</v>
      </c>
      <c r="AF39" s="306" t="s">
        <v>44</v>
      </c>
      <c r="AK39" s="306" t="str">
        <f>AK25</f>
        <v>Cycles sur rte de Dessy</v>
      </c>
      <c r="AL39" s="306" t="str">
        <f>AL25</f>
        <v>Cycles sur rte des Digues</v>
      </c>
    </row>
    <row r="40" spans="1:39" ht="20.25">
      <c r="A40" s="96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14"/>
      <c r="AB40" s="15"/>
      <c r="AC40" s="305"/>
      <c r="AD40" s="306"/>
      <c r="AE40" s="306"/>
      <c r="AF40" s="306"/>
      <c r="AG40" s="59"/>
      <c r="AH40" s="59"/>
      <c r="AI40" s="59"/>
      <c r="AJ40" s="59"/>
      <c r="AK40" s="306"/>
      <c r="AL40" s="306"/>
      <c r="AM40" s="59"/>
    </row>
    <row r="41" spans="1:39" ht="20.25">
      <c r="A41" s="96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62"/>
      <c r="AB41" s="15"/>
      <c r="AC41" s="305"/>
      <c r="AD41" s="306"/>
      <c r="AE41" s="306"/>
      <c r="AF41" s="306"/>
      <c r="AG41" s="59"/>
      <c r="AH41" s="59"/>
      <c r="AI41" s="59"/>
      <c r="AJ41" s="59"/>
      <c r="AK41" s="306"/>
      <c r="AL41" s="306"/>
      <c r="AM41" s="59"/>
    </row>
    <row r="42" spans="1:39" ht="20.25">
      <c r="A42" s="96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302" t="s">
        <v>20</v>
      </c>
      <c r="AB42" s="302"/>
      <c r="AC42" s="305"/>
      <c r="AD42" s="306"/>
      <c r="AE42" s="306"/>
      <c r="AF42" s="306"/>
      <c r="AG42" s="59"/>
      <c r="AH42" s="59"/>
      <c r="AI42" s="59"/>
      <c r="AJ42" s="59"/>
      <c r="AK42" s="306"/>
      <c r="AL42" s="306"/>
      <c r="AM42" s="59"/>
    </row>
    <row r="43" spans="1:39" ht="35.1" customHeight="1">
      <c r="A43" s="96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302" t="str">
        <f>AA29</f>
        <v>6:30 à 7:00</v>
      </c>
      <c r="AB43" s="302"/>
      <c r="AC43" s="63"/>
      <c r="AD43" s="64">
        <f>IF(AD29=0,0,AD29/AC29)</f>
        <v>0.33333333333333331</v>
      </c>
      <c r="AE43" s="64">
        <f>IF(AE29=0,0,AE29/AC29)</f>
        <v>0</v>
      </c>
      <c r="AF43" s="64">
        <f>IF(AF29=0,0,AF29/AD29)</f>
        <v>0</v>
      </c>
      <c r="AG43" s="59"/>
      <c r="AH43" s="59"/>
      <c r="AI43" s="59"/>
      <c r="AJ43" s="59"/>
      <c r="AK43" s="64">
        <f>IF(AK29=0,0,AK29/AC29)</f>
        <v>0.66666666666666663</v>
      </c>
      <c r="AL43" s="64">
        <f>IF(AL29=0,0,AL29/AC29)</f>
        <v>0.33333333333333331</v>
      </c>
      <c r="AM43" s="59"/>
    </row>
    <row r="44" spans="1:39" ht="35.1" customHeight="1">
      <c r="A44" s="96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302" t="str">
        <f>AA30</f>
        <v>7:00 à 7:30</v>
      </c>
      <c r="AB44" s="302"/>
      <c r="AC44" s="63"/>
      <c r="AD44" s="64">
        <f>IF(AD31=0,0,AD31/AC31)</f>
        <v>0.41176470588235292</v>
      </c>
      <c r="AE44" s="64">
        <f>IF(AE31=0,0,AE31/AC31)</f>
        <v>0.47058823529411764</v>
      </c>
      <c r="AF44" s="64">
        <f>IF(AF31=0,0,AF31/AD31)</f>
        <v>0.5714285714285714</v>
      </c>
      <c r="AG44" s="59"/>
      <c r="AH44" s="59"/>
      <c r="AI44" s="59"/>
      <c r="AJ44" s="59"/>
      <c r="AK44" s="64">
        <f>IF(AK31=0,0,AK31/AC31)</f>
        <v>0.6470588235294118</v>
      </c>
      <c r="AL44" s="64">
        <f>IF(AL31=0,0,AL31/AC31)</f>
        <v>0.41176470588235292</v>
      </c>
      <c r="AM44" s="59"/>
    </row>
    <row r="45" spans="1:39" ht="35.1" customHeight="1">
      <c r="A45" s="96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302" t="str">
        <f>AA31</f>
        <v>7:30 à 8:00</v>
      </c>
      <c r="AB45" s="302"/>
      <c r="AC45" s="63"/>
      <c r="AD45" s="64">
        <f>IF(AD31=0,0,AD31/AC31)</f>
        <v>0.41176470588235292</v>
      </c>
      <c r="AE45" s="64">
        <f t="shared" ref="AE45:AF48" si="7">IF(AE31=0,0,AE31/AC31)</f>
        <v>0.47058823529411764</v>
      </c>
      <c r="AF45" s="64">
        <f t="shared" si="7"/>
        <v>0.5714285714285714</v>
      </c>
      <c r="AG45" s="59"/>
      <c r="AH45" s="59"/>
      <c r="AI45" s="59"/>
      <c r="AJ45" s="59"/>
      <c r="AK45" s="64">
        <f>IF(AK31=0,0,AK31/AC31)</f>
        <v>0.6470588235294118</v>
      </c>
      <c r="AL45" s="64">
        <f>IF(AL31=0,0,AL31/AC31)</f>
        <v>0.41176470588235292</v>
      </c>
      <c r="AM45" s="59"/>
    </row>
    <row r="46" spans="1:39" ht="35.1" customHeight="1">
      <c r="A46" s="96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302" t="str">
        <f>AA32</f>
        <v>8:00 à 8:30</v>
      </c>
      <c r="AB46" s="302"/>
      <c r="AC46" s="63"/>
      <c r="AD46" s="64">
        <f>IF(AD32=0,0,AD32/AC32)</f>
        <v>0.125</v>
      </c>
      <c r="AE46" s="64">
        <f t="shared" si="7"/>
        <v>0.125</v>
      </c>
      <c r="AF46" s="64">
        <f t="shared" si="7"/>
        <v>0</v>
      </c>
      <c r="AG46" s="59"/>
      <c r="AH46" s="59"/>
      <c r="AI46" s="59"/>
      <c r="AJ46" s="59"/>
      <c r="AK46" s="64">
        <f>IF(AK32=0,0,AK32/AC32)</f>
        <v>0.75</v>
      </c>
      <c r="AL46" s="64">
        <f>IF(AL32=0,0,AL32/AC32)</f>
        <v>0.25</v>
      </c>
      <c r="AM46" s="59"/>
    </row>
    <row r="47" spans="1:39" ht="35.1" customHeight="1">
      <c r="F47" s="59"/>
      <c r="K47" s="59"/>
      <c r="L47" s="59"/>
      <c r="M47" s="59"/>
      <c r="S47" s="59"/>
      <c r="T47" s="59"/>
      <c r="U47" s="59"/>
      <c r="AA47" s="302" t="str">
        <f>AA33</f>
        <v>8:30 à 9:00</v>
      </c>
      <c r="AB47" s="302"/>
      <c r="AC47" s="63"/>
      <c r="AD47" s="64">
        <f>IF(AD33=0,0,AD33/AC33)</f>
        <v>0</v>
      </c>
      <c r="AE47" s="64">
        <f t="shared" si="7"/>
        <v>0.2</v>
      </c>
      <c r="AF47" s="64">
        <f t="shared" si="7"/>
        <v>0</v>
      </c>
      <c r="AK47" s="64">
        <f>IF(AK33=0,0,AK33/AC33)</f>
        <v>0.9</v>
      </c>
      <c r="AL47" s="64">
        <f>IF(AL33=0,0,AL33/AC33)</f>
        <v>0.4</v>
      </c>
    </row>
    <row r="48" spans="1:39" ht="35.1" customHeight="1">
      <c r="F48" s="59"/>
      <c r="K48" s="59"/>
      <c r="L48" s="59"/>
      <c r="M48" s="59"/>
      <c r="S48" s="59"/>
      <c r="T48" s="59"/>
      <c r="U48" s="59"/>
      <c r="AA48" s="302" t="s">
        <v>27</v>
      </c>
      <c r="AB48" s="302"/>
      <c r="AC48" s="170"/>
      <c r="AD48" s="171">
        <f>IF(AD34=0,0,AD34/AC34)</f>
        <v>0.2857142857142857</v>
      </c>
      <c r="AE48" s="171">
        <f t="shared" si="7"/>
        <v>0.20408163265306123</v>
      </c>
      <c r="AF48" s="171">
        <f t="shared" si="7"/>
        <v>0.2857142857142857</v>
      </c>
      <c r="AK48" s="171">
        <f>IF(AK34=0,0,AK34/AC34)</f>
        <v>0.48979591836734693</v>
      </c>
      <c r="AL48" s="171">
        <f>IF(AL34=0,0,AL34/AC34)</f>
        <v>0.26530612244897961</v>
      </c>
    </row>
    <row r="49" spans="27:38" ht="35.1" customHeight="1">
      <c r="AA49" s="302" t="str">
        <f>AA38</f>
        <v>7:00 à 7:30</v>
      </c>
      <c r="AB49" s="302"/>
      <c r="AC49" s="33">
        <f>IF($AX$48=MAX($AX$48:$AX$52),AC43,IF($AX$49=MAX($AX$48:$AX$52),AC45,IF($AX$50=MAX($AX$48:$AX$52),AC46,IF($AX$51=MAX($AX$48:$AX$52),(AC46),AC47))))</f>
        <v>0</v>
      </c>
      <c r="AD49" s="66">
        <f>AD38/AC38</f>
        <v>0.41176470588235292</v>
      </c>
      <c r="AE49" s="66">
        <f>AE38/AC38</f>
        <v>0.47058823529411764</v>
      </c>
      <c r="AF49" s="66">
        <f>AF38/AC38</f>
        <v>0.23529411764705882</v>
      </c>
      <c r="AK49" s="66">
        <f>AK38/AC38</f>
        <v>0.6470588235294118</v>
      </c>
      <c r="AL49" s="66">
        <f>AL38/AC38</f>
        <v>0.41176470588235292</v>
      </c>
    </row>
    <row r="50" spans="27:38" ht="35.1" customHeight="1"/>
  </sheetData>
  <mergeCells count="79">
    <mergeCell ref="C9:J9"/>
    <mergeCell ref="K9:R9"/>
    <mergeCell ref="S9:Z9"/>
    <mergeCell ref="C10:F10"/>
    <mergeCell ref="G10:J10"/>
    <mergeCell ref="K10:N10"/>
    <mergeCell ref="O10:R10"/>
    <mergeCell ref="S10:V10"/>
    <mergeCell ref="W10:Z10"/>
    <mergeCell ref="W11:X11"/>
    <mergeCell ref="Y11:Z11"/>
    <mergeCell ref="A12:B12"/>
    <mergeCell ref="C25:J25"/>
    <mergeCell ref="K25:R25"/>
    <mergeCell ref="S25:Z25"/>
    <mergeCell ref="M11:N11"/>
    <mergeCell ref="O11:P11"/>
    <mergeCell ref="Q11:R11"/>
    <mergeCell ref="S11:T11"/>
    <mergeCell ref="U11:V11"/>
    <mergeCell ref="C11:D11"/>
    <mergeCell ref="E11:F11"/>
    <mergeCell ref="G11:H11"/>
    <mergeCell ref="I11:J11"/>
    <mergeCell ref="K11:L11"/>
    <mergeCell ref="AC25:AC28"/>
    <mergeCell ref="AD25:AD28"/>
    <mergeCell ref="AE25:AE28"/>
    <mergeCell ref="AF25:AF28"/>
    <mergeCell ref="AK25:AK28"/>
    <mergeCell ref="AL25:AL28"/>
    <mergeCell ref="C26:F26"/>
    <mergeCell ref="G26:J26"/>
    <mergeCell ref="K26:N26"/>
    <mergeCell ref="O26:R26"/>
    <mergeCell ref="S26:V26"/>
    <mergeCell ref="W26:Z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28:B28"/>
    <mergeCell ref="AA28:AB28"/>
    <mergeCell ref="A29:B29"/>
    <mergeCell ref="AA29:AB29"/>
    <mergeCell ref="A30:B30"/>
    <mergeCell ref="AA30:AB30"/>
    <mergeCell ref="A31:B31"/>
    <mergeCell ref="AA31:AB31"/>
    <mergeCell ref="A32:B32"/>
    <mergeCell ref="AA32:AB32"/>
    <mergeCell ref="A33:B33"/>
    <mergeCell ref="AA33:AB33"/>
    <mergeCell ref="A34:B34"/>
    <mergeCell ref="AA34:AB34"/>
    <mergeCell ref="AA37:AB37"/>
    <mergeCell ref="AA38:AB38"/>
    <mergeCell ref="AC39:AC42"/>
    <mergeCell ref="AD39:AD42"/>
    <mergeCell ref="AE39:AE42"/>
    <mergeCell ref="AF39:AF42"/>
    <mergeCell ref="AK39:AK42"/>
    <mergeCell ref="AL39:AL42"/>
    <mergeCell ref="AA42:AB42"/>
    <mergeCell ref="AA43:AB43"/>
    <mergeCell ref="AA49:AB49"/>
    <mergeCell ref="AA44:AB44"/>
    <mergeCell ref="AA45:AB45"/>
    <mergeCell ref="AA46:AB46"/>
    <mergeCell ref="AA47:AB47"/>
    <mergeCell ref="AA48:AB48"/>
  </mergeCells>
  <pageMargins left="0.196527777777778" right="0.196527777777778" top="0.74791666666666701" bottom="0.94444444444444398" header="0.51180555555555496" footer="0.51180555555555496"/>
  <pageSetup paperSize="9" scale="51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MJ47"/>
  <sheetViews>
    <sheetView topLeftCell="A13" zoomScale="50" zoomScaleNormal="50" workbookViewId="0">
      <selection activeCell="K35" sqref="K35"/>
    </sheetView>
  </sheetViews>
  <sheetFormatPr baseColWidth="10" defaultColWidth="11.25" defaultRowHeight="14.25"/>
  <cols>
    <col min="1" max="1" width="12.375" style="1" customWidth="1"/>
    <col min="2" max="2" width="11.25" style="1"/>
    <col min="3" max="10" width="26" style="1" customWidth="1"/>
    <col min="11" max="12" width="10.875" style="1" customWidth="1"/>
    <col min="13" max="13" width="20" style="1" customWidth="1"/>
    <col min="14" max="14" width="22" style="1" customWidth="1"/>
    <col min="15" max="15" width="20" style="1" customWidth="1"/>
    <col min="16" max="16" width="21.5" style="1" customWidth="1"/>
    <col min="17" max="20" width="10.875" style="1" customWidth="1"/>
    <col min="21" max="21" width="24" style="1" customWidth="1"/>
    <col min="22" max="1019" width="11.25" style="1"/>
    <col min="1020" max="1020" width="11.125" style="1" customWidth="1"/>
    <col min="1021" max="1024" width="10.5" customWidth="1"/>
  </cols>
  <sheetData>
    <row r="1" spans="1:1024" s="2" customFormat="1" ht="52.5" customHeight="1">
      <c r="A1" s="3"/>
      <c r="B1" s="4" t="s">
        <v>108</v>
      </c>
      <c r="C1" s="5"/>
      <c r="D1" s="5"/>
      <c r="E1" s="5"/>
      <c r="G1" s="3" t="s">
        <v>2</v>
      </c>
      <c r="H1" s="162"/>
      <c r="I1" s="5"/>
      <c r="J1" s="5"/>
      <c r="O1" s="8"/>
      <c r="P1" s="5"/>
      <c r="U1" s="5"/>
      <c r="V1" s="5"/>
      <c r="W1" s="5"/>
      <c r="X1" s="5"/>
      <c r="Y1" s="5"/>
      <c r="Z1" s="5"/>
      <c r="AC1" s="5"/>
      <c r="AD1" s="5"/>
      <c r="AMD1" s="8"/>
      <c r="AME1" s="8"/>
      <c r="AMF1" s="8"/>
      <c r="AMG1"/>
      <c r="AMH1"/>
      <c r="AMI1"/>
      <c r="AMJ1"/>
    </row>
    <row r="2" spans="1:1024" s="2" customFormat="1" ht="52.5" customHeight="1">
      <c r="A2" s="3" t="s">
        <v>3</v>
      </c>
      <c r="B2" s="5"/>
      <c r="C2" s="5"/>
      <c r="D2" s="5"/>
      <c r="E2" s="5"/>
      <c r="G2" s="5"/>
      <c r="H2" s="5"/>
      <c r="I2" s="5"/>
      <c r="J2" s="5"/>
      <c r="K2" s="5"/>
      <c r="L2" s="5"/>
      <c r="M2" s="5"/>
      <c r="N2" s="5"/>
      <c r="O2" s="5"/>
      <c r="P2" s="8"/>
      <c r="U2" s="5"/>
      <c r="V2" s="5"/>
      <c r="W2" s="5"/>
      <c r="X2" s="5"/>
      <c r="Y2" s="5"/>
      <c r="Z2" s="5"/>
      <c r="AB2" s="5"/>
      <c r="AC2" s="5"/>
      <c r="AD2" s="5"/>
      <c r="AMD2" s="8"/>
      <c r="AME2" s="8"/>
      <c r="AMF2" s="8"/>
      <c r="AMG2"/>
      <c r="AMH2"/>
      <c r="AMI2"/>
      <c r="AMJ2"/>
    </row>
    <row r="3" spans="1:1024" s="2" customFormat="1" ht="20.25" customHeight="1">
      <c r="A3" s="3" t="s">
        <v>5</v>
      </c>
      <c r="B3" s="5"/>
      <c r="C3" s="5"/>
      <c r="D3" s="5"/>
      <c r="E3" s="5"/>
      <c r="F3" s="5"/>
      <c r="G3" s="9" t="s">
        <v>7</v>
      </c>
      <c r="H3" s="5"/>
      <c r="I3" s="5"/>
      <c r="J3" s="5"/>
      <c r="K3" s="5"/>
      <c r="L3" s="5"/>
      <c r="M3" s="5"/>
      <c r="N3" s="5"/>
      <c r="O3" s="5"/>
      <c r="P3" s="8"/>
      <c r="U3" s="5"/>
      <c r="V3" s="5"/>
      <c r="W3" s="5"/>
      <c r="X3" s="5"/>
      <c r="Y3" s="5"/>
      <c r="Z3" s="5"/>
      <c r="AA3" s="5"/>
      <c r="AB3" s="5"/>
      <c r="AC3" s="5"/>
      <c r="AD3" s="5"/>
      <c r="AMD3" s="8"/>
      <c r="AME3" s="8"/>
      <c r="AMF3" s="8"/>
      <c r="AMG3"/>
      <c r="AMH3"/>
      <c r="AMI3"/>
      <c r="AMJ3"/>
    </row>
    <row r="4" spans="1:1024" s="8" customFormat="1" ht="4.5" customHeight="1"/>
    <row r="5" spans="1:1024" s="2" customFormat="1" ht="25.5" customHeight="1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MF5" s="8"/>
      <c r="AMG5"/>
      <c r="AMH5"/>
      <c r="AMI5"/>
      <c r="AMJ5"/>
    </row>
    <row r="6" spans="1:1024" s="2" customFormat="1" ht="25.5" customHeight="1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MF6" s="8"/>
      <c r="AMG6"/>
      <c r="AMH6"/>
      <c r="AMI6"/>
      <c r="AMJ6"/>
    </row>
    <row r="7" spans="1:1024" s="2" customFormat="1" ht="50.65" customHeight="1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MF7" s="8"/>
      <c r="AMG7"/>
      <c r="AMH7"/>
      <c r="AMI7"/>
      <c r="AMJ7"/>
    </row>
    <row r="8" spans="1:1024" s="2" customFormat="1" ht="30" customHeight="1">
      <c r="A8" s="3"/>
      <c r="B8" s="5"/>
      <c r="C8" s="338" t="s">
        <v>109</v>
      </c>
      <c r="D8" s="338"/>
      <c r="E8" s="338"/>
      <c r="F8" s="338"/>
      <c r="G8" s="338"/>
      <c r="H8" s="338"/>
      <c r="I8" s="338"/>
      <c r="J8" s="338"/>
      <c r="Q8" s="5"/>
      <c r="R8" s="5"/>
      <c r="S8" s="5"/>
      <c r="T8" s="5"/>
      <c r="AMG8" s="8"/>
      <c r="AMH8" s="8"/>
      <c r="AMI8" s="8"/>
      <c r="AMJ8" s="8"/>
    </row>
    <row r="9" spans="1:1024" ht="35.1" customHeight="1">
      <c r="A9" s="3"/>
      <c r="B9" s="5"/>
      <c r="C9" s="312" t="s">
        <v>110</v>
      </c>
      <c r="D9" s="312"/>
      <c r="E9" s="312"/>
      <c r="F9" s="312"/>
      <c r="G9" s="312" t="s">
        <v>111</v>
      </c>
      <c r="H9" s="312"/>
      <c r="I9" s="312"/>
      <c r="J9" s="312"/>
      <c r="Q9" s="2"/>
      <c r="R9" s="2"/>
      <c r="S9" s="2"/>
      <c r="T9" s="2"/>
    </row>
    <row r="10" spans="1:1024" ht="35.1" customHeight="1">
      <c r="A10" s="3"/>
      <c r="B10" s="5"/>
      <c r="C10" s="181" t="s">
        <v>18</v>
      </c>
      <c r="D10" s="182" t="s">
        <v>18</v>
      </c>
      <c r="E10" s="181" t="s">
        <v>19</v>
      </c>
      <c r="F10" s="182" t="s">
        <v>19</v>
      </c>
      <c r="G10" s="181" t="s">
        <v>18</v>
      </c>
      <c r="H10" s="182" t="s">
        <v>18</v>
      </c>
      <c r="I10" s="181" t="s">
        <v>19</v>
      </c>
      <c r="J10" s="182" t="s">
        <v>19</v>
      </c>
      <c r="Q10" s="2"/>
      <c r="R10" s="2"/>
      <c r="S10" s="2"/>
      <c r="T10" s="2"/>
    </row>
    <row r="11" spans="1:1024" ht="35.1" customHeight="1">
      <c r="A11" s="302" t="s">
        <v>20</v>
      </c>
      <c r="B11" s="302"/>
      <c r="C11" s="17" t="s">
        <v>21</v>
      </c>
      <c r="D11" s="17" t="s">
        <v>22</v>
      </c>
      <c r="E11" s="17" t="s">
        <v>21</v>
      </c>
      <c r="F11" s="17" t="s">
        <v>22</v>
      </c>
      <c r="G11" s="17" t="s">
        <v>21</v>
      </c>
      <c r="H11" s="17" t="s">
        <v>22</v>
      </c>
      <c r="I11" s="17" t="s">
        <v>21</v>
      </c>
      <c r="J11" s="17" t="s">
        <v>22</v>
      </c>
      <c r="Q11" s="2"/>
      <c r="R11" s="2"/>
      <c r="S11" s="2"/>
      <c r="T11" s="2"/>
    </row>
    <row r="12" spans="1:1024" ht="69.95" customHeight="1">
      <c r="A12" s="75">
        <v>0.27083333333333298</v>
      </c>
      <c r="B12" s="75">
        <v>0.29166666666666702</v>
      </c>
      <c r="C12" s="19"/>
      <c r="D12" s="19"/>
      <c r="E12" s="19"/>
      <c r="F12" s="76"/>
      <c r="G12" s="77"/>
      <c r="H12" s="19"/>
      <c r="I12" s="19"/>
      <c r="J12" s="19"/>
      <c r="Q12" s="2"/>
      <c r="R12" s="2"/>
      <c r="S12" s="2"/>
      <c r="T12" s="2"/>
    </row>
    <row r="13" spans="1:1024" ht="69.95" customHeight="1">
      <c r="A13" s="75">
        <v>0.29166666666666702</v>
      </c>
      <c r="B13" s="75">
        <v>0.3125</v>
      </c>
      <c r="C13" s="19"/>
      <c r="D13" s="19">
        <v>4</v>
      </c>
      <c r="E13" s="19"/>
      <c r="F13" s="76"/>
      <c r="G13" s="77"/>
      <c r="H13" s="19">
        <v>6</v>
      </c>
      <c r="I13" s="19"/>
      <c r="J13" s="19"/>
    </row>
    <row r="14" spans="1:1024" ht="69.95" customHeight="1">
      <c r="A14" s="75">
        <v>0.3125</v>
      </c>
      <c r="B14" s="75">
        <v>0.33333333333333298</v>
      </c>
      <c r="C14" s="19"/>
      <c r="D14" s="19">
        <v>3</v>
      </c>
      <c r="E14" s="19"/>
      <c r="F14" s="76"/>
      <c r="G14" s="77"/>
      <c r="H14" s="19">
        <v>2</v>
      </c>
      <c r="I14" s="19"/>
      <c r="J14" s="19"/>
    </row>
    <row r="15" spans="1:1024" ht="69.95" customHeight="1">
      <c r="A15" s="75">
        <v>0.33333333333333298</v>
      </c>
      <c r="B15" s="75">
        <v>0.35416666666666702</v>
      </c>
      <c r="C15" s="19"/>
      <c r="D15" s="19"/>
      <c r="E15" s="19"/>
      <c r="F15" s="76">
        <v>1</v>
      </c>
      <c r="G15" s="77"/>
      <c r="H15" s="19">
        <v>6</v>
      </c>
      <c r="I15" s="19"/>
      <c r="J15" s="19">
        <v>4</v>
      </c>
    </row>
    <row r="16" spans="1:1024" ht="69.95" customHeight="1">
      <c r="A16" s="75">
        <v>0.35416666666666702</v>
      </c>
      <c r="B16" s="75">
        <v>0.375</v>
      </c>
      <c r="C16" s="19"/>
      <c r="D16" s="19"/>
      <c r="E16" s="19">
        <v>2</v>
      </c>
      <c r="F16" s="76">
        <v>6</v>
      </c>
      <c r="G16" s="77"/>
      <c r="H16" s="19">
        <v>21</v>
      </c>
      <c r="I16" s="19"/>
      <c r="J16" s="19">
        <v>20</v>
      </c>
      <c r="L16" s="183" t="s">
        <v>112</v>
      </c>
    </row>
    <row r="17" spans="1:22" ht="12" customHeight="1">
      <c r="A17" s="24"/>
      <c r="B17" s="24"/>
      <c r="C17" s="25"/>
      <c r="D17" s="25"/>
      <c r="E17" s="25"/>
      <c r="F17" s="25"/>
      <c r="G17" s="25"/>
      <c r="H17" s="25"/>
      <c r="I17" s="25"/>
      <c r="J17" s="25"/>
    </row>
    <row r="18" spans="1:22" s="23" customFormat="1" ht="39.75" customHeight="1">
      <c r="A18" s="20">
        <v>5</v>
      </c>
      <c r="B18" s="21" t="s">
        <v>23</v>
      </c>
      <c r="C18" s="22"/>
      <c r="D18" s="184" t="s">
        <v>113</v>
      </c>
      <c r="E18" s="22"/>
      <c r="F18" s="22"/>
      <c r="G18" s="22"/>
      <c r="H18" s="22"/>
      <c r="I18" s="20"/>
      <c r="J18" s="22"/>
      <c r="K18" s="22"/>
      <c r="L18" s="22"/>
      <c r="M18" s="22"/>
      <c r="N18" s="22"/>
      <c r="O18" s="22"/>
      <c r="P18" s="22"/>
      <c r="Q18" s="1"/>
      <c r="R18" s="1"/>
      <c r="S18" s="1"/>
      <c r="T18" s="1"/>
      <c r="U18" s="22"/>
      <c r="V18" s="22"/>
    </row>
    <row r="19" spans="1:22" s="23" customFormat="1" ht="39.75" customHeight="1">
      <c r="A19" s="20"/>
      <c r="B19" s="21" t="s">
        <v>24</v>
      </c>
      <c r="C19" s="22"/>
      <c r="D19" s="22"/>
      <c r="E19" s="22"/>
      <c r="F19" s="22"/>
      <c r="G19" s="22"/>
      <c r="H19" s="22"/>
      <c r="I19" s="20"/>
      <c r="J19" s="22"/>
      <c r="K19" s="22"/>
      <c r="L19" s="22"/>
      <c r="M19" s="22"/>
      <c r="N19" s="22"/>
      <c r="O19" s="22"/>
      <c r="P19" s="22"/>
      <c r="Q19" s="1"/>
      <c r="R19" s="1"/>
      <c r="S19" s="1"/>
      <c r="T19" s="1"/>
      <c r="U19" s="22"/>
      <c r="V19" s="22"/>
    </row>
    <row r="20" spans="1:22" s="23" customFormat="1" ht="39.75" customHeight="1">
      <c r="A20" s="20"/>
      <c r="B20" s="21" t="s">
        <v>25</v>
      </c>
      <c r="C20" s="22"/>
      <c r="D20" s="22"/>
      <c r="E20" s="22"/>
      <c r="F20" s="22"/>
      <c r="G20" s="22"/>
      <c r="H20" s="22"/>
      <c r="I20" s="20"/>
      <c r="J20" s="22"/>
      <c r="K20" s="22"/>
      <c r="L20" s="22"/>
      <c r="M20" s="22"/>
      <c r="N20" s="22"/>
      <c r="O20" s="22"/>
      <c r="P20" s="22"/>
      <c r="U20" s="22"/>
      <c r="V20" s="22"/>
    </row>
    <row r="21" spans="1:22" s="23" customFormat="1" ht="39.75" customHeight="1">
      <c r="A21" s="20">
        <v>10</v>
      </c>
      <c r="B21" s="21" t="s">
        <v>26</v>
      </c>
      <c r="C21" s="22"/>
      <c r="D21" s="22"/>
      <c r="E21" s="22"/>
      <c r="F21" s="22"/>
      <c r="G21" s="22"/>
      <c r="H21" s="22"/>
      <c r="I21" s="20"/>
      <c r="J21" s="22"/>
      <c r="K21" s="22"/>
      <c r="L21" s="22"/>
      <c r="M21" s="22"/>
      <c r="N21" s="22"/>
      <c r="O21" s="22"/>
      <c r="P21" s="22"/>
      <c r="U21" s="22"/>
      <c r="V21" s="22"/>
    </row>
    <row r="22" spans="1:22" ht="39.75" customHeight="1">
      <c r="A22" s="105"/>
      <c r="B22" s="5"/>
      <c r="C22" s="5"/>
      <c r="D22" s="5"/>
      <c r="E22" s="5"/>
      <c r="F22" s="5"/>
      <c r="G22" s="5"/>
      <c r="H22" s="5"/>
      <c r="I22" s="5"/>
      <c r="J22" s="5"/>
      <c r="M22" s="176" t="s">
        <v>105</v>
      </c>
      <c r="Q22" s="23"/>
      <c r="R22" s="23"/>
      <c r="S22" s="23"/>
      <c r="T22" s="23"/>
    </row>
    <row r="23" spans="1:22" ht="30" customHeight="1">
      <c r="A23" s="14"/>
      <c r="B23" s="15"/>
      <c r="C23" s="342" t="str">
        <f>C8</f>
        <v>Pont du Borne</v>
      </c>
      <c r="D23" s="342"/>
      <c r="E23" s="342"/>
      <c r="F23" s="342"/>
      <c r="G23" s="342"/>
      <c r="H23" s="342"/>
      <c r="I23" s="342"/>
      <c r="J23" s="342"/>
      <c r="K23" s="302" t="s">
        <v>20</v>
      </c>
      <c r="L23" s="302"/>
      <c r="M23" s="341" t="s">
        <v>27</v>
      </c>
      <c r="N23" s="319" t="s">
        <v>28</v>
      </c>
      <c r="O23" s="316" t="s">
        <v>29</v>
      </c>
      <c r="P23" s="316" t="s">
        <v>30</v>
      </c>
      <c r="Q23" s="306" t="s">
        <v>32</v>
      </c>
      <c r="R23" s="306" t="s">
        <v>33</v>
      </c>
      <c r="S23" s="306" t="s">
        <v>24</v>
      </c>
      <c r="T23" s="306" t="s">
        <v>34</v>
      </c>
      <c r="U23" s="311" t="s">
        <v>114</v>
      </c>
    </row>
    <row r="24" spans="1:22" ht="23.25">
      <c r="A24" s="14"/>
      <c r="B24" s="15"/>
      <c r="C24" s="312" t="str">
        <f>C9</f>
        <v>Depuis Bonneville</v>
      </c>
      <c r="D24" s="312"/>
      <c r="E24" s="312"/>
      <c r="F24" s="312"/>
      <c r="G24" s="339" t="str">
        <f>G9</f>
        <v>Depuis St Pierre</v>
      </c>
      <c r="H24" s="339"/>
      <c r="I24" s="339"/>
      <c r="J24" s="339"/>
      <c r="K24" s="302"/>
      <c r="L24" s="302"/>
      <c r="M24" s="341"/>
      <c r="N24" s="319"/>
      <c r="O24" s="316"/>
      <c r="P24" s="316"/>
      <c r="Q24" s="306"/>
      <c r="R24" s="306"/>
      <c r="S24" s="306"/>
      <c r="T24" s="306"/>
      <c r="U24" s="311"/>
    </row>
    <row r="25" spans="1:22" ht="20.25" customHeight="1">
      <c r="A25" s="14"/>
      <c r="B25" s="15"/>
      <c r="C25" s="309" t="s">
        <v>18</v>
      </c>
      <c r="D25" s="309"/>
      <c r="E25" s="309" t="s">
        <v>19</v>
      </c>
      <c r="F25" s="309"/>
      <c r="G25" s="309" t="s">
        <v>18</v>
      </c>
      <c r="H25" s="309"/>
      <c r="I25" s="340" t="s">
        <v>19</v>
      </c>
      <c r="J25" s="340"/>
      <c r="K25" s="302"/>
      <c r="L25" s="302"/>
      <c r="M25" s="341"/>
      <c r="N25" s="319"/>
      <c r="O25" s="316"/>
      <c r="P25" s="316"/>
      <c r="Q25" s="306"/>
      <c r="R25" s="306"/>
      <c r="S25" s="306"/>
      <c r="T25" s="306"/>
      <c r="U25" s="311"/>
    </row>
    <row r="26" spans="1:22" ht="21" customHeight="1">
      <c r="A26" s="302" t="s">
        <v>20</v>
      </c>
      <c r="B26" s="302"/>
      <c r="C26" s="17" t="s">
        <v>21</v>
      </c>
      <c r="D26" s="17" t="s">
        <v>22</v>
      </c>
      <c r="E26" s="17" t="s">
        <v>21</v>
      </c>
      <c r="F26" s="17" t="s">
        <v>22</v>
      </c>
      <c r="G26" s="17" t="s">
        <v>21</v>
      </c>
      <c r="H26" s="17" t="s">
        <v>22</v>
      </c>
      <c r="I26" s="17" t="s">
        <v>21</v>
      </c>
      <c r="J26" s="181" t="s">
        <v>22</v>
      </c>
      <c r="K26" s="302"/>
      <c r="L26" s="302"/>
      <c r="M26" s="341"/>
      <c r="N26" s="319"/>
      <c r="O26" s="316"/>
      <c r="P26" s="316"/>
      <c r="Q26" s="306"/>
      <c r="R26" s="306"/>
      <c r="S26" s="306"/>
      <c r="T26" s="306"/>
      <c r="U26" s="311"/>
    </row>
    <row r="27" spans="1:22" ht="35.1" customHeight="1">
      <c r="A27" s="302" t="s">
        <v>35</v>
      </c>
      <c r="B27" s="302"/>
      <c r="C27" s="19">
        <f t="shared" ref="C27:J31" si="0">+C12</f>
        <v>0</v>
      </c>
      <c r="D27" s="19">
        <f t="shared" si="0"/>
        <v>0</v>
      </c>
      <c r="E27" s="19">
        <f t="shared" si="0"/>
        <v>0</v>
      </c>
      <c r="F27" s="19">
        <f t="shared" si="0"/>
        <v>0</v>
      </c>
      <c r="G27" s="19">
        <f t="shared" si="0"/>
        <v>0</v>
      </c>
      <c r="H27" s="19">
        <f t="shared" si="0"/>
        <v>0</v>
      </c>
      <c r="I27" s="19">
        <f t="shared" si="0"/>
        <v>0</v>
      </c>
      <c r="J27" s="19">
        <f t="shared" si="0"/>
        <v>0</v>
      </c>
      <c r="K27" s="304" t="str">
        <f>A27</f>
        <v>6:30 à 7:00</v>
      </c>
      <c r="L27" s="304"/>
      <c r="M27" s="35">
        <f>SUM(C27:J27)</f>
        <v>0</v>
      </c>
      <c r="N27" s="36">
        <f>C27+E27+G27+I27</f>
        <v>0</v>
      </c>
      <c r="O27" s="36">
        <f>E27+F27+I27+J27</f>
        <v>0</v>
      </c>
      <c r="P27" s="36">
        <f>E27+I27</f>
        <v>0</v>
      </c>
      <c r="U27" s="36">
        <f>SUM(G27:J27)</f>
        <v>0</v>
      </c>
    </row>
    <row r="28" spans="1:22" ht="35.1" customHeight="1">
      <c r="A28" s="302" t="s">
        <v>36</v>
      </c>
      <c r="B28" s="302"/>
      <c r="C28" s="19">
        <f t="shared" si="0"/>
        <v>0</v>
      </c>
      <c r="D28" s="19">
        <f t="shared" si="0"/>
        <v>4</v>
      </c>
      <c r="E28" s="19">
        <f t="shared" si="0"/>
        <v>0</v>
      </c>
      <c r="F28" s="19">
        <f t="shared" si="0"/>
        <v>0</v>
      </c>
      <c r="G28" s="19">
        <f t="shared" si="0"/>
        <v>0</v>
      </c>
      <c r="H28" s="19">
        <f t="shared" si="0"/>
        <v>6</v>
      </c>
      <c r="I28" s="19">
        <f t="shared" si="0"/>
        <v>0</v>
      </c>
      <c r="J28" s="19">
        <f t="shared" si="0"/>
        <v>0</v>
      </c>
      <c r="K28" s="302" t="str">
        <f>A28</f>
        <v>7:00 à 7:30</v>
      </c>
      <c r="L28" s="302"/>
      <c r="M28" s="35">
        <f>SUM(C28:J28)</f>
        <v>10</v>
      </c>
      <c r="N28" s="36">
        <f>C28+E28+G28+I28</f>
        <v>0</v>
      </c>
      <c r="O28" s="36">
        <f>E28+F28+I28+J28</f>
        <v>0</v>
      </c>
      <c r="P28" s="36">
        <f>E28+I28</f>
        <v>0</v>
      </c>
      <c r="U28" s="36">
        <f>SUM(G28:J28)</f>
        <v>6</v>
      </c>
    </row>
    <row r="29" spans="1:22" ht="35.1" customHeight="1">
      <c r="A29" s="302" t="s">
        <v>37</v>
      </c>
      <c r="B29" s="302"/>
      <c r="C29" s="19">
        <f t="shared" si="0"/>
        <v>0</v>
      </c>
      <c r="D29" s="19">
        <f t="shared" si="0"/>
        <v>3</v>
      </c>
      <c r="E29" s="19">
        <f t="shared" si="0"/>
        <v>0</v>
      </c>
      <c r="F29" s="19">
        <f t="shared" si="0"/>
        <v>0</v>
      </c>
      <c r="G29" s="19">
        <f t="shared" si="0"/>
        <v>0</v>
      </c>
      <c r="H29" s="19">
        <f t="shared" si="0"/>
        <v>2</v>
      </c>
      <c r="I29" s="19">
        <f t="shared" si="0"/>
        <v>0</v>
      </c>
      <c r="J29" s="19">
        <f t="shared" si="0"/>
        <v>0</v>
      </c>
      <c r="K29" s="302" t="str">
        <f>A29</f>
        <v>7:30 à 8:00</v>
      </c>
      <c r="L29" s="302"/>
      <c r="M29" s="35">
        <f>SUM(C29:J29)</f>
        <v>5</v>
      </c>
      <c r="N29" s="36">
        <f>C29+E29+G29+I29</f>
        <v>0</v>
      </c>
      <c r="O29" s="36">
        <f>E29+F29+I29+J29</f>
        <v>0</v>
      </c>
      <c r="P29" s="36">
        <f>E29+I29</f>
        <v>0</v>
      </c>
      <c r="U29" s="36">
        <f>SUM(G29:J29)</f>
        <v>2</v>
      </c>
    </row>
    <row r="30" spans="1:22" ht="35.1" customHeight="1">
      <c r="A30" s="302" t="s">
        <v>38</v>
      </c>
      <c r="B30" s="302"/>
      <c r="C30" s="19">
        <f t="shared" si="0"/>
        <v>0</v>
      </c>
      <c r="D30" s="19">
        <f t="shared" si="0"/>
        <v>0</v>
      </c>
      <c r="E30" s="19">
        <f t="shared" si="0"/>
        <v>0</v>
      </c>
      <c r="F30" s="19">
        <f t="shared" si="0"/>
        <v>1</v>
      </c>
      <c r="G30" s="19">
        <f t="shared" si="0"/>
        <v>0</v>
      </c>
      <c r="H30" s="19">
        <f t="shared" si="0"/>
        <v>6</v>
      </c>
      <c r="I30" s="19">
        <f t="shared" si="0"/>
        <v>0</v>
      </c>
      <c r="J30" s="19">
        <f t="shared" si="0"/>
        <v>4</v>
      </c>
      <c r="K30" s="302" t="str">
        <f>A30</f>
        <v>8:00 à 8:30</v>
      </c>
      <c r="L30" s="302"/>
      <c r="M30" s="35">
        <f>SUM(C30:J30)</f>
        <v>11</v>
      </c>
      <c r="N30" s="36">
        <f>C30+E30+G30+I30</f>
        <v>0</v>
      </c>
      <c r="O30" s="36">
        <f>E30+F30+I30+J30</f>
        <v>5</v>
      </c>
      <c r="P30" s="36">
        <f>E30+I30</f>
        <v>0</v>
      </c>
      <c r="U30" s="36">
        <f>SUM(G30:J30)</f>
        <v>10</v>
      </c>
    </row>
    <row r="31" spans="1:22" ht="35.1" customHeight="1">
      <c r="A31" s="302" t="s">
        <v>39</v>
      </c>
      <c r="B31" s="302"/>
      <c r="C31" s="19">
        <f t="shared" si="0"/>
        <v>0</v>
      </c>
      <c r="D31" s="19">
        <f t="shared" si="0"/>
        <v>0</v>
      </c>
      <c r="E31" s="19">
        <f t="shared" si="0"/>
        <v>2</v>
      </c>
      <c r="F31" s="19">
        <f t="shared" si="0"/>
        <v>6</v>
      </c>
      <c r="G31" s="19">
        <f t="shared" si="0"/>
        <v>0</v>
      </c>
      <c r="H31" s="19">
        <f t="shared" si="0"/>
        <v>21</v>
      </c>
      <c r="I31" s="19">
        <f t="shared" si="0"/>
        <v>0</v>
      </c>
      <c r="J31" s="19">
        <f t="shared" si="0"/>
        <v>20</v>
      </c>
      <c r="K31" s="302" t="str">
        <f>A31</f>
        <v>8:30 à 9:00</v>
      </c>
      <c r="L31" s="302"/>
      <c r="M31" s="185">
        <f>SUM(C31:J31)-28</f>
        <v>21</v>
      </c>
      <c r="N31" s="36">
        <f>C31+E31+G31+I31</f>
        <v>2</v>
      </c>
      <c r="O31" s="186">
        <f>E31+F31+I31+J31-14</f>
        <v>14</v>
      </c>
      <c r="P31" s="36">
        <f>E31+I31</f>
        <v>2</v>
      </c>
      <c r="U31" s="36">
        <f>SUM(G31:J31)</f>
        <v>41</v>
      </c>
    </row>
    <row r="32" spans="1:22" ht="35.1" customHeight="1">
      <c r="A32" s="302" t="s">
        <v>27</v>
      </c>
      <c r="B32" s="302"/>
      <c r="C32" s="90">
        <f t="shared" ref="C32:J32" si="1">SUM(C12:C16)</f>
        <v>0</v>
      </c>
      <c r="D32" s="90">
        <f t="shared" si="1"/>
        <v>7</v>
      </c>
      <c r="E32" s="90">
        <f t="shared" si="1"/>
        <v>2</v>
      </c>
      <c r="F32" s="90">
        <f t="shared" si="1"/>
        <v>7</v>
      </c>
      <c r="G32" s="90">
        <f t="shared" si="1"/>
        <v>0</v>
      </c>
      <c r="H32" s="90">
        <f t="shared" si="1"/>
        <v>35</v>
      </c>
      <c r="I32" s="90">
        <f t="shared" si="1"/>
        <v>0</v>
      </c>
      <c r="J32" s="90">
        <f t="shared" si="1"/>
        <v>24</v>
      </c>
      <c r="K32" s="318" t="s">
        <v>27</v>
      </c>
      <c r="L32" s="318"/>
      <c r="M32" s="39">
        <f>SUM(M27:M31)</f>
        <v>47</v>
      </c>
      <c r="N32" s="39">
        <f>SUM(N27:N31)</f>
        <v>2</v>
      </c>
      <c r="O32" s="39">
        <f>SUM(O27:O31)</f>
        <v>19</v>
      </c>
      <c r="P32" s="40">
        <f>SUM(P27:P31)</f>
        <v>2</v>
      </c>
      <c r="Q32" s="39">
        <f>A21</f>
        <v>10</v>
      </c>
      <c r="R32" s="40">
        <f>A18</f>
        <v>5</v>
      </c>
      <c r="S32" s="40"/>
      <c r="T32" s="40">
        <f>A20</f>
        <v>0</v>
      </c>
      <c r="U32" s="40">
        <f>SUM(U27:U31)</f>
        <v>59</v>
      </c>
    </row>
    <row r="33" spans="1:21" ht="35.1" customHeight="1">
      <c r="A33" s="42"/>
      <c r="B33" s="42"/>
      <c r="C33" s="94"/>
      <c r="D33" s="94"/>
      <c r="E33" s="94"/>
      <c r="F33" s="94"/>
      <c r="G33" s="94"/>
      <c r="H33" s="94"/>
      <c r="I33" s="94"/>
      <c r="J33" s="94"/>
      <c r="K33" s="45" t="s">
        <v>38</v>
      </c>
      <c r="L33" s="46"/>
      <c r="M33" s="47">
        <v>11</v>
      </c>
      <c r="N33" s="47"/>
      <c r="O33" s="47"/>
      <c r="P33" s="40"/>
      <c r="Q33" s="59"/>
      <c r="R33" s="59"/>
      <c r="S33" s="59"/>
      <c r="T33" s="59"/>
      <c r="U33" s="40"/>
    </row>
    <row r="34" spans="1:21" ht="35.1" customHeight="1">
      <c r="A34" s="42"/>
      <c r="B34" s="42"/>
      <c r="C34" s="94"/>
      <c r="D34" s="94"/>
      <c r="E34" s="94"/>
      <c r="F34" s="94"/>
      <c r="G34" s="94"/>
      <c r="H34" s="94"/>
      <c r="I34" s="94"/>
      <c r="J34" s="94"/>
      <c r="K34" s="52" t="s">
        <v>39</v>
      </c>
      <c r="L34" s="53"/>
      <c r="M34" s="54">
        <v>21</v>
      </c>
      <c r="N34" s="54"/>
      <c r="O34" s="54"/>
      <c r="P34" s="40"/>
      <c r="Q34" s="59"/>
      <c r="R34" s="59"/>
      <c r="S34" s="59"/>
      <c r="T34" s="59"/>
      <c r="U34" s="40"/>
    </row>
    <row r="35" spans="1:21" ht="35.1" customHeight="1">
      <c r="A35" s="42"/>
      <c r="B35" s="42"/>
      <c r="C35" s="94"/>
      <c r="D35" s="94"/>
      <c r="E35" s="94"/>
      <c r="F35" s="94"/>
      <c r="G35" s="94"/>
      <c r="H35" s="94"/>
      <c r="I35" s="94"/>
      <c r="J35" s="94"/>
      <c r="K35" s="308" t="s">
        <v>41</v>
      </c>
      <c r="L35" s="308"/>
      <c r="M35" s="55">
        <f>SUM(M33:M34)</f>
        <v>32</v>
      </c>
      <c r="N35" s="56"/>
      <c r="O35" s="56"/>
      <c r="P35" s="40"/>
      <c r="Q35" s="59"/>
      <c r="R35" s="59"/>
      <c r="S35" s="59"/>
      <c r="T35" s="59"/>
      <c r="U35" s="40"/>
    </row>
    <row r="36" spans="1:21" ht="35.1" customHeight="1">
      <c r="A36" s="57"/>
      <c r="B36" s="58"/>
      <c r="C36" s="58"/>
      <c r="D36" s="58"/>
      <c r="E36" s="58"/>
      <c r="F36" s="58"/>
      <c r="G36" s="58"/>
      <c r="H36" s="58"/>
      <c r="I36" s="58"/>
      <c r="J36" s="44" t="s">
        <v>40</v>
      </c>
      <c r="K36" s="302" t="str">
        <f>IF($M$31=MAX($M$27:$M$31),K31,IF($M$30=MAX($M$27:$M$31),K30,IF($M$29=MAX($M$27:$M$31),K29,IF($M$28=MAX($M$27:$M$31),K28,IF($M$27=MAX($M$27:$M$31),K27,K31)))))</f>
        <v>8:30 à 9:00</v>
      </c>
      <c r="L36" s="302"/>
      <c r="M36" s="33">
        <f>IF($M$31=MAX($M$27:$M$31),M31,IF($M$30=MAX($M$27:$M$31),M30,IF($M$29=MAX($M$27:$M$31),M29,IF($M$28=MAX($M$27:$M$31),M28,IF($M$27=MAX($M$27:$M$31),M27,M31)))))</f>
        <v>21</v>
      </c>
      <c r="N36" s="169">
        <f>IF($M$31=MAX($M$27:$M$31),N31,IF($M$30=MAX($M$27:$M$31),N30,IF($M$29=MAX($M$27:$M$31),N29,IF($M$28=MAX($M$27:$M$31),N28,IF($M$27=MAX($M$27:$M$31),N27,N31)))))</f>
        <v>2</v>
      </c>
      <c r="O36" s="169">
        <f>IF($M$31=MAX($M$27:$M$31),O31,IF($M$30=MAX($M$27:$M$31),O30,IF($M$29=MAX($M$27:$M$31),O29,IF($M$28=MAX($M$27:$M$31),O28,IF($M$27=MAX($M$27:$M$31),O27,O31)))))</f>
        <v>14</v>
      </c>
      <c r="P36" s="169">
        <f>IF($M$31=MAX($M$27:$M$31),P31,IF($M$30=MAX($M$27:$M$31),P30,IF($M$29=MAX($M$27:$M$31),P29,IF($M$28=MAX($M$27:$M$31),P28,IF($M$27=MAX($M$27:$M$31),P27,P31)))))</f>
        <v>2</v>
      </c>
      <c r="U36" s="169">
        <f>IF($M$31=MAX($M$27:$M$31),U31,IF($M$30=MAX($M$27:$M$31),U30,IF($M$29=MAX($M$27:$M$31),U29,IF($M$28=MAX($M$27:$M$31),U28,IF($M$27=MAX($M$27:$M$31),U27,U31)))))</f>
        <v>41</v>
      </c>
    </row>
    <row r="37" spans="1:21" ht="24.95" customHeight="1">
      <c r="A37" s="96"/>
      <c r="B37" s="59"/>
      <c r="C37" s="59"/>
      <c r="D37" s="59"/>
      <c r="E37" s="59"/>
      <c r="F37" s="59"/>
      <c r="G37" s="59"/>
      <c r="H37" s="59"/>
      <c r="I37" s="59"/>
      <c r="J37" s="59"/>
      <c r="K37" s="14"/>
      <c r="L37" s="15"/>
      <c r="M37" s="305" t="s">
        <v>27</v>
      </c>
      <c r="N37" s="306" t="s">
        <v>42</v>
      </c>
      <c r="O37" s="306" t="s">
        <v>43</v>
      </c>
      <c r="P37" s="306" t="s">
        <v>44</v>
      </c>
      <c r="U37" s="306" t="str">
        <f>U23</f>
        <v>Cycles en direction de Bonneville</v>
      </c>
    </row>
    <row r="38" spans="1:21" ht="24.95" customHeight="1">
      <c r="A38" s="96"/>
      <c r="B38" s="59"/>
      <c r="C38" s="59"/>
      <c r="D38" s="59"/>
      <c r="E38" s="59"/>
      <c r="F38" s="59"/>
      <c r="G38" s="59"/>
      <c r="H38" s="59"/>
      <c r="I38" s="59"/>
      <c r="J38" s="59"/>
      <c r="K38" s="14"/>
      <c r="L38" s="15"/>
      <c r="M38" s="305"/>
      <c r="N38" s="306"/>
      <c r="O38" s="306"/>
      <c r="P38" s="306"/>
      <c r="Q38" s="59"/>
      <c r="R38" s="59"/>
      <c r="S38" s="59"/>
      <c r="T38" s="59"/>
      <c r="U38" s="306"/>
    </row>
    <row r="39" spans="1:21" ht="24.95" customHeight="1">
      <c r="A39" s="96"/>
      <c r="B39" s="59"/>
      <c r="C39" s="59"/>
      <c r="D39" s="59"/>
      <c r="E39" s="59"/>
      <c r="F39" s="59"/>
      <c r="G39" s="59"/>
      <c r="H39" s="59"/>
      <c r="I39" s="59"/>
      <c r="J39" s="59"/>
      <c r="K39" s="62"/>
      <c r="L39" s="15"/>
      <c r="M39" s="305"/>
      <c r="N39" s="306"/>
      <c r="O39" s="306"/>
      <c r="P39" s="306"/>
      <c r="Q39" s="59"/>
      <c r="R39" s="59"/>
      <c r="S39" s="59"/>
      <c r="T39" s="59"/>
      <c r="U39" s="306"/>
    </row>
    <row r="40" spans="1:21" ht="35.1" customHeight="1">
      <c r="A40" s="96"/>
      <c r="B40" s="59"/>
      <c r="C40" s="59"/>
      <c r="D40" s="59"/>
      <c r="E40" s="59"/>
      <c r="F40" s="59"/>
      <c r="G40" s="59"/>
      <c r="H40" s="59"/>
      <c r="I40" s="59"/>
      <c r="J40" s="59"/>
      <c r="K40" s="302" t="s">
        <v>20</v>
      </c>
      <c r="L40" s="302"/>
      <c r="M40" s="305"/>
      <c r="N40" s="306"/>
      <c r="O40" s="306"/>
      <c r="P40" s="306"/>
      <c r="Q40" s="59"/>
      <c r="R40" s="59"/>
      <c r="S40" s="59"/>
      <c r="T40" s="59"/>
      <c r="U40" s="306"/>
    </row>
    <row r="41" spans="1:21" ht="35.1" customHeight="1">
      <c r="A41" s="96"/>
      <c r="B41" s="59"/>
      <c r="C41" s="59"/>
      <c r="D41" s="59"/>
      <c r="E41" s="59"/>
      <c r="F41" s="59"/>
      <c r="G41" s="59"/>
      <c r="H41" s="59"/>
      <c r="I41" s="59"/>
      <c r="J41" s="59"/>
      <c r="K41" s="302" t="str">
        <f>K27</f>
        <v>6:30 à 7:00</v>
      </c>
      <c r="L41" s="302"/>
      <c r="M41" s="63"/>
      <c r="N41" s="64">
        <f>IF(N27=0,0,N27/M27)</f>
        <v>0</v>
      </c>
      <c r="O41" s="64">
        <f>IF(O27=0,0,O27/M27)</f>
        <v>0</v>
      </c>
      <c r="P41" s="64">
        <f>IF(P27=0,0,P27/N27)</f>
        <v>0</v>
      </c>
      <c r="Q41" s="59"/>
      <c r="R41" s="59"/>
      <c r="S41" s="59"/>
      <c r="T41" s="59"/>
      <c r="U41" s="64">
        <f>IF(U27=0,0,U27/M27)</f>
        <v>0</v>
      </c>
    </row>
    <row r="42" spans="1:21" ht="35.1" customHeight="1">
      <c r="A42" s="96"/>
      <c r="B42" s="59"/>
      <c r="C42" s="59"/>
      <c r="D42" s="59"/>
      <c r="E42" s="59"/>
      <c r="F42" s="59"/>
      <c r="G42" s="59"/>
      <c r="H42" s="59"/>
      <c r="I42" s="59"/>
      <c r="J42" s="59"/>
      <c r="K42" s="302" t="str">
        <f>K28</f>
        <v>7:00 à 7:30</v>
      </c>
      <c r="L42" s="302"/>
      <c r="M42" s="63"/>
      <c r="N42" s="64">
        <f>IF(N29=0,0,N29/M29)</f>
        <v>0</v>
      </c>
      <c r="O42" s="64">
        <f>IF(O29=0,0,O29/M29)</f>
        <v>0</v>
      </c>
      <c r="P42" s="64">
        <f>IF(P29=0,0,P29/N29)</f>
        <v>0</v>
      </c>
      <c r="Q42" s="59"/>
      <c r="R42" s="59"/>
      <c r="S42" s="59"/>
      <c r="T42" s="59"/>
      <c r="U42" s="64">
        <f>IF(U29=0,0,U29/M29)</f>
        <v>0.4</v>
      </c>
    </row>
    <row r="43" spans="1:21" ht="35.1" customHeight="1">
      <c r="A43" s="96"/>
      <c r="B43" s="59"/>
      <c r="C43" s="59"/>
      <c r="D43" s="59"/>
      <c r="E43" s="59"/>
      <c r="F43" s="59"/>
      <c r="G43" s="59"/>
      <c r="H43" s="59"/>
      <c r="I43" s="59"/>
      <c r="J43" s="59"/>
      <c r="K43" s="302" t="str">
        <f>K29</f>
        <v>7:30 à 8:00</v>
      </c>
      <c r="L43" s="302"/>
      <c r="M43" s="63"/>
      <c r="N43" s="64">
        <f>IF(N29=0,0,N29/M29)</f>
        <v>0</v>
      </c>
      <c r="O43" s="64">
        <f t="shared" ref="O43:P46" si="2">IF(O29=0,0,O29/M29)</f>
        <v>0</v>
      </c>
      <c r="P43" s="64">
        <f t="shared" si="2"/>
        <v>0</v>
      </c>
      <c r="Q43" s="59"/>
      <c r="R43" s="59"/>
      <c r="S43" s="59"/>
      <c r="T43" s="59"/>
      <c r="U43" s="64">
        <f>IF(U29=0,0,U29/M29)</f>
        <v>0.4</v>
      </c>
    </row>
    <row r="44" spans="1:21" ht="35.1" customHeight="1">
      <c r="A44" s="96"/>
      <c r="B44" s="59"/>
      <c r="C44" s="59"/>
      <c r="D44" s="59"/>
      <c r="E44" s="59"/>
      <c r="F44" s="59"/>
      <c r="G44" s="59"/>
      <c r="H44" s="59"/>
      <c r="I44" s="59"/>
      <c r="J44" s="59"/>
      <c r="K44" s="302" t="str">
        <f>K30</f>
        <v>8:00 à 8:30</v>
      </c>
      <c r="L44" s="302"/>
      <c r="M44" s="63"/>
      <c r="N44" s="64">
        <f>IF(N30=0,0,N30/M30)</f>
        <v>0</v>
      </c>
      <c r="O44" s="64">
        <f t="shared" si="2"/>
        <v>0.45454545454545453</v>
      </c>
      <c r="P44" s="64">
        <f t="shared" si="2"/>
        <v>0</v>
      </c>
      <c r="Q44" s="59"/>
      <c r="R44" s="59"/>
      <c r="S44" s="59"/>
      <c r="T44" s="59"/>
      <c r="U44" s="64">
        <f>IF(U30=0,0,U30/M30)</f>
        <v>0.90909090909090906</v>
      </c>
    </row>
    <row r="45" spans="1:21" ht="35.1" customHeight="1">
      <c r="F45" s="59"/>
      <c r="K45" s="302" t="str">
        <f>K31</f>
        <v>8:30 à 9:00</v>
      </c>
      <c r="L45" s="302"/>
      <c r="M45" s="63"/>
      <c r="N45" s="64">
        <f>IF(N31=0,0,N31/M31)</f>
        <v>9.5238095238095233E-2</v>
      </c>
      <c r="O45" s="64">
        <f t="shared" si="2"/>
        <v>0.66666666666666663</v>
      </c>
      <c r="P45" s="64">
        <f t="shared" si="2"/>
        <v>1</v>
      </c>
      <c r="U45" s="64">
        <f>IF(U31=0,0,U31/M31)</f>
        <v>1.9523809523809523</v>
      </c>
    </row>
    <row r="46" spans="1:21" ht="35.1" customHeight="1">
      <c r="F46" s="59"/>
      <c r="K46" s="302" t="s">
        <v>27</v>
      </c>
      <c r="L46" s="302"/>
      <c r="M46" s="170"/>
      <c r="N46" s="171">
        <f>IF(N32=0,0,N32/M32)</f>
        <v>4.2553191489361701E-2</v>
      </c>
      <c r="O46" s="171">
        <f t="shared" si="2"/>
        <v>0.40425531914893614</v>
      </c>
      <c r="P46" s="171">
        <f t="shared" si="2"/>
        <v>1</v>
      </c>
      <c r="U46" s="171">
        <f>IF(U32=0,0,U32/M32)</f>
        <v>1.2553191489361701</v>
      </c>
    </row>
    <row r="47" spans="1:21" ht="35.1" customHeight="1">
      <c r="K47" s="302" t="str">
        <f>K36</f>
        <v>8:30 à 9:00</v>
      </c>
      <c r="L47" s="302"/>
      <c r="M47" s="33">
        <f>IF($AS$48=MAX($AS$48:$AS$52),M41,IF($AS$49=MAX($AS$48:$AS$52),M43,IF($AS$50=MAX($AS$48:$AS$52),M44,IF($AS$51=MAX($AS$48:$AS$52),(M44),M45))))</f>
        <v>0</v>
      </c>
      <c r="N47" s="66">
        <f>IF($AS$48=MAX($AS$48:$AS$52),N41,IF($AS$49=MAX($AS$48:$AS$52),N43,IF($AS$50=MAX($AS$48:$AS$52),N44,IF($AS$51=MAX($AS$48:$AS$52),(N44),N45))))</f>
        <v>0</v>
      </c>
      <c r="O47" s="66">
        <f>O45</f>
        <v>0.66666666666666663</v>
      </c>
      <c r="P47" s="66">
        <f>IF($AS$48=MAX($AS$48:$AS$52),P41,IF($AS$49=MAX($AS$48:$AS$52),P43,IF($AS$50=MAX($AS$48:$AS$52),P44,IF($AS$51=MAX($AS$48:$AS$52),(P44),P45))))</f>
        <v>0</v>
      </c>
      <c r="U47" s="66">
        <f>IF($AS$48=MAX($AS$48:$AS$52),U41,IF($AS$49=MAX($AS$48:$AS$52),U43,IF($AS$50=MAX($AS$48:$AS$52),U44,IF($AS$51=MAX($AS$48:$AS$52),(U44),U45))))</f>
        <v>0</v>
      </c>
    </row>
  </sheetData>
  <mergeCells count="49">
    <mergeCell ref="A11:B11"/>
    <mergeCell ref="C23:J23"/>
    <mergeCell ref="M23:M26"/>
    <mergeCell ref="N23:N26"/>
    <mergeCell ref="O23:O26"/>
    <mergeCell ref="P23:P26"/>
    <mergeCell ref="C8:J8"/>
    <mergeCell ref="C9:F9"/>
    <mergeCell ref="G9:J9"/>
    <mergeCell ref="Q23:Q26"/>
    <mergeCell ref="R23:R26"/>
    <mergeCell ref="S23:S26"/>
    <mergeCell ref="T23:T26"/>
    <mergeCell ref="U23:U26"/>
    <mergeCell ref="C24:F24"/>
    <mergeCell ref="G24:J24"/>
    <mergeCell ref="C25:D25"/>
    <mergeCell ref="E25:F25"/>
    <mergeCell ref="G25:H25"/>
    <mergeCell ref="I25:J25"/>
    <mergeCell ref="A26:B26"/>
    <mergeCell ref="A27:B27"/>
    <mergeCell ref="K27:L27"/>
    <mergeCell ref="A28:B28"/>
    <mergeCell ref="K28:L28"/>
    <mergeCell ref="K23:L26"/>
    <mergeCell ref="A29:B29"/>
    <mergeCell ref="K29:L29"/>
    <mergeCell ref="A30:B30"/>
    <mergeCell ref="K30:L30"/>
    <mergeCell ref="A31:B31"/>
    <mergeCell ref="K31:L31"/>
    <mergeCell ref="A32:B32"/>
    <mergeCell ref="K32:L32"/>
    <mergeCell ref="K35:L35"/>
    <mergeCell ref="K36:L36"/>
    <mergeCell ref="M37:M40"/>
    <mergeCell ref="N37:N40"/>
    <mergeCell ref="O37:O40"/>
    <mergeCell ref="P37:P40"/>
    <mergeCell ref="U37:U40"/>
    <mergeCell ref="K40:L40"/>
    <mergeCell ref="K46:L46"/>
    <mergeCell ref="K47:L47"/>
    <mergeCell ref="K41:L41"/>
    <mergeCell ref="K42:L42"/>
    <mergeCell ref="K43:L43"/>
    <mergeCell ref="K44:L44"/>
    <mergeCell ref="K45:L45"/>
  </mergeCells>
  <pageMargins left="0.51180555555555496" right="0.51180555555555496" top="0.94444444444444398" bottom="0.94444444444444398" header="0.51180555555555496" footer="0.51180555555555496"/>
  <pageSetup paperSize="9" fitToHeight="0" orientation="landscape" horizontalDpi="300" verticalDpi="300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MJ121"/>
  <sheetViews>
    <sheetView topLeftCell="A79" zoomScale="40" zoomScaleNormal="40" workbookViewId="0">
      <selection activeCell="Y94" sqref="Y94"/>
    </sheetView>
  </sheetViews>
  <sheetFormatPr baseColWidth="10" defaultColWidth="11.25" defaultRowHeight="18"/>
  <cols>
    <col min="1" max="1" width="10.375" style="1" customWidth="1"/>
    <col min="2" max="2" width="11.25" style="1"/>
    <col min="3" max="4" width="9.125" style="1" customWidth="1"/>
    <col min="5" max="5" width="9.625" style="1" customWidth="1"/>
    <col min="6" max="6" width="9.25" style="1" customWidth="1"/>
    <col min="7" max="21" width="9.625" style="1" customWidth="1"/>
    <col min="22" max="22" width="8" style="1" customWidth="1"/>
    <col min="23" max="23" width="13.125" style="187" customWidth="1"/>
    <col min="24" max="24" width="13.125" style="1" customWidth="1"/>
    <col min="25" max="25" width="17.125" style="1" customWidth="1"/>
    <col min="26" max="26" width="17.875" style="1" customWidth="1"/>
    <col min="27" max="27" width="23.625" style="1" customWidth="1"/>
    <col min="28" max="28" width="18.875" style="1" customWidth="1"/>
    <col min="29" max="30" width="13.125" style="1" customWidth="1"/>
    <col min="31" max="31" width="14.75" style="1" customWidth="1"/>
    <col min="32" max="38" width="13.125" style="1" customWidth="1"/>
    <col min="39" max="45" width="6.375" style="1" customWidth="1"/>
    <col min="46" max="46" width="9.375" style="1" customWidth="1"/>
    <col min="47" max="47" width="14.25" style="1" customWidth="1"/>
    <col min="48" max="48" width="14.125" style="1" customWidth="1"/>
    <col min="49" max="52" width="21.375" style="1" customWidth="1"/>
    <col min="53" max="54" width="19.125" style="1" customWidth="1"/>
    <col min="55" max="55" width="16.125" style="1" customWidth="1"/>
    <col min="56" max="59" width="17.5" style="1" customWidth="1"/>
    <col min="60" max="64" width="10.875" style="1" customWidth="1"/>
    <col min="65" max="981" width="11.25" style="1"/>
    <col min="982" max="982" width="11.125" style="1" customWidth="1"/>
    <col min="983" max="1024" width="10.5" customWidth="1"/>
  </cols>
  <sheetData>
    <row r="1" spans="1:51" s="8" customFormat="1" ht="52.5" customHeight="1">
      <c r="A1" s="188"/>
      <c r="B1" s="11" t="s">
        <v>115</v>
      </c>
      <c r="C1" s="5"/>
      <c r="D1" s="5"/>
      <c r="E1" s="5"/>
      <c r="F1" s="2"/>
      <c r="G1" s="5"/>
      <c r="H1" s="5"/>
      <c r="I1" s="5"/>
      <c r="J1" s="5"/>
      <c r="K1" s="2"/>
      <c r="L1" s="2"/>
      <c r="M1" s="2"/>
      <c r="N1" s="2"/>
      <c r="O1" s="6" t="s">
        <v>2</v>
      </c>
      <c r="P1" s="5"/>
      <c r="Q1" s="5"/>
      <c r="R1" s="5"/>
      <c r="S1" s="2"/>
      <c r="T1" s="2"/>
      <c r="U1" s="2"/>
      <c r="V1" s="2"/>
      <c r="W1" s="189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2"/>
      <c r="AY1" s="2"/>
    </row>
    <row r="2" spans="1:51" s="8" customFormat="1" ht="52.5" customHeight="1">
      <c r="A2" s="3" t="s">
        <v>3</v>
      </c>
      <c r="B2" s="5"/>
      <c r="C2" s="5"/>
      <c r="D2" s="5"/>
      <c r="E2" s="5"/>
      <c r="F2" s="2"/>
      <c r="G2" s="5"/>
      <c r="H2" s="5"/>
      <c r="I2" s="5"/>
      <c r="J2" s="5"/>
      <c r="K2" s="5"/>
      <c r="L2" s="5" t="s">
        <v>116</v>
      </c>
      <c r="M2" s="5"/>
      <c r="N2" s="5"/>
      <c r="O2" s="5"/>
      <c r="P2" s="5"/>
      <c r="Q2" s="5"/>
      <c r="R2" s="5"/>
      <c r="S2" s="5"/>
      <c r="T2" s="5" t="s">
        <v>117</v>
      </c>
      <c r="U2" s="5"/>
      <c r="V2" s="5"/>
      <c r="W2" s="189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2"/>
      <c r="AY2" s="2"/>
    </row>
    <row r="3" spans="1:51" s="8" customFormat="1" ht="52.5" customHeight="1">
      <c r="A3" s="3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9" t="s">
        <v>7</v>
      </c>
      <c r="O3" s="5"/>
      <c r="Q3" s="5"/>
      <c r="R3" s="5"/>
      <c r="S3" s="5"/>
      <c r="T3" s="5"/>
      <c r="U3" s="5"/>
      <c r="V3" s="5"/>
      <c r="W3" s="190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s="8" customFormat="1" ht="25.5" customHeight="1">
      <c r="W4" s="191"/>
    </row>
    <row r="5" spans="1:51" s="8" customFormat="1" ht="25.5" customHeight="1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190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s="8" customFormat="1" ht="25.5" customHeight="1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190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1:51" s="8" customFormat="1" ht="50.65" customHeight="1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190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1:51" s="8" customFormat="1" ht="25.5" customHeight="1">
      <c r="A8" s="1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192"/>
      <c r="X8" s="193"/>
      <c r="Y8" s="193"/>
      <c r="Z8" s="193"/>
      <c r="AA8" s="193"/>
      <c r="AB8" s="193"/>
      <c r="AC8" s="193"/>
      <c r="AD8" s="193"/>
      <c r="AE8" s="193"/>
      <c r="AF8" s="193"/>
      <c r="AG8" s="193"/>
      <c r="AH8" s="193"/>
      <c r="AI8" s="193"/>
      <c r="AJ8" s="193"/>
      <c r="AK8" s="193"/>
      <c r="AL8" s="193"/>
      <c r="AM8" s="193"/>
      <c r="AN8" s="193"/>
      <c r="AO8" s="193"/>
      <c r="AP8" s="193"/>
      <c r="AQ8" s="193"/>
      <c r="AR8" s="193"/>
      <c r="AS8" s="193"/>
      <c r="AT8" s="193"/>
      <c r="AU8" s="193"/>
      <c r="AV8" s="193"/>
      <c r="AW8" s="193"/>
      <c r="AX8" s="2"/>
      <c r="AY8" s="2"/>
    </row>
    <row r="9" spans="1:51" s="2" customFormat="1" ht="32.25" customHeight="1">
      <c r="A9" s="3"/>
      <c r="B9" s="5"/>
      <c r="C9" s="338" t="s">
        <v>118</v>
      </c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W9" s="190"/>
      <c r="AP9" s="26"/>
      <c r="AQ9" s="26"/>
      <c r="AS9" s="194"/>
      <c r="AT9" s="194"/>
      <c r="AU9" s="194"/>
      <c r="AV9" s="194"/>
      <c r="AW9" s="194"/>
      <c r="AX9" s="194"/>
      <c r="AY9" s="194"/>
    </row>
    <row r="10" spans="1:51" s="1" customFormat="1" ht="22.7" customHeight="1">
      <c r="A10" s="3"/>
      <c r="B10" s="5"/>
      <c r="C10" s="312" t="s">
        <v>53</v>
      </c>
      <c r="D10" s="312"/>
      <c r="E10" s="312"/>
      <c r="F10" s="312"/>
      <c r="G10" s="312" t="s">
        <v>119</v>
      </c>
      <c r="H10" s="312"/>
      <c r="I10" s="312"/>
      <c r="J10" s="312"/>
      <c r="K10" s="312" t="s">
        <v>120</v>
      </c>
      <c r="L10" s="312"/>
      <c r="M10" s="312"/>
      <c r="N10" s="312"/>
      <c r="O10" s="312" t="s">
        <v>82</v>
      </c>
      <c r="P10" s="312"/>
      <c r="Q10" s="312"/>
      <c r="R10" s="312"/>
      <c r="S10" s="312" t="s">
        <v>121</v>
      </c>
      <c r="T10" s="312"/>
      <c r="U10" s="312"/>
      <c r="V10" s="312"/>
      <c r="W10" s="187"/>
      <c r="AP10" s="25"/>
      <c r="AQ10" s="25"/>
    </row>
    <row r="11" spans="1:51" s="1" customFormat="1" ht="18.600000000000001" customHeight="1">
      <c r="A11" s="3"/>
      <c r="B11" s="5"/>
      <c r="C11" s="309" t="s">
        <v>18</v>
      </c>
      <c r="D11" s="309"/>
      <c r="E11" s="309" t="s">
        <v>19</v>
      </c>
      <c r="F11" s="309"/>
      <c r="G11" s="309" t="s">
        <v>18</v>
      </c>
      <c r="H11" s="309"/>
      <c r="I11" s="309" t="s">
        <v>19</v>
      </c>
      <c r="J11" s="309"/>
      <c r="K11" s="309" t="s">
        <v>18</v>
      </c>
      <c r="L11" s="309"/>
      <c r="M11" s="309" t="s">
        <v>19</v>
      </c>
      <c r="N11" s="309"/>
      <c r="O11" s="309" t="s">
        <v>18</v>
      </c>
      <c r="P11" s="309"/>
      <c r="Q11" s="309" t="s">
        <v>19</v>
      </c>
      <c r="R11" s="309"/>
      <c r="S11" s="309" t="s">
        <v>18</v>
      </c>
      <c r="T11" s="309"/>
      <c r="U11" s="309" t="s">
        <v>19</v>
      </c>
      <c r="V11" s="309"/>
      <c r="W11" s="187"/>
      <c r="AP11" s="25"/>
      <c r="AQ11" s="25"/>
    </row>
    <row r="12" spans="1:51" s="1" customFormat="1" ht="20.25">
      <c r="A12" s="302" t="s">
        <v>20</v>
      </c>
      <c r="B12" s="302"/>
      <c r="C12" s="195" t="s">
        <v>21</v>
      </c>
      <c r="D12" s="195" t="s">
        <v>22</v>
      </c>
      <c r="E12" s="195" t="s">
        <v>21</v>
      </c>
      <c r="F12" s="195" t="s">
        <v>22</v>
      </c>
      <c r="G12" s="195" t="s">
        <v>21</v>
      </c>
      <c r="H12" s="195" t="s">
        <v>22</v>
      </c>
      <c r="I12" s="195" t="s">
        <v>21</v>
      </c>
      <c r="J12" s="195" t="s">
        <v>22</v>
      </c>
      <c r="K12" s="195" t="s">
        <v>21</v>
      </c>
      <c r="L12" s="195" t="s">
        <v>22</v>
      </c>
      <c r="M12" s="195" t="s">
        <v>21</v>
      </c>
      <c r="N12" s="195" t="s">
        <v>22</v>
      </c>
      <c r="O12" s="195" t="s">
        <v>21</v>
      </c>
      <c r="P12" s="195" t="s">
        <v>22</v>
      </c>
      <c r="Q12" s="195" t="s">
        <v>21</v>
      </c>
      <c r="R12" s="195" t="s">
        <v>22</v>
      </c>
      <c r="S12" s="195" t="s">
        <v>21</v>
      </c>
      <c r="T12" s="195" t="s">
        <v>22</v>
      </c>
      <c r="U12" s="195" t="s">
        <v>21</v>
      </c>
      <c r="V12" s="195" t="s">
        <v>22</v>
      </c>
      <c r="W12" s="187"/>
      <c r="AP12" s="25"/>
      <c r="AQ12" s="25"/>
      <c r="AR12" s="196"/>
    </row>
    <row r="13" spans="1:51" s="1" customFormat="1" ht="54.95" customHeight="1">
      <c r="A13" s="18">
        <v>0.27083333333333298</v>
      </c>
      <c r="B13" s="18">
        <v>0.29166666666666702</v>
      </c>
      <c r="C13" s="19"/>
      <c r="D13" s="19"/>
      <c r="E13" s="19"/>
      <c r="F13" s="197"/>
      <c r="G13" s="198"/>
      <c r="H13" s="19"/>
      <c r="I13" s="19"/>
      <c r="J13" s="197"/>
      <c r="K13" s="198"/>
      <c r="L13" s="19"/>
      <c r="M13" s="19"/>
      <c r="N13" s="197"/>
      <c r="O13" s="198"/>
      <c r="P13" s="19"/>
      <c r="Q13" s="19"/>
      <c r="R13" s="197"/>
      <c r="S13" s="198"/>
      <c r="T13" s="19"/>
      <c r="U13" s="19"/>
      <c r="V13" s="76"/>
      <c r="W13" s="187"/>
      <c r="AP13" s="25"/>
      <c r="AQ13" s="25"/>
      <c r="AR13" s="199"/>
      <c r="AS13" s="199"/>
      <c r="AT13" s="199"/>
      <c r="AU13" s="199"/>
      <c r="AV13" s="199"/>
      <c r="AW13" s="199"/>
      <c r="AX13" s="199"/>
      <c r="AY13" s="199"/>
    </row>
    <row r="14" spans="1:51" s="1" customFormat="1" ht="54.95" customHeight="1">
      <c r="A14" s="18">
        <v>0.29166666666666702</v>
      </c>
      <c r="B14" s="18">
        <v>0.3125</v>
      </c>
      <c r="C14" s="19">
        <v>1</v>
      </c>
      <c r="D14" s="19"/>
      <c r="E14" s="19"/>
      <c r="F14" s="197"/>
      <c r="G14" s="198"/>
      <c r="H14" s="19"/>
      <c r="I14" s="19"/>
      <c r="J14" s="197"/>
      <c r="K14" s="198"/>
      <c r="L14" s="19"/>
      <c r="M14" s="19"/>
      <c r="N14" s="197"/>
      <c r="O14" s="198"/>
      <c r="P14" s="19"/>
      <c r="Q14" s="19"/>
      <c r="R14" s="197"/>
      <c r="S14" s="198"/>
      <c r="T14" s="19"/>
      <c r="U14" s="19"/>
      <c r="V14" s="76"/>
      <c r="W14" s="187">
        <f>SUM(C14:V14)</f>
        <v>1</v>
      </c>
      <c r="AP14" s="25"/>
      <c r="AQ14" s="25"/>
      <c r="AR14" s="199"/>
      <c r="AS14" s="199"/>
      <c r="AT14" s="199"/>
      <c r="AU14" s="199"/>
      <c r="AV14" s="199"/>
      <c r="AW14" s="199"/>
      <c r="AX14" s="199"/>
      <c r="AY14" s="199"/>
    </row>
    <row r="15" spans="1:51" s="1" customFormat="1" ht="54.95" customHeight="1">
      <c r="A15" s="18">
        <v>0.3125</v>
      </c>
      <c r="B15" s="18">
        <v>0.33333333333333298</v>
      </c>
      <c r="C15" s="19"/>
      <c r="D15" s="19"/>
      <c r="E15" s="19"/>
      <c r="F15" s="197"/>
      <c r="G15" s="198"/>
      <c r="H15" s="19"/>
      <c r="I15" s="19"/>
      <c r="J15" s="197">
        <v>1</v>
      </c>
      <c r="K15" s="198">
        <v>1</v>
      </c>
      <c r="L15" s="19"/>
      <c r="M15" s="19"/>
      <c r="N15" s="197"/>
      <c r="O15" s="198"/>
      <c r="P15" s="19"/>
      <c r="Q15" s="19"/>
      <c r="R15" s="197"/>
      <c r="S15" s="198"/>
      <c r="T15" s="19"/>
      <c r="U15" s="19"/>
      <c r="V15" s="76"/>
      <c r="W15" s="187">
        <f>SUM(C15:V15)</f>
        <v>2</v>
      </c>
      <c r="AP15" s="25"/>
      <c r="AQ15" s="25"/>
      <c r="AR15" s="199"/>
      <c r="AS15" s="199"/>
      <c r="AT15" s="199"/>
      <c r="AU15" s="199"/>
      <c r="AV15" s="199"/>
      <c r="AW15" s="199"/>
      <c r="AX15" s="199"/>
      <c r="AY15" s="199"/>
    </row>
    <row r="16" spans="1:51" s="1" customFormat="1" ht="54.95" customHeight="1">
      <c r="A16" s="18">
        <v>0.33333333333333298</v>
      </c>
      <c r="B16" s="18">
        <v>0.35416666666666702</v>
      </c>
      <c r="C16" s="19"/>
      <c r="D16" s="19"/>
      <c r="E16" s="19"/>
      <c r="F16" s="197"/>
      <c r="G16" s="198"/>
      <c r="H16" s="19"/>
      <c r="I16" s="19"/>
      <c r="J16" s="197"/>
      <c r="K16" s="198"/>
      <c r="L16" s="19"/>
      <c r="M16" s="19"/>
      <c r="N16" s="197"/>
      <c r="O16" s="198"/>
      <c r="P16" s="19"/>
      <c r="Q16" s="19"/>
      <c r="R16" s="197"/>
      <c r="S16" s="198"/>
      <c r="T16" s="19"/>
      <c r="U16" s="19"/>
      <c r="V16" s="76"/>
      <c r="W16" s="187"/>
      <c r="AP16" s="25"/>
      <c r="AQ16" s="25"/>
      <c r="AR16" s="199"/>
      <c r="AS16" s="199"/>
      <c r="AT16" s="199"/>
      <c r="AU16" s="199"/>
      <c r="AV16" s="199"/>
      <c r="AW16" s="199"/>
      <c r="AX16" s="199"/>
      <c r="AY16" s="199"/>
    </row>
    <row r="17" spans="1:51" s="1" customFormat="1" ht="54.95" customHeight="1">
      <c r="A17" s="18">
        <v>0.35416666666666702</v>
      </c>
      <c r="B17" s="18">
        <v>0.375</v>
      </c>
      <c r="C17" s="19"/>
      <c r="D17" s="19"/>
      <c r="E17" s="19"/>
      <c r="F17" s="197"/>
      <c r="G17" s="198"/>
      <c r="H17" s="19"/>
      <c r="I17" s="19"/>
      <c r="J17" s="197"/>
      <c r="K17" s="198"/>
      <c r="L17" s="19"/>
      <c r="M17" s="19"/>
      <c r="N17" s="197"/>
      <c r="O17" s="198"/>
      <c r="P17" s="19"/>
      <c r="Q17" s="19"/>
      <c r="R17" s="197"/>
      <c r="S17" s="198"/>
      <c r="T17" s="19"/>
      <c r="U17" s="19"/>
      <c r="V17" s="76"/>
      <c r="W17" s="187"/>
      <c r="AP17" s="25"/>
      <c r="AQ17" s="25"/>
      <c r="AR17" s="199"/>
      <c r="AS17" s="199"/>
      <c r="AT17" s="199"/>
      <c r="AU17" s="199"/>
      <c r="AV17" s="199"/>
      <c r="AW17" s="199"/>
      <c r="AX17" s="199"/>
      <c r="AY17" s="199"/>
    </row>
    <row r="18" spans="1:51" s="1" customFormat="1" ht="36" customHeight="1">
      <c r="W18" s="187">
        <f>SUM(W13:W17)</f>
        <v>3</v>
      </c>
    </row>
    <row r="19" spans="1:51" s="2" customFormat="1" ht="32.25" customHeight="1">
      <c r="A19" s="3"/>
      <c r="B19" s="5"/>
      <c r="C19" s="338" t="s">
        <v>46</v>
      </c>
      <c r="D19" s="338"/>
      <c r="E19" s="338"/>
      <c r="F19" s="338"/>
      <c r="G19" s="338"/>
      <c r="H19" s="338"/>
      <c r="I19" s="338"/>
      <c r="J19" s="338"/>
      <c r="K19" s="338"/>
      <c r="L19" s="338"/>
      <c r="M19" s="338"/>
      <c r="N19" s="338"/>
      <c r="O19" s="338"/>
      <c r="P19" s="338"/>
      <c r="Q19" s="338"/>
      <c r="R19" s="338"/>
      <c r="S19" s="338"/>
      <c r="T19" s="338"/>
      <c r="U19" s="338"/>
      <c r="V19" s="338"/>
      <c r="W19" s="190"/>
      <c r="AP19" s="26"/>
      <c r="AQ19" s="26"/>
      <c r="AS19" s="194"/>
      <c r="AT19" s="194"/>
      <c r="AU19" s="194"/>
      <c r="AV19" s="194"/>
      <c r="AW19" s="194"/>
      <c r="AX19" s="194"/>
      <c r="AY19" s="194"/>
    </row>
    <row r="20" spans="1:51" s="1" customFormat="1" ht="22.7" customHeight="1">
      <c r="A20" s="3"/>
      <c r="B20" s="5"/>
      <c r="C20" s="312" t="s">
        <v>119</v>
      </c>
      <c r="D20" s="312"/>
      <c r="E20" s="312"/>
      <c r="F20" s="312"/>
      <c r="G20" s="312" t="s">
        <v>120</v>
      </c>
      <c r="H20" s="312"/>
      <c r="I20" s="312"/>
      <c r="J20" s="312"/>
      <c r="K20" s="312" t="s">
        <v>82</v>
      </c>
      <c r="L20" s="312"/>
      <c r="M20" s="312"/>
      <c r="N20" s="312"/>
      <c r="O20" s="312" t="s">
        <v>121</v>
      </c>
      <c r="P20" s="312"/>
      <c r="Q20" s="312"/>
      <c r="R20" s="312"/>
      <c r="S20" s="312" t="s">
        <v>122</v>
      </c>
      <c r="T20" s="312"/>
      <c r="U20" s="312"/>
      <c r="V20" s="312"/>
      <c r="W20" s="187"/>
      <c r="AP20" s="25"/>
      <c r="AQ20" s="25"/>
    </row>
    <row r="21" spans="1:51" s="1" customFormat="1" ht="18.600000000000001" customHeight="1">
      <c r="C21" s="309" t="s">
        <v>18</v>
      </c>
      <c r="D21" s="309"/>
      <c r="E21" s="309" t="s">
        <v>19</v>
      </c>
      <c r="F21" s="309"/>
      <c r="G21" s="309" t="s">
        <v>18</v>
      </c>
      <c r="H21" s="309"/>
      <c r="I21" s="309" t="s">
        <v>19</v>
      </c>
      <c r="J21" s="309"/>
      <c r="K21" s="309" t="s">
        <v>18</v>
      </c>
      <c r="L21" s="309"/>
      <c r="M21" s="309" t="s">
        <v>19</v>
      </c>
      <c r="N21" s="309"/>
      <c r="O21" s="309" t="s">
        <v>18</v>
      </c>
      <c r="P21" s="309"/>
      <c r="Q21" s="309" t="s">
        <v>19</v>
      </c>
      <c r="R21" s="309"/>
      <c r="S21" s="309" t="s">
        <v>18</v>
      </c>
      <c r="T21" s="309"/>
      <c r="U21" s="309" t="s">
        <v>19</v>
      </c>
      <c r="V21" s="309"/>
      <c r="W21" s="187"/>
      <c r="AP21" s="25"/>
      <c r="AQ21" s="25"/>
    </row>
    <row r="22" spans="1:51" s="1" customFormat="1" ht="20.25">
      <c r="A22" s="302" t="s">
        <v>20</v>
      </c>
      <c r="B22" s="302"/>
      <c r="C22" s="195" t="s">
        <v>21</v>
      </c>
      <c r="D22" s="195" t="s">
        <v>22</v>
      </c>
      <c r="E22" s="195" t="s">
        <v>21</v>
      </c>
      <c r="F22" s="195" t="s">
        <v>22</v>
      </c>
      <c r="G22" s="195" t="s">
        <v>21</v>
      </c>
      <c r="H22" s="195" t="s">
        <v>22</v>
      </c>
      <c r="I22" s="195" t="s">
        <v>21</v>
      </c>
      <c r="J22" s="195" t="s">
        <v>22</v>
      </c>
      <c r="K22" s="195" t="s">
        <v>21</v>
      </c>
      <c r="L22" s="195" t="s">
        <v>22</v>
      </c>
      <c r="M22" s="195" t="s">
        <v>21</v>
      </c>
      <c r="N22" s="195" t="s">
        <v>22</v>
      </c>
      <c r="O22" s="195" t="s">
        <v>21</v>
      </c>
      <c r="P22" s="195" t="s">
        <v>22</v>
      </c>
      <c r="Q22" s="195" t="s">
        <v>21</v>
      </c>
      <c r="R22" s="195" t="s">
        <v>22</v>
      </c>
      <c r="S22" s="195" t="s">
        <v>21</v>
      </c>
      <c r="T22" s="195" t="s">
        <v>22</v>
      </c>
      <c r="U22" s="195" t="s">
        <v>21</v>
      </c>
      <c r="V22" s="195" t="s">
        <v>22</v>
      </c>
      <c r="W22" s="187"/>
      <c r="AP22" s="25"/>
      <c r="AQ22" s="25"/>
      <c r="AR22" s="196"/>
    </row>
    <row r="23" spans="1:51" s="1" customFormat="1" ht="54.95" customHeight="1">
      <c r="A23" s="18">
        <v>0.27083333333333298</v>
      </c>
      <c r="B23" s="18">
        <v>0.29166666666666702</v>
      </c>
      <c r="C23" s="19"/>
      <c r="D23" s="19"/>
      <c r="E23" s="19"/>
      <c r="F23" s="197"/>
      <c r="G23" s="198"/>
      <c r="H23" s="19"/>
      <c r="I23" s="19"/>
      <c r="J23" s="197"/>
      <c r="K23" s="198"/>
      <c r="L23" s="19"/>
      <c r="M23" s="19"/>
      <c r="N23" s="197">
        <v>1</v>
      </c>
      <c r="O23" s="198"/>
      <c r="P23" s="19">
        <v>1</v>
      </c>
      <c r="Q23" s="19"/>
      <c r="R23" s="197">
        <v>2</v>
      </c>
      <c r="S23" s="198"/>
      <c r="T23" s="19"/>
      <c r="U23" s="19"/>
      <c r="V23" s="76"/>
      <c r="W23" s="187">
        <f>SUM(C23:V23)</f>
        <v>4</v>
      </c>
      <c r="AP23" s="25"/>
      <c r="AQ23" s="25"/>
      <c r="AR23" s="199"/>
      <c r="AS23" s="199"/>
      <c r="AT23" s="199"/>
      <c r="AU23" s="199"/>
      <c r="AV23" s="199"/>
      <c r="AW23" s="199"/>
      <c r="AX23" s="199"/>
      <c r="AY23" s="199"/>
    </row>
    <row r="24" spans="1:51" s="1" customFormat="1" ht="54.95" customHeight="1">
      <c r="A24" s="18">
        <v>0.29166666666666702</v>
      </c>
      <c r="B24" s="18">
        <v>0.3125</v>
      </c>
      <c r="C24" s="19"/>
      <c r="D24" s="19"/>
      <c r="E24" s="19"/>
      <c r="F24" s="197"/>
      <c r="G24" s="198"/>
      <c r="H24" s="19"/>
      <c r="I24" s="19"/>
      <c r="J24" s="197"/>
      <c r="K24" s="198"/>
      <c r="L24" s="19">
        <v>1</v>
      </c>
      <c r="M24" s="19"/>
      <c r="N24" s="197"/>
      <c r="O24" s="198"/>
      <c r="P24" s="19">
        <v>2</v>
      </c>
      <c r="Q24" s="19"/>
      <c r="R24" s="197"/>
      <c r="S24" s="198"/>
      <c r="T24" s="19"/>
      <c r="U24" s="19"/>
      <c r="V24" s="76"/>
      <c r="W24" s="187">
        <f>SUM(C24:V24)</f>
        <v>3</v>
      </c>
      <c r="AP24" s="25"/>
      <c r="AQ24" s="25"/>
      <c r="AR24" s="199"/>
      <c r="AS24" s="199"/>
      <c r="AT24" s="199"/>
      <c r="AU24" s="199"/>
      <c r="AV24" s="199"/>
      <c r="AW24" s="199"/>
      <c r="AX24" s="199"/>
      <c r="AY24" s="199"/>
    </row>
    <row r="25" spans="1:51" s="1" customFormat="1" ht="54.95" customHeight="1">
      <c r="A25" s="18">
        <v>0.3125</v>
      </c>
      <c r="B25" s="18">
        <v>0.33333333333333298</v>
      </c>
      <c r="C25" s="19"/>
      <c r="D25" s="19"/>
      <c r="E25" s="19"/>
      <c r="F25" s="197"/>
      <c r="G25" s="198"/>
      <c r="H25" s="19"/>
      <c r="I25" s="19"/>
      <c r="J25" s="197"/>
      <c r="K25" s="198"/>
      <c r="L25" s="19">
        <v>2</v>
      </c>
      <c r="M25" s="19"/>
      <c r="N25" s="197">
        <v>1</v>
      </c>
      <c r="O25" s="198"/>
      <c r="P25" s="19">
        <v>1</v>
      </c>
      <c r="Q25" s="19"/>
      <c r="R25" s="197"/>
      <c r="S25" s="198"/>
      <c r="T25" s="19"/>
      <c r="U25" s="19"/>
      <c r="V25" s="76"/>
      <c r="W25" s="187">
        <f>SUM(C25:V25)</f>
        <v>4</v>
      </c>
      <c r="AP25" s="25"/>
      <c r="AQ25" s="25"/>
      <c r="AR25" s="199"/>
      <c r="AS25" s="199"/>
      <c r="AT25" s="199"/>
      <c r="AU25" s="199"/>
      <c r="AV25" s="199"/>
      <c r="AW25" s="199"/>
      <c r="AX25" s="199"/>
      <c r="AY25" s="199"/>
    </row>
    <row r="26" spans="1:51" s="1" customFormat="1" ht="54.95" customHeight="1">
      <c r="A26" s="18">
        <v>0.33333333333333298</v>
      </c>
      <c r="B26" s="18">
        <v>0.35416666666666702</v>
      </c>
      <c r="C26" s="19"/>
      <c r="D26" s="19"/>
      <c r="E26" s="19"/>
      <c r="F26" s="197"/>
      <c r="G26" s="198"/>
      <c r="H26" s="19"/>
      <c r="I26" s="19"/>
      <c r="J26" s="197"/>
      <c r="K26" s="198"/>
      <c r="L26" s="19"/>
      <c r="M26" s="19">
        <v>1</v>
      </c>
      <c r="N26" s="197"/>
      <c r="O26" s="198"/>
      <c r="P26" s="19"/>
      <c r="Q26" s="19"/>
      <c r="R26" s="197"/>
      <c r="S26" s="198"/>
      <c r="T26" s="19"/>
      <c r="U26" s="19"/>
      <c r="V26" s="76"/>
      <c r="W26" s="187">
        <f>SUM(C26:V26)</f>
        <v>1</v>
      </c>
      <c r="AP26" s="25"/>
      <c r="AQ26" s="25"/>
      <c r="AR26" s="199"/>
      <c r="AS26" s="199"/>
      <c r="AT26" s="199"/>
      <c r="AU26" s="199"/>
      <c r="AV26" s="199"/>
      <c r="AW26" s="199"/>
      <c r="AX26" s="199"/>
      <c r="AY26" s="199"/>
    </row>
    <row r="27" spans="1:51" s="1" customFormat="1" ht="54.95" customHeight="1">
      <c r="A27" s="18">
        <v>0.35416666666666702</v>
      </c>
      <c r="B27" s="18">
        <v>0.375</v>
      </c>
      <c r="C27" s="19"/>
      <c r="D27" s="19"/>
      <c r="E27" s="19"/>
      <c r="F27" s="197"/>
      <c r="G27" s="198">
        <v>1</v>
      </c>
      <c r="H27" s="19"/>
      <c r="I27" s="19">
        <v>2</v>
      </c>
      <c r="J27" s="197"/>
      <c r="K27" s="198"/>
      <c r="L27" s="19">
        <v>1</v>
      </c>
      <c r="M27" s="19"/>
      <c r="N27" s="197"/>
      <c r="O27" s="198"/>
      <c r="P27" s="19">
        <v>1</v>
      </c>
      <c r="Q27" s="19">
        <v>1</v>
      </c>
      <c r="R27" s="197"/>
      <c r="S27" s="198"/>
      <c r="T27" s="19"/>
      <c r="U27" s="19"/>
      <c r="V27" s="76"/>
      <c r="W27" s="187">
        <f>SUM(C27:V27)</f>
        <v>6</v>
      </c>
      <c r="AP27" s="25"/>
      <c r="AQ27" s="25"/>
      <c r="AR27" s="199"/>
      <c r="AS27" s="199"/>
      <c r="AT27" s="199"/>
      <c r="AU27" s="199"/>
      <c r="AV27" s="199"/>
      <c r="AW27" s="199"/>
      <c r="AX27" s="199"/>
      <c r="AY27" s="199"/>
    </row>
    <row r="28" spans="1:51" s="1" customFormat="1" ht="36" customHeight="1">
      <c r="W28" s="187">
        <f>SUM(W23:W27)</f>
        <v>18</v>
      </c>
    </row>
    <row r="29" spans="1:51" s="2" customFormat="1" ht="32.25" customHeight="1">
      <c r="A29" s="3"/>
      <c r="B29" s="5"/>
      <c r="C29" s="338" t="s">
        <v>123</v>
      </c>
      <c r="D29" s="338"/>
      <c r="E29" s="338"/>
      <c r="F29" s="338"/>
      <c r="G29" s="338"/>
      <c r="H29" s="338"/>
      <c r="I29" s="338"/>
      <c r="J29" s="338"/>
      <c r="K29" s="338"/>
      <c r="L29" s="338"/>
      <c r="M29" s="338"/>
      <c r="N29" s="338"/>
      <c r="O29" s="338"/>
      <c r="P29" s="338"/>
      <c r="Q29" s="338"/>
      <c r="R29" s="338"/>
      <c r="S29" s="338"/>
      <c r="T29" s="338"/>
      <c r="U29" s="338"/>
      <c r="V29" s="338"/>
      <c r="W29" s="190"/>
      <c r="AP29" s="26"/>
      <c r="AQ29" s="26"/>
      <c r="AS29" s="194"/>
      <c r="AT29" s="194"/>
      <c r="AU29" s="194"/>
      <c r="AV29" s="194"/>
      <c r="AW29" s="194"/>
      <c r="AX29" s="194"/>
      <c r="AY29" s="194"/>
    </row>
    <row r="30" spans="1:51" s="1" customFormat="1" ht="22.7" customHeight="1">
      <c r="A30" s="3"/>
      <c r="B30" s="5"/>
      <c r="C30" s="312" t="s">
        <v>120</v>
      </c>
      <c r="D30" s="312"/>
      <c r="E30" s="312"/>
      <c r="F30" s="312"/>
      <c r="G30" s="312" t="s">
        <v>82</v>
      </c>
      <c r="H30" s="312"/>
      <c r="I30" s="312"/>
      <c r="J30" s="312"/>
      <c r="K30" s="312" t="s">
        <v>121</v>
      </c>
      <c r="L30" s="312"/>
      <c r="M30" s="312"/>
      <c r="N30" s="312"/>
      <c r="O30" s="312" t="s">
        <v>122</v>
      </c>
      <c r="P30" s="312"/>
      <c r="Q30" s="312"/>
      <c r="R30" s="312"/>
      <c r="S30" s="312" t="s">
        <v>53</v>
      </c>
      <c r="T30" s="312"/>
      <c r="U30" s="312"/>
      <c r="V30" s="312"/>
      <c r="W30" s="187"/>
      <c r="AP30" s="25"/>
      <c r="AQ30" s="25"/>
    </row>
    <row r="31" spans="1:51" s="1" customFormat="1" ht="18.600000000000001" customHeight="1">
      <c r="A31" s="3"/>
      <c r="B31" s="5"/>
      <c r="C31" s="309" t="s">
        <v>18</v>
      </c>
      <c r="D31" s="309"/>
      <c r="E31" s="309" t="s">
        <v>19</v>
      </c>
      <c r="F31" s="309"/>
      <c r="G31" s="309" t="s">
        <v>18</v>
      </c>
      <c r="H31" s="309"/>
      <c r="I31" s="309" t="s">
        <v>19</v>
      </c>
      <c r="J31" s="309"/>
      <c r="K31" s="309" t="s">
        <v>18</v>
      </c>
      <c r="L31" s="309"/>
      <c r="M31" s="309" t="s">
        <v>19</v>
      </c>
      <c r="N31" s="309"/>
      <c r="O31" s="309" t="s">
        <v>18</v>
      </c>
      <c r="P31" s="309"/>
      <c r="Q31" s="309" t="s">
        <v>19</v>
      </c>
      <c r="R31" s="309"/>
      <c r="S31" s="309" t="s">
        <v>18</v>
      </c>
      <c r="T31" s="309"/>
      <c r="U31" s="309" t="s">
        <v>19</v>
      </c>
      <c r="V31" s="309"/>
      <c r="W31" s="187"/>
      <c r="AP31" s="25"/>
      <c r="AQ31" s="25"/>
    </row>
    <row r="32" spans="1:51" s="1" customFormat="1" ht="20.25">
      <c r="A32" s="302" t="s">
        <v>20</v>
      </c>
      <c r="B32" s="302"/>
      <c r="C32" s="195" t="s">
        <v>21</v>
      </c>
      <c r="D32" s="195" t="s">
        <v>22</v>
      </c>
      <c r="E32" s="195" t="s">
        <v>21</v>
      </c>
      <c r="F32" s="195" t="s">
        <v>22</v>
      </c>
      <c r="G32" s="195" t="s">
        <v>21</v>
      </c>
      <c r="H32" s="195" t="s">
        <v>22</v>
      </c>
      <c r="I32" s="195" t="s">
        <v>21</v>
      </c>
      <c r="J32" s="195" t="s">
        <v>22</v>
      </c>
      <c r="K32" s="195" t="s">
        <v>21</v>
      </c>
      <c r="L32" s="195" t="s">
        <v>22</v>
      </c>
      <c r="M32" s="195" t="s">
        <v>21</v>
      </c>
      <c r="N32" s="195" t="s">
        <v>22</v>
      </c>
      <c r="O32" s="195" t="s">
        <v>21</v>
      </c>
      <c r="P32" s="195" t="s">
        <v>22</v>
      </c>
      <c r="Q32" s="195" t="s">
        <v>21</v>
      </c>
      <c r="R32" s="195" t="s">
        <v>22</v>
      </c>
      <c r="S32" s="195" t="s">
        <v>21</v>
      </c>
      <c r="T32" s="195" t="s">
        <v>22</v>
      </c>
      <c r="U32" s="195" t="s">
        <v>21</v>
      </c>
      <c r="V32" s="195" t="s">
        <v>22</v>
      </c>
      <c r="W32" s="187"/>
      <c r="AP32" s="25"/>
      <c r="AQ32" s="25"/>
      <c r="AR32" s="196"/>
    </row>
    <row r="33" spans="1:51" s="1" customFormat="1" ht="54.95" customHeight="1">
      <c r="A33" s="18">
        <v>0.27083333333333298</v>
      </c>
      <c r="B33" s="18">
        <v>0.29166666666666702</v>
      </c>
      <c r="C33" s="19"/>
      <c r="D33" s="19"/>
      <c r="E33" s="19"/>
      <c r="F33" s="197"/>
      <c r="G33" s="198"/>
      <c r="H33" s="19"/>
      <c r="I33" s="19"/>
      <c r="J33" s="197"/>
      <c r="K33" s="198"/>
      <c r="L33" s="19"/>
      <c r="M33" s="19"/>
      <c r="N33" s="197"/>
      <c r="O33" s="198"/>
      <c r="P33" s="19"/>
      <c r="Q33" s="19"/>
      <c r="R33" s="197"/>
      <c r="S33" s="198"/>
      <c r="T33" s="19"/>
      <c r="U33" s="19"/>
      <c r="V33" s="76"/>
      <c r="W33" s="187"/>
      <c r="AP33" s="25"/>
      <c r="AQ33" s="25"/>
      <c r="AR33" s="199"/>
      <c r="AS33" s="199"/>
      <c r="AT33" s="199"/>
      <c r="AU33" s="199"/>
      <c r="AV33" s="199"/>
      <c r="AW33" s="199"/>
      <c r="AX33" s="199"/>
      <c r="AY33" s="199"/>
    </row>
    <row r="34" spans="1:51" s="1" customFormat="1" ht="54.95" customHeight="1">
      <c r="A34" s="18">
        <v>0.29166666666666702</v>
      </c>
      <c r="B34" s="18">
        <v>0.3125</v>
      </c>
      <c r="C34" s="19"/>
      <c r="D34" s="19"/>
      <c r="E34" s="19"/>
      <c r="F34" s="197"/>
      <c r="G34" s="198"/>
      <c r="H34" s="19"/>
      <c r="I34" s="19"/>
      <c r="J34" s="197"/>
      <c r="K34" s="198"/>
      <c r="L34" s="19"/>
      <c r="M34" s="19"/>
      <c r="N34" s="197"/>
      <c r="O34" s="198"/>
      <c r="P34" s="19"/>
      <c r="Q34" s="19"/>
      <c r="R34" s="197"/>
      <c r="S34" s="198"/>
      <c r="T34" s="19"/>
      <c r="U34" s="19"/>
      <c r="V34" s="76"/>
      <c r="W34" s="187"/>
      <c r="AP34" s="25"/>
      <c r="AQ34" s="25"/>
      <c r="AR34" s="199"/>
      <c r="AS34" s="199"/>
      <c r="AT34" s="199"/>
      <c r="AU34" s="199"/>
      <c r="AV34" s="199"/>
      <c r="AW34" s="199"/>
      <c r="AX34" s="199"/>
      <c r="AY34" s="199"/>
    </row>
    <row r="35" spans="1:51" s="1" customFormat="1" ht="54.95" customHeight="1">
      <c r="A35" s="18">
        <v>0.3125</v>
      </c>
      <c r="B35" s="18">
        <v>0.33333333333333298</v>
      </c>
      <c r="C35" s="19"/>
      <c r="D35" s="19"/>
      <c r="E35" s="19"/>
      <c r="F35" s="197"/>
      <c r="G35" s="198"/>
      <c r="H35" s="19"/>
      <c r="I35" s="19"/>
      <c r="J35" s="197"/>
      <c r="K35" s="198"/>
      <c r="L35" s="19"/>
      <c r="M35" s="19"/>
      <c r="N35" s="197"/>
      <c r="O35" s="198"/>
      <c r="P35" s="19"/>
      <c r="Q35" s="19"/>
      <c r="R35" s="197"/>
      <c r="S35" s="198"/>
      <c r="T35" s="19"/>
      <c r="U35" s="19"/>
      <c r="V35" s="76"/>
      <c r="W35" s="187"/>
      <c r="AP35" s="25"/>
      <c r="AQ35" s="25"/>
      <c r="AR35" s="199"/>
      <c r="AS35" s="199"/>
      <c r="AT35" s="199"/>
      <c r="AU35" s="199"/>
      <c r="AV35" s="199"/>
      <c r="AW35" s="199"/>
      <c r="AX35" s="199"/>
      <c r="AY35" s="199"/>
    </row>
    <row r="36" spans="1:51" s="1" customFormat="1" ht="54.95" customHeight="1">
      <c r="A36" s="18">
        <v>0.33333333333333298</v>
      </c>
      <c r="B36" s="18">
        <v>0.35416666666666702</v>
      </c>
      <c r="C36" s="19"/>
      <c r="D36" s="19"/>
      <c r="E36" s="19"/>
      <c r="F36" s="197"/>
      <c r="G36" s="198"/>
      <c r="H36" s="19"/>
      <c r="I36" s="19"/>
      <c r="J36" s="197"/>
      <c r="K36" s="198"/>
      <c r="L36" s="19"/>
      <c r="M36" s="19"/>
      <c r="N36" s="197"/>
      <c r="O36" s="198"/>
      <c r="P36" s="19"/>
      <c r="Q36" s="19"/>
      <c r="R36" s="197"/>
      <c r="S36" s="198"/>
      <c r="T36" s="19"/>
      <c r="U36" s="19"/>
      <c r="V36" s="76"/>
      <c r="W36" s="187"/>
      <c r="AP36" s="25"/>
      <c r="AQ36" s="25"/>
      <c r="AR36" s="199"/>
      <c r="AS36" s="199"/>
      <c r="AT36" s="199"/>
      <c r="AU36" s="199"/>
      <c r="AV36" s="199"/>
      <c r="AW36" s="199"/>
      <c r="AX36" s="199"/>
      <c r="AY36" s="199"/>
    </row>
    <row r="37" spans="1:51" s="1" customFormat="1" ht="54.95" customHeight="1">
      <c r="A37" s="18">
        <v>0.35416666666666702</v>
      </c>
      <c r="B37" s="18">
        <v>0.375</v>
      </c>
      <c r="C37" s="19"/>
      <c r="D37" s="19"/>
      <c r="E37" s="19"/>
      <c r="F37" s="197"/>
      <c r="G37" s="198"/>
      <c r="H37" s="19"/>
      <c r="I37" s="19"/>
      <c r="J37" s="197"/>
      <c r="K37" s="198"/>
      <c r="L37" s="19">
        <v>1</v>
      </c>
      <c r="M37" s="19"/>
      <c r="N37" s="197"/>
      <c r="O37" s="198"/>
      <c r="P37" s="19"/>
      <c r="Q37" s="19"/>
      <c r="R37" s="197"/>
      <c r="S37" s="198"/>
      <c r="T37" s="19"/>
      <c r="U37" s="19"/>
      <c r="V37" s="76"/>
      <c r="W37" s="187"/>
      <c r="AP37" s="25"/>
      <c r="AQ37" s="25"/>
      <c r="AR37" s="199"/>
      <c r="AS37" s="199"/>
      <c r="AT37" s="199"/>
      <c r="AU37" s="199"/>
      <c r="AV37" s="199"/>
      <c r="AW37" s="199"/>
      <c r="AX37" s="199"/>
      <c r="AY37" s="199"/>
    </row>
    <row r="38" spans="1:51" s="23" customFormat="1" ht="54.95" customHeight="1">
      <c r="A38" s="20"/>
      <c r="B38" s="21" t="s">
        <v>23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00"/>
    </row>
    <row r="39" spans="1:51" s="23" customFormat="1" ht="54.95" customHeight="1">
      <c r="A39" s="20">
        <v>6</v>
      </c>
      <c r="B39" s="21" t="s">
        <v>24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00"/>
    </row>
    <row r="40" spans="1:51" s="23" customFormat="1" ht="54.95" customHeight="1">
      <c r="A40" s="20"/>
      <c r="B40" s="21" t="s">
        <v>25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00"/>
    </row>
    <row r="41" spans="1:51" s="23" customFormat="1" ht="45" customHeight="1">
      <c r="A41" s="20">
        <v>3</v>
      </c>
      <c r="B41" s="21" t="s">
        <v>26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00"/>
    </row>
    <row r="42" spans="1:51" s="8" customFormat="1" ht="52.5" customHeight="1">
      <c r="A42" s="188"/>
      <c r="B42" s="4" t="s">
        <v>115</v>
      </c>
      <c r="C42" s="5"/>
      <c r="D42" s="5"/>
      <c r="E42" s="5"/>
      <c r="F42" s="2"/>
      <c r="G42" s="5"/>
      <c r="H42" s="5"/>
      <c r="I42" s="5"/>
      <c r="J42" s="5"/>
      <c r="K42" s="2"/>
      <c r="L42" s="2"/>
      <c r="M42" s="2"/>
      <c r="N42" s="2"/>
      <c r="O42" s="5"/>
      <c r="P42" s="5"/>
      <c r="Q42" s="5"/>
      <c r="R42" s="5"/>
      <c r="S42" s="2"/>
      <c r="T42" s="2"/>
      <c r="U42" s="2"/>
      <c r="V42" s="2"/>
      <c r="W42" s="189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2"/>
      <c r="AY42" s="2"/>
    </row>
    <row r="43" spans="1:51" s="8" customFormat="1" ht="52.5" customHeight="1">
      <c r="A43" s="3" t="s">
        <v>3</v>
      </c>
      <c r="B43" s="5"/>
      <c r="C43" s="5"/>
      <c r="D43" s="5"/>
      <c r="E43" s="5"/>
      <c r="F43" s="2"/>
      <c r="G43" s="5"/>
      <c r="H43" s="5"/>
      <c r="I43" s="5"/>
      <c r="J43" s="5"/>
      <c r="K43" s="5"/>
      <c r="L43" s="5" t="s">
        <v>116</v>
      </c>
      <c r="M43" s="5"/>
      <c r="N43" s="5"/>
      <c r="O43" s="5"/>
      <c r="P43" s="5"/>
      <c r="Q43" s="5"/>
      <c r="R43" s="5"/>
      <c r="S43" s="5"/>
      <c r="T43" s="5" t="s">
        <v>117</v>
      </c>
      <c r="U43" s="5"/>
      <c r="V43" s="5"/>
      <c r="W43" s="189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2"/>
      <c r="AY43" s="2"/>
    </row>
    <row r="44" spans="1:51" s="8" customFormat="1" ht="52.5" customHeight="1">
      <c r="A44" s="3" t="s">
        <v>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9" t="s">
        <v>7</v>
      </c>
      <c r="Q44" s="5"/>
      <c r="R44" s="5"/>
      <c r="S44" s="5"/>
      <c r="T44" s="5"/>
      <c r="U44" s="5"/>
      <c r="V44" s="5"/>
      <c r="W44" s="190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s="8" customFormat="1" ht="25.5" customHeight="1">
      <c r="W45" s="191"/>
    </row>
    <row r="46" spans="1:51" s="8" customFormat="1" ht="25.5" customHeight="1">
      <c r="A46" s="11" t="s">
        <v>124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190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s="8" customFormat="1" ht="50.65" customHeight="1">
      <c r="A47" s="11" t="s">
        <v>125</v>
      </c>
      <c r="B47" s="5"/>
      <c r="C47" s="5"/>
      <c r="D47" s="5"/>
      <c r="E47" s="5"/>
      <c r="F47" s="5"/>
      <c r="G47" s="12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190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s="8" customFormat="1" ht="25.5" customHeight="1">
      <c r="A48" s="13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192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2"/>
      <c r="AY48" s="2"/>
    </row>
    <row r="49" spans="1:51" s="2" customFormat="1" ht="32.25" customHeight="1">
      <c r="A49" s="3"/>
      <c r="B49" s="5"/>
      <c r="C49" s="317" t="s">
        <v>126</v>
      </c>
      <c r="D49" s="317"/>
      <c r="E49" s="317"/>
      <c r="F49" s="317"/>
      <c r="G49" s="317"/>
      <c r="H49" s="317"/>
      <c r="I49" s="317"/>
      <c r="J49" s="317"/>
      <c r="K49" s="317"/>
      <c r="L49" s="317"/>
      <c r="M49" s="317"/>
      <c r="N49" s="317"/>
      <c r="O49" s="317"/>
      <c r="P49" s="317"/>
      <c r="Q49" s="317"/>
      <c r="R49" s="317"/>
      <c r="S49" s="317"/>
      <c r="T49" s="317"/>
      <c r="U49" s="317"/>
      <c r="V49" s="317"/>
      <c r="W49" s="190"/>
      <c r="AP49" s="26"/>
      <c r="AQ49" s="26"/>
      <c r="AS49" s="194"/>
      <c r="AT49" s="194"/>
      <c r="AU49" s="194"/>
      <c r="AV49" s="194"/>
      <c r="AW49" s="194"/>
      <c r="AX49" s="194"/>
      <c r="AY49" s="194"/>
    </row>
    <row r="50" spans="1:51" s="1" customFormat="1" ht="22.7" customHeight="1">
      <c r="A50" s="3"/>
      <c r="B50" s="5"/>
      <c r="C50" s="312" t="s">
        <v>82</v>
      </c>
      <c r="D50" s="312"/>
      <c r="E50" s="312"/>
      <c r="F50" s="312"/>
      <c r="G50" s="312" t="s">
        <v>121</v>
      </c>
      <c r="H50" s="312"/>
      <c r="I50" s="312"/>
      <c r="J50" s="312"/>
      <c r="K50" s="312" t="s">
        <v>122</v>
      </c>
      <c r="L50" s="312"/>
      <c r="M50" s="312"/>
      <c r="N50" s="312"/>
      <c r="O50" s="312" t="s">
        <v>53</v>
      </c>
      <c r="P50" s="312"/>
      <c r="Q50" s="312"/>
      <c r="R50" s="312"/>
      <c r="S50" s="312" t="s">
        <v>119</v>
      </c>
      <c r="T50" s="312"/>
      <c r="U50" s="312"/>
      <c r="V50" s="312"/>
      <c r="W50" s="187"/>
      <c r="AP50" s="25"/>
      <c r="AQ50" s="25"/>
    </row>
    <row r="51" spans="1:51" s="1" customFormat="1" ht="18.600000000000001" customHeight="1">
      <c r="A51" s="3"/>
      <c r="B51" s="5"/>
      <c r="C51" s="309" t="s">
        <v>18</v>
      </c>
      <c r="D51" s="309"/>
      <c r="E51" s="309" t="s">
        <v>19</v>
      </c>
      <c r="F51" s="309"/>
      <c r="G51" s="309" t="s">
        <v>18</v>
      </c>
      <c r="H51" s="309"/>
      <c r="I51" s="309" t="s">
        <v>19</v>
      </c>
      <c r="J51" s="309"/>
      <c r="K51" s="309" t="s">
        <v>18</v>
      </c>
      <c r="L51" s="309"/>
      <c r="M51" s="309" t="s">
        <v>19</v>
      </c>
      <c r="N51" s="309"/>
      <c r="O51" s="309" t="s">
        <v>18</v>
      </c>
      <c r="P51" s="309"/>
      <c r="Q51" s="309" t="s">
        <v>19</v>
      </c>
      <c r="R51" s="309"/>
      <c r="S51" s="309" t="s">
        <v>18</v>
      </c>
      <c r="T51" s="309"/>
      <c r="U51" s="309" t="s">
        <v>19</v>
      </c>
      <c r="V51" s="309"/>
      <c r="W51" s="187"/>
      <c r="AP51" s="25"/>
      <c r="AQ51" s="25"/>
    </row>
    <row r="52" spans="1:51" s="1" customFormat="1" ht="20.25">
      <c r="A52" s="302" t="s">
        <v>20</v>
      </c>
      <c r="B52" s="302"/>
      <c r="C52" s="195" t="s">
        <v>21</v>
      </c>
      <c r="D52" s="195" t="s">
        <v>22</v>
      </c>
      <c r="E52" s="195" t="s">
        <v>21</v>
      </c>
      <c r="F52" s="195" t="s">
        <v>22</v>
      </c>
      <c r="G52" s="195" t="s">
        <v>21</v>
      </c>
      <c r="H52" s="195" t="s">
        <v>22</v>
      </c>
      <c r="I52" s="195" t="s">
        <v>21</v>
      </c>
      <c r="J52" s="195" t="s">
        <v>22</v>
      </c>
      <c r="K52" s="195" t="s">
        <v>21</v>
      </c>
      <c r="L52" s="195" t="s">
        <v>22</v>
      </c>
      <c r="M52" s="195" t="s">
        <v>21</v>
      </c>
      <c r="N52" s="195" t="s">
        <v>22</v>
      </c>
      <c r="O52" s="195" t="s">
        <v>21</v>
      </c>
      <c r="P52" s="195" t="s">
        <v>22</v>
      </c>
      <c r="Q52" s="195" t="s">
        <v>21</v>
      </c>
      <c r="R52" s="195" t="s">
        <v>22</v>
      </c>
      <c r="S52" s="195" t="s">
        <v>21</v>
      </c>
      <c r="T52" s="195" t="s">
        <v>22</v>
      </c>
      <c r="U52" s="195" t="s">
        <v>21</v>
      </c>
      <c r="V52" s="195" t="s">
        <v>22</v>
      </c>
      <c r="W52" s="187"/>
      <c r="AP52" s="25"/>
      <c r="AQ52" s="25"/>
      <c r="AR52" s="196"/>
    </row>
    <row r="53" spans="1:51" s="1" customFormat="1" ht="54.95" customHeight="1">
      <c r="A53" s="18">
        <v>0.27083333333333298</v>
      </c>
      <c r="B53" s="18">
        <v>0.29166666666666702</v>
      </c>
      <c r="C53" s="19"/>
      <c r="D53" s="19">
        <v>1</v>
      </c>
      <c r="E53" s="19"/>
      <c r="F53" s="197"/>
      <c r="G53" s="198"/>
      <c r="H53" s="19"/>
      <c r="I53" s="19"/>
      <c r="J53" s="197"/>
      <c r="K53" s="198"/>
      <c r="L53" s="19"/>
      <c r="M53" s="19"/>
      <c r="N53" s="197"/>
      <c r="O53" s="198"/>
      <c r="P53" s="19"/>
      <c r="Q53" s="19"/>
      <c r="R53" s="197"/>
      <c r="S53" s="198"/>
      <c r="T53" s="19"/>
      <c r="U53" s="19"/>
      <c r="V53" s="76"/>
      <c r="W53" s="187">
        <f>SUM(C53:V53)</f>
        <v>1</v>
      </c>
      <c r="AP53" s="25"/>
      <c r="AQ53" s="25"/>
      <c r="AR53" s="199"/>
      <c r="AS53" s="199"/>
      <c r="AT53" s="199"/>
      <c r="AU53" s="199"/>
      <c r="AV53" s="199"/>
      <c r="AW53" s="199"/>
      <c r="AX53" s="199"/>
      <c r="AY53" s="199"/>
    </row>
    <row r="54" spans="1:51" s="1" customFormat="1" ht="54.95" customHeight="1">
      <c r="A54" s="18">
        <v>0.29166666666666702</v>
      </c>
      <c r="B54" s="18">
        <v>0.3125</v>
      </c>
      <c r="C54" s="19"/>
      <c r="D54" s="19"/>
      <c r="E54" s="19"/>
      <c r="F54" s="197"/>
      <c r="G54" s="198"/>
      <c r="H54" s="19">
        <v>1</v>
      </c>
      <c r="I54" s="19"/>
      <c r="J54" s="197"/>
      <c r="K54" s="198">
        <v>1</v>
      </c>
      <c r="L54" s="19"/>
      <c r="M54" s="19"/>
      <c r="N54" s="197"/>
      <c r="O54" s="198"/>
      <c r="P54" s="19">
        <v>1</v>
      </c>
      <c r="Q54" s="19"/>
      <c r="R54" s="197"/>
      <c r="S54" s="198"/>
      <c r="T54" s="19"/>
      <c r="U54" s="19"/>
      <c r="V54" s="76"/>
      <c r="W54" s="187">
        <f>SUM(C54:V54)</f>
        <v>3</v>
      </c>
      <c r="AP54" s="25"/>
      <c r="AQ54" s="25"/>
      <c r="AR54" s="199"/>
      <c r="AS54" s="199"/>
      <c r="AT54" s="199"/>
      <c r="AU54" s="199"/>
      <c r="AV54" s="199"/>
      <c r="AW54" s="199"/>
      <c r="AX54" s="199"/>
      <c r="AY54" s="199"/>
    </row>
    <row r="55" spans="1:51" s="1" customFormat="1" ht="54.95" customHeight="1">
      <c r="A55" s="18">
        <v>0.3125</v>
      </c>
      <c r="B55" s="18">
        <v>0.33333333333333298</v>
      </c>
      <c r="C55" s="19"/>
      <c r="D55" s="19">
        <v>1</v>
      </c>
      <c r="E55" s="19"/>
      <c r="F55" s="197"/>
      <c r="G55" s="198"/>
      <c r="H55" s="19">
        <v>1</v>
      </c>
      <c r="I55" s="19"/>
      <c r="J55" s="197"/>
      <c r="K55" s="198"/>
      <c r="L55" s="19">
        <v>1</v>
      </c>
      <c r="M55" s="19"/>
      <c r="N55" s="197"/>
      <c r="O55" s="198"/>
      <c r="P55" s="19"/>
      <c r="Q55" s="19"/>
      <c r="R55" s="197"/>
      <c r="S55" s="198"/>
      <c r="T55" s="19"/>
      <c r="U55" s="19"/>
      <c r="V55" s="76"/>
      <c r="W55" s="187">
        <f>SUM(C55:V55)</f>
        <v>3</v>
      </c>
      <c r="AP55" s="25"/>
      <c r="AQ55" s="25"/>
      <c r="AR55" s="199"/>
      <c r="AS55" s="199"/>
      <c r="AT55" s="199"/>
      <c r="AU55" s="199"/>
      <c r="AV55" s="199"/>
      <c r="AW55" s="199"/>
      <c r="AX55" s="199"/>
      <c r="AY55" s="199"/>
    </row>
    <row r="56" spans="1:51" s="1" customFormat="1" ht="54.95" customHeight="1">
      <c r="A56" s="18">
        <v>0.33333333333333298</v>
      </c>
      <c r="B56" s="18">
        <v>0.35416666666666702</v>
      </c>
      <c r="C56" s="19"/>
      <c r="D56" s="19">
        <v>1</v>
      </c>
      <c r="E56" s="19"/>
      <c r="F56" s="197"/>
      <c r="G56" s="198"/>
      <c r="H56" s="19"/>
      <c r="I56" s="19"/>
      <c r="J56" s="197"/>
      <c r="K56" s="198"/>
      <c r="L56" s="19"/>
      <c r="M56" s="19"/>
      <c r="N56" s="197">
        <v>1</v>
      </c>
      <c r="O56" s="198"/>
      <c r="P56" s="19">
        <v>1</v>
      </c>
      <c r="Q56" s="19"/>
      <c r="R56" s="197"/>
      <c r="S56" s="198"/>
      <c r="T56" s="19"/>
      <c r="U56" s="19"/>
      <c r="V56" s="76"/>
      <c r="W56" s="187">
        <f>SUM(C56:V56)</f>
        <v>3</v>
      </c>
      <c r="AP56" s="25"/>
      <c r="AQ56" s="25"/>
      <c r="AR56" s="199"/>
      <c r="AS56" s="199"/>
      <c r="AT56" s="199"/>
      <c r="AU56" s="199"/>
      <c r="AV56" s="199"/>
      <c r="AW56" s="199"/>
      <c r="AX56" s="199"/>
      <c r="AY56" s="199"/>
    </row>
    <row r="57" spans="1:51" s="1" customFormat="1" ht="54.95" customHeight="1">
      <c r="A57" s="18">
        <v>0.35416666666666702</v>
      </c>
      <c r="B57" s="18">
        <v>0.375</v>
      </c>
      <c r="C57" s="19"/>
      <c r="D57" s="19"/>
      <c r="E57" s="19"/>
      <c r="F57" s="197"/>
      <c r="G57" s="198"/>
      <c r="H57" s="19"/>
      <c r="I57" s="19"/>
      <c r="J57" s="197"/>
      <c r="K57" s="198"/>
      <c r="L57" s="19"/>
      <c r="M57" s="19">
        <v>1</v>
      </c>
      <c r="N57" s="197"/>
      <c r="O57" s="198"/>
      <c r="P57" s="19"/>
      <c r="Q57" s="19"/>
      <c r="R57" s="197"/>
      <c r="S57" s="198"/>
      <c r="T57" s="19"/>
      <c r="U57" s="19"/>
      <c r="V57" s="76"/>
      <c r="W57" s="187">
        <f>SUM(C57:V57)</f>
        <v>1</v>
      </c>
      <c r="AP57" s="25"/>
      <c r="AQ57" s="25"/>
      <c r="AR57" s="199"/>
      <c r="AS57" s="199"/>
      <c r="AT57" s="199"/>
      <c r="AU57" s="199"/>
      <c r="AV57" s="199"/>
      <c r="AW57" s="199"/>
      <c r="AX57" s="199"/>
      <c r="AY57" s="199"/>
    </row>
    <row r="58" spans="1:51" s="1" customFormat="1" ht="36" customHeight="1">
      <c r="W58" s="187">
        <f>SUM(W53:W57)</f>
        <v>11</v>
      </c>
    </row>
    <row r="59" spans="1:51" s="2" customFormat="1" ht="32.25" customHeight="1">
      <c r="A59" s="3"/>
      <c r="B59" s="5"/>
      <c r="C59" s="317" t="s">
        <v>78</v>
      </c>
      <c r="D59" s="317"/>
      <c r="E59" s="317"/>
      <c r="F59" s="317"/>
      <c r="G59" s="317"/>
      <c r="H59" s="317"/>
      <c r="I59" s="317"/>
      <c r="J59" s="317"/>
      <c r="K59" s="317"/>
      <c r="L59" s="317"/>
      <c r="M59" s="317"/>
      <c r="N59" s="317"/>
      <c r="O59" s="317"/>
      <c r="P59" s="317"/>
      <c r="Q59" s="317"/>
      <c r="R59" s="317"/>
      <c r="S59" s="317"/>
      <c r="T59" s="317"/>
      <c r="U59" s="317"/>
      <c r="V59" s="317"/>
      <c r="W59" s="190"/>
      <c r="AP59" s="26"/>
      <c r="AQ59" s="26"/>
      <c r="AS59" s="194"/>
      <c r="AT59" s="194"/>
      <c r="AU59" s="194"/>
      <c r="AV59" s="194"/>
      <c r="AW59" s="194"/>
      <c r="AX59" s="194"/>
      <c r="AY59" s="194"/>
    </row>
    <row r="60" spans="1:51" s="1" customFormat="1" ht="22.7" customHeight="1">
      <c r="A60" s="3"/>
      <c r="B60" s="5"/>
      <c r="C60" s="312" t="s">
        <v>121</v>
      </c>
      <c r="D60" s="312"/>
      <c r="E60" s="312"/>
      <c r="F60" s="312"/>
      <c r="G60" s="312" t="s">
        <v>122</v>
      </c>
      <c r="H60" s="312"/>
      <c r="I60" s="312"/>
      <c r="J60" s="312"/>
      <c r="K60" s="312" t="s">
        <v>53</v>
      </c>
      <c r="L60" s="312"/>
      <c r="M60" s="312"/>
      <c r="N60" s="312"/>
      <c r="O60" s="312" t="s">
        <v>119</v>
      </c>
      <c r="P60" s="312"/>
      <c r="Q60" s="312"/>
      <c r="R60" s="312"/>
      <c r="S60" s="312" t="s">
        <v>120</v>
      </c>
      <c r="T60" s="312"/>
      <c r="U60" s="312"/>
      <c r="V60" s="312"/>
      <c r="W60" s="187"/>
      <c r="AP60" s="25"/>
      <c r="AQ60" s="25"/>
    </row>
    <row r="61" spans="1:51" s="1" customFormat="1" ht="18.600000000000001" customHeight="1">
      <c r="C61" s="309" t="s">
        <v>18</v>
      </c>
      <c r="D61" s="309"/>
      <c r="E61" s="309" t="s">
        <v>19</v>
      </c>
      <c r="F61" s="309"/>
      <c r="G61" s="309" t="s">
        <v>18</v>
      </c>
      <c r="H61" s="309"/>
      <c r="I61" s="309" t="s">
        <v>19</v>
      </c>
      <c r="J61" s="309"/>
      <c r="K61" s="309" t="s">
        <v>18</v>
      </c>
      <c r="L61" s="309"/>
      <c r="M61" s="309" t="s">
        <v>19</v>
      </c>
      <c r="N61" s="309"/>
      <c r="O61" s="309" t="s">
        <v>18</v>
      </c>
      <c r="P61" s="309"/>
      <c r="Q61" s="309" t="s">
        <v>19</v>
      </c>
      <c r="R61" s="309"/>
      <c r="S61" s="309" t="s">
        <v>18</v>
      </c>
      <c r="T61" s="309"/>
      <c r="U61" s="309" t="s">
        <v>19</v>
      </c>
      <c r="V61" s="309"/>
      <c r="W61" s="187"/>
      <c r="AP61" s="25"/>
      <c r="AQ61" s="25"/>
    </row>
    <row r="62" spans="1:51" s="1" customFormat="1" ht="20.25">
      <c r="A62" s="302" t="s">
        <v>20</v>
      </c>
      <c r="B62" s="302"/>
      <c r="C62" s="195" t="s">
        <v>21</v>
      </c>
      <c r="D62" s="195" t="s">
        <v>22</v>
      </c>
      <c r="E62" s="195" t="s">
        <v>21</v>
      </c>
      <c r="F62" s="195" t="s">
        <v>22</v>
      </c>
      <c r="G62" s="195" t="s">
        <v>21</v>
      </c>
      <c r="H62" s="195" t="s">
        <v>22</v>
      </c>
      <c r="I62" s="195" t="s">
        <v>21</v>
      </c>
      <c r="J62" s="195" t="s">
        <v>22</v>
      </c>
      <c r="K62" s="195" t="s">
        <v>21</v>
      </c>
      <c r="L62" s="195" t="s">
        <v>22</v>
      </c>
      <c r="M62" s="195" t="s">
        <v>21</v>
      </c>
      <c r="N62" s="195" t="s">
        <v>22</v>
      </c>
      <c r="O62" s="195" t="s">
        <v>21</v>
      </c>
      <c r="P62" s="195" t="s">
        <v>22</v>
      </c>
      <c r="Q62" s="195" t="s">
        <v>21</v>
      </c>
      <c r="R62" s="195" t="s">
        <v>22</v>
      </c>
      <c r="S62" s="195" t="s">
        <v>21</v>
      </c>
      <c r="T62" s="195" t="s">
        <v>22</v>
      </c>
      <c r="U62" s="195" t="s">
        <v>21</v>
      </c>
      <c r="V62" s="195" t="s">
        <v>22</v>
      </c>
      <c r="W62" s="187"/>
      <c r="AP62" s="25"/>
      <c r="AQ62" s="25"/>
      <c r="AR62" s="196"/>
    </row>
    <row r="63" spans="1:51" s="1" customFormat="1" ht="54.95" customHeight="1">
      <c r="A63" s="18">
        <v>0.27083333333333298</v>
      </c>
      <c r="B63" s="18">
        <v>0.29166666666666702</v>
      </c>
      <c r="C63" s="19"/>
      <c r="D63" s="19"/>
      <c r="E63" s="19"/>
      <c r="F63" s="197"/>
      <c r="G63" s="198"/>
      <c r="H63" s="19">
        <v>1</v>
      </c>
      <c r="I63" s="19">
        <v>1</v>
      </c>
      <c r="J63" s="197"/>
      <c r="K63" s="198"/>
      <c r="L63" s="19"/>
      <c r="M63" s="19"/>
      <c r="N63" s="197"/>
      <c r="O63" s="198"/>
      <c r="P63" s="19"/>
      <c r="Q63" s="19"/>
      <c r="R63" s="197"/>
      <c r="S63" s="198"/>
      <c r="T63" s="19">
        <v>1</v>
      </c>
      <c r="U63" s="19"/>
      <c r="V63" s="76"/>
      <c r="W63" s="187">
        <f>SUM(C63:V63)</f>
        <v>3</v>
      </c>
      <c r="AP63" s="25"/>
      <c r="AQ63" s="25"/>
      <c r="AR63" s="199"/>
      <c r="AS63" s="199"/>
      <c r="AT63" s="199"/>
      <c r="AU63" s="199"/>
      <c r="AV63" s="199"/>
      <c r="AW63" s="199"/>
      <c r="AX63" s="199"/>
      <c r="AY63" s="199"/>
    </row>
    <row r="64" spans="1:51" s="1" customFormat="1" ht="54.95" customHeight="1">
      <c r="A64" s="18">
        <v>0.29166666666666702</v>
      </c>
      <c r="B64" s="18">
        <v>0.3125</v>
      </c>
      <c r="C64" s="19"/>
      <c r="D64" s="19"/>
      <c r="E64" s="19"/>
      <c r="F64" s="197"/>
      <c r="G64" s="198"/>
      <c r="H64" s="19"/>
      <c r="I64" s="19"/>
      <c r="J64" s="197"/>
      <c r="K64" s="198"/>
      <c r="L64" s="19">
        <v>1</v>
      </c>
      <c r="M64" s="19"/>
      <c r="N64" s="197"/>
      <c r="O64" s="198"/>
      <c r="P64" s="19"/>
      <c r="Q64" s="19"/>
      <c r="R64" s="197"/>
      <c r="S64" s="198"/>
      <c r="T64" s="19"/>
      <c r="U64" s="19"/>
      <c r="V64" s="76"/>
      <c r="W64" s="187">
        <f>SUM(C64:V64)</f>
        <v>1</v>
      </c>
      <c r="AP64" s="25"/>
      <c r="AQ64" s="25"/>
      <c r="AR64" s="199"/>
      <c r="AS64" s="199"/>
      <c r="AT64" s="199"/>
      <c r="AU64" s="199"/>
      <c r="AV64" s="199"/>
      <c r="AW64" s="199"/>
      <c r="AX64" s="199"/>
      <c r="AY64" s="199"/>
    </row>
    <row r="65" spans="1:51" s="1" customFormat="1" ht="54.95" customHeight="1">
      <c r="A65" s="18">
        <v>0.3125</v>
      </c>
      <c r="B65" s="18">
        <v>0.33333333333333298</v>
      </c>
      <c r="C65" s="19"/>
      <c r="D65" s="19"/>
      <c r="E65" s="19"/>
      <c r="F65" s="197"/>
      <c r="G65" s="198"/>
      <c r="H65" s="19"/>
      <c r="I65" s="19"/>
      <c r="J65" s="197"/>
      <c r="K65" s="198"/>
      <c r="L65" s="19"/>
      <c r="M65" s="19"/>
      <c r="N65" s="197">
        <v>1</v>
      </c>
      <c r="O65" s="198"/>
      <c r="P65" s="19"/>
      <c r="Q65" s="19"/>
      <c r="R65" s="197"/>
      <c r="S65" s="198"/>
      <c r="T65" s="19"/>
      <c r="U65" s="19"/>
      <c r="V65" s="76"/>
      <c r="W65" s="187">
        <f>SUM(C65:V65)</f>
        <v>1</v>
      </c>
      <c r="AP65" s="25"/>
      <c r="AQ65" s="25"/>
      <c r="AR65" s="199"/>
      <c r="AS65" s="199"/>
      <c r="AT65" s="199"/>
      <c r="AU65" s="199"/>
      <c r="AV65" s="199"/>
      <c r="AW65" s="199"/>
      <c r="AX65" s="199"/>
      <c r="AY65" s="199"/>
    </row>
    <row r="66" spans="1:51" s="1" customFormat="1" ht="54.95" customHeight="1">
      <c r="A66" s="18">
        <v>0.33333333333333298</v>
      </c>
      <c r="B66" s="18">
        <v>0.35416666666666702</v>
      </c>
      <c r="C66" s="19"/>
      <c r="D66" s="19"/>
      <c r="E66" s="19"/>
      <c r="F66" s="197"/>
      <c r="G66" s="198"/>
      <c r="H66" s="19"/>
      <c r="I66" s="19"/>
      <c r="J66" s="197"/>
      <c r="K66" s="198"/>
      <c r="L66" s="19">
        <v>1</v>
      </c>
      <c r="M66" s="19">
        <v>1</v>
      </c>
      <c r="N66" s="197"/>
      <c r="O66" s="198"/>
      <c r="P66" s="19"/>
      <c r="Q66" s="19"/>
      <c r="R66" s="197"/>
      <c r="S66" s="198"/>
      <c r="T66" s="19"/>
      <c r="U66" s="19"/>
      <c r="V66" s="76"/>
      <c r="W66" s="187">
        <f>SUM(C66:V66)</f>
        <v>2</v>
      </c>
      <c r="AP66" s="25"/>
      <c r="AQ66" s="25"/>
      <c r="AR66" s="199"/>
      <c r="AS66" s="199"/>
      <c r="AT66" s="199"/>
      <c r="AU66" s="199"/>
      <c r="AV66" s="199"/>
      <c r="AW66" s="199"/>
      <c r="AX66" s="199"/>
      <c r="AY66" s="199"/>
    </row>
    <row r="67" spans="1:51" s="1" customFormat="1" ht="54.95" customHeight="1">
      <c r="A67" s="18">
        <v>0.35416666666666702</v>
      </c>
      <c r="B67" s="18">
        <v>0.375</v>
      </c>
      <c r="C67" s="19"/>
      <c r="D67" s="19"/>
      <c r="E67" s="19"/>
      <c r="F67" s="197"/>
      <c r="G67" s="198"/>
      <c r="H67" s="19"/>
      <c r="I67" s="19"/>
      <c r="J67" s="197"/>
      <c r="K67" s="198"/>
      <c r="L67" s="19"/>
      <c r="M67" s="19"/>
      <c r="N67" s="197"/>
      <c r="O67" s="198"/>
      <c r="P67" s="19"/>
      <c r="Q67" s="19"/>
      <c r="R67" s="197"/>
      <c r="S67" s="198"/>
      <c r="T67" s="19"/>
      <c r="U67" s="19"/>
      <c r="V67" s="76"/>
      <c r="W67" s="187">
        <f>SUM(C67:V67)</f>
        <v>0</v>
      </c>
      <c r="AP67" s="25"/>
      <c r="AQ67" s="25"/>
      <c r="AR67" s="199"/>
      <c r="AS67" s="199"/>
      <c r="AT67" s="199"/>
      <c r="AU67" s="199"/>
      <c r="AV67" s="199"/>
      <c r="AW67" s="199"/>
      <c r="AX67" s="199"/>
      <c r="AY67" s="199"/>
    </row>
    <row r="68" spans="1:51" s="1" customFormat="1" ht="36" customHeight="1">
      <c r="W68" s="187">
        <f>SUM(W63:W67)</f>
        <v>7</v>
      </c>
    </row>
    <row r="69" spans="1:51" s="2" customFormat="1" ht="32.25" customHeight="1">
      <c r="A69" s="3"/>
      <c r="B69" s="5"/>
      <c r="C69" s="317" t="s">
        <v>127</v>
      </c>
      <c r="D69" s="317"/>
      <c r="E69" s="317"/>
      <c r="F69" s="317"/>
      <c r="G69" s="317"/>
      <c r="H69" s="317"/>
      <c r="I69" s="317"/>
      <c r="J69" s="317"/>
      <c r="K69" s="317"/>
      <c r="L69" s="317"/>
      <c r="M69" s="317"/>
      <c r="N69" s="317"/>
      <c r="O69" s="317"/>
      <c r="P69" s="317"/>
      <c r="Q69" s="317"/>
      <c r="R69" s="317"/>
      <c r="S69" s="317"/>
      <c r="T69" s="317"/>
      <c r="U69" s="317"/>
      <c r="V69" s="317"/>
      <c r="W69" s="190"/>
      <c r="AP69" s="26"/>
      <c r="AQ69" s="26"/>
      <c r="AS69" s="194"/>
      <c r="AT69" s="194"/>
      <c r="AU69" s="194"/>
      <c r="AV69" s="194"/>
      <c r="AW69" s="194"/>
      <c r="AX69" s="194"/>
      <c r="AY69" s="194"/>
    </row>
    <row r="70" spans="1:51" s="1" customFormat="1" ht="22.7" customHeight="1">
      <c r="A70" s="3"/>
      <c r="B70" s="5"/>
      <c r="C70" s="312" t="s">
        <v>122</v>
      </c>
      <c r="D70" s="312"/>
      <c r="E70" s="312"/>
      <c r="F70" s="312"/>
      <c r="G70" s="312" t="s">
        <v>53</v>
      </c>
      <c r="H70" s="312"/>
      <c r="I70" s="312"/>
      <c r="J70" s="312"/>
      <c r="K70" s="312" t="s">
        <v>119</v>
      </c>
      <c r="L70" s="312"/>
      <c r="M70" s="312"/>
      <c r="N70" s="312"/>
      <c r="O70" s="312" t="s">
        <v>120</v>
      </c>
      <c r="P70" s="312"/>
      <c r="Q70" s="312"/>
      <c r="R70" s="312"/>
      <c r="S70" s="312" t="s">
        <v>82</v>
      </c>
      <c r="T70" s="312"/>
      <c r="U70" s="312"/>
      <c r="V70" s="312"/>
      <c r="W70" s="187"/>
      <c r="AP70" s="25"/>
      <c r="AQ70" s="25"/>
    </row>
    <row r="71" spans="1:51" s="1" customFormat="1" ht="18.600000000000001" customHeight="1">
      <c r="A71" s="3"/>
      <c r="B71" s="5"/>
      <c r="C71" s="309" t="s">
        <v>18</v>
      </c>
      <c r="D71" s="309"/>
      <c r="E71" s="309" t="s">
        <v>19</v>
      </c>
      <c r="F71" s="309"/>
      <c r="G71" s="309" t="s">
        <v>18</v>
      </c>
      <c r="H71" s="309"/>
      <c r="I71" s="309" t="s">
        <v>19</v>
      </c>
      <c r="J71" s="309"/>
      <c r="K71" s="309" t="s">
        <v>18</v>
      </c>
      <c r="L71" s="309"/>
      <c r="M71" s="309" t="s">
        <v>19</v>
      </c>
      <c r="N71" s="309"/>
      <c r="O71" s="309" t="s">
        <v>18</v>
      </c>
      <c r="P71" s="309"/>
      <c r="Q71" s="309" t="s">
        <v>19</v>
      </c>
      <c r="R71" s="309"/>
      <c r="S71" s="309" t="s">
        <v>18</v>
      </c>
      <c r="T71" s="309"/>
      <c r="U71" s="309" t="s">
        <v>19</v>
      </c>
      <c r="V71" s="309"/>
      <c r="W71" s="187"/>
      <c r="AP71" s="25"/>
      <c r="AQ71" s="25"/>
    </row>
    <row r="72" spans="1:51" s="1" customFormat="1" ht="20.25">
      <c r="A72" s="302" t="s">
        <v>20</v>
      </c>
      <c r="B72" s="302"/>
      <c r="C72" s="195" t="s">
        <v>21</v>
      </c>
      <c r="D72" s="195" t="s">
        <v>22</v>
      </c>
      <c r="E72" s="195" t="s">
        <v>21</v>
      </c>
      <c r="F72" s="195" t="s">
        <v>22</v>
      </c>
      <c r="G72" s="195" t="s">
        <v>21</v>
      </c>
      <c r="H72" s="195" t="s">
        <v>22</v>
      </c>
      <c r="I72" s="195" t="s">
        <v>21</v>
      </c>
      <c r="J72" s="195" t="s">
        <v>22</v>
      </c>
      <c r="K72" s="195" t="s">
        <v>21</v>
      </c>
      <c r="L72" s="195" t="s">
        <v>22</v>
      </c>
      <c r="M72" s="195" t="s">
        <v>21</v>
      </c>
      <c r="N72" s="195" t="s">
        <v>22</v>
      </c>
      <c r="O72" s="195" t="s">
        <v>21</v>
      </c>
      <c r="P72" s="195" t="s">
        <v>22</v>
      </c>
      <c r="Q72" s="195" t="s">
        <v>21</v>
      </c>
      <c r="R72" s="195" t="s">
        <v>22</v>
      </c>
      <c r="S72" s="195" t="s">
        <v>21</v>
      </c>
      <c r="T72" s="195" t="s">
        <v>22</v>
      </c>
      <c r="U72" s="195" t="s">
        <v>21</v>
      </c>
      <c r="V72" s="195" t="s">
        <v>22</v>
      </c>
      <c r="W72" s="187"/>
      <c r="AP72" s="25"/>
      <c r="AQ72" s="25"/>
      <c r="AR72" s="196"/>
    </row>
    <row r="73" spans="1:51" s="1" customFormat="1" ht="54.95" customHeight="1">
      <c r="A73" s="18">
        <v>0.27083333333333298</v>
      </c>
      <c r="B73" s="18">
        <v>0.29166666666666702</v>
      </c>
      <c r="C73" s="19"/>
      <c r="D73" s="19">
        <v>1</v>
      </c>
      <c r="E73" s="19"/>
      <c r="F73" s="197"/>
      <c r="G73" s="198"/>
      <c r="H73" s="19">
        <v>1</v>
      </c>
      <c r="I73" s="19">
        <v>1</v>
      </c>
      <c r="J73" s="197"/>
      <c r="K73" s="198"/>
      <c r="L73" s="19"/>
      <c r="M73" s="19"/>
      <c r="N73" s="197"/>
      <c r="O73" s="198"/>
      <c r="P73" s="19"/>
      <c r="Q73" s="19"/>
      <c r="R73" s="197"/>
      <c r="S73" s="198"/>
      <c r="T73" s="19"/>
      <c r="U73" s="19"/>
      <c r="V73" s="76"/>
      <c r="W73" s="187">
        <f>SUM(C73:V73)</f>
        <v>3</v>
      </c>
      <c r="AP73" s="25"/>
      <c r="AQ73" s="25"/>
      <c r="AR73" s="199"/>
      <c r="AS73" s="199"/>
      <c r="AT73" s="199"/>
      <c r="AU73" s="199"/>
      <c r="AV73" s="199"/>
      <c r="AW73" s="199"/>
      <c r="AX73" s="199"/>
      <c r="AY73" s="199"/>
    </row>
    <row r="74" spans="1:51" s="1" customFormat="1" ht="54.95" customHeight="1">
      <c r="A74" s="18">
        <v>0.29166666666666702</v>
      </c>
      <c r="B74" s="18">
        <v>0.3125</v>
      </c>
      <c r="C74" s="19">
        <v>1</v>
      </c>
      <c r="D74" s="19"/>
      <c r="E74" s="19"/>
      <c r="F74" s="197"/>
      <c r="G74" s="198"/>
      <c r="H74" s="19">
        <v>1</v>
      </c>
      <c r="I74" s="19"/>
      <c r="J74" s="197"/>
      <c r="K74" s="198"/>
      <c r="L74" s="19"/>
      <c r="M74" s="19"/>
      <c r="N74" s="197">
        <v>1</v>
      </c>
      <c r="O74" s="198"/>
      <c r="P74" s="19">
        <v>2</v>
      </c>
      <c r="Q74" s="19"/>
      <c r="R74" s="197"/>
      <c r="S74" s="198"/>
      <c r="T74" s="19"/>
      <c r="U74" s="19"/>
      <c r="V74" s="76"/>
      <c r="W74" s="187">
        <f>SUM(C74:V74)</f>
        <v>5</v>
      </c>
      <c r="AP74" s="25"/>
      <c r="AQ74" s="25"/>
      <c r="AR74" s="199"/>
      <c r="AS74" s="199"/>
      <c r="AT74" s="199"/>
      <c r="AU74" s="199"/>
      <c r="AV74" s="199"/>
      <c r="AW74" s="199"/>
      <c r="AX74" s="199"/>
      <c r="AY74" s="199"/>
    </row>
    <row r="75" spans="1:51" s="1" customFormat="1" ht="54.95" customHeight="1">
      <c r="A75" s="18">
        <v>0.3125</v>
      </c>
      <c r="B75" s="18">
        <v>0.33333333333333298</v>
      </c>
      <c r="C75" s="19"/>
      <c r="D75" s="19">
        <v>2</v>
      </c>
      <c r="E75" s="19"/>
      <c r="F75" s="197"/>
      <c r="G75" s="198">
        <v>1</v>
      </c>
      <c r="H75" s="19">
        <v>1</v>
      </c>
      <c r="I75" s="19">
        <v>3</v>
      </c>
      <c r="J75" s="197"/>
      <c r="K75" s="198">
        <v>1</v>
      </c>
      <c r="L75" s="19"/>
      <c r="M75" s="19"/>
      <c r="N75" s="197"/>
      <c r="O75" s="198"/>
      <c r="P75" s="19"/>
      <c r="Q75" s="19"/>
      <c r="R75" s="197"/>
      <c r="S75" s="198"/>
      <c r="T75" s="19"/>
      <c r="U75" s="19"/>
      <c r="V75" s="76"/>
      <c r="W75" s="187">
        <f>SUM(C75:V75)</f>
        <v>8</v>
      </c>
      <c r="AP75" s="25"/>
      <c r="AQ75" s="25"/>
      <c r="AR75" s="199"/>
      <c r="AS75" s="199"/>
      <c r="AT75" s="199"/>
      <c r="AU75" s="199"/>
      <c r="AV75" s="199"/>
      <c r="AW75" s="199"/>
      <c r="AX75" s="199"/>
      <c r="AY75" s="199"/>
    </row>
    <row r="76" spans="1:51" s="1" customFormat="1" ht="54.95" customHeight="1">
      <c r="A76" s="18">
        <v>0.33333333333333298</v>
      </c>
      <c r="B76" s="18">
        <v>0.35416666666666702</v>
      </c>
      <c r="C76" s="19">
        <v>1</v>
      </c>
      <c r="D76" s="19"/>
      <c r="E76" s="19"/>
      <c r="F76" s="197"/>
      <c r="G76" s="198"/>
      <c r="H76" s="19"/>
      <c r="I76" s="19"/>
      <c r="J76" s="197"/>
      <c r="K76" s="198"/>
      <c r="L76" s="19"/>
      <c r="M76" s="19"/>
      <c r="N76" s="197">
        <v>1</v>
      </c>
      <c r="O76" s="198"/>
      <c r="P76" s="19"/>
      <c r="Q76" s="19"/>
      <c r="R76" s="197"/>
      <c r="S76" s="198"/>
      <c r="T76" s="19"/>
      <c r="U76" s="19"/>
      <c r="V76" s="76"/>
      <c r="W76" s="187">
        <f>SUM(C76:V76)</f>
        <v>2</v>
      </c>
      <c r="AP76" s="25"/>
      <c r="AQ76" s="25"/>
      <c r="AR76" s="199"/>
      <c r="AS76" s="199"/>
      <c r="AT76" s="199"/>
      <c r="AU76" s="199"/>
      <c r="AV76" s="199"/>
      <c r="AW76" s="199"/>
      <c r="AX76" s="199"/>
      <c r="AY76" s="199"/>
    </row>
    <row r="77" spans="1:51" s="1" customFormat="1" ht="54.95" customHeight="1">
      <c r="A77" s="18">
        <v>0.35416666666666702</v>
      </c>
      <c r="B77" s="18">
        <v>0.375</v>
      </c>
      <c r="C77" s="19"/>
      <c r="D77" s="19"/>
      <c r="E77" s="19"/>
      <c r="F77" s="197"/>
      <c r="G77" s="198"/>
      <c r="H77" s="19"/>
      <c r="I77" s="19"/>
      <c r="J77" s="197">
        <v>1</v>
      </c>
      <c r="K77" s="198"/>
      <c r="L77" s="19"/>
      <c r="M77" s="19"/>
      <c r="N77" s="197"/>
      <c r="O77" s="198"/>
      <c r="P77" s="19"/>
      <c r="Q77" s="19"/>
      <c r="R77" s="197"/>
      <c r="S77" s="198"/>
      <c r="T77" s="19"/>
      <c r="U77" s="19"/>
      <c r="V77" s="76"/>
      <c r="W77" s="187">
        <f>SUM(C77:V77)</f>
        <v>1</v>
      </c>
      <c r="AP77" s="25"/>
      <c r="AQ77" s="25"/>
      <c r="AR77" s="199"/>
      <c r="AS77" s="199"/>
      <c r="AT77" s="199"/>
      <c r="AU77" s="199"/>
      <c r="AV77" s="199"/>
      <c r="AW77" s="199"/>
      <c r="AX77" s="199"/>
      <c r="AY77" s="199"/>
    </row>
    <row r="78" spans="1:51" s="23" customFormat="1" ht="54.95" customHeight="1">
      <c r="A78" s="20"/>
      <c r="B78" s="21" t="s">
        <v>23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187">
        <f>SUM(W73:W77)</f>
        <v>19</v>
      </c>
    </row>
    <row r="79" spans="1:51" s="23" customFormat="1" ht="54.95" customHeight="1">
      <c r="A79" s="20">
        <v>4</v>
      </c>
      <c r="B79" s="21" t="s">
        <v>24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00"/>
    </row>
    <row r="80" spans="1:51" s="23" customFormat="1" ht="54.95" customHeight="1">
      <c r="A80" s="20"/>
      <c r="B80" s="21" t="s">
        <v>25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00"/>
    </row>
    <row r="81" spans="1:1024" s="23" customFormat="1" ht="45" customHeight="1">
      <c r="A81" s="20">
        <v>2</v>
      </c>
      <c r="B81" s="21" t="s">
        <v>26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00"/>
    </row>
    <row r="82" spans="1:1024" ht="54.95" hidden="1" customHeight="1">
      <c r="A82" s="16">
        <v>9</v>
      </c>
      <c r="B82" s="16" t="s">
        <v>55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201"/>
      <c r="X82" s="25"/>
      <c r="Y82" s="199"/>
      <c r="Z82" s="199"/>
      <c r="AA82" s="199"/>
      <c r="AB82" s="199"/>
      <c r="AD82" s="199"/>
      <c r="AE82" s="199"/>
      <c r="AF82" s="199"/>
    </row>
    <row r="83" spans="1:1024" ht="54.95" hidden="1" customHeight="1">
      <c r="A83" s="16"/>
      <c r="B83" s="16" t="s">
        <v>56</v>
      </c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201"/>
      <c r="X83" s="25"/>
      <c r="Y83" s="199"/>
      <c r="Z83" s="199"/>
      <c r="AA83" s="199"/>
      <c r="AB83" s="199"/>
      <c r="AD83" s="199"/>
      <c r="AE83" s="199"/>
      <c r="AF83" s="199"/>
    </row>
    <row r="84" spans="1:1024" ht="12.75" customHeight="1"/>
    <row r="85" spans="1:1024" s="2" customFormat="1" ht="32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105"/>
      <c r="X85" s="5"/>
      <c r="Y85" s="305" t="s">
        <v>27</v>
      </c>
      <c r="Z85" s="319" t="s">
        <v>28</v>
      </c>
      <c r="AA85" s="316" t="s">
        <v>29</v>
      </c>
      <c r="AB85" s="316" t="s">
        <v>30</v>
      </c>
      <c r="AC85" s="61" t="s">
        <v>32</v>
      </c>
      <c r="AD85" s="61" t="s">
        <v>33</v>
      </c>
      <c r="AE85" s="61" t="s">
        <v>24</v>
      </c>
      <c r="AF85" s="61" t="s">
        <v>34</v>
      </c>
      <c r="AG85" s="202"/>
      <c r="AH85" s="202"/>
      <c r="AI85" s="203"/>
      <c r="AKU85" s="8"/>
      <c r="AKV85" s="8"/>
      <c r="AKW85" s="8"/>
      <c r="AKX85" s="8"/>
      <c r="AKY85" s="8"/>
      <c r="AKZ85" s="8"/>
      <c r="ALA85" s="8"/>
      <c r="ALB85" s="8"/>
      <c r="ALC85" s="8"/>
      <c r="ALD85" s="8"/>
      <c r="ALE85" s="8"/>
      <c r="ALF85" s="8"/>
      <c r="ALG85" s="8"/>
      <c r="ALH85" s="8"/>
      <c r="ALI85" s="8"/>
      <c r="ALJ85" s="8"/>
      <c r="ALK85" s="8"/>
      <c r="ALL85" s="8"/>
      <c r="ALM85" s="8"/>
      <c r="ALN85" s="8"/>
      <c r="ALO85" s="8"/>
      <c r="ALP85" s="8"/>
      <c r="ALQ85" s="8"/>
      <c r="ALR85" s="8"/>
      <c r="ALS85" s="8"/>
      <c r="ALT85" s="8"/>
      <c r="ALU85" s="8"/>
      <c r="ALV85" s="8"/>
      <c r="ALW85" s="8"/>
      <c r="ALX85" s="8"/>
      <c r="ALY85" s="8"/>
      <c r="ALZ85" s="8"/>
      <c r="AMA85" s="8"/>
      <c r="AMB85" s="8"/>
      <c r="AMC85" s="8"/>
      <c r="AMD85" s="8"/>
      <c r="AME85" s="8"/>
      <c r="AMF85" s="8"/>
      <c r="AMG85" s="8"/>
      <c r="AMH85" s="8"/>
      <c r="AMI85" s="8"/>
      <c r="AMJ85" s="8"/>
    </row>
    <row r="86" spans="1:1024" ht="22.7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27"/>
      <c r="X86" s="15"/>
      <c r="Y86" s="305"/>
      <c r="Z86" s="319"/>
      <c r="AA86" s="316"/>
      <c r="AB86" s="316"/>
      <c r="AC86" s="61"/>
      <c r="AD86" s="61"/>
      <c r="AE86" s="61"/>
      <c r="AF86" s="61"/>
      <c r="AG86" s="204"/>
      <c r="AH86" s="204"/>
      <c r="AI86" s="205"/>
    </row>
    <row r="87" spans="1:1024" ht="18.600000000000001" customHeight="1">
      <c r="A87" s="163"/>
      <c r="B87" s="163"/>
      <c r="C87" s="309" t="s">
        <v>18</v>
      </c>
      <c r="D87" s="309"/>
      <c r="E87" s="309" t="s">
        <v>19</v>
      </c>
      <c r="F87" s="309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206"/>
      <c r="X87" s="15"/>
      <c r="Y87" s="305"/>
      <c r="Z87" s="319"/>
      <c r="AA87" s="316"/>
      <c r="AB87" s="316"/>
      <c r="AC87" s="61"/>
      <c r="AD87" s="61"/>
      <c r="AE87" s="61"/>
      <c r="AF87" s="61"/>
      <c r="AG87" s="204"/>
      <c r="AH87" s="204"/>
      <c r="AI87" s="205"/>
    </row>
    <row r="88" spans="1:1024" ht="21" customHeight="1">
      <c r="A88" s="302" t="s">
        <v>20</v>
      </c>
      <c r="B88" s="302"/>
      <c r="C88" s="17" t="s">
        <v>21</v>
      </c>
      <c r="D88" s="17" t="s">
        <v>22</v>
      </c>
      <c r="E88" s="17" t="s">
        <v>21</v>
      </c>
      <c r="F88" s="17" t="s">
        <v>22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302" t="s">
        <v>20</v>
      </c>
      <c r="X88" s="302"/>
      <c r="Y88" s="305"/>
      <c r="Z88" s="319"/>
      <c r="AA88" s="316"/>
      <c r="AB88" s="316"/>
      <c r="AC88" s="61"/>
      <c r="AD88" s="61"/>
      <c r="AE88" s="61"/>
      <c r="AF88" s="61"/>
      <c r="AG88" s="207"/>
      <c r="AH88" s="207"/>
      <c r="AI88" s="208"/>
    </row>
    <row r="89" spans="1:1024" ht="54.95" customHeight="1">
      <c r="A89" s="302" t="s">
        <v>35</v>
      </c>
      <c r="B89" s="302"/>
      <c r="C89" s="19">
        <f t="shared" ref="C89:F93" si="0">C13+G13+K13+O13+S13+C23+G23+K23+O23+S23+C33+G33+K33+O33+S33+C53+G53+K53+O53+S53+C63+G63+K63+O63+S63+C73+G73+K73+O73+S73</f>
        <v>0</v>
      </c>
      <c r="D89" s="19">
        <f t="shared" si="0"/>
        <v>6</v>
      </c>
      <c r="E89" s="19">
        <f t="shared" si="0"/>
        <v>2</v>
      </c>
      <c r="F89" s="19">
        <f t="shared" si="0"/>
        <v>3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302" t="str">
        <f>A89</f>
        <v>6:30 à 7:00</v>
      </c>
      <c r="X89" s="302"/>
      <c r="Y89" s="63">
        <f>SUM(C89:V89)+SUM(C103:V103)</f>
        <v>11</v>
      </c>
      <c r="Z89" s="36">
        <f>C89+E89</f>
        <v>2</v>
      </c>
      <c r="AA89" s="36">
        <f>E89+F89</f>
        <v>5</v>
      </c>
      <c r="AB89" s="36">
        <f>E89</f>
        <v>2</v>
      </c>
      <c r="AC89" s="209"/>
      <c r="AD89" s="88"/>
      <c r="AE89" s="87"/>
      <c r="AF89" s="87"/>
      <c r="AG89" s="209"/>
      <c r="AH89" s="209"/>
      <c r="AI89" s="210"/>
    </row>
    <row r="90" spans="1:1024" ht="54.95" customHeight="1">
      <c r="A90" s="302" t="s">
        <v>36</v>
      </c>
      <c r="B90" s="302"/>
      <c r="C90" s="19">
        <f t="shared" si="0"/>
        <v>3</v>
      </c>
      <c r="D90" s="19">
        <f t="shared" si="0"/>
        <v>9</v>
      </c>
      <c r="E90" s="19">
        <f t="shared" si="0"/>
        <v>0</v>
      </c>
      <c r="F90" s="19">
        <f t="shared" si="0"/>
        <v>1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302" t="str">
        <f>A90</f>
        <v>7:00 à 7:30</v>
      </c>
      <c r="X90" s="302"/>
      <c r="Y90" s="63">
        <f>SUM(C90:V90)+SUM(C103:V103)</f>
        <v>13</v>
      </c>
      <c r="Z90" s="36">
        <f>C90+E90</f>
        <v>3</v>
      </c>
      <c r="AA90" s="36">
        <f>E90+F90</f>
        <v>1</v>
      </c>
      <c r="AB90" s="36">
        <f>E90</f>
        <v>0</v>
      </c>
      <c r="AC90" s="209"/>
      <c r="AD90" s="88"/>
      <c r="AE90" s="87"/>
      <c r="AF90" s="87"/>
      <c r="AG90" s="209"/>
      <c r="AH90" s="209"/>
      <c r="AI90" s="210"/>
    </row>
    <row r="91" spans="1:1024" ht="54.95" customHeight="1">
      <c r="A91" s="302" t="s">
        <v>37</v>
      </c>
      <c r="B91" s="302"/>
      <c r="C91" s="19">
        <f t="shared" si="0"/>
        <v>3</v>
      </c>
      <c r="D91" s="19">
        <f t="shared" si="0"/>
        <v>9</v>
      </c>
      <c r="E91" s="19">
        <f t="shared" si="0"/>
        <v>3</v>
      </c>
      <c r="F91" s="19">
        <f t="shared" si="0"/>
        <v>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302" t="str">
        <f>A91</f>
        <v>7:30 à 8:00</v>
      </c>
      <c r="X91" s="302"/>
      <c r="Y91" s="63">
        <f>SUM(C91:V91)+SUM(C105:V105)</f>
        <v>18</v>
      </c>
      <c r="Z91" s="36">
        <f>C91+E91</f>
        <v>6</v>
      </c>
      <c r="AA91" s="36">
        <f>E91+F91</f>
        <v>6</v>
      </c>
      <c r="AB91" s="36">
        <f>E91</f>
        <v>3</v>
      </c>
      <c r="AC91" s="209"/>
      <c r="AD91" s="88"/>
      <c r="AE91" s="87"/>
      <c r="AF91" s="87"/>
      <c r="AG91" s="209"/>
      <c r="AH91" s="209"/>
      <c r="AI91" s="210"/>
    </row>
    <row r="92" spans="1:1024" ht="54.95" customHeight="1">
      <c r="A92" s="302" t="s">
        <v>38</v>
      </c>
      <c r="B92" s="302"/>
      <c r="C92" s="19">
        <f t="shared" si="0"/>
        <v>1</v>
      </c>
      <c r="D92" s="19">
        <f t="shared" si="0"/>
        <v>3</v>
      </c>
      <c r="E92" s="19">
        <f t="shared" si="0"/>
        <v>2</v>
      </c>
      <c r="F92" s="19">
        <f t="shared" si="0"/>
        <v>2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302" t="str">
        <f>A92</f>
        <v>8:00 à 8:30</v>
      </c>
      <c r="X92" s="302"/>
      <c r="Y92" s="63">
        <f>SUM(C92:V92)+SUM(C106:V106)</f>
        <v>8</v>
      </c>
      <c r="Z92" s="36">
        <f>C92+E92</f>
        <v>3</v>
      </c>
      <c r="AA92" s="36">
        <f>E92+F92</f>
        <v>4</v>
      </c>
      <c r="AB92" s="36">
        <f>E92</f>
        <v>2</v>
      </c>
      <c r="AC92" s="209"/>
      <c r="AD92" s="88"/>
      <c r="AE92" s="87"/>
      <c r="AF92" s="87"/>
      <c r="AG92" s="209"/>
      <c r="AH92" s="209"/>
      <c r="AI92" s="210"/>
    </row>
    <row r="93" spans="1:1024" ht="54.95" customHeight="1">
      <c r="A93" s="302" t="s">
        <v>39</v>
      </c>
      <c r="B93" s="302"/>
      <c r="C93" s="19">
        <f t="shared" si="0"/>
        <v>1</v>
      </c>
      <c r="D93" s="19">
        <f t="shared" si="0"/>
        <v>3</v>
      </c>
      <c r="E93" s="19">
        <f t="shared" si="0"/>
        <v>4</v>
      </c>
      <c r="F93" s="19">
        <f t="shared" si="0"/>
        <v>1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302" t="str">
        <f>A93</f>
        <v>8:30 à 9:00</v>
      </c>
      <c r="X93" s="302"/>
      <c r="Y93" s="63">
        <f>SUM(C93:V93)+SUM(C107:V107)</f>
        <v>9</v>
      </c>
      <c r="Z93" s="36">
        <f>C93+E93</f>
        <v>5</v>
      </c>
      <c r="AA93" s="36">
        <f>E93+F93</f>
        <v>5</v>
      </c>
      <c r="AB93" s="36">
        <f>E93</f>
        <v>4</v>
      </c>
      <c r="AC93" s="209"/>
      <c r="AD93" s="88"/>
      <c r="AE93" s="87"/>
      <c r="AF93" s="87"/>
      <c r="AG93" s="209"/>
      <c r="AH93" s="209"/>
      <c r="AI93" s="210"/>
    </row>
    <row r="94" spans="1:1024" ht="54.95" customHeight="1">
      <c r="A94" s="302" t="s">
        <v>27</v>
      </c>
      <c r="B94" s="302"/>
      <c r="C94" s="90">
        <f>SUM(C89:C93)</f>
        <v>8</v>
      </c>
      <c r="D94" s="90">
        <f>SUM(D89:D93)</f>
        <v>30</v>
      </c>
      <c r="E94" s="90">
        <f>SUM(E89:E93)</f>
        <v>11</v>
      </c>
      <c r="F94" s="90">
        <f>SUM(F89:F93)</f>
        <v>10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318" t="s">
        <v>27</v>
      </c>
      <c r="X94" s="318"/>
      <c r="Y94" s="39">
        <f>SUM(Y89:Y93)</f>
        <v>59</v>
      </c>
      <c r="Z94" s="39">
        <f>SUM(Z89:Z93)</f>
        <v>19</v>
      </c>
      <c r="AA94" s="39">
        <f>SUM(AA89:AA93)</f>
        <v>21</v>
      </c>
      <c r="AB94" s="40">
        <f>SUM(AB89:AB93)</f>
        <v>11</v>
      </c>
      <c r="AC94" s="39">
        <f>A81+A41</f>
        <v>5</v>
      </c>
      <c r="AD94" s="40">
        <f>A78+A38</f>
        <v>0</v>
      </c>
      <c r="AE94" s="40">
        <f>A79+A39</f>
        <v>10</v>
      </c>
      <c r="AF94" s="40">
        <f>A80+A40</f>
        <v>0</v>
      </c>
      <c r="AG94" s="209"/>
      <c r="AH94" s="209"/>
      <c r="AI94" s="210"/>
    </row>
    <row r="95" spans="1:1024" ht="54.95" customHeight="1">
      <c r="A95" s="97"/>
      <c r="B95" s="97"/>
      <c r="C95" s="173"/>
      <c r="D95" s="173"/>
      <c r="E95" s="173"/>
      <c r="F95" s="173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45" t="s">
        <v>36</v>
      </c>
      <c r="X95" s="46"/>
      <c r="Y95" s="47">
        <v>13</v>
      </c>
      <c r="Z95" s="47"/>
      <c r="AA95" s="47"/>
      <c r="AB95" s="47"/>
      <c r="AC95" s="209"/>
      <c r="AD95" s="209"/>
      <c r="AE95" s="209"/>
      <c r="AF95" s="209"/>
      <c r="AG95" s="209"/>
      <c r="AH95" s="209"/>
      <c r="AI95" s="210"/>
    </row>
    <row r="96" spans="1:1024" ht="54.95" customHeight="1">
      <c r="A96" s="97"/>
      <c r="B96" s="97"/>
      <c r="C96" s="173"/>
      <c r="D96" s="173"/>
      <c r="E96" s="173"/>
      <c r="F96" s="173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2" t="s">
        <v>37</v>
      </c>
      <c r="X96" s="53"/>
      <c r="Y96" s="54">
        <v>18</v>
      </c>
      <c r="Z96" s="54"/>
      <c r="AA96" s="54"/>
      <c r="AB96" s="54"/>
      <c r="AC96" s="209"/>
      <c r="AD96" s="209"/>
      <c r="AE96" s="209"/>
      <c r="AF96" s="209"/>
      <c r="AG96" s="209"/>
      <c r="AH96" s="209"/>
      <c r="AI96" s="210"/>
    </row>
    <row r="97" spans="1:35" ht="54.95" customHeight="1">
      <c r="A97" s="97"/>
      <c r="B97" s="97"/>
      <c r="C97" s="173"/>
      <c r="D97" s="173"/>
      <c r="E97" s="173"/>
      <c r="F97" s="173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308" t="s">
        <v>41</v>
      </c>
      <c r="X97" s="308"/>
      <c r="Y97" s="55">
        <f>SUM(Y95:Y96)</f>
        <v>31</v>
      </c>
      <c r="Z97" s="56"/>
      <c r="AA97" s="56"/>
      <c r="AB97" s="56"/>
      <c r="AC97" s="209"/>
      <c r="AD97" s="209"/>
      <c r="AE97" s="209"/>
      <c r="AF97" s="209"/>
      <c r="AG97" s="209"/>
      <c r="AH97" s="209"/>
      <c r="AI97" s="210"/>
    </row>
    <row r="98" spans="1:35" ht="32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211" t="s">
        <v>40</v>
      </c>
      <c r="W98" s="302" t="str">
        <f>IF($Y$89=MAX($Y$89:$Y$93),W89,IF($Y$90=MAX($Y$89:$Y$93),W90,IF($Y$91=MAX($Y$89:$Y$93),W91,IF($Y$92=MAX($Y$89:$Y$93),W92,IF($Y$93=MAX($Y$89:$Y$93),A93)))))</f>
        <v>7:30 à 8:00</v>
      </c>
      <c r="X98" s="302"/>
      <c r="Y98" s="33">
        <f>IF($Y$89=MAX($Y$89:$Y$93),Y89,IF($Y$90=MAX($Y$89:$Y$93),Y90,IF($Y$91=MAX($Y$89:$Y$93),Y91,IF($Y$92=MAX($Y$89:$Y$93),Y92,IF($Y$93=MAX($Y$89:$Y$93),C93)))))</f>
        <v>18</v>
      </c>
      <c r="Z98" s="33">
        <f>IF($Y$89=MAX($Y$89:$Y$93),Z89,IF($Y$90=MAX($Y$89:$Y$93),Z90,IF($Y$91=MAX($Y$89:$Y$93),Z91,IF($Y$92=MAX($Y$89:$Y$93),Z92,IF($Y$93=MAX($Y$89:$Y$93),D93)))))</f>
        <v>6</v>
      </c>
      <c r="AA98" s="33">
        <f>IF($Y$89=MAX($Y$89:$Y$93),AA89,IF($Y$90=MAX($Y$89:$Y$93),AA90,IF($Y$91=MAX($Y$89:$Y$93),AA91,IF($Y$92=MAX($Y$89:$Y$93),AA92,IF($Y$93=MAX($Y$89:$Y$93),E93)))))</f>
        <v>6</v>
      </c>
      <c r="AB98" s="33">
        <f>IF($Y$89=MAX($Y$89:$Y$93),AB89,IF($Y$90=MAX($Y$89:$Y$93),AB90,IF($Y$91=MAX($Y$89:$Y$93),AB91,IF($Y$92=MAX($Y$89:$Y$93),AB92,IF($Y$93=MAX($Y$89:$Y$93),F93)))))</f>
        <v>3</v>
      </c>
      <c r="AC98" s="209"/>
      <c r="AD98" s="88"/>
      <c r="AE98" s="87"/>
      <c r="AF98" s="87"/>
      <c r="AG98" s="209"/>
      <c r="AH98" s="209"/>
      <c r="AI98" s="210"/>
    </row>
    <row r="99" spans="1:35" ht="22.7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27"/>
      <c r="X99" s="15"/>
      <c r="Y99" s="305" t="s">
        <v>27</v>
      </c>
      <c r="Z99" s="306" t="s">
        <v>42</v>
      </c>
      <c r="AA99" s="306" t="s">
        <v>43</v>
      </c>
      <c r="AB99" s="306" t="s">
        <v>44</v>
      </c>
      <c r="AC99" s="61"/>
      <c r="AD99" s="61" t="s">
        <v>61</v>
      </c>
      <c r="AE99" s="61"/>
      <c r="AF99" s="61"/>
      <c r="AG99" s="61"/>
      <c r="AH99" s="61"/>
      <c r="AI99" s="61"/>
    </row>
    <row r="100" spans="1:35" ht="18.600000000000001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27"/>
      <c r="X100" s="15"/>
      <c r="Y100" s="305"/>
      <c r="Z100" s="306"/>
      <c r="AA100" s="306"/>
      <c r="AB100" s="306"/>
      <c r="AC100" s="61"/>
      <c r="AD100" s="61"/>
      <c r="AE100" s="61"/>
      <c r="AF100" s="61"/>
      <c r="AG100" s="61"/>
      <c r="AH100" s="61"/>
      <c r="AI100" s="61"/>
    </row>
    <row r="101" spans="1:35" ht="2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206"/>
      <c r="X101" s="15"/>
      <c r="Y101" s="305"/>
      <c r="Z101" s="306"/>
      <c r="AA101" s="306"/>
      <c r="AB101" s="306"/>
      <c r="AC101" s="61"/>
      <c r="AD101" s="61"/>
      <c r="AE101" s="61"/>
      <c r="AF101" s="61"/>
      <c r="AG101" s="61"/>
      <c r="AH101" s="61"/>
      <c r="AI101" s="61"/>
    </row>
    <row r="102" spans="1:35" ht="54.9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302" t="s">
        <v>20</v>
      </c>
      <c r="X102" s="302"/>
      <c r="Y102" s="305"/>
      <c r="Z102" s="306"/>
      <c r="AA102" s="306"/>
      <c r="AB102" s="306"/>
      <c r="AC102" s="61"/>
      <c r="AD102" s="61"/>
      <c r="AE102" s="61"/>
      <c r="AF102" s="61"/>
      <c r="AG102" s="61"/>
      <c r="AH102" s="61"/>
      <c r="AI102" s="61"/>
    </row>
    <row r="103" spans="1:35" ht="54.9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302">
        <f t="shared" ref="W103:W108" si="1">A103</f>
        <v>0</v>
      </c>
      <c r="X103" s="302"/>
      <c r="Y103" s="63"/>
      <c r="Z103" s="64">
        <f>IF(Z89=0,0,Z89/Y89)</f>
        <v>0.18181818181818182</v>
      </c>
      <c r="AA103" s="64">
        <f>IF(AA89=0,0,AA89/Y89)</f>
        <v>0.45454545454545453</v>
      </c>
      <c r="AB103" s="64">
        <f>IF(AB89=0,0,AB89/Z89)</f>
        <v>1</v>
      </c>
      <c r="AC103" s="209"/>
      <c r="AD103" s="88"/>
      <c r="AE103" s="87"/>
      <c r="AF103" s="87"/>
      <c r="AG103" s="209"/>
      <c r="AH103" s="209"/>
      <c r="AI103" s="210"/>
    </row>
    <row r="104" spans="1:35" s="1" customFormat="1" ht="54.9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302">
        <f t="shared" si="1"/>
        <v>0</v>
      </c>
      <c r="X104" s="302"/>
      <c r="Y104" s="63"/>
      <c r="Z104" s="64">
        <f>IF(Z90=0,0,Z90/Y90)</f>
        <v>0.23076923076923078</v>
      </c>
      <c r="AA104" s="64">
        <f>IF(AA90=0,0,AA90/Y90)</f>
        <v>7.6923076923076927E-2</v>
      </c>
      <c r="AB104" s="64">
        <f>IF(AB90=0,0,AB90/Z90)</f>
        <v>0</v>
      </c>
      <c r="AC104" s="209"/>
      <c r="AD104" s="88"/>
      <c r="AE104" s="87"/>
      <c r="AF104" s="87"/>
      <c r="AG104" s="209"/>
      <c r="AH104" s="209"/>
      <c r="AI104" s="210"/>
    </row>
    <row r="105" spans="1:35" s="1" customFormat="1" ht="54.9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302">
        <f t="shared" si="1"/>
        <v>0</v>
      </c>
      <c r="X105" s="302"/>
      <c r="Y105" s="63"/>
      <c r="Z105" s="64">
        <f>IF(Z90=0,0,Z90/Y90)</f>
        <v>0.23076923076923078</v>
      </c>
      <c r="AA105" s="64">
        <f t="shared" ref="AA105:AB108" si="2">IF(AA90=0,0,AA90/Y90)</f>
        <v>7.6923076923076927E-2</v>
      </c>
      <c r="AB105" s="64">
        <f t="shared" si="2"/>
        <v>0</v>
      </c>
      <c r="AC105" s="209"/>
      <c r="AD105" s="88"/>
      <c r="AE105" s="87"/>
      <c r="AF105" s="87"/>
      <c r="AG105" s="209"/>
      <c r="AH105" s="209"/>
      <c r="AI105" s="210"/>
    </row>
    <row r="106" spans="1:35" s="1" customFormat="1" ht="54.9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302">
        <f t="shared" si="1"/>
        <v>0</v>
      </c>
      <c r="X106" s="302"/>
      <c r="Y106" s="63"/>
      <c r="Z106" s="64">
        <f>IF(Z91=0,0,Z91/Y91)</f>
        <v>0.33333333333333331</v>
      </c>
      <c r="AA106" s="64">
        <f t="shared" si="2"/>
        <v>0.33333333333333331</v>
      </c>
      <c r="AB106" s="64">
        <f t="shared" si="2"/>
        <v>0.5</v>
      </c>
      <c r="AC106" s="209"/>
      <c r="AD106" s="88"/>
      <c r="AE106" s="87"/>
      <c r="AF106" s="87"/>
      <c r="AG106" s="209"/>
      <c r="AH106" s="209"/>
      <c r="AI106" s="210"/>
    </row>
    <row r="107" spans="1:35" s="1" customFormat="1" ht="54.9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302">
        <f t="shared" si="1"/>
        <v>0</v>
      </c>
      <c r="X107" s="302"/>
      <c r="Y107" s="63"/>
      <c r="Z107" s="64">
        <f>IF(Z92=0,0,Z92/Y92)</f>
        <v>0.375</v>
      </c>
      <c r="AA107" s="64">
        <f t="shared" si="2"/>
        <v>0.5</v>
      </c>
      <c r="AB107" s="64">
        <f t="shared" si="2"/>
        <v>0.66666666666666663</v>
      </c>
      <c r="AC107" s="209"/>
      <c r="AD107" s="88"/>
      <c r="AE107" s="87"/>
      <c r="AF107" s="87"/>
      <c r="AG107" s="209"/>
      <c r="AH107" s="209"/>
      <c r="AI107" s="210"/>
    </row>
    <row r="108" spans="1:35" s="1" customFormat="1" ht="54.9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302">
        <f t="shared" si="1"/>
        <v>0</v>
      </c>
      <c r="X108" s="302"/>
      <c r="Y108" s="63"/>
      <c r="Z108" s="64">
        <f>IF(Z93=0,0,Z93/Y93)</f>
        <v>0.55555555555555558</v>
      </c>
      <c r="AA108" s="64">
        <f t="shared" si="2"/>
        <v>0.55555555555555558</v>
      </c>
      <c r="AB108" s="64">
        <f t="shared" si="2"/>
        <v>0.8</v>
      </c>
      <c r="AC108" s="209"/>
      <c r="AD108" s="88"/>
      <c r="AE108" s="87"/>
      <c r="AF108" s="87"/>
      <c r="AG108" s="209"/>
      <c r="AH108" s="209"/>
      <c r="AI108" s="210"/>
    </row>
    <row r="109" spans="1:35" s="1" customFormat="1" ht="54.9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302" t="str">
        <f>W98</f>
        <v>7:30 à 8:00</v>
      </c>
      <c r="X109" s="302"/>
      <c r="Y109" s="33">
        <f>IF($Y$89=MAX($Y$89:$Y$94),Y103,IF($Y$91=MAX($Y$89:$Y$94),Y106,IF($Y$92=MAX($Y$89:$Y$94),Y107,IF($Y$93=MAX($Y$89:$Y$94),(Y107),Y108))))</f>
        <v>0</v>
      </c>
      <c r="Z109" s="66">
        <f>Z98/$Y$98</f>
        <v>0.33333333333333331</v>
      </c>
      <c r="AA109" s="66">
        <f>AA98/$Y$98</f>
        <v>0.33333333333333331</v>
      </c>
      <c r="AB109" s="66">
        <f>AB98/$Y$98</f>
        <v>0.16666666666666666</v>
      </c>
      <c r="AC109" s="209"/>
      <c r="AD109" s="88"/>
      <c r="AE109" s="87"/>
      <c r="AF109" s="87"/>
      <c r="AG109" s="209"/>
      <c r="AH109" s="209"/>
      <c r="AI109" s="210"/>
    </row>
    <row r="110" spans="1:35" s="1" customFormat="1" ht="23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187"/>
      <c r="AC110" s="209"/>
      <c r="AD110" s="87"/>
      <c r="AE110" s="87"/>
      <c r="AF110" s="87"/>
      <c r="AG110" s="209"/>
      <c r="AH110" s="209"/>
      <c r="AI110" s="209"/>
    </row>
    <row r="111" spans="1:35" ht="2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35" ht="2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3" ht="2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3" ht="2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3" s="1" customFormat="1" ht="24.9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187"/>
    </row>
    <row r="116" spans="1:23" s="1" customFormat="1" ht="24.9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187"/>
    </row>
    <row r="117" spans="1:23" s="1" customFormat="1" ht="24.9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187"/>
    </row>
    <row r="118" spans="1:23" s="1" customFormat="1" ht="24.95" customHeight="1">
      <c r="W118" s="187"/>
    </row>
    <row r="119" spans="1:23" s="1" customFormat="1" ht="24.95" customHeight="1">
      <c r="W119" s="187"/>
    </row>
    <row r="120" spans="1:23" s="1" customFormat="1" ht="24.95" customHeight="1">
      <c r="W120" s="187"/>
    </row>
    <row r="121" spans="1:23" s="1" customFormat="1" ht="24.95" customHeight="1">
      <c r="W121" s="187"/>
    </row>
  </sheetData>
  <mergeCells count="136">
    <mergeCell ref="C9:V9"/>
    <mergeCell ref="C10:F10"/>
    <mergeCell ref="G10:J10"/>
    <mergeCell ref="K10:N10"/>
    <mergeCell ref="O10:R10"/>
    <mergeCell ref="S10:V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A12:B12"/>
    <mergeCell ref="C19:V19"/>
    <mergeCell ref="C20:F20"/>
    <mergeCell ref="G20:J20"/>
    <mergeCell ref="K20:N20"/>
    <mergeCell ref="O20:R20"/>
    <mergeCell ref="S20:V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A22:B22"/>
    <mergeCell ref="C29:V29"/>
    <mergeCell ref="C30:F30"/>
    <mergeCell ref="G30:J30"/>
    <mergeCell ref="K30:N30"/>
    <mergeCell ref="O30:R30"/>
    <mergeCell ref="S30:V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A32:B32"/>
    <mergeCell ref="C49:V49"/>
    <mergeCell ref="C50:F50"/>
    <mergeCell ref="G50:J50"/>
    <mergeCell ref="K50:N50"/>
    <mergeCell ref="O50:R50"/>
    <mergeCell ref="S50:V50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A52:B52"/>
    <mergeCell ref="C59:V59"/>
    <mergeCell ref="C60:F60"/>
    <mergeCell ref="G60:J60"/>
    <mergeCell ref="K60:N60"/>
    <mergeCell ref="O60:R60"/>
    <mergeCell ref="S60:V60"/>
    <mergeCell ref="C61:D61"/>
    <mergeCell ref="E61:F61"/>
    <mergeCell ref="G61:H61"/>
    <mergeCell ref="I61:J61"/>
    <mergeCell ref="K61:L61"/>
    <mergeCell ref="M61:N61"/>
    <mergeCell ref="O61:P61"/>
    <mergeCell ref="Q61:R61"/>
    <mergeCell ref="S61:T61"/>
    <mergeCell ref="U61:V61"/>
    <mergeCell ref="A62:B62"/>
    <mergeCell ref="C69:V69"/>
    <mergeCell ref="C70:F70"/>
    <mergeCell ref="G70:J70"/>
    <mergeCell ref="K70:N70"/>
    <mergeCell ref="O70:R70"/>
    <mergeCell ref="S70:V70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A72:B72"/>
    <mergeCell ref="Y85:Y88"/>
    <mergeCell ref="Z85:Z88"/>
    <mergeCell ref="AA85:AA88"/>
    <mergeCell ref="AB85:AB88"/>
    <mergeCell ref="C87:D87"/>
    <mergeCell ref="E87:F87"/>
    <mergeCell ref="A88:B88"/>
    <mergeCell ref="W88:X88"/>
    <mergeCell ref="Y99:Y102"/>
    <mergeCell ref="Z99:Z102"/>
    <mergeCell ref="AA99:AA102"/>
    <mergeCell ref="AB99:AB102"/>
    <mergeCell ref="W102:X102"/>
    <mergeCell ref="A89:B89"/>
    <mergeCell ref="W89:X89"/>
    <mergeCell ref="A90:B90"/>
    <mergeCell ref="W90:X90"/>
    <mergeCell ref="A91:B91"/>
    <mergeCell ref="W91:X91"/>
    <mergeCell ref="A92:B92"/>
    <mergeCell ref="W92:X92"/>
    <mergeCell ref="A93:B93"/>
    <mergeCell ref="W93:X93"/>
    <mergeCell ref="W103:X103"/>
    <mergeCell ref="W104:X104"/>
    <mergeCell ref="W105:X105"/>
    <mergeCell ref="W106:X106"/>
    <mergeCell ref="W107:X107"/>
    <mergeCell ref="W108:X108"/>
    <mergeCell ref="W109:X109"/>
    <mergeCell ref="A94:B94"/>
    <mergeCell ref="W94:X94"/>
    <mergeCell ref="W97:X97"/>
    <mergeCell ref="W98:X98"/>
  </mergeCells>
  <pageMargins left="0.31527777777777799" right="0.31527777777777799" top="1.1416666666666699" bottom="1.1416666666666699" header="0.51180555555555496" footer="0.51180555555555496"/>
  <pageSetup paperSize="9" fitToHeight="0" orientation="portrait" horizontalDpi="300" verticalDpi="300"/>
  <colBreaks count="1" manualBreakCount="1">
    <brk id="2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J57"/>
  <sheetViews>
    <sheetView topLeftCell="A22" zoomScale="50" zoomScaleNormal="50" workbookViewId="0">
      <selection activeCell="V32" sqref="V32"/>
    </sheetView>
  </sheetViews>
  <sheetFormatPr baseColWidth="10" defaultColWidth="11.25" defaultRowHeight="14.25"/>
  <cols>
    <col min="1" max="1" width="12" style="107" customWidth="1"/>
    <col min="2" max="2" width="11.25" style="107"/>
    <col min="3" max="18" width="14.625" style="107" customWidth="1"/>
    <col min="19" max="24" width="11.25" style="107"/>
    <col min="25" max="25" width="14.625" style="107" customWidth="1"/>
    <col min="26" max="26" width="14.625" style="112" customWidth="1"/>
    <col min="27" max="28" width="14.625" style="107" customWidth="1"/>
    <col min="29" max="1023" width="11.25" style="107"/>
    <col min="1024" max="1024" width="11.25" style="108"/>
  </cols>
  <sheetData>
    <row r="1" spans="1:1023" s="112" customFormat="1" ht="42" customHeight="1">
      <c r="A1" s="109"/>
      <c r="B1" s="110" t="s">
        <v>128</v>
      </c>
      <c r="C1" s="111"/>
      <c r="D1" s="111"/>
      <c r="E1" s="111"/>
      <c r="G1" s="109" t="s">
        <v>2</v>
      </c>
      <c r="H1" s="113"/>
      <c r="I1" s="111"/>
      <c r="J1" s="111"/>
      <c r="K1" s="111"/>
      <c r="L1" s="111"/>
      <c r="M1" s="111"/>
      <c r="O1" s="109"/>
      <c r="P1" s="113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G1" s="111"/>
      <c r="AH1" s="111"/>
      <c r="AMH1" s="114"/>
      <c r="AMI1" s="114"/>
    </row>
    <row r="2" spans="1:1023" s="112" customFormat="1" ht="30" customHeight="1">
      <c r="A2" s="109" t="s">
        <v>3</v>
      </c>
      <c r="B2" s="111"/>
      <c r="C2" s="111"/>
      <c r="D2" s="111"/>
      <c r="E2" s="111"/>
      <c r="G2" s="111"/>
      <c r="H2" s="111"/>
      <c r="I2" s="111"/>
      <c r="J2" s="111"/>
      <c r="K2" s="111"/>
      <c r="L2" s="111"/>
      <c r="M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F2" s="111"/>
      <c r="AG2" s="111"/>
      <c r="AH2" s="111"/>
      <c r="AMH2" s="114"/>
      <c r="AMI2" s="114"/>
    </row>
    <row r="3" spans="1:1023" s="112" customFormat="1" ht="20.25" customHeight="1">
      <c r="A3" s="109" t="s">
        <v>5</v>
      </c>
      <c r="B3" s="111"/>
      <c r="C3" s="111"/>
      <c r="D3" s="111"/>
      <c r="E3" s="111"/>
      <c r="F3" s="111"/>
      <c r="G3" s="115" t="s">
        <v>7</v>
      </c>
      <c r="H3" s="111"/>
      <c r="I3" s="111"/>
      <c r="J3" s="111"/>
      <c r="K3" s="111"/>
      <c r="L3" s="111"/>
      <c r="M3" s="111"/>
      <c r="N3" s="111"/>
      <c r="O3" s="115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MH3" s="114"/>
      <c r="AMI3" s="114"/>
    </row>
    <row r="4" spans="1:1023" s="114" customFormat="1" ht="4.5" customHeight="1"/>
    <row r="5" spans="1:1023" s="114" customFormat="1" ht="4.5" customHeight="1"/>
    <row r="6" spans="1:1023" s="112" customFormat="1" ht="25.5" customHeight="1">
      <c r="A6" s="116" t="s">
        <v>8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MI6" s="114"/>
    </row>
    <row r="7" spans="1:1023" s="112" customFormat="1" ht="50.65" customHeight="1">
      <c r="A7" s="116" t="s">
        <v>10</v>
      </c>
      <c r="B7" s="111"/>
      <c r="C7" s="111"/>
      <c r="D7" s="111"/>
      <c r="E7" s="111"/>
      <c r="F7" s="111"/>
      <c r="G7" s="117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MI7" s="114"/>
    </row>
    <row r="8" spans="1:1023" s="112" customFormat="1" ht="25.5" customHeight="1">
      <c r="A8" s="116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</row>
    <row r="9" spans="1:1023" s="112" customFormat="1" ht="30" customHeight="1">
      <c r="A9" s="109"/>
      <c r="B9" s="111"/>
      <c r="C9" s="335" t="s">
        <v>129</v>
      </c>
      <c r="D9" s="335"/>
      <c r="E9" s="335"/>
      <c r="F9" s="335"/>
      <c r="G9" s="335"/>
      <c r="H9" s="335"/>
      <c r="I9" s="335"/>
      <c r="J9" s="335"/>
      <c r="K9" s="335" t="s">
        <v>130</v>
      </c>
      <c r="L9" s="335"/>
      <c r="M9" s="335"/>
      <c r="N9" s="335"/>
      <c r="O9" s="335"/>
      <c r="P9" s="335"/>
      <c r="Q9" s="335"/>
      <c r="R9" s="335"/>
    </row>
    <row r="10" spans="1:1023" ht="18.75" customHeight="1">
      <c r="A10" s="109"/>
      <c r="B10" s="111"/>
      <c r="C10" s="328" t="s">
        <v>75</v>
      </c>
      <c r="D10" s="328"/>
      <c r="E10" s="328"/>
      <c r="F10" s="328"/>
      <c r="G10" s="328" t="s">
        <v>131</v>
      </c>
      <c r="H10" s="328"/>
      <c r="I10" s="328"/>
      <c r="J10" s="328"/>
      <c r="K10" s="328" t="s">
        <v>132</v>
      </c>
      <c r="L10" s="328"/>
      <c r="M10" s="328"/>
      <c r="N10" s="328"/>
      <c r="O10" s="328" t="s">
        <v>133</v>
      </c>
      <c r="P10" s="328"/>
      <c r="Q10" s="328"/>
      <c r="R10" s="328"/>
    </row>
    <row r="11" spans="1:1023" ht="23.25" customHeight="1">
      <c r="A11" s="109"/>
      <c r="B11" s="111"/>
      <c r="C11" s="329" t="s">
        <v>18</v>
      </c>
      <c r="D11" s="329"/>
      <c r="E11" s="329" t="s">
        <v>19</v>
      </c>
      <c r="F11" s="329"/>
      <c r="G11" s="329" t="s">
        <v>18</v>
      </c>
      <c r="H11" s="329"/>
      <c r="I11" s="329" t="s">
        <v>19</v>
      </c>
      <c r="J11" s="329"/>
      <c r="K11" s="329" t="s">
        <v>18</v>
      </c>
      <c r="L11" s="329"/>
      <c r="M11" s="329" t="s">
        <v>19</v>
      </c>
      <c r="N11" s="329"/>
      <c r="O11" s="329" t="s">
        <v>18</v>
      </c>
      <c r="P11" s="329"/>
      <c r="Q11" s="329" t="s">
        <v>19</v>
      </c>
      <c r="R11" s="329"/>
    </row>
    <row r="12" spans="1:1023" ht="20.25">
      <c r="A12" s="344" t="s">
        <v>20</v>
      </c>
      <c r="B12" s="344"/>
      <c r="C12" s="136" t="s">
        <v>21</v>
      </c>
      <c r="D12" s="136" t="s">
        <v>22</v>
      </c>
      <c r="E12" s="136" t="s">
        <v>21</v>
      </c>
      <c r="F12" s="136" t="s">
        <v>22</v>
      </c>
      <c r="G12" s="136" t="s">
        <v>21</v>
      </c>
      <c r="H12" s="136" t="s">
        <v>22</v>
      </c>
      <c r="I12" s="136" t="s">
        <v>21</v>
      </c>
      <c r="J12" s="136" t="s">
        <v>22</v>
      </c>
      <c r="K12" s="136" t="s">
        <v>21</v>
      </c>
      <c r="L12" s="136" t="s">
        <v>22</v>
      </c>
      <c r="M12" s="136" t="s">
        <v>21</v>
      </c>
      <c r="N12" s="136" t="s">
        <v>22</v>
      </c>
      <c r="O12" s="136" t="s">
        <v>21</v>
      </c>
      <c r="P12" s="136" t="s">
        <v>22</v>
      </c>
      <c r="Q12" s="136" t="s">
        <v>21</v>
      </c>
      <c r="R12" s="136" t="s">
        <v>22</v>
      </c>
    </row>
    <row r="13" spans="1:1023" ht="45" customHeight="1">
      <c r="A13" s="212">
        <v>0.27083333333333298</v>
      </c>
      <c r="B13" s="212">
        <v>0.29166666666666702</v>
      </c>
      <c r="C13" s="122"/>
      <c r="D13" s="122"/>
      <c r="E13" s="122"/>
      <c r="F13" s="122"/>
      <c r="G13" s="122"/>
      <c r="H13" s="122">
        <v>1</v>
      </c>
      <c r="I13" s="122"/>
      <c r="J13" s="123"/>
      <c r="K13" s="124"/>
      <c r="L13" s="122"/>
      <c r="M13" s="122"/>
      <c r="N13" s="122"/>
      <c r="O13" s="122"/>
      <c r="P13" s="122"/>
      <c r="Q13" s="122"/>
      <c r="R13" s="122"/>
    </row>
    <row r="14" spans="1:1023" ht="47.1" customHeight="1">
      <c r="A14" s="212">
        <v>0.29166666666666702</v>
      </c>
      <c r="B14" s="212">
        <v>0.3125</v>
      </c>
      <c r="C14" s="122"/>
      <c r="D14" s="122">
        <v>1</v>
      </c>
      <c r="E14" s="122"/>
      <c r="F14" s="122"/>
      <c r="G14" s="122"/>
      <c r="H14" s="122">
        <v>2</v>
      </c>
      <c r="I14" s="122"/>
      <c r="J14" s="123"/>
      <c r="K14" s="124"/>
      <c r="L14" s="122">
        <v>1</v>
      </c>
      <c r="M14" s="122"/>
      <c r="N14" s="122"/>
      <c r="O14" s="122"/>
      <c r="P14" s="122"/>
      <c r="Q14" s="122"/>
      <c r="R14" s="122"/>
    </row>
    <row r="15" spans="1:1023" ht="47.1" customHeight="1">
      <c r="A15" s="212">
        <v>0.3125</v>
      </c>
      <c r="B15" s="212">
        <v>0.33333333333333298</v>
      </c>
      <c r="C15" s="122"/>
      <c r="D15" s="122">
        <v>1</v>
      </c>
      <c r="E15" s="122"/>
      <c r="F15" s="122">
        <v>1</v>
      </c>
      <c r="G15" s="122">
        <v>1</v>
      </c>
      <c r="H15" s="122"/>
      <c r="I15" s="122">
        <v>1</v>
      </c>
      <c r="J15" s="123">
        <v>1</v>
      </c>
      <c r="K15" s="124"/>
      <c r="L15" s="122"/>
      <c r="M15" s="122"/>
      <c r="N15" s="122"/>
      <c r="O15" s="122"/>
      <c r="P15" s="122">
        <v>1</v>
      </c>
      <c r="Q15" s="122"/>
      <c r="R15" s="122"/>
    </row>
    <row r="16" spans="1:1023" ht="47.1" customHeight="1">
      <c r="A16" s="212">
        <v>0.33333333333333298</v>
      </c>
      <c r="B16" s="212">
        <v>0.35416666666666702</v>
      </c>
      <c r="C16" s="122"/>
      <c r="D16" s="122">
        <v>2</v>
      </c>
      <c r="E16" s="122">
        <v>1</v>
      </c>
      <c r="F16" s="122"/>
      <c r="G16" s="122"/>
      <c r="H16" s="122"/>
      <c r="I16" s="122">
        <v>1</v>
      </c>
      <c r="J16" s="123">
        <v>1</v>
      </c>
      <c r="K16" s="124"/>
      <c r="L16" s="122"/>
      <c r="M16" s="122"/>
      <c r="N16" s="122"/>
      <c r="O16" s="122"/>
      <c r="P16" s="122"/>
      <c r="Q16" s="122">
        <v>1</v>
      </c>
      <c r="R16" s="122"/>
    </row>
    <row r="17" spans="1:31" ht="47.1" customHeight="1">
      <c r="A17" s="212">
        <v>0.35416666666666702</v>
      </c>
      <c r="B17" s="212">
        <v>0.375</v>
      </c>
      <c r="C17" s="122"/>
      <c r="D17" s="122">
        <v>1</v>
      </c>
      <c r="E17" s="122"/>
      <c r="F17" s="122"/>
      <c r="G17" s="122"/>
      <c r="H17" s="122"/>
      <c r="I17" s="122"/>
      <c r="J17" s="123"/>
      <c r="K17" s="124"/>
      <c r="L17" s="122"/>
      <c r="M17" s="122"/>
      <c r="N17" s="122"/>
      <c r="O17" s="122"/>
      <c r="P17" s="122"/>
      <c r="Q17" s="122"/>
      <c r="R17" s="122"/>
    </row>
    <row r="18" spans="1:31" ht="12" customHeight="1">
      <c r="A18" s="125"/>
      <c r="B18" s="125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1:31" s="112" customFormat="1" ht="30" customHeight="1">
      <c r="A19" s="109"/>
      <c r="B19" s="111"/>
      <c r="C19" s="335" t="s">
        <v>134</v>
      </c>
      <c r="D19" s="335"/>
      <c r="E19" s="335"/>
      <c r="F19" s="335"/>
      <c r="G19" s="335"/>
      <c r="H19" s="335"/>
      <c r="I19" s="335"/>
      <c r="J19" s="335"/>
      <c r="K19" s="335"/>
      <c r="L19" s="335"/>
      <c r="M19" s="335"/>
      <c r="N19" s="335"/>
    </row>
    <row r="20" spans="1:31" ht="20.25" customHeight="1">
      <c r="A20" s="109"/>
      <c r="B20" s="111"/>
      <c r="C20" s="328" t="s">
        <v>135</v>
      </c>
      <c r="D20" s="328"/>
      <c r="E20" s="328"/>
      <c r="F20" s="328"/>
      <c r="G20" s="328" t="s">
        <v>136</v>
      </c>
      <c r="H20" s="328"/>
      <c r="I20" s="328"/>
      <c r="J20" s="328"/>
      <c r="K20" s="328" t="s">
        <v>131</v>
      </c>
      <c r="L20" s="328"/>
      <c r="M20" s="328"/>
      <c r="N20" s="328"/>
      <c r="R20" s="213"/>
    </row>
    <row r="21" spans="1:31" ht="23.25" customHeight="1">
      <c r="A21" s="109"/>
      <c r="B21" s="111"/>
      <c r="C21" s="329" t="s">
        <v>18</v>
      </c>
      <c r="D21" s="329"/>
      <c r="E21" s="329" t="s">
        <v>19</v>
      </c>
      <c r="F21" s="329"/>
      <c r="G21" s="329" t="s">
        <v>18</v>
      </c>
      <c r="H21" s="329"/>
      <c r="I21" s="329" t="s">
        <v>19</v>
      </c>
      <c r="J21" s="329"/>
      <c r="K21" s="329" t="s">
        <v>18</v>
      </c>
      <c r="L21" s="329"/>
      <c r="M21" s="329" t="s">
        <v>19</v>
      </c>
      <c r="N21" s="329"/>
    </row>
    <row r="22" spans="1:31" ht="20.25">
      <c r="A22" s="344" t="s">
        <v>20</v>
      </c>
      <c r="B22" s="344"/>
      <c r="C22" s="136" t="s">
        <v>21</v>
      </c>
      <c r="D22" s="136" t="s">
        <v>22</v>
      </c>
      <c r="E22" s="136" t="s">
        <v>21</v>
      </c>
      <c r="F22" s="136" t="s">
        <v>22</v>
      </c>
      <c r="G22" s="136" t="s">
        <v>21</v>
      </c>
      <c r="H22" s="136" t="s">
        <v>22</v>
      </c>
      <c r="I22" s="136" t="s">
        <v>21</v>
      </c>
      <c r="J22" s="136" t="s">
        <v>22</v>
      </c>
      <c r="K22" s="136" t="s">
        <v>21</v>
      </c>
      <c r="L22" s="136" t="s">
        <v>22</v>
      </c>
      <c r="M22" s="136" t="s">
        <v>21</v>
      </c>
      <c r="N22" s="136" t="s">
        <v>22</v>
      </c>
    </row>
    <row r="23" spans="1:31" ht="45" customHeight="1">
      <c r="A23" s="212">
        <v>0.27083333333333298</v>
      </c>
      <c r="B23" s="212">
        <v>0.29166666666666702</v>
      </c>
      <c r="C23" s="122"/>
      <c r="D23" s="122">
        <v>1</v>
      </c>
      <c r="E23" s="122"/>
      <c r="F23" s="123"/>
      <c r="G23" s="124"/>
      <c r="H23" s="122">
        <v>2</v>
      </c>
      <c r="I23" s="122"/>
      <c r="J23" s="123">
        <v>3</v>
      </c>
      <c r="K23" s="124"/>
      <c r="L23" s="122"/>
      <c r="M23" s="122"/>
      <c r="N23" s="123"/>
    </row>
    <row r="24" spans="1:31" ht="47.1" customHeight="1">
      <c r="A24" s="212">
        <v>0.29166666666666702</v>
      </c>
      <c r="B24" s="212">
        <v>0.3125</v>
      </c>
      <c r="C24" s="122"/>
      <c r="D24" s="122"/>
      <c r="E24" s="122"/>
      <c r="F24" s="123"/>
      <c r="G24" s="124"/>
      <c r="H24" s="122">
        <v>2</v>
      </c>
      <c r="I24" s="122"/>
      <c r="J24" s="123"/>
      <c r="K24" s="124"/>
      <c r="L24" s="122"/>
      <c r="M24" s="122"/>
      <c r="N24" s="123"/>
    </row>
    <row r="25" spans="1:31" ht="47.1" customHeight="1">
      <c r="A25" s="212">
        <v>0.3125</v>
      </c>
      <c r="B25" s="212">
        <v>0.33333333333333298</v>
      </c>
      <c r="C25" s="122"/>
      <c r="D25" s="122"/>
      <c r="E25" s="122"/>
      <c r="F25" s="123"/>
      <c r="G25" s="124"/>
      <c r="H25" s="122">
        <v>4</v>
      </c>
      <c r="I25" s="122">
        <v>1</v>
      </c>
      <c r="J25" s="123"/>
      <c r="K25" s="124"/>
      <c r="L25" s="122"/>
      <c r="M25" s="122"/>
      <c r="N25" s="123"/>
    </row>
    <row r="26" spans="1:31" ht="47.1" customHeight="1">
      <c r="A26" s="212">
        <v>0.33333333333333298</v>
      </c>
      <c r="B26" s="212">
        <v>0.35416666666666702</v>
      </c>
      <c r="C26" s="122"/>
      <c r="D26" s="122"/>
      <c r="E26" s="122"/>
      <c r="F26" s="123"/>
      <c r="G26" s="124"/>
      <c r="H26" s="122">
        <v>1</v>
      </c>
      <c r="I26" s="122">
        <v>1</v>
      </c>
      <c r="J26" s="123"/>
      <c r="K26" s="124"/>
      <c r="L26" s="122"/>
      <c r="M26" s="122"/>
      <c r="N26" s="123"/>
    </row>
    <row r="27" spans="1:31" ht="47.1" customHeight="1">
      <c r="A27" s="214">
        <v>0.35416666666666702</v>
      </c>
      <c r="B27" s="214">
        <v>0.375</v>
      </c>
      <c r="C27" s="215"/>
      <c r="D27" s="215"/>
      <c r="E27" s="215"/>
      <c r="F27" s="216"/>
      <c r="G27" s="217">
        <v>1</v>
      </c>
      <c r="H27" s="215"/>
      <c r="I27" s="215">
        <v>1</v>
      </c>
      <c r="J27" s="216">
        <v>2</v>
      </c>
      <c r="K27" s="124"/>
      <c r="L27" s="122"/>
      <c r="M27" s="122"/>
      <c r="N27" s="123"/>
    </row>
    <row r="28" spans="1:31" ht="47.1" customHeight="1">
      <c r="A28" s="20"/>
      <c r="B28" s="21" t="s">
        <v>23</v>
      </c>
      <c r="C28" s="218"/>
      <c r="D28" s="218"/>
      <c r="E28" s="218"/>
      <c r="F28" s="218"/>
      <c r="G28" s="218"/>
      <c r="H28" s="218"/>
      <c r="I28" s="218"/>
      <c r="J28" s="218"/>
      <c r="K28" s="219"/>
      <c r="L28" s="220"/>
      <c r="M28" s="220"/>
      <c r="N28" s="220"/>
      <c r="O28" s="220"/>
      <c r="P28" s="220"/>
      <c r="Q28" s="220"/>
      <c r="R28" s="220"/>
      <c r="S28" s="220"/>
    </row>
    <row r="29" spans="1:31" ht="47.1" customHeight="1">
      <c r="A29" s="20">
        <v>4</v>
      </c>
      <c r="B29" s="21" t="s">
        <v>24</v>
      </c>
      <c r="C29" s="218"/>
      <c r="D29" s="218"/>
      <c r="E29" s="218"/>
      <c r="F29" s="218"/>
      <c r="G29" s="218"/>
      <c r="H29" s="218"/>
      <c r="I29" s="218"/>
      <c r="J29" s="218"/>
      <c r="K29" s="221"/>
      <c r="L29" s="222"/>
      <c r="M29" s="222"/>
      <c r="N29" s="222"/>
      <c r="O29" s="222"/>
      <c r="P29" s="222"/>
      <c r="Q29" s="222"/>
      <c r="R29" s="222"/>
      <c r="S29" s="222"/>
    </row>
    <row r="30" spans="1:31" ht="47.1" customHeight="1">
      <c r="A30" s="20"/>
      <c r="B30" s="21" t="s">
        <v>25</v>
      </c>
      <c r="C30" s="218"/>
      <c r="D30" s="218"/>
      <c r="E30" s="218"/>
      <c r="F30" s="218"/>
      <c r="G30" s="218"/>
      <c r="H30" s="218"/>
      <c r="I30" s="218"/>
      <c r="J30" s="218"/>
      <c r="K30" s="221"/>
      <c r="L30" s="222"/>
      <c r="M30" s="222"/>
      <c r="N30" s="222"/>
      <c r="O30" s="222"/>
      <c r="P30" s="222"/>
      <c r="Q30" s="222"/>
      <c r="R30" s="222"/>
      <c r="S30" s="222"/>
    </row>
    <row r="31" spans="1:31" ht="47.1" customHeight="1">
      <c r="A31" s="20">
        <v>2</v>
      </c>
      <c r="B31" s="21" t="s">
        <v>26</v>
      </c>
      <c r="C31" s="218"/>
      <c r="D31" s="218"/>
      <c r="E31" s="218"/>
      <c r="F31" s="218"/>
      <c r="G31" s="218"/>
      <c r="H31" s="218"/>
      <c r="I31" s="218"/>
      <c r="J31" s="218"/>
      <c r="K31" s="221"/>
      <c r="L31" s="222"/>
      <c r="M31" s="222"/>
      <c r="N31" s="222"/>
      <c r="O31" s="222"/>
      <c r="P31" s="222"/>
      <c r="Q31" s="222"/>
      <c r="R31" s="222"/>
      <c r="S31" s="222"/>
      <c r="U31" s="176" t="s">
        <v>105</v>
      </c>
    </row>
    <row r="32" spans="1:31" ht="30" customHeight="1">
      <c r="A32" s="223"/>
      <c r="B32" s="223"/>
      <c r="C32" s="223"/>
      <c r="D32" s="223"/>
      <c r="E32" s="223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133"/>
      <c r="T32" s="134"/>
      <c r="U32" s="326" t="s">
        <v>27</v>
      </c>
      <c r="V32" s="334" t="s">
        <v>28</v>
      </c>
      <c r="W32" s="330" t="s">
        <v>29</v>
      </c>
      <c r="X32" s="330" t="s">
        <v>30</v>
      </c>
      <c r="Y32" s="306" t="s">
        <v>32</v>
      </c>
      <c r="Z32" s="343" t="s">
        <v>33</v>
      </c>
      <c r="AA32" s="306" t="s">
        <v>24</v>
      </c>
      <c r="AB32" s="306" t="s">
        <v>34</v>
      </c>
      <c r="AC32" s="202"/>
      <c r="AD32" s="202"/>
      <c r="AE32" s="203"/>
    </row>
    <row r="33" spans="1:31" ht="23.25" customHeight="1">
      <c r="A33" s="223"/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133"/>
      <c r="T33" s="134"/>
      <c r="U33" s="326"/>
      <c r="V33" s="334"/>
      <c r="W33" s="330"/>
      <c r="X33" s="330"/>
      <c r="Y33" s="306"/>
      <c r="Z33" s="343"/>
      <c r="AA33" s="306"/>
      <c r="AB33" s="306"/>
      <c r="AC33" s="204"/>
      <c r="AD33" s="204"/>
      <c r="AE33" s="205"/>
    </row>
    <row r="34" spans="1:31" ht="30" customHeight="1">
      <c r="A34" s="224"/>
      <c r="B34" s="224"/>
      <c r="C34" s="329" t="s">
        <v>18</v>
      </c>
      <c r="D34" s="329"/>
      <c r="E34" s="329" t="s">
        <v>19</v>
      </c>
      <c r="F34" s="329"/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135"/>
      <c r="T34" s="134"/>
      <c r="U34" s="326"/>
      <c r="V34" s="334"/>
      <c r="W34" s="330"/>
      <c r="X34" s="330"/>
      <c r="Y34" s="306"/>
      <c r="Z34" s="343"/>
      <c r="AA34" s="306"/>
      <c r="AB34" s="306"/>
      <c r="AC34" s="204"/>
      <c r="AD34" s="204"/>
      <c r="AE34" s="205"/>
    </row>
    <row r="35" spans="1:31" ht="21" customHeight="1">
      <c r="A35" s="324" t="s">
        <v>20</v>
      </c>
      <c r="B35" s="324"/>
      <c r="C35" s="136" t="s">
        <v>21</v>
      </c>
      <c r="D35" s="136" t="s">
        <v>22</v>
      </c>
      <c r="E35" s="136" t="s">
        <v>21</v>
      </c>
      <c r="F35" s="136" t="s">
        <v>22</v>
      </c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324" t="s">
        <v>20</v>
      </c>
      <c r="T35" s="324"/>
      <c r="U35" s="326"/>
      <c r="V35" s="334"/>
      <c r="W35" s="330"/>
      <c r="X35" s="330"/>
      <c r="Y35" s="306"/>
      <c r="Z35" s="343"/>
      <c r="AA35" s="306"/>
      <c r="AB35" s="306"/>
      <c r="AC35" s="207"/>
      <c r="AD35" s="207"/>
      <c r="AE35" s="208"/>
    </row>
    <row r="36" spans="1:31" ht="35.1" customHeight="1">
      <c r="A36" s="324" t="s">
        <v>35</v>
      </c>
      <c r="B36" s="324"/>
      <c r="C36" s="122">
        <f t="shared" ref="C36:F40" si="0">C13+G13+K13+O13+C23+G23+K23</f>
        <v>0</v>
      </c>
      <c r="D36" s="122">
        <f t="shared" si="0"/>
        <v>4</v>
      </c>
      <c r="E36" s="122">
        <f t="shared" si="0"/>
        <v>0</v>
      </c>
      <c r="F36" s="122">
        <f t="shared" si="0"/>
        <v>3</v>
      </c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324" t="str">
        <f>A36</f>
        <v>6:30 à 7:00</v>
      </c>
      <c r="T36" s="324"/>
      <c r="U36" s="35">
        <f>SUM(C36:F36)</f>
        <v>7</v>
      </c>
      <c r="V36" s="36">
        <f>C36+E36</f>
        <v>0</v>
      </c>
      <c r="W36" s="36">
        <f>E36+F36</f>
        <v>3</v>
      </c>
      <c r="X36" s="36">
        <f>E36</f>
        <v>0</v>
      </c>
      <c r="Y36" s="1"/>
      <c r="Z36" s="2"/>
      <c r="AA36" s="1"/>
      <c r="AB36" s="1"/>
      <c r="AC36" s="209"/>
      <c r="AD36" s="209"/>
      <c r="AE36" s="210"/>
    </row>
    <row r="37" spans="1:31" ht="35.1" customHeight="1">
      <c r="A37" s="324" t="s">
        <v>36</v>
      </c>
      <c r="B37" s="324"/>
      <c r="C37" s="122">
        <f t="shared" si="0"/>
        <v>0</v>
      </c>
      <c r="D37" s="122">
        <f t="shared" si="0"/>
        <v>6</v>
      </c>
      <c r="E37" s="122">
        <f t="shared" si="0"/>
        <v>0</v>
      </c>
      <c r="F37" s="122">
        <f t="shared" si="0"/>
        <v>0</v>
      </c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324" t="str">
        <f>A37</f>
        <v>7:00 à 7:30</v>
      </c>
      <c r="T37" s="324"/>
      <c r="U37" s="35">
        <f>SUM(C37:F37)</f>
        <v>6</v>
      </c>
      <c r="V37" s="36">
        <f>C37+E37</f>
        <v>0</v>
      </c>
      <c r="W37" s="36">
        <f>E37+F37</f>
        <v>0</v>
      </c>
      <c r="X37" s="36">
        <f>E37</f>
        <v>0</v>
      </c>
      <c r="Y37" s="1"/>
      <c r="Z37" s="2"/>
      <c r="AA37" s="1"/>
      <c r="AB37" s="1"/>
      <c r="AC37" s="209"/>
      <c r="AD37" s="209"/>
      <c r="AE37" s="210"/>
    </row>
    <row r="38" spans="1:31" ht="35.1" customHeight="1">
      <c r="A38" s="324" t="s">
        <v>37</v>
      </c>
      <c r="B38" s="324"/>
      <c r="C38" s="122">
        <f t="shared" si="0"/>
        <v>1</v>
      </c>
      <c r="D38" s="122">
        <f t="shared" si="0"/>
        <v>6</v>
      </c>
      <c r="E38" s="122">
        <f t="shared" si="0"/>
        <v>2</v>
      </c>
      <c r="F38" s="122">
        <f t="shared" si="0"/>
        <v>2</v>
      </c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324" t="str">
        <f>A38</f>
        <v>7:30 à 8:00</v>
      </c>
      <c r="T38" s="324"/>
      <c r="U38" s="35">
        <f>SUM(C38:F38)</f>
        <v>11</v>
      </c>
      <c r="V38" s="36">
        <f>C38+E38</f>
        <v>3</v>
      </c>
      <c r="W38" s="36">
        <f>E38+F38</f>
        <v>4</v>
      </c>
      <c r="X38" s="36">
        <f>E38</f>
        <v>2</v>
      </c>
      <c r="Y38" s="1"/>
      <c r="Z38" s="2"/>
      <c r="AA38" s="1"/>
      <c r="AB38" s="1"/>
      <c r="AC38" s="209"/>
      <c r="AD38" s="209"/>
      <c r="AE38" s="210"/>
    </row>
    <row r="39" spans="1:31" ht="35.1" customHeight="1">
      <c r="A39" s="324" t="s">
        <v>38</v>
      </c>
      <c r="B39" s="324"/>
      <c r="C39" s="122">
        <f t="shared" si="0"/>
        <v>0</v>
      </c>
      <c r="D39" s="122">
        <f t="shared" si="0"/>
        <v>3</v>
      </c>
      <c r="E39" s="122">
        <f t="shared" si="0"/>
        <v>4</v>
      </c>
      <c r="F39" s="122">
        <f t="shared" si="0"/>
        <v>1</v>
      </c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324" t="str">
        <f>A39</f>
        <v>8:00 à 8:30</v>
      </c>
      <c r="T39" s="324"/>
      <c r="U39" s="35">
        <f>SUM(C39:F39)</f>
        <v>8</v>
      </c>
      <c r="V39" s="36">
        <f>C39+E39</f>
        <v>4</v>
      </c>
      <c r="W39" s="36">
        <f>E39+F39</f>
        <v>5</v>
      </c>
      <c r="X39" s="36">
        <f>E39</f>
        <v>4</v>
      </c>
      <c r="Y39" s="1"/>
      <c r="Z39" s="2"/>
      <c r="AA39" s="1"/>
      <c r="AB39" s="1"/>
      <c r="AC39" s="209"/>
      <c r="AD39" s="209"/>
      <c r="AE39" s="210"/>
    </row>
    <row r="40" spans="1:31" ht="35.1" customHeight="1">
      <c r="A40" s="324" t="s">
        <v>39</v>
      </c>
      <c r="B40" s="324"/>
      <c r="C40" s="122">
        <f t="shared" si="0"/>
        <v>1</v>
      </c>
      <c r="D40" s="122">
        <f t="shared" si="0"/>
        <v>1</v>
      </c>
      <c r="E40" s="122">
        <f t="shared" si="0"/>
        <v>1</v>
      </c>
      <c r="F40" s="122">
        <f t="shared" si="0"/>
        <v>2</v>
      </c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324" t="str">
        <f>A40</f>
        <v>8:30 à 9:00</v>
      </c>
      <c r="T40" s="324"/>
      <c r="U40" s="35">
        <f>SUM(C40:F40)</f>
        <v>5</v>
      </c>
      <c r="V40" s="36">
        <f>C40+E40</f>
        <v>2</v>
      </c>
      <c r="W40" s="36">
        <f>E40+F40</f>
        <v>3</v>
      </c>
      <c r="X40" s="36">
        <f>E40</f>
        <v>1</v>
      </c>
      <c r="Y40" s="1"/>
      <c r="Z40" s="2"/>
      <c r="AA40" s="1"/>
      <c r="AB40" s="1"/>
      <c r="AC40" s="209"/>
      <c r="AD40" s="209"/>
      <c r="AE40" s="210"/>
    </row>
    <row r="41" spans="1:31" ht="35.1" customHeight="1">
      <c r="A41" s="324" t="s">
        <v>27</v>
      </c>
      <c r="B41" s="324"/>
      <c r="C41" s="140">
        <f>SUM(C36:C40)</f>
        <v>2</v>
      </c>
      <c r="D41" s="140">
        <f>SUM(D36:D40)</f>
        <v>20</v>
      </c>
      <c r="E41" s="140">
        <f>SUM(E36:E40)</f>
        <v>7</v>
      </c>
      <c r="F41" s="140">
        <f>SUM(F36:F40)</f>
        <v>8</v>
      </c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327" t="s">
        <v>27</v>
      </c>
      <c r="T41" s="327"/>
      <c r="U41" s="39">
        <f>SUM(U36:U40)</f>
        <v>37</v>
      </c>
      <c r="V41" s="178">
        <f>SUM(V36:V40)</f>
        <v>9</v>
      </c>
      <c r="W41" s="178">
        <f>SUM(W36:W40)</f>
        <v>15</v>
      </c>
      <c r="X41" s="41">
        <f>SUM(X36:X40)</f>
        <v>7</v>
      </c>
      <c r="Y41" s="39">
        <f>A31</f>
        <v>2</v>
      </c>
      <c r="Z41" s="35">
        <f>A28</f>
        <v>0</v>
      </c>
      <c r="AA41" s="40">
        <f>A29</f>
        <v>4</v>
      </c>
      <c r="AB41" s="40">
        <f>A30</f>
        <v>0</v>
      </c>
      <c r="AC41" s="209"/>
      <c r="AD41" s="209"/>
      <c r="AE41" s="210"/>
    </row>
    <row r="42" spans="1:31" ht="35.1" customHeight="1">
      <c r="A42" s="144"/>
      <c r="B42" s="144"/>
      <c r="C42" s="145"/>
      <c r="D42" s="145"/>
      <c r="E42" s="145"/>
      <c r="F42" s="145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45" t="s">
        <v>37</v>
      </c>
      <c r="T42" s="46"/>
      <c r="U42" s="47">
        <v>11</v>
      </c>
      <c r="V42" s="47"/>
      <c r="W42" s="47"/>
      <c r="X42" s="47"/>
      <c r="Y42" s="119"/>
      <c r="Z42" s="119"/>
      <c r="AA42" s="119"/>
      <c r="AB42" s="119"/>
      <c r="AC42" s="119"/>
      <c r="AD42" s="119"/>
      <c r="AE42" s="225"/>
    </row>
    <row r="43" spans="1:31" ht="35.1" customHeight="1">
      <c r="A43" s="144"/>
      <c r="B43" s="144"/>
      <c r="C43" s="145"/>
      <c r="D43" s="145"/>
      <c r="E43" s="145"/>
      <c r="F43" s="145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52" t="s">
        <v>38</v>
      </c>
      <c r="T43" s="53"/>
      <c r="U43" s="54">
        <v>8</v>
      </c>
      <c r="V43" s="54"/>
      <c r="W43" s="54"/>
      <c r="X43" s="54"/>
      <c r="Y43" s="119"/>
      <c r="Z43" s="119"/>
      <c r="AA43" s="119"/>
      <c r="AB43" s="119"/>
      <c r="AC43" s="119"/>
      <c r="AD43" s="119"/>
      <c r="AE43" s="225"/>
    </row>
    <row r="44" spans="1:31" ht="35.1" customHeight="1">
      <c r="A44" s="144"/>
      <c r="B44" s="144"/>
      <c r="C44" s="145"/>
      <c r="D44" s="145"/>
      <c r="E44" s="145"/>
      <c r="F44" s="145"/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308" t="s">
        <v>41</v>
      </c>
      <c r="T44" s="308"/>
      <c r="U44" s="55">
        <f>SUM(U42:U43)</f>
        <v>19</v>
      </c>
      <c r="V44" s="56"/>
      <c r="W44" s="56"/>
      <c r="X44" s="56"/>
      <c r="Y44" s="119"/>
      <c r="Z44" s="119"/>
      <c r="AA44" s="119"/>
      <c r="AB44" s="119"/>
      <c r="AC44" s="119"/>
      <c r="AD44" s="119"/>
      <c r="AE44" s="225"/>
    </row>
    <row r="45" spans="1:31" ht="35.1" customHeight="1">
      <c r="A45" s="146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226"/>
      <c r="S45" s="302" t="str">
        <f>IF(U36=MAX(U36:U40),S36,IF(U37=MAX(U36:U40),S37,IF(U37=MAX(U36:U40),S37,IF(U38=MAX(U36:U40),S38,IF(U39=MAX(U36:U40),S39)))))</f>
        <v>7:30 à 8:00</v>
      </c>
      <c r="T45" s="302"/>
      <c r="U45" s="33">
        <v>11</v>
      </c>
      <c r="V45" s="169">
        <v>1</v>
      </c>
      <c r="W45" s="169">
        <v>4</v>
      </c>
      <c r="X45" s="169">
        <v>2</v>
      </c>
      <c r="Y45" s="1"/>
      <c r="Z45" s="2"/>
      <c r="AA45" s="1"/>
      <c r="AB45" s="1"/>
      <c r="AC45" s="156"/>
      <c r="AD45" s="156"/>
      <c r="AE45" s="227"/>
    </row>
    <row r="46" spans="1:31" ht="24.95" customHeight="1">
      <c r="A46" s="154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1"/>
      <c r="AA46" s="119"/>
      <c r="AB46" s="119"/>
      <c r="AC46" s="119"/>
      <c r="AD46" s="119"/>
      <c r="AE46" s="119"/>
    </row>
    <row r="47" spans="1:31" ht="24.95" customHeight="1">
      <c r="A47" s="154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1"/>
      <c r="AA47" s="119"/>
      <c r="AB47" s="119"/>
      <c r="AC47" s="119"/>
      <c r="AD47" s="119"/>
      <c r="AE47" s="119"/>
    </row>
    <row r="48" spans="1:31" ht="24.95" customHeight="1">
      <c r="A48" s="154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1"/>
      <c r="AA48" s="119"/>
      <c r="AB48" s="119"/>
      <c r="AC48" s="119"/>
      <c r="AD48" s="119"/>
      <c r="AE48" s="119"/>
    </row>
    <row r="49" spans="1:31" ht="35.1" customHeight="1">
      <c r="A49" s="154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1"/>
      <c r="AA49" s="119"/>
      <c r="AB49" s="119"/>
      <c r="AC49" s="119"/>
      <c r="AD49" s="119"/>
      <c r="AE49" s="119"/>
    </row>
    <row r="50" spans="1:31" ht="35.1" customHeight="1">
      <c r="A50" s="154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1"/>
      <c r="AA50" s="119"/>
      <c r="AB50" s="119"/>
      <c r="AC50" s="119"/>
      <c r="AD50" s="119"/>
      <c r="AE50" s="119"/>
    </row>
    <row r="51" spans="1:31" ht="35.1" customHeight="1">
      <c r="A51" s="154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1"/>
      <c r="AA51" s="119"/>
      <c r="AB51" s="119"/>
      <c r="AC51" s="119"/>
      <c r="AD51" s="119"/>
      <c r="AE51" s="119"/>
    </row>
    <row r="52" spans="1:31" ht="35.1" customHeight="1">
      <c r="A52" s="154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1"/>
      <c r="AA52" s="119"/>
      <c r="AB52" s="119"/>
      <c r="AC52" s="119"/>
      <c r="AD52" s="119"/>
      <c r="AE52" s="119"/>
    </row>
    <row r="53" spans="1:31" ht="35.1" customHeight="1">
      <c r="A53" s="154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1"/>
      <c r="AA53" s="119"/>
      <c r="AB53" s="119"/>
      <c r="AC53" s="119"/>
      <c r="AD53" s="119"/>
      <c r="AE53" s="119"/>
    </row>
    <row r="54" spans="1:31" ht="35.1" customHeight="1">
      <c r="F54" s="119"/>
      <c r="N54" s="119"/>
      <c r="S54" s="119"/>
      <c r="T54" s="119"/>
      <c r="U54" s="119"/>
      <c r="V54" s="119"/>
      <c r="W54" s="119"/>
      <c r="X54" s="119"/>
      <c r="Y54" s="119"/>
      <c r="Z54" s="111"/>
      <c r="AA54" s="119"/>
      <c r="AB54" s="119"/>
      <c r="AC54" s="119"/>
      <c r="AD54" s="119"/>
      <c r="AE54" s="119"/>
    </row>
    <row r="55" spans="1:31" ht="35.1" customHeight="1">
      <c r="F55" s="119"/>
      <c r="N55" s="119"/>
      <c r="S55" s="119"/>
      <c r="T55" s="119"/>
      <c r="U55" s="119"/>
      <c r="V55" s="119"/>
      <c r="W55" s="119"/>
      <c r="X55" s="119"/>
      <c r="Y55" s="119"/>
      <c r="Z55" s="111"/>
      <c r="AA55" s="119"/>
      <c r="AB55" s="119"/>
      <c r="AC55" s="119"/>
      <c r="AD55" s="119"/>
      <c r="AE55" s="119"/>
    </row>
    <row r="56" spans="1:31" ht="35.1" customHeight="1">
      <c r="S56" s="119"/>
      <c r="T56" s="119"/>
      <c r="U56" s="119"/>
      <c r="V56" s="119"/>
      <c r="W56" s="119"/>
      <c r="X56" s="119"/>
      <c r="Y56" s="119"/>
      <c r="Z56" s="111"/>
      <c r="AA56" s="119"/>
      <c r="AB56" s="119"/>
      <c r="AC56" s="119"/>
      <c r="AD56" s="119"/>
      <c r="AE56" s="119"/>
    </row>
    <row r="57" spans="1:31" ht="20.25">
      <c r="S57" s="119"/>
      <c r="T57" s="119"/>
      <c r="U57" s="119"/>
      <c r="V57" s="119"/>
      <c r="W57" s="119"/>
      <c r="X57" s="119"/>
      <c r="Y57" s="119"/>
      <c r="Z57" s="111"/>
      <c r="AA57" s="119"/>
      <c r="AB57" s="119"/>
      <c r="AC57" s="119"/>
      <c r="AD57" s="119"/>
      <c r="AE57" s="119"/>
    </row>
  </sheetData>
  <mergeCells count="52">
    <mergeCell ref="C9:J9"/>
    <mergeCell ref="K9:R9"/>
    <mergeCell ref="C10:F10"/>
    <mergeCell ref="G10:J10"/>
    <mergeCell ref="K10:N10"/>
    <mergeCell ref="O10:R10"/>
    <mergeCell ref="M11:N11"/>
    <mergeCell ref="O11:P11"/>
    <mergeCell ref="Q11:R11"/>
    <mergeCell ref="A12:B12"/>
    <mergeCell ref="C19:N19"/>
    <mergeCell ref="C11:D11"/>
    <mergeCell ref="E11:F11"/>
    <mergeCell ref="G11:H11"/>
    <mergeCell ref="I11:J11"/>
    <mergeCell ref="K11:L11"/>
    <mergeCell ref="C20:F20"/>
    <mergeCell ref="G20:J20"/>
    <mergeCell ref="K20:N20"/>
    <mergeCell ref="C21:D21"/>
    <mergeCell ref="E21:F21"/>
    <mergeCell ref="G21:H21"/>
    <mergeCell ref="I21:J21"/>
    <mergeCell ref="K21:L21"/>
    <mergeCell ref="M21:N21"/>
    <mergeCell ref="A22:B22"/>
    <mergeCell ref="U32:U35"/>
    <mergeCell ref="V32:V35"/>
    <mergeCell ref="W32:W35"/>
    <mergeCell ref="X32:X35"/>
    <mergeCell ref="A35:B35"/>
    <mergeCell ref="Y32:Y35"/>
    <mergeCell ref="Z32:Z35"/>
    <mergeCell ref="AA32:AA35"/>
    <mergeCell ref="AB32:AB35"/>
    <mergeCell ref="C34:D34"/>
    <mergeCell ref="E34:F34"/>
    <mergeCell ref="S35:T35"/>
    <mergeCell ref="A36:B36"/>
    <mergeCell ref="S36:T36"/>
    <mergeCell ref="A37:B37"/>
    <mergeCell ref="S37:T37"/>
    <mergeCell ref="A38:B38"/>
    <mergeCell ref="S38:T38"/>
    <mergeCell ref="S44:T44"/>
    <mergeCell ref="S45:T45"/>
    <mergeCell ref="A39:B39"/>
    <mergeCell ref="S39:T39"/>
    <mergeCell ref="A40:B40"/>
    <mergeCell ref="S40:T40"/>
    <mergeCell ref="A41:B41"/>
    <mergeCell ref="S41:T41"/>
  </mergeCells>
  <pageMargins left="0.51180555555555496" right="0.51180555555555496" top="0.74791666666666701" bottom="0.74791666666666701" header="0.51180555555555496" footer="0.51180555555555496"/>
  <pageSetup paperSize="9" scale="45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J93"/>
  <sheetViews>
    <sheetView tabSelected="1" zoomScaleNormal="100" workbookViewId="0">
      <selection activeCell="N33" sqref="N33"/>
    </sheetView>
  </sheetViews>
  <sheetFormatPr baseColWidth="10" defaultColWidth="10.5" defaultRowHeight="14.25"/>
  <cols>
    <col min="2" max="2" width="29.625" customWidth="1"/>
  </cols>
  <sheetData>
    <row r="1" spans="1:1024">
      <c r="A1">
        <v>2023</v>
      </c>
    </row>
    <row r="2" spans="1:1024" ht="25.35" customHeight="1">
      <c r="A2" s="347" t="s">
        <v>137</v>
      </c>
      <c r="B2" s="348" t="s">
        <v>138</v>
      </c>
      <c r="C2" s="228" t="s">
        <v>139</v>
      </c>
      <c r="D2" s="349" t="s">
        <v>140</v>
      </c>
      <c r="E2" s="345" t="s">
        <v>141</v>
      </c>
      <c r="F2" s="349" t="s">
        <v>142</v>
      </c>
      <c r="G2" s="345" t="s">
        <v>143</v>
      </c>
    </row>
    <row r="3" spans="1:1024" ht="15.75">
      <c r="A3" s="347"/>
      <c r="B3" s="348"/>
      <c r="C3" s="229"/>
      <c r="D3" s="349"/>
      <c r="E3" s="345"/>
      <c r="F3" s="349"/>
      <c r="G3" s="345"/>
    </row>
    <row r="4" spans="1:1024" ht="15.75">
      <c r="A4" s="347"/>
      <c r="B4" s="348"/>
      <c r="C4" s="230" t="s">
        <v>144</v>
      </c>
      <c r="D4" s="349"/>
      <c r="E4" s="345"/>
      <c r="F4" s="349"/>
      <c r="G4" s="345"/>
    </row>
    <row r="5" spans="1:1024" s="237" customFormat="1" ht="15.75">
      <c r="A5" s="231">
        <v>10</v>
      </c>
      <c r="B5" s="232" t="s">
        <v>145</v>
      </c>
      <c r="C5" s="233">
        <v>68</v>
      </c>
      <c r="D5" s="234">
        <f>IF(E5="","",E5/C5)</f>
        <v>0.23529411764705882</v>
      </c>
      <c r="E5" s="235">
        <v>16</v>
      </c>
      <c r="F5" s="236" t="e">
        <f>IF(G5="","",G5/#REF!)</f>
        <v>#REF!</v>
      </c>
      <c r="G5" s="235">
        <v>23</v>
      </c>
      <c r="AMJ5"/>
    </row>
    <row r="6" spans="1:1024" ht="15.75">
      <c r="A6" s="231"/>
      <c r="B6" s="232" t="s">
        <v>146</v>
      </c>
      <c r="C6" s="233">
        <v>47</v>
      </c>
      <c r="D6" s="234">
        <f>IF(E6="","",E6/C6)</f>
        <v>0.55319148936170215</v>
      </c>
      <c r="E6" s="235">
        <v>26</v>
      </c>
      <c r="F6" s="236" t="e">
        <f>IF(G6="","",G6/#REF!)</f>
        <v>#REF!</v>
      </c>
      <c r="G6" s="235">
        <v>12</v>
      </c>
    </row>
    <row r="7" spans="1:1024" ht="15.75">
      <c r="A7" s="231"/>
      <c r="B7" s="238" t="s">
        <v>147</v>
      </c>
      <c r="C7" s="233"/>
      <c r="D7" s="234" t="str">
        <f>IF(E7="","",E7/C7)</f>
        <v/>
      </c>
      <c r="E7" s="235"/>
      <c r="F7" s="236" t="str">
        <f>IF(G7="","",G7/#REF!)</f>
        <v/>
      </c>
      <c r="G7" s="235"/>
    </row>
    <row r="8" spans="1:1024" ht="15.75">
      <c r="A8" s="231"/>
      <c r="B8" s="232" t="s">
        <v>148</v>
      </c>
      <c r="C8" s="233">
        <v>53</v>
      </c>
      <c r="D8" s="234">
        <f>IF(E8="","",E8/C8)</f>
        <v>0.32075471698113206</v>
      </c>
      <c r="E8" s="235">
        <v>17</v>
      </c>
      <c r="F8" s="236" t="e">
        <f>IF(G8="","",G8/#REF!)</f>
        <v>#REF!</v>
      </c>
      <c r="G8" s="235">
        <v>9</v>
      </c>
    </row>
    <row r="9" spans="1:1024" ht="15.75">
      <c r="A9" s="231"/>
      <c r="B9" s="239" t="s">
        <v>149</v>
      </c>
      <c r="C9" s="240">
        <v>26</v>
      </c>
      <c r="D9" s="241"/>
      <c r="E9" s="242">
        <v>14</v>
      </c>
      <c r="F9" s="236"/>
      <c r="G9" s="242">
        <v>2</v>
      </c>
    </row>
    <row r="10" spans="1:1024" s="237" customFormat="1" ht="15.75">
      <c r="A10" s="231"/>
      <c r="B10" s="243" t="s">
        <v>150</v>
      </c>
      <c r="C10" s="244">
        <f>SUM(C5:C9)</f>
        <v>194</v>
      </c>
      <c r="D10" s="245">
        <f>E10/C10</f>
        <v>0.37628865979381443</v>
      </c>
      <c r="E10" s="244">
        <f>SUM(E5:E9)</f>
        <v>73</v>
      </c>
      <c r="F10" s="245">
        <f>G10/C10</f>
        <v>0.23711340206185566</v>
      </c>
      <c r="G10" s="244">
        <f>SUM(G5:G9)</f>
        <v>46</v>
      </c>
      <c r="AMJ10"/>
    </row>
    <row r="11" spans="1:1024" s="237" customFormat="1" ht="15.75">
      <c r="A11" s="231"/>
      <c r="B11" s="246"/>
      <c r="C11" s="244"/>
      <c r="D11" s="245"/>
      <c r="E11" s="244"/>
      <c r="F11" s="245"/>
      <c r="G11" s="244"/>
      <c r="AMJ11"/>
    </row>
    <row r="12" spans="1:1024" ht="15.75">
      <c r="A12" s="231"/>
      <c r="B12" s="232" t="s">
        <v>151</v>
      </c>
      <c r="C12" s="233">
        <v>26</v>
      </c>
      <c r="D12" s="234">
        <f t="shared" ref="D12:D18" si="0">IF(E12="","",E12/C12)</f>
        <v>0.34615384615384615</v>
      </c>
      <c r="E12" s="235">
        <v>9</v>
      </c>
      <c r="F12" s="236">
        <f t="shared" ref="F12:F18" si="1">IF(G12="","",G12/C12)</f>
        <v>0.15384615384615385</v>
      </c>
      <c r="G12" s="235">
        <v>4</v>
      </c>
    </row>
    <row r="13" spans="1:1024" ht="15.75">
      <c r="A13" s="231"/>
      <c r="B13" s="232" t="s">
        <v>152</v>
      </c>
      <c r="C13" s="233">
        <v>49</v>
      </c>
      <c r="D13" s="234">
        <f t="shared" si="0"/>
        <v>0.2857142857142857</v>
      </c>
      <c r="E13" s="235">
        <v>14</v>
      </c>
      <c r="F13" s="236">
        <f t="shared" si="1"/>
        <v>0.20408163265306123</v>
      </c>
      <c r="G13" s="235">
        <v>10</v>
      </c>
    </row>
    <row r="14" spans="1:1024" ht="15.75">
      <c r="A14" s="231"/>
      <c r="B14" s="232" t="s">
        <v>153</v>
      </c>
      <c r="C14" s="233">
        <v>47</v>
      </c>
      <c r="D14" s="234">
        <f t="shared" si="0"/>
        <v>4.2553191489361701E-2</v>
      </c>
      <c r="E14" s="235">
        <v>2</v>
      </c>
      <c r="F14" s="236">
        <f t="shared" si="1"/>
        <v>0.40425531914893614</v>
      </c>
      <c r="G14" s="235">
        <v>19</v>
      </c>
    </row>
    <row r="15" spans="1:1024" ht="15.75">
      <c r="A15" s="231"/>
      <c r="B15" s="232" t="s">
        <v>154</v>
      </c>
      <c r="C15" s="233">
        <v>59</v>
      </c>
      <c r="D15" s="234">
        <f t="shared" si="0"/>
        <v>0.32203389830508472</v>
      </c>
      <c r="E15" s="235">
        <v>19</v>
      </c>
      <c r="F15" s="236">
        <f t="shared" si="1"/>
        <v>0.3559322033898305</v>
      </c>
      <c r="G15" s="235">
        <v>21</v>
      </c>
    </row>
    <row r="16" spans="1:1024" ht="15.75">
      <c r="A16" s="231"/>
      <c r="B16" s="238" t="s">
        <v>155</v>
      </c>
      <c r="C16" s="233"/>
      <c r="D16" s="234" t="str">
        <f t="shared" si="0"/>
        <v/>
      </c>
      <c r="E16" s="235"/>
      <c r="F16" s="236" t="str">
        <f t="shared" si="1"/>
        <v/>
      </c>
      <c r="G16" s="235"/>
    </row>
    <row r="17" spans="1:1024" ht="15.75">
      <c r="A17" s="231"/>
      <c r="B17" s="232" t="s">
        <v>156</v>
      </c>
      <c r="C17" s="233">
        <v>37</v>
      </c>
      <c r="D17" s="234">
        <f t="shared" si="0"/>
        <v>0.24324324324324326</v>
      </c>
      <c r="E17" s="235">
        <v>9</v>
      </c>
      <c r="F17" s="236">
        <f t="shared" si="1"/>
        <v>0.40540540540540543</v>
      </c>
      <c r="G17" s="235">
        <v>15</v>
      </c>
    </row>
    <row r="18" spans="1:1024" ht="15.75">
      <c r="A18" s="231"/>
      <c r="B18" s="238" t="s">
        <v>157</v>
      </c>
      <c r="C18" s="240"/>
      <c r="D18" s="234" t="str">
        <f t="shared" si="0"/>
        <v/>
      </c>
      <c r="E18" s="242"/>
      <c r="F18" s="236" t="str">
        <f t="shared" si="1"/>
        <v/>
      </c>
      <c r="G18" s="242"/>
    </row>
    <row r="19" spans="1:1024" s="237" customFormat="1" ht="15">
      <c r="B19" s="237" t="s">
        <v>158</v>
      </c>
      <c r="C19" s="237">
        <f>SUM(C12:C17)</f>
        <v>218</v>
      </c>
      <c r="D19" s="245">
        <f>E19/C19</f>
        <v>0.24311926605504589</v>
      </c>
      <c r="E19" s="237">
        <f>SUM(E12:E17)</f>
        <v>53</v>
      </c>
      <c r="F19" s="245">
        <f>G19/C19</f>
        <v>0.3165137614678899</v>
      </c>
      <c r="G19" s="237">
        <f>SUM(G12:G17)</f>
        <v>69</v>
      </c>
      <c r="AMJ19"/>
    </row>
    <row r="20" spans="1:1024" ht="15.75">
      <c r="A20" s="231"/>
      <c r="B20" s="247" t="s">
        <v>159</v>
      </c>
      <c r="C20" s="240"/>
      <c r="D20" s="241"/>
      <c r="E20" s="242"/>
      <c r="F20" s="236"/>
      <c r="G20" s="242"/>
    </row>
    <row r="21" spans="1:1024" ht="15.75">
      <c r="A21" s="231"/>
      <c r="B21" s="248" t="s">
        <v>159</v>
      </c>
      <c r="C21" s="249"/>
      <c r="D21" s="250"/>
      <c r="E21" s="251"/>
      <c r="F21" s="252"/>
      <c r="G21" s="251"/>
    </row>
    <row r="22" spans="1:1024" ht="15.75">
      <c r="A22" s="253" t="s">
        <v>160</v>
      </c>
      <c r="B22" s="254"/>
      <c r="C22" s="255">
        <f>C19+C10</f>
        <v>412</v>
      </c>
      <c r="D22" s="256">
        <f>E22/C22</f>
        <v>0.30582524271844658</v>
      </c>
      <c r="E22" s="255">
        <f>E19+E10</f>
        <v>126</v>
      </c>
      <c r="F22" s="256">
        <f>G22/C22</f>
        <v>0.279126213592233</v>
      </c>
      <c r="G22" s="255">
        <f>G19+G10</f>
        <v>115</v>
      </c>
    </row>
    <row r="25" spans="1:1024">
      <c r="A25">
        <v>2022</v>
      </c>
      <c r="D25" s="257" t="s">
        <v>21</v>
      </c>
      <c r="E25" s="257" t="s">
        <v>21</v>
      </c>
      <c r="F25" s="257" t="s">
        <v>161</v>
      </c>
      <c r="G25" s="257" t="s">
        <v>161</v>
      </c>
    </row>
    <row r="26" spans="1:1024" ht="15">
      <c r="A26" s="346">
        <v>11</v>
      </c>
      <c r="B26" s="258" t="s">
        <v>145</v>
      </c>
      <c r="C26" s="259">
        <v>59</v>
      </c>
      <c r="D26" s="260">
        <f>IF(E26="","",E26/C26)</f>
        <v>0.47457627118644069</v>
      </c>
      <c r="E26" s="261">
        <v>28</v>
      </c>
      <c r="F26" s="262">
        <f>IF(G26="","",G26/C26)</f>
        <v>0.33898305084745761</v>
      </c>
      <c r="G26" s="261">
        <v>20</v>
      </c>
      <c r="H26">
        <v>59</v>
      </c>
    </row>
    <row r="27" spans="1:1024" ht="15">
      <c r="A27" s="346"/>
      <c r="B27" s="232" t="s">
        <v>146</v>
      </c>
      <c r="C27" s="233">
        <v>32</v>
      </c>
      <c r="D27" s="234">
        <f>IF(E27="","",E27/C27)</f>
        <v>0.34375</v>
      </c>
      <c r="E27" s="235">
        <v>11</v>
      </c>
      <c r="F27" s="236">
        <f>IF(G27="","",G27/C27)</f>
        <v>0.1875</v>
      </c>
      <c r="G27" s="235">
        <v>6</v>
      </c>
      <c r="H27">
        <v>32</v>
      </c>
    </row>
    <row r="28" spans="1:1024" ht="15">
      <c r="A28" s="346"/>
      <c r="B28" s="232" t="s">
        <v>147</v>
      </c>
      <c r="C28" s="233">
        <v>21</v>
      </c>
      <c r="D28" s="234">
        <f>IF(E28="","",E28/C28)</f>
        <v>0.19047619047619047</v>
      </c>
      <c r="E28" s="235">
        <v>4</v>
      </c>
      <c r="F28" s="236">
        <f>IF(G28="","",G28/C28)</f>
        <v>0.23809523809523808</v>
      </c>
      <c r="G28" s="235">
        <v>5</v>
      </c>
      <c r="H28">
        <v>21</v>
      </c>
    </row>
    <row r="29" spans="1:1024" ht="15">
      <c r="A29" s="346"/>
      <c r="B29" s="232" t="s">
        <v>148</v>
      </c>
      <c r="C29" s="233">
        <v>55</v>
      </c>
      <c r="D29" s="234">
        <f>IF(E29="","",E29/C29)</f>
        <v>0.32727272727272727</v>
      </c>
      <c r="E29" s="235">
        <v>18</v>
      </c>
      <c r="F29" s="236">
        <f>IF(G29="","",G29/C29)</f>
        <v>0.32727272727272727</v>
      </c>
      <c r="G29" s="235">
        <v>18</v>
      </c>
      <c r="H29">
        <v>55</v>
      </c>
    </row>
    <row r="30" spans="1:1024" s="237" customFormat="1" ht="15">
      <c r="A30" s="346"/>
      <c r="B30" s="243" t="s">
        <v>150</v>
      </c>
      <c r="C30" s="244">
        <f>SUM(C26:C29)</f>
        <v>167</v>
      </c>
      <c r="D30" s="245">
        <f>E30/C30</f>
        <v>0.3652694610778443</v>
      </c>
      <c r="E30" s="244">
        <f>SUM(E26:E29)</f>
        <v>61</v>
      </c>
      <c r="F30" s="245">
        <f>G30/C30</f>
        <v>0.29341317365269459</v>
      </c>
      <c r="G30" s="244">
        <f>SUM(G26:G29)</f>
        <v>49</v>
      </c>
      <c r="AMJ30"/>
    </row>
    <row r="31" spans="1:1024" ht="15">
      <c r="A31" s="346"/>
      <c r="B31" s="232"/>
      <c r="C31" s="233"/>
      <c r="D31" s="234"/>
      <c r="E31" s="235"/>
      <c r="F31" s="236"/>
      <c r="G31" s="235"/>
      <c r="H31">
        <v>15</v>
      </c>
    </row>
    <row r="32" spans="1:1024" ht="15">
      <c r="A32" s="346"/>
      <c r="B32" s="232" t="s">
        <v>152</v>
      </c>
      <c r="C32" s="233">
        <v>20</v>
      </c>
      <c r="D32" s="234">
        <f>IF(E32="","",E32/C32)</f>
        <v>0.25</v>
      </c>
      <c r="E32" s="235">
        <v>5</v>
      </c>
      <c r="F32" s="236">
        <f>IF(G32="","",G32/C32)</f>
        <v>0.2</v>
      </c>
      <c r="G32" s="235">
        <v>4</v>
      </c>
      <c r="H32">
        <v>182</v>
      </c>
    </row>
    <row r="33" spans="1:1024" ht="15">
      <c r="A33" s="346"/>
      <c r="B33" s="232" t="s">
        <v>153</v>
      </c>
      <c r="C33" s="233">
        <v>20</v>
      </c>
      <c r="D33" s="234">
        <f>IF(E33="","",E33/C33)</f>
        <v>0.25</v>
      </c>
      <c r="E33" s="235">
        <v>5</v>
      </c>
      <c r="F33" s="236">
        <f>IF(G33="","",G33/C33)</f>
        <v>0.25</v>
      </c>
      <c r="G33" s="235">
        <v>5</v>
      </c>
      <c r="H33">
        <v>6</v>
      </c>
    </row>
    <row r="34" spans="1:1024" ht="15">
      <c r="A34" s="346"/>
      <c r="B34" s="232" t="s">
        <v>162</v>
      </c>
      <c r="C34" s="233">
        <v>35</v>
      </c>
      <c r="D34" s="234">
        <f>IF(E34="","",E34/C34)</f>
        <v>0.31428571428571428</v>
      </c>
      <c r="E34" s="235">
        <v>11</v>
      </c>
      <c r="F34" s="236">
        <f>IF(G34="","",G34/C34)</f>
        <v>0.22857142857142856</v>
      </c>
      <c r="G34" s="235">
        <v>8</v>
      </c>
      <c r="H34">
        <v>20</v>
      </c>
    </row>
    <row r="35" spans="1:1024" ht="15">
      <c r="A35" s="346"/>
      <c r="B35" s="232" t="s">
        <v>163</v>
      </c>
      <c r="C35" s="233">
        <v>15</v>
      </c>
      <c r="D35" s="234">
        <f>IF(E35="","",E35/C35)</f>
        <v>0.2</v>
      </c>
      <c r="E35" s="235">
        <v>3</v>
      </c>
      <c r="F35" s="236" t="str">
        <f>IF(G35="","",G35/C35)</f>
        <v/>
      </c>
      <c r="G35" s="235"/>
      <c r="H35">
        <v>20</v>
      </c>
    </row>
    <row r="36" spans="1:1024" ht="15">
      <c r="A36" s="346"/>
      <c r="B36" s="232" t="s">
        <v>164</v>
      </c>
      <c r="C36" s="233">
        <v>22</v>
      </c>
      <c r="D36" s="234">
        <f>IF(E36="","",E36/C36)</f>
        <v>9.0909090909090912E-2</v>
      </c>
      <c r="E36" s="235">
        <v>2</v>
      </c>
      <c r="F36" s="236">
        <f>IF(G36="","",G36/C36)</f>
        <v>0.22727272727272727</v>
      </c>
      <c r="G36" s="235">
        <v>5</v>
      </c>
      <c r="H36">
        <v>35</v>
      </c>
    </row>
    <row r="37" spans="1:1024" s="237" customFormat="1" ht="15">
      <c r="A37" s="346"/>
      <c r="B37" s="243" t="s">
        <v>158</v>
      </c>
      <c r="C37" s="237">
        <f>SUM(C32:C36)</f>
        <v>112</v>
      </c>
      <c r="D37" s="245">
        <f>E37/C37</f>
        <v>0.23214285714285715</v>
      </c>
      <c r="E37" s="237">
        <f>SUM(E32:E36)</f>
        <v>26</v>
      </c>
      <c r="F37" s="245">
        <f>G37/C37</f>
        <v>0.19642857142857142</v>
      </c>
      <c r="G37" s="237">
        <f>SUM(G32:G36)</f>
        <v>22</v>
      </c>
      <c r="H37" s="237">
        <v>22</v>
      </c>
      <c r="AMJ37"/>
    </row>
    <row r="38" spans="1:1024" ht="15">
      <c r="A38" s="346"/>
      <c r="B38" s="232" t="s">
        <v>157</v>
      </c>
      <c r="C38" s="240"/>
      <c r="D38" s="234" t="str">
        <f>IF(E38="","",E38/C38)</f>
        <v/>
      </c>
      <c r="E38" s="242"/>
      <c r="F38" s="236" t="str">
        <f>IF(G38="","",G38/C38)</f>
        <v/>
      </c>
      <c r="G38" s="242"/>
      <c r="H38">
        <v>103</v>
      </c>
    </row>
    <row r="39" spans="1:1024" ht="15">
      <c r="A39" s="346"/>
      <c r="B39" s="247" t="s">
        <v>159</v>
      </c>
      <c r="C39" s="240"/>
      <c r="D39" s="241"/>
      <c r="E39" s="242"/>
      <c r="F39" s="236"/>
      <c r="G39" s="242"/>
      <c r="H39">
        <v>285</v>
      </c>
    </row>
    <row r="40" spans="1:1024" ht="15">
      <c r="A40" s="346"/>
      <c r="B40" s="247" t="s">
        <v>159</v>
      </c>
      <c r="C40" s="240"/>
      <c r="D40" s="241"/>
      <c r="E40" s="242"/>
      <c r="F40" s="236"/>
      <c r="G40" s="242"/>
    </row>
    <row r="41" spans="1:1024" ht="15">
      <c r="A41" s="346"/>
      <c r="B41" s="248" t="s">
        <v>159</v>
      </c>
      <c r="C41" s="249"/>
      <c r="D41" s="250"/>
      <c r="E41" s="251"/>
      <c r="F41" s="252"/>
      <c r="G41" s="251"/>
    </row>
    <row r="42" spans="1:1024" ht="15.75">
      <c r="A42" s="253" t="s">
        <v>160</v>
      </c>
      <c r="B42" s="263"/>
      <c r="C42" s="264">
        <f>C37+C30</f>
        <v>279</v>
      </c>
      <c r="D42" s="256">
        <f>E42/C42</f>
        <v>0.31182795698924731</v>
      </c>
      <c r="E42" s="264">
        <f>E37+E30</f>
        <v>87</v>
      </c>
      <c r="F42" s="256">
        <f>IF(G42="","",G42/C42)</f>
        <v>0.25448028673835127</v>
      </c>
      <c r="G42" s="264">
        <f>G37+G30</f>
        <v>71</v>
      </c>
    </row>
    <row r="46" spans="1:1024">
      <c r="A46">
        <v>2021</v>
      </c>
      <c r="D46" s="257" t="s">
        <v>21</v>
      </c>
      <c r="E46" s="257" t="s">
        <v>21</v>
      </c>
      <c r="F46" s="257" t="s">
        <v>161</v>
      </c>
      <c r="G46" s="257" t="s">
        <v>161</v>
      </c>
    </row>
    <row r="47" spans="1:1024" ht="15">
      <c r="A47" s="346">
        <v>9</v>
      </c>
      <c r="B47" s="258" t="s">
        <v>145</v>
      </c>
      <c r="C47" s="259">
        <v>76</v>
      </c>
      <c r="D47" s="260">
        <f>E47/C47</f>
        <v>0.22368421052631579</v>
      </c>
      <c r="E47" s="261">
        <v>17</v>
      </c>
      <c r="F47" s="262">
        <f>G47/C47</f>
        <v>0.36842105263157893</v>
      </c>
      <c r="G47" s="261">
        <v>28</v>
      </c>
      <c r="H47" s="265">
        <v>76</v>
      </c>
    </row>
    <row r="48" spans="1:1024" ht="15">
      <c r="A48" s="346"/>
      <c r="B48" s="232" t="s">
        <v>146</v>
      </c>
      <c r="C48" s="233">
        <v>45</v>
      </c>
      <c r="D48" s="234">
        <f>E48/C48</f>
        <v>0.46666666666666667</v>
      </c>
      <c r="E48" s="235">
        <v>21</v>
      </c>
      <c r="F48" s="236">
        <f>G48/C48</f>
        <v>0.31111111111111112</v>
      </c>
      <c r="G48" s="235">
        <v>14</v>
      </c>
      <c r="H48" s="266">
        <v>45</v>
      </c>
    </row>
    <row r="49" spans="1:1024" ht="15">
      <c r="A49" s="346"/>
      <c r="B49" s="232" t="s">
        <v>147</v>
      </c>
      <c r="C49" s="233">
        <v>16</v>
      </c>
      <c r="D49" s="234">
        <f>E49/C49</f>
        <v>0.3125</v>
      </c>
      <c r="E49" s="235">
        <v>5</v>
      </c>
      <c r="F49" s="236">
        <f>G49/C49</f>
        <v>0.1875</v>
      </c>
      <c r="G49" s="235">
        <v>3</v>
      </c>
      <c r="H49" s="266">
        <v>16</v>
      </c>
    </row>
    <row r="50" spans="1:1024" ht="15">
      <c r="A50" s="346"/>
      <c r="B50" s="232" t="s">
        <v>148</v>
      </c>
      <c r="C50" s="233">
        <v>56</v>
      </c>
      <c r="D50" s="234">
        <f>E50/C50</f>
        <v>0.21428571428571427</v>
      </c>
      <c r="E50" s="235">
        <v>12</v>
      </c>
      <c r="F50" s="236">
        <f>G50/C50</f>
        <v>0.17857142857142858</v>
      </c>
      <c r="G50" s="235">
        <v>10</v>
      </c>
      <c r="H50" s="266">
        <v>56</v>
      </c>
    </row>
    <row r="51" spans="1:1024" s="237" customFormat="1" ht="15">
      <c r="A51" s="346"/>
      <c r="B51" s="243" t="s">
        <v>150</v>
      </c>
      <c r="C51" s="244">
        <f>SUM(C47:C50)</f>
        <v>193</v>
      </c>
      <c r="D51" s="245">
        <f>E51/C51</f>
        <v>0.28497409326424872</v>
      </c>
      <c r="E51" s="244">
        <f>SUM(E47:E50)</f>
        <v>55</v>
      </c>
      <c r="F51" s="245">
        <f>G51/C51</f>
        <v>0.28497409326424872</v>
      </c>
      <c r="G51" s="244">
        <f>SUM(G47:G50)</f>
        <v>55</v>
      </c>
      <c r="H51" s="266"/>
      <c r="AMJ51"/>
    </row>
    <row r="52" spans="1:1024" s="237" customFormat="1" ht="15">
      <c r="A52" s="346"/>
      <c r="B52" s="243"/>
      <c r="C52" s="244"/>
      <c r="D52" s="245"/>
      <c r="E52" s="244"/>
      <c r="F52" s="245"/>
      <c r="G52" s="244"/>
      <c r="H52" s="267"/>
      <c r="AMJ52"/>
    </row>
    <row r="53" spans="1:1024" ht="15">
      <c r="A53" s="346"/>
      <c r="B53" s="232" t="s">
        <v>151</v>
      </c>
      <c r="C53" s="233">
        <v>13</v>
      </c>
      <c r="D53" s="234">
        <f>E53/C53</f>
        <v>0.53846153846153844</v>
      </c>
      <c r="E53" s="235">
        <v>7</v>
      </c>
      <c r="F53" s="236">
        <f>G53/C53</f>
        <v>0.46153846153846156</v>
      </c>
      <c r="G53" s="235">
        <v>6</v>
      </c>
      <c r="H53" s="268">
        <v>193</v>
      </c>
    </row>
    <row r="54" spans="1:1024" ht="15">
      <c r="A54" s="346"/>
      <c r="B54" s="232" t="s">
        <v>152</v>
      </c>
      <c r="C54" s="233">
        <v>24</v>
      </c>
      <c r="D54" s="234">
        <f>E54/C54</f>
        <v>0.29166666666666669</v>
      </c>
      <c r="E54" s="235">
        <v>7</v>
      </c>
      <c r="F54" s="236">
        <f>G54/C54</f>
        <v>0.29166666666666669</v>
      </c>
      <c r="G54" s="235">
        <v>7</v>
      </c>
      <c r="H54" s="269">
        <v>13</v>
      </c>
    </row>
    <row r="55" spans="1:1024" ht="15">
      <c r="A55" s="346"/>
      <c r="B55" s="232" t="s">
        <v>153</v>
      </c>
      <c r="C55" s="233">
        <v>33</v>
      </c>
      <c r="D55" s="234">
        <f>E55/C55</f>
        <v>0</v>
      </c>
      <c r="E55" s="235">
        <v>0</v>
      </c>
      <c r="F55" s="236">
        <f>G55/C55</f>
        <v>0.21212121212121213</v>
      </c>
      <c r="G55" s="235">
        <v>7</v>
      </c>
      <c r="H55" s="266">
        <v>24</v>
      </c>
    </row>
    <row r="56" spans="1:1024" ht="15">
      <c r="A56" s="346"/>
      <c r="B56" s="232" t="s">
        <v>162</v>
      </c>
      <c r="C56" s="233">
        <v>32</v>
      </c>
      <c r="D56" s="234">
        <f>E56/C56</f>
        <v>0.15625</v>
      </c>
      <c r="E56" s="235">
        <v>5</v>
      </c>
      <c r="F56" s="236">
        <f>G56/C56</f>
        <v>0.375</v>
      </c>
      <c r="G56" s="235">
        <v>12</v>
      </c>
      <c r="H56" s="266">
        <v>33</v>
      </c>
    </row>
    <row r="57" spans="1:1024" s="237" customFormat="1" ht="15">
      <c r="A57" s="346"/>
      <c r="B57" s="243" t="s">
        <v>158</v>
      </c>
      <c r="C57" s="237">
        <f>SUM(C53:C56)</f>
        <v>102</v>
      </c>
      <c r="D57" s="245">
        <f>E57/C57</f>
        <v>0.18627450980392157</v>
      </c>
      <c r="E57" s="237">
        <f>SUM(E53:E56)</f>
        <v>19</v>
      </c>
      <c r="F57" s="245">
        <f>G57/C57</f>
        <v>0.31372549019607843</v>
      </c>
      <c r="G57" s="237">
        <f>SUM(G53:G56)</f>
        <v>32</v>
      </c>
      <c r="H57" s="266">
        <v>32</v>
      </c>
      <c r="AMJ57"/>
    </row>
    <row r="58" spans="1:1024" ht="15">
      <c r="A58" s="346"/>
      <c r="B58" s="247" t="s">
        <v>159</v>
      </c>
      <c r="C58" s="240"/>
      <c r="D58" s="241"/>
      <c r="E58" s="242"/>
      <c r="F58" s="236"/>
      <c r="G58" s="242"/>
      <c r="H58" s="270"/>
    </row>
    <row r="59" spans="1:1024" ht="15">
      <c r="A59" s="346"/>
      <c r="B59" s="248" t="s">
        <v>159</v>
      </c>
      <c r="C59" s="249"/>
      <c r="D59" s="250"/>
      <c r="E59" s="251"/>
      <c r="F59" s="252"/>
      <c r="G59" s="251"/>
      <c r="H59" s="268">
        <v>102</v>
      </c>
    </row>
    <row r="60" spans="1:1024" ht="15.75">
      <c r="A60" s="253" t="s">
        <v>160</v>
      </c>
      <c r="B60" s="254"/>
      <c r="C60" s="264">
        <f>C57+C51</f>
        <v>295</v>
      </c>
      <c r="D60" s="256">
        <f>E60/C60</f>
        <v>0.25084745762711863</v>
      </c>
      <c r="E60" s="264">
        <f>E57+E51</f>
        <v>74</v>
      </c>
      <c r="F60" s="256">
        <f>G60/C60</f>
        <v>0.29491525423728815</v>
      </c>
      <c r="G60" s="264">
        <f>G57+G51</f>
        <v>87</v>
      </c>
      <c r="H60" s="271">
        <v>295</v>
      </c>
    </row>
    <row r="64" spans="1:1024">
      <c r="A64">
        <v>2020</v>
      </c>
    </row>
    <row r="65" spans="1:1024" ht="15">
      <c r="A65" s="346">
        <v>8</v>
      </c>
      <c r="B65" s="258" t="s">
        <v>145</v>
      </c>
      <c r="C65" s="259">
        <v>31</v>
      </c>
      <c r="D65" s="260">
        <v>0.32258064516128998</v>
      </c>
      <c r="E65" s="261">
        <v>10</v>
      </c>
      <c r="F65" s="262">
        <v>0.32258064516128998</v>
      </c>
      <c r="G65" s="261">
        <v>10</v>
      </c>
    </row>
    <row r="66" spans="1:1024" ht="15">
      <c r="A66" s="346"/>
      <c r="B66" s="232" t="s">
        <v>146</v>
      </c>
      <c r="C66" s="233">
        <v>25</v>
      </c>
      <c r="D66" s="234">
        <v>0.48</v>
      </c>
      <c r="E66" s="235">
        <v>12</v>
      </c>
      <c r="F66" s="236">
        <v>0.36</v>
      </c>
      <c r="G66" s="235">
        <v>12</v>
      </c>
    </row>
    <row r="67" spans="1:1024" ht="15">
      <c r="A67" s="346"/>
      <c r="B67" s="232" t="s">
        <v>147</v>
      </c>
      <c r="C67" s="233">
        <v>18</v>
      </c>
      <c r="D67" s="234">
        <v>0.5</v>
      </c>
      <c r="E67" s="235">
        <v>9</v>
      </c>
      <c r="F67" s="236">
        <v>0.16666666666666699</v>
      </c>
      <c r="G67" s="235">
        <v>9</v>
      </c>
    </row>
    <row r="68" spans="1:1024" ht="15">
      <c r="A68" s="346"/>
      <c r="B68" s="232"/>
      <c r="C68" s="233"/>
      <c r="D68" s="234"/>
      <c r="E68" s="235"/>
      <c r="F68" s="236"/>
      <c r="G68" s="235"/>
    </row>
    <row r="69" spans="1:1024" s="237" customFormat="1" ht="15">
      <c r="A69" s="346"/>
      <c r="B69" s="243" t="s">
        <v>150</v>
      </c>
      <c r="C69" s="244">
        <f>SUM(C65:C68)</f>
        <v>74</v>
      </c>
      <c r="D69" s="245">
        <f>E69/C69</f>
        <v>0.41891891891891891</v>
      </c>
      <c r="E69" s="244">
        <f>SUM(E65:E68)</f>
        <v>31</v>
      </c>
      <c r="F69" s="245">
        <f>G69/C69</f>
        <v>0.41891891891891891</v>
      </c>
      <c r="G69" s="244">
        <f>SUM(G65:G68)</f>
        <v>31</v>
      </c>
      <c r="AMJ69"/>
    </row>
    <row r="70" spans="1:1024" ht="15">
      <c r="A70" s="346"/>
      <c r="B70" s="232"/>
      <c r="C70" s="233"/>
      <c r="D70" s="234"/>
      <c r="E70" s="235"/>
      <c r="F70" s="236"/>
      <c r="G70" s="235"/>
    </row>
    <row r="71" spans="1:1024" ht="15">
      <c r="A71" s="346"/>
      <c r="B71" s="232" t="s">
        <v>151</v>
      </c>
      <c r="C71" s="233">
        <v>14</v>
      </c>
      <c r="D71" s="234">
        <v>7.1428571428571397E-2</v>
      </c>
      <c r="E71" s="235">
        <v>1</v>
      </c>
      <c r="F71" s="236">
        <v>7.1428571428571397E-2</v>
      </c>
      <c r="G71" s="235">
        <v>1</v>
      </c>
    </row>
    <row r="72" spans="1:1024" ht="15">
      <c r="A72" s="346"/>
      <c r="B72" s="232" t="s">
        <v>152</v>
      </c>
      <c r="C72" s="233">
        <v>24</v>
      </c>
      <c r="D72" s="234">
        <v>4.1666666666666699E-2</v>
      </c>
      <c r="E72" s="235">
        <v>1</v>
      </c>
      <c r="F72" s="236">
        <v>0.20833333333333301</v>
      </c>
      <c r="G72" s="235">
        <v>1</v>
      </c>
    </row>
    <row r="73" spans="1:1024" ht="15">
      <c r="A73" s="346"/>
      <c r="B73" s="232" t="s">
        <v>153</v>
      </c>
      <c r="C73" s="233">
        <v>29</v>
      </c>
      <c r="D73" s="234">
        <v>0</v>
      </c>
      <c r="E73" s="235">
        <v>0</v>
      </c>
      <c r="F73" s="236">
        <v>0.41379310344827602</v>
      </c>
      <c r="G73" s="235">
        <v>0</v>
      </c>
    </row>
    <row r="74" spans="1:1024" ht="15">
      <c r="A74" s="346"/>
      <c r="B74" s="232" t="s">
        <v>162</v>
      </c>
      <c r="C74" s="233">
        <v>27</v>
      </c>
      <c r="D74" s="234">
        <v>0.25925925925925902</v>
      </c>
      <c r="E74" s="235">
        <v>7</v>
      </c>
      <c r="F74" s="236">
        <v>0.48148148148148101</v>
      </c>
      <c r="G74" s="235">
        <v>7</v>
      </c>
    </row>
    <row r="75" spans="1:1024" s="237" customFormat="1" ht="15">
      <c r="A75" s="346"/>
      <c r="B75" s="243" t="s">
        <v>158</v>
      </c>
      <c r="C75" s="237">
        <f>SUM(C71:C74)</f>
        <v>94</v>
      </c>
      <c r="D75" s="245">
        <f>E75/C75</f>
        <v>9.5744680851063829E-2</v>
      </c>
      <c r="E75" s="237">
        <f>SUM(E71:E74)</f>
        <v>9</v>
      </c>
      <c r="F75" s="245">
        <f>G75/C75</f>
        <v>9.5744680851063829E-2</v>
      </c>
      <c r="G75" s="237">
        <f>SUM(G71:G74)</f>
        <v>9</v>
      </c>
      <c r="AMJ75"/>
    </row>
    <row r="76" spans="1:1024" ht="15">
      <c r="A76" s="346"/>
      <c r="B76" s="232" t="s">
        <v>163</v>
      </c>
      <c r="C76" s="272"/>
      <c r="D76" s="234">
        <v>0.25925925925925902</v>
      </c>
      <c r="E76" s="273"/>
      <c r="F76" s="236">
        <v>0.48148148148148101</v>
      </c>
      <c r="G76" s="273"/>
    </row>
    <row r="77" spans="1:1024" ht="15">
      <c r="A77" s="346"/>
      <c r="B77" s="247" t="s">
        <v>159</v>
      </c>
      <c r="C77" s="240"/>
      <c r="D77" s="241"/>
      <c r="E77" s="242"/>
      <c r="F77" s="236"/>
      <c r="G77" s="242"/>
    </row>
    <row r="78" spans="1:1024" ht="15">
      <c r="A78" s="346"/>
      <c r="B78" s="247" t="s">
        <v>159</v>
      </c>
      <c r="C78" s="240"/>
      <c r="D78" s="241"/>
      <c r="E78" s="242"/>
      <c r="F78" s="236"/>
      <c r="G78" s="242"/>
    </row>
    <row r="79" spans="1:1024" ht="15">
      <c r="A79" s="346"/>
      <c r="B79" s="248" t="s">
        <v>159</v>
      </c>
      <c r="C79" s="249"/>
      <c r="D79" s="250"/>
      <c r="E79" s="251"/>
      <c r="F79" s="252"/>
      <c r="G79" s="251"/>
    </row>
    <row r="80" spans="1:1024" ht="15.75">
      <c r="A80" s="253" t="s">
        <v>160</v>
      </c>
      <c r="B80" s="254"/>
      <c r="C80" s="264">
        <f>C75+C69</f>
        <v>168</v>
      </c>
      <c r="D80" s="256">
        <f>E80/C80</f>
        <v>0.23809523809523808</v>
      </c>
      <c r="E80" s="264">
        <f>E75+E69</f>
        <v>40</v>
      </c>
      <c r="F80" s="256">
        <f>G80/C80</f>
        <v>0.23809523809523808</v>
      </c>
      <c r="G80" s="264">
        <f>G75+G69</f>
        <v>40</v>
      </c>
    </row>
    <row r="83" spans="3:8">
      <c r="C83">
        <v>31</v>
      </c>
      <c r="D83">
        <v>23</v>
      </c>
      <c r="E83">
        <v>0.32258064516128998</v>
      </c>
      <c r="F83">
        <v>10</v>
      </c>
      <c r="G83">
        <v>0.32258064516128998</v>
      </c>
      <c r="H83">
        <v>10</v>
      </c>
    </row>
    <row r="84" spans="3:8">
      <c r="C84">
        <v>25</v>
      </c>
      <c r="D84">
        <v>13</v>
      </c>
      <c r="E84">
        <v>0.48</v>
      </c>
      <c r="F84">
        <v>12</v>
      </c>
      <c r="G84">
        <v>0.36</v>
      </c>
      <c r="H84">
        <v>9</v>
      </c>
    </row>
    <row r="85" spans="3:8">
      <c r="C85">
        <v>18</v>
      </c>
      <c r="D85">
        <v>10</v>
      </c>
      <c r="E85">
        <v>0.5</v>
      </c>
      <c r="F85">
        <v>9</v>
      </c>
      <c r="G85">
        <v>0.16666666666666699</v>
      </c>
      <c r="H85">
        <v>3</v>
      </c>
    </row>
    <row r="86" spans="3:8">
      <c r="E86">
        <v>0.5</v>
      </c>
      <c r="G86">
        <v>0.16666666666666699</v>
      </c>
    </row>
    <row r="87" spans="3:8">
      <c r="C87">
        <v>14</v>
      </c>
      <c r="D87">
        <v>9</v>
      </c>
      <c r="E87">
        <v>7.1428571428571397E-2</v>
      </c>
      <c r="F87">
        <v>1</v>
      </c>
      <c r="G87">
        <v>7.1428571428571397E-2</v>
      </c>
      <c r="H87">
        <v>1</v>
      </c>
    </row>
    <row r="88" spans="3:8">
      <c r="C88">
        <v>24</v>
      </c>
      <c r="D88">
        <v>16</v>
      </c>
      <c r="E88">
        <v>4.1666666666666699E-2</v>
      </c>
      <c r="F88">
        <v>1</v>
      </c>
      <c r="G88">
        <v>0.20833333333333301</v>
      </c>
      <c r="H88">
        <v>5</v>
      </c>
    </row>
    <row r="89" spans="3:8">
      <c r="C89">
        <v>29</v>
      </c>
      <c r="D89">
        <v>21</v>
      </c>
      <c r="E89">
        <v>0</v>
      </c>
      <c r="F89">
        <v>0</v>
      </c>
      <c r="G89">
        <v>0.41379310344827602</v>
      </c>
      <c r="H89">
        <v>12</v>
      </c>
    </row>
    <row r="90" spans="3:8">
      <c r="C90">
        <v>27</v>
      </c>
      <c r="D90">
        <v>17</v>
      </c>
      <c r="E90">
        <v>0.25925925925925902</v>
      </c>
      <c r="F90">
        <v>7</v>
      </c>
      <c r="G90">
        <v>0.48148148148148101</v>
      </c>
      <c r="H90">
        <v>13</v>
      </c>
    </row>
    <row r="91" spans="3:8">
      <c r="E91">
        <v>0.25925925925925902</v>
      </c>
      <c r="G91">
        <v>0.48148148148148101</v>
      </c>
    </row>
    <row r="92" spans="3:8">
      <c r="E92">
        <v>0.25925925925925902</v>
      </c>
      <c r="G92">
        <v>0.48148148148148101</v>
      </c>
    </row>
    <row r="93" spans="3:8">
      <c r="C93">
        <v>4</v>
      </c>
      <c r="D93">
        <v>2</v>
      </c>
      <c r="E93">
        <v>0.5</v>
      </c>
      <c r="F93">
        <v>2</v>
      </c>
      <c r="G93">
        <v>0</v>
      </c>
      <c r="H93">
        <v>0</v>
      </c>
    </row>
  </sheetData>
  <mergeCells count="9">
    <mergeCell ref="G2:G4"/>
    <mergeCell ref="A26:A41"/>
    <mergeCell ref="A47:A59"/>
    <mergeCell ref="A65:A79"/>
    <mergeCell ref="A2:A4"/>
    <mergeCell ref="B2:B4"/>
    <mergeCell ref="D2:D4"/>
    <mergeCell ref="E2:E4"/>
    <mergeCell ref="F2:F4"/>
  </mergeCells>
  <conditionalFormatting sqref="B20:B22 B11:B18 B5:B9">
    <cfRule type="expression" dxfId="0" priority="2">
      <formula>$E5=""</formula>
    </cfRule>
  </conditionalFormatting>
  <pageMargins left="0.7" right="0.7" top="0.75" bottom="0.75" header="0.51180555555555496" footer="0.51180555555555496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J27"/>
  <sheetViews>
    <sheetView topLeftCell="A2" zoomScaleNormal="100" workbookViewId="0">
      <selection activeCell="F25" sqref="F25"/>
    </sheetView>
  </sheetViews>
  <sheetFormatPr baseColWidth="10" defaultColWidth="10.5" defaultRowHeight="14.25"/>
  <cols>
    <col min="2" max="2" width="38.5" customWidth="1"/>
  </cols>
  <sheetData>
    <row r="4" spans="2:10" ht="20.25">
      <c r="B4" s="274" t="s">
        <v>165</v>
      </c>
      <c r="C4" s="275"/>
      <c r="D4" s="275"/>
      <c r="E4" s="276"/>
      <c r="F4" s="276"/>
      <c r="G4" s="276"/>
      <c r="H4" s="276"/>
    </row>
    <row r="5" spans="2:10">
      <c r="B5" s="276" t="s">
        <v>166</v>
      </c>
      <c r="C5" s="275"/>
      <c r="D5" s="275"/>
      <c r="E5" s="276">
        <v>7</v>
      </c>
      <c r="F5" s="276">
        <v>8</v>
      </c>
      <c r="G5" s="276">
        <v>10</v>
      </c>
      <c r="H5" s="276">
        <v>9</v>
      </c>
    </row>
    <row r="6" spans="2:10" ht="18">
      <c r="B6" s="277" t="s">
        <v>167</v>
      </c>
      <c r="C6" s="350" t="s">
        <v>168</v>
      </c>
      <c r="D6" s="350"/>
      <c r="E6" s="351">
        <v>2020</v>
      </c>
      <c r="F6" s="351">
        <v>2021</v>
      </c>
      <c r="G6" s="351">
        <v>2022</v>
      </c>
      <c r="H6" s="351">
        <v>2023</v>
      </c>
    </row>
    <row r="7" spans="2:10">
      <c r="B7" s="278" t="s">
        <v>169</v>
      </c>
      <c r="C7" s="279" t="s">
        <v>170</v>
      </c>
      <c r="D7" s="280" t="s">
        <v>171</v>
      </c>
      <c r="E7" s="351"/>
      <c r="F7" s="351"/>
      <c r="G7" s="351"/>
      <c r="H7" s="351"/>
    </row>
    <row r="8" spans="2:10">
      <c r="B8" s="281" t="s">
        <v>1</v>
      </c>
      <c r="C8" s="282" t="s">
        <v>172</v>
      </c>
      <c r="D8" s="283" t="s">
        <v>173</v>
      </c>
      <c r="E8" s="265">
        <v>31</v>
      </c>
      <c r="F8" s="265">
        <v>76</v>
      </c>
      <c r="G8" s="265">
        <v>59</v>
      </c>
      <c r="H8" s="265">
        <f>LA_RO_BIOCOOP!AO35</f>
        <v>68</v>
      </c>
    </row>
    <row r="9" spans="2:10">
      <c r="B9" s="284" t="s">
        <v>45</v>
      </c>
      <c r="C9" s="285" t="s">
        <v>172</v>
      </c>
      <c r="D9" s="286" t="s">
        <v>173</v>
      </c>
      <c r="E9" s="266">
        <v>25</v>
      </c>
      <c r="F9" s="266">
        <v>45</v>
      </c>
      <c r="G9" s="266">
        <v>32</v>
      </c>
      <c r="H9" s="266">
        <f>LA_RO_POSTE!AC46</f>
        <v>47</v>
      </c>
    </row>
    <row r="10" spans="2:10">
      <c r="B10" s="284" t="s">
        <v>174</v>
      </c>
      <c r="C10" s="285" t="s">
        <v>172</v>
      </c>
      <c r="D10" s="286" t="s">
        <v>173</v>
      </c>
      <c r="E10" s="266">
        <v>18</v>
      </c>
      <c r="F10" s="266">
        <v>16</v>
      </c>
      <c r="G10" s="266">
        <v>21</v>
      </c>
      <c r="H10" s="287"/>
    </row>
    <row r="11" spans="2:10">
      <c r="B11" s="284" t="s">
        <v>62</v>
      </c>
      <c r="C11" s="285" t="s">
        <v>172</v>
      </c>
      <c r="D11" s="286" t="s">
        <v>175</v>
      </c>
      <c r="E11" s="266"/>
      <c r="F11" s="266">
        <v>56</v>
      </c>
      <c r="G11" s="266">
        <v>55</v>
      </c>
      <c r="H11" s="266">
        <f>LA_RO_SNCF!AC44</f>
        <v>53</v>
      </c>
    </row>
    <row r="12" spans="2:10">
      <c r="B12" s="284" t="s">
        <v>176</v>
      </c>
      <c r="C12" s="285"/>
      <c r="D12" s="286"/>
      <c r="E12" s="266"/>
      <c r="F12" s="266"/>
      <c r="G12" s="266"/>
      <c r="H12" s="266">
        <f>'LA RO ANDREV 24'!M43</f>
        <v>26</v>
      </c>
    </row>
    <row r="13" spans="2:10">
      <c r="B13" s="284" t="s">
        <v>177</v>
      </c>
      <c r="C13" s="285" t="s">
        <v>172</v>
      </c>
      <c r="D13" s="286" t="s">
        <v>173</v>
      </c>
      <c r="E13" s="267"/>
      <c r="F13" s="267"/>
      <c r="G13" s="288">
        <v>15</v>
      </c>
      <c r="H13" s="287"/>
    </row>
    <row r="14" spans="2:10" ht="15">
      <c r="B14" s="289" t="s">
        <v>178</v>
      </c>
      <c r="C14" s="290"/>
      <c r="D14" s="291"/>
      <c r="E14" s="268">
        <f>SUBTOTAL(9,E8:E13)</f>
        <v>74</v>
      </c>
      <c r="F14" s="268">
        <f>SUBTOTAL(9,F8:F13)</f>
        <v>193</v>
      </c>
      <c r="G14" s="268">
        <f>SUBTOTAL(9,G8:G13)</f>
        <v>182</v>
      </c>
      <c r="H14" s="268">
        <f>SUBTOTAL(9,H8:H13)</f>
        <v>194</v>
      </c>
      <c r="J14">
        <f>H14/G14</f>
        <v>1.0659340659340659</v>
      </c>
    </row>
    <row r="15" spans="2:10">
      <c r="B15" s="292" t="s">
        <v>88</v>
      </c>
      <c r="C15" s="293" t="s">
        <v>172</v>
      </c>
      <c r="D15" s="294" t="s">
        <v>173</v>
      </c>
      <c r="E15" s="269">
        <v>14</v>
      </c>
      <c r="F15" s="269">
        <v>13</v>
      </c>
      <c r="G15" s="269">
        <v>6</v>
      </c>
      <c r="H15" s="269">
        <f>ARENT_PAPETERIE!AC41</f>
        <v>26</v>
      </c>
    </row>
    <row r="16" spans="2:10">
      <c r="B16" s="284" t="s">
        <v>179</v>
      </c>
      <c r="C16" s="285" t="s">
        <v>172</v>
      </c>
      <c r="D16" s="286" t="s">
        <v>173</v>
      </c>
      <c r="E16" s="266">
        <v>24</v>
      </c>
      <c r="F16" s="266">
        <v>24</v>
      </c>
      <c r="G16" s="266">
        <v>20</v>
      </c>
      <c r="H16" s="266">
        <f>ST_PI_BORNE_DESSY!AC34</f>
        <v>49</v>
      </c>
    </row>
    <row r="17" spans="2:10">
      <c r="B17" s="284" t="s">
        <v>180</v>
      </c>
      <c r="C17" s="285" t="s">
        <v>172</v>
      </c>
      <c r="D17" s="286" t="s">
        <v>173</v>
      </c>
      <c r="E17" s="266">
        <v>29</v>
      </c>
      <c r="F17" s="266">
        <v>33</v>
      </c>
      <c r="G17" s="266">
        <v>20</v>
      </c>
      <c r="H17" s="266">
        <f>BO_BORNE_TUCINGE!M32</f>
        <v>47</v>
      </c>
      <c r="I17" t="s">
        <v>181</v>
      </c>
    </row>
    <row r="18" spans="2:10">
      <c r="B18" s="284" t="s">
        <v>182</v>
      </c>
      <c r="C18" s="285" t="s">
        <v>172</v>
      </c>
      <c r="D18" s="286" t="s">
        <v>173</v>
      </c>
      <c r="E18" s="266">
        <v>27</v>
      </c>
      <c r="F18" s="266">
        <v>32</v>
      </c>
      <c r="G18" s="266">
        <v>35</v>
      </c>
      <c r="H18" s="266">
        <f>ST_PI_BORNE_RD1203!Y94</f>
        <v>59</v>
      </c>
    </row>
    <row r="19" spans="2:10">
      <c r="B19" s="284" t="s">
        <v>183</v>
      </c>
      <c r="C19" s="295"/>
      <c r="D19" s="296"/>
      <c r="E19" s="270"/>
      <c r="F19" s="270"/>
      <c r="G19" s="270">
        <v>22</v>
      </c>
      <c r="H19" s="270">
        <f>'ST PI M BRICOLAGE'!U41</f>
        <v>37</v>
      </c>
    </row>
    <row r="20" spans="2:10" ht="15">
      <c r="B20" s="297" t="s">
        <v>184</v>
      </c>
      <c r="C20" s="295"/>
      <c r="D20" s="296"/>
      <c r="E20" s="268">
        <f>SUBTOTAL(9,E15:E19)</f>
        <v>94</v>
      </c>
      <c r="F20" s="268">
        <f>SUBTOTAL(9,F15:F19)</f>
        <v>102</v>
      </c>
      <c r="G20" s="268">
        <f>SUBTOTAL(9,G15:G19)</f>
        <v>103</v>
      </c>
      <c r="H20" s="268">
        <f>SUBTOTAL(9,H15:H19)</f>
        <v>218</v>
      </c>
      <c r="J20">
        <f>H20/G20</f>
        <v>2.116504854368932</v>
      </c>
    </row>
    <row r="21" spans="2:10" ht="15">
      <c r="B21" s="298" t="s">
        <v>27</v>
      </c>
      <c r="C21" s="299"/>
      <c r="D21" s="300"/>
      <c r="E21" s="271">
        <f>SUBTOTAL(9,E8:E20)</f>
        <v>168</v>
      </c>
      <c r="F21" s="271">
        <f>SUBTOTAL(9,F8:F20)</f>
        <v>295</v>
      </c>
      <c r="G21" s="271">
        <f>SUBTOTAL(9,G8:G20)</f>
        <v>285</v>
      </c>
      <c r="H21" s="271">
        <f>SUBTOTAL(9,H8:H20)</f>
        <v>412</v>
      </c>
    </row>
    <row r="22" spans="2:10">
      <c r="C22" t="s">
        <v>27</v>
      </c>
      <c r="D22" t="s">
        <v>185</v>
      </c>
      <c r="E22" s="301">
        <v>0.24</v>
      </c>
      <c r="F22" s="301">
        <v>0.25</v>
      </c>
      <c r="G22" s="301">
        <v>0.31</v>
      </c>
      <c r="H22" s="301">
        <v>0.31</v>
      </c>
    </row>
    <row r="23" spans="2:10">
      <c r="C23" t="s">
        <v>27</v>
      </c>
      <c r="D23" t="s">
        <v>186</v>
      </c>
      <c r="E23" s="301">
        <v>0.31</v>
      </c>
      <c r="F23" s="301">
        <v>0.28999999999999998</v>
      </c>
      <c r="G23" s="301">
        <v>0.25</v>
      </c>
      <c r="H23" s="301">
        <v>0.28000000000000003</v>
      </c>
    </row>
    <row r="24" spans="2:10" ht="15">
      <c r="C24" s="289" t="s">
        <v>178</v>
      </c>
      <c r="D24" t="s">
        <v>185</v>
      </c>
      <c r="E24" s="301"/>
      <c r="F24" s="301">
        <v>0.28000000000000003</v>
      </c>
      <c r="G24" s="301">
        <v>0.37</v>
      </c>
      <c r="H24" s="301">
        <v>0.38</v>
      </c>
    </row>
    <row r="25" spans="2:10">
      <c r="D25" t="s">
        <v>186</v>
      </c>
      <c r="E25" s="301"/>
      <c r="F25" s="301">
        <v>0.28000000000000003</v>
      </c>
      <c r="G25" s="301">
        <v>0.28999999999999998</v>
      </c>
      <c r="H25" s="301">
        <v>0.24</v>
      </c>
    </row>
    <row r="26" spans="2:10" ht="15">
      <c r="C26" s="297" t="s">
        <v>184</v>
      </c>
      <c r="D26" t="s">
        <v>185</v>
      </c>
      <c r="E26" s="301"/>
      <c r="F26" s="301">
        <v>0.19</v>
      </c>
      <c r="G26" s="301">
        <v>0.23</v>
      </c>
      <c r="H26" s="301">
        <v>0.24</v>
      </c>
    </row>
    <row r="27" spans="2:10">
      <c r="D27" t="s">
        <v>186</v>
      </c>
      <c r="E27" s="301"/>
      <c r="F27" s="301">
        <v>0.31</v>
      </c>
      <c r="G27" s="301">
        <v>0.2</v>
      </c>
      <c r="H27" s="301">
        <v>0.32</v>
      </c>
    </row>
  </sheetData>
  <mergeCells count="5">
    <mergeCell ref="C6:D6"/>
    <mergeCell ref="E6:E7"/>
    <mergeCell ref="F6:F7"/>
    <mergeCell ref="G6:G7"/>
    <mergeCell ref="H6:H7"/>
  </mergeCells>
  <pageMargins left="0.7" right="0.7" top="0.75" bottom="0.75" header="0.51180555555555496" footer="0.51180555555555496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6"/>
  <sheetViews>
    <sheetView topLeftCell="A5" zoomScaleNormal="100" workbookViewId="0">
      <selection activeCell="G14" sqref="G14"/>
    </sheetView>
  </sheetViews>
  <sheetFormatPr baseColWidth="10" defaultColWidth="10.5" defaultRowHeight="14.25"/>
  <cols>
    <col min="2" max="2" width="38.5" customWidth="1"/>
  </cols>
  <sheetData>
    <row r="4" spans="2:10" ht="20.25">
      <c r="B4" s="274" t="s">
        <v>165</v>
      </c>
      <c r="C4" s="275"/>
      <c r="D4" s="275"/>
      <c r="E4" s="276"/>
      <c r="F4" s="276"/>
      <c r="G4" s="276"/>
      <c r="H4" s="276"/>
    </row>
    <row r="5" spans="2:10">
      <c r="B5" s="276" t="s">
        <v>166</v>
      </c>
      <c r="C5" s="275"/>
      <c r="D5" s="275"/>
      <c r="E5" s="276">
        <v>7</v>
      </c>
      <c r="F5" s="276">
        <v>8</v>
      </c>
      <c r="G5" s="276">
        <v>10</v>
      </c>
      <c r="H5" s="276">
        <v>9</v>
      </c>
    </row>
    <row r="6" spans="2:10" ht="18">
      <c r="B6" s="277" t="s">
        <v>167</v>
      </c>
      <c r="C6" s="350" t="s">
        <v>168</v>
      </c>
      <c r="D6" s="350"/>
      <c r="E6" s="351">
        <v>2020</v>
      </c>
      <c r="F6" s="351">
        <v>2021</v>
      </c>
      <c r="G6" s="351">
        <v>2022</v>
      </c>
      <c r="H6" s="351">
        <v>2023</v>
      </c>
    </row>
    <row r="7" spans="2:10">
      <c r="B7" s="278" t="s">
        <v>169</v>
      </c>
      <c r="C7" s="279" t="s">
        <v>170</v>
      </c>
      <c r="D7" s="280" t="s">
        <v>171</v>
      </c>
      <c r="E7" s="351"/>
      <c r="F7" s="351"/>
      <c r="G7" s="351"/>
      <c r="H7" s="351"/>
    </row>
    <row r="8" spans="2:10">
      <c r="B8" s="281" t="s">
        <v>1</v>
      </c>
      <c r="C8" s="282" t="s">
        <v>172</v>
      </c>
      <c r="D8" s="283" t="s">
        <v>173</v>
      </c>
      <c r="E8" s="265">
        <v>31</v>
      </c>
      <c r="F8" s="265">
        <v>56</v>
      </c>
      <c r="G8" s="265">
        <v>59</v>
      </c>
      <c r="H8" s="265">
        <f>LA_RO_BIOCOOP!AO35</f>
        <v>68</v>
      </c>
      <c r="I8" t="s">
        <v>187</v>
      </c>
    </row>
    <row r="9" spans="2:10">
      <c r="B9" s="284" t="s">
        <v>45</v>
      </c>
      <c r="C9" s="285" t="s">
        <v>172</v>
      </c>
      <c r="D9" s="286" t="s">
        <v>173</v>
      </c>
      <c r="E9" s="266">
        <v>25</v>
      </c>
      <c r="F9" s="266">
        <v>45</v>
      </c>
      <c r="G9" s="266">
        <v>32</v>
      </c>
      <c r="H9" s="266">
        <f>LA_RO_POSTE!AC46</f>
        <v>47</v>
      </c>
    </row>
    <row r="10" spans="2:10">
      <c r="B10" s="284" t="s">
        <v>174</v>
      </c>
      <c r="C10" s="285" t="s">
        <v>172</v>
      </c>
      <c r="D10" s="286" t="s">
        <v>173</v>
      </c>
      <c r="E10" s="266">
        <v>18</v>
      </c>
      <c r="F10" s="266">
        <v>16</v>
      </c>
      <c r="G10" s="266">
        <v>21</v>
      </c>
      <c r="H10" s="287"/>
    </row>
    <row r="11" spans="2:10">
      <c r="B11" s="284" t="s">
        <v>62</v>
      </c>
      <c r="C11" s="285" t="s">
        <v>172</v>
      </c>
      <c r="D11" s="286" t="s">
        <v>175</v>
      </c>
      <c r="E11" s="266"/>
      <c r="F11" s="266">
        <v>56</v>
      </c>
      <c r="G11" s="266">
        <v>55</v>
      </c>
      <c r="H11" s="266">
        <f>LA_RO_SNCF!AC44</f>
        <v>53</v>
      </c>
    </row>
    <row r="12" spans="2:10">
      <c r="B12" s="284" t="s">
        <v>176</v>
      </c>
      <c r="C12" s="285"/>
      <c r="D12" s="286"/>
      <c r="E12" s="266"/>
      <c r="F12" s="266"/>
      <c r="G12" s="266"/>
      <c r="H12" s="266">
        <f>'LA RO ANDREV 24'!M43</f>
        <v>26</v>
      </c>
    </row>
    <row r="13" spans="2:10">
      <c r="B13" s="284" t="s">
        <v>177</v>
      </c>
      <c r="C13" s="285" t="s">
        <v>172</v>
      </c>
      <c r="D13" s="286" t="s">
        <v>173</v>
      </c>
      <c r="E13" s="267"/>
      <c r="F13" s="267"/>
      <c r="G13" s="288">
        <v>15</v>
      </c>
      <c r="H13" s="287"/>
    </row>
    <row r="14" spans="2:10" ht="15">
      <c r="B14" s="289" t="s">
        <v>178</v>
      </c>
      <c r="C14" s="290"/>
      <c r="D14" s="291"/>
      <c r="E14" s="268">
        <f>SUBTOTAL(9,E8:E13)</f>
        <v>74</v>
      </c>
      <c r="F14" s="268">
        <f>SUBTOTAL(9,F8:F13)</f>
        <v>173</v>
      </c>
      <c r="G14" s="268">
        <f>SUBTOTAL(9,G8:G13)</f>
        <v>182</v>
      </c>
      <c r="H14" s="268">
        <f>SUBTOTAL(9,H8:H13)</f>
        <v>194</v>
      </c>
      <c r="J14">
        <f>H14/G14</f>
        <v>1.0659340659340659</v>
      </c>
    </row>
    <row r="15" spans="2:10">
      <c r="B15" s="292" t="s">
        <v>88</v>
      </c>
      <c r="C15" s="293" t="s">
        <v>172</v>
      </c>
      <c r="D15" s="294" t="s">
        <v>173</v>
      </c>
      <c r="E15" s="269">
        <v>14</v>
      </c>
      <c r="F15" s="269">
        <v>13</v>
      </c>
      <c r="G15" s="269">
        <v>6</v>
      </c>
      <c r="H15" s="269">
        <f>ARENT_PAPETERIE!AC41</f>
        <v>26</v>
      </c>
    </row>
    <row r="16" spans="2:10">
      <c r="B16" s="284" t="s">
        <v>179</v>
      </c>
      <c r="C16" s="285" t="s">
        <v>172</v>
      </c>
      <c r="D16" s="286" t="s">
        <v>173</v>
      </c>
      <c r="E16" s="266">
        <v>24</v>
      </c>
      <c r="F16" s="266">
        <v>24</v>
      </c>
      <c r="G16" s="266">
        <v>20</v>
      </c>
      <c r="H16" s="266">
        <f>ST_PI_BORNE_DESSY!AC34</f>
        <v>49</v>
      </c>
    </row>
    <row r="17" spans="2:14">
      <c r="B17" s="284" t="s">
        <v>180</v>
      </c>
      <c r="C17" s="285" t="s">
        <v>172</v>
      </c>
      <c r="D17" s="286" t="s">
        <v>173</v>
      </c>
      <c r="E17" s="266">
        <v>29</v>
      </c>
      <c r="F17" s="266">
        <v>33</v>
      </c>
      <c r="G17" s="266">
        <v>20</v>
      </c>
      <c r="H17" s="266">
        <f>BO_BORNE_TUCINGE!M32</f>
        <v>47</v>
      </c>
      <c r="I17" t="s">
        <v>194</v>
      </c>
    </row>
    <row r="18" spans="2:14">
      <c r="B18" s="284" t="s">
        <v>182</v>
      </c>
      <c r="C18" s="285" t="s">
        <v>172</v>
      </c>
      <c r="D18" s="286" t="s">
        <v>173</v>
      </c>
      <c r="E18" s="266">
        <v>27</v>
      </c>
      <c r="F18" s="266">
        <v>32</v>
      </c>
      <c r="G18" s="266">
        <v>35</v>
      </c>
      <c r="H18" s="266">
        <f>ST_PI_BORNE_RD1203!Y94</f>
        <v>59</v>
      </c>
    </row>
    <row r="19" spans="2:14">
      <c r="B19" s="284" t="s">
        <v>183</v>
      </c>
      <c r="C19" s="295"/>
      <c r="D19" s="296"/>
      <c r="E19" s="270"/>
      <c r="F19" s="270"/>
      <c r="G19" s="270">
        <v>22</v>
      </c>
      <c r="H19" s="270">
        <f>'ST PI M BRICOLAGE'!U41</f>
        <v>37</v>
      </c>
    </row>
    <row r="20" spans="2:14" ht="15">
      <c r="B20" s="297" t="s">
        <v>184</v>
      </c>
      <c r="C20" s="295"/>
      <c r="D20" s="296"/>
      <c r="E20" s="268">
        <f>SUBTOTAL(9,E15:E19)</f>
        <v>94</v>
      </c>
      <c r="F20" s="268">
        <f>SUBTOTAL(9,F15:F19)</f>
        <v>102</v>
      </c>
      <c r="G20" s="268">
        <f>SUBTOTAL(9,G15:G19)</f>
        <v>103</v>
      </c>
      <c r="H20" s="268">
        <f>SUBTOTAL(9,H15:H19)</f>
        <v>218</v>
      </c>
      <c r="J20">
        <f>H20/G20</f>
        <v>2.116504854368932</v>
      </c>
    </row>
    <row r="21" spans="2:14" ht="15">
      <c r="B21" s="298" t="s">
        <v>27</v>
      </c>
      <c r="C21" s="299"/>
      <c r="D21" s="300"/>
      <c r="E21" s="271">
        <f>SUBTOTAL(9,E8:E20)</f>
        <v>168</v>
      </c>
      <c r="F21" s="271">
        <f>SUBTOTAL(9,F8:F20)</f>
        <v>275</v>
      </c>
      <c r="G21" s="271">
        <f>SUBTOTAL(9,G8:G20)</f>
        <v>285</v>
      </c>
      <c r="H21" s="271">
        <f>SUBTOTAL(9,H8:H20)</f>
        <v>412</v>
      </c>
    </row>
    <row r="22" spans="2:14">
      <c r="C22" t="s">
        <v>27</v>
      </c>
      <c r="D22" t="s">
        <v>185</v>
      </c>
      <c r="E22" s="301">
        <v>0.24</v>
      </c>
      <c r="F22" s="301">
        <v>0.25</v>
      </c>
      <c r="G22" s="301">
        <v>0.31</v>
      </c>
      <c r="H22" s="301">
        <v>0.31</v>
      </c>
    </row>
    <row r="23" spans="2:14">
      <c r="C23" t="s">
        <v>27</v>
      </c>
      <c r="D23" t="s">
        <v>186</v>
      </c>
      <c r="E23" s="301">
        <v>0.31</v>
      </c>
      <c r="F23" s="301">
        <v>0.28999999999999998</v>
      </c>
      <c r="G23" s="301">
        <v>0.25</v>
      </c>
      <c r="H23" s="301">
        <v>0.28000000000000003</v>
      </c>
    </row>
    <row r="24" spans="2:14" ht="15">
      <c r="C24" s="289" t="s">
        <v>178</v>
      </c>
      <c r="D24" t="s">
        <v>185</v>
      </c>
      <c r="E24" s="301"/>
      <c r="F24" s="301">
        <v>0.28000000000000003</v>
      </c>
      <c r="G24" s="301">
        <v>0.37</v>
      </c>
      <c r="H24" s="301">
        <v>0.38</v>
      </c>
    </row>
    <row r="25" spans="2:14">
      <c r="D25" t="s">
        <v>186</v>
      </c>
      <c r="E25" s="301"/>
      <c r="F25" s="301">
        <v>0.28000000000000003</v>
      </c>
      <c r="G25" s="301">
        <v>0.28999999999999998</v>
      </c>
      <c r="H25" s="301">
        <v>0.24</v>
      </c>
    </row>
    <row r="26" spans="2:14" ht="15">
      <c r="C26" s="297" t="s">
        <v>184</v>
      </c>
      <c r="D26" t="s">
        <v>185</v>
      </c>
      <c r="E26" s="301"/>
      <c r="F26" s="301">
        <v>0.19</v>
      </c>
      <c r="G26" s="301">
        <v>0.23</v>
      </c>
      <c r="H26" s="301">
        <v>0.24</v>
      </c>
    </row>
    <row r="27" spans="2:14">
      <c r="D27" t="s">
        <v>186</v>
      </c>
      <c r="E27" s="301"/>
      <c r="F27" s="301">
        <v>0.31</v>
      </c>
      <c r="G27" s="301">
        <v>0.2</v>
      </c>
      <c r="H27" s="301">
        <v>0.32</v>
      </c>
    </row>
    <row r="31" spans="2:14">
      <c r="D31" t="s">
        <v>27</v>
      </c>
      <c r="H31" t="s">
        <v>188</v>
      </c>
      <c r="L31" t="s">
        <v>189</v>
      </c>
    </row>
    <row r="32" spans="2:14">
      <c r="C32" t="s">
        <v>190</v>
      </c>
      <c r="D32" t="s">
        <v>191</v>
      </c>
      <c r="E32" t="s">
        <v>192</v>
      </c>
      <c r="F32" t="s">
        <v>185</v>
      </c>
      <c r="G32" t="s">
        <v>190</v>
      </c>
      <c r="H32" t="s">
        <v>191</v>
      </c>
      <c r="I32" t="s">
        <v>192</v>
      </c>
      <c r="J32" t="s">
        <v>185</v>
      </c>
      <c r="K32" t="s">
        <v>190</v>
      </c>
      <c r="L32" t="s">
        <v>193</v>
      </c>
      <c r="M32" t="s">
        <v>192</v>
      </c>
      <c r="N32" t="s">
        <v>185</v>
      </c>
    </row>
    <row r="33" spans="2:14">
      <c r="B33">
        <v>2020</v>
      </c>
      <c r="C33">
        <v>7</v>
      </c>
      <c r="D33">
        <v>168</v>
      </c>
      <c r="E33">
        <v>31</v>
      </c>
      <c r="F33">
        <v>24</v>
      </c>
      <c r="G33">
        <v>3</v>
      </c>
      <c r="H33">
        <v>74</v>
      </c>
      <c r="K33">
        <v>4</v>
      </c>
      <c r="L33">
        <v>94</v>
      </c>
    </row>
    <row r="34" spans="2:14">
      <c r="B34">
        <v>2021</v>
      </c>
      <c r="C34">
        <v>8</v>
      </c>
      <c r="D34">
        <v>275</v>
      </c>
      <c r="E34">
        <v>29</v>
      </c>
      <c r="F34">
        <v>25</v>
      </c>
      <c r="G34">
        <v>4</v>
      </c>
      <c r="H34">
        <v>173</v>
      </c>
      <c r="I34">
        <v>28</v>
      </c>
      <c r="J34">
        <v>28</v>
      </c>
      <c r="K34">
        <v>4</v>
      </c>
      <c r="L34">
        <v>102</v>
      </c>
      <c r="M34">
        <v>31</v>
      </c>
      <c r="N34">
        <v>19</v>
      </c>
    </row>
    <row r="35" spans="2:14">
      <c r="B35">
        <v>2022</v>
      </c>
      <c r="C35">
        <v>10</v>
      </c>
      <c r="D35">
        <v>285</v>
      </c>
      <c r="E35">
        <v>25</v>
      </c>
      <c r="F35">
        <v>31</v>
      </c>
      <c r="G35">
        <v>5</v>
      </c>
      <c r="H35">
        <v>182</v>
      </c>
      <c r="I35">
        <v>29</v>
      </c>
      <c r="J35">
        <v>37</v>
      </c>
      <c r="K35">
        <v>5</v>
      </c>
      <c r="L35">
        <v>103</v>
      </c>
      <c r="M35">
        <v>20</v>
      </c>
      <c r="N35">
        <v>23</v>
      </c>
    </row>
    <row r="36" spans="2:14">
      <c r="B36">
        <v>2023</v>
      </c>
      <c r="C36">
        <v>9</v>
      </c>
      <c r="D36">
        <v>412</v>
      </c>
      <c r="E36">
        <v>28</v>
      </c>
      <c r="F36">
        <v>31</v>
      </c>
      <c r="G36">
        <v>4</v>
      </c>
      <c r="H36">
        <v>194</v>
      </c>
      <c r="I36">
        <v>24</v>
      </c>
      <c r="J36">
        <v>38</v>
      </c>
      <c r="K36">
        <v>5</v>
      </c>
      <c r="L36">
        <v>218</v>
      </c>
      <c r="M36">
        <v>32</v>
      </c>
      <c r="N36">
        <v>24</v>
      </c>
    </row>
  </sheetData>
  <mergeCells count="5">
    <mergeCell ref="C6:D6"/>
    <mergeCell ref="E6:E7"/>
    <mergeCell ref="F6:F7"/>
    <mergeCell ref="G6:G7"/>
    <mergeCell ref="H6:H7"/>
  </mergeCells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481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20</vt:i4>
      </vt:variant>
    </vt:vector>
  </HeadingPairs>
  <TitlesOfParts>
    <vt:vector size="33" baseType="lpstr">
      <vt:lpstr>LA_RO_BIOCOOP</vt:lpstr>
      <vt:lpstr>LA_RO_POSTE</vt:lpstr>
      <vt:lpstr>LA_RO_SNCF</vt:lpstr>
      <vt:lpstr>LA RO ANDREV 23</vt:lpstr>
      <vt:lpstr>LA RO ANDREV 24</vt:lpstr>
      <vt:lpstr>ARENT_PAPETERIE</vt:lpstr>
      <vt:lpstr>ST_PI_BORNE_DESSY</vt:lpstr>
      <vt:lpstr>BO_BORNE_TUCINGE</vt:lpstr>
      <vt:lpstr>ST_PI_BORNE_RD1203</vt:lpstr>
      <vt:lpstr>ST PI M BRICOLAGE</vt:lpstr>
      <vt:lpstr>2023</vt:lpstr>
      <vt:lpstr>synthèse</vt:lpstr>
      <vt:lpstr>synthèse_2</vt:lpstr>
      <vt:lpstr>ARENT_PAPETERIE!Print_Area</vt:lpstr>
      <vt:lpstr>BO_BORNE_TUCINGE!Print_Area</vt:lpstr>
      <vt:lpstr>'LA RO ANDREV 23'!Print_Area</vt:lpstr>
      <vt:lpstr>'LA RO ANDREV 24'!Print_Area</vt:lpstr>
      <vt:lpstr>LA_RO_BIOCOOP!Print_Area</vt:lpstr>
      <vt:lpstr>LA_RO_POSTE!Print_Area</vt:lpstr>
      <vt:lpstr>LA_RO_SNCF!Print_Area</vt:lpstr>
      <vt:lpstr>'ST PI M BRICOLAGE'!Print_Area</vt:lpstr>
      <vt:lpstr>ST_PI_BORNE_DESSY!Print_Area</vt:lpstr>
      <vt:lpstr>ST_PI_BORNE_RD1203!Print_Area</vt:lpstr>
      <vt:lpstr>ARENT_PAPETERIE!Zone_d_impression</vt:lpstr>
      <vt:lpstr>BO_BORNE_TUCINGE!Zone_d_impression</vt:lpstr>
      <vt:lpstr>'LA RO ANDREV 23'!Zone_d_impression</vt:lpstr>
      <vt:lpstr>'LA RO ANDREV 24'!Zone_d_impression</vt:lpstr>
      <vt:lpstr>LA_RO_BIOCOOP!Zone_d_impression</vt:lpstr>
      <vt:lpstr>LA_RO_POSTE!Zone_d_impression</vt:lpstr>
      <vt:lpstr>LA_RO_SNCF!Zone_d_impression</vt:lpstr>
      <vt:lpstr>'ST PI M BRICOLAGE'!Zone_d_impression</vt:lpstr>
      <vt:lpstr>ST_PI_BORNE_DESSY!Zone_d_impression</vt:lpstr>
      <vt:lpstr>ST_PI_BORNE_RD1203!Zone_d_impression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Philippe</dc:creator>
  <dc:description/>
  <cp:lastModifiedBy>Sylviane SETIF</cp:lastModifiedBy>
  <cp:revision>67</cp:revision>
  <cp:lastPrinted>2023-06-06T13:32:58Z</cp:lastPrinted>
  <dcterms:created xsi:type="dcterms:W3CDTF">2013-06-07T11:50:48Z</dcterms:created>
  <dcterms:modified xsi:type="dcterms:W3CDTF">2023-06-20T18:51:15Z</dcterms:modified>
  <dc:language>fr-FR</dc:language>
</cp:coreProperties>
</file>