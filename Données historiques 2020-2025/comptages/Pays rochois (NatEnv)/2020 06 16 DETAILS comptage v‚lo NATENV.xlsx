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issillier\transmis\DOC PERSO\CICLABLE INSPIRE\comptages 16 juin rempli\"/>
    </mc:Choice>
  </mc:AlternateContent>
  <xr:revisionPtr revIDLastSave="0" documentId="13_ncr:1_{DE38ACD0-9EF4-4DFB-AE6C-46F6AF12AB6B}" xr6:coauthVersionLast="45" xr6:coauthVersionMax="45" xr10:uidLastSave="{00000000-0000-0000-0000-000000000000}"/>
  <bookViews>
    <workbookView xWindow="-120" yWindow="-120" windowWidth="29040" windowHeight="15840" tabRatio="722" firstSheet="1" activeTab="9" xr2:uid="{00000000-000D-0000-FFFF-FFFF00000000}"/>
  </bookViews>
  <sheets>
    <sheet name="LA RO BIOCOOP" sheetId="14" r:id="rId1"/>
    <sheet name="LA RO POSTE" sheetId="13" r:id="rId2"/>
    <sheet name="LA RO ENILV" sheetId="12" r:id="rId3"/>
    <sheet name="AR PAPETERI" sheetId="15" r:id="rId4"/>
    <sheet name="SCIEN BELCOMBE" sheetId="16" r:id="rId5"/>
    <sheet name="ST PI BORNE DESSY" sheetId="17" r:id="rId6"/>
    <sheet name="BO BORNE TUCINGE" sheetId="18" r:id="rId7"/>
    <sheet name="ST PI BORNE RD1203" sheetId="19" r:id="rId8"/>
    <sheet name="AM CORIANDE" sheetId="20" r:id="rId9"/>
    <sheet name="SYNTHESE" sheetId="23" r:id="rId10"/>
  </sheets>
  <definedNames>
    <definedName name="_xlnm.Print_Area" localSheetId="0">'LA RO BIOCOOP'!$A$1:$AL$21,'LA RO BIOCOOP'!$A$23:$AS$40</definedName>
    <definedName name="_xlnm.Print_Area" localSheetId="2">'LA RO ENILV'!$A$1:$AX$22,'LA RO ENILV'!$A$25:$BH$51</definedName>
    <definedName name="_xlnm.Print_Area" localSheetId="1">'LA RO POSTE'!$A$1:$AP$23,'LA RO POSTE'!$A$25:$BD$40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6" i="13" l="1"/>
  <c r="G13" i="23" l="1"/>
  <c r="G11" i="23"/>
  <c r="G10" i="23"/>
  <c r="G9" i="23"/>
  <c r="G8" i="23"/>
  <c r="G7" i="23"/>
  <c r="G6" i="23"/>
  <c r="G5" i="23"/>
  <c r="K10" i="23"/>
  <c r="AA49" i="20"/>
  <c r="AA50" i="20"/>
  <c r="AA51" i="20"/>
  <c r="AA48" i="20"/>
  <c r="AA37" i="20"/>
  <c r="AA38" i="20"/>
  <c r="AA39" i="20"/>
  <c r="AA36" i="20"/>
  <c r="BJ60" i="19"/>
  <c r="BI60" i="19"/>
  <c r="BH60" i="19"/>
  <c r="BG60" i="19"/>
  <c r="BF60" i="19"/>
  <c r="BE60" i="19"/>
  <c r="BD60" i="19"/>
  <c r="BC60" i="19"/>
  <c r="BB60" i="19"/>
  <c r="BA60" i="19"/>
  <c r="AZ60" i="19"/>
  <c r="AY60" i="19"/>
  <c r="AX60" i="19"/>
  <c r="AW60" i="19"/>
  <c r="AV60" i="19"/>
  <c r="AU60" i="19"/>
  <c r="AT60" i="19"/>
  <c r="AS60" i="19"/>
  <c r="AR60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BJ50" i="19"/>
  <c r="BI50" i="19"/>
  <c r="BH50" i="19"/>
  <c r="BG50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BR50" i="19" s="1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K61" i="19"/>
  <c r="BK62" i="19"/>
  <c r="BK63" i="19"/>
  <c r="BK60" i="19"/>
  <c r="BK51" i="19"/>
  <c r="BK52" i="19"/>
  <c r="BK53" i="19"/>
  <c r="BK50" i="19"/>
  <c r="K45" i="18"/>
  <c r="K46" i="18"/>
  <c r="K47" i="18"/>
  <c r="K44" i="18"/>
  <c r="K35" i="18"/>
  <c r="K36" i="18"/>
  <c r="K37" i="18"/>
  <c r="K34" i="18"/>
  <c r="J34" i="18"/>
  <c r="I34" i="18"/>
  <c r="H34" i="18"/>
  <c r="G34" i="18"/>
  <c r="F34" i="18"/>
  <c r="E34" i="18"/>
  <c r="D34" i="18"/>
  <c r="C34" i="18"/>
  <c r="AH35" i="17"/>
  <c r="AH36" i="17"/>
  <c r="AH37" i="17"/>
  <c r="AH34" i="17"/>
  <c r="AG34" i="17"/>
  <c r="AG36" i="17"/>
  <c r="AG37" i="17"/>
  <c r="AG35" i="17"/>
  <c r="AA45" i="17"/>
  <c r="AA46" i="17"/>
  <c r="AA47" i="17"/>
  <c r="AA44" i="17"/>
  <c r="AA35" i="17"/>
  <c r="AA36" i="17"/>
  <c r="AA37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A45" i="16"/>
  <c r="AA46" i="16"/>
  <c r="AA47" i="16"/>
  <c r="AA44" i="16"/>
  <c r="AA35" i="16"/>
  <c r="AA36" i="16"/>
  <c r="AA37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Y47" i="12"/>
  <c r="AY48" i="12"/>
  <c r="AY49" i="12"/>
  <c r="AY46" i="12"/>
  <c r="AY37" i="12"/>
  <c r="AY38" i="12"/>
  <c r="AY39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AM46" i="14"/>
  <c r="AM47" i="14"/>
  <c r="AM48" i="14"/>
  <c r="AM45" i="14"/>
  <c r="BS47" i="13"/>
  <c r="BS48" i="13"/>
  <c r="BS49" i="13"/>
  <c r="BS37" i="13"/>
  <c r="BS38" i="13"/>
  <c r="BS39" i="13"/>
  <c r="BS46" i="13"/>
  <c r="BS36" i="13"/>
  <c r="BR36" i="13"/>
  <c r="BQ36" i="13"/>
  <c r="BP36" i="13"/>
  <c r="BO36" i="13"/>
  <c r="BN36" i="13"/>
  <c r="BM36" i="13"/>
  <c r="BL36" i="13"/>
  <c r="BK36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BW36" i="13" s="1"/>
  <c r="E36" i="13"/>
  <c r="D36" i="13"/>
  <c r="C36" i="13"/>
  <c r="BY36" i="13" s="1"/>
  <c r="AM37" i="14"/>
  <c r="AM38" i="14"/>
  <c r="AM36" i="14"/>
  <c r="AM35" i="14"/>
  <c r="AS39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R35" i="15"/>
  <c r="AR45" i="15" s="1"/>
  <c r="C35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C38" i="15"/>
  <c r="AM46" i="15"/>
  <c r="AM47" i="15"/>
  <c r="AM48" i="15"/>
  <c r="AM45" i="15"/>
  <c r="AM37" i="15"/>
  <c r="AM36" i="15"/>
  <c r="AM35" i="15"/>
  <c r="AM38" i="15"/>
  <c r="AO39" i="15"/>
  <c r="AS36" i="15"/>
  <c r="AS37" i="15"/>
  <c r="AR39" i="15"/>
  <c r="AR38" i="15"/>
  <c r="AR48" i="15" s="1"/>
  <c r="AR36" i="15"/>
  <c r="AR47" i="15"/>
  <c r="AR46" i="15"/>
  <c r="BY37" i="13"/>
  <c r="BC40" i="12"/>
  <c r="BC39" i="12"/>
  <c r="BC36" i="12"/>
  <c r="BC37" i="12"/>
  <c r="BC38" i="12"/>
  <c r="BX40" i="13"/>
  <c r="BX37" i="13"/>
  <c r="BX38" i="13"/>
  <c r="BX39" i="13"/>
  <c r="BX36" i="13"/>
  <c r="BW37" i="13"/>
  <c r="J5" i="23"/>
  <c r="I13" i="23"/>
  <c r="H13" i="23"/>
  <c r="K8" i="23"/>
  <c r="I8" i="23"/>
  <c r="AS35" i="15" l="1"/>
  <c r="AS38" i="15"/>
  <c r="K7" i="23"/>
  <c r="I7" i="23"/>
  <c r="H7" i="23"/>
  <c r="BB47" i="12"/>
  <c r="BB48" i="12"/>
  <c r="BB49" i="12"/>
  <c r="H5" i="23"/>
  <c r="I5" i="23"/>
  <c r="E13" i="23"/>
  <c r="D13" i="23"/>
  <c r="D10" i="23"/>
  <c r="D8" i="23"/>
  <c r="D7" i="23"/>
  <c r="AO36" i="14"/>
  <c r="A13" i="23"/>
  <c r="A12" i="23"/>
  <c r="A11" i="23"/>
  <c r="A10" i="23"/>
  <c r="A9" i="23"/>
  <c r="A8" i="23"/>
  <c r="A7" i="23"/>
  <c r="A6" i="23"/>
  <c r="A5" i="23"/>
  <c r="BQ56" i="19" l="1"/>
  <c r="Q40" i="18"/>
  <c r="BE42" i="12"/>
  <c r="BX49" i="13"/>
  <c r="BY47" i="13"/>
  <c r="AS41" i="14"/>
  <c r="AO50" i="15"/>
  <c r="AS41" i="15"/>
  <c r="L25" i="15"/>
  <c r="AG40" i="17"/>
  <c r="AH40" i="17"/>
  <c r="AC49" i="17"/>
  <c r="I25" i="17"/>
  <c r="Q34" i="18"/>
  <c r="P34" i="18"/>
  <c r="P44" i="18" s="1"/>
  <c r="P49" i="18" s="1"/>
  <c r="O34" i="18"/>
  <c r="O44" i="18" s="1"/>
  <c r="N34" i="18"/>
  <c r="D38" i="18"/>
  <c r="M34" i="18"/>
  <c r="M49" i="18"/>
  <c r="BM64" i="19"/>
  <c r="BJ63" i="19"/>
  <c r="BI63" i="19"/>
  <c r="BH63" i="19"/>
  <c r="BG63" i="19"/>
  <c r="BF63" i="19"/>
  <c r="BE63" i="19"/>
  <c r="BD63" i="19"/>
  <c r="BC63" i="19"/>
  <c r="BB63" i="19"/>
  <c r="BA63" i="19"/>
  <c r="AZ63" i="19"/>
  <c r="AY63" i="19"/>
  <c r="AX63" i="19"/>
  <c r="AW63" i="19"/>
  <c r="AV63" i="19"/>
  <c r="AU63" i="19"/>
  <c r="AT63" i="19"/>
  <c r="AS63" i="19"/>
  <c r="AR63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G63" i="19"/>
  <c r="F63" i="19"/>
  <c r="E63" i="19"/>
  <c r="D63" i="19"/>
  <c r="BJ62" i="19"/>
  <c r="BI62" i="19"/>
  <c r="BH62" i="19"/>
  <c r="BG62" i="19"/>
  <c r="BF62" i="19"/>
  <c r="BE62" i="19"/>
  <c r="BD62" i="19"/>
  <c r="BC62" i="19"/>
  <c r="BB62" i="19"/>
  <c r="BA62" i="19"/>
  <c r="AZ62" i="19"/>
  <c r="AY62" i="19"/>
  <c r="AX62" i="19"/>
  <c r="AW62" i="19"/>
  <c r="AV62" i="19"/>
  <c r="AU62" i="19"/>
  <c r="AT62" i="19"/>
  <c r="AS62" i="19"/>
  <c r="AR62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BJ61" i="19"/>
  <c r="BI61" i="19"/>
  <c r="BH61" i="19"/>
  <c r="BG61" i="19"/>
  <c r="BF61" i="19"/>
  <c r="BE61" i="19"/>
  <c r="BD61" i="19"/>
  <c r="BC61" i="19"/>
  <c r="BB61" i="19"/>
  <c r="BA61" i="19"/>
  <c r="AZ61" i="19"/>
  <c r="AY61" i="19"/>
  <c r="AX61" i="19"/>
  <c r="AW61" i="19"/>
  <c r="AV61" i="19"/>
  <c r="AU61" i="19"/>
  <c r="AT61" i="19"/>
  <c r="AS61" i="19"/>
  <c r="AR61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3" i="19"/>
  <c r="C62" i="19"/>
  <c r="C61" i="19"/>
  <c r="BJ53" i="19"/>
  <c r="BI53" i="19"/>
  <c r="BH53" i="19"/>
  <c r="BG53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BP53" i="19" s="1"/>
  <c r="D53" i="19"/>
  <c r="BJ52" i="19"/>
  <c r="BI52" i="19"/>
  <c r="BH52" i="19"/>
  <c r="BG52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BP52" i="19" s="1"/>
  <c r="D52" i="19"/>
  <c r="C53" i="19"/>
  <c r="BM53" i="19" s="1"/>
  <c r="G12" i="23" s="1"/>
  <c r="G14" i="23" s="1"/>
  <c r="C52" i="19"/>
  <c r="BN52" i="19" s="1"/>
  <c r="BP50" i="19"/>
  <c r="BP60" i="19" s="1"/>
  <c r="BP62" i="19" l="1"/>
  <c r="BR53" i="19"/>
  <c r="BM52" i="19"/>
  <c r="BQ53" i="19"/>
  <c r="BQ63" i="19" s="1"/>
  <c r="BR52" i="19"/>
  <c r="N44" i="18"/>
  <c r="N49" i="18" s="1"/>
  <c r="Q44" i="18"/>
  <c r="Q49" i="18" s="1"/>
  <c r="BN53" i="19"/>
  <c r="BQ52" i="19"/>
  <c r="BQ62" i="19" s="1"/>
  <c r="BN62" i="19"/>
  <c r="BO50" i="19"/>
  <c r="C64" i="19"/>
  <c r="AI64" i="19"/>
  <c r="BO53" i="19"/>
  <c r="BO63" i="19" s="1"/>
  <c r="BO52" i="19"/>
  <c r="BO62" i="19" s="1"/>
  <c r="D64" i="19"/>
  <c r="H64" i="19"/>
  <c r="L64" i="19"/>
  <c r="P64" i="19"/>
  <c r="T64" i="19"/>
  <c r="X64" i="19"/>
  <c r="AB64" i="19"/>
  <c r="AF64" i="19"/>
  <c r="AJ64" i="19"/>
  <c r="AN64" i="19"/>
  <c r="AA64" i="19"/>
  <c r="BG64" i="19"/>
  <c r="AR64" i="19"/>
  <c r="K64" i="19"/>
  <c r="S64" i="19"/>
  <c r="AQ64" i="19"/>
  <c r="AY64" i="19"/>
  <c r="J64" i="19"/>
  <c r="R64" i="19"/>
  <c r="AD64" i="19"/>
  <c r="AL64" i="19"/>
  <c r="AT64" i="19"/>
  <c r="BB64" i="19"/>
  <c r="BJ64" i="19"/>
  <c r="W64" i="19"/>
  <c r="F64" i="19"/>
  <c r="N64" i="19"/>
  <c r="V64" i="19"/>
  <c r="Z64" i="19"/>
  <c r="AH64" i="19"/>
  <c r="AP64" i="19"/>
  <c r="AX64" i="19"/>
  <c r="BF64" i="19"/>
  <c r="G64" i="19"/>
  <c r="O64" i="19"/>
  <c r="AE64" i="19"/>
  <c r="AM64" i="19"/>
  <c r="BC64" i="19"/>
  <c r="AU64" i="19"/>
  <c r="AV64" i="19"/>
  <c r="AZ64" i="19"/>
  <c r="BD64" i="19"/>
  <c r="BH64" i="19"/>
  <c r="E64" i="19"/>
  <c r="I64" i="19"/>
  <c r="M64" i="19"/>
  <c r="Q64" i="19"/>
  <c r="U64" i="19"/>
  <c r="Y64" i="19"/>
  <c r="AC64" i="19"/>
  <c r="AG64" i="19"/>
  <c r="AK64" i="19"/>
  <c r="AO64" i="19"/>
  <c r="AS64" i="19"/>
  <c r="AW64" i="19"/>
  <c r="BA64" i="19"/>
  <c r="BE64" i="19"/>
  <c r="BI64" i="19"/>
  <c r="BM50" i="19" l="1"/>
  <c r="BN50" i="19"/>
  <c r="BN60" i="19" s="1"/>
  <c r="BQ50" i="19"/>
  <c r="BQ60" i="19" s="1"/>
  <c r="BN63" i="19"/>
  <c r="BP63" i="19"/>
  <c r="BT40" i="19"/>
  <c r="BP40" i="19"/>
  <c r="BJ51" i="19"/>
  <c r="BJ54" i="19" s="1"/>
  <c r="BI51" i="19"/>
  <c r="BI54" i="19" s="1"/>
  <c r="BH51" i="19"/>
  <c r="BH54" i="19" s="1"/>
  <c r="BG51" i="19"/>
  <c r="BG54" i="19" s="1"/>
  <c r="BF51" i="19"/>
  <c r="BF54" i="19" s="1"/>
  <c r="BE51" i="19"/>
  <c r="BE54" i="19" s="1"/>
  <c r="BD51" i="19"/>
  <c r="BD54" i="19" s="1"/>
  <c r="BC51" i="19"/>
  <c r="BC54" i="19" s="1"/>
  <c r="BB51" i="19"/>
  <c r="BB54" i="19" s="1"/>
  <c r="BA51" i="19"/>
  <c r="BA54" i="19" s="1"/>
  <c r="AZ51" i="19"/>
  <c r="AZ54" i="19" s="1"/>
  <c r="AY51" i="19"/>
  <c r="AY54" i="19" s="1"/>
  <c r="AX51" i="19"/>
  <c r="AX54" i="19" s="1"/>
  <c r="AW51" i="19"/>
  <c r="AW54" i="19" s="1"/>
  <c r="AV51" i="19"/>
  <c r="AV54" i="19" s="1"/>
  <c r="AU51" i="19"/>
  <c r="AU54" i="19" s="1"/>
  <c r="AT51" i="19"/>
  <c r="AT54" i="19" s="1"/>
  <c r="AS51" i="19"/>
  <c r="AS54" i="19" s="1"/>
  <c r="AR51" i="19"/>
  <c r="AR54" i="19" s="1"/>
  <c r="AQ51" i="19"/>
  <c r="AQ54" i="19" s="1"/>
  <c r="BO60" i="19" l="1"/>
  <c r="AP51" i="19"/>
  <c r="AP54" i="19" s="1"/>
  <c r="AO51" i="19"/>
  <c r="AO54" i="19" s="1"/>
  <c r="AN51" i="19"/>
  <c r="AN54" i="19" s="1"/>
  <c r="AM51" i="19"/>
  <c r="AM54" i="19" s="1"/>
  <c r="AL51" i="19"/>
  <c r="AL54" i="19" s="1"/>
  <c r="AK51" i="19"/>
  <c r="AK54" i="19" s="1"/>
  <c r="AJ51" i="19"/>
  <c r="AJ54" i="19" s="1"/>
  <c r="AI51" i="19"/>
  <c r="AI54" i="19" s="1"/>
  <c r="AH51" i="19"/>
  <c r="AH54" i="19" s="1"/>
  <c r="AG51" i="19"/>
  <c r="AG54" i="19" s="1"/>
  <c r="AF51" i="19"/>
  <c r="AF54" i="19" s="1"/>
  <c r="AE51" i="19"/>
  <c r="AE54" i="19" s="1"/>
  <c r="AD51" i="19"/>
  <c r="AD54" i="19" s="1"/>
  <c r="AC51" i="19"/>
  <c r="AC54" i="19" s="1"/>
  <c r="AB51" i="19"/>
  <c r="AB54" i="19" s="1"/>
  <c r="AA51" i="19"/>
  <c r="AA54" i="19" s="1"/>
  <c r="Z51" i="19"/>
  <c r="Z54" i="19" s="1"/>
  <c r="Y51" i="19"/>
  <c r="Y54" i="19" s="1"/>
  <c r="X51" i="19"/>
  <c r="X54" i="19" s="1"/>
  <c r="W51" i="19"/>
  <c r="W54" i="19" s="1"/>
  <c r="V51" i="19"/>
  <c r="V54" i="19" s="1"/>
  <c r="U51" i="19"/>
  <c r="U54" i="19" s="1"/>
  <c r="T51" i="19"/>
  <c r="T54" i="19" s="1"/>
  <c r="S51" i="19"/>
  <c r="R51" i="19"/>
  <c r="R54" i="19" s="1"/>
  <c r="Q51" i="19"/>
  <c r="Q54" i="19" s="1"/>
  <c r="P51" i="19"/>
  <c r="P54" i="19" s="1"/>
  <c r="O51" i="19"/>
  <c r="O54" i="19" s="1"/>
  <c r="N51" i="19"/>
  <c r="N54" i="19" s="1"/>
  <c r="M51" i="19"/>
  <c r="M54" i="19" s="1"/>
  <c r="L51" i="19"/>
  <c r="L54" i="19" s="1"/>
  <c r="K51" i="19"/>
  <c r="K54" i="19" s="1"/>
  <c r="J51" i="19"/>
  <c r="J54" i="19" s="1"/>
  <c r="I51" i="19"/>
  <c r="I54" i="19" s="1"/>
  <c r="H51" i="19"/>
  <c r="H54" i="19" s="1"/>
  <c r="G51" i="19"/>
  <c r="G54" i="19" s="1"/>
  <c r="F51" i="19"/>
  <c r="F54" i="19" s="1"/>
  <c r="E51" i="19"/>
  <c r="D51" i="19"/>
  <c r="D54" i="19" s="1"/>
  <c r="C51" i="19"/>
  <c r="BM51" i="19" s="1"/>
  <c r="BR55" i="19" s="1"/>
  <c r="C42" i="19"/>
  <c r="BM42" i="19" s="1"/>
  <c r="C41" i="19"/>
  <c r="T40" i="19"/>
  <c r="L40" i="19"/>
  <c r="X39" i="19"/>
  <c r="B39" i="19"/>
  <c r="BL39" i="19" s="1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AF53" i="20" s="1"/>
  <c r="D41" i="20"/>
  <c r="C41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AF52" i="20" s="1"/>
  <c r="D40" i="20"/>
  <c r="C40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AF51" i="20" s="1"/>
  <c r="D39" i="20"/>
  <c r="C39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AF50" i="20" s="1"/>
  <c r="D38" i="20"/>
  <c r="C38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AF49" i="20" s="1"/>
  <c r="D37" i="20"/>
  <c r="C37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AF48" i="20" s="1"/>
  <c r="D36" i="20"/>
  <c r="C36" i="20"/>
  <c r="W33" i="20"/>
  <c r="S33" i="20"/>
  <c r="O33" i="20"/>
  <c r="K33" i="20"/>
  <c r="G33" i="20"/>
  <c r="C33" i="20"/>
  <c r="C28" i="20"/>
  <c r="AC28" i="20" s="1"/>
  <c r="AC27" i="20"/>
  <c r="C27" i="20"/>
  <c r="G26" i="20"/>
  <c r="AE26" i="20" s="1"/>
  <c r="AH25" i="20"/>
  <c r="N25" i="20"/>
  <c r="B25" i="20"/>
  <c r="AB25" i="20" s="1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W31" i="16"/>
  <c r="S31" i="16"/>
  <c r="O31" i="16"/>
  <c r="K31" i="16"/>
  <c r="G31" i="16"/>
  <c r="C31" i="16"/>
  <c r="S30" i="16"/>
  <c r="K30" i="16"/>
  <c r="C30" i="16"/>
  <c r="C26" i="16"/>
  <c r="C25" i="16"/>
  <c r="G24" i="16"/>
  <c r="N23" i="16"/>
  <c r="B23" i="16"/>
  <c r="J38" i="18"/>
  <c r="I38" i="18"/>
  <c r="H38" i="18"/>
  <c r="G38" i="18"/>
  <c r="F38" i="18"/>
  <c r="E38" i="18"/>
  <c r="C38" i="18"/>
  <c r="J37" i="18"/>
  <c r="I37" i="18"/>
  <c r="H37" i="18"/>
  <c r="G37" i="18"/>
  <c r="F37" i="18"/>
  <c r="E37" i="18"/>
  <c r="D37" i="18"/>
  <c r="C37" i="18"/>
  <c r="J36" i="18"/>
  <c r="I36" i="18"/>
  <c r="H36" i="18"/>
  <c r="G36" i="18"/>
  <c r="F36" i="18"/>
  <c r="E36" i="18"/>
  <c r="D36" i="18"/>
  <c r="C36" i="18"/>
  <c r="J35" i="18"/>
  <c r="I35" i="18"/>
  <c r="H35" i="18"/>
  <c r="G35" i="18"/>
  <c r="F35" i="18"/>
  <c r="E35" i="18"/>
  <c r="D35" i="18"/>
  <c r="C35" i="18"/>
  <c r="G31" i="18"/>
  <c r="C31" i="18"/>
  <c r="C30" i="18"/>
  <c r="C26" i="18"/>
  <c r="C25" i="18"/>
  <c r="B23" i="18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W31" i="17"/>
  <c r="S31" i="17"/>
  <c r="O31" i="17"/>
  <c r="K31" i="17"/>
  <c r="G31" i="17"/>
  <c r="C31" i="17"/>
  <c r="S30" i="17"/>
  <c r="K30" i="17"/>
  <c r="C30" i="17"/>
  <c r="C27" i="17"/>
  <c r="C26" i="17"/>
  <c r="L24" i="17"/>
  <c r="B24" i="17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AI32" i="15"/>
  <c r="AE32" i="15"/>
  <c r="AA32" i="15"/>
  <c r="W32" i="15"/>
  <c r="S32" i="15"/>
  <c r="O32" i="15"/>
  <c r="K32" i="15"/>
  <c r="G32" i="15"/>
  <c r="C32" i="15"/>
  <c r="AA31" i="15"/>
  <c r="O31" i="15"/>
  <c r="C31" i="15"/>
  <c r="T24" i="15"/>
  <c r="B24" i="15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AI32" i="14"/>
  <c r="AE32" i="14"/>
  <c r="AA32" i="14"/>
  <c r="W32" i="14"/>
  <c r="S32" i="14"/>
  <c r="O32" i="14"/>
  <c r="K32" i="14"/>
  <c r="G32" i="14"/>
  <c r="C32" i="14"/>
  <c r="AA31" i="14"/>
  <c r="O31" i="14"/>
  <c r="C31" i="14"/>
  <c r="C26" i="14"/>
  <c r="C25" i="14"/>
  <c r="L24" i="14"/>
  <c r="P23" i="14"/>
  <c r="B23" i="14"/>
  <c r="BQ55" i="19" l="1"/>
  <c r="BK55" i="19"/>
  <c r="F12" i="23" s="1"/>
  <c r="BO55" i="19"/>
  <c r="BP55" i="19"/>
  <c r="BP65" i="19" s="1"/>
  <c r="BN55" i="19"/>
  <c r="S54" i="19"/>
  <c r="BR51" i="19"/>
  <c r="BR54" i="19" s="1"/>
  <c r="BM55" i="19"/>
  <c r="E12" i="23" s="1"/>
  <c r="P35" i="18"/>
  <c r="P45" i="18" s="1"/>
  <c r="O35" i="18"/>
  <c r="P36" i="18"/>
  <c r="P46" i="18" s="1"/>
  <c r="O36" i="18"/>
  <c r="O46" i="18" s="1"/>
  <c r="P37" i="18"/>
  <c r="O37" i="18"/>
  <c r="M35" i="18"/>
  <c r="N35" i="18"/>
  <c r="N45" i="18" s="1"/>
  <c r="Q35" i="18"/>
  <c r="N36" i="18"/>
  <c r="N46" i="18" s="1"/>
  <c r="M36" i="18"/>
  <c r="Q36" i="18"/>
  <c r="Q46" i="18" s="1"/>
  <c r="N37" i="18"/>
  <c r="M37" i="18"/>
  <c r="Q37" i="18"/>
  <c r="M38" i="18"/>
  <c r="D11" i="23" s="1"/>
  <c r="AR39" i="14"/>
  <c r="AQ39" i="14"/>
  <c r="AS35" i="14"/>
  <c r="AS36" i="14"/>
  <c r="AS37" i="14"/>
  <c r="AS38" i="14"/>
  <c r="AP39" i="14"/>
  <c r="AP49" i="14" s="1"/>
  <c r="AS39" i="14"/>
  <c r="AO39" i="14"/>
  <c r="D5" i="23" s="1"/>
  <c r="AP36" i="14"/>
  <c r="AS46" i="14"/>
  <c r="AR38" i="14"/>
  <c r="AQ38" i="14"/>
  <c r="AR37" i="14"/>
  <c r="AQ37" i="14"/>
  <c r="AQ35" i="14"/>
  <c r="AQ45" i="14" s="1"/>
  <c r="AR35" i="14"/>
  <c r="AO37" i="14"/>
  <c r="AS47" i="14" s="1"/>
  <c r="AP37" i="14"/>
  <c r="AP35" i="14"/>
  <c r="AO35" i="14"/>
  <c r="AQ36" i="14"/>
  <c r="AQ46" i="14" s="1"/>
  <c r="AR36" i="14"/>
  <c r="AP38" i="14"/>
  <c r="AO38" i="14"/>
  <c r="AC34" i="16"/>
  <c r="AC35" i="16"/>
  <c r="AR37" i="15"/>
  <c r="AQ37" i="15"/>
  <c r="AQ36" i="15"/>
  <c r="AQ38" i="15"/>
  <c r="AQ48" i="15" s="1"/>
  <c r="AQ39" i="15"/>
  <c r="AP38" i="15"/>
  <c r="AO38" i="15"/>
  <c r="AS48" i="15" s="1"/>
  <c r="AP39" i="15"/>
  <c r="AO35" i="15"/>
  <c r="AP35" i="15"/>
  <c r="AP45" i="15" s="1"/>
  <c r="AO36" i="15"/>
  <c r="AP36" i="15"/>
  <c r="AP46" i="15" s="1"/>
  <c r="AQ35" i="15"/>
  <c r="AQ45" i="15" s="1"/>
  <c r="AO37" i="15"/>
  <c r="AP37" i="15"/>
  <c r="AP47" i="15" s="1"/>
  <c r="AR49" i="15"/>
  <c r="AC38" i="16"/>
  <c r="D9" i="23" s="1"/>
  <c r="AF34" i="16"/>
  <c r="AE34" i="16"/>
  <c r="AF35" i="16"/>
  <c r="AF45" i="16" s="1"/>
  <c r="AE35" i="16"/>
  <c r="AE45" i="16" s="1"/>
  <c r="AF36" i="16"/>
  <c r="AF46" i="16" s="1"/>
  <c r="AE36" i="16"/>
  <c r="AE46" i="16" s="1"/>
  <c r="AF37" i="16"/>
  <c r="AE37" i="16"/>
  <c r="AD34" i="16"/>
  <c r="AD35" i="16"/>
  <c r="AD45" i="16" s="1"/>
  <c r="AC36" i="16"/>
  <c r="AD36" i="16"/>
  <c r="AD46" i="16" s="1"/>
  <c r="AD37" i="16"/>
  <c r="AC37" i="16"/>
  <c r="AF34" i="17"/>
  <c r="AE34" i="17"/>
  <c r="AF35" i="17"/>
  <c r="AF45" i="17" s="1"/>
  <c r="AE35" i="17"/>
  <c r="AE36" i="17"/>
  <c r="AF36" i="17"/>
  <c r="AF37" i="17"/>
  <c r="AE37" i="17"/>
  <c r="AH45" i="17"/>
  <c r="AG45" i="17"/>
  <c r="AD34" i="17"/>
  <c r="AC34" i="17"/>
  <c r="AC38" i="17"/>
  <c r="AD35" i="17"/>
  <c r="AD45" i="17" s="1"/>
  <c r="AC35" i="17"/>
  <c r="AE47" i="17"/>
  <c r="AC37" i="17"/>
  <c r="AD37" i="17"/>
  <c r="AD36" i="17"/>
  <c r="AC36" i="17"/>
  <c r="BN51" i="19"/>
  <c r="BN54" i="19" s="1"/>
  <c r="I12" i="23" s="1"/>
  <c r="BQ51" i="19"/>
  <c r="E54" i="19"/>
  <c r="BP51" i="19"/>
  <c r="BO51" i="19"/>
  <c r="C54" i="19"/>
  <c r="BM41" i="19"/>
  <c r="K5" i="23"/>
  <c r="AE48" i="20"/>
  <c r="AF36" i="20" s="1"/>
  <c r="AE51" i="20"/>
  <c r="AF39" i="20" s="1"/>
  <c r="AE52" i="20"/>
  <c r="AF40" i="20" s="1"/>
  <c r="AD50" i="20"/>
  <c r="AD53" i="20"/>
  <c r="AD48" i="20"/>
  <c r="AD52" i="20"/>
  <c r="AC39" i="20"/>
  <c r="AE39" i="20" s="1"/>
  <c r="AD51" i="20"/>
  <c r="AE49" i="20"/>
  <c r="AF37" i="20" s="1"/>
  <c r="AE53" i="20"/>
  <c r="AF41" i="20" s="1"/>
  <c r="AD49" i="20"/>
  <c r="AC36" i="20"/>
  <c r="AC37" i="20"/>
  <c r="AC38" i="20"/>
  <c r="AC40" i="20"/>
  <c r="AC41" i="20"/>
  <c r="AE50" i="20"/>
  <c r="AF38" i="20" s="1"/>
  <c r="BR40" i="13"/>
  <c r="BQ40" i="13"/>
  <c r="BP40" i="13"/>
  <c r="BO40" i="13"/>
  <c r="BN40" i="13"/>
  <c r="BM40" i="13"/>
  <c r="BL40" i="13"/>
  <c r="BK40" i="13"/>
  <c r="BJ40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BW40" i="13" s="1"/>
  <c r="K6" i="23" s="1"/>
  <c r="AS40" i="13"/>
  <c r="AR40" i="13"/>
  <c r="AQ40" i="13"/>
  <c r="BR39" i="13"/>
  <c r="BQ39" i="13"/>
  <c r="BP39" i="13"/>
  <c r="BO39" i="13"/>
  <c r="BN39" i="13"/>
  <c r="BM39" i="13"/>
  <c r="BL39" i="13"/>
  <c r="BK39" i="13"/>
  <c r="BJ39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BW39" i="13" s="1"/>
  <c r="AS39" i="13"/>
  <c r="AR39" i="13"/>
  <c r="AQ39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BW38" i="13" s="1"/>
  <c r="AS38" i="13"/>
  <c r="AR38" i="13"/>
  <c r="AQ38" i="13"/>
  <c r="BR37" i="13"/>
  <c r="BQ37" i="13"/>
  <c r="BP37" i="13"/>
  <c r="BO37" i="13"/>
  <c r="BN37" i="13"/>
  <c r="BM37" i="13"/>
  <c r="BL37" i="13"/>
  <c r="BK37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BO33" i="13"/>
  <c r="BK33" i="13"/>
  <c r="BG33" i="13"/>
  <c r="BC33" i="13"/>
  <c r="AY33" i="13"/>
  <c r="AU33" i="13"/>
  <c r="AQ33" i="13"/>
  <c r="BC32" i="13"/>
  <c r="AQ32" i="13"/>
  <c r="AQ28" i="13"/>
  <c r="AQ27" i="13"/>
  <c r="AZ26" i="13"/>
  <c r="BD25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BY40" i="13" s="1"/>
  <c r="J40" i="13"/>
  <c r="I40" i="13"/>
  <c r="H40" i="13"/>
  <c r="G40" i="13"/>
  <c r="F40" i="13"/>
  <c r="E40" i="13"/>
  <c r="D40" i="13"/>
  <c r="C40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BY39" i="13" s="1"/>
  <c r="J39" i="13"/>
  <c r="I39" i="13"/>
  <c r="H39" i="13"/>
  <c r="G39" i="13"/>
  <c r="F39" i="13"/>
  <c r="E39" i="13"/>
  <c r="D39" i="13"/>
  <c r="C39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BY38" i="13" s="1"/>
  <c r="J38" i="13"/>
  <c r="I38" i="13"/>
  <c r="H38" i="13"/>
  <c r="G38" i="13"/>
  <c r="F38" i="13"/>
  <c r="E38" i="13"/>
  <c r="D38" i="13"/>
  <c r="C38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AM33" i="13"/>
  <c r="AI33" i="13"/>
  <c r="AE33" i="13"/>
  <c r="AA33" i="13"/>
  <c r="W33" i="13"/>
  <c r="S33" i="13"/>
  <c r="O33" i="13"/>
  <c r="K33" i="13"/>
  <c r="G33" i="13"/>
  <c r="C33" i="13"/>
  <c r="AE32" i="13"/>
  <c r="S32" i="13"/>
  <c r="C32" i="13"/>
  <c r="C28" i="13"/>
  <c r="C27" i="13"/>
  <c r="P26" i="13"/>
  <c r="T25" i="13"/>
  <c r="B25" i="13"/>
  <c r="BN65" i="19" l="1"/>
  <c r="BO65" i="19"/>
  <c r="BQ65" i="19"/>
  <c r="Q47" i="18"/>
  <c r="Q38" i="18"/>
  <c r="Q48" i="18" s="1"/>
  <c r="M39" i="18"/>
  <c r="E11" i="23" s="1"/>
  <c r="K39" i="18"/>
  <c r="P39" i="18"/>
  <c r="Q39" i="18"/>
  <c r="O39" i="18"/>
  <c r="N39" i="18"/>
  <c r="O47" i="18"/>
  <c r="O49" i="18" s="1"/>
  <c r="O38" i="18"/>
  <c r="O45" i="18"/>
  <c r="N47" i="18"/>
  <c r="N38" i="18"/>
  <c r="Q45" i="18"/>
  <c r="P47" i="18"/>
  <c r="P38" i="18"/>
  <c r="P48" i="18" s="1"/>
  <c r="AF39" i="17"/>
  <c r="AA39" i="17"/>
  <c r="AC39" i="17"/>
  <c r="E10" i="23" s="1"/>
  <c r="AE39" i="17"/>
  <c r="AH39" i="17"/>
  <c r="AD39" i="17"/>
  <c r="AG39" i="17"/>
  <c r="AG49" i="17" s="1"/>
  <c r="BV39" i="13"/>
  <c r="BU39" i="13"/>
  <c r="BW49" i="13" s="1"/>
  <c r="BV38" i="13"/>
  <c r="BU38" i="13"/>
  <c r="BW48" i="13" s="1"/>
  <c r="BV37" i="13"/>
  <c r="BU37" i="13"/>
  <c r="BW47" i="13" s="1"/>
  <c r="BV36" i="13"/>
  <c r="BU36" i="13"/>
  <c r="BY46" i="13" s="1"/>
  <c r="BV40" i="13"/>
  <c r="BU40" i="13"/>
  <c r="BY50" i="13" s="1"/>
  <c r="AA39" i="16"/>
  <c r="AC39" i="16"/>
  <c r="E9" i="23" s="1"/>
  <c r="AD39" i="16"/>
  <c r="AF39" i="16"/>
  <c r="AE39" i="16"/>
  <c r="AQ49" i="14"/>
  <c r="AR48" i="14"/>
  <c r="AR49" i="14"/>
  <c r="AQ47" i="14"/>
  <c r="AP48" i="14"/>
  <c r="AP45" i="14"/>
  <c r="AP47" i="14"/>
  <c r="AR47" i="14"/>
  <c r="AS48" i="14"/>
  <c r="AS49" i="14"/>
  <c r="AS45" i="14"/>
  <c r="AS40" i="14"/>
  <c r="AR40" i="14"/>
  <c r="AQ40" i="14"/>
  <c r="AM40" i="14"/>
  <c r="AO40" i="14"/>
  <c r="AP40" i="14"/>
  <c r="AR45" i="14"/>
  <c r="AQ48" i="14"/>
  <c r="AR46" i="14"/>
  <c r="AP46" i="14"/>
  <c r="AQ40" i="15"/>
  <c r="AS40" i="15"/>
  <c r="AR40" i="15"/>
  <c r="AQ47" i="15"/>
  <c r="AS47" i="15"/>
  <c r="AM40" i="15"/>
  <c r="AQ49" i="15"/>
  <c r="J8" i="23" s="1"/>
  <c r="AP40" i="15"/>
  <c r="AO40" i="15"/>
  <c r="E8" i="23" s="1"/>
  <c r="AS45" i="15"/>
  <c r="AS49" i="15"/>
  <c r="AP49" i="15"/>
  <c r="H8" i="23" s="1"/>
  <c r="AS46" i="15"/>
  <c r="AP48" i="15"/>
  <c r="AQ46" i="15"/>
  <c r="AF47" i="16"/>
  <c r="AE38" i="16"/>
  <c r="AE44" i="16"/>
  <c r="AD47" i="16"/>
  <c r="AF44" i="16"/>
  <c r="AF38" i="16"/>
  <c r="AE47" i="16"/>
  <c r="AD38" i="16"/>
  <c r="AD44" i="16"/>
  <c r="AH47" i="17"/>
  <c r="AD47" i="17"/>
  <c r="AG38" i="17"/>
  <c r="AE49" i="17"/>
  <c r="AG47" i="17"/>
  <c r="AH46" i="17"/>
  <c r="AH38" i="17"/>
  <c r="AH48" i="17" s="1"/>
  <c r="AH44" i="17"/>
  <c r="AF38" i="17"/>
  <c r="AF46" i="17"/>
  <c r="AD38" i="17"/>
  <c r="AD44" i="17"/>
  <c r="AD46" i="17"/>
  <c r="AE46" i="17"/>
  <c r="AE44" i="17"/>
  <c r="AE38" i="17"/>
  <c r="AE48" i="17" s="1"/>
  <c r="J10" i="23" s="1"/>
  <c r="AF47" i="17"/>
  <c r="AG44" i="17"/>
  <c r="AE45" i="17"/>
  <c r="AG46" i="17"/>
  <c r="AF44" i="17"/>
  <c r="BO61" i="19"/>
  <c r="BM54" i="19"/>
  <c r="D12" i="23" s="1"/>
  <c r="BQ54" i="19"/>
  <c r="BQ61" i="19"/>
  <c r="BP54" i="19"/>
  <c r="BP64" i="19" s="1"/>
  <c r="BP61" i="19"/>
  <c r="BN61" i="19"/>
  <c r="BO54" i="19"/>
  <c r="K12" i="23" s="1"/>
  <c r="AD39" i="20"/>
  <c r="AE37" i="20"/>
  <c r="AD37" i="20"/>
  <c r="X42" i="20"/>
  <c r="T42" i="20"/>
  <c r="P42" i="20"/>
  <c r="L42" i="20"/>
  <c r="H42" i="20"/>
  <c r="D42" i="20"/>
  <c r="AE36" i="20"/>
  <c r="Y42" i="20"/>
  <c r="Q42" i="20"/>
  <c r="E42" i="20"/>
  <c r="W42" i="20"/>
  <c r="S42" i="20"/>
  <c r="O42" i="20"/>
  <c r="K42" i="20"/>
  <c r="G42" i="20"/>
  <c r="C42" i="20"/>
  <c r="AD36" i="20"/>
  <c r="Z42" i="20"/>
  <c r="V42" i="20"/>
  <c r="R42" i="20"/>
  <c r="N42" i="20"/>
  <c r="J42" i="20"/>
  <c r="F42" i="20"/>
  <c r="A42" i="20"/>
  <c r="AA42" i="20" s="1"/>
  <c r="AA54" i="20" s="1"/>
  <c r="U42" i="20"/>
  <c r="M42" i="20"/>
  <c r="I42" i="20"/>
  <c r="AE40" i="20"/>
  <c r="AD40" i="20"/>
  <c r="AE41" i="20"/>
  <c r="AD41" i="20"/>
  <c r="AE38" i="20"/>
  <c r="AD38" i="20"/>
  <c r="BQ64" i="19" l="1"/>
  <c r="BO64" i="19"/>
  <c r="J12" i="23" s="1"/>
  <c r="K49" i="18"/>
  <c r="F11" i="23"/>
  <c r="K11" i="23"/>
  <c r="O48" i="18"/>
  <c r="J11" i="23" s="1"/>
  <c r="I11" i="23"/>
  <c r="N48" i="18"/>
  <c r="H11" i="23" s="1"/>
  <c r="AG48" i="17"/>
  <c r="AF49" i="17"/>
  <c r="AH49" i="17"/>
  <c r="F10" i="23"/>
  <c r="AA49" i="17"/>
  <c r="AD48" i="17"/>
  <c r="H10" i="23" s="1"/>
  <c r="I10" i="23"/>
  <c r="AF48" i="16"/>
  <c r="K9" i="23"/>
  <c r="K14" i="23" s="1"/>
  <c r="AE48" i="16"/>
  <c r="J9" i="23"/>
  <c r="AF49" i="16"/>
  <c r="AD48" i="16"/>
  <c r="H9" i="23" s="1"/>
  <c r="I9" i="23"/>
  <c r="AE49" i="16"/>
  <c r="AD49" i="16"/>
  <c r="AR50" i="14"/>
  <c r="E5" i="23"/>
  <c r="AM50" i="14"/>
  <c r="F5" i="23"/>
  <c r="AM50" i="15"/>
  <c r="F8" i="23"/>
  <c r="BY49" i="13"/>
  <c r="BY48" i="13"/>
  <c r="BV49" i="13"/>
  <c r="BX47" i="13"/>
  <c r="BV47" i="13"/>
  <c r="BV48" i="13"/>
  <c r="BX48" i="13"/>
  <c r="I6" i="23"/>
  <c r="BV50" i="13"/>
  <c r="H6" i="23" s="1"/>
  <c r="BX50" i="13"/>
  <c r="BS41" i="13"/>
  <c r="BY41" i="13"/>
  <c r="BU41" i="13"/>
  <c r="E6" i="23" s="1"/>
  <c r="BV41" i="13"/>
  <c r="BV51" i="13" s="1"/>
  <c r="BX41" i="13"/>
  <c r="BW41" i="13"/>
  <c r="BW46" i="13"/>
  <c r="BX46" i="13"/>
  <c r="BV46" i="13"/>
  <c r="D6" i="23"/>
  <c r="D14" i="23" s="1"/>
  <c r="BW50" i="13"/>
  <c r="J6" i="23" s="1"/>
  <c r="AS50" i="15"/>
  <c r="AA49" i="16"/>
  <c r="F9" i="23"/>
  <c r="AQ50" i="14"/>
  <c r="AP50" i="14"/>
  <c r="AS50" i="14"/>
  <c r="AP50" i="15"/>
  <c r="AQ50" i="15"/>
  <c r="AR50" i="15"/>
  <c r="AF48" i="17"/>
  <c r="AD49" i="17"/>
  <c r="BK65" i="19"/>
  <c r="BM65" i="19"/>
  <c r="BN64" i="19"/>
  <c r="H12" i="23" s="1"/>
  <c r="AC42" i="20"/>
  <c r="AD54" i="20"/>
  <c r="AF54" i="20"/>
  <c r="AE54" i="20"/>
  <c r="AF42" i="20" s="1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AI33" i="12"/>
  <c r="AE33" i="12"/>
  <c r="AA33" i="12"/>
  <c r="AA32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AU33" i="12"/>
  <c r="AQ33" i="12"/>
  <c r="AM33" i="12"/>
  <c r="W33" i="12"/>
  <c r="S33" i="12"/>
  <c r="O33" i="12"/>
  <c r="K33" i="12"/>
  <c r="G33" i="12"/>
  <c r="C33" i="12"/>
  <c r="AM32" i="12"/>
  <c r="O32" i="12"/>
  <c r="C32" i="12"/>
  <c r="L26" i="12"/>
  <c r="P25" i="12"/>
  <c r="B25" i="12"/>
  <c r="J14" i="23" l="1"/>
  <c r="I14" i="23"/>
  <c r="H14" i="23" s="1"/>
  <c r="BW51" i="13"/>
  <c r="BX51" i="13"/>
  <c r="BY51" i="13"/>
  <c r="BS51" i="13"/>
  <c r="F6" i="23"/>
  <c r="BE39" i="12"/>
  <c r="BB36" i="12"/>
  <c r="BA36" i="12"/>
  <c r="BC46" i="12" s="1"/>
  <c r="BE36" i="12"/>
  <c r="BD38" i="12"/>
  <c r="BD48" i="12" s="1"/>
  <c r="BB40" i="12"/>
  <c r="BA40" i="12"/>
  <c r="BE40" i="12"/>
  <c r="BB39" i="12"/>
  <c r="BA39" i="12"/>
  <c r="BE49" i="12" s="1"/>
  <c r="BA37" i="12"/>
  <c r="AY41" i="12" s="1"/>
  <c r="BB37" i="12"/>
  <c r="BE37" i="12"/>
  <c r="BD39" i="12"/>
  <c r="BD49" i="12" s="1"/>
  <c r="BC49" i="12"/>
  <c r="BD37" i="12"/>
  <c r="BD47" i="12" s="1"/>
  <c r="BD36" i="12"/>
  <c r="BD46" i="12" s="1"/>
  <c r="BB38" i="12"/>
  <c r="BA38" i="12"/>
  <c r="BE38" i="12"/>
  <c r="BD40" i="12"/>
  <c r="BD50" i="12" s="1"/>
  <c r="AE42" i="20"/>
  <c r="AD42" i="20"/>
  <c r="AY51" i="12" l="1"/>
  <c r="F7" i="23"/>
  <c r="BE46" i="12"/>
  <c r="BE48" i="12"/>
  <c r="BB50" i="12"/>
  <c r="BD41" i="12"/>
  <c r="BC41" i="12"/>
  <c r="BE41" i="12"/>
  <c r="BB41" i="12"/>
  <c r="BA41" i="12"/>
  <c r="E7" i="23" s="1"/>
  <c r="E14" i="23" s="1"/>
  <c r="BC47" i="12"/>
  <c r="BE47" i="12"/>
  <c r="BB46" i="12"/>
  <c r="BC50" i="12"/>
  <c r="J7" i="23" s="1"/>
  <c r="BE50" i="12"/>
  <c r="BC48" i="12"/>
  <c r="BC51" i="12" l="1"/>
  <c r="BD51" i="12"/>
  <c r="BB51" i="12"/>
  <c r="BE5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Yannick ROGUET</author>
  </authors>
  <commentList>
    <comment ref="F14" authorId="0" shapeId="0" xr:uid="{26A32A08-0A11-47D7-BB97-B050786FC25A}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manuelement en fonction de la majorité de la colonne</t>
        </r>
      </text>
    </comment>
  </commentList>
</comments>
</file>

<file path=xl/sharedStrings.xml><?xml version="1.0" encoding="utf-8"?>
<sst xmlns="http://schemas.openxmlformats.org/spreadsheetml/2006/main" count="1885" uniqueCount="192">
  <si>
    <t>Lieu :</t>
  </si>
  <si>
    <t>Date :</t>
  </si>
  <si>
    <t>Nom des personnes participant au comptage :</t>
  </si>
  <si>
    <t>Météo :</t>
  </si>
  <si>
    <t>Il y a donc une seule croix par personne comptée</t>
  </si>
  <si>
    <t>H</t>
  </si>
  <si>
    <t>F</t>
  </si>
  <si>
    <t>Heure</t>
  </si>
  <si>
    <t>Minute</t>
  </si>
  <si>
    <t>VAE</t>
  </si>
  <si>
    <t>vélo</t>
  </si>
  <si>
    <t>de 8:00 à 9:00</t>
  </si>
  <si>
    <t>de 7:00 à 8:00</t>
  </si>
  <si>
    <t>TOTAL</t>
  </si>
  <si>
    <t>Période</t>
  </si>
  <si>
    <t>Part des VAE dans le total</t>
  </si>
  <si>
    <t>Part des femmes dans le total</t>
  </si>
  <si>
    <t>Part des VAE chez les femmes</t>
  </si>
  <si>
    <t>Remarques :</t>
  </si>
  <si>
    <t>de 8:30 à 9:30</t>
  </si>
  <si>
    <t>30 – 45</t>
  </si>
  <si>
    <t>00 – 15</t>
  </si>
  <si>
    <t>15 – 30</t>
  </si>
  <si>
    <t>45 – 59</t>
  </si>
  <si>
    <t xml:space="preserve"> 45 - 59</t>
  </si>
  <si>
    <t>16 juin 2020</t>
  </si>
  <si>
    <t>Rue Perrine</t>
  </si>
  <si>
    <t>La Gare</t>
  </si>
  <si>
    <t>Du Pont du Foron vers</t>
  </si>
  <si>
    <t>Pont du Foron</t>
  </si>
  <si>
    <t>Du Rd Point La Poste vers</t>
  </si>
  <si>
    <t>Rd Pt Poste</t>
  </si>
  <si>
    <t>Place Grenette</t>
  </si>
  <si>
    <t>Parking</t>
  </si>
  <si>
    <t>Bonneville</t>
  </si>
  <si>
    <t>Office Tourisme</t>
  </si>
  <si>
    <t>De MJC vers</t>
  </si>
  <si>
    <t>Office tourisme</t>
  </si>
  <si>
    <t>Av Gambetta Eteaux</t>
  </si>
  <si>
    <t>Boutique Enilv</t>
  </si>
  <si>
    <t>Reignier</t>
  </si>
  <si>
    <t>La Roche</t>
  </si>
  <si>
    <t>De boutique Enilv vers</t>
  </si>
  <si>
    <t>De Reignier vers</t>
  </si>
  <si>
    <t>Bout Enilv</t>
  </si>
  <si>
    <t>Principe d'utilisation : pour chaque intervalle de temps, marquer une croix par personne comptée dans la colonne la décrivant; si enfant marquer E</t>
  </si>
  <si>
    <t>7:00 à 8:00</t>
  </si>
  <si>
    <t>7:30 à 8:30</t>
  </si>
  <si>
    <t>8:00 à 9:00</t>
  </si>
  <si>
    <t>De La Gare (Fg St Bernard) vers</t>
  </si>
  <si>
    <t xml:space="preserve">Principe d'utilisation pour chaque intervalle de temps, </t>
  </si>
  <si>
    <t>Marquer une croix vélo ou VAE dans la colonne H ou F. Sauf si 'enfant' marquer E ou 'modes nouveaux de déplacement' (trotinette, skate, ets) marquer Z</t>
  </si>
  <si>
    <t>Il y a donc un seul marquage par personne comptée</t>
  </si>
  <si>
    <t>Philippe Poirier</t>
  </si>
  <si>
    <t>D'Eteaux av Gambetta vers</t>
  </si>
  <si>
    <t>Marquer une croix vélo ou VAE dans la colonne H ou F</t>
  </si>
  <si>
    <t>Sauf si 'enfant' marquer E ou 'modes nouveaux de déplacement' (trotinette, skate, ets) marquer Z</t>
  </si>
  <si>
    <t>Du centre (La Roche) vers</t>
  </si>
  <si>
    <t>Sylviane</t>
  </si>
  <si>
    <t>Lise</t>
  </si>
  <si>
    <t>Pompiers</t>
  </si>
  <si>
    <t>Grenette</t>
  </si>
  <si>
    <t>De Tourisme vers</t>
  </si>
  <si>
    <t>De Bonneville vers</t>
  </si>
  <si>
    <t>DeGrenette (contre-sens)</t>
  </si>
  <si>
    <t>DePompiers(contre-sens)</t>
  </si>
  <si>
    <t>34 piétons plus 32 étudiants piéton en direction lycée et seulement 2 écoliers- les 2 enfants comptés étaient sur le trottoir avec 1 parent- 1 femme sur trottoir</t>
  </si>
  <si>
    <t>beau mais frais, annoncé pluies dans l'après-midi</t>
  </si>
  <si>
    <t>Béa</t>
  </si>
  <si>
    <t>Beau mais temps incertain annoncé</t>
  </si>
  <si>
    <t xml:space="preserve">Marquer une croix vélo ou VAE dans la colonne H ou F. </t>
  </si>
  <si>
    <t>De Arenthon vers</t>
  </si>
  <si>
    <t>De Rte de La Papeterie vers</t>
  </si>
  <si>
    <t>TNA</t>
  </si>
  <si>
    <t>Rte Papeterie</t>
  </si>
  <si>
    <t>Arenthon</t>
  </si>
  <si>
    <t>frais 13°C</t>
  </si>
  <si>
    <t>Faire colonnes VELO puis VAE</t>
  </si>
  <si>
    <t>Marquer une croix vélo ou VAE dans la colonne H ou F.</t>
  </si>
  <si>
    <t>De Rte Gorges du Borne vers</t>
  </si>
  <si>
    <t>De Avenue des Digues vers</t>
  </si>
  <si>
    <t>De Dessy vers</t>
  </si>
  <si>
    <t>Av des Digues</t>
  </si>
  <si>
    <t>Dessy</t>
  </si>
  <si>
    <t>Rte Gorges du Borne</t>
  </si>
  <si>
    <t>Annick</t>
  </si>
  <si>
    <t>Pont du Borne</t>
  </si>
  <si>
    <t>Depuis Bonneville</t>
  </si>
  <si>
    <t>Depuis St Pierre</t>
  </si>
  <si>
    <t>Lieu :</t>
  </si>
  <si>
    <t>Date :</t>
  </si>
  <si>
    <t>mardi 16 juin 2020</t>
  </si>
  <si>
    <t>Philippe LEMOINE</t>
  </si>
  <si>
    <t>Beau temps, mais frais</t>
  </si>
  <si>
    <t>Petite brume matinale (liée à l'Arve) et carrefour très bruyant (beaucoup de camions !)</t>
  </si>
  <si>
    <t xml:space="preserve">Méthodologie : </t>
  </si>
  <si>
    <t>Pour chaque intervalle de temps, marquer une seule croix par personne comptée</t>
  </si>
  <si>
    <t>Si c'est enfant, remplacer la croix par E, une trottinette T, un piéton P, etc.</t>
  </si>
  <si>
    <t>Depuis 'La Roche'</t>
  </si>
  <si>
    <t>Depuis 'Reignier'</t>
  </si>
  <si>
    <t>Depuis 'Findrol'</t>
  </si>
  <si>
    <t>vers 'Reignier'</t>
  </si>
  <si>
    <t>vers 'Findrol'</t>
  </si>
  <si>
    <t>vers 'La Roche'</t>
  </si>
  <si>
    <t>30 – 44'59</t>
  </si>
  <si>
    <t>45 – 59'59</t>
  </si>
  <si>
    <t>00 – 14'59</t>
  </si>
  <si>
    <t>15 – 29'59</t>
  </si>
  <si>
    <t>Nombre de VAE dans le total</t>
  </si>
  <si>
    <t>Nombre de femmes dans le total</t>
  </si>
  <si>
    <t>Nombre de VAE chez les femmes</t>
  </si>
  <si>
    <t>Yannick ROGUET</t>
  </si>
  <si>
    <t>Pour la destintation des cyclistes, se référer au SCAN de la grille utilisée sur le terrain</t>
  </si>
  <si>
    <t>Indiquer aussi la lettre correspondant à la sortie : A-ANNECY / B-BIGAILLE / C-COLLEGE / I-INTERMARCHE / V-VETO / Z-ZA</t>
  </si>
  <si>
    <t>D'Intermarché</t>
  </si>
  <si>
    <t>de ZA</t>
  </si>
  <si>
    <t>de Bigaille</t>
  </si>
  <si>
    <t>d'Annecy</t>
  </si>
  <si>
    <t>de Véto</t>
  </si>
  <si>
    <t>de Collège</t>
  </si>
  <si>
    <t>ZP</t>
  </si>
  <si>
    <t>CP</t>
  </si>
  <si>
    <t>2CP</t>
  </si>
  <si>
    <t>Trop peu de cyclistes pour en tirer des conslusions, mais le giratoire est trop "routier" pour attirer les cyclistes qui doivent préférer l'éviter</t>
  </si>
  <si>
    <t>P piéton</t>
  </si>
  <si>
    <t>NE PLUS FAIRE CE CARREFOUR LES ANNEES PROCHAINES</t>
  </si>
  <si>
    <t>SYNTHESE DES COMPTAGES DU 16 JUIN 2020</t>
  </si>
  <si>
    <t>Période comptée</t>
  </si>
  <si>
    <t>Heure de pointe</t>
  </si>
  <si>
    <t>VAE / total</t>
  </si>
  <si>
    <t>Femmes / total</t>
  </si>
  <si>
    <t>Début</t>
  </si>
  <si>
    <t>Fin</t>
  </si>
  <si>
    <t>Nombre</t>
  </si>
  <si>
    <t>%</t>
  </si>
  <si>
    <t>6h30</t>
  </si>
  <si>
    <t>9h00</t>
  </si>
  <si>
    <t>René Suard côté La Roche</t>
  </si>
  <si>
    <t>Christine Suard côté Bonneville</t>
  </si>
  <si>
    <t>De S Stade vers</t>
  </si>
  <si>
    <t>De B Bonneville vers</t>
  </si>
  <si>
    <t>De P Prison vers</t>
  </si>
  <si>
    <t>B Bonneville</t>
  </si>
  <si>
    <t>P Prison</t>
  </si>
  <si>
    <t>T Tucinges</t>
  </si>
  <si>
    <t>R La Roche</t>
  </si>
  <si>
    <t>D Digues</t>
  </si>
  <si>
    <t>S Stade</t>
  </si>
  <si>
    <t>De T Toisinges vers</t>
  </si>
  <si>
    <t>De R La Roche vers</t>
  </si>
  <si>
    <t>De D Digues vers</t>
  </si>
  <si>
    <t>=Y1</t>
  </si>
  <si>
    <t>Remarque</t>
  </si>
  <si>
    <t>Cycles en direction de Bonneville</t>
  </si>
  <si>
    <t>Cycles en direction de Bonneville ou La Roche</t>
  </si>
  <si>
    <t>Mardi jour de marché peut expliquer le pic de fréquance de 8 à 9</t>
  </si>
  <si>
    <t>2 enfants + 3 trotinnettes</t>
  </si>
  <si>
    <t>Beaucoup plus de piétons que de vélos</t>
  </si>
  <si>
    <t>Stéphane Moutard-Martin / La Fabrique à Biclou</t>
  </si>
  <si>
    <t>Cycles sur RD 19</t>
  </si>
  <si>
    <t>Cycles sur route de Reignier</t>
  </si>
  <si>
    <t>Arenthon La Papeterie RD19/TNA</t>
  </si>
  <si>
    <t>SECTEUR "NATENV"</t>
  </si>
  <si>
    <t>Cycles direc La Gare</t>
  </si>
  <si>
    <t>C'est l'enfer ce carrefour</t>
  </si>
  <si>
    <t>2 des 3 femmes circulaient sur le trottoir !</t>
  </si>
  <si>
    <t>34 piétons plus 32 étudiants piétons en direction lycée</t>
  </si>
  <si>
    <t>et seulement 2 écoliers- 2 enfants comptés qui étaient sur le trottoir avec 1 parent</t>
  </si>
  <si>
    <t>COMMUNE Nom du carrefour</t>
  </si>
  <si>
    <t>7 trotinnettes</t>
  </si>
  <si>
    <t>Cycle sur rte Bonneville</t>
  </si>
  <si>
    <t>5 enfants et sur trottoir 3 trotinettes et 1 vélo à contre-sens</t>
  </si>
  <si>
    <t>1 velo+cariole avec enfant pour aller à l'école</t>
  </si>
  <si>
    <t>3 cyclosportifs</t>
  </si>
  <si>
    <t>11 cyclosportifs</t>
  </si>
  <si>
    <t>6:30 à 7:00</t>
  </si>
  <si>
    <t>Cycles sur rte de Dessy</t>
  </si>
  <si>
    <t>Cycles sur rte des Digues</t>
  </si>
  <si>
    <t>Rte des Digues piste cyclable depuis 6 mois, 2 vélos le l'ont pas emprumtée et sont passé sur</t>
  </si>
  <si>
    <t>sur piste cyclable des Digues</t>
  </si>
  <si>
    <t>NB total
de vélos</t>
  </si>
  <si>
    <t>Bonneville Franchissement du Borne Tucinge</t>
  </si>
  <si>
    <t>La Roche Face Biocoop</t>
  </si>
  <si>
    <t>La Roche Rond-Point La Poste</t>
  </si>
  <si>
    <t>La Roche Rond-Point ENILV</t>
  </si>
  <si>
    <t>Scientrier Carrefour Pont de Bellecombe</t>
  </si>
  <si>
    <t>St Pierre Franchissement du Borne Dessy</t>
  </si>
  <si>
    <t>St Pierre Pont sur le Borne Principal - RD 1203</t>
  </si>
  <si>
    <t>Amancy Giratoire de la Coriandre- RD903 et 1203</t>
  </si>
  <si>
    <t>de 8 à 9h</t>
  </si>
  <si>
    <t>9 points de comptage, dont 2 tenus par l'AERE (car manque de bénévole sur Pays Rochois)</t>
  </si>
  <si>
    <t>7 points de comptage tenus par 8 bénévoles NATENV/La Fabrique à Biclou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</si>
</sst>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30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Ubuntu"/>
    </font>
    <font>
      <sz val="16"/>
      <color theme="1"/>
      <name val="Ubuntu"/>
    </font>
    <font>
      <b/>
      <sz val="14"/>
      <color theme="1"/>
      <name val="Ubuntu"/>
    </font>
    <font>
      <b/>
      <sz val="24"/>
      <color theme="1"/>
      <name val="Ubuntu"/>
    </font>
    <font>
      <b/>
      <sz val="18"/>
      <color theme="1"/>
      <name val="Ubuntu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Ubuntu"/>
    </font>
    <font>
      <b/>
      <sz val="20"/>
      <color theme="1"/>
      <name val="Ubuntu"/>
    </font>
    <font>
      <sz val="20"/>
      <color theme="1"/>
      <name val="Ubuntu"/>
    </font>
    <font>
      <sz val="20"/>
      <color theme="1"/>
      <name val="Arial"/>
      <family val="2"/>
    </font>
    <font>
      <sz val="18"/>
      <name val="Ubuntu"/>
    </font>
    <font>
      <b/>
      <sz val="18"/>
      <name val="Ubuntu"/>
    </font>
    <font>
      <b/>
      <sz val="16"/>
      <name val="Arial"/>
      <family val="2"/>
    </font>
    <font>
      <b/>
      <sz val="16"/>
      <name val="Ubuntu"/>
    </font>
    <font>
      <sz val="16"/>
      <name val="Ubuntu"/>
    </font>
    <font>
      <sz val="11"/>
      <name val="Arial"/>
      <family val="2"/>
    </font>
    <font>
      <b/>
      <sz val="14"/>
      <name val="Ubuntu"/>
    </font>
    <font>
      <b/>
      <sz val="24"/>
      <name val="Ubuntu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8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thin">
        <color auto="1"/>
      </right>
      <top/>
      <bottom style="thin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auto="1"/>
      </right>
      <top/>
      <bottom style="thin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auto="1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 style="double">
        <color auto="1"/>
      </left>
      <right/>
      <top style="thin">
        <color rgb="FF000000"/>
      </top>
      <bottom style="dotted">
        <color auto="1"/>
      </bottom>
      <diagonal/>
    </border>
    <border>
      <left/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/>
      <right/>
      <top style="thin">
        <color rgb="FF000000"/>
      </top>
      <bottom style="dotted">
        <color auto="1"/>
      </bottom>
      <diagonal/>
    </border>
    <border>
      <left style="double">
        <color auto="1"/>
      </left>
      <right/>
      <top style="dotted">
        <color auto="1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/>
      <right/>
      <top style="dotted">
        <color auto="1"/>
      </top>
      <bottom style="thin">
        <color rgb="FF000000"/>
      </bottom>
      <diagonal/>
    </border>
    <border>
      <left style="medium">
        <color theme="0" tint="-0.14996795556505021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ashed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ashed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ashed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ashed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ashed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double">
        <color rgb="FF000000"/>
      </left>
      <right style="dotted">
        <color auto="1"/>
      </right>
      <top style="dashed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dashed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 style="dash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dashed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 style="dash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dashed">
        <color rgb="FF000000"/>
      </top>
      <bottom style="dashed">
        <color rgb="FF000000"/>
      </bottom>
      <diagonal/>
    </border>
    <border>
      <left style="dotted">
        <color auto="1"/>
      </left>
      <right style="thin">
        <color auto="1"/>
      </right>
      <top style="dashed">
        <color rgb="FF000000"/>
      </top>
      <bottom style="dashed">
        <color rgb="FF000000"/>
      </bottom>
      <diagonal/>
    </border>
    <border>
      <left style="thin">
        <color auto="1"/>
      </left>
      <right style="dotted">
        <color auto="1"/>
      </right>
      <top style="dashed">
        <color rgb="FF000000"/>
      </top>
      <bottom style="dashed">
        <color rgb="FF000000"/>
      </bottom>
      <diagonal/>
    </border>
    <border>
      <left style="dotted">
        <color auto="1"/>
      </left>
      <right style="double">
        <color auto="1"/>
      </right>
      <top style="dashed">
        <color rgb="FF000000"/>
      </top>
      <bottom style="dashed">
        <color rgb="FF000000"/>
      </bottom>
      <diagonal/>
    </border>
    <border>
      <left style="double">
        <color auto="1"/>
      </left>
      <right style="dotted">
        <color auto="1"/>
      </right>
      <top style="dashed">
        <color rgb="FF000000"/>
      </top>
      <bottom style="dashed">
        <color rgb="FF000000"/>
      </bottom>
      <diagonal/>
    </border>
    <border>
      <left style="dotted">
        <color auto="1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tted">
        <color auto="1"/>
      </right>
      <top style="dashed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auto="1"/>
      </right>
      <top style="dashed">
        <color rgb="FF000000"/>
      </top>
      <bottom style="double">
        <color rgb="FF000000"/>
      </bottom>
      <diagonal/>
    </border>
    <border>
      <left style="thin">
        <color auto="1"/>
      </left>
      <right style="dotted">
        <color auto="1"/>
      </right>
      <top style="dashed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auto="1"/>
      </right>
      <top style="dashed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auto="1"/>
      </right>
      <top style="dashed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/>
      <bottom style="medium">
        <color theme="0" tint="-0.1499374370555742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auto="1"/>
      </left>
      <right style="double">
        <color rgb="FF000000"/>
      </right>
      <top/>
      <bottom/>
      <diagonal/>
    </border>
    <border>
      <left style="double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/>
      <bottom/>
      <diagonal/>
    </border>
    <border>
      <left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auto="1"/>
      </top>
      <bottom style="double">
        <color rgb="FF000000"/>
      </bottom>
      <diagonal/>
    </border>
    <border>
      <left/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ouble">
        <color rgb="FF000000"/>
      </right>
      <top style="dashed">
        <color rgb="FF000000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9" fontId="8" fillId="0" borderId="0" applyFont="0" applyFill="0" applyBorder="0" applyAlignment="0" applyProtection="0"/>
  </cellStyleXfs>
  <cellXfs count="496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4" fillId="0" borderId="48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3" borderId="54" xfId="0" applyFont="1" applyFill="1" applyBorder="1" applyAlignment="1">
      <alignment vertical="center"/>
    </xf>
    <xf numFmtId="0" fontId="4" fillId="3" borderId="55" xfId="0" applyFont="1" applyFill="1" applyBorder="1" applyAlignment="1">
      <alignment vertical="center"/>
    </xf>
    <xf numFmtId="0" fontId="4" fillId="3" borderId="56" xfId="0" applyFont="1" applyFill="1" applyBorder="1" applyAlignment="1">
      <alignment vertical="center"/>
    </xf>
    <xf numFmtId="0" fontId="4" fillId="3" borderId="57" xfId="0" applyFont="1" applyFill="1" applyBorder="1" applyAlignment="1">
      <alignment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4" fillId="3" borderId="87" xfId="0" applyFont="1" applyFill="1" applyBorder="1" applyAlignment="1">
      <alignment vertical="center"/>
    </xf>
    <xf numFmtId="0" fontId="0" fillId="3" borderId="87" xfId="0" applyFill="1" applyBorder="1" applyAlignment="1">
      <alignment vertical="center"/>
    </xf>
    <xf numFmtId="0" fontId="7" fillId="0" borderId="90" xfId="0" applyFont="1" applyBorder="1" applyAlignment="1">
      <alignment horizontal="center" vertical="center"/>
    </xf>
    <xf numFmtId="0" fontId="4" fillId="3" borderId="102" xfId="0" applyFont="1" applyFill="1" applyBorder="1" applyAlignment="1">
      <alignment vertical="center"/>
    </xf>
    <xf numFmtId="0" fontId="4" fillId="3" borderId="103" xfId="0" applyFont="1" applyFill="1" applyBorder="1" applyAlignment="1">
      <alignment vertical="center"/>
    </xf>
    <xf numFmtId="0" fontId="4" fillId="2" borderId="87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04" xfId="0" applyFont="1" applyFill="1" applyBorder="1" applyAlignment="1">
      <alignment horizontal="left" vertical="center"/>
    </xf>
    <xf numFmtId="0" fontId="0" fillId="3" borderId="103" xfId="0" applyFill="1" applyBorder="1" applyAlignment="1">
      <alignment vertical="center"/>
    </xf>
    <xf numFmtId="0" fontId="3" fillId="2" borderId="104" xfId="0" applyFont="1" applyFill="1" applyBorder="1" applyAlignment="1">
      <alignment horizontal="right" vertical="center"/>
    </xf>
    <xf numFmtId="49" fontId="4" fillId="3" borderId="102" xfId="0" applyNumberFormat="1" applyFont="1" applyFill="1" applyBorder="1" applyAlignment="1">
      <alignment vertical="center"/>
    </xf>
    <xf numFmtId="0" fontId="4" fillId="2" borderId="104" xfId="0" applyFont="1" applyFill="1" applyBorder="1" applyAlignment="1">
      <alignment vertical="center"/>
    </xf>
    <xf numFmtId="0" fontId="0" fillId="2" borderId="104" xfId="0" applyFill="1" applyBorder="1" applyAlignment="1">
      <alignment vertical="center"/>
    </xf>
    <xf numFmtId="0" fontId="3" fillId="2" borderId="105" xfId="0" applyFont="1" applyFill="1" applyBorder="1" applyAlignment="1">
      <alignment horizontal="left" vertical="center"/>
    </xf>
    <xf numFmtId="0" fontId="3" fillId="2" borderId="106" xfId="0" applyFont="1" applyFill="1" applyBorder="1" applyAlignment="1">
      <alignment horizontal="right" vertical="center"/>
    </xf>
    <xf numFmtId="0" fontId="4" fillId="0" borderId="107" xfId="0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0" fontId="4" fillId="0" borderId="119" xfId="0" applyFont="1" applyBorder="1" applyAlignment="1">
      <alignment horizontal="center" vertical="center"/>
    </xf>
    <xf numFmtId="0" fontId="4" fillId="0" borderId="120" xfId="0" applyFont="1" applyBorder="1" applyAlignment="1">
      <alignment horizontal="center" vertical="center"/>
    </xf>
    <xf numFmtId="0" fontId="4" fillId="0" borderId="121" xfId="0" applyFont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4" fillId="0" borderId="123" xfId="0" applyFont="1" applyBorder="1" applyAlignment="1">
      <alignment horizontal="center" vertical="center"/>
    </xf>
    <xf numFmtId="0" fontId="4" fillId="0" borderId="124" xfId="0" applyFont="1" applyBorder="1" applyAlignment="1">
      <alignment horizontal="center" vertical="center"/>
    </xf>
    <xf numFmtId="0" fontId="3" fillId="3" borderId="102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11" fillId="3" borderId="102" xfId="0" applyFont="1" applyFill="1" applyBorder="1" applyAlignment="1">
      <alignment vertical="center"/>
    </xf>
    <xf numFmtId="0" fontId="3" fillId="2" borderId="125" xfId="0" applyFont="1" applyFill="1" applyBorder="1" applyAlignment="1">
      <alignment horizontal="center" vertical="center"/>
    </xf>
    <xf numFmtId="0" fontId="4" fillId="0" borderId="126" xfId="0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4" fillId="0" borderId="129" xfId="0" applyFont="1" applyBorder="1" applyAlignment="1">
      <alignment horizontal="center" vertical="center"/>
    </xf>
    <xf numFmtId="0" fontId="4" fillId="0" borderId="130" xfId="0" applyFont="1" applyBorder="1" applyAlignment="1">
      <alignment horizontal="center" vertical="center"/>
    </xf>
    <xf numFmtId="0" fontId="4" fillId="0" borderId="131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right"/>
    </xf>
    <xf numFmtId="0" fontId="0" fillId="2" borderId="0" xfId="0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3" fillId="2" borderId="19" xfId="0" applyFont="1" applyFill="1" applyBorder="1" applyAlignment="1">
      <alignment horizontal="center"/>
    </xf>
    <xf numFmtId="0" fontId="4" fillId="3" borderId="132" xfId="0" applyFont="1" applyFill="1" applyBorder="1" applyAlignment="1">
      <alignment vertical="center"/>
    </xf>
    <xf numFmtId="0" fontId="0" fillId="3" borderId="133" xfId="0" applyFill="1" applyBorder="1" applyAlignment="1">
      <alignment vertical="center"/>
    </xf>
    <xf numFmtId="0" fontId="3" fillId="2" borderId="56" xfId="0" applyFont="1" applyFill="1" applyBorder="1" applyAlignment="1">
      <alignment horizontal="right" vertical="center"/>
    </xf>
    <xf numFmtId="49" fontId="4" fillId="3" borderId="132" xfId="0" applyNumberFormat="1" applyFont="1" applyFill="1" applyBorder="1" applyAlignment="1">
      <alignment vertical="center"/>
    </xf>
    <xf numFmtId="0" fontId="4" fillId="3" borderId="133" xfId="0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2" borderId="87" xfId="0" applyFont="1" applyFill="1" applyBorder="1" applyAlignment="1">
      <alignment horizontal="left" vertical="center"/>
    </xf>
    <xf numFmtId="0" fontId="4" fillId="3" borderId="134" xfId="0" applyFont="1" applyFill="1" applyBorder="1" applyAlignment="1">
      <alignment vertical="center"/>
    </xf>
    <xf numFmtId="0" fontId="4" fillId="3" borderId="135" xfId="0" applyFont="1" applyFill="1" applyBorder="1" applyAlignment="1">
      <alignment vertical="center"/>
    </xf>
    <xf numFmtId="0" fontId="0" fillId="3" borderId="135" xfId="0" applyFill="1" applyBorder="1" applyAlignment="1">
      <alignment vertical="center"/>
    </xf>
    <xf numFmtId="0" fontId="0" fillId="3" borderId="136" xfId="0" applyFill="1" applyBorder="1" applyAlignment="1">
      <alignment vertical="center"/>
    </xf>
    <xf numFmtId="49" fontId="4" fillId="3" borderId="134" xfId="0" applyNumberFormat="1" applyFont="1" applyFill="1" applyBorder="1" applyAlignment="1">
      <alignment vertical="center"/>
    </xf>
    <xf numFmtId="0" fontId="4" fillId="3" borderId="136" xfId="0" applyFont="1" applyFill="1" applyBorder="1" applyAlignment="1">
      <alignment vertical="center"/>
    </xf>
    <xf numFmtId="0" fontId="0" fillId="2" borderId="87" xfId="0" applyFill="1" applyBorder="1" applyAlignment="1">
      <alignment vertical="center"/>
    </xf>
    <xf numFmtId="0" fontId="4" fillId="2" borderId="137" xfId="0" applyFont="1" applyFill="1" applyBorder="1" applyAlignment="1">
      <alignment vertical="center"/>
    </xf>
    <xf numFmtId="0" fontId="3" fillId="2" borderId="142" xfId="0" applyFont="1" applyFill="1" applyBorder="1" applyAlignment="1">
      <alignment horizontal="left" vertical="center"/>
    </xf>
    <xf numFmtId="0" fontId="3" fillId="2" borderId="144" xfId="0" applyFont="1" applyFill="1" applyBorder="1" applyAlignment="1">
      <alignment horizontal="center" vertical="center"/>
    </xf>
    <xf numFmtId="0" fontId="3" fillId="2" borderId="145" xfId="0" applyFont="1" applyFill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48" xfId="0" applyFont="1" applyBorder="1" applyAlignment="1">
      <alignment horizontal="center" vertical="center"/>
    </xf>
    <xf numFmtId="9" fontId="14" fillId="3" borderId="149" xfId="5" applyFont="1" applyFill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52" xfId="0" applyFont="1" applyBorder="1" applyAlignment="1">
      <alignment horizontal="center" vertical="center"/>
    </xf>
    <xf numFmtId="9" fontId="14" fillId="3" borderId="153" xfId="5" applyFont="1" applyFill="1" applyBorder="1" applyAlignment="1">
      <alignment horizontal="center" vertical="center"/>
    </xf>
    <xf numFmtId="9" fontId="14" fillId="3" borderId="155" xfId="5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157" xfId="0" applyFont="1" applyBorder="1" applyAlignment="1">
      <alignment horizontal="center" vertical="center"/>
    </xf>
    <xf numFmtId="9" fontId="15" fillId="3" borderId="47" xfId="5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left" vertical="center"/>
    </xf>
    <xf numFmtId="0" fontId="4" fillId="3" borderId="48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14" fillId="3" borderId="165" xfId="5" applyNumberFormat="1" applyFont="1" applyFill="1" applyBorder="1" applyAlignment="1">
      <alignment horizontal="center" vertical="center"/>
    </xf>
    <xf numFmtId="3" fontId="14" fillId="3" borderId="166" xfId="5" applyNumberFormat="1" applyFont="1" applyFill="1" applyBorder="1" applyAlignment="1">
      <alignment horizontal="center" vertical="center"/>
    </xf>
    <xf numFmtId="3" fontId="14" fillId="3" borderId="167" xfId="5" applyNumberFormat="1" applyFont="1" applyFill="1" applyBorder="1" applyAlignment="1">
      <alignment horizontal="center" vertical="center"/>
    </xf>
    <xf numFmtId="3" fontId="15" fillId="3" borderId="168" xfId="5" applyNumberFormat="1" applyFont="1" applyFill="1" applyBorder="1" applyAlignment="1">
      <alignment horizontal="center" vertical="center"/>
    </xf>
    <xf numFmtId="3" fontId="15" fillId="3" borderId="169" xfId="5" applyNumberFormat="1" applyFont="1" applyFill="1" applyBorder="1" applyAlignment="1">
      <alignment horizontal="center" vertical="center"/>
    </xf>
    <xf numFmtId="0" fontId="17" fillId="2" borderId="104" xfId="0" applyFont="1" applyFill="1" applyBorder="1" applyAlignment="1">
      <alignment horizontal="left" vertical="center"/>
    </xf>
    <xf numFmtId="0" fontId="18" fillId="3" borderId="132" xfId="0" applyFont="1" applyFill="1" applyBorder="1" applyAlignment="1">
      <alignment vertical="center"/>
    </xf>
    <xf numFmtId="0" fontId="18" fillId="3" borderId="87" xfId="0" applyFont="1" applyFill="1" applyBorder="1" applyAlignment="1">
      <alignment vertical="center"/>
    </xf>
    <xf numFmtId="0" fontId="19" fillId="3" borderId="87" xfId="0" applyFont="1" applyFill="1" applyBorder="1" applyAlignment="1">
      <alignment vertical="center"/>
    </xf>
    <xf numFmtId="0" fontId="19" fillId="3" borderId="133" xfId="0" applyFont="1" applyFill="1" applyBorder="1" applyAlignment="1">
      <alignment vertical="center"/>
    </xf>
    <xf numFmtId="0" fontId="17" fillId="2" borderId="56" xfId="0" applyFont="1" applyFill="1" applyBorder="1" applyAlignment="1">
      <alignment horizontal="right" vertical="center"/>
    </xf>
    <xf numFmtId="49" fontId="18" fillId="3" borderId="132" xfId="0" applyNumberFormat="1" applyFont="1" applyFill="1" applyBorder="1" applyAlignment="1">
      <alignment vertical="center"/>
    </xf>
    <xf numFmtId="0" fontId="18" fillId="3" borderId="133" xfId="0" applyFont="1" applyFill="1" applyBorder="1" applyAlignment="1">
      <alignment vertical="center"/>
    </xf>
    <xf numFmtId="0" fontId="18" fillId="2" borderId="104" xfId="0" applyFont="1" applyFill="1" applyBorder="1" applyAlignment="1">
      <alignment vertical="center"/>
    </xf>
    <xf numFmtId="0" fontId="19" fillId="2" borderId="104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125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56" xfId="0" applyFont="1" applyFill="1" applyBorder="1" applyAlignment="1">
      <alignment horizontal="left" vertical="center"/>
    </xf>
    <xf numFmtId="0" fontId="18" fillId="3" borderId="54" xfId="0" applyFont="1" applyFill="1" applyBorder="1" applyAlignment="1">
      <alignment vertical="center"/>
    </xf>
    <xf numFmtId="0" fontId="18" fillId="3" borderId="55" xfId="0" applyFont="1" applyFill="1" applyBorder="1" applyAlignment="1">
      <alignment vertical="center"/>
    </xf>
    <xf numFmtId="0" fontId="19" fillId="3" borderId="55" xfId="0" applyFont="1" applyFill="1" applyBorder="1" applyAlignment="1">
      <alignment vertical="center"/>
    </xf>
    <xf numFmtId="0" fontId="19" fillId="3" borderId="171" xfId="0" applyFont="1" applyFill="1" applyBorder="1" applyAlignment="1">
      <alignment vertical="center"/>
    </xf>
    <xf numFmtId="49" fontId="18" fillId="3" borderId="54" xfId="0" applyNumberFormat="1" applyFont="1" applyFill="1" applyBorder="1" applyAlignment="1">
      <alignment vertical="center"/>
    </xf>
    <xf numFmtId="0" fontId="18" fillId="3" borderId="171" xfId="0" applyFont="1" applyFill="1" applyBorder="1" applyAlignment="1">
      <alignment vertical="center"/>
    </xf>
    <xf numFmtId="0" fontId="18" fillId="2" borderId="56" xfId="0" applyFont="1" applyFill="1" applyBorder="1" applyAlignment="1">
      <alignment vertical="center"/>
    </xf>
    <xf numFmtId="0" fontId="19" fillId="2" borderId="56" xfId="0" applyFont="1" applyFill="1" applyBorder="1" applyAlignment="1">
      <alignment vertical="center"/>
    </xf>
    <xf numFmtId="0" fontId="17" fillId="2" borderId="105" xfId="0" applyFont="1" applyFill="1" applyBorder="1" applyAlignment="1">
      <alignment horizontal="left" vertical="center"/>
    </xf>
    <xf numFmtId="0" fontId="17" fillId="2" borderId="172" xfId="0" applyFont="1" applyFill="1" applyBorder="1" applyAlignment="1">
      <alignment horizontal="right" vertical="center"/>
    </xf>
    <xf numFmtId="0" fontId="18" fillId="2" borderId="133" xfId="0" applyFont="1" applyFill="1" applyBorder="1" applyAlignment="1">
      <alignment vertical="center"/>
    </xf>
    <xf numFmtId="0" fontId="18" fillId="2" borderId="173" xfId="0" applyFont="1" applyFill="1" applyBorder="1" applyAlignment="1">
      <alignment vertical="center"/>
    </xf>
    <xf numFmtId="0" fontId="18" fillId="2" borderId="174" xfId="0" applyFont="1" applyFill="1" applyBorder="1" applyAlignment="1">
      <alignment vertical="center"/>
    </xf>
    <xf numFmtId="0" fontId="19" fillId="2" borderId="173" xfId="0" applyFont="1" applyFill="1" applyBorder="1" applyAlignment="1">
      <alignment vertical="center"/>
    </xf>
    <xf numFmtId="0" fontId="17" fillId="2" borderId="142" xfId="0" applyFont="1" applyFill="1" applyBorder="1" applyAlignment="1">
      <alignment horizontal="left" vertical="center"/>
    </xf>
    <xf numFmtId="0" fontId="18" fillId="0" borderId="64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5" fillId="3" borderId="90" xfId="0" applyFont="1" applyFill="1" applyBorder="1" applyAlignment="1">
      <alignment horizontal="center" vertical="center"/>
    </xf>
    <xf numFmtId="9" fontId="14" fillId="3" borderId="91" xfId="5" applyFont="1" applyFill="1" applyBorder="1" applyAlignment="1">
      <alignment horizontal="center" vertical="center"/>
    </xf>
    <xf numFmtId="1" fontId="14" fillId="3" borderId="91" xfId="5" applyNumberFormat="1" applyFont="1" applyFill="1" applyBorder="1" applyAlignment="1">
      <alignment horizontal="center" vertical="center"/>
    </xf>
    <xf numFmtId="1" fontId="14" fillId="3" borderId="150" xfId="5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5" fillId="3" borderId="95" xfId="0" applyFont="1" applyFill="1" applyBorder="1" applyAlignment="1">
      <alignment horizontal="center" vertical="center"/>
    </xf>
    <xf numFmtId="9" fontId="14" fillId="3" borderId="96" xfId="5" applyFont="1" applyFill="1" applyBorder="1" applyAlignment="1">
      <alignment horizontal="center" vertical="center"/>
    </xf>
    <xf numFmtId="1" fontId="14" fillId="3" borderId="96" xfId="5" applyNumberFormat="1" applyFont="1" applyFill="1" applyBorder="1" applyAlignment="1">
      <alignment horizontal="center" vertical="center"/>
    </xf>
    <xf numFmtId="1" fontId="14" fillId="3" borderId="154" xfId="5" applyNumberFormat="1" applyFont="1" applyFill="1" applyBorder="1" applyAlignment="1">
      <alignment horizontal="center" vertical="center"/>
    </xf>
    <xf numFmtId="0" fontId="18" fillId="0" borderId="80" xfId="0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/>
    </xf>
    <xf numFmtId="0" fontId="18" fillId="0" borderId="84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5" fillId="3" borderId="99" xfId="0" applyFont="1" applyFill="1" applyBorder="1" applyAlignment="1">
      <alignment horizontal="center" vertical="center"/>
    </xf>
    <xf numFmtId="9" fontId="14" fillId="3" borderId="100" xfId="5" applyFont="1" applyFill="1" applyBorder="1" applyAlignment="1">
      <alignment horizontal="center" vertical="center"/>
    </xf>
    <xf numFmtId="1" fontId="14" fillId="3" borderId="100" xfId="5" applyNumberFormat="1" applyFont="1" applyFill="1" applyBorder="1" applyAlignment="1">
      <alignment horizontal="center" vertical="center"/>
    </xf>
    <xf numFmtId="1" fontId="14" fillId="3" borderId="156" xfId="5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9" fontId="14" fillId="3" borderId="46" xfId="5" applyFont="1" applyFill="1" applyBorder="1" applyAlignment="1">
      <alignment horizontal="center" vertical="center"/>
    </xf>
    <xf numFmtId="1" fontId="14" fillId="3" borderId="46" xfId="5" applyNumberFormat="1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9" fontId="14" fillId="3" borderId="47" xfId="5" applyFont="1" applyFill="1" applyBorder="1" applyAlignment="1">
      <alignment horizontal="center" vertical="center"/>
    </xf>
    <xf numFmtId="1" fontId="14" fillId="3" borderId="47" xfId="5" applyNumberFormat="1" applyFont="1" applyFill="1" applyBorder="1" applyAlignment="1">
      <alignment horizontal="center" vertical="center"/>
    </xf>
    <xf numFmtId="1" fontId="14" fillId="3" borderId="159" xfId="5" applyNumberFormat="1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left" vertical="center"/>
    </xf>
    <xf numFmtId="0" fontId="18" fillId="3" borderId="48" xfId="0" applyFont="1" applyFill="1" applyBorder="1" applyAlignment="1">
      <alignment vertical="center"/>
    </xf>
    <xf numFmtId="0" fontId="18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 wrapText="1"/>
    </xf>
    <xf numFmtId="0" fontId="16" fillId="3" borderId="160" xfId="0" applyFont="1" applyFill="1" applyBorder="1" applyAlignment="1">
      <alignment vertical="center"/>
    </xf>
    <xf numFmtId="0" fontId="16" fillId="3" borderId="162" xfId="0" applyFont="1" applyFill="1" applyBorder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5" fillId="3" borderId="160" xfId="0" applyFont="1" applyFill="1" applyBorder="1" applyAlignment="1">
      <alignment horizontal="center" vertical="center"/>
    </xf>
    <xf numFmtId="1" fontId="14" fillId="3" borderId="0" xfId="5" applyNumberFormat="1" applyFont="1" applyFill="1" applyBorder="1" applyAlignment="1">
      <alignment horizontal="center" vertical="center"/>
    </xf>
    <xf numFmtId="1" fontId="14" fillId="3" borderId="0" xfId="5" applyNumberFormat="1" applyFont="1" applyFill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7" fillId="3" borderId="87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0" fontId="22" fillId="4" borderId="180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180" xfId="0" applyFont="1" applyFill="1" applyBorder="1" applyAlignment="1">
      <alignment vertical="center"/>
    </xf>
    <xf numFmtId="0" fontId="23" fillId="2" borderId="186" xfId="0" applyFont="1" applyFill="1" applyBorder="1" applyAlignment="1">
      <alignment horizontal="center" vertical="center"/>
    </xf>
    <xf numFmtId="0" fontId="23" fillId="2" borderId="187" xfId="0" applyFont="1" applyFill="1" applyBorder="1" applyAlignment="1">
      <alignment horizontal="center" vertical="center"/>
    </xf>
    <xf numFmtId="0" fontId="23" fillId="2" borderId="187" xfId="0" applyFont="1" applyFill="1" applyBorder="1" applyAlignment="1">
      <alignment horizontal="center" vertical="center" wrapText="1"/>
    </xf>
    <xf numFmtId="3" fontId="23" fillId="2" borderId="186" xfId="0" applyNumberFormat="1" applyFont="1" applyFill="1" applyBorder="1" applyAlignment="1">
      <alignment horizontal="center" vertical="center" wrapText="1"/>
    </xf>
    <xf numFmtId="0" fontId="0" fillId="2" borderId="188" xfId="0" applyFill="1" applyBorder="1" applyAlignment="1">
      <alignment vertical="center"/>
    </xf>
    <xf numFmtId="3" fontId="0" fillId="0" borderId="191" xfId="0" applyNumberFormat="1" applyBorder="1" applyAlignment="1">
      <alignment horizontal="center" vertical="center"/>
    </xf>
    <xf numFmtId="0" fontId="0" fillId="0" borderId="192" xfId="0" applyBorder="1" applyAlignment="1">
      <alignment horizontal="center" vertical="center"/>
    </xf>
    <xf numFmtId="9" fontId="0" fillId="0" borderId="192" xfId="5" applyFont="1" applyBorder="1" applyAlignment="1">
      <alignment horizontal="center" vertical="center"/>
    </xf>
    <xf numFmtId="3" fontId="0" fillId="0" borderId="190" xfId="0" applyNumberFormat="1" applyBorder="1" applyAlignment="1">
      <alignment horizontal="center" vertical="center"/>
    </xf>
    <xf numFmtId="0" fontId="0" fillId="2" borderId="193" xfId="0" applyFill="1" applyBorder="1" applyAlignment="1">
      <alignment vertical="center"/>
    </xf>
    <xf numFmtId="3" fontId="0" fillId="0" borderId="168" xfId="0" applyNumberFormat="1" applyBorder="1" applyAlignment="1">
      <alignment horizontal="center" vertical="center"/>
    </xf>
    <xf numFmtId="9" fontId="0" fillId="0" borderId="196" xfId="5" applyFont="1" applyBorder="1" applyAlignment="1">
      <alignment horizontal="center" vertical="center"/>
    </xf>
    <xf numFmtId="3" fontId="0" fillId="0" borderId="195" xfId="0" applyNumberForma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3" fillId="0" borderId="198" xfId="0" applyFont="1" applyBorder="1" applyAlignment="1">
      <alignment horizontal="center" vertical="center"/>
    </xf>
    <xf numFmtId="3" fontId="23" fillId="0" borderId="183" xfId="0" applyNumberFormat="1" applyFont="1" applyBorder="1" applyAlignment="1">
      <alignment horizontal="center" vertical="center"/>
    </xf>
    <xf numFmtId="3" fontId="23" fillId="0" borderId="199" xfId="0" applyNumberFormat="1" applyFont="1" applyBorder="1" applyAlignment="1">
      <alignment horizontal="center" vertical="center"/>
    </xf>
    <xf numFmtId="9" fontId="23" fillId="0" borderId="199" xfId="5" applyFont="1" applyBorder="1" applyAlignment="1">
      <alignment horizontal="center" vertical="center"/>
    </xf>
    <xf numFmtId="3" fontId="23" fillId="0" borderId="198" xfId="0" applyNumberFormat="1" applyFont="1" applyBorder="1" applyAlignment="1">
      <alignment horizontal="center" vertical="center"/>
    </xf>
    <xf numFmtId="3" fontId="10" fillId="3" borderId="91" xfId="5" applyNumberFormat="1" applyFont="1" applyFill="1" applyBorder="1" applyAlignment="1">
      <alignment horizontal="center" vertical="center"/>
    </xf>
    <xf numFmtId="9" fontId="10" fillId="3" borderId="149" xfId="5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" fontId="10" fillId="0" borderId="0" xfId="5" applyNumberFormat="1" applyFont="1" applyBorder="1" applyAlignment="1">
      <alignment horizontal="center" vertical="center"/>
    </xf>
    <xf numFmtId="1" fontId="10" fillId="0" borderId="0" xfId="5" applyNumberFormat="1" applyFont="1" applyBorder="1" applyAlignment="1">
      <alignment vertical="center" wrapText="1"/>
    </xf>
    <xf numFmtId="0" fontId="3" fillId="3" borderId="210" xfId="0" applyFont="1" applyFill="1" applyBorder="1" applyAlignment="1">
      <alignment horizontal="center" vertical="center"/>
    </xf>
    <xf numFmtId="0" fontId="3" fillId="0" borderId="20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00" xfId="0" applyFont="1" applyBorder="1" applyAlignment="1">
      <alignment horizontal="center" vertical="center"/>
    </xf>
    <xf numFmtId="9" fontId="3" fillId="3" borderId="211" xfId="0" applyNumberFormat="1" applyFont="1" applyFill="1" applyBorder="1" applyAlignment="1">
      <alignment horizontal="center" vertical="center"/>
    </xf>
    <xf numFmtId="9" fontId="3" fillId="3" borderId="205" xfId="0" applyNumberFormat="1" applyFont="1" applyFill="1" applyBorder="1" applyAlignment="1">
      <alignment horizontal="center" vertical="center"/>
    </xf>
    <xf numFmtId="0" fontId="3" fillId="3" borderId="211" xfId="0" applyFont="1" applyFill="1" applyBorder="1" applyAlignment="1">
      <alignment horizontal="center" vertical="center"/>
    </xf>
    <xf numFmtId="0" fontId="3" fillId="3" borderId="205" xfId="0" applyFont="1" applyFill="1" applyBorder="1" applyAlignment="1">
      <alignment horizontal="center" vertical="center"/>
    </xf>
    <xf numFmtId="1" fontId="10" fillId="0" borderId="213" xfId="5" applyNumberFormat="1" applyFont="1" applyBorder="1" applyAlignment="1">
      <alignment horizontal="center" vertical="center"/>
    </xf>
    <xf numFmtId="1" fontId="10" fillId="0" borderId="213" xfId="5" applyNumberFormat="1" applyFont="1" applyBorder="1" applyAlignment="1">
      <alignment vertical="center" wrapText="1"/>
    </xf>
    <xf numFmtId="1" fontId="10" fillId="0" borderId="214" xfId="5" applyNumberFormat="1" applyFont="1" applyBorder="1" applyAlignment="1">
      <alignment vertical="center" wrapText="1"/>
    </xf>
    <xf numFmtId="1" fontId="10" fillId="0" borderId="212" xfId="5" applyNumberFormat="1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104" xfId="0" applyFont="1" applyFill="1" applyBorder="1" applyAlignment="1">
      <alignment vertical="center"/>
    </xf>
    <xf numFmtId="0" fontId="10" fillId="0" borderId="90" xfId="0" applyFont="1" applyBorder="1" applyAlignment="1">
      <alignment horizontal="center" vertical="center"/>
    </xf>
    <xf numFmtId="3" fontId="7" fillId="3" borderId="91" xfId="5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vertical="center"/>
    </xf>
    <xf numFmtId="0" fontId="7" fillId="5" borderId="90" xfId="0" applyFont="1" applyFill="1" applyBorder="1" applyAlignment="1">
      <alignment horizontal="center" vertical="center"/>
    </xf>
    <xf numFmtId="3" fontId="7" fillId="5" borderId="91" xfId="5" applyNumberFormat="1" applyFont="1" applyFill="1" applyBorder="1" applyAlignment="1">
      <alignment horizontal="center" vertical="center"/>
    </xf>
    <xf numFmtId="3" fontId="7" fillId="5" borderId="204" xfId="5" applyNumberFormat="1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9" fontId="15" fillId="5" borderId="46" xfId="5" applyFont="1" applyFill="1" applyBorder="1" applyAlignment="1">
      <alignment horizontal="center" vertical="center"/>
    </xf>
    <xf numFmtId="0" fontId="0" fillId="2" borderId="180" xfId="0" applyFont="1" applyFill="1" applyBorder="1" applyAlignment="1">
      <alignment vertical="center"/>
    </xf>
    <xf numFmtId="0" fontId="7" fillId="2" borderId="90" xfId="0" applyFont="1" applyFill="1" applyBorder="1" applyAlignment="1">
      <alignment horizontal="center" vertical="center"/>
    </xf>
    <xf numFmtId="9" fontId="10" fillId="2" borderId="149" xfId="5" applyFont="1" applyFill="1" applyBorder="1" applyAlignment="1">
      <alignment horizontal="center" vertical="center"/>
    </xf>
    <xf numFmtId="0" fontId="15" fillId="2" borderId="160" xfId="0" applyFont="1" applyFill="1" applyBorder="1" applyAlignment="1">
      <alignment horizontal="center" vertical="center"/>
    </xf>
    <xf numFmtId="3" fontId="15" fillId="2" borderId="168" xfId="5" applyNumberFormat="1" applyFont="1" applyFill="1" applyBorder="1" applyAlignment="1">
      <alignment horizontal="center" vertical="center"/>
    </xf>
    <xf numFmtId="0" fontId="23" fillId="2" borderId="215" xfId="0" applyFont="1" applyFill="1" applyBorder="1" applyAlignment="1">
      <alignment horizontal="center" vertical="center"/>
    </xf>
    <xf numFmtId="0" fontId="23" fillId="2" borderId="216" xfId="0" applyFont="1" applyFill="1" applyBorder="1" applyAlignment="1">
      <alignment horizontal="center" vertical="center"/>
    </xf>
    <xf numFmtId="0" fontId="16" fillId="2" borderId="48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9" fontId="10" fillId="3" borderId="141" xfId="5" applyFont="1" applyFill="1" applyBorder="1" applyAlignment="1">
      <alignment horizontal="center" vertical="center"/>
    </xf>
    <xf numFmtId="9" fontId="10" fillId="2" borderId="141" xfId="5" applyFont="1" applyFill="1" applyBorder="1" applyAlignment="1">
      <alignment horizontal="center" vertical="center"/>
    </xf>
    <xf numFmtId="9" fontId="3" fillId="3" borderId="14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2" borderId="185" xfId="0" applyFont="1" applyFill="1" applyBorder="1" applyAlignment="1">
      <alignment horizontal="center" vertical="center"/>
    </xf>
    <xf numFmtId="0" fontId="28" fillId="2" borderId="186" xfId="0" applyFont="1" applyFill="1" applyBorder="1" applyAlignment="1">
      <alignment horizontal="center" vertical="center"/>
    </xf>
    <xf numFmtId="0" fontId="27" fillId="0" borderId="189" xfId="0" applyFont="1" applyBorder="1" applyAlignment="1">
      <alignment horizontal="center" vertical="center"/>
    </xf>
    <xf numFmtId="0" fontId="27" fillId="0" borderId="190" xfId="0" applyFont="1" applyBorder="1" applyAlignment="1">
      <alignment horizontal="center" vertical="center"/>
    </xf>
    <xf numFmtId="0" fontId="27" fillId="0" borderId="194" xfId="0" applyFont="1" applyBorder="1" applyAlignment="1">
      <alignment horizontal="center" vertical="center"/>
    </xf>
    <xf numFmtId="0" fontId="27" fillId="0" borderId="195" xfId="0" applyFont="1" applyBorder="1" applyAlignment="1">
      <alignment horizontal="center" vertical="center"/>
    </xf>
    <xf numFmtId="0" fontId="28" fillId="0" borderId="197" xfId="0" applyFont="1" applyBorder="1" applyAlignment="1">
      <alignment horizontal="center" vertical="center"/>
    </xf>
    <xf numFmtId="0" fontId="28" fillId="0" borderId="198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6" borderId="192" xfId="0" applyFill="1" applyBorder="1" applyAlignment="1">
      <alignment horizontal="center" vertical="center"/>
    </xf>
    <xf numFmtId="3" fontId="0" fillId="6" borderId="217" xfId="0" applyNumberFormat="1" applyFill="1" applyBorder="1" applyAlignment="1">
      <alignment horizontal="center" vertical="center"/>
    </xf>
    <xf numFmtId="3" fontId="23" fillId="6" borderId="183" xfId="0" applyNumberFormat="1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208" xfId="0" applyFont="1" applyFill="1" applyBorder="1" applyAlignment="1">
      <alignment horizontal="center" vertical="center"/>
    </xf>
    <xf numFmtId="0" fontId="3" fillId="2" borderId="209" xfId="0" applyFont="1" applyFill="1" applyBorder="1" applyAlignment="1">
      <alignment horizontal="center" vertical="center"/>
    </xf>
    <xf numFmtId="0" fontId="16" fillId="2" borderId="206" xfId="0" applyFont="1" applyFill="1" applyBorder="1" applyAlignment="1">
      <alignment horizontal="center" vertical="center" wrapText="1"/>
    </xf>
    <xf numFmtId="0" fontId="16" fillId="2" borderId="207" xfId="0" applyFont="1" applyFill="1" applyBorder="1" applyAlignment="1">
      <alignment horizontal="center" vertical="center" wrapText="1"/>
    </xf>
    <xf numFmtId="0" fontId="3" fillId="2" borderId="175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88" xfId="0" applyFont="1" applyFill="1" applyBorder="1" applyAlignment="1">
      <alignment horizontal="center" vertical="center"/>
    </xf>
    <xf numFmtId="0" fontId="3" fillId="2" borderId="8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horizontal="center" vertical="center"/>
    </xf>
    <xf numFmtId="0" fontId="3" fillId="5" borderId="60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9" fillId="2" borderId="139" xfId="0" applyFont="1" applyFill="1" applyBorder="1" applyAlignment="1">
      <alignment horizontal="center" vertical="center" wrapText="1"/>
    </xf>
    <xf numFmtId="0" fontId="9" fillId="2" borderId="141" xfId="0" applyFont="1" applyFill="1" applyBorder="1" applyAlignment="1">
      <alignment horizontal="center" vertical="center" wrapText="1"/>
    </xf>
    <xf numFmtId="0" fontId="9" fillId="2" borderId="146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7" fillId="2" borderId="140" xfId="0" applyFont="1" applyFill="1" applyBorder="1" applyAlignment="1">
      <alignment horizontal="center" vertical="center" wrapText="1"/>
    </xf>
    <xf numFmtId="0" fontId="3" fillId="2" borderId="143" xfId="0" applyFont="1" applyFill="1" applyBorder="1" applyAlignment="1">
      <alignment horizontal="center" vertical="center" wrapText="1"/>
    </xf>
    <xf numFmtId="0" fontId="3" fillId="2" borderId="140" xfId="0" applyFont="1" applyFill="1" applyBorder="1" applyAlignment="1">
      <alignment horizontal="center" vertical="center" wrapText="1"/>
    </xf>
    <xf numFmtId="0" fontId="6" fillId="2" borderId="138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3" fillId="2" borderId="200" xfId="0" applyFont="1" applyFill="1" applyBorder="1" applyAlignment="1">
      <alignment horizontal="center" vertical="center" wrapText="1"/>
    </xf>
    <xf numFmtId="0" fontId="3" fillId="2" borderId="160" xfId="0" applyFont="1" applyFill="1" applyBorder="1" applyAlignment="1">
      <alignment horizontal="center" vertical="center" wrapText="1"/>
    </xf>
    <xf numFmtId="0" fontId="7" fillId="2" borderId="20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2" borderId="16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03" xfId="0" applyFont="1" applyFill="1" applyBorder="1" applyAlignment="1">
      <alignment horizontal="center" vertical="center" wrapText="1"/>
    </xf>
    <xf numFmtId="0" fontId="6" fillId="2" borderId="170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201" xfId="0" applyFont="1" applyFill="1" applyBorder="1" applyAlignment="1">
      <alignment horizontal="center" vertical="center" wrapText="1"/>
    </xf>
    <xf numFmtId="0" fontId="6" fillId="2" borderId="202" xfId="0" applyFont="1" applyFill="1" applyBorder="1" applyAlignment="1">
      <alignment horizontal="center" vertical="center" wrapText="1"/>
    </xf>
    <xf numFmtId="0" fontId="16" fillId="2" borderId="161" xfId="0" applyFont="1" applyFill="1" applyBorder="1" applyAlignment="1">
      <alignment horizontal="center" vertical="center" wrapText="1"/>
    </xf>
    <xf numFmtId="0" fontId="16" fillId="2" borderId="163" xfId="0" applyFont="1" applyFill="1" applyBorder="1" applyAlignment="1">
      <alignment horizontal="center" vertical="center" wrapText="1"/>
    </xf>
    <xf numFmtId="0" fontId="16" fillId="2" borderId="164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5" borderId="178" xfId="0" applyFont="1" applyFill="1" applyBorder="1" applyAlignment="1">
      <alignment horizontal="center" vertical="center"/>
    </xf>
    <xf numFmtId="0" fontId="17" fillId="5" borderId="60" xfId="0" applyFont="1" applyFill="1" applyBorder="1" applyAlignment="1">
      <alignment horizontal="center" vertical="center"/>
    </xf>
    <xf numFmtId="1" fontId="14" fillId="3" borderId="158" xfId="5" applyNumberFormat="1" applyFont="1" applyFill="1" applyBorder="1" applyAlignment="1">
      <alignment vertical="center" wrapText="1"/>
    </xf>
    <xf numFmtId="1" fontId="14" fillId="3" borderId="52" xfId="5" applyNumberFormat="1" applyFont="1" applyFill="1" applyBorder="1" applyAlignment="1">
      <alignment vertical="center" wrapText="1"/>
    </xf>
    <xf numFmtId="1" fontId="14" fillId="3" borderId="40" xfId="5" applyNumberFormat="1" applyFont="1" applyFill="1" applyBorder="1" applyAlignment="1">
      <alignment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179" xfId="0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1" fontId="14" fillId="3" borderId="53" xfId="5" applyNumberFormat="1" applyFont="1" applyFill="1" applyBorder="1" applyAlignment="1">
      <alignment vertical="center" wrapText="1"/>
    </xf>
    <xf numFmtId="1" fontId="14" fillId="3" borderId="42" xfId="5" applyNumberFormat="1" applyFont="1" applyFill="1" applyBorder="1" applyAlignment="1">
      <alignment vertical="center" wrapText="1"/>
    </xf>
    <xf numFmtId="1" fontId="14" fillId="3" borderId="97" xfId="5" applyNumberFormat="1" applyFont="1" applyFill="1" applyBorder="1" applyAlignment="1">
      <alignment vertical="center" wrapText="1"/>
    </xf>
    <xf numFmtId="1" fontId="14" fillId="3" borderId="94" xfId="5" applyNumberFormat="1" applyFont="1" applyFill="1" applyBorder="1" applyAlignment="1">
      <alignment vertical="center" wrapText="1"/>
    </xf>
    <xf numFmtId="0" fontId="17" fillId="2" borderId="78" xfId="0" applyFont="1" applyFill="1" applyBorder="1" applyAlignment="1">
      <alignment horizontal="center" vertical="center"/>
    </xf>
    <xf numFmtId="0" fontId="17" fillId="2" borderId="79" xfId="0" applyFont="1" applyFill="1" applyBorder="1" applyAlignment="1">
      <alignment horizontal="center" vertical="center"/>
    </xf>
    <xf numFmtId="0" fontId="17" fillId="2" borderId="177" xfId="0" applyFont="1" applyFill="1" applyBorder="1" applyAlignment="1">
      <alignment horizontal="center" vertical="center"/>
    </xf>
    <xf numFmtId="0" fontId="17" fillId="2" borderId="98" xfId="0" applyFont="1" applyFill="1" applyBorder="1" applyAlignment="1">
      <alignment horizontal="center" vertical="center"/>
    </xf>
    <xf numFmtId="1" fontId="14" fillId="3" borderId="101" xfId="5" applyNumberFormat="1" applyFont="1" applyFill="1" applyBorder="1" applyAlignment="1">
      <alignment vertical="center" wrapText="1"/>
    </xf>
    <xf numFmtId="1" fontId="14" fillId="3" borderId="98" xfId="5" applyNumberFormat="1" applyFont="1" applyFill="1" applyBorder="1" applyAlignment="1">
      <alignment vertical="center" wrapText="1"/>
    </xf>
    <xf numFmtId="0" fontId="17" fillId="2" borderId="37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175" xfId="0" applyFont="1" applyFill="1" applyBorder="1" applyAlignment="1">
      <alignment horizontal="center" vertical="center"/>
    </xf>
    <xf numFmtId="0" fontId="17" fillId="2" borderId="58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1" fontId="14" fillId="3" borderId="92" xfId="5" applyNumberFormat="1" applyFont="1" applyFill="1" applyBorder="1" applyAlignment="1">
      <alignment vertical="center" wrapText="1"/>
    </xf>
    <xf numFmtId="1" fontId="14" fillId="3" borderId="89" xfId="5" applyNumberFormat="1" applyFont="1" applyFill="1" applyBorder="1" applyAlignment="1">
      <alignment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16" fillId="2" borderId="139" xfId="0" applyFont="1" applyFill="1" applyBorder="1" applyAlignment="1">
      <alignment vertical="center" wrapText="1"/>
    </xf>
    <xf numFmtId="0" fontId="16" fillId="2" borderId="48" xfId="0" applyFont="1" applyFill="1" applyBorder="1" applyAlignment="1">
      <alignment vertical="center" wrapText="1"/>
    </xf>
    <xf numFmtId="0" fontId="16" fillId="2" borderId="49" xfId="0" applyFont="1" applyFill="1" applyBorder="1" applyAlignment="1">
      <alignment vertical="center" wrapText="1"/>
    </xf>
    <xf numFmtId="0" fontId="16" fillId="2" borderId="141" xfId="0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6" fillId="2" borderId="24" xfId="0" applyFont="1" applyFill="1" applyBorder="1" applyAlignment="1">
      <alignment vertical="center" wrapText="1"/>
    </xf>
    <xf numFmtId="0" fontId="16" fillId="2" borderId="146" xfId="0" applyFont="1" applyFill="1" applyBorder="1" applyAlignment="1">
      <alignment vertical="center" wrapText="1"/>
    </xf>
    <xf numFmtId="0" fontId="16" fillId="2" borderId="50" xfId="0" applyFont="1" applyFill="1" applyBorder="1" applyAlignment="1">
      <alignment vertical="center" wrapText="1"/>
    </xf>
    <xf numFmtId="0" fontId="16" fillId="2" borderId="51" xfId="0" applyFont="1" applyFill="1" applyBorder="1" applyAlignment="1">
      <alignment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43" xfId="0" applyFont="1" applyFill="1" applyBorder="1" applyAlignment="1">
      <alignment horizontal="center" vertical="center" wrapText="1"/>
    </xf>
    <xf numFmtId="0" fontId="21" fillId="2" borderId="170" xfId="0" applyFont="1" applyFill="1" applyBorder="1" applyAlignment="1">
      <alignment horizontal="center" vertical="center" wrapText="1"/>
    </xf>
    <xf numFmtId="0" fontId="21" fillId="2" borderId="48" xfId="0" applyFont="1" applyFill="1" applyBorder="1" applyAlignment="1">
      <alignment horizontal="center" vertical="center" wrapText="1"/>
    </xf>
    <xf numFmtId="0" fontId="21" fillId="2" borderId="4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7" fillId="2" borderId="86" xfId="0" applyFont="1" applyFill="1" applyBorder="1" applyAlignment="1">
      <alignment horizontal="center" vertical="center" wrapText="1"/>
    </xf>
    <xf numFmtId="0" fontId="17" fillId="2" borderId="143" xfId="0" applyFont="1" applyFill="1" applyBorder="1" applyAlignment="1">
      <alignment horizontal="center" vertical="center" wrapText="1"/>
    </xf>
    <xf numFmtId="0" fontId="17" fillId="2" borderId="178" xfId="0" applyFont="1" applyFill="1" applyBorder="1" applyAlignment="1">
      <alignment horizontal="center" vertical="center"/>
    </xf>
    <xf numFmtId="0" fontId="17" fillId="2" borderId="60" xfId="0" applyFont="1" applyFill="1" applyBorder="1" applyAlignment="1">
      <alignment horizontal="center" vertical="center"/>
    </xf>
    <xf numFmtId="0" fontId="17" fillId="2" borderId="176" xfId="0" applyFont="1" applyFill="1" applyBorder="1" applyAlignment="1">
      <alignment horizontal="center" vertical="center"/>
    </xf>
    <xf numFmtId="0" fontId="17" fillId="2" borderId="89" xfId="0" applyFont="1" applyFill="1" applyBorder="1" applyAlignment="1">
      <alignment horizontal="center" vertical="center"/>
    </xf>
    <xf numFmtId="0" fontId="28" fillId="2" borderId="181" xfId="0" applyFont="1" applyFill="1" applyBorder="1" applyAlignment="1">
      <alignment horizontal="center" vertical="center"/>
    </xf>
    <xf numFmtId="0" fontId="28" fillId="2" borderId="182" xfId="0" applyFont="1" applyFill="1" applyBorder="1" applyAlignment="1">
      <alignment horizontal="center" vertical="center"/>
    </xf>
    <xf numFmtId="3" fontId="23" fillId="2" borderId="183" xfId="0" applyNumberFormat="1" applyFont="1" applyFill="1" applyBorder="1" applyAlignment="1">
      <alignment horizontal="center" vertical="center" wrapText="1"/>
    </xf>
    <xf numFmtId="0" fontId="23" fillId="2" borderId="184" xfId="0" applyFont="1" applyFill="1" applyBorder="1" applyAlignment="1">
      <alignment horizontal="center" vertical="center"/>
    </xf>
    <xf numFmtId="0" fontId="23" fillId="2" borderId="182" xfId="0" applyFont="1" applyFill="1" applyBorder="1" applyAlignment="1">
      <alignment horizontal="center" vertical="center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Pourcentage" xfId="5" builtinId="5"/>
    <cellStyle name="Result" xfId="3" xr:uid="{00000000-0005-0000-0000-000004000000}"/>
    <cellStyle name="Result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51954</xdr:colOff>
      <xdr:row>0</xdr:row>
      <xdr:rowOff>0</xdr:rowOff>
    </xdr:from>
    <xdr:to>
      <xdr:col>49</xdr:col>
      <xdr:colOff>138546</xdr:colOff>
      <xdr:row>7</xdr:row>
      <xdr:rowOff>319711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D914864-5BC2-4A52-AF22-84DA330B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499" y="0"/>
          <a:ext cx="6061364" cy="4008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460772</xdr:colOff>
      <xdr:row>0</xdr:row>
      <xdr:rowOff>51953</xdr:rowOff>
    </xdr:from>
    <xdr:to>
      <xdr:col>37</xdr:col>
      <xdr:colOff>363682</xdr:colOff>
      <xdr:row>7</xdr:row>
      <xdr:rowOff>172316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3A15DFD-8229-4244-BE91-91B537AFB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6372" y="51953"/>
          <a:ext cx="6903785" cy="4949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69273</xdr:colOff>
      <xdr:row>0</xdr:row>
      <xdr:rowOff>0</xdr:rowOff>
    </xdr:from>
    <xdr:to>
      <xdr:col>25</xdr:col>
      <xdr:colOff>209551</xdr:colOff>
      <xdr:row>8</xdr:row>
      <xdr:rowOff>368827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1F1C552-0B44-451E-B18B-A28838EEE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4073" y="0"/>
          <a:ext cx="6826828" cy="5436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530679</xdr:colOff>
      <xdr:row>0</xdr:row>
      <xdr:rowOff>23813</xdr:rowOff>
    </xdr:from>
    <xdr:to>
      <xdr:col>25</xdr:col>
      <xdr:colOff>791997</xdr:colOff>
      <xdr:row>8</xdr:row>
      <xdr:rowOff>58020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BBA8DAE-26EA-4AD8-A537-A4C3531D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61229" y="23813"/>
          <a:ext cx="5233368" cy="3596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4B15-731F-4372-B7BD-7D42607ADFB2}">
  <sheetPr>
    <tabColor rgb="FF00B050"/>
  </sheetPr>
  <dimension ref="A1:AS51"/>
  <sheetViews>
    <sheetView showZeros="0" topLeftCell="A22" zoomScale="50" zoomScaleNormal="50" zoomScaleSheetLayoutView="55" workbookViewId="0">
      <selection activeCell="T47" sqref="T47"/>
    </sheetView>
  </sheetViews>
  <sheetFormatPr baseColWidth="10" defaultRowHeight="14.25"/>
  <cols>
    <col min="1" max="1" width="6.375" style="8" customWidth="1"/>
    <col min="2" max="2" width="11" style="8" customWidth="1"/>
    <col min="3" max="38" width="6.625" style="8" customWidth="1"/>
    <col min="39" max="39" width="15.625" style="8" customWidth="1"/>
    <col min="40" max="40" width="6.625" style="8" customWidth="1"/>
    <col min="41" max="45" width="25.625" style="8" customWidth="1"/>
    <col min="46" max="16384" width="11" style="8"/>
  </cols>
  <sheetData>
    <row r="1" spans="1:45" ht="52.5" customHeight="1" thickBot="1">
      <c r="A1" s="56" t="s">
        <v>0</v>
      </c>
      <c r="B1" s="84" t="s">
        <v>182</v>
      </c>
      <c r="C1" s="49"/>
      <c r="D1" s="49"/>
      <c r="E1" s="49"/>
      <c r="F1" s="57"/>
      <c r="G1" s="49"/>
      <c r="H1" s="49"/>
      <c r="I1" s="49"/>
      <c r="J1" s="49"/>
      <c r="K1" s="57"/>
      <c r="L1" s="57"/>
      <c r="M1" s="57"/>
      <c r="N1" s="57"/>
      <c r="O1" s="58" t="s">
        <v>1</v>
      </c>
      <c r="P1" s="59" t="s">
        <v>25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60"/>
      <c r="AC1" s="60"/>
      <c r="AD1" s="60"/>
      <c r="AE1" s="49"/>
      <c r="AF1" s="49"/>
      <c r="AG1" s="49"/>
      <c r="AH1" s="49"/>
      <c r="AI1" s="60"/>
      <c r="AJ1" s="60"/>
      <c r="AK1" s="60"/>
      <c r="AL1" s="61"/>
      <c r="AM1" s="53"/>
      <c r="AN1" s="53"/>
      <c r="AO1" s="53"/>
      <c r="AP1" s="53"/>
      <c r="AQ1" s="53"/>
      <c r="AR1" s="53"/>
      <c r="AS1" s="53"/>
    </row>
    <row r="2" spans="1:45" ht="52.5" customHeight="1" thickBot="1">
      <c r="A2" s="51" t="s">
        <v>2</v>
      </c>
      <c r="B2" s="52"/>
      <c r="C2" s="52"/>
      <c r="D2" s="52"/>
      <c r="E2" s="52"/>
      <c r="F2" s="53"/>
      <c r="G2" s="24"/>
      <c r="H2" s="24"/>
      <c r="I2" s="24"/>
      <c r="J2" s="24"/>
      <c r="K2" s="52"/>
      <c r="L2" s="24" t="s">
        <v>53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52"/>
      <c r="AC2" s="52"/>
      <c r="AD2" s="52"/>
      <c r="AE2" s="24"/>
      <c r="AF2" s="24"/>
      <c r="AG2" s="24"/>
      <c r="AH2" s="24"/>
      <c r="AI2" s="52"/>
      <c r="AJ2" s="52"/>
      <c r="AK2" s="52"/>
      <c r="AL2" s="53"/>
      <c r="AM2" s="53"/>
      <c r="AN2" s="53"/>
      <c r="AO2" s="53"/>
      <c r="AP2" s="53"/>
      <c r="AQ2" s="53"/>
      <c r="AR2" s="53"/>
      <c r="AS2" s="53"/>
    </row>
    <row r="3" spans="1:45" ht="52.5" customHeight="1" thickBot="1">
      <c r="A3" s="51" t="s">
        <v>3</v>
      </c>
      <c r="B3" s="52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52"/>
      <c r="AC3" s="52"/>
      <c r="AD3" s="52"/>
      <c r="AE3" s="23"/>
      <c r="AF3" s="23"/>
      <c r="AG3" s="23"/>
      <c r="AH3" s="23"/>
      <c r="AI3" s="52"/>
      <c r="AJ3" s="52"/>
      <c r="AK3" s="52"/>
      <c r="AL3" s="53"/>
      <c r="AM3" s="53"/>
      <c r="AN3" s="53"/>
      <c r="AO3" s="53"/>
      <c r="AP3" s="53"/>
      <c r="AQ3" s="53"/>
      <c r="AR3" s="53"/>
      <c r="AS3" s="53"/>
    </row>
    <row r="4" spans="1:45" ht="52.5" customHeight="1" thickBot="1">
      <c r="A4" s="51" t="s">
        <v>18</v>
      </c>
      <c r="B4" s="52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52"/>
      <c r="AC4" s="52"/>
      <c r="AD4" s="52"/>
      <c r="AE4" s="23"/>
      <c r="AF4" s="23"/>
      <c r="AG4" s="23"/>
      <c r="AH4" s="23"/>
      <c r="AI4" s="52"/>
      <c r="AJ4" s="52"/>
      <c r="AK4" s="52"/>
      <c r="AL4" s="53"/>
      <c r="AM4" s="53"/>
      <c r="AN4" s="53"/>
      <c r="AO4" s="53"/>
      <c r="AP4" s="53"/>
      <c r="AQ4" s="53"/>
      <c r="AR4" s="53"/>
      <c r="AS4" s="53"/>
    </row>
    <row r="5" spans="1:45" ht="25.5" customHeight="1">
      <c r="A5" s="83" t="s">
        <v>50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3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3"/>
      <c r="AM5" s="53"/>
      <c r="AN5" s="53"/>
      <c r="AO5" s="53"/>
      <c r="AP5" s="53"/>
      <c r="AQ5" s="53"/>
      <c r="AR5" s="53"/>
      <c r="AS5" s="53"/>
    </row>
    <row r="6" spans="1:45" ht="25.5" customHeight="1">
      <c r="A6" s="83" t="s">
        <v>51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3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3"/>
      <c r="AM6" s="53"/>
      <c r="AN6" s="53"/>
      <c r="AO6" s="53"/>
      <c r="AP6" s="53"/>
      <c r="AQ6" s="53"/>
      <c r="AR6" s="53"/>
      <c r="AS6" s="53"/>
    </row>
    <row r="7" spans="1:45" ht="25.5" customHeight="1" thickBot="1">
      <c r="A7" s="83" t="s">
        <v>52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3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3"/>
      <c r="AM7" s="53"/>
      <c r="AN7" s="53"/>
      <c r="AO7" s="53"/>
      <c r="AP7" s="53"/>
      <c r="AQ7" s="53"/>
      <c r="AR7" s="53"/>
      <c r="AS7" s="53"/>
    </row>
    <row r="8" spans="1:45" ht="32.25" customHeight="1" thickTop="1">
      <c r="A8" s="20"/>
      <c r="B8" s="21"/>
      <c r="C8" s="399" t="s">
        <v>49</v>
      </c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 t="s">
        <v>28</v>
      </c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1"/>
      <c r="AA8" s="400" t="s">
        <v>30</v>
      </c>
      <c r="AB8" s="400"/>
      <c r="AC8" s="400"/>
      <c r="AD8" s="400"/>
      <c r="AE8" s="400"/>
      <c r="AF8" s="400"/>
      <c r="AG8" s="400"/>
      <c r="AH8" s="400"/>
      <c r="AI8" s="400"/>
      <c r="AJ8" s="400"/>
      <c r="AK8" s="400"/>
      <c r="AL8" s="401"/>
      <c r="AM8" s="320"/>
      <c r="AN8" s="320"/>
      <c r="AO8" s="320"/>
      <c r="AP8" s="320"/>
      <c r="AQ8" s="320"/>
      <c r="AR8" s="320"/>
      <c r="AS8" s="320"/>
    </row>
    <row r="9" spans="1:45" ht="22.7" customHeight="1">
      <c r="A9" s="20"/>
      <c r="B9" s="21"/>
      <c r="C9" s="398" t="s">
        <v>31</v>
      </c>
      <c r="D9" s="395"/>
      <c r="E9" s="395"/>
      <c r="F9" s="395"/>
      <c r="G9" s="398" t="s">
        <v>26</v>
      </c>
      <c r="H9" s="395"/>
      <c r="I9" s="395"/>
      <c r="J9" s="395"/>
      <c r="K9" s="398" t="s">
        <v>29</v>
      </c>
      <c r="L9" s="395"/>
      <c r="M9" s="395"/>
      <c r="N9" s="395"/>
      <c r="O9" s="398" t="s">
        <v>26</v>
      </c>
      <c r="P9" s="395"/>
      <c r="Q9" s="395"/>
      <c r="R9" s="395"/>
      <c r="S9" s="398" t="s">
        <v>31</v>
      </c>
      <c r="T9" s="395"/>
      <c r="U9" s="395"/>
      <c r="V9" s="395"/>
      <c r="W9" s="393" t="s">
        <v>27</v>
      </c>
      <c r="X9" s="393"/>
      <c r="Y9" s="393"/>
      <c r="Z9" s="394"/>
      <c r="AA9" s="398" t="s">
        <v>26</v>
      </c>
      <c r="AB9" s="395"/>
      <c r="AC9" s="395"/>
      <c r="AD9" s="395"/>
      <c r="AE9" s="398" t="s">
        <v>29</v>
      </c>
      <c r="AF9" s="395"/>
      <c r="AG9" s="395"/>
      <c r="AH9" s="395"/>
      <c r="AI9" s="393" t="s">
        <v>27</v>
      </c>
      <c r="AJ9" s="393"/>
      <c r="AK9" s="393"/>
      <c r="AL9" s="394"/>
      <c r="AM9" s="321"/>
      <c r="AN9" s="321"/>
      <c r="AO9" s="321"/>
      <c r="AP9" s="321"/>
      <c r="AQ9" s="321"/>
      <c r="AR9" s="321"/>
      <c r="AS9" s="321"/>
    </row>
    <row r="10" spans="1:45" ht="18.600000000000001" customHeight="1" thickBot="1">
      <c r="A10" s="20"/>
      <c r="B10" s="21"/>
      <c r="C10" s="397" t="s">
        <v>5</v>
      </c>
      <c r="D10" s="390"/>
      <c r="E10" s="387" t="s">
        <v>6</v>
      </c>
      <c r="F10" s="396"/>
      <c r="G10" s="389" t="s">
        <v>5</v>
      </c>
      <c r="H10" s="390"/>
      <c r="I10" s="387" t="s">
        <v>6</v>
      </c>
      <c r="J10" s="388"/>
      <c r="K10" s="389" t="s">
        <v>5</v>
      </c>
      <c r="L10" s="390"/>
      <c r="M10" s="387" t="s">
        <v>6</v>
      </c>
      <c r="N10" s="396"/>
      <c r="O10" s="389" t="s">
        <v>5</v>
      </c>
      <c r="P10" s="390"/>
      <c r="Q10" s="387" t="s">
        <v>6</v>
      </c>
      <c r="R10" s="396"/>
      <c r="S10" s="389" t="s">
        <v>5</v>
      </c>
      <c r="T10" s="390"/>
      <c r="U10" s="387" t="s">
        <v>6</v>
      </c>
      <c r="V10" s="388"/>
      <c r="W10" s="389" t="s">
        <v>5</v>
      </c>
      <c r="X10" s="390"/>
      <c r="Y10" s="387" t="s">
        <v>6</v>
      </c>
      <c r="Z10" s="388"/>
      <c r="AA10" s="389" t="s">
        <v>5</v>
      </c>
      <c r="AB10" s="390"/>
      <c r="AC10" s="387" t="s">
        <v>6</v>
      </c>
      <c r="AD10" s="396"/>
      <c r="AE10" s="389" t="s">
        <v>5</v>
      </c>
      <c r="AF10" s="390"/>
      <c r="AG10" s="387" t="s">
        <v>6</v>
      </c>
      <c r="AH10" s="388"/>
      <c r="AI10" s="389" t="s">
        <v>5</v>
      </c>
      <c r="AJ10" s="390"/>
      <c r="AK10" s="387" t="s">
        <v>6</v>
      </c>
      <c r="AL10" s="388"/>
      <c r="AM10" s="322"/>
      <c r="AN10" s="322"/>
      <c r="AO10" s="322"/>
      <c r="AP10" s="322"/>
      <c r="AQ10" s="322"/>
      <c r="AR10" s="322"/>
      <c r="AS10" s="322"/>
    </row>
    <row r="11" spans="1:45" ht="21" thickTop="1">
      <c r="A11" s="11" t="s">
        <v>7</v>
      </c>
      <c r="B11" s="12" t="s">
        <v>8</v>
      </c>
      <c r="C11" s="15" t="s">
        <v>9</v>
      </c>
      <c r="D11" s="4" t="s">
        <v>10</v>
      </c>
      <c r="E11" s="5" t="s">
        <v>9</v>
      </c>
      <c r="F11" s="6" t="s">
        <v>10</v>
      </c>
      <c r="G11" s="3" t="s">
        <v>9</v>
      </c>
      <c r="H11" s="4" t="s">
        <v>10</v>
      </c>
      <c r="I11" s="5" t="s">
        <v>9</v>
      </c>
      <c r="J11" s="16" t="s">
        <v>10</v>
      </c>
      <c r="K11" s="3" t="s">
        <v>9</v>
      </c>
      <c r="L11" s="4" t="s">
        <v>10</v>
      </c>
      <c r="M11" s="5" t="s">
        <v>9</v>
      </c>
      <c r="N11" s="6" t="s">
        <v>10</v>
      </c>
      <c r="O11" s="3" t="s">
        <v>9</v>
      </c>
      <c r="P11" s="4" t="s">
        <v>10</v>
      </c>
      <c r="Q11" s="5" t="s">
        <v>9</v>
      </c>
      <c r="R11" s="6" t="s">
        <v>10</v>
      </c>
      <c r="S11" s="3" t="s">
        <v>9</v>
      </c>
      <c r="T11" s="4" t="s">
        <v>10</v>
      </c>
      <c r="U11" s="5" t="s">
        <v>9</v>
      </c>
      <c r="V11" s="16" t="s">
        <v>10</v>
      </c>
      <c r="W11" s="3" t="s">
        <v>9</v>
      </c>
      <c r="X11" s="4" t="s">
        <v>10</v>
      </c>
      <c r="Y11" s="5" t="s">
        <v>9</v>
      </c>
      <c r="Z11" s="16" t="s">
        <v>10</v>
      </c>
      <c r="AA11" s="3" t="s">
        <v>9</v>
      </c>
      <c r="AB11" s="4" t="s">
        <v>10</v>
      </c>
      <c r="AC11" s="5" t="s">
        <v>9</v>
      </c>
      <c r="AD11" s="6" t="s">
        <v>10</v>
      </c>
      <c r="AE11" s="3" t="s">
        <v>9</v>
      </c>
      <c r="AF11" s="4" t="s">
        <v>10</v>
      </c>
      <c r="AG11" s="5" t="s">
        <v>9</v>
      </c>
      <c r="AH11" s="16" t="s">
        <v>10</v>
      </c>
      <c r="AI11" s="3" t="s">
        <v>9</v>
      </c>
      <c r="AJ11" s="4" t="s">
        <v>10</v>
      </c>
      <c r="AK11" s="5" t="s">
        <v>9</v>
      </c>
      <c r="AL11" s="16" t="s">
        <v>10</v>
      </c>
      <c r="AM11" s="55"/>
      <c r="AN11" s="55"/>
      <c r="AO11" s="55"/>
      <c r="AP11" s="55"/>
      <c r="AQ11" s="55"/>
      <c r="AR11" s="55"/>
      <c r="AS11" s="55"/>
    </row>
    <row r="12" spans="1:45" ht="54.95" customHeight="1">
      <c r="A12" s="92">
        <v>6</v>
      </c>
      <c r="B12" s="14" t="s">
        <v>20</v>
      </c>
      <c r="C12" s="64"/>
      <c r="D12" s="65"/>
      <c r="E12" s="66"/>
      <c r="F12" s="67"/>
      <c r="G12" s="68"/>
      <c r="H12" s="65"/>
      <c r="I12" s="66"/>
      <c r="J12" s="69"/>
      <c r="K12" s="68"/>
      <c r="L12" s="65"/>
      <c r="M12" s="66"/>
      <c r="N12" s="67"/>
      <c r="O12" s="68"/>
      <c r="P12" s="65"/>
      <c r="Q12" s="66"/>
      <c r="R12" s="67"/>
      <c r="S12" s="68">
        <v>1</v>
      </c>
      <c r="T12" s="65"/>
      <c r="U12" s="66"/>
      <c r="V12" s="69"/>
      <c r="W12" s="68"/>
      <c r="X12" s="65"/>
      <c r="Y12" s="66"/>
      <c r="Z12" s="69"/>
      <c r="AA12" s="68"/>
      <c r="AB12" s="65"/>
      <c r="AC12" s="66"/>
      <c r="AD12" s="67"/>
      <c r="AE12" s="68"/>
      <c r="AF12" s="65"/>
      <c r="AG12" s="66"/>
      <c r="AH12" s="69"/>
      <c r="AI12" s="68"/>
      <c r="AJ12" s="65"/>
      <c r="AK12" s="66"/>
      <c r="AL12" s="69"/>
      <c r="AM12" s="17"/>
      <c r="AN12" s="17"/>
      <c r="AO12" s="17"/>
      <c r="AP12" s="17"/>
      <c r="AQ12" s="17"/>
      <c r="AR12" s="17"/>
      <c r="AS12" s="17"/>
    </row>
    <row r="13" spans="1:45" ht="54.95" customHeight="1">
      <c r="A13" s="13"/>
      <c r="B13" s="14" t="s">
        <v>24</v>
      </c>
      <c r="C13" s="70"/>
      <c r="D13" s="71"/>
      <c r="E13" s="72"/>
      <c r="F13" s="73"/>
      <c r="G13" s="74"/>
      <c r="H13" s="71"/>
      <c r="I13" s="72"/>
      <c r="J13" s="75"/>
      <c r="K13" s="74"/>
      <c r="L13" s="71"/>
      <c r="M13" s="72"/>
      <c r="N13" s="73"/>
      <c r="O13" s="74"/>
      <c r="P13" s="71"/>
      <c r="Q13" s="72"/>
      <c r="R13" s="73"/>
      <c r="S13" s="74"/>
      <c r="T13" s="71"/>
      <c r="U13" s="72">
        <v>1</v>
      </c>
      <c r="V13" s="75"/>
      <c r="W13" s="74">
        <v>1</v>
      </c>
      <c r="X13" s="71"/>
      <c r="Y13" s="72"/>
      <c r="Z13" s="75"/>
      <c r="AA13" s="74"/>
      <c r="AB13" s="71"/>
      <c r="AC13" s="72"/>
      <c r="AD13" s="73"/>
      <c r="AE13" s="74"/>
      <c r="AF13" s="71"/>
      <c r="AG13" s="72"/>
      <c r="AH13" s="75"/>
      <c r="AI13" s="74"/>
      <c r="AJ13" s="71"/>
      <c r="AK13" s="72"/>
      <c r="AL13" s="75"/>
      <c r="AM13" s="17"/>
      <c r="AN13" s="17"/>
      <c r="AO13" s="17"/>
      <c r="AP13" s="17"/>
      <c r="AQ13" s="17"/>
      <c r="AR13" s="17"/>
      <c r="AS13" s="17"/>
    </row>
    <row r="14" spans="1:45" ht="54.95" customHeight="1">
      <c r="A14" s="92">
        <v>7</v>
      </c>
      <c r="B14" s="14" t="s">
        <v>21</v>
      </c>
      <c r="C14" s="64"/>
      <c r="D14" s="65"/>
      <c r="E14" s="66"/>
      <c r="F14" s="67"/>
      <c r="G14" s="68"/>
      <c r="H14" s="65"/>
      <c r="I14" s="66"/>
      <c r="J14" s="69"/>
      <c r="K14" s="68"/>
      <c r="L14" s="65"/>
      <c r="M14" s="66"/>
      <c r="N14" s="67">
        <v>1</v>
      </c>
      <c r="O14" s="68"/>
      <c r="P14" s="65"/>
      <c r="Q14" s="66"/>
      <c r="R14" s="67"/>
      <c r="S14" s="68"/>
      <c r="T14" s="65"/>
      <c r="U14" s="66"/>
      <c r="V14" s="69"/>
      <c r="W14" s="68"/>
      <c r="X14" s="65">
        <v>1</v>
      </c>
      <c r="Y14" s="66"/>
      <c r="Z14" s="69"/>
      <c r="AA14" s="68"/>
      <c r="AB14" s="65"/>
      <c r="AC14" s="66"/>
      <c r="AD14" s="67"/>
      <c r="AE14" s="68"/>
      <c r="AF14" s="65"/>
      <c r="AG14" s="66"/>
      <c r="AH14" s="69"/>
      <c r="AI14" s="68"/>
      <c r="AJ14" s="65"/>
      <c r="AK14" s="66"/>
      <c r="AL14" s="69"/>
      <c r="AM14" s="17"/>
      <c r="AN14" s="17"/>
      <c r="AO14" s="17"/>
      <c r="AP14" s="17"/>
      <c r="AQ14" s="17"/>
      <c r="AR14" s="17"/>
      <c r="AS14" s="17"/>
    </row>
    <row r="15" spans="1:45" ht="54.95" customHeight="1">
      <c r="A15" s="13"/>
      <c r="B15" s="14" t="s">
        <v>22</v>
      </c>
      <c r="C15" s="76"/>
      <c r="D15" s="77"/>
      <c r="E15" s="78"/>
      <c r="F15" s="79"/>
      <c r="G15" s="80"/>
      <c r="H15" s="77"/>
      <c r="I15" s="78"/>
      <c r="J15" s="81"/>
      <c r="K15" s="80"/>
      <c r="L15" s="77"/>
      <c r="M15" s="78"/>
      <c r="N15" s="79"/>
      <c r="O15" s="80"/>
      <c r="P15" s="77"/>
      <c r="Q15" s="78"/>
      <c r="R15" s="79"/>
      <c r="S15" s="80"/>
      <c r="T15" s="77">
        <v>1</v>
      </c>
      <c r="U15" s="78"/>
      <c r="V15" s="81"/>
      <c r="W15" s="80"/>
      <c r="X15" s="77">
        <v>1</v>
      </c>
      <c r="Y15" s="78"/>
      <c r="Z15" s="81"/>
      <c r="AA15" s="80"/>
      <c r="AB15" s="77"/>
      <c r="AC15" s="78"/>
      <c r="AD15" s="79"/>
      <c r="AE15" s="80"/>
      <c r="AF15" s="77"/>
      <c r="AG15" s="78"/>
      <c r="AH15" s="81"/>
      <c r="AI15" s="80"/>
      <c r="AJ15" s="77"/>
      <c r="AK15" s="78"/>
      <c r="AL15" s="81"/>
      <c r="AM15" s="17"/>
      <c r="AN15" s="17"/>
      <c r="AO15" s="17"/>
      <c r="AP15" s="17"/>
      <c r="AQ15" s="17"/>
      <c r="AR15" s="17"/>
      <c r="AS15" s="17"/>
    </row>
    <row r="16" spans="1:45" ht="54.95" customHeight="1">
      <c r="A16" s="13"/>
      <c r="B16" s="14" t="s">
        <v>20</v>
      </c>
      <c r="C16" s="76"/>
      <c r="D16" s="77"/>
      <c r="E16" s="78"/>
      <c r="F16" s="79"/>
      <c r="G16" s="80"/>
      <c r="H16" s="77"/>
      <c r="I16" s="78"/>
      <c r="J16" s="81"/>
      <c r="K16" s="80"/>
      <c r="L16" s="77"/>
      <c r="M16" s="78"/>
      <c r="N16" s="79"/>
      <c r="O16" s="80"/>
      <c r="P16" s="77"/>
      <c r="Q16" s="78"/>
      <c r="R16" s="79"/>
      <c r="S16" s="80"/>
      <c r="T16" s="77"/>
      <c r="U16" s="78"/>
      <c r="V16" s="81"/>
      <c r="W16" s="80"/>
      <c r="X16" s="77"/>
      <c r="Y16" s="78">
        <v>1</v>
      </c>
      <c r="Z16" s="81"/>
      <c r="AA16" s="80"/>
      <c r="AB16" s="77"/>
      <c r="AC16" s="78"/>
      <c r="AD16" s="79"/>
      <c r="AE16" s="80"/>
      <c r="AF16" s="77"/>
      <c r="AG16" s="78"/>
      <c r="AH16" s="81"/>
      <c r="AI16" s="80">
        <v>1</v>
      </c>
      <c r="AJ16" s="77"/>
      <c r="AK16" s="78"/>
      <c r="AL16" s="81"/>
      <c r="AM16" s="17"/>
      <c r="AN16" s="17"/>
      <c r="AO16" s="17"/>
      <c r="AP16" s="17"/>
      <c r="AQ16" s="17"/>
      <c r="AR16" s="17"/>
      <c r="AS16" s="17"/>
    </row>
    <row r="17" spans="1:45" ht="54.95" customHeight="1">
      <c r="A17" s="13"/>
      <c r="B17" s="14" t="s">
        <v>23</v>
      </c>
      <c r="C17" s="70"/>
      <c r="D17" s="71"/>
      <c r="E17" s="72"/>
      <c r="F17" s="73"/>
      <c r="G17" s="74"/>
      <c r="H17" s="71"/>
      <c r="I17" s="72"/>
      <c r="J17" s="75"/>
      <c r="K17" s="74"/>
      <c r="L17" s="71"/>
      <c r="M17" s="72"/>
      <c r="N17" s="73"/>
      <c r="O17" s="74"/>
      <c r="P17" s="71"/>
      <c r="Q17" s="72"/>
      <c r="R17" s="73"/>
      <c r="S17" s="74"/>
      <c r="T17" s="71"/>
      <c r="U17" s="72"/>
      <c r="V17" s="75"/>
      <c r="W17" s="74"/>
      <c r="X17" s="71">
        <v>1</v>
      </c>
      <c r="Y17" s="72"/>
      <c r="Z17" s="75"/>
      <c r="AA17" s="74"/>
      <c r="AB17" s="71"/>
      <c r="AC17" s="72"/>
      <c r="AD17" s="73"/>
      <c r="AE17" s="74"/>
      <c r="AF17" s="71"/>
      <c r="AG17" s="72"/>
      <c r="AH17" s="75"/>
      <c r="AI17" s="74"/>
      <c r="AJ17" s="71"/>
      <c r="AK17" s="72"/>
      <c r="AL17" s="75"/>
      <c r="AM17" s="17"/>
      <c r="AN17" s="17"/>
      <c r="AO17" s="17"/>
      <c r="AP17" s="17"/>
      <c r="AQ17" s="17"/>
      <c r="AR17" s="17"/>
      <c r="AS17" s="17"/>
    </row>
    <row r="18" spans="1:45" ht="54.95" customHeight="1">
      <c r="A18" s="92">
        <v>8</v>
      </c>
      <c r="B18" s="14" t="s">
        <v>21</v>
      </c>
      <c r="C18" s="64"/>
      <c r="D18" s="65"/>
      <c r="E18" s="66"/>
      <c r="F18" s="67"/>
      <c r="G18" s="68"/>
      <c r="H18" s="65"/>
      <c r="I18" s="66"/>
      <c r="J18" s="69"/>
      <c r="K18" s="68"/>
      <c r="L18" s="65"/>
      <c r="M18" s="66"/>
      <c r="N18" s="67"/>
      <c r="O18" s="68"/>
      <c r="P18" s="65"/>
      <c r="Q18" s="66"/>
      <c r="R18" s="67">
        <v>1</v>
      </c>
      <c r="S18" s="68"/>
      <c r="T18" s="65"/>
      <c r="U18" s="66"/>
      <c r="V18" s="69">
        <v>1</v>
      </c>
      <c r="W18" s="68">
        <v>1</v>
      </c>
      <c r="X18" s="65">
        <v>3</v>
      </c>
      <c r="Y18" s="66">
        <v>1</v>
      </c>
      <c r="Z18" s="69"/>
      <c r="AA18" s="68"/>
      <c r="AB18" s="65"/>
      <c r="AC18" s="66"/>
      <c r="AD18" s="67"/>
      <c r="AE18" s="68"/>
      <c r="AF18" s="65"/>
      <c r="AG18" s="66"/>
      <c r="AH18" s="69"/>
      <c r="AI18" s="68"/>
      <c r="AJ18" s="65"/>
      <c r="AK18" s="66"/>
      <c r="AL18" s="69"/>
      <c r="AM18" s="17"/>
      <c r="AN18" s="17"/>
      <c r="AO18" s="17"/>
      <c r="AP18" s="17"/>
      <c r="AQ18" s="17"/>
      <c r="AR18" s="17"/>
      <c r="AS18" s="17"/>
    </row>
    <row r="19" spans="1:45" ht="54.95" customHeight="1">
      <c r="A19" s="13"/>
      <c r="B19" s="14" t="s">
        <v>22</v>
      </c>
      <c r="C19" s="76"/>
      <c r="D19" s="77"/>
      <c r="E19" s="78"/>
      <c r="F19" s="79">
        <v>1</v>
      </c>
      <c r="G19" s="80"/>
      <c r="H19" s="77"/>
      <c r="I19" s="78"/>
      <c r="J19" s="81"/>
      <c r="K19" s="80">
        <v>1</v>
      </c>
      <c r="L19" s="77">
        <v>2</v>
      </c>
      <c r="M19" s="78">
        <v>1</v>
      </c>
      <c r="N19" s="79">
        <v>1</v>
      </c>
      <c r="O19" s="80"/>
      <c r="P19" s="77"/>
      <c r="Q19" s="78"/>
      <c r="R19" s="79"/>
      <c r="S19" s="80"/>
      <c r="T19" s="77">
        <v>2</v>
      </c>
      <c r="U19" s="78"/>
      <c r="V19" s="81"/>
      <c r="W19" s="80"/>
      <c r="X19" s="77">
        <v>1</v>
      </c>
      <c r="Y19" s="78"/>
      <c r="Z19" s="81">
        <v>1</v>
      </c>
      <c r="AA19" s="80"/>
      <c r="AB19" s="77"/>
      <c r="AC19" s="78"/>
      <c r="AD19" s="79"/>
      <c r="AE19" s="80"/>
      <c r="AF19" s="77">
        <v>1</v>
      </c>
      <c r="AG19" s="78"/>
      <c r="AH19" s="81"/>
      <c r="AI19" s="80"/>
      <c r="AJ19" s="77">
        <v>2</v>
      </c>
      <c r="AK19" s="78"/>
      <c r="AL19" s="81"/>
      <c r="AM19" s="17"/>
      <c r="AN19" s="17"/>
      <c r="AO19" s="17"/>
      <c r="AP19" s="17"/>
      <c r="AQ19" s="17"/>
      <c r="AR19" s="17"/>
      <c r="AS19" s="17"/>
    </row>
    <row r="20" spans="1:45" ht="54.95" customHeight="1">
      <c r="A20" s="13"/>
      <c r="B20" s="14" t="s">
        <v>20</v>
      </c>
      <c r="C20" s="76"/>
      <c r="D20" s="77"/>
      <c r="E20" s="78"/>
      <c r="F20" s="79"/>
      <c r="G20" s="80"/>
      <c r="H20" s="77"/>
      <c r="I20" s="78"/>
      <c r="J20" s="81"/>
      <c r="K20" s="80"/>
      <c r="L20" s="77"/>
      <c r="M20" s="78"/>
      <c r="N20" s="79"/>
      <c r="O20" s="80"/>
      <c r="P20" s="77"/>
      <c r="Q20" s="78"/>
      <c r="R20" s="79"/>
      <c r="S20" s="80"/>
      <c r="T20" s="77"/>
      <c r="U20" s="78"/>
      <c r="V20" s="81"/>
      <c r="W20" s="80"/>
      <c r="X20" s="77"/>
      <c r="Y20" s="78"/>
      <c r="Z20" s="81"/>
      <c r="AA20" s="80"/>
      <c r="AB20" s="77"/>
      <c r="AC20" s="78"/>
      <c r="AD20" s="79"/>
      <c r="AE20" s="80"/>
      <c r="AF20" s="77"/>
      <c r="AG20" s="78"/>
      <c r="AH20" s="81"/>
      <c r="AI20" s="80"/>
      <c r="AJ20" s="77"/>
      <c r="AK20" s="78"/>
      <c r="AL20" s="81"/>
      <c r="AM20" s="17"/>
      <c r="AN20" s="17"/>
      <c r="AO20" s="17"/>
      <c r="AP20" s="17"/>
      <c r="AQ20" s="17"/>
      <c r="AR20" s="17"/>
      <c r="AS20" s="17"/>
    </row>
    <row r="21" spans="1:45" ht="54.95" customHeight="1" thickBot="1">
      <c r="A21" s="93">
        <v>9</v>
      </c>
      <c r="B21" s="14" t="s">
        <v>23</v>
      </c>
      <c r="C21" s="70"/>
      <c r="D21" s="71"/>
      <c r="E21" s="72"/>
      <c r="F21" s="73"/>
      <c r="G21" s="74"/>
      <c r="H21" s="71"/>
      <c r="I21" s="72"/>
      <c r="J21" s="75"/>
      <c r="K21" s="74"/>
      <c r="L21" s="71"/>
      <c r="M21" s="72"/>
      <c r="N21" s="73"/>
      <c r="O21" s="74">
        <v>1</v>
      </c>
      <c r="P21" s="71"/>
      <c r="Q21" s="72"/>
      <c r="R21" s="73"/>
      <c r="S21" s="74"/>
      <c r="T21" s="71"/>
      <c r="U21" s="72"/>
      <c r="V21" s="75"/>
      <c r="W21" s="74"/>
      <c r="X21" s="71"/>
      <c r="Y21" s="72"/>
      <c r="Z21" s="75"/>
      <c r="AA21" s="74"/>
      <c r="AB21" s="71"/>
      <c r="AC21" s="72"/>
      <c r="AD21" s="73"/>
      <c r="AE21" s="74"/>
      <c r="AF21" s="71"/>
      <c r="AG21" s="72"/>
      <c r="AH21" s="75"/>
      <c r="AI21" s="74"/>
      <c r="AJ21" s="71"/>
      <c r="AK21" s="72"/>
      <c r="AL21" s="75"/>
      <c r="AM21" s="17"/>
      <c r="AN21" s="17"/>
      <c r="AO21" s="17"/>
      <c r="AP21" s="17"/>
      <c r="AQ21" s="17"/>
      <c r="AR21" s="17"/>
      <c r="AS21" s="17"/>
    </row>
    <row r="22" spans="1:45" ht="54.95" customHeight="1" thickTop="1" thickBot="1">
      <c r="A22" s="55"/>
      <c r="B22" s="5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spans="1:45" ht="52.5" customHeight="1" thickBot="1">
      <c r="A23" s="56" t="s">
        <v>0</v>
      </c>
      <c r="B23" s="48" t="str">
        <f>B1</f>
        <v>La Roche Face Biocoop</v>
      </c>
      <c r="C23" s="49"/>
      <c r="D23" s="49"/>
      <c r="E23" s="49"/>
      <c r="F23" s="57"/>
      <c r="G23" s="49"/>
      <c r="H23" s="49"/>
      <c r="I23" s="49"/>
      <c r="J23" s="49"/>
      <c r="K23" s="57"/>
      <c r="L23" s="57"/>
      <c r="M23" s="57"/>
      <c r="N23" s="57"/>
      <c r="O23" s="58" t="s">
        <v>1</v>
      </c>
      <c r="P23" s="59" t="str">
        <f>P1</f>
        <v>16 juin 2020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60"/>
      <c r="AC23" s="60"/>
      <c r="AD23" s="60"/>
      <c r="AE23" s="49"/>
      <c r="AF23" s="49"/>
      <c r="AG23" s="49"/>
      <c r="AH23" s="49"/>
      <c r="AI23" s="60"/>
      <c r="AJ23" s="60"/>
      <c r="AK23" s="60"/>
      <c r="AL23" s="61"/>
      <c r="AM23" s="61"/>
      <c r="AN23" s="61"/>
      <c r="AO23" s="61"/>
      <c r="AP23" s="61"/>
      <c r="AQ23" s="61"/>
      <c r="AR23" s="61"/>
      <c r="AS23" s="61"/>
    </row>
    <row r="24" spans="1:45" ht="52.5" customHeight="1" thickBot="1">
      <c r="A24" s="51" t="s">
        <v>2</v>
      </c>
      <c r="B24" s="52"/>
      <c r="C24" s="52"/>
      <c r="D24" s="52"/>
      <c r="E24" s="52"/>
      <c r="F24" s="53"/>
      <c r="G24" s="24"/>
      <c r="H24" s="24"/>
      <c r="I24" s="24"/>
      <c r="J24" s="24"/>
      <c r="K24" s="52"/>
      <c r="L24" s="25" t="str">
        <f>L2</f>
        <v>Philippe Poirier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52"/>
      <c r="AC24" s="52"/>
      <c r="AD24" s="52"/>
      <c r="AE24" s="24"/>
      <c r="AF24" s="24"/>
      <c r="AG24" s="24"/>
      <c r="AH24" s="24"/>
      <c r="AI24" s="52"/>
      <c r="AJ24" s="52"/>
      <c r="AK24" s="52"/>
      <c r="AL24" s="53"/>
      <c r="AM24" s="53"/>
      <c r="AN24" s="53"/>
      <c r="AO24" s="53"/>
      <c r="AP24" s="53"/>
      <c r="AQ24" s="53"/>
      <c r="AR24" s="53"/>
      <c r="AS24" s="53"/>
    </row>
    <row r="25" spans="1:45" ht="52.5" customHeight="1" thickBot="1">
      <c r="A25" s="51" t="s">
        <v>3</v>
      </c>
      <c r="B25" s="52"/>
      <c r="C25" s="22">
        <f>C3</f>
        <v>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52"/>
      <c r="AC25" s="52"/>
      <c r="AD25" s="52"/>
      <c r="AE25" s="23"/>
      <c r="AF25" s="23"/>
      <c r="AG25" s="23"/>
      <c r="AH25" s="23"/>
      <c r="AI25" s="52"/>
      <c r="AJ25" s="52"/>
      <c r="AK25" s="52"/>
      <c r="AL25" s="53"/>
      <c r="AM25" s="53"/>
      <c r="AN25" s="53"/>
      <c r="AO25" s="53"/>
      <c r="AP25" s="53"/>
      <c r="AQ25" s="53"/>
      <c r="AR25" s="53"/>
      <c r="AS25" s="53"/>
    </row>
    <row r="26" spans="1:45" ht="52.5" customHeight="1" thickBot="1">
      <c r="A26" s="51" t="s">
        <v>18</v>
      </c>
      <c r="B26" s="52"/>
      <c r="C26" s="22">
        <f>C4</f>
        <v>0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52"/>
      <c r="AC26" s="52"/>
      <c r="AD26" s="52"/>
      <c r="AE26" s="23"/>
      <c r="AF26" s="23"/>
      <c r="AG26" s="23"/>
      <c r="AH26" s="23"/>
      <c r="AI26" s="52"/>
      <c r="AJ26" s="52"/>
      <c r="AK26" s="52"/>
      <c r="AL26" s="53"/>
      <c r="AM26" s="53"/>
      <c r="AN26" s="53"/>
      <c r="AO26" s="53"/>
      <c r="AP26" s="53"/>
      <c r="AQ26" s="53"/>
      <c r="AR26" s="53"/>
      <c r="AS26" s="53"/>
    </row>
    <row r="27" spans="1:45" ht="25.5" customHeight="1">
      <c r="A27" s="54" t="s">
        <v>45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3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3"/>
      <c r="AM27" s="53"/>
      <c r="AN27" s="53"/>
      <c r="AO27" s="53"/>
      <c r="AP27" s="53"/>
      <c r="AQ27" s="53"/>
      <c r="AR27" s="53"/>
      <c r="AS27" s="53"/>
    </row>
    <row r="28" spans="1:45" ht="25.5" customHeight="1">
      <c r="A28" s="54" t="s">
        <v>4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3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3"/>
      <c r="AM28" s="53"/>
      <c r="AN28" s="53"/>
      <c r="AO28" s="53"/>
      <c r="AP28" s="53"/>
      <c r="AQ28" s="53"/>
      <c r="AR28" s="53"/>
      <c r="AS28" s="53"/>
    </row>
    <row r="29" spans="1:45" ht="25.5" customHeight="1">
      <c r="A29" s="54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3"/>
      <c r="AM29" s="53"/>
      <c r="AN29" s="53"/>
      <c r="AO29" s="54" t="s">
        <v>169</v>
      </c>
      <c r="AP29" s="53"/>
      <c r="AQ29" s="53"/>
      <c r="AR29" s="53"/>
      <c r="AS29" s="53"/>
    </row>
    <row r="30" spans="1:45" ht="25.5" customHeight="1" thickBot="1">
      <c r="A30" s="54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3"/>
      <c r="AM30" s="53"/>
      <c r="AN30" s="53"/>
      <c r="AO30" s="53"/>
      <c r="AP30" s="53"/>
      <c r="AQ30" s="53"/>
      <c r="AR30" s="53"/>
      <c r="AS30" s="53"/>
    </row>
    <row r="31" spans="1:45" ht="32.25" customHeight="1" thickTop="1">
      <c r="A31" s="20"/>
      <c r="B31" s="21"/>
      <c r="C31" s="399" t="str">
        <f>C8</f>
        <v>De La Gare (Fg St Bernard) vers</v>
      </c>
      <c r="D31" s="400"/>
      <c r="E31" s="400"/>
      <c r="F31" s="400"/>
      <c r="G31" s="400"/>
      <c r="H31" s="400"/>
      <c r="I31" s="400"/>
      <c r="J31" s="400"/>
      <c r="K31" s="400"/>
      <c r="L31" s="400"/>
      <c r="M31" s="400"/>
      <c r="N31" s="400"/>
      <c r="O31" s="400" t="str">
        <f>O8</f>
        <v>Du Pont du Foron vers</v>
      </c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1"/>
      <c r="AA31" s="400" t="str">
        <f>AA8</f>
        <v>Du Rd Point La Poste vers</v>
      </c>
      <c r="AB31" s="400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20"/>
      <c r="AN31" s="21"/>
      <c r="AO31" s="368" t="s">
        <v>13</v>
      </c>
      <c r="AP31" s="385" t="s">
        <v>108</v>
      </c>
      <c r="AQ31" s="385" t="s">
        <v>109</v>
      </c>
      <c r="AR31" s="385" t="s">
        <v>110</v>
      </c>
      <c r="AS31" s="362" t="s">
        <v>163</v>
      </c>
    </row>
    <row r="32" spans="1:45" ht="22.7" customHeight="1">
      <c r="A32" s="20"/>
      <c r="B32" s="21"/>
      <c r="C32" s="398" t="str">
        <f>C9</f>
        <v>Rd Pt Poste</v>
      </c>
      <c r="D32" s="395"/>
      <c r="E32" s="395"/>
      <c r="F32" s="395"/>
      <c r="G32" s="393" t="str">
        <f>G9</f>
        <v>Rue Perrine</v>
      </c>
      <c r="H32" s="393"/>
      <c r="I32" s="393"/>
      <c r="J32" s="393"/>
      <c r="K32" s="393" t="str">
        <f>K9</f>
        <v>Pont du Foron</v>
      </c>
      <c r="L32" s="393"/>
      <c r="M32" s="393"/>
      <c r="N32" s="393"/>
      <c r="O32" s="395" t="str">
        <f>O9</f>
        <v>Rue Perrine</v>
      </c>
      <c r="P32" s="395"/>
      <c r="Q32" s="395"/>
      <c r="R32" s="395"/>
      <c r="S32" s="393" t="str">
        <f>S9</f>
        <v>Rd Pt Poste</v>
      </c>
      <c r="T32" s="393"/>
      <c r="U32" s="393"/>
      <c r="V32" s="393"/>
      <c r="W32" s="393" t="str">
        <f>W9</f>
        <v>La Gare</v>
      </c>
      <c r="X32" s="393"/>
      <c r="Y32" s="393"/>
      <c r="Z32" s="394"/>
      <c r="AA32" s="395" t="str">
        <f>AA9</f>
        <v>Rue Perrine</v>
      </c>
      <c r="AB32" s="395"/>
      <c r="AC32" s="395"/>
      <c r="AD32" s="395"/>
      <c r="AE32" s="393" t="str">
        <f>AE9</f>
        <v>Pont du Foron</v>
      </c>
      <c r="AF32" s="393"/>
      <c r="AG32" s="393"/>
      <c r="AH32" s="393"/>
      <c r="AI32" s="393" t="str">
        <f>AI9</f>
        <v>La Gare</v>
      </c>
      <c r="AJ32" s="395"/>
      <c r="AK32" s="395"/>
      <c r="AL32" s="395"/>
      <c r="AM32" s="20"/>
      <c r="AN32" s="21"/>
      <c r="AO32" s="369"/>
      <c r="AP32" s="386"/>
      <c r="AQ32" s="386"/>
      <c r="AR32" s="386"/>
      <c r="AS32" s="363"/>
    </row>
    <row r="33" spans="1:45" ht="18.600000000000001" customHeight="1" thickBot="1">
      <c r="A33" s="20"/>
      <c r="B33" s="21"/>
      <c r="C33" s="397" t="s">
        <v>5</v>
      </c>
      <c r="D33" s="390"/>
      <c r="E33" s="387" t="s">
        <v>6</v>
      </c>
      <c r="F33" s="396"/>
      <c r="G33" s="389" t="s">
        <v>5</v>
      </c>
      <c r="H33" s="390"/>
      <c r="I33" s="387" t="s">
        <v>6</v>
      </c>
      <c r="J33" s="388"/>
      <c r="K33" s="389" t="s">
        <v>5</v>
      </c>
      <c r="L33" s="390"/>
      <c r="M33" s="387" t="s">
        <v>6</v>
      </c>
      <c r="N33" s="396"/>
      <c r="O33" s="389" t="s">
        <v>5</v>
      </c>
      <c r="P33" s="390"/>
      <c r="Q33" s="387" t="s">
        <v>6</v>
      </c>
      <c r="R33" s="396"/>
      <c r="S33" s="389" t="s">
        <v>5</v>
      </c>
      <c r="T33" s="390"/>
      <c r="U33" s="387" t="s">
        <v>6</v>
      </c>
      <c r="V33" s="388"/>
      <c r="W33" s="389" t="s">
        <v>5</v>
      </c>
      <c r="X33" s="390"/>
      <c r="Y33" s="387" t="s">
        <v>6</v>
      </c>
      <c r="Z33" s="388"/>
      <c r="AA33" s="389" t="s">
        <v>5</v>
      </c>
      <c r="AB33" s="390"/>
      <c r="AC33" s="387" t="s">
        <v>6</v>
      </c>
      <c r="AD33" s="396"/>
      <c r="AE33" s="389" t="s">
        <v>5</v>
      </c>
      <c r="AF33" s="390"/>
      <c r="AG33" s="387" t="s">
        <v>6</v>
      </c>
      <c r="AH33" s="388"/>
      <c r="AI33" s="389" t="s">
        <v>5</v>
      </c>
      <c r="AJ33" s="390"/>
      <c r="AK33" s="391" t="s">
        <v>6</v>
      </c>
      <c r="AL33" s="392"/>
      <c r="AM33" s="124"/>
      <c r="AN33" s="21"/>
      <c r="AO33" s="369"/>
      <c r="AP33" s="386"/>
      <c r="AQ33" s="386"/>
      <c r="AR33" s="386"/>
      <c r="AS33" s="363"/>
    </row>
    <row r="34" spans="1:45" ht="21" thickTop="1">
      <c r="A34" s="373" t="s">
        <v>14</v>
      </c>
      <c r="B34" s="374"/>
      <c r="C34" s="15" t="s">
        <v>9</v>
      </c>
      <c r="D34" s="4" t="s">
        <v>10</v>
      </c>
      <c r="E34" s="5" t="s">
        <v>9</v>
      </c>
      <c r="F34" s="6" t="s">
        <v>10</v>
      </c>
      <c r="G34" s="3" t="s">
        <v>9</v>
      </c>
      <c r="H34" s="4" t="s">
        <v>10</v>
      </c>
      <c r="I34" s="5" t="s">
        <v>9</v>
      </c>
      <c r="J34" s="16" t="s">
        <v>10</v>
      </c>
      <c r="K34" s="3" t="s">
        <v>9</v>
      </c>
      <c r="L34" s="4" t="s">
        <v>10</v>
      </c>
      <c r="M34" s="5" t="s">
        <v>9</v>
      </c>
      <c r="N34" s="6" t="s">
        <v>10</v>
      </c>
      <c r="O34" s="3" t="s">
        <v>9</v>
      </c>
      <c r="P34" s="4" t="s">
        <v>10</v>
      </c>
      <c r="Q34" s="5" t="s">
        <v>9</v>
      </c>
      <c r="R34" s="6" t="s">
        <v>10</v>
      </c>
      <c r="S34" s="3" t="s">
        <v>9</v>
      </c>
      <c r="T34" s="4" t="s">
        <v>10</v>
      </c>
      <c r="U34" s="5" t="s">
        <v>9</v>
      </c>
      <c r="V34" s="16" t="s">
        <v>10</v>
      </c>
      <c r="W34" s="3" t="s">
        <v>9</v>
      </c>
      <c r="X34" s="4" t="s">
        <v>10</v>
      </c>
      <c r="Y34" s="5" t="s">
        <v>9</v>
      </c>
      <c r="Z34" s="16" t="s">
        <v>10</v>
      </c>
      <c r="AA34" s="3" t="s">
        <v>9</v>
      </c>
      <c r="AB34" s="4" t="s">
        <v>10</v>
      </c>
      <c r="AC34" s="5" t="s">
        <v>9</v>
      </c>
      <c r="AD34" s="6" t="s">
        <v>10</v>
      </c>
      <c r="AE34" s="3" t="s">
        <v>9</v>
      </c>
      <c r="AF34" s="4" t="s">
        <v>10</v>
      </c>
      <c r="AG34" s="5" t="s">
        <v>9</v>
      </c>
      <c r="AH34" s="16" t="s">
        <v>10</v>
      </c>
      <c r="AI34" s="3" t="s">
        <v>9</v>
      </c>
      <c r="AJ34" s="4" t="s">
        <v>10</v>
      </c>
      <c r="AK34" s="5" t="s">
        <v>9</v>
      </c>
      <c r="AL34" s="6" t="s">
        <v>10</v>
      </c>
      <c r="AM34" s="364" t="s">
        <v>14</v>
      </c>
      <c r="AN34" s="365"/>
      <c r="AO34" s="369"/>
      <c r="AP34" s="386"/>
      <c r="AQ34" s="386"/>
      <c r="AR34" s="386"/>
      <c r="AS34" s="363"/>
    </row>
    <row r="35" spans="1:45" ht="54.95" customHeight="1">
      <c r="A35" s="375" t="s">
        <v>175</v>
      </c>
      <c r="B35" s="376"/>
      <c r="C35" s="26">
        <f>SUM(C12:C13)</f>
        <v>0</v>
      </c>
      <c r="D35" s="27">
        <f t="shared" ref="D35:AL35" si="0">SUM(D12:D13)</f>
        <v>0</v>
      </c>
      <c r="E35" s="28">
        <f t="shared" si="0"/>
        <v>0</v>
      </c>
      <c r="F35" s="29">
        <f t="shared" si="0"/>
        <v>0</v>
      </c>
      <c r="G35" s="30">
        <f t="shared" si="0"/>
        <v>0</v>
      </c>
      <c r="H35" s="27">
        <f t="shared" si="0"/>
        <v>0</v>
      </c>
      <c r="I35" s="28">
        <f t="shared" si="0"/>
        <v>0</v>
      </c>
      <c r="J35" s="31">
        <f t="shared" si="0"/>
        <v>0</v>
      </c>
      <c r="K35" s="30">
        <f t="shared" si="0"/>
        <v>0</v>
      </c>
      <c r="L35" s="27">
        <f t="shared" si="0"/>
        <v>0</v>
      </c>
      <c r="M35" s="28">
        <f t="shared" si="0"/>
        <v>0</v>
      </c>
      <c r="N35" s="29">
        <f t="shared" si="0"/>
        <v>0</v>
      </c>
      <c r="O35" s="30">
        <f t="shared" si="0"/>
        <v>0</v>
      </c>
      <c r="P35" s="27">
        <f t="shared" si="0"/>
        <v>0</v>
      </c>
      <c r="Q35" s="28">
        <f t="shared" si="0"/>
        <v>0</v>
      </c>
      <c r="R35" s="29">
        <f t="shared" si="0"/>
        <v>0</v>
      </c>
      <c r="S35" s="30">
        <f t="shared" si="0"/>
        <v>1</v>
      </c>
      <c r="T35" s="27">
        <f t="shared" si="0"/>
        <v>0</v>
      </c>
      <c r="U35" s="28">
        <f t="shared" si="0"/>
        <v>1</v>
      </c>
      <c r="V35" s="31">
        <f t="shared" si="0"/>
        <v>0</v>
      </c>
      <c r="W35" s="30">
        <f t="shared" si="0"/>
        <v>1</v>
      </c>
      <c r="X35" s="27">
        <f t="shared" si="0"/>
        <v>0</v>
      </c>
      <c r="Y35" s="28">
        <f t="shared" si="0"/>
        <v>0</v>
      </c>
      <c r="Z35" s="31">
        <f t="shared" si="0"/>
        <v>0</v>
      </c>
      <c r="AA35" s="30">
        <f t="shared" si="0"/>
        <v>0</v>
      </c>
      <c r="AB35" s="27">
        <f t="shared" si="0"/>
        <v>0</v>
      </c>
      <c r="AC35" s="28">
        <f t="shared" si="0"/>
        <v>0</v>
      </c>
      <c r="AD35" s="29">
        <f t="shared" si="0"/>
        <v>0</v>
      </c>
      <c r="AE35" s="30">
        <f t="shared" si="0"/>
        <v>0</v>
      </c>
      <c r="AF35" s="27">
        <f t="shared" si="0"/>
        <v>0</v>
      </c>
      <c r="AG35" s="28">
        <f t="shared" si="0"/>
        <v>0</v>
      </c>
      <c r="AH35" s="31">
        <f t="shared" si="0"/>
        <v>0</v>
      </c>
      <c r="AI35" s="30">
        <f t="shared" si="0"/>
        <v>0</v>
      </c>
      <c r="AJ35" s="27">
        <f t="shared" si="0"/>
        <v>0</v>
      </c>
      <c r="AK35" s="28">
        <f t="shared" si="0"/>
        <v>0</v>
      </c>
      <c r="AL35" s="29">
        <f t="shared" si="0"/>
        <v>0</v>
      </c>
      <c r="AM35" s="366" t="str">
        <f>A35</f>
        <v>6:30 à 7:00</v>
      </c>
      <c r="AN35" s="367"/>
      <c r="AO35" s="47">
        <f>SUM(C35:AL35)</f>
        <v>3</v>
      </c>
      <c r="AP35" s="303">
        <f>C35+E35+G35+I35+K35+M35+O35+Q35+S35+U35+W35+Y35+AA35+AC35+AE35+AG35+AI35+AK35</f>
        <v>3</v>
      </c>
      <c r="AQ35" s="303">
        <f>E35+F35+I35+J35+M35+N35+Q35+R35+U35+V35+Y35+Z35+AC35+AD35+AG35+AH35+AK35+AL35</f>
        <v>1</v>
      </c>
      <c r="AR35" s="303">
        <f>E35+I35+M35+Q35+U35+Y35+AC35+AG35+AK35</f>
        <v>1</v>
      </c>
      <c r="AS35" s="303">
        <f>SUM(C35:N35)+SUM(W35:Z35)+SUM(AI35:AL35)</f>
        <v>1</v>
      </c>
    </row>
    <row r="36" spans="1:45" ht="54.95" customHeight="1">
      <c r="A36" s="377" t="s">
        <v>46</v>
      </c>
      <c r="B36" s="378"/>
      <c r="C36" s="32">
        <f t="shared" ref="C36:AL36" si="1">SUM(C14:C17)</f>
        <v>0</v>
      </c>
      <c r="D36" s="33">
        <f t="shared" si="1"/>
        <v>0</v>
      </c>
      <c r="E36" s="34">
        <f t="shared" si="1"/>
        <v>0</v>
      </c>
      <c r="F36" s="35">
        <f t="shared" si="1"/>
        <v>0</v>
      </c>
      <c r="G36" s="36">
        <f t="shared" si="1"/>
        <v>0</v>
      </c>
      <c r="H36" s="33">
        <f t="shared" si="1"/>
        <v>0</v>
      </c>
      <c r="I36" s="34">
        <f t="shared" si="1"/>
        <v>0</v>
      </c>
      <c r="J36" s="37">
        <f t="shared" si="1"/>
        <v>0</v>
      </c>
      <c r="K36" s="36">
        <f t="shared" si="1"/>
        <v>0</v>
      </c>
      <c r="L36" s="33">
        <f t="shared" si="1"/>
        <v>0</v>
      </c>
      <c r="M36" s="34">
        <f t="shared" si="1"/>
        <v>0</v>
      </c>
      <c r="N36" s="35">
        <f t="shared" si="1"/>
        <v>1</v>
      </c>
      <c r="O36" s="36">
        <f t="shared" si="1"/>
        <v>0</v>
      </c>
      <c r="P36" s="33">
        <f t="shared" si="1"/>
        <v>0</v>
      </c>
      <c r="Q36" s="34">
        <f t="shared" si="1"/>
        <v>0</v>
      </c>
      <c r="R36" s="35">
        <f t="shared" si="1"/>
        <v>0</v>
      </c>
      <c r="S36" s="36">
        <f t="shared" si="1"/>
        <v>0</v>
      </c>
      <c r="T36" s="33">
        <f t="shared" si="1"/>
        <v>1</v>
      </c>
      <c r="U36" s="34">
        <f t="shared" si="1"/>
        <v>0</v>
      </c>
      <c r="V36" s="37">
        <f t="shared" si="1"/>
        <v>0</v>
      </c>
      <c r="W36" s="36">
        <f t="shared" si="1"/>
        <v>0</v>
      </c>
      <c r="X36" s="33">
        <f t="shared" si="1"/>
        <v>3</v>
      </c>
      <c r="Y36" s="34">
        <f t="shared" si="1"/>
        <v>1</v>
      </c>
      <c r="Z36" s="37">
        <f t="shared" si="1"/>
        <v>0</v>
      </c>
      <c r="AA36" s="36">
        <f t="shared" si="1"/>
        <v>0</v>
      </c>
      <c r="AB36" s="33">
        <f t="shared" si="1"/>
        <v>0</v>
      </c>
      <c r="AC36" s="34">
        <f t="shared" si="1"/>
        <v>0</v>
      </c>
      <c r="AD36" s="35">
        <f t="shared" si="1"/>
        <v>0</v>
      </c>
      <c r="AE36" s="36">
        <f t="shared" si="1"/>
        <v>0</v>
      </c>
      <c r="AF36" s="33">
        <f t="shared" si="1"/>
        <v>0</v>
      </c>
      <c r="AG36" s="34">
        <f t="shared" si="1"/>
        <v>0</v>
      </c>
      <c r="AH36" s="37">
        <f t="shared" si="1"/>
        <v>0</v>
      </c>
      <c r="AI36" s="36">
        <f t="shared" si="1"/>
        <v>1</v>
      </c>
      <c r="AJ36" s="33">
        <f t="shared" si="1"/>
        <v>0</v>
      </c>
      <c r="AK36" s="34">
        <f t="shared" si="1"/>
        <v>0</v>
      </c>
      <c r="AL36" s="35">
        <f t="shared" si="1"/>
        <v>0</v>
      </c>
      <c r="AM36" s="379" t="str">
        <f>A36</f>
        <v>7:00 à 8:00</v>
      </c>
      <c r="AN36" s="380"/>
      <c r="AO36" s="47">
        <f t="shared" ref="AO36:AO38" si="2">SUM(C36:AL36)</f>
        <v>7</v>
      </c>
      <c r="AP36" s="303">
        <f t="shared" ref="AP36:AP39" si="3">C36+E36+G36+I36+K36+M36+O36+Q36+S36+U36+W36+Y36+AA36+AC36+AE36+AG36+AI36+AK36</f>
        <v>2</v>
      </c>
      <c r="AQ36" s="303">
        <f t="shared" ref="AQ36:AQ39" si="4">E36+F36+I36+J36+M36+N36+Q36+R36+U36+V36+Y36+Z36+AC36+AD36+AG36+AH36+AK36+AL36</f>
        <v>2</v>
      </c>
      <c r="AR36" s="303">
        <f t="shared" ref="AR36:AR39" si="5">E36+I36+M36+Q36+U36+Y36+AC36+AG36+AK36</f>
        <v>1</v>
      </c>
      <c r="AS36" s="303">
        <f t="shared" ref="AS36:AS38" si="6">SUM(C36:N36)+SUM(W36:Z36)+SUM(AI36:AL36)</f>
        <v>6</v>
      </c>
    </row>
    <row r="37" spans="1:45" ht="54.95" customHeight="1">
      <c r="A37" s="377" t="s">
        <v>47</v>
      </c>
      <c r="B37" s="378"/>
      <c r="C37" s="32">
        <f t="shared" ref="C37:AL37" si="7">SUM(C16:C19)</f>
        <v>0</v>
      </c>
      <c r="D37" s="33">
        <f t="shared" si="7"/>
        <v>0</v>
      </c>
      <c r="E37" s="34">
        <f t="shared" si="7"/>
        <v>0</v>
      </c>
      <c r="F37" s="35">
        <f t="shared" si="7"/>
        <v>1</v>
      </c>
      <c r="G37" s="36">
        <f t="shared" si="7"/>
        <v>0</v>
      </c>
      <c r="H37" s="33">
        <f t="shared" si="7"/>
        <v>0</v>
      </c>
      <c r="I37" s="34">
        <f t="shared" si="7"/>
        <v>0</v>
      </c>
      <c r="J37" s="37">
        <f t="shared" si="7"/>
        <v>0</v>
      </c>
      <c r="K37" s="36">
        <f t="shared" si="7"/>
        <v>1</v>
      </c>
      <c r="L37" s="33">
        <f t="shared" si="7"/>
        <v>2</v>
      </c>
      <c r="M37" s="34">
        <f t="shared" si="7"/>
        <v>1</v>
      </c>
      <c r="N37" s="35">
        <f t="shared" si="7"/>
        <v>1</v>
      </c>
      <c r="O37" s="36">
        <f t="shared" si="7"/>
        <v>0</v>
      </c>
      <c r="P37" s="33">
        <f t="shared" si="7"/>
        <v>0</v>
      </c>
      <c r="Q37" s="34">
        <f t="shared" si="7"/>
        <v>0</v>
      </c>
      <c r="R37" s="35">
        <f t="shared" si="7"/>
        <v>1</v>
      </c>
      <c r="S37" s="36">
        <f t="shared" si="7"/>
        <v>0</v>
      </c>
      <c r="T37" s="33">
        <f t="shared" si="7"/>
        <v>2</v>
      </c>
      <c r="U37" s="34">
        <f t="shared" si="7"/>
        <v>0</v>
      </c>
      <c r="V37" s="37">
        <f t="shared" si="7"/>
        <v>1</v>
      </c>
      <c r="W37" s="36">
        <f t="shared" si="7"/>
        <v>1</v>
      </c>
      <c r="X37" s="33">
        <f t="shared" si="7"/>
        <v>5</v>
      </c>
      <c r="Y37" s="34">
        <f t="shared" si="7"/>
        <v>2</v>
      </c>
      <c r="Z37" s="37">
        <f t="shared" si="7"/>
        <v>1</v>
      </c>
      <c r="AA37" s="36">
        <f t="shared" si="7"/>
        <v>0</v>
      </c>
      <c r="AB37" s="33">
        <f t="shared" si="7"/>
        <v>0</v>
      </c>
      <c r="AC37" s="34">
        <f t="shared" si="7"/>
        <v>0</v>
      </c>
      <c r="AD37" s="35">
        <f t="shared" si="7"/>
        <v>0</v>
      </c>
      <c r="AE37" s="36">
        <f t="shared" si="7"/>
        <v>0</v>
      </c>
      <c r="AF37" s="33">
        <f t="shared" si="7"/>
        <v>1</v>
      </c>
      <c r="AG37" s="34">
        <f t="shared" si="7"/>
        <v>0</v>
      </c>
      <c r="AH37" s="37">
        <f t="shared" si="7"/>
        <v>0</v>
      </c>
      <c r="AI37" s="36">
        <f t="shared" si="7"/>
        <v>1</v>
      </c>
      <c r="AJ37" s="33">
        <f t="shared" si="7"/>
        <v>2</v>
      </c>
      <c r="AK37" s="34">
        <f t="shared" si="7"/>
        <v>0</v>
      </c>
      <c r="AL37" s="35">
        <f t="shared" si="7"/>
        <v>0</v>
      </c>
      <c r="AM37" s="379" t="str">
        <f t="shared" ref="AM37:AM38" si="8">A37</f>
        <v>7:30 à 8:30</v>
      </c>
      <c r="AN37" s="380"/>
      <c r="AO37" s="47">
        <f t="shared" si="2"/>
        <v>23</v>
      </c>
      <c r="AP37" s="303">
        <f t="shared" si="3"/>
        <v>6</v>
      </c>
      <c r="AQ37" s="303">
        <f t="shared" si="4"/>
        <v>8</v>
      </c>
      <c r="AR37" s="303">
        <f t="shared" si="5"/>
        <v>3</v>
      </c>
      <c r="AS37" s="303">
        <f t="shared" si="6"/>
        <v>18</v>
      </c>
    </row>
    <row r="38" spans="1:45" ht="54.95" customHeight="1">
      <c r="A38" s="377" t="s">
        <v>48</v>
      </c>
      <c r="B38" s="378"/>
      <c r="C38" s="32">
        <f t="shared" ref="C38:AL38" si="9">SUM(C18:C21)</f>
        <v>0</v>
      </c>
      <c r="D38" s="33">
        <f t="shared" si="9"/>
        <v>0</v>
      </c>
      <c r="E38" s="34">
        <f t="shared" si="9"/>
        <v>0</v>
      </c>
      <c r="F38" s="35">
        <f t="shared" si="9"/>
        <v>1</v>
      </c>
      <c r="G38" s="36">
        <f t="shared" si="9"/>
        <v>0</v>
      </c>
      <c r="H38" s="33">
        <f t="shared" si="9"/>
        <v>0</v>
      </c>
      <c r="I38" s="34">
        <f t="shared" si="9"/>
        <v>0</v>
      </c>
      <c r="J38" s="37">
        <f t="shared" si="9"/>
        <v>0</v>
      </c>
      <c r="K38" s="36">
        <f t="shared" si="9"/>
        <v>1</v>
      </c>
      <c r="L38" s="33">
        <f t="shared" si="9"/>
        <v>2</v>
      </c>
      <c r="M38" s="34">
        <f t="shared" si="9"/>
        <v>1</v>
      </c>
      <c r="N38" s="35">
        <f t="shared" si="9"/>
        <v>1</v>
      </c>
      <c r="O38" s="36">
        <f t="shared" si="9"/>
        <v>1</v>
      </c>
      <c r="P38" s="33">
        <f t="shared" si="9"/>
        <v>0</v>
      </c>
      <c r="Q38" s="34">
        <f t="shared" si="9"/>
        <v>0</v>
      </c>
      <c r="R38" s="35">
        <f t="shared" si="9"/>
        <v>1</v>
      </c>
      <c r="S38" s="36">
        <f t="shared" si="9"/>
        <v>0</v>
      </c>
      <c r="T38" s="33">
        <f t="shared" si="9"/>
        <v>2</v>
      </c>
      <c r="U38" s="34">
        <f t="shared" si="9"/>
        <v>0</v>
      </c>
      <c r="V38" s="37">
        <f t="shared" si="9"/>
        <v>1</v>
      </c>
      <c r="W38" s="36">
        <f t="shared" si="9"/>
        <v>1</v>
      </c>
      <c r="X38" s="33">
        <f t="shared" si="9"/>
        <v>4</v>
      </c>
      <c r="Y38" s="34">
        <f t="shared" si="9"/>
        <v>1</v>
      </c>
      <c r="Z38" s="37">
        <f t="shared" si="9"/>
        <v>1</v>
      </c>
      <c r="AA38" s="36">
        <f t="shared" si="9"/>
        <v>0</v>
      </c>
      <c r="AB38" s="33">
        <f t="shared" si="9"/>
        <v>0</v>
      </c>
      <c r="AC38" s="34">
        <f t="shared" si="9"/>
        <v>0</v>
      </c>
      <c r="AD38" s="35">
        <f t="shared" si="9"/>
        <v>0</v>
      </c>
      <c r="AE38" s="36">
        <f t="shared" si="9"/>
        <v>0</v>
      </c>
      <c r="AF38" s="33">
        <f t="shared" si="9"/>
        <v>1</v>
      </c>
      <c r="AG38" s="34">
        <f t="shared" si="9"/>
        <v>0</v>
      </c>
      <c r="AH38" s="37">
        <f t="shared" si="9"/>
        <v>0</v>
      </c>
      <c r="AI38" s="36">
        <f t="shared" si="9"/>
        <v>0</v>
      </c>
      <c r="AJ38" s="33">
        <f t="shared" si="9"/>
        <v>2</v>
      </c>
      <c r="AK38" s="34">
        <f t="shared" si="9"/>
        <v>0</v>
      </c>
      <c r="AL38" s="35">
        <f t="shared" si="9"/>
        <v>0</v>
      </c>
      <c r="AM38" s="379" t="str">
        <f t="shared" si="8"/>
        <v>8:00 à 9:00</v>
      </c>
      <c r="AN38" s="380"/>
      <c r="AO38" s="47">
        <f t="shared" si="2"/>
        <v>21</v>
      </c>
      <c r="AP38" s="303">
        <f t="shared" si="3"/>
        <v>5</v>
      </c>
      <c r="AQ38" s="303">
        <f t="shared" si="4"/>
        <v>7</v>
      </c>
      <c r="AR38" s="303">
        <f t="shared" si="5"/>
        <v>2</v>
      </c>
      <c r="AS38" s="303">
        <f t="shared" si="6"/>
        <v>15</v>
      </c>
    </row>
    <row r="39" spans="1:45" ht="54.95" customHeight="1" thickBot="1">
      <c r="A39" s="381" t="s">
        <v>13</v>
      </c>
      <c r="B39" s="382"/>
      <c r="C39" s="38">
        <f t="shared" ref="C39:AL39" si="10">SUM(C12:C21)</f>
        <v>0</v>
      </c>
      <c r="D39" s="39">
        <f t="shared" si="10"/>
        <v>0</v>
      </c>
      <c r="E39" s="40">
        <f t="shared" si="10"/>
        <v>0</v>
      </c>
      <c r="F39" s="41">
        <f t="shared" si="10"/>
        <v>1</v>
      </c>
      <c r="G39" s="42">
        <f t="shared" si="10"/>
        <v>0</v>
      </c>
      <c r="H39" s="39">
        <f t="shared" si="10"/>
        <v>0</v>
      </c>
      <c r="I39" s="40">
        <f t="shared" si="10"/>
        <v>0</v>
      </c>
      <c r="J39" s="43">
        <f t="shared" si="10"/>
        <v>0</v>
      </c>
      <c r="K39" s="42">
        <f t="shared" si="10"/>
        <v>1</v>
      </c>
      <c r="L39" s="39">
        <f t="shared" si="10"/>
        <v>2</v>
      </c>
      <c r="M39" s="40">
        <f t="shared" si="10"/>
        <v>1</v>
      </c>
      <c r="N39" s="41">
        <f t="shared" si="10"/>
        <v>2</v>
      </c>
      <c r="O39" s="42">
        <f t="shared" si="10"/>
        <v>1</v>
      </c>
      <c r="P39" s="39">
        <f t="shared" si="10"/>
        <v>0</v>
      </c>
      <c r="Q39" s="40">
        <f t="shared" si="10"/>
        <v>0</v>
      </c>
      <c r="R39" s="41">
        <f t="shared" si="10"/>
        <v>1</v>
      </c>
      <c r="S39" s="42">
        <f t="shared" si="10"/>
        <v>1</v>
      </c>
      <c r="T39" s="39">
        <f t="shared" si="10"/>
        <v>3</v>
      </c>
      <c r="U39" s="40">
        <f t="shared" si="10"/>
        <v>1</v>
      </c>
      <c r="V39" s="43">
        <f t="shared" si="10"/>
        <v>1</v>
      </c>
      <c r="W39" s="42">
        <f t="shared" si="10"/>
        <v>2</v>
      </c>
      <c r="X39" s="39">
        <f t="shared" si="10"/>
        <v>7</v>
      </c>
      <c r="Y39" s="40">
        <f t="shared" si="10"/>
        <v>2</v>
      </c>
      <c r="Z39" s="43">
        <f t="shared" si="10"/>
        <v>1</v>
      </c>
      <c r="AA39" s="42">
        <f t="shared" si="10"/>
        <v>0</v>
      </c>
      <c r="AB39" s="39">
        <f t="shared" si="10"/>
        <v>0</v>
      </c>
      <c r="AC39" s="40">
        <f t="shared" si="10"/>
        <v>0</v>
      </c>
      <c r="AD39" s="41">
        <f t="shared" si="10"/>
        <v>0</v>
      </c>
      <c r="AE39" s="42">
        <f t="shared" si="10"/>
        <v>0</v>
      </c>
      <c r="AF39" s="39">
        <f t="shared" si="10"/>
        <v>1</v>
      </c>
      <c r="AG39" s="40">
        <f t="shared" si="10"/>
        <v>0</v>
      </c>
      <c r="AH39" s="43">
        <f t="shared" si="10"/>
        <v>0</v>
      </c>
      <c r="AI39" s="42">
        <f t="shared" si="10"/>
        <v>1</v>
      </c>
      <c r="AJ39" s="39">
        <f t="shared" si="10"/>
        <v>2</v>
      </c>
      <c r="AK39" s="40">
        <f t="shared" si="10"/>
        <v>0</v>
      </c>
      <c r="AL39" s="41">
        <f t="shared" si="10"/>
        <v>0</v>
      </c>
      <c r="AM39" s="383" t="s">
        <v>13</v>
      </c>
      <c r="AN39" s="384"/>
      <c r="AO39" s="328">
        <f>SUM(C39:AL39)</f>
        <v>31</v>
      </c>
      <c r="AP39" s="329">
        <f t="shared" si="3"/>
        <v>10</v>
      </c>
      <c r="AQ39" s="329">
        <f t="shared" si="4"/>
        <v>10</v>
      </c>
      <c r="AR39" s="329">
        <f t="shared" si="5"/>
        <v>4</v>
      </c>
      <c r="AS39" s="329">
        <f>SUM(C39:N39)+SUM(W39:Z39)+SUM(AI39:AL39)</f>
        <v>22</v>
      </c>
    </row>
    <row r="40" spans="1:45" ht="54.95" customHeight="1" thickTop="1" thickBot="1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8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360" t="str">
        <f>IF($AO$37=MAX($AO$35:$AO$38),AM37,IF($AO$36=MAX($AO$35:$AO$38),AM36,IF($AN$35=MAX($AO$35:$AO$38),AM35,IF($AO$38=MAX($AO$35:$AO$38),AM38,AM38))))</f>
        <v>7:30 à 8:30</v>
      </c>
      <c r="AN40" s="361"/>
      <c r="AO40" s="314">
        <f>IF($AO$37=MAX($AO$35:$AO$38),AO37,IF($AO$36=MAX($AO$35:$AO$38),AO36,IF($AN$35=MAX($AO$35:$AO$38),AO35,IF($AO$38=MAX($AO$35:$AO$38),AO38,AO38))))</f>
        <v>23</v>
      </c>
      <c r="AP40" s="315">
        <f>IF($AO$37=MAX($AO$35:$AO$38),AP37,IF($AO$36=MAX($AO$35:$AO$38),AP36,IF($AN$35=MAX($AO$35:$AO$38),AP35,IF($AO$38=MAX($AO$35:$AO$38),AP38,AP38))))</f>
        <v>6</v>
      </c>
      <c r="AQ40" s="315">
        <f>IF($AO$37=MAX($AO$35:$AO$38),AQ37,IF($AO$36=MAX($AO$35:$AO$38),AQ36,IF($AO$35=MAX($AO$35:$AO$38),AQ35,IF($AO$38=MAX($AO$35:$AO$38),AQ38,AQ38))))</f>
        <v>8</v>
      </c>
      <c r="AR40" s="315">
        <f>IF($AO$37=MAX($AO$35:$AO$38),AR37,IF($AO$36=MAX($AO$35:$AO$38),AR36,IF($AO$35=MAX($AO$35:$AO$38),AR35,IF($AO$38=MAX($AO$35:$AO$38),AR38,AR38))))</f>
        <v>3</v>
      </c>
      <c r="AS40" s="315">
        <f>IF($AO$37=MAX($AO$35:$AO$38),AS37,IF($AO$36=MAX($AO$35:$AO$38),AS36,IF($AO$35=MAX($AO$35:$AO$38),AS35,IF($AO$38=MAX($AO$35:$AO$38),AS38,AS38))))</f>
        <v>18</v>
      </c>
    </row>
    <row r="41" spans="1:45" ht="21" thickTop="1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20"/>
      <c r="AN41" s="21"/>
      <c r="AO41" s="368" t="s">
        <v>13</v>
      </c>
      <c r="AP41" s="370" t="s">
        <v>15</v>
      </c>
      <c r="AQ41" s="370" t="s">
        <v>16</v>
      </c>
      <c r="AR41" s="370" t="s">
        <v>17</v>
      </c>
      <c r="AS41" s="362" t="str">
        <f>AS31</f>
        <v>Cycles direc La Gare</v>
      </c>
    </row>
    <row r="42" spans="1:45" ht="20.25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20"/>
      <c r="AN42" s="21"/>
      <c r="AO42" s="369"/>
      <c r="AP42" s="371"/>
      <c r="AQ42" s="371"/>
      <c r="AR42" s="371"/>
      <c r="AS42" s="363"/>
    </row>
    <row r="43" spans="1:45" ht="21" thickBot="1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24"/>
      <c r="AN43" s="21"/>
      <c r="AO43" s="369"/>
      <c r="AP43" s="371"/>
      <c r="AQ43" s="371"/>
      <c r="AR43" s="371"/>
      <c r="AS43" s="363"/>
    </row>
    <row r="44" spans="1:45" ht="21" thickTop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364" t="s">
        <v>14</v>
      </c>
      <c r="AN44" s="365"/>
      <c r="AO44" s="369"/>
      <c r="AP44" s="372"/>
      <c r="AQ44" s="372"/>
      <c r="AR44" s="372"/>
      <c r="AS44" s="363"/>
    </row>
    <row r="45" spans="1:45" ht="39.950000000000003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366" t="str">
        <f>AM35</f>
        <v>6:30 à 7:00</v>
      </c>
      <c r="AN45" s="367"/>
      <c r="AO45" s="47"/>
      <c r="AP45" s="304">
        <f>IF(AP35=0,0,AP35/AO35)</f>
        <v>1</v>
      </c>
      <c r="AQ45" s="304">
        <f t="shared" ref="AQ45:AR48" si="11">IF(AQ35=0,0,AQ35/AO35)</f>
        <v>0.33333333333333331</v>
      </c>
      <c r="AR45" s="304">
        <f t="shared" si="11"/>
        <v>0.33333333333333331</v>
      </c>
      <c r="AS45" s="304">
        <f>IF(AS35=0,0,AS35/AO35)</f>
        <v>0.33333333333333331</v>
      </c>
    </row>
    <row r="46" spans="1:45" ht="39.950000000000003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366" t="str">
        <f t="shared" ref="AM46:AM48" si="12">AM36</f>
        <v>7:00 à 8:00</v>
      </c>
      <c r="AN46" s="367"/>
      <c r="AO46" s="47"/>
      <c r="AP46" s="304">
        <f>IF(AP36=0,0,AP36/AO36)</f>
        <v>0.2857142857142857</v>
      </c>
      <c r="AQ46" s="304">
        <f t="shared" si="11"/>
        <v>0.2857142857142857</v>
      </c>
      <c r="AR46" s="304">
        <f t="shared" si="11"/>
        <v>0.5</v>
      </c>
      <c r="AS46" s="304">
        <f>IF(AS36=0,0,AS36/AO36)</f>
        <v>0.8571428571428571</v>
      </c>
    </row>
    <row r="47" spans="1:45" ht="39.950000000000003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366" t="str">
        <f t="shared" si="12"/>
        <v>7:30 à 8:30</v>
      </c>
      <c r="AN47" s="367"/>
      <c r="AO47" s="47"/>
      <c r="AP47" s="304">
        <f>IF(AP37=0,0,AP37/AO37)</f>
        <v>0.2608695652173913</v>
      </c>
      <c r="AQ47" s="304">
        <f t="shared" si="11"/>
        <v>0.34782608695652173</v>
      </c>
      <c r="AR47" s="304">
        <f t="shared" si="11"/>
        <v>0.5</v>
      </c>
      <c r="AS47" s="304">
        <f>IF(AS37=0,0,AS37/AO37)</f>
        <v>0.78260869565217395</v>
      </c>
    </row>
    <row r="48" spans="1:45" ht="39.950000000000003" customHeight="1">
      <c r="F48" s="7"/>
      <c r="K48" s="7"/>
      <c r="L48" s="7"/>
      <c r="M48" s="7"/>
      <c r="N48" s="7"/>
      <c r="O48" s="7"/>
      <c r="P48" s="7"/>
      <c r="Q48" s="7"/>
      <c r="AA48" s="7"/>
      <c r="AB48" s="7"/>
      <c r="AC48" s="7"/>
      <c r="AM48" s="366" t="str">
        <f t="shared" si="12"/>
        <v>8:00 à 9:00</v>
      </c>
      <c r="AN48" s="367"/>
      <c r="AO48" s="47"/>
      <c r="AP48" s="304">
        <f>IF(AP38=0,0,AP38/AO38)</f>
        <v>0.23809523809523808</v>
      </c>
      <c r="AQ48" s="304">
        <f t="shared" si="11"/>
        <v>0.33333333333333331</v>
      </c>
      <c r="AR48" s="304">
        <f t="shared" si="11"/>
        <v>0.4</v>
      </c>
      <c r="AS48" s="304">
        <f>IF(AS38=0,0,AS38/AO38)</f>
        <v>0.7142857142857143</v>
      </c>
    </row>
    <row r="49" spans="6:45" ht="39.950000000000003" customHeight="1">
      <c r="F49" s="7"/>
      <c r="K49" s="7"/>
      <c r="L49" s="7"/>
      <c r="M49" s="7"/>
      <c r="N49" s="7"/>
      <c r="O49" s="7"/>
      <c r="P49" s="7"/>
      <c r="Q49" s="7"/>
      <c r="AA49" s="7"/>
      <c r="AB49" s="7"/>
      <c r="AC49" s="7"/>
      <c r="AM49" s="358" t="s">
        <v>13</v>
      </c>
      <c r="AN49" s="359"/>
      <c r="AO49" s="334"/>
      <c r="AP49" s="335">
        <f t="shared" ref="AP49" si="13">IF(AP39=0,0,AP39/AO39)</f>
        <v>0.32258064516129031</v>
      </c>
      <c r="AQ49" s="335">
        <f t="shared" ref="AQ49:AR49" si="14">IF(AQ39=0,0,AQ39/AO39)</f>
        <v>0.32258064516129031</v>
      </c>
      <c r="AR49" s="335">
        <f t="shared" si="14"/>
        <v>0.4</v>
      </c>
      <c r="AS49" s="335">
        <f t="shared" ref="AS49" si="15">IF(AS39=0,0,AS39/AO39)</f>
        <v>0.70967741935483875</v>
      </c>
    </row>
    <row r="50" spans="6:45" ht="39.950000000000003" customHeight="1" thickBot="1">
      <c r="AM50" s="360" t="str">
        <f>AM40</f>
        <v>7:30 à 8:30</v>
      </c>
      <c r="AN50" s="361"/>
      <c r="AO50" s="314"/>
      <c r="AP50" s="313">
        <f>AP40/AO40</f>
        <v>0.2608695652173913</v>
      </c>
      <c r="AQ50" s="313">
        <f>AQ40/AP40</f>
        <v>1.3333333333333333</v>
      </c>
      <c r="AR50" s="313">
        <f>AR40/AO40</f>
        <v>0.13043478260869565</v>
      </c>
      <c r="AS50" s="313">
        <f>AS40/AO40</f>
        <v>0.78260869565217395</v>
      </c>
    </row>
    <row r="51" spans="6:45" ht="15" thickTop="1"/>
  </sheetData>
  <mergeCells count="90">
    <mergeCell ref="C8:N8"/>
    <mergeCell ref="O8:Z8"/>
    <mergeCell ref="AA8:AL8"/>
    <mergeCell ref="C9:F9"/>
    <mergeCell ref="G9:J9"/>
    <mergeCell ref="K9:N9"/>
    <mergeCell ref="O9:R9"/>
    <mergeCell ref="S9:V9"/>
    <mergeCell ref="W9:Z9"/>
    <mergeCell ref="AA9:AD9"/>
    <mergeCell ref="AE9:AH9"/>
    <mergeCell ref="AI9:AL9"/>
    <mergeCell ref="AI10:AJ10"/>
    <mergeCell ref="AK10:AL10"/>
    <mergeCell ref="C31:N31"/>
    <mergeCell ref="O31:Z31"/>
    <mergeCell ref="AA31:AL31"/>
    <mergeCell ref="S10:T10"/>
    <mergeCell ref="U10:V10"/>
    <mergeCell ref="W10:X10"/>
    <mergeCell ref="Y10:Z10"/>
    <mergeCell ref="AA10:AB10"/>
    <mergeCell ref="AC10:AD10"/>
    <mergeCell ref="M10:N10"/>
    <mergeCell ref="O10:P10"/>
    <mergeCell ref="Q10:R10"/>
    <mergeCell ref="AE10:AF10"/>
    <mergeCell ref="AG10:AH10"/>
    <mergeCell ref="C10:D10"/>
    <mergeCell ref="E10:F10"/>
    <mergeCell ref="G10:H10"/>
    <mergeCell ref="I10:J10"/>
    <mergeCell ref="K10:L10"/>
    <mergeCell ref="C32:F32"/>
    <mergeCell ref="G32:J32"/>
    <mergeCell ref="K32:N32"/>
    <mergeCell ref="O32:R32"/>
    <mergeCell ref="S32:V32"/>
    <mergeCell ref="M33:N33"/>
    <mergeCell ref="O33:P33"/>
    <mergeCell ref="Q33:R33"/>
    <mergeCell ref="U33:V33"/>
    <mergeCell ref="W33:X33"/>
    <mergeCell ref="S33:T33"/>
    <mergeCell ref="C33:D33"/>
    <mergeCell ref="E33:F33"/>
    <mergeCell ref="G33:H33"/>
    <mergeCell ref="I33:J33"/>
    <mergeCell ref="K33:L33"/>
    <mergeCell ref="AG33:AH33"/>
    <mergeCell ref="AI33:AJ33"/>
    <mergeCell ref="AK33:AL33"/>
    <mergeCell ref="W32:Z32"/>
    <mergeCell ref="AA32:AD32"/>
    <mergeCell ref="AE32:AH32"/>
    <mergeCell ref="AI32:AL32"/>
    <mergeCell ref="Y33:Z33"/>
    <mergeCell ref="AA33:AB33"/>
    <mergeCell ref="AC33:AD33"/>
    <mergeCell ref="AE33:AF33"/>
    <mergeCell ref="AO31:AO34"/>
    <mergeCell ref="AP31:AP34"/>
    <mergeCell ref="AQ31:AQ34"/>
    <mergeCell ref="AR31:AR34"/>
    <mergeCell ref="AS31:AS34"/>
    <mergeCell ref="A39:B39"/>
    <mergeCell ref="AM38:AN38"/>
    <mergeCell ref="AM39:AN39"/>
    <mergeCell ref="AM40:AN40"/>
    <mergeCell ref="A37:B37"/>
    <mergeCell ref="A38:B38"/>
    <mergeCell ref="AM37:AN37"/>
    <mergeCell ref="A34:B34"/>
    <mergeCell ref="A35:B35"/>
    <mergeCell ref="A36:B36"/>
    <mergeCell ref="AM34:AN34"/>
    <mergeCell ref="AM35:AN35"/>
    <mergeCell ref="AM36:AN36"/>
    <mergeCell ref="AM49:AN49"/>
    <mergeCell ref="AM50:AN50"/>
    <mergeCell ref="AS41:AS44"/>
    <mergeCell ref="AM44:AN44"/>
    <mergeCell ref="AM45:AN45"/>
    <mergeCell ref="AM46:AN46"/>
    <mergeCell ref="AM47:AN47"/>
    <mergeCell ref="AO41:AO44"/>
    <mergeCell ref="AP41:AP44"/>
    <mergeCell ref="AQ41:AQ44"/>
    <mergeCell ref="AR41:AR44"/>
    <mergeCell ref="AM48:AN48"/>
  </mergeCells>
  <pageMargins left="0.39370078740157483" right="0.39370078740157483" top="0.39370078740157483" bottom="0.39370078740157483" header="0.19685039370078741" footer="0.19685039370078741"/>
  <pageSetup paperSize="9" scale="49" fitToWidth="0" fitToHeight="0" pageOrder="overThenDown" orientation="landscape" useFirstPageNumber="1" horizontalDpi="1200" verticalDpi="1200" r:id="rId1"/>
  <headerFooter alignWithMargins="0"/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4167-69C6-4DAF-A6F0-0223E080FAF1}">
  <sheetPr>
    <tabColor rgb="FF00B050"/>
  </sheetPr>
  <dimension ref="A1:CB52"/>
  <sheetViews>
    <sheetView showZeros="0" topLeftCell="A30" zoomScale="50" zoomScaleNormal="50" zoomScaleSheetLayoutView="55" workbookViewId="0">
      <selection activeCell="G47" sqref="G47"/>
    </sheetView>
  </sheetViews>
  <sheetFormatPr baseColWidth="10" defaultRowHeight="14.25"/>
  <cols>
    <col min="1" max="1" width="4.5" style="8" customWidth="1"/>
    <col min="2" max="2" width="11" style="8" customWidth="1"/>
    <col min="3" max="70" width="4.625" style="8" customWidth="1"/>
    <col min="71" max="73" width="11" style="8"/>
    <col min="74" max="77" width="16.625" style="8" customWidth="1"/>
    <col min="78" max="16384" width="11" style="8"/>
  </cols>
  <sheetData>
    <row r="1" spans="1:70" ht="52.5" customHeight="1" thickBot="1">
      <c r="A1" s="56"/>
      <c r="B1" s="84" t="s">
        <v>183</v>
      </c>
      <c r="C1" s="49"/>
      <c r="D1" s="49"/>
      <c r="E1" s="49"/>
      <c r="F1" s="57"/>
      <c r="G1" s="49"/>
      <c r="H1" s="49"/>
      <c r="I1" s="49"/>
      <c r="J1" s="49"/>
      <c r="K1" s="49"/>
      <c r="L1" s="49"/>
      <c r="M1" s="49"/>
      <c r="N1" s="49"/>
      <c r="O1" s="57"/>
      <c r="P1" s="57"/>
      <c r="Q1" s="57"/>
      <c r="R1" s="57"/>
      <c r="S1" s="58" t="s">
        <v>1</v>
      </c>
      <c r="T1" s="59" t="s">
        <v>25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60"/>
      <c r="AG1" s="60"/>
      <c r="AH1" s="60"/>
      <c r="AI1" s="49"/>
      <c r="AJ1" s="49"/>
      <c r="AK1" s="49"/>
      <c r="AL1" s="49"/>
      <c r="AM1" s="60"/>
      <c r="AN1" s="60"/>
      <c r="AO1" s="60"/>
      <c r="AP1" s="61"/>
      <c r="AQ1" s="49"/>
      <c r="AR1" s="49"/>
      <c r="AS1" s="49"/>
      <c r="AT1" s="57"/>
      <c r="AU1" s="49"/>
      <c r="AV1" s="49"/>
      <c r="AW1" s="49"/>
      <c r="AX1" s="49"/>
      <c r="AY1" s="57"/>
      <c r="AZ1" s="57"/>
      <c r="BA1" s="57"/>
      <c r="BB1" s="57"/>
      <c r="BC1" s="58" t="s">
        <v>1</v>
      </c>
      <c r="BD1" s="59" t="s">
        <v>25</v>
      </c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</row>
    <row r="2" spans="1:70" ht="52.5" customHeight="1" thickBot="1">
      <c r="A2" s="51" t="s">
        <v>2</v>
      </c>
      <c r="B2" s="52"/>
      <c r="C2" s="52"/>
      <c r="D2" s="52"/>
      <c r="E2" s="52"/>
      <c r="F2" s="53"/>
      <c r="G2" s="24"/>
      <c r="H2" s="24"/>
      <c r="I2" s="24"/>
      <c r="J2" s="24"/>
      <c r="K2" s="44"/>
      <c r="L2" s="44"/>
      <c r="M2" s="44"/>
      <c r="N2" s="44"/>
      <c r="O2" s="52"/>
      <c r="P2" s="25" t="s">
        <v>59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52"/>
      <c r="AG2" s="52"/>
      <c r="AH2" s="52"/>
      <c r="AI2" s="24"/>
      <c r="AJ2" s="24"/>
      <c r="AK2" s="24"/>
      <c r="AL2" s="24"/>
      <c r="AM2" s="52"/>
      <c r="AN2" s="52"/>
      <c r="AO2" s="52"/>
      <c r="AP2" s="53"/>
      <c r="AQ2" s="52"/>
      <c r="AR2" s="52"/>
      <c r="AS2" s="52"/>
      <c r="AT2" s="53"/>
      <c r="AU2" s="24"/>
      <c r="AV2" s="24"/>
      <c r="AW2" s="24"/>
      <c r="AX2" s="24"/>
      <c r="AY2" s="52"/>
      <c r="AZ2" s="25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</row>
    <row r="3" spans="1:70" ht="52.5" customHeight="1" thickBot="1">
      <c r="A3" s="51" t="s">
        <v>3</v>
      </c>
      <c r="B3" s="52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52"/>
      <c r="AG3" s="52"/>
      <c r="AH3" s="52"/>
      <c r="AI3" s="23"/>
      <c r="AJ3" s="23"/>
      <c r="AK3" s="23"/>
      <c r="AL3" s="23"/>
      <c r="AM3" s="52"/>
      <c r="AN3" s="52"/>
      <c r="AO3" s="52"/>
      <c r="AP3" s="53"/>
      <c r="AQ3" s="22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spans="1:70" ht="52.5" customHeight="1" thickBot="1">
      <c r="A4" s="51" t="s">
        <v>18</v>
      </c>
      <c r="B4" s="52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52"/>
      <c r="AG4" s="52"/>
      <c r="AH4" s="52"/>
      <c r="AI4" s="23"/>
      <c r="AJ4" s="23"/>
      <c r="AK4" s="23"/>
      <c r="AL4" s="23"/>
      <c r="AM4" s="52"/>
      <c r="AN4" s="52"/>
      <c r="AO4" s="52"/>
      <c r="AP4" s="53"/>
      <c r="AQ4" s="22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spans="1:70" ht="25.5" customHeight="1">
      <c r="A5" s="83" t="s">
        <v>50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3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3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3"/>
    </row>
    <row r="6" spans="1:70" ht="25.5" customHeight="1">
      <c r="A6" s="83" t="s">
        <v>51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3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3"/>
    </row>
    <row r="7" spans="1:70" ht="25.5" customHeight="1" thickBot="1">
      <c r="A7" s="83" t="s">
        <v>52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3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3"/>
    </row>
    <row r="8" spans="1:70" ht="32.25" customHeight="1" thickTop="1">
      <c r="A8" s="20"/>
      <c r="B8" s="21"/>
      <c r="C8" s="399" t="s">
        <v>63</v>
      </c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 t="s">
        <v>64</v>
      </c>
      <c r="T8" s="400"/>
      <c r="U8" s="400"/>
      <c r="V8" s="400"/>
      <c r="W8" s="400"/>
      <c r="X8" s="400"/>
      <c r="Y8" s="400"/>
      <c r="Z8" s="400"/>
      <c r="AA8" s="400"/>
      <c r="AB8" s="400"/>
      <c r="AC8" s="400"/>
      <c r="AD8" s="401"/>
      <c r="AE8" s="400" t="s">
        <v>65</v>
      </c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1"/>
      <c r="AQ8" s="399" t="s">
        <v>62</v>
      </c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 t="s">
        <v>36</v>
      </c>
      <c r="BD8" s="400"/>
      <c r="BE8" s="400"/>
      <c r="BF8" s="400"/>
      <c r="BG8" s="400"/>
      <c r="BH8" s="400"/>
      <c r="BI8" s="400"/>
      <c r="BJ8" s="400"/>
      <c r="BK8" s="400"/>
      <c r="BL8" s="400"/>
      <c r="BM8" s="400"/>
      <c r="BN8" s="400"/>
      <c r="BO8" s="400"/>
      <c r="BP8" s="400"/>
      <c r="BQ8" s="400"/>
      <c r="BR8" s="401"/>
    </row>
    <row r="9" spans="1:70" ht="22.7" customHeight="1">
      <c r="A9" s="20"/>
      <c r="B9" s="21"/>
      <c r="C9" s="398" t="s">
        <v>61</v>
      </c>
      <c r="D9" s="395"/>
      <c r="E9" s="395"/>
      <c r="F9" s="395"/>
      <c r="G9" s="398" t="s">
        <v>35</v>
      </c>
      <c r="H9" s="395"/>
      <c r="I9" s="395"/>
      <c r="J9" s="395"/>
      <c r="K9" s="398" t="s">
        <v>60</v>
      </c>
      <c r="L9" s="395"/>
      <c r="M9" s="395"/>
      <c r="N9" s="395"/>
      <c r="O9" s="398" t="s">
        <v>33</v>
      </c>
      <c r="P9" s="395"/>
      <c r="Q9" s="395"/>
      <c r="R9" s="395"/>
      <c r="S9" s="398" t="s">
        <v>35</v>
      </c>
      <c r="T9" s="395"/>
      <c r="U9" s="395"/>
      <c r="V9" s="395"/>
      <c r="W9" s="398" t="s">
        <v>60</v>
      </c>
      <c r="X9" s="395"/>
      <c r="Y9" s="395"/>
      <c r="Z9" s="395"/>
      <c r="AA9" s="398" t="s">
        <v>34</v>
      </c>
      <c r="AB9" s="395"/>
      <c r="AC9" s="395"/>
      <c r="AD9" s="395"/>
      <c r="AE9" s="398" t="s">
        <v>34</v>
      </c>
      <c r="AF9" s="395"/>
      <c r="AG9" s="395"/>
      <c r="AH9" s="395"/>
      <c r="AI9" s="398" t="s">
        <v>35</v>
      </c>
      <c r="AJ9" s="395"/>
      <c r="AK9" s="395"/>
      <c r="AL9" s="395"/>
      <c r="AM9" s="398" t="s">
        <v>32</v>
      </c>
      <c r="AN9" s="395"/>
      <c r="AO9" s="395"/>
      <c r="AP9" s="395"/>
      <c r="AQ9" s="398" t="s">
        <v>60</v>
      </c>
      <c r="AR9" s="395"/>
      <c r="AS9" s="395"/>
      <c r="AT9" s="395"/>
      <c r="AU9" s="398" t="s">
        <v>34</v>
      </c>
      <c r="AV9" s="395"/>
      <c r="AW9" s="395"/>
      <c r="AX9" s="395"/>
      <c r="AY9" s="398" t="s">
        <v>61</v>
      </c>
      <c r="AZ9" s="395"/>
      <c r="BA9" s="395"/>
      <c r="BB9" s="395"/>
      <c r="BC9" s="398" t="s">
        <v>37</v>
      </c>
      <c r="BD9" s="395"/>
      <c r="BE9" s="395"/>
      <c r="BF9" s="395"/>
      <c r="BG9" s="398" t="s">
        <v>61</v>
      </c>
      <c r="BH9" s="395"/>
      <c r="BI9" s="395"/>
      <c r="BJ9" s="395"/>
      <c r="BK9" s="398" t="s">
        <v>34</v>
      </c>
      <c r="BL9" s="395"/>
      <c r="BM9" s="395"/>
      <c r="BN9" s="395"/>
      <c r="BO9" s="398" t="s">
        <v>60</v>
      </c>
      <c r="BP9" s="395"/>
      <c r="BQ9" s="395"/>
      <c r="BR9" s="395"/>
    </row>
    <row r="10" spans="1:70" ht="18.600000000000001" customHeight="1" thickBot="1">
      <c r="A10" s="20"/>
      <c r="B10" s="21"/>
      <c r="C10" s="397" t="s">
        <v>5</v>
      </c>
      <c r="D10" s="390"/>
      <c r="E10" s="387" t="s">
        <v>6</v>
      </c>
      <c r="F10" s="396"/>
      <c r="G10" s="389" t="s">
        <v>5</v>
      </c>
      <c r="H10" s="390"/>
      <c r="I10" s="387" t="s">
        <v>6</v>
      </c>
      <c r="J10" s="388"/>
      <c r="K10" s="389" t="s">
        <v>5</v>
      </c>
      <c r="L10" s="390"/>
      <c r="M10" s="387" t="s">
        <v>6</v>
      </c>
      <c r="N10" s="388"/>
      <c r="O10" s="389" t="s">
        <v>5</v>
      </c>
      <c r="P10" s="390"/>
      <c r="Q10" s="387" t="s">
        <v>6</v>
      </c>
      <c r="R10" s="396"/>
      <c r="S10" s="389" t="s">
        <v>5</v>
      </c>
      <c r="T10" s="390"/>
      <c r="U10" s="387" t="s">
        <v>6</v>
      </c>
      <c r="V10" s="396"/>
      <c r="W10" s="389" t="s">
        <v>5</v>
      </c>
      <c r="X10" s="390"/>
      <c r="Y10" s="387" t="s">
        <v>6</v>
      </c>
      <c r="Z10" s="388"/>
      <c r="AA10" s="389" t="s">
        <v>5</v>
      </c>
      <c r="AB10" s="390"/>
      <c r="AC10" s="387" t="s">
        <v>6</v>
      </c>
      <c r="AD10" s="388"/>
      <c r="AE10" s="389" t="s">
        <v>5</v>
      </c>
      <c r="AF10" s="390"/>
      <c r="AG10" s="387" t="s">
        <v>6</v>
      </c>
      <c r="AH10" s="396"/>
      <c r="AI10" s="389" t="s">
        <v>5</v>
      </c>
      <c r="AJ10" s="390"/>
      <c r="AK10" s="387" t="s">
        <v>6</v>
      </c>
      <c r="AL10" s="388"/>
      <c r="AM10" s="389" t="s">
        <v>5</v>
      </c>
      <c r="AN10" s="390"/>
      <c r="AO10" s="387" t="s">
        <v>6</v>
      </c>
      <c r="AP10" s="388"/>
      <c r="AQ10" s="397" t="s">
        <v>5</v>
      </c>
      <c r="AR10" s="390"/>
      <c r="AS10" s="387" t="s">
        <v>6</v>
      </c>
      <c r="AT10" s="396"/>
      <c r="AU10" s="389" t="s">
        <v>5</v>
      </c>
      <c r="AV10" s="390"/>
      <c r="AW10" s="387" t="s">
        <v>6</v>
      </c>
      <c r="AX10" s="388"/>
      <c r="AY10" s="389" t="s">
        <v>5</v>
      </c>
      <c r="AZ10" s="390"/>
      <c r="BA10" s="387" t="s">
        <v>6</v>
      </c>
      <c r="BB10" s="396"/>
      <c r="BC10" s="389" t="s">
        <v>5</v>
      </c>
      <c r="BD10" s="390"/>
      <c r="BE10" s="387" t="s">
        <v>6</v>
      </c>
      <c r="BF10" s="396"/>
      <c r="BG10" s="389" t="s">
        <v>5</v>
      </c>
      <c r="BH10" s="390"/>
      <c r="BI10" s="387" t="s">
        <v>6</v>
      </c>
      <c r="BJ10" s="388"/>
      <c r="BK10" s="389" t="s">
        <v>5</v>
      </c>
      <c r="BL10" s="390"/>
      <c r="BM10" s="387" t="s">
        <v>6</v>
      </c>
      <c r="BN10" s="388"/>
      <c r="BO10" s="389" t="s">
        <v>5</v>
      </c>
      <c r="BP10" s="390"/>
      <c r="BQ10" s="387" t="s">
        <v>6</v>
      </c>
      <c r="BR10" s="388"/>
    </row>
    <row r="11" spans="1:70" ht="21" thickTop="1">
      <c r="A11" s="11" t="s">
        <v>7</v>
      </c>
      <c r="B11" s="12" t="s">
        <v>8</v>
      </c>
      <c r="C11" s="15" t="s">
        <v>9</v>
      </c>
      <c r="D11" s="4" t="s">
        <v>10</v>
      </c>
      <c r="E11" s="5" t="s">
        <v>9</v>
      </c>
      <c r="F11" s="6" t="s">
        <v>10</v>
      </c>
      <c r="G11" s="3" t="s">
        <v>9</v>
      </c>
      <c r="H11" s="4" t="s">
        <v>10</v>
      </c>
      <c r="I11" s="5" t="s">
        <v>9</v>
      </c>
      <c r="J11" s="16" t="s">
        <v>10</v>
      </c>
      <c r="K11" s="3" t="s">
        <v>9</v>
      </c>
      <c r="L11" s="4" t="s">
        <v>10</v>
      </c>
      <c r="M11" s="5" t="s">
        <v>9</v>
      </c>
      <c r="N11" s="16" t="s">
        <v>10</v>
      </c>
      <c r="O11" s="3" t="s">
        <v>9</v>
      </c>
      <c r="P11" s="4" t="s">
        <v>10</v>
      </c>
      <c r="Q11" s="5" t="s">
        <v>9</v>
      </c>
      <c r="R11" s="6" t="s">
        <v>10</v>
      </c>
      <c r="S11" s="3" t="s">
        <v>9</v>
      </c>
      <c r="T11" s="4" t="s">
        <v>10</v>
      </c>
      <c r="U11" s="5" t="s">
        <v>9</v>
      </c>
      <c r="V11" s="6" t="s">
        <v>10</v>
      </c>
      <c r="W11" s="3" t="s">
        <v>9</v>
      </c>
      <c r="X11" s="4" t="s">
        <v>10</v>
      </c>
      <c r="Y11" s="5" t="s">
        <v>9</v>
      </c>
      <c r="Z11" s="16" t="s">
        <v>10</v>
      </c>
      <c r="AA11" s="3" t="s">
        <v>9</v>
      </c>
      <c r="AB11" s="4" t="s">
        <v>10</v>
      </c>
      <c r="AC11" s="5" t="s">
        <v>9</v>
      </c>
      <c r="AD11" s="16" t="s">
        <v>10</v>
      </c>
      <c r="AE11" s="3" t="s">
        <v>9</v>
      </c>
      <c r="AF11" s="4" t="s">
        <v>10</v>
      </c>
      <c r="AG11" s="5" t="s">
        <v>9</v>
      </c>
      <c r="AH11" s="6" t="s">
        <v>10</v>
      </c>
      <c r="AI11" s="3" t="s">
        <v>9</v>
      </c>
      <c r="AJ11" s="4" t="s">
        <v>10</v>
      </c>
      <c r="AK11" s="5" t="s">
        <v>9</v>
      </c>
      <c r="AL11" s="16" t="s">
        <v>10</v>
      </c>
      <c r="AM11" s="3" t="s">
        <v>9</v>
      </c>
      <c r="AN11" s="4" t="s">
        <v>10</v>
      </c>
      <c r="AO11" s="5" t="s">
        <v>9</v>
      </c>
      <c r="AP11" s="16" t="s">
        <v>10</v>
      </c>
      <c r="AQ11" s="15" t="s">
        <v>9</v>
      </c>
      <c r="AR11" s="4" t="s">
        <v>10</v>
      </c>
      <c r="AS11" s="5" t="s">
        <v>9</v>
      </c>
      <c r="AT11" s="6" t="s">
        <v>10</v>
      </c>
      <c r="AU11" s="3" t="s">
        <v>9</v>
      </c>
      <c r="AV11" s="4" t="s">
        <v>10</v>
      </c>
      <c r="AW11" s="5" t="s">
        <v>9</v>
      </c>
      <c r="AX11" s="16" t="s">
        <v>10</v>
      </c>
      <c r="AY11" s="3" t="s">
        <v>9</v>
      </c>
      <c r="AZ11" s="4" t="s">
        <v>10</v>
      </c>
      <c r="BA11" s="5" t="s">
        <v>9</v>
      </c>
      <c r="BB11" s="6" t="s">
        <v>10</v>
      </c>
      <c r="BC11" s="3" t="s">
        <v>9</v>
      </c>
      <c r="BD11" s="4" t="s">
        <v>10</v>
      </c>
      <c r="BE11" s="5" t="s">
        <v>9</v>
      </c>
      <c r="BF11" s="6" t="s">
        <v>10</v>
      </c>
      <c r="BG11" s="3" t="s">
        <v>9</v>
      </c>
      <c r="BH11" s="4" t="s">
        <v>10</v>
      </c>
      <c r="BI11" s="5" t="s">
        <v>9</v>
      </c>
      <c r="BJ11" s="16" t="s">
        <v>10</v>
      </c>
      <c r="BK11" s="3" t="s">
        <v>9</v>
      </c>
      <c r="BL11" s="4" t="s">
        <v>10</v>
      </c>
      <c r="BM11" s="5" t="s">
        <v>9</v>
      </c>
      <c r="BN11" s="16" t="s">
        <v>10</v>
      </c>
      <c r="BO11" s="3" t="s">
        <v>9</v>
      </c>
      <c r="BP11" s="4" t="s">
        <v>10</v>
      </c>
      <c r="BQ11" s="5" t="s">
        <v>9</v>
      </c>
      <c r="BR11" s="16" t="s">
        <v>10</v>
      </c>
    </row>
    <row r="12" spans="1:70" ht="54.95" customHeight="1">
      <c r="A12" s="13">
        <v>6</v>
      </c>
      <c r="B12" s="14" t="s">
        <v>20</v>
      </c>
      <c r="C12" s="64"/>
      <c r="D12" s="65"/>
      <c r="E12" s="66"/>
      <c r="F12" s="67"/>
      <c r="G12" s="68"/>
      <c r="H12" s="65"/>
      <c r="I12" s="66"/>
      <c r="J12" s="69"/>
      <c r="K12" s="68"/>
      <c r="L12" s="65"/>
      <c r="M12" s="66"/>
      <c r="N12" s="69"/>
      <c r="O12" s="68"/>
      <c r="P12" s="65"/>
      <c r="Q12" s="66"/>
      <c r="R12" s="67"/>
      <c r="S12" s="68"/>
      <c r="T12" s="65"/>
      <c r="U12" s="66"/>
      <c r="V12" s="67"/>
      <c r="W12" s="68"/>
      <c r="X12" s="65"/>
      <c r="Y12" s="66"/>
      <c r="Z12" s="69"/>
      <c r="AA12" s="68"/>
      <c r="AB12" s="65"/>
      <c r="AC12" s="66"/>
      <c r="AD12" s="69"/>
      <c r="AE12" s="68"/>
      <c r="AF12" s="65"/>
      <c r="AG12" s="66"/>
      <c r="AH12" s="67"/>
      <c r="AI12" s="68"/>
      <c r="AJ12" s="65"/>
      <c r="AK12" s="66"/>
      <c r="AL12" s="69"/>
      <c r="AM12" s="68"/>
      <c r="AN12" s="65"/>
      <c r="AO12" s="66"/>
      <c r="AP12" s="69"/>
      <c r="AQ12" s="64"/>
      <c r="AR12" s="65"/>
      <c r="AS12" s="66"/>
      <c r="AT12" s="67"/>
      <c r="AU12" s="68"/>
      <c r="AV12" s="65"/>
      <c r="AW12" s="66"/>
      <c r="AX12" s="69"/>
      <c r="AY12" s="68"/>
      <c r="AZ12" s="65"/>
      <c r="BA12" s="66"/>
      <c r="BB12" s="67"/>
      <c r="BC12" s="68"/>
      <c r="BD12" s="65"/>
      <c r="BE12" s="66"/>
      <c r="BF12" s="67"/>
      <c r="BG12" s="68"/>
      <c r="BH12" s="65"/>
      <c r="BI12" s="66"/>
      <c r="BJ12" s="69"/>
      <c r="BK12" s="68"/>
      <c r="BL12" s="65"/>
      <c r="BM12" s="66"/>
      <c r="BN12" s="69"/>
      <c r="BO12" s="68"/>
      <c r="BP12" s="65"/>
      <c r="BQ12" s="66"/>
      <c r="BR12" s="69"/>
    </row>
    <row r="13" spans="1:70" ht="54.95" customHeight="1">
      <c r="A13" s="13"/>
      <c r="B13" s="14" t="s">
        <v>24</v>
      </c>
      <c r="C13" s="70"/>
      <c r="D13" s="71"/>
      <c r="E13" s="72"/>
      <c r="F13" s="73"/>
      <c r="G13" s="74"/>
      <c r="H13" s="71"/>
      <c r="I13" s="72">
        <v>1</v>
      </c>
      <c r="J13" s="75"/>
      <c r="K13" s="74"/>
      <c r="L13" s="71"/>
      <c r="M13" s="72"/>
      <c r="N13" s="75"/>
      <c r="O13" s="74"/>
      <c r="P13" s="71"/>
      <c r="Q13" s="72"/>
      <c r="R13" s="73"/>
      <c r="S13" s="74"/>
      <c r="T13" s="71"/>
      <c r="U13" s="72"/>
      <c r="V13" s="73"/>
      <c r="W13" s="74"/>
      <c r="X13" s="71">
        <v>1</v>
      </c>
      <c r="Y13" s="72"/>
      <c r="Z13" s="75"/>
      <c r="AA13" s="74"/>
      <c r="AB13" s="71"/>
      <c r="AC13" s="72"/>
      <c r="AD13" s="75"/>
      <c r="AE13" s="74"/>
      <c r="AF13" s="71"/>
      <c r="AG13" s="72"/>
      <c r="AH13" s="73"/>
      <c r="AI13" s="74"/>
      <c r="AJ13" s="71"/>
      <c r="AK13" s="72"/>
      <c r="AL13" s="75"/>
      <c r="AM13" s="74"/>
      <c r="AN13" s="71"/>
      <c r="AO13" s="72"/>
      <c r="AP13" s="75"/>
      <c r="AQ13" s="70"/>
      <c r="AR13" s="71"/>
      <c r="AS13" s="72"/>
      <c r="AT13" s="73"/>
      <c r="AU13" s="74"/>
      <c r="AV13" s="71"/>
      <c r="AW13" s="72"/>
      <c r="AX13" s="75"/>
      <c r="AY13" s="74">
        <v>1</v>
      </c>
      <c r="AZ13" s="71"/>
      <c r="BA13" s="72">
        <v>1</v>
      </c>
      <c r="BB13" s="73"/>
      <c r="BC13" s="74"/>
      <c r="BD13" s="71"/>
      <c r="BE13" s="72"/>
      <c r="BF13" s="73"/>
      <c r="BG13" s="74"/>
      <c r="BH13" s="71"/>
      <c r="BI13" s="72"/>
      <c r="BJ13" s="75"/>
      <c r="BK13" s="74"/>
      <c r="BL13" s="71"/>
      <c r="BM13" s="72"/>
      <c r="BN13" s="75"/>
      <c r="BO13" s="74"/>
      <c r="BP13" s="71"/>
      <c r="BQ13" s="72"/>
      <c r="BR13" s="75"/>
    </row>
    <row r="14" spans="1:70" ht="54.95" customHeight="1">
      <c r="A14" s="13">
        <v>7</v>
      </c>
      <c r="B14" s="14" t="s">
        <v>21</v>
      </c>
      <c r="C14" s="64"/>
      <c r="D14" s="65"/>
      <c r="E14" s="66"/>
      <c r="F14" s="67"/>
      <c r="G14" s="68"/>
      <c r="H14" s="65"/>
      <c r="I14" s="66"/>
      <c r="J14" s="69"/>
      <c r="K14" s="68"/>
      <c r="L14" s="65"/>
      <c r="M14" s="66"/>
      <c r="N14" s="69"/>
      <c r="O14" s="68"/>
      <c r="P14" s="65"/>
      <c r="Q14" s="66"/>
      <c r="R14" s="67"/>
      <c r="S14" s="68"/>
      <c r="T14" s="65"/>
      <c r="U14" s="66"/>
      <c r="V14" s="67"/>
      <c r="W14" s="68"/>
      <c r="X14" s="65"/>
      <c r="Y14" s="66"/>
      <c r="Z14" s="69"/>
      <c r="AA14" s="68"/>
      <c r="AB14" s="65"/>
      <c r="AC14" s="66"/>
      <c r="AD14" s="69"/>
      <c r="AE14" s="68"/>
      <c r="AF14" s="65"/>
      <c r="AG14" s="66"/>
      <c r="AH14" s="67"/>
      <c r="AI14" s="68"/>
      <c r="AJ14" s="65"/>
      <c r="AK14" s="66"/>
      <c r="AL14" s="69"/>
      <c r="AM14" s="68"/>
      <c r="AN14" s="65"/>
      <c r="AO14" s="66"/>
      <c r="AP14" s="69"/>
      <c r="AQ14" s="64"/>
      <c r="AR14" s="65"/>
      <c r="AS14" s="66"/>
      <c r="AT14" s="67"/>
      <c r="AU14" s="68"/>
      <c r="AV14" s="65"/>
      <c r="AW14" s="66"/>
      <c r="AX14" s="69"/>
      <c r="AY14" s="68"/>
      <c r="AZ14" s="65"/>
      <c r="BA14" s="66"/>
      <c r="BB14" s="67"/>
      <c r="BC14" s="68"/>
      <c r="BD14" s="65"/>
      <c r="BE14" s="66"/>
      <c r="BF14" s="67"/>
      <c r="BG14" s="68"/>
      <c r="BH14" s="65"/>
      <c r="BI14" s="66"/>
      <c r="BJ14" s="69"/>
      <c r="BK14" s="68"/>
      <c r="BL14" s="65"/>
      <c r="BM14" s="66"/>
      <c r="BN14" s="69">
        <v>1</v>
      </c>
      <c r="BO14" s="68"/>
      <c r="BP14" s="65"/>
      <c r="BQ14" s="66"/>
      <c r="BR14" s="69"/>
    </row>
    <row r="15" spans="1:70" ht="54.95" customHeight="1">
      <c r="A15" s="13"/>
      <c r="B15" s="14" t="s">
        <v>22</v>
      </c>
      <c r="C15" s="76"/>
      <c r="D15" s="77"/>
      <c r="E15" s="78"/>
      <c r="F15" s="79"/>
      <c r="G15" s="80"/>
      <c r="H15" s="77"/>
      <c r="I15" s="78"/>
      <c r="J15" s="81"/>
      <c r="K15" s="80"/>
      <c r="L15" s="77"/>
      <c r="M15" s="78"/>
      <c r="N15" s="81"/>
      <c r="O15" s="80"/>
      <c r="P15" s="77"/>
      <c r="Q15" s="78"/>
      <c r="R15" s="79"/>
      <c r="S15" s="80"/>
      <c r="T15" s="77"/>
      <c r="U15" s="78"/>
      <c r="V15" s="79"/>
      <c r="W15" s="80"/>
      <c r="X15" s="77"/>
      <c r="Y15" s="78"/>
      <c r="Z15" s="81"/>
      <c r="AA15" s="80"/>
      <c r="AB15" s="77">
        <v>1</v>
      </c>
      <c r="AC15" s="78"/>
      <c r="AD15" s="81"/>
      <c r="AE15" s="80"/>
      <c r="AF15" s="77"/>
      <c r="AG15" s="78"/>
      <c r="AH15" s="79"/>
      <c r="AI15" s="80"/>
      <c r="AJ15" s="77"/>
      <c r="AK15" s="78"/>
      <c r="AL15" s="81"/>
      <c r="AM15" s="80"/>
      <c r="AN15" s="77"/>
      <c r="AO15" s="78"/>
      <c r="AP15" s="81"/>
      <c r="AQ15" s="76"/>
      <c r="AR15" s="77"/>
      <c r="AS15" s="78"/>
      <c r="AT15" s="79"/>
      <c r="AU15" s="80"/>
      <c r="AV15" s="77"/>
      <c r="AW15" s="78"/>
      <c r="AX15" s="81"/>
      <c r="AY15" s="80"/>
      <c r="AZ15" s="77"/>
      <c r="BA15" s="78"/>
      <c r="BB15" s="79"/>
      <c r="BC15" s="80"/>
      <c r="BD15" s="77"/>
      <c r="BE15" s="78"/>
      <c r="BF15" s="79"/>
      <c r="BG15" s="80"/>
      <c r="BH15" s="77"/>
      <c r="BI15" s="78"/>
      <c r="BJ15" s="81"/>
      <c r="BK15" s="80"/>
      <c r="BL15" s="77"/>
      <c r="BM15" s="78"/>
      <c r="BN15" s="81"/>
      <c r="BO15" s="80"/>
      <c r="BP15" s="77"/>
      <c r="BQ15" s="78">
        <v>2</v>
      </c>
      <c r="BR15" s="81"/>
    </row>
    <row r="16" spans="1:70" ht="54.95" customHeight="1">
      <c r="A16" s="13"/>
      <c r="B16" s="14" t="s">
        <v>20</v>
      </c>
      <c r="C16" s="76"/>
      <c r="D16" s="77"/>
      <c r="E16" s="78"/>
      <c r="F16" s="79"/>
      <c r="G16" s="80">
        <v>1</v>
      </c>
      <c r="H16" s="77"/>
      <c r="I16" s="78"/>
      <c r="J16" s="81"/>
      <c r="K16" s="80">
        <v>1</v>
      </c>
      <c r="L16" s="77"/>
      <c r="M16" s="78"/>
      <c r="N16" s="81"/>
      <c r="O16" s="80"/>
      <c r="P16" s="77">
        <v>1</v>
      </c>
      <c r="Q16" s="78"/>
      <c r="R16" s="79"/>
      <c r="S16" s="80"/>
      <c r="T16" s="77"/>
      <c r="U16" s="78"/>
      <c r="V16" s="79"/>
      <c r="W16" s="80"/>
      <c r="X16" s="77"/>
      <c r="Y16" s="78"/>
      <c r="Z16" s="81"/>
      <c r="AA16" s="80"/>
      <c r="AB16" s="77"/>
      <c r="AC16" s="78"/>
      <c r="AD16" s="81"/>
      <c r="AE16" s="80"/>
      <c r="AF16" s="77"/>
      <c r="AG16" s="78"/>
      <c r="AH16" s="79"/>
      <c r="AI16" s="80"/>
      <c r="AJ16" s="77"/>
      <c r="AK16" s="78"/>
      <c r="AL16" s="81"/>
      <c r="AM16" s="80"/>
      <c r="AN16" s="77"/>
      <c r="AO16" s="78"/>
      <c r="AP16" s="81"/>
      <c r="AQ16" s="76"/>
      <c r="AR16" s="77"/>
      <c r="AS16" s="78"/>
      <c r="AT16" s="79"/>
      <c r="AU16" s="80"/>
      <c r="AV16" s="77"/>
      <c r="AW16" s="78"/>
      <c r="AX16" s="81"/>
      <c r="AY16" s="80"/>
      <c r="AZ16" s="77"/>
      <c r="BA16" s="78"/>
      <c r="BB16" s="79"/>
      <c r="BC16" s="80"/>
      <c r="BD16" s="77"/>
      <c r="BE16" s="78"/>
      <c r="BF16" s="79"/>
      <c r="BG16" s="80"/>
      <c r="BH16" s="77"/>
      <c r="BI16" s="78"/>
      <c r="BJ16" s="81"/>
      <c r="BK16" s="80"/>
      <c r="BL16" s="77">
        <v>2</v>
      </c>
      <c r="BM16" s="78">
        <v>1</v>
      </c>
      <c r="BN16" s="81"/>
      <c r="BO16" s="80"/>
      <c r="BP16" s="77"/>
      <c r="BQ16" s="78"/>
      <c r="BR16" s="81"/>
    </row>
    <row r="17" spans="1:80" ht="54.95" customHeight="1">
      <c r="A17" s="13"/>
      <c r="B17" s="14" t="s">
        <v>23</v>
      </c>
      <c r="C17" s="70"/>
      <c r="D17" s="71"/>
      <c r="E17" s="72"/>
      <c r="F17" s="73"/>
      <c r="G17" s="74"/>
      <c r="H17" s="71"/>
      <c r="I17" s="72"/>
      <c r="J17" s="75"/>
      <c r="K17" s="74"/>
      <c r="L17" s="71">
        <v>1</v>
      </c>
      <c r="M17" s="72"/>
      <c r="N17" s="75"/>
      <c r="O17" s="74"/>
      <c r="P17" s="71"/>
      <c r="Q17" s="72"/>
      <c r="R17" s="73"/>
      <c r="S17" s="74"/>
      <c r="T17" s="71"/>
      <c r="U17" s="72"/>
      <c r="V17" s="73"/>
      <c r="W17" s="74"/>
      <c r="X17" s="71"/>
      <c r="Y17" s="72"/>
      <c r="Z17" s="75"/>
      <c r="AA17" s="74"/>
      <c r="AB17" s="71"/>
      <c r="AC17" s="72"/>
      <c r="AD17" s="75"/>
      <c r="AE17" s="74"/>
      <c r="AF17" s="71"/>
      <c r="AG17" s="72"/>
      <c r="AH17" s="73"/>
      <c r="AI17" s="74"/>
      <c r="AJ17" s="71"/>
      <c r="AK17" s="72"/>
      <c r="AL17" s="75"/>
      <c r="AM17" s="74"/>
      <c r="AN17" s="71"/>
      <c r="AO17" s="72"/>
      <c r="AP17" s="75"/>
      <c r="AQ17" s="70"/>
      <c r="AR17" s="71"/>
      <c r="AS17" s="72"/>
      <c r="AT17" s="73"/>
      <c r="AU17" s="74"/>
      <c r="AV17" s="71"/>
      <c r="AW17" s="72"/>
      <c r="AX17" s="75"/>
      <c r="AY17" s="74"/>
      <c r="AZ17" s="71"/>
      <c r="BA17" s="72"/>
      <c r="BB17" s="73"/>
      <c r="BC17" s="74"/>
      <c r="BD17" s="71"/>
      <c r="BE17" s="72"/>
      <c r="BF17" s="73"/>
      <c r="BG17" s="74"/>
      <c r="BH17" s="71"/>
      <c r="BI17" s="72"/>
      <c r="BJ17" s="75"/>
      <c r="BK17" s="74"/>
      <c r="BL17" s="71"/>
      <c r="BM17" s="72"/>
      <c r="BN17" s="75"/>
      <c r="BO17" s="74"/>
      <c r="BP17" s="71"/>
      <c r="BQ17" s="72"/>
      <c r="BR17" s="75"/>
    </row>
    <row r="18" spans="1:80" ht="54.95" customHeight="1">
      <c r="A18" s="13">
        <v>8</v>
      </c>
      <c r="B18" s="14" t="s">
        <v>21</v>
      </c>
      <c r="C18" s="64"/>
      <c r="D18" s="65"/>
      <c r="E18" s="66"/>
      <c r="F18" s="67"/>
      <c r="G18" s="68"/>
      <c r="H18" s="65"/>
      <c r="I18" s="66"/>
      <c r="J18" s="69"/>
      <c r="K18" s="68">
        <v>2</v>
      </c>
      <c r="L18" s="65">
        <v>1</v>
      </c>
      <c r="M18" s="66"/>
      <c r="N18" s="69"/>
      <c r="O18" s="68"/>
      <c r="P18" s="65"/>
      <c r="Q18" s="66"/>
      <c r="R18" s="67"/>
      <c r="S18" s="68"/>
      <c r="T18" s="65"/>
      <c r="U18" s="66"/>
      <c r="V18" s="67"/>
      <c r="W18" s="68"/>
      <c r="X18" s="65"/>
      <c r="Y18" s="66"/>
      <c r="Z18" s="69"/>
      <c r="AA18" s="68"/>
      <c r="AB18" s="65"/>
      <c r="AC18" s="66"/>
      <c r="AD18" s="69"/>
      <c r="AE18" s="68"/>
      <c r="AF18" s="65"/>
      <c r="AG18" s="66"/>
      <c r="AH18" s="67"/>
      <c r="AI18" s="68"/>
      <c r="AJ18" s="65"/>
      <c r="AK18" s="66"/>
      <c r="AL18" s="69"/>
      <c r="AM18" s="68"/>
      <c r="AN18" s="65"/>
      <c r="AO18" s="66"/>
      <c r="AP18" s="69"/>
      <c r="AQ18" s="64"/>
      <c r="AR18" s="65"/>
      <c r="AS18" s="66"/>
      <c r="AT18" s="67">
        <v>1</v>
      </c>
      <c r="AU18" s="68"/>
      <c r="AV18" s="65"/>
      <c r="AW18" s="66"/>
      <c r="AX18" s="69"/>
      <c r="AY18" s="68"/>
      <c r="AZ18" s="65"/>
      <c r="BA18" s="66"/>
      <c r="BB18" s="67"/>
      <c r="BC18" s="68"/>
      <c r="BD18" s="65"/>
      <c r="BE18" s="66"/>
      <c r="BF18" s="67"/>
      <c r="BG18" s="68"/>
      <c r="BH18" s="65"/>
      <c r="BI18" s="66"/>
      <c r="BJ18" s="69"/>
      <c r="BK18" s="68"/>
      <c r="BL18" s="65"/>
      <c r="BM18" s="66"/>
      <c r="BN18" s="69"/>
      <c r="BO18" s="68"/>
      <c r="BP18" s="65">
        <v>1</v>
      </c>
      <c r="BQ18" s="66"/>
      <c r="BR18" s="69"/>
    </row>
    <row r="19" spans="1:80" ht="54.95" customHeight="1">
      <c r="A19" s="13"/>
      <c r="B19" s="14" t="s">
        <v>22</v>
      </c>
      <c r="C19" s="76"/>
      <c r="D19" s="77"/>
      <c r="E19" s="78"/>
      <c r="F19" s="79"/>
      <c r="G19" s="80"/>
      <c r="H19" s="77"/>
      <c r="I19" s="78"/>
      <c r="J19" s="81"/>
      <c r="K19" s="80"/>
      <c r="L19" s="77"/>
      <c r="M19" s="78"/>
      <c r="N19" s="81"/>
      <c r="O19" s="80"/>
      <c r="P19" s="77"/>
      <c r="Q19" s="78"/>
      <c r="R19" s="79"/>
      <c r="S19" s="80"/>
      <c r="T19" s="77"/>
      <c r="U19" s="78"/>
      <c r="V19" s="79"/>
      <c r="W19" s="80"/>
      <c r="X19" s="77"/>
      <c r="Y19" s="78"/>
      <c r="Z19" s="81"/>
      <c r="AA19" s="80"/>
      <c r="AB19" s="77"/>
      <c r="AC19" s="78"/>
      <c r="AD19" s="81"/>
      <c r="AE19" s="80"/>
      <c r="AF19" s="77"/>
      <c r="AG19" s="78"/>
      <c r="AH19" s="79"/>
      <c r="AI19" s="80"/>
      <c r="AJ19" s="77"/>
      <c r="AK19" s="78"/>
      <c r="AL19" s="81"/>
      <c r="AM19" s="80"/>
      <c r="AN19" s="77"/>
      <c r="AO19" s="78"/>
      <c r="AP19" s="81"/>
      <c r="AQ19" s="76">
        <v>1</v>
      </c>
      <c r="AR19" s="77"/>
      <c r="AS19" s="78"/>
      <c r="AT19" s="79"/>
      <c r="AU19" s="80"/>
      <c r="AV19" s="77"/>
      <c r="AW19" s="78"/>
      <c r="AX19" s="81"/>
      <c r="AY19" s="80"/>
      <c r="AZ19" s="77"/>
      <c r="BA19" s="78"/>
      <c r="BB19" s="79"/>
      <c r="BC19" s="80"/>
      <c r="BD19" s="77"/>
      <c r="BE19" s="78"/>
      <c r="BF19" s="79"/>
      <c r="BG19" s="80"/>
      <c r="BH19" s="77"/>
      <c r="BI19" s="78"/>
      <c r="BJ19" s="81"/>
      <c r="BK19" s="80"/>
      <c r="BL19" s="77"/>
      <c r="BM19" s="78"/>
      <c r="BN19" s="81"/>
      <c r="BO19" s="80"/>
      <c r="BP19" s="77"/>
      <c r="BQ19" s="78"/>
      <c r="BR19" s="81"/>
    </row>
    <row r="20" spans="1:80" ht="54.95" customHeight="1">
      <c r="A20" s="13"/>
      <c r="B20" s="14" t="s">
        <v>20</v>
      </c>
      <c r="C20" s="76"/>
      <c r="D20" s="77"/>
      <c r="E20" s="78"/>
      <c r="F20" s="79"/>
      <c r="G20" s="80"/>
      <c r="H20" s="77"/>
      <c r="I20" s="78"/>
      <c r="J20" s="81"/>
      <c r="K20" s="80"/>
      <c r="L20" s="77"/>
      <c r="M20" s="78"/>
      <c r="N20" s="81"/>
      <c r="O20" s="80"/>
      <c r="P20" s="77"/>
      <c r="Q20" s="78"/>
      <c r="R20" s="79"/>
      <c r="S20" s="80"/>
      <c r="T20" s="77"/>
      <c r="U20" s="78"/>
      <c r="V20" s="79"/>
      <c r="W20" s="80"/>
      <c r="X20" s="77"/>
      <c r="Y20" s="78"/>
      <c r="Z20" s="81"/>
      <c r="AA20" s="80"/>
      <c r="AB20" s="77"/>
      <c r="AC20" s="78"/>
      <c r="AD20" s="81"/>
      <c r="AE20" s="80"/>
      <c r="AF20" s="77"/>
      <c r="AG20" s="78"/>
      <c r="AH20" s="79"/>
      <c r="AI20" s="80"/>
      <c r="AJ20" s="77"/>
      <c r="AK20" s="78"/>
      <c r="AL20" s="81"/>
      <c r="AM20" s="80"/>
      <c r="AN20" s="77"/>
      <c r="AO20" s="78"/>
      <c r="AP20" s="81"/>
      <c r="AQ20" s="76"/>
      <c r="AR20" s="77"/>
      <c r="AS20" s="78"/>
      <c r="AT20" s="79"/>
      <c r="AU20" s="80"/>
      <c r="AV20" s="77">
        <v>1</v>
      </c>
      <c r="AW20" s="78"/>
      <c r="AX20" s="81">
        <v>1</v>
      </c>
      <c r="AY20" s="80"/>
      <c r="AZ20" s="77"/>
      <c r="BA20" s="78"/>
      <c r="BB20" s="79"/>
      <c r="BC20" s="80"/>
      <c r="BD20" s="77"/>
      <c r="BE20" s="78"/>
      <c r="BF20" s="79"/>
      <c r="BG20" s="80"/>
      <c r="BH20" s="77"/>
      <c r="BI20" s="78"/>
      <c r="BJ20" s="81"/>
      <c r="BK20" s="80">
        <v>1</v>
      </c>
      <c r="BL20" s="77"/>
      <c r="BM20" s="78"/>
      <c r="BN20" s="81"/>
      <c r="BO20" s="80"/>
      <c r="BP20" s="77"/>
      <c r="BQ20" s="78"/>
      <c r="BR20" s="81"/>
    </row>
    <row r="21" spans="1:80" ht="54.95" customHeight="1">
      <c r="A21" s="13"/>
      <c r="B21" s="14" t="s">
        <v>23</v>
      </c>
      <c r="C21" s="70"/>
      <c r="D21" s="71"/>
      <c r="E21" s="72"/>
      <c r="F21" s="73"/>
      <c r="G21" s="74"/>
      <c r="H21" s="71"/>
      <c r="I21" s="72"/>
      <c r="J21" s="75"/>
      <c r="K21" s="74"/>
      <c r="L21" s="71"/>
      <c r="M21" s="72"/>
      <c r="N21" s="75">
        <v>1</v>
      </c>
      <c r="O21" s="74"/>
      <c r="P21" s="71"/>
      <c r="Q21" s="72"/>
      <c r="R21" s="73"/>
      <c r="S21" s="74"/>
      <c r="T21" s="71"/>
      <c r="U21" s="72"/>
      <c r="V21" s="73"/>
      <c r="W21" s="74"/>
      <c r="X21" s="71"/>
      <c r="Y21" s="72"/>
      <c r="Z21" s="75"/>
      <c r="AA21" s="74"/>
      <c r="AB21" s="71"/>
      <c r="AC21" s="72"/>
      <c r="AD21" s="75"/>
      <c r="AE21" s="74"/>
      <c r="AF21" s="71"/>
      <c r="AG21" s="72"/>
      <c r="AH21" s="73"/>
      <c r="AI21" s="74"/>
      <c r="AJ21" s="71"/>
      <c r="AK21" s="72"/>
      <c r="AL21" s="75"/>
      <c r="AM21" s="74"/>
      <c r="AN21" s="71"/>
      <c r="AO21" s="72"/>
      <c r="AP21" s="75"/>
      <c r="AQ21" s="70"/>
      <c r="AR21" s="71"/>
      <c r="AS21" s="72"/>
      <c r="AT21" s="73"/>
      <c r="AU21" s="74"/>
      <c r="AV21" s="71"/>
      <c r="AW21" s="72"/>
      <c r="AX21" s="75"/>
      <c r="AY21" s="74"/>
      <c r="AZ21" s="71"/>
      <c r="BA21" s="72"/>
      <c r="BB21" s="73"/>
      <c r="BC21" s="74"/>
      <c r="BD21" s="71"/>
      <c r="BE21" s="72"/>
      <c r="BF21" s="73"/>
      <c r="BG21" s="74"/>
      <c r="BH21" s="71"/>
      <c r="BI21" s="72"/>
      <c r="BJ21" s="75"/>
      <c r="BK21" s="74"/>
      <c r="BL21" s="71"/>
      <c r="BM21" s="72"/>
      <c r="BN21" s="75"/>
      <c r="BO21" s="74"/>
      <c r="BP21" s="71"/>
      <c r="BQ21" s="72"/>
      <c r="BR21" s="75"/>
    </row>
    <row r="22" spans="1:80" ht="54.95" hidden="1" customHeight="1">
      <c r="A22" s="13">
        <v>9</v>
      </c>
      <c r="B22" s="14" t="s">
        <v>21</v>
      </c>
      <c r="C22" s="64"/>
      <c r="D22" s="65"/>
      <c r="E22" s="66"/>
      <c r="F22" s="67"/>
      <c r="G22" s="68"/>
      <c r="H22" s="65"/>
      <c r="I22" s="66"/>
      <c r="J22" s="69"/>
      <c r="K22" s="68"/>
      <c r="L22" s="65"/>
      <c r="M22" s="66"/>
      <c r="N22" s="69"/>
      <c r="O22" s="68"/>
      <c r="P22" s="65"/>
      <c r="Q22" s="66"/>
      <c r="R22" s="67"/>
      <c r="S22" s="68"/>
      <c r="T22" s="65"/>
      <c r="U22" s="66"/>
      <c r="V22" s="67"/>
      <c r="W22" s="68"/>
      <c r="X22" s="65"/>
      <c r="Y22" s="66"/>
      <c r="Z22" s="69"/>
      <c r="AA22" s="68"/>
      <c r="AB22" s="65"/>
      <c r="AC22" s="66"/>
      <c r="AD22" s="69"/>
      <c r="AE22" s="68"/>
      <c r="AF22" s="65"/>
      <c r="AG22" s="66"/>
      <c r="AH22" s="67"/>
      <c r="AI22" s="68"/>
      <c r="AJ22" s="65"/>
      <c r="AK22" s="66"/>
      <c r="AL22" s="69"/>
      <c r="AM22" s="68"/>
      <c r="AN22" s="65"/>
      <c r="AO22" s="66"/>
      <c r="AP22" s="69"/>
      <c r="AQ22" s="64"/>
      <c r="AR22" s="65"/>
      <c r="AS22" s="66"/>
      <c r="AT22" s="67"/>
      <c r="AU22" s="68"/>
      <c r="AV22" s="65"/>
      <c r="AW22" s="66"/>
      <c r="AX22" s="69"/>
      <c r="AY22" s="68"/>
      <c r="AZ22" s="65"/>
      <c r="BA22" s="66"/>
      <c r="BB22" s="67"/>
      <c r="BC22" s="68"/>
      <c r="BD22" s="65"/>
      <c r="BE22" s="66"/>
      <c r="BF22" s="67"/>
      <c r="BG22" s="68"/>
      <c r="BH22" s="65"/>
      <c r="BI22" s="66"/>
      <c r="BJ22" s="69"/>
      <c r="BK22" s="68"/>
      <c r="BL22" s="65"/>
      <c r="BM22" s="66"/>
      <c r="BN22" s="69"/>
      <c r="BO22" s="68"/>
      <c r="BP22" s="65"/>
      <c r="BQ22" s="66"/>
      <c r="BR22" s="69"/>
    </row>
    <row r="23" spans="1:80" ht="54.95" hidden="1" customHeight="1">
      <c r="A23" s="13"/>
      <c r="B23" s="14" t="s">
        <v>22</v>
      </c>
      <c r="C23" s="70"/>
      <c r="D23" s="71"/>
      <c r="E23" s="72"/>
      <c r="F23" s="73"/>
      <c r="G23" s="74"/>
      <c r="H23" s="71"/>
      <c r="I23" s="72"/>
      <c r="J23" s="75"/>
      <c r="K23" s="74"/>
      <c r="L23" s="71"/>
      <c r="M23" s="72"/>
      <c r="N23" s="75"/>
      <c r="O23" s="74"/>
      <c r="P23" s="71"/>
      <c r="Q23" s="72"/>
      <c r="R23" s="73"/>
      <c r="S23" s="74"/>
      <c r="T23" s="71"/>
      <c r="U23" s="72"/>
      <c r="V23" s="73"/>
      <c r="W23" s="74"/>
      <c r="X23" s="71"/>
      <c r="Y23" s="72"/>
      <c r="Z23" s="75"/>
      <c r="AA23" s="74"/>
      <c r="AB23" s="71"/>
      <c r="AC23" s="72"/>
      <c r="AD23" s="75"/>
      <c r="AE23" s="74"/>
      <c r="AF23" s="71"/>
      <c r="AG23" s="72"/>
      <c r="AH23" s="73"/>
      <c r="AI23" s="74"/>
      <c r="AJ23" s="71"/>
      <c r="AK23" s="72"/>
      <c r="AL23" s="75"/>
      <c r="AM23" s="74"/>
      <c r="AN23" s="71"/>
      <c r="AO23" s="72"/>
      <c r="AP23" s="75"/>
      <c r="AQ23" s="70"/>
      <c r="AR23" s="71"/>
      <c r="AS23" s="72"/>
      <c r="AT23" s="73"/>
      <c r="AU23" s="74"/>
      <c r="AV23" s="71"/>
      <c r="AW23" s="72"/>
      <c r="AX23" s="75"/>
      <c r="AY23" s="74"/>
      <c r="AZ23" s="71"/>
      <c r="BA23" s="72"/>
      <c r="BB23" s="73"/>
      <c r="BC23" s="74"/>
      <c r="BD23" s="71"/>
      <c r="BE23" s="72"/>
      <c r="BF23" s="73"/>
      <c r="BG23" s="74"/>
      <c r="BH23" s="71"/>
      <c r="BI23" s="72"/>
      <c r="BJ23" s="75"/>
      <c r="BK23" s="74"/>
      <c r="BL23" s="71"/>
      <c r="BM23" s="72"/>
      <c r="BN23" s="75"/>
      <c r="BO23" s="74"/>
      <c r="BP23" s="71"/>
      <c r="BQ23" s="72"/>
      <c r="BR23" s="75"/>
    </row>
    <row r="24" spans="1:80" ht="54.95" customHeight="1" thickBot="1">
      <c r="A24" s="55"/>
      <c r="B24" s="5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</row>
    <row r="25" spans="1:80" ht="52.5" customHeight="1" thickBot="1">
      <c r="A25" s="56" t="s">
        <v>0</v>
      </c>
      <c r="B25" s="82" t="str">
        <f>B1</f>
        <v>La Roche Rond-Point La Poste</v>
      </c>
      <c r="C25" s="49"/>
      <c r="D25" s="49"/>
      <c r="E25" s="49"/>
      <c r="F25" s="57"/>
      <c r="G25" s="49"/>
      <c r="H25" s="49"/>
      <c r="I25" s="49"/>
      <c r="J25" s="49"/>
      <c r="K25" s="49"/>
      <c r="L25" s="49"/>
      <c r="M25" s="49"/>
      <c r="N25" s="49"/>
      <c r="O25" s="57"/>
      <c r="P25" s="57"/>
      <c r="Q25" s="57"/>
      <c r="R25" s="57"/>
      <c r="S25" s="58" t="s">
        <v>1</v>
      </c>
      <c r="T25" s="59" t="str">
        <f>T1</f>
        <v>16 juin 2020</v>
      </c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60"/>
      <c r="AG25" s="60"/>
      <c r="AH25" s="60"/>
      <c r="AI25" s="49"/>
      <c r="AJ25" s="49"/>
      <c r="AK25" s="49"/>
      <c r="AL25" s="49"/>
      <c r="AM25" s="60"/>
      <c r="AN25" s="60"/>
      <c r="AO25" s="60"/>
      <c r="AP25" s="61"/>
      <c r="AQ25" s="49"/>
      <c r="AR25" s="49"/>
      <c r="AS25" s="49"/>
      <c r="AT25" s="57"/>
      <c r="AU25" s="49"/>
      <c r="AV25" s="49"/>
      <c r="AW25" s="49"/>
      <c r="AX25" s="49"/>
      <c r="AY25" s="57"/>
      <c r="AZ25" s="57"/>
      <c r="BA25" s="57"/>
      <c r="BB25" s="57"/>
      <c r="BC25" s="58" t="s">
        <v>1</v>
      </c>
      <c r="BD25" s="59" t="str">
        <f>BD1</f>
        <v>16 juin 2020</v>
      </c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</row>
    <row r="26" spans="1:80" ht="52.5" customHeight="1" thickBot="1">
      <c r="A26" s="51" t="s">
        <v>2</v>
      </c>
      <c r="B26" s="52"/>
      <c r="C26" s="52"/>
      <c r="D26" s="52"/>
      <c r="E26" s="52"/>
      <c r="F26" s="53"/>
      <c r="G26" s="24"/>
      <c r="H26" s="24"/>
      <c r="I26" s="24"/>
      <c r="J26" s="24"/>
      <c r="K26" s="44"/>
      <c r="L26" s="44"/>
      <c r="M26" s="44"/>
      <c r="N26" s="44"/>
      <c r="O26" s="52"/>
      <c r="P26" s="25" t="str">
        <f>P2</f>
        <v>Lise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52"/>
      <c r="AG26" s="52"/>
      <c r="AH26" s="52"/>
      <c r="AI26" s="24"/>
      <c r="AJ26" s="24"/>
      <c r="AK26" s="24"/>
      <c r="AL26" s="24"/>
      <c r="AM26" s="52"/>
      <c r="AN26" s="52"/>
      <c r="AO26" s="52"/>
      <c r="AP26" s="53"/>
      <c r="AQ26" s="52"/>
      <c r="AR26" s="52"/>
      <c r="AS26" s="52"/>
      <c r="AT26" s="53"/>
      <c r="AU26" s="24"/>
      <c r="AV26" s="24"/>
      <c r="AW26" s="24"/>
      <c r="AX26" s="24"/>
      <c r="AY26" s="52"/>
      <c r="AZ26" s="25">
        <f>AZ2</f>
        <v>0</v>
      </c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</row>
    <row r="27" spans="1:80" ht="52.5" customHeight="1" thickBot="1">
      <c r="A27" s="51" t="s">
        <v>3</v>
      </c>
      <c r="B27" s="52"/>
      <c r="C27" s="22">
        <f>C3</f>
        <v>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52"/>
      <c r="AG27" s="52"/>
      <c r="AH27" s="52"/>
      <c r="AI27" s="23"/>
      <c r="AJ27" s="23"/>
      <c r="AK27" s="23"/>
      <c r="AL27" s="23"/>
      <c r="AM27" s="52"/>
      <c r="AN27" s="52"/>
      <c r="AO27" s="52"/>
      <c r="AP27" s="53"/>
      <c r="AQ27" s="22">
        <f>AQ3</f>
        <v>0</v>
      </c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</row>
    <row r="28" spans="1:80" ht="52.5" customHeight="1" thickBot="1">
      <c r="A28" s="51" t="s">
        <v>18</v>
      </c>
      <c r="B28" s="52"/>
      <c r="C28" s="22">
        <f>C4</f>
        <v>0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52"/>
      <c r="AG28" s="52"/>
      <c r="AH28" s="52"/>
      <c r="AI28" s="23"/>
      <c r="AJ28" s="23"/>
      <c r="AK28" s="23"/>
      <c r="AL28" s="23"/>
      <c r="AM28" s="52"/>
      <c r="AN28" s="52"/>
      <c r="AO28" s="52"/>
      <c r="AP28" s="53"/>
      <c r="AQ28" s="22">
        <f>AQ4</f>
        <v>0</v>
      </c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T28" s="25" t="s">
        <v>171</v>
      </c>
    </row>
    <row r="29" spans="1:80" ht="25.5" customHeight="1">
      <c r="A29" s="54" t="s">
        <v>45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3"/>
      <c r="BT29" s="25" t="s">
        <v>172</v>
      </c>
    </row>
    <row r="30" spans="1:80" ht="25.5" customHeight="1">
      <c r="A30" s="54" t="s">
        <v>4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3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3"/>
      <c r="BT30" s="25" t="s">
        <v>173</v>
      </c>
    </row>
    <row r="31" spans="1:80" ht="25.5" customHeight="1" thickBot="1">
      <c r="A31" s="54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3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3"/>
    </row>
    <row r="32" spans="1:80" ht="32.25" customHeight="1" thickTop="1">
      <c r="A32" s="20"/>
      <c r="B32" s="21"/>
      <c r="C32" s="399" t="str">
        <f>C8</f>
        <v>De Bonneville vers</v>
      </c>
      <c r="D32" s="400"/>
      <c r="E32" s="400"/>
      <c r="F32" s="400"/>
      <c r="G32" s="400"/>
      <c r="H32" s="400"/>
      <c r="I32" s="400"/>
      <c r="J32" s="400"/>
      <c r="K32" s="400"/>
      <c r="L32" s="400"/>
      <c r="M32" s="400"/>
      <c r="N32" s="400"/>
      <c r="O32" s="400"/>
      <c r="P32" s="400"/>
      <c r="Q32" s="400"/>
      <c r="R32" s="400"/>
      <c r="S32" s="400" t="str">
        <f>S8</f>
        <v>DeGrenette (contre-sens)</v>
      </c>
      <c r="T32" s="400"/>
      <c r="U32" s="400"/>
      <c r="V32" s="400"/>
      <c r="W32" s="400"/>
      <c r="X32" s="400"/>
      <c r="Y32" s="400"/>
      <c r="Z32" s="400"/>
      <c r="AA32" s="400"/>
      <c r="AB32" s="400"/>
      <c r="AC32" s="400"/>
      <c r="AD32" s="401"/>
      <c r="AE32" s="400" t="str">
        <f>AE8</f>
        <v>DePompiers(contre-sens)</v>
      </c>
      <c r="AF32" s="400"/>
      <c r="AG32" s="400"/>
      <c r="AH32" s="400"/>
      <c r="AI32" s="400"/>
      <c r="AJ32" s="400"/>
      <c r="AK32" s="400"/>
      <c r="AL32" s="400"/>
      <c r="AM32" s="400"/>
      <c r="AN32" s="400"/>
      <c r="AO32" s="400"/>
      <c r="AP32" s="400"/>
      <c r="AQ32" s="399" t="str">
        <f>AQ8</f>
        <v>De Tourisme vers</v>
      </c>
      <c r="AR32" s="400"/>
      <c r="AS32" s="400"/>
      <c r="AT32" s="400"/>
      <c r="AU32" s="400"/>
      <c r="AV32" s="400"/>
      <c r="AW32" s="400"/>
      <c r="AX32" s="400"/>
      <c r="AY32" s="400"/>
      <c r="AZ32" s="400"/>
      <c r="BA32" s="400"/>
      <c r="BB32" s="400"/>
      <c r="BC32" s="400" t="str">
        <f>BC8</f>
        <v>De MJC vers</v>
      </c>
      <c r="BD32" s="400"/>
      <c r="BE32" s="400"/>
      <c r="BF32" s="400"/>
      <c r="BG32" s="400"/>
      <c r="BH32" s="400"/>
      <c r="BI32" s="400"/>
      <c r="BJ32" s="400"/>
      <c r="BK32" s="400"/>
      <c r="BL32" s="400"/>
      <c r="BM32" s="400"/>
      <c r="BN32" s="400"/>
      <c r="BO32" s="400"/>
      <c r="BP32" s="400"/>
      <c r="BQ32" s="400"/>
      <c r="BR32" s="401"/>
      <c r="BS32" s="20"/>
      <c r="BT32" s="21"/>
      <c r="BU32" s="368" t="s">
        <v>13</v>
      </c>
      <c r="BV32" s="385" t="s">
        <v>108</v>
      </c>
      <c r="BW32" s="385" t="s">
        <v>109</v>
      </c>
      <c r="BX32" s="385" t="s">
        <v>110</v>
      </c>
      <c r="BY32" s="362" t="s">
        <v>170</v>
      </c>
      <c r="BZ32" s="402" t="s">
        <v>152</v>
      </c>
      <c r="CA32" s="385"/>
      <c r="CB32" s="385"/>
    </row>
    <row r="33" spans="1:80" ht="22.7" customHeight="1">
      <c r="A33" s="20"/>
      <c r="B33" s="21"/>
      <c r="C33" s="398" t="str">
        <f>C9</f>
        <v>Grenette</v>
      </c>
      <c r="D33" s="395"/>
      <c r="E33" s="395"/>
      <c r="F33" s="395"/>
      <c r="G33" s="393" t="str">
        <f>G9</f>
        <v>Office Tourisme</v>
      </c>
      <c r="H33" s="393"/>
      <c r="I33" s="393"/>
      <c r="J33" s="393"/>
      <c r="K33" s="398" t="str">
        <f>K9</f>
        <v>Pompiers</v>
      </c>
      <c r="L33" s="395"/>
      <c r="M33" s="395"/>
      <c r="N33" s="395"/>
      <c r="O33" s="393" t="str">
        <f>O9</f>
        <v>Parking</v>
      </c>
      <c r="P33" s="393"/>
      <c r="Q33" s="393"/>
      <c r="R33" s="393"/>
      <c r="S33" s="395" t="str">
        <f>S9</f>
        <v>Office Tourisme</v>
      </c>
      <c r="T33" s="395"/>
      <c r="U33" s="395"/>
      <c r="V33" s="395"/>
      <c r="W33" s="393" t="str">
        <f>W9</f>
        <v>Pompiers</v>
      </c>
      <c r="X33" s="393"/>
      <c r="Y33" s="393"/>
      <c r="Z33" s="393"/>
      <c r="AA33" s="393" t="str">
        <f>AA9</f>
        <v>Bonneville</v>
      </c>
      <c r="AB33" s="393"/>
      <c r="AC33" s="393"/>
      <c r="AD33" s="394"/>
      <c r="AE33" s="395" t="str">
        <f>AE9</f>
        <v>Bonneville</v>
      </c>
      <c r="AF33" s="395"/>
      <c r="AG33" s="395"/>
      <c r="AH33" s="395"/>
      <c r="AI33" s="393" t="str">
        <f>AI9</f>
        <v>Office Tourisme</v>
      </c>
      <c r="AJ33" s="393"/>
      <c r="AK33" s="393"/>
      <c r="AL33" s="393"/>
      <c r="AM33" s="393" t="str">
        <f>AM9</f>
        <v>Place Grenette</v>
      </c>
      <c r="AN33" s="395"/>
      <c r="AO33" s="395"/>
      <c r="AP33" s="395"/>
      <c r="AQ33" s="398" t="str">
        <f>AQ9</f>
        <v>Pompiers</v>
      </c>
      <c r="AR33" s="395"/>
      <c r="AS33" s="395"/>
      <c r="AT33" s="395"/>
      <c r="AU33" s="393" t="str">
        <f>AU9</f>
        <v>Bonneville</v>
      </c>
      <c r="AV33" s="393"/>
      <c r="AW33" s="393"/>
      <c r="AX33" s="393"/>
      <c r="AY33" s="393" t="str">
        <f>AY9</f>
        <v>Grenette</v>
      </c>
      <c r="AZ33" s="393"/>
      <c r="BA33" s="393"/>
      <c r="BB33" s="393"/>
      <c r="BC33" s="395" t="str">
        <f>BC9</f>
        <v>Office tourisme</v>
      </c>
      <c r="BD33" s="395"/>
      <c r="BE33" s="395"/>
      <c r="BF33" s="395"/>
      <c r="BG33" s="393" t="str">
        <f>BG9</f>
        <v>Grenette</v>
      </c>
      <c r="BH33" s="393"/>
      <c r="BI33" s="393"/>
      <c r="BJ33" s="393"/>
      <c r="BK33" s="393" t="str">
        <f>BK9</f>
        <v>Bonneville</v>
      </c>
      <c r="BL33" s="393"/>
      <c r="BM33" s="393"/>
      <c r="BN33" s="393"/>
      <c r="BO33" s="393" t="str">
        <f>BO9</f>
        <v>Pompiers</v>
      </c>
      <c r="BP33" s="393"/>
      <c r="BQ33" s="393"/>
      <c r="BR33" s="394"/>
      <c r="BS33" s="20"/>
      <c r="BT33" s="21"/>
      <c r="BU33" s="369"/>
      <c r="BV33" s="386"/>
      <c r="BW33" s="386"/>
      <c r="BX33" s="386"/>
      <c r="BY33" s="363"/>
      <c r="BZ33" s="403"/>
      <c r="CA33" s="386"/>
      <c r="CB33" s="386"/>
    </row>
    <row r="34" spans="1:80" ht="18.600000000000001" customHeight="1" thickBot="1">
      <c r="A34" s="20"/>
      <c r="B34" s="21"/>
      <c r="C34" s="397" t="s">
        <v>5</v>
      </c>
      <c r="D34" s="390"/>
      <c r="E34" s="387" t="s">
        <v>6</v>
      </c>
      <c r="F34" s="396"/>
      <c r="G34" s="389" t="s">
        <v>5</v>
      </c>
      <c r="H34" s="390"/>
      <c r="I34" s="387" t="s">
        <v>6</v>
      </c>
      <c r="J34" s="388"/>
      <c r="K34" s="389" t="s">
        <v>5</v>
      </c>
      <c r="L34" s="390"/>
      <c r="M34" s="387" t="s">
        <v>6</v>
      </c>
      <c r="N34" s="388"/>
      <c r="O34" s="389" t="s">
        <v>5</v>
      </c>
      <c r="P34" s="390"/>
      <c r="Q34" s="387" t="s">
        <v>6</v>
      </c>
      <c r="R34" s="396"/>
      <c r="S34" s="389" t="s">
        <v>5</v>
      </c>
      <c r="T34" s="390"/>
      <c r="U34" s="387" t="s">
        <v>6</v>
      </c>
      <c r="V34" s="396"/>
      <c r="W34" s="389" t="s">
        <v>5</v>
      </c>
      <c r="X34" s="390"/>
      <c r="Y34" s="387" t="s">
        <v>6</v>
      </c>
      <c r="Z34" s="388"/>
      <c r="AA34" s="389" t="s">
        <v>5</v>
      </c>
      <c r="AB34" s="390"/>
      <c r="AC34" s="387" t="s">
        <v>6</v>
      </c>
      <c r="AD34" s="388"/>
      <c r="AE34" s="389" t="s">
        <v>5</v>
      </c>
      <c r="AF34" s="390"/>
      <c r="AG34" s="387" t="s">
        <v>6</v>
      </c>
      <c r="AH34" s="396"/>
      <c r="AI34" s="389" t="s">
        <v>5</v>
      </c>
      <c r="AJ34" s="390"/>
      <c r="AK34" s="387" t="s">
        <v>6</v>
      </c>
      <c r="AL34" s="388"/>
      <c r="AM34" s="389" t="s">
        <v>5</v>
      </c>
      <c r="AN34" s="390"/>
      <c r="AO34" s="391" t="s">
        <v>6</v>
      </c>
      <c r="AP34" s="392"/>
      <c r="AQ34" s="397" t="s">
        <v>5</v>
      </c>
      <c r="AR34" s="390"/>
      <c r="AS34" s="387" t="s">
        <v>6</v>
      </c>
      <c r="AT34" s="396"/>
      <c r="AU34" s="389" t="s">
        <v>5</v>
      </c>
      <c r="AV34" s="390"/>
      <c r="AW34" s="387" t="s">
        <v>6</v>
      </c>
      <c r="AX34" s="388"/>
      <c r="AY34" s="389" t="s">
        <v>5</v>
      </c>
      <c r="AZ34" s="390"/>
      <c r="BA34" s="387" t="s">
        <v>6</v>
      </c>
      <c r="BB34" s="396"/>
      <c r="BC34" s="389" t="s">
        <v>5</v>
      </c>
      <c r="BD34" s="390"/>
      <c r="BE34" s="387" t="s">
        <v>6</v>
      </c>
      <c r="BF34" s="396"/>
      <c r="BG34" s="389" t="s">
        <v>5</v>
      </c>
      <c r="BH34" s="390"/>
      <c r="BI34" s="387" t="s">
        <v>6</v>
      </c>
      <c r="BJ34" s="388"/>
      <c r="BK34" s="389" t="s">
        <v>5</v>
      </c>
      <c r="BL34" s="390"/>
      <c r="BM34" s="387" t="s">
        <v>6</v>
      </c>
      <c r="BN34" s="388"/>
      <c r="BO34" s="389" t="s">
        <v>5</v>
      </c>
      <c r="BP34" s="390"/>
      <c r="BQ34" s="387" t="s">
        <v>6</v>
      </c>
      <c r="BR34" s="388"/>
      <c r="BS34" s="124"/>
      <c r="BT34" s="21"/>
      <c r="BU34" s="369"/>
      <c r="BV34" s="386"/>
      <c r="BW34" s="386"/>
      <c r="BX34" s="386"/>
      <c r="BY34" s="363"/>
      <c r="BZ34" s="403"/>
      <c r="CA34" s="386"/>
      <c r="CB34" s="386"/>
    </row>
    <row r="35" spans="1:80" ht="21" thickTop="1">
      <c r="A35" s="373" t="s">
        <v>14</v>
      </c>
      <c r="B35" s="374"/>
      <c r="C35" s="15" t="s">
        <v>9</v>
      </c>
      <c r="D35" s="4" t="s">
        <v>10</v>
      </c>
      <c r="E35" s="5" t="s">
        <v>9</v>
      </c>
      <c r="F35" s="6" t="s">
        <v>10</v>
      </c>
      <c r="G35" s="3" t="s">
        <v>9</v>
      </c>
      <c r="H35" s="4" t="s">
        <v>10</v>
      </c>
      <c r="I35" s="5" t="s">
        <v>9</v>
      </c>
      <c r="J35" s="16" t="s">
        <v>10</v>
      </c>
      <c r="K35" s="3" t="s">
        <v>9</v>
      </c>
      <c r="L35" s="4" t="s">
        <v>10</v>
      </c>
      <c r="M35" s="5" t="s">
        <v>9</v>
      </c>
      <c r="N35" s="16" t="s">
        <v>10</v>
      </c>
      <c r="O35" s="3" t="s">
        <v>9</v>
      </c>
      <c r="P35" s="4" t="s">
        <v>10</v>
      </c>
      <c r="Q35" s="5" t="s">
        <v>9</v>
      </c>
      <c r="R35" s="6" t="s">
        <v>10</v>
      </c>
      <c r="S35" s="3" t="s">
        <v>9</v>
      </c>
      <c r="T35" s="4" t="s">
        <v>10</v>
      </c>
      <c r="U35" s="5" t="s">
        <v>9</v>
      </c>
      <c r="V35" s="6" t="s">
        <v>10</v>
      </c>
      <c r="W35" s="3" t="s">
        <v>9</v>
      </c>
      <c r="X35" s="4" t="s">
        <v>10</v>
      </c>
      <c r="Y35" s="5" t="s">
        <v>9</v>
      </c>
      <c r="Z35" s="16" t="s">
        <v>10</v>
      </c>
      <c r="AA35" s="3" t="s">
        <v>9</v>
      </c>
      <c r="AB35" s="4" t="s">
        <v>10</v>
      </c>
      <c r="AC35" s="5" t="s">
        <v>9</v>
      </c>
      <c r="AD35" s="16" t="s">
        <v>10</v>
      </c>
      <c r="AE35" s="3" t="s">
        <v>9</v>
      </c>
      <c r="AF35" s="4" t="s">
        <v>10</v>
      </c>
      <c r="AG35" s="5" t="s">
        <v>9</v>
      </c>
      <c r="AH35" s="6" t="s">
        <v>10</v>
      </c>
      <c r="AI35" s="3" t="s">
        <v>9</v>
      </c>
      <c r="AJ35" s="4" t="s">
        <v>10</v>
      </c>
      <c r="AK35" s="5" t="s">
        <v>9</v>
      </c>
      <c r="AL35" s="16" t="s">
        <v>10</v>
      </c>
      <c r="AM35" s="3" t="s">
        <v>9</v>
      </c>
      <c r="AN35" s="4" t="s">
        <v>10</v>
      </c>
      <c r="AO35" s="5" t="s">
        <v>9</v>
      </c>
      <c r="AP35" s="6" t="s">
        <v>10</v>
      </c>
      <c r="AQ35" s="15" t="s">
        <v>9</v>
      </c>
      <c r="AR35" s="4" t="s">
        <v>10</v>
      </c>
      <c r="AS35" s="5" t="s">
        <v>9</v>
      </c>
      <c r="AT35" s="6" t="s">
        <v>10</v>
      </c>
      <c r="AU35" s="3" t="s">
        <v>9</v>
      </c>
      <c r="AV35" s="4" t="s">
        <v>10</v>
      </c>
      <c r="AW35" s="5" t="s">
        <v>9</v>
      </c>
      <c r="AX35" s="16" t="s">
        <v>10</v>
      </c>
      <c r="AY35" s="3" t="s">
        <v>9</v>
      </c>
      <c r="AZ35" s="4" t="s">
        <v>10</v>
      </c>
      <c r="BA35" s="5" t="s">
        <v>9</v>
      </c>
      <c r="BB35" s="6" t="s">
        <v>10</v>
      </c>
      <c r="BC35" s="3" t="s">
        <v>9</v>
      </c>
      <c r="BD35" s="4" t="s">
        <v>10</v>
      </c>
      <c r="BE35" s="5" t="s">
        <v>9</v>
      </c>
      <c r="BF35" s="6" t="s">
        <v>10</v>
      </c>
      <c r="BG35" s="3" t="s">
        <v>9</v>
      </c>
      <c r="BH35" s="4" t="s">
        <v>10</v>
      </c>
      <c r="BI35" s="5" t="s">
        <v>9</v>
      </c>
      <c r="BJ35" s="16" t="s">
        <v>10</v>
      </c>
      <c r="BK35" s="3" t="s">
        <v>9</v>
      </c>
      <c r="BL35" s="4" t="s">
        <v>10</v>
      </c>
      <c r="BM35" s="5" t="s">
        <v>9</v>
      </c>
      <c r="BN35" s="16" t="s">
        <v>10</v>
      </c>
      <c r="BO35" s="3" t="s">
        <v>9</v>
      </c>
      <c r="BP35" s="4" t="s">
        <v>10</v>
      </c>
      <c r="BQ35" s="5" t="s">
        <v>9</v>
      </c>
      <c r="BR35" s="16" t="s">
        <v>10</v>
      </c>
      <c r="BS35" s="364" t="s">
        <v>14</v>
      </c>
      <c r="BT35" s="365"/>
      <c r="BU35" s="369"/>
      <c r="BV35" s="386"/>
      <c r="BW35" s="386"/>
      <c r="BX35" s="386"/>
      <c r="BY35" s="363"/>
      <c r="BZ35" s="404"/>
      <c r="CA35" s="405"/>
      <c r="CB35" s="405"/>
    </row>
    <row r="36" spans="1:80" ht="54.95" customHeight="1">
      <c r="A36" s="375" t="s">
        <v>175</v>
      </c>
      <c r="B36" s="376"/>
      <c r="C36" s="26">
        <f>SUM(C12:C13)</f>
        <v>0</v>
      </c>
      <c r="D36" s="27">
        <f t="shared" ref="D36:BO36" si="0">SUM(D12:D13)</f>
        <v>0</v>
      </c>
      <c r="E36" s="28">
        <f t="shared" si="0"/>
        <v>0</v>
      </c>
      <c r="F36" s="29">
        <f t="shared" si="0"/>
        <v>0</v>
      </c>
      <c r="G36" s="30">
        <f t="shared" si="0"/>
        <v>0</v>
      </c>
      <c r="H36" s="27">
        <f t="shared" si="0"/>
        <v>0</v>
      </c>
      <c r="I36" s="28">
        <f t="shared" si="0"/>
        <v>1</v>
      </c>
      <c r="J36" s="31">
        <f t="shared" si="0"/>
        <v>0</v>
      </c>
      <c r="K36" s="30">
        <f t="shared" si="0"/>
        <v>0</v>
      </c>
      <c r="L36" s="27">
        <f t="shared" si="0"/>
        <v>0</v>
      </c>
      <c r="M36" s="28">
        <f t="shared" si="0"/>
        <v>0</v>
      </c>
      <c r="N36" s="31">
        <f t="shared" si="0"/>
        <v>0</v>
      </c>
      <c r="O36" s="30">
        <f t="shared" si="0"/>
        <v>0</v>
      </c>
      <c r="P36" s="27">
        <f t="shared" si="0"/>
        <v>0</v>
      </c>
      <c r="Q36" s="28">
        <f t="shared" si="0"/>
        <v>0</v>
      </c>
      <c r="R36" s="29">
        <f t="shared" si="0"/>
        <v>0</v>
      </c>
      <c r="S36" s="30">
        <f t="shared" si="0"/>
        <v>0</v>
      </c>
      <c r="T36" s="27">
        <f t="shared" si="0"/>
        <v>0</v>
      </c>
      <c r="U36" s="28">
        <f t="shared" si="0"/>
        <v>0</v>
      </c>
      <c r="V36" s="29">
        <f t="shared" si="0"/>
        <v>0</v>
      </c>
      <c r="W36" s="30">
        <f t="shared" si="0"/>
        <v>0</v>
      </c>
      <c r="X36" s="27">
        <f t="shared" si="0"/>
        <v>1</v>
      </c>
      <c r="Y36" s="28">
        <f t="shared" si="0"/>
        <v>0</v>
      </c>
      <c r="Z36" s="31">
        <f t="shared" si="0"/>
        <v>0</v>
      </c>
      <c r="AA36" s="30">
        <f t="shared" si="0"/>
        <v>0</v>
      </c>
      <c r="AB36" s="27">
        <f t="shared" si="0"/>
        <v>0</v>
      </c>
      <c r="AC36" s="28">
        <f t="shared" si="0"/>
        <v>0</v>
      </c>
      <c r="AD36" s="31">
        <f t="shared" si="0"/>
        <v>0</v>
      </c>
      <c r="AE36" s="30">
        <f t="shared" si="0"/>
        <v>0</v>
      </c>
      <c r="AF36" s="27">
        <f t="shared" si="0"/>
        <v>0</v>
      </c>
      <c r="AG36" s="28">
        <f t="shared" si="0"/>
        <v>0</v>
      </c>
      <c r="AH36" s="29">
        <f t="shared" si="0"/>
        <v>0</v>
      </c>
      <c r="AI36" s="30">
        <f t="shared" si="0"/>
        <v>0</v>
      </c>
      <c r="AJ36" s="27">
        <f t="shared" si="0"/>
        <v>0</v>
      </c>
      <c r="AK36" s="28">
        <f t="shared" si="0"/>
        <v>0</v>
      </c>
      <c r="AL36" s="31">
        <f t="shared" si="0"/>
        <v>0</v>
      </c>
      <c r="AM36" s="30">
        <f t="shared" si="0"/>
        <v>0</v>
      </c>
      <c r="AN36" s="27">
        <f t="shared" si="0"/>
        <v>0</v>
      </c>
      <c r="AO36" s="28">
        <f t="shared" si="0"/>
        <v>0</v>
      </c>
      <c r="AP36" s="29">
        <f t="shared" si="0"/>
        <v>0</v>
      </c>
      <c r="AQ36" s="26">
        <f t="shared" si="0"/>
        <v>0</v>
      </c>
      <c r="AR36" s="27">
        <f t="shared" si="0"/>
        <v>0</v>
      </c>
      <c r="AS36" s="28">
        <f t="shared" si="0"/>
        <v>0</v>
      </c>
      <c r="AT36" s="29">
        <f t="shared" si="0"/>
        <v>0</v>
      </c>
      <c r="AU36" s="30">
        <f t="shared" si="0"/>
        <v>0</v>
      </c>
      <c r="AV36" s="27">
        <f t="shared" si="0"/>
        <v>0</v>
      </c>
      <c r="AW36" s="28">
        <f t="shared" si="0"/>
        <v>0</v>
      </c>
      <c r="AX36" s="31">
        <f t="shared" si="0"/>
        <v>0</v>
      </c>
      <c r="AY36" s="30">
        <f t="shared" si="0"/>
        <v>1</v>
      </c>
      <c r="AZ36" s="27">
        <f t="shared" si="0"/>
        <v>0</v>
      </c>
      <c r="BA36" s="28">
        <f t="shared" si="0"/>
        <v>1</v>
      </c>
      <c r="BB36" s="29">
        <f t="shared" si="0"/>
        <v>0</v>
      </c>
      <c r="BC36" s="30">
        <f t="shared" si="0"/>
        <v>0</v>
      </c>
      <c r="BD36" s="27">
        <f t="shared" si="0"/>
        <v>0</v>
      </c>
      <c r="BE36" s="28">
        <f t="shared" si="0"/>
        <v>0</v>
      </c>
      <c r="BF36" s="29">
        <f t="shared" si="0"/>
        <v>0</v>
      </c>
      <c r="BG36" s="30">
        <f t="shared" si="0"/>
        <v>0</v>
      </c>
      <c r="BH36" s="27">
        <f t="shared" si="0"/>
        <v>0</v>
      </c>
      <c r="BI36" s="28">
        <f t="shared" si="0"/>
        <v>0</v>
      </c>
      <c r="BJ36" s="31">
        <f t="shared" si="0"/>
        <v>0</v>
      </c>
      <c r="BK36" s="30">
        <f t="shared" si="0"/>
        <v>0</v>
      </c>
      <c r="BL36" s="27">
        <f t="shared" si="0"/>
        <v>0</v>
      </c>
      <c r="BM36" s="28">
        <f t="shared" si="0"/>
        <v>0</v>
      </c>
      <c r="BN36" s="31">
        <f t="shared" si="0"/>
        <v>0</v>
      </c>
      <c r="BO36" s="30">
        <f t="shared" si="0"/>
        <v>0</v>
      </c>
      <c r="BP36" s="27">
        <f t="shared" ref="BP36:BR36" si="1">SUM(BP12:BP13)</f>
        <v>0</v>
      </c>
      <c r="BQ36" s="28">
        <f t="shared" si="1"/>
        <v>0</v>
      </c>
      <c r="BR36" s="31">
        <f t="shared" si="1"/>
        <v>0</v>
      </c>
      <c r="BS36" s="366" t="str">
        <f>A36</f>
        <v>6:30 à 7:00</v>
      </c>
      <c r="BT36" s="367"/>
      <c r="BU36" s="324">
        <f>SUM(C36:BR36)</f>
        <v>4</v>
      </c>
      <c r="BV36" s="303">
        <f>C36+E36+G36+I36+K36+M36+O36+Q36+S36+U36+W36+Y36+AA36+AC36+AE36+AG36+AI36+AK36+AM36+AO36+AQ36+AS36+AU36+AW36+AY36+BA36+BC36+BE36+BG36+BI36+BK36+BM36+BO36+BQ36</f>
        <v>3</v>
      </c>
      <c r="BW36" s="303">
        <f>E36+F36+I36+J36+M36+N36+Q36+R36+U36+V36+Y36+Z36+AC36+AD36+AG36+AH36+AK36+AL36+AO36+AP36+AS36+AT36+AW36+AX36+BA36+BB36+BE36+BF36+BI36+BJ36+BM36+BN36+BQ36+BR36</f>
        <v>2</v>
      </c>
      <c r="BX36" s="303">
        <f>E36+I36+M36+Q36+U36+Y36+AC36+AG36+AK36+AO36+AS36+AW36+BA36+BE36+BI36+BM36+BQ36</f>
        <v>2</v>
      </c>
      <c r="BY36" s="303">
        <f>SUM(C36:R36)+SUM(AA36:AH36)+SUM(AU36:AX36)+SUM(BK36:BN36)</f>
        <v>1</v>
      </c>
      <c r="BZ36" s="319"/>
      <c r="CA36" s="316"/>
      <c r="CB36" s="316"/>
    </row>
    <row r="37" spans="1:80" ht="54.95" customHeight="1">
      <c r="A37" s="377" t="s">
        <v>46</v>
      </c>
      <c r="B37" s="378"/>
      <c r="C37" s="32">
        <f>SUM(C14:C17)</f>
        <v>0</v>
      </c>
      <c r="D37" s="33">
        <f t="shared" ref="D37:AP37" si="2">SUM(D14:D17)</f>
        <v>0</v>
      </c>
      <c r="E37" s="34">
        <f t="shared" si="2"/>
        <v>0</v>
      </c>
      <c r="F37" s="35">
        <f t="shared" si="2"/>
        <v>0</v>
      </c>
      <c r="G37" s="36">
        <f t="shared" si="2"/>
        <v>1</v>
      </c>
      <c r="H37" s="33">
        <f t="shared" si="2"/>
        <v>0</v>
      </c>
      <c r="I37" s="34">
        <f t="shared" si="2"/>
        <v>0</v>
      </c>
      <c r="J37" s="37">
        <f t="shared" si="2"/>
        <v>0</v>
      </c>
      <c r="K37" s="36">
        <f t="shared" si="2"/>
        <v>1</v>
      </c>
      <c r="L37" s="33">
        <f t="shared" si="2"/>
        <v>1</v>
      </c>
      <c r="M37" s="34">
        <f t="shared" si="2"/>
        <v>0</v>
      </c>
      <c r="N37" s="37">
        <f t="shared" si="2"/>
        <v>0</v>
      </c>
      <c r="O37" s="36">
        <f t="shared" si="2"/>
        <v>0</v>
      </c>
      <c r="P37" s="33">
        <f t="shared" si="2"/>
        <v>1</v>
      </c>
      <c r="Q37" s="34">
        <f t="shared" si="2"/>
        <v>0</v>
      </c>
      <c r="R37" s="35">
        <f t="shared" si="2"/>
        <v>0</v>
      </c>
      <c r="S37" s="36">
        <f t="shared" si="2"/>
        <v>0</v>
      </c>
      <c r="T37" s="33">
        <f t="shared" si="2"/>
        <v>0</v>
      </c>
      <c r="U37" s="34">
        <f t="shared" si="2"/>
        <v>0</v>
      </c>
      <c r="V37" s="35">
        <f t="shared" si="2"/>
        <v>0</v>
      </c>
      <c r="W37" s="36">
        <f t="shared" si="2"/>
        <v>0</v>
      </c>
      <c r="X37" s="33">
        <f t="shared" si="2"/>
        <v>0</v>
      </c>
      <c r="Y37" s="34">
        <f t="shared" si="2"/>
        <v>0</v>
      </c>
      <c r="Z37" s="37">
        <f t="shared" si="2"/>
        <v>0</v>
      </c>
      <c r="AA37" s="36">
        <f t="shared" si="2"/>
        <v>0</v>
      </c>
      <c r="AB37" s="33">
        <f t="shared" si="2"/>
        <v>1</v>
      </c>
      <c r="AC37" s="34">
        <f t="shared" si="2"/>
        <v>0</v>
      </c>
      <c r="AD37" s="37">
        <f t="shared" si="2"/>
        <v>0</v>
      </c>
      <c r="AE37" s="36">
        <f t="shared" si="2"/>
        <v>0</v>
      </c>
      <c r="AF37" s="33">
        <f t="shared" si="2"/>
        <v>0</v>
      </c>
      <c r="AG37" s="34">
        <f t="shared" si="2"/>
        <v>0</v>
      </c>
      <c r="AH37" s="35">
        <f t="shared" si="2"/>
        <v>0</v>
      </c>
      <c r="AI37" s="36">
        <f t="shared" si="2"/>
        <v>0</v>
      </c>
      <c r="AJ37" s="33">
        <f t="shared" si="2"/>
        <v>0</v>
      </c>
      <c r="AK37" s="34">
        <f t="shared" si="2"/>
        <v>0</v>
      </c>
      <c r="AL37" s="37">
        <f t="shared" si="2"/>
        <v>0</v>
      </c>
      <c r="AM37" s="36">
        <f t="shared" si="2"/>
        <v>0</v>
      </c>
      <c r="AN37" s="33">
        <f t="shared" si="2"/>
        <v>0</v>
      </c>
      <c r="AO37" s="34">
        <f t="shared" si="2"/>
        <v>0</v>
      </c>
      <c r="AP37" s="35">
        <f t="shared" si="2"/>
        <v>0</v>
      </c>
      <c r="AQ37" s="32">
        <f>SUM(AQ14:AQ17)</f>
        <v>0</v>
      </c>
      <c r="AR37" s="33">
        <f t="shared" ref="AR37:BR37" si="3">SUM(AR14:AR17)</f>
        <v>0</v>
      </c>
      <c r="AS37" s="34">
        <f t="shared" si="3"/>
        <v>0</v>
      </c>
      <c r="AT37" s="35">
        <f t="shared" si="3"/>
        <v>0</v>
      </c>
      <c r="AU37" s="36">
        <f t="shared" si="3"/>
        <v>0</v>
      </c>
      <c r="AV37" s="33">
        <f t="shared" si="3"/>
        <v>0</v>
      </c>
      <c r="AW37" s="34">
        <f t="shared" si="3"/>
        <v>0</v>
      </c>
      <c r="AX37" s="37">
        <f t="shared" si="3"/>
        <v>0</v>
      </c>
      <c r="AY37" s="36">
        <f t="shared" si="3"/>
        <v>0</v>
      </c>
      <c r="AZ37" s="33">
        <f t="shared" si="3"/>
        <v>0</v>
      </c>
      <c r="BA37" s="34">
        <f t="shared" si="3"/>
        <v>0</v>
      </c>
      <c r="BB37" s="35">
        <f t="shared" si="3"/>
        <v>0</v>
      </c>
      <c r="BC37" s="36">
        <f t="shared" si="3"/>
        <v>0</v>
      </c>
      <c r="BD37" s="33">
        <f t="shared" si="3"/>
        <v>0</v>
      </c>
      <c r="BE37" s="34">
        <f t="shared" si="3"/>
        <v>0</v>
      </c>
      <c r="BF37" s="35">
        <f t="shared" si="3"/>
        <v>0</v>
      </c>
      <c r="BG37" s="36">
        <f t="shared" si="3"/>
        <v>0</v>
      </c>
      <c r="BH37" s="33">
        <f t="shared" si="3"/>
        <v>0</v>
      </c>
      <c r="BI37" s="34">
        <f t="shared" si="3"/>
        <v>0</v>
      </c>
      <c r="BJ37" s="37">
        <f t="shared" si="3"/>
        <v>0</v>
      </c>
      <c r="BK37" s="36">
        <f t="shared" si="3"/>
        <v>0</v>
      </c>
      <c r="BL37" s="33">
        <f t="shared" si="3"/>
        <v>2</v>
      </c>
      <c r="BM37" s="34">
        <f t="shared" si="3"/>
        <v>1</v>
      </c>
      <c r="BN37" s="37">
        <f t="shared" si="3"/>
        <v>1</v>
      </c>
      <c r="BO37" s="36">
        <f t="shared" si="3"/>
        <v>0</v>
      </c>
      <c r="BP37" s="33">
        <f t="shared" si="3"/>
        <v>0</v>
      </c>
      <c r="BQ37" s="34">
        <f t="shared" si="3"/>
        <v>2</v>
      </c>
      <c r="BR37" s="37">
        <f t="shared" si="3"/>
        <v>0</v>
      </c>
      <c r="BS37" s="366" t="str">
        <f t="shared" ref="BS37:BS39" si="4">A37</f>
        <v>7:00 à 8:00</v>
      </c>
      <c r="BT37" s="367"/>
      <c r="BU37" s="324">
        <f t="shared" ref="BU37:BU39" si="5">SUM(C37:BR37)</f>
        <v>11</v>
      </c>
      <c r="BV37" s="303">
        <f t="shared" ref="BV37:BV40" si="6">C37+E37+G37+I37+K37+M37+O37+Q37+S37+U37+W37+Y37+AA37+AC37+AE37+AG37+AI37+AK37+AM37+AO37+AQ37+AS37+AU37+AW37+AY37+BA37+BC37+BE37+BG37+BI37+BK37+BM37+BO37+BQ37</f>
        <v>5</v>
      </c>
      <c r="BW37" s="303">
        <f t="shared" ref="BW37:BW40" si="7">E37+F37+I37+J37+M37+N37+Q37+R37+U37+V37+Y37+Z37+AC37+AD37+AG37+AH37+AK37+AL37+AO37+AP37+AS37+AT37+AW37+AX37+BA37+BB37+BE37+BF37+BI37+BJ37+BM37+BN37+BQ37+BR37</f>
        <v>4</v>
      </c>
      <c r="BX37" s="303">
        <f t="shared" ref="BX37:BX40" si="8">E37+I37+M37+Q37+U37+Y37+AC37+AG37+AK37+AO37+AS37+AW37+BA37+BE37+BI37+BM37+BQ37</f>
        <v>3</v>
      </c>
      <c r="BY37" s="303">
        <f t="shared" ref="BY37:BY40" si="9">SUM(C37:R37)+SUM(AA37:AH37)+SUM(AU37:AX37)+SUM(BK37:BN37)</f>
        <v>9</v>
      </c>
      <c r="BZ37" s="319"/>
      <c r="CA37" s="316"/>
      <c r="CB37" s="316"/>
    </row>
    <row r="38" spans="1:80" ht="54.95" customHeight="1">
      <c r="A38" s="377" t="s">
        <v>47</v>
      </c>
      <c r="B38" s="378"/>
      <c r="C38" s="32">
        <f>SUM(C16:C19)</f>
        <v>0</v>
      </c>
      <c r="D38" s="33">
        <f t="shared" ref="D38:AP38" si="10">SUM(D16:D19)</f>
        <v>0</v>
      </c>
      <c r="E38" s="34">
        <f t="shared" si="10"/>
        <v>0</v>
      </c>
      <c r="F38" s="35">
        <f t="shared" si="10"/>
        <v>0</v>
      </c>
      <c r="G38" s="36">
        <f t="shared" si="10"/>
        <v>1</v>
      </c>
      <c r="H38" s="33">
        <f t="shared" si="10"/>
        <v>0</v>
      </c>
      <c r="I38" s="34">
        <f t="shared" si="10"/>
        <v>0</v>
      </c>
      <c r="J38" s="37">
        <f t="shared" si="10"/>
        <v>0</v>
      </c>
      <c r="K38" s="36">
        <f t="shared" si="10"/>
        <v>3</v>
      </c>
      <c r="L38" s="33">
        <f t="shared" si="10"/>
        <v>2</v>
      </c>
      <c r="M38" s="34">
        <f t="shared" si="10"/>
        <v>0</v>
      </c>
      <c r="N38" s="37">
        <f t="shared" si="10"/>
        <v>0</v>
      </c>
      <c r="O38" s="36">
        <f t="shared" si="10"/>
        <v>0</v>
      </c>
      <c r="P38" s="33">
        <f t="shared" si="10"/>
        <v>1</v>
      </c>
      <c r="Q38" s="34">
        <f t="shared" si="10"/>
        <v>0</v>
      </c>
      <c r="R38" s="35">
        <f t="shared" si="10"/>
        <v>0</v>
      </c>
      <c r="S38" s="36">
        <f t="shared" si="10"/>
        <v>0</v>
      </c>
      <c r="T38" s="33">
        <f t="shared" si="10"/>
        <v>0</v>
      </c>
      <c r="U38" s="34">
        <f t="shared" si="10"/>
        <v>0</v>
      </c>
      <c r="V38" s="35">
        <f t="shared" si="10"/>
        <v>0</v>
      </c>
      <c r="W38" s="36">
        <f t="shared" si="10"/>
        <v>0</v>
      </c>
      <c r="X38" s="33">
        <f t="shared" si="10"/>
        <v>0</v>
      </c>
      <c r="Y38" s="34">
        <f t="shared" si="10"/>
        <v>0</v>
      </c>
      <c r="Z38" s="37">
        <f t="shared" si="10"/>
        <v>0</v>
      </c>
      <c r="AA38" s="36">
        <f t="shared" si="10"/>
        <v>0</v>
      </c>
      <c r="AB38" s="33">
        <f t="shared" si="10"/>
        <v>0</v>
      </c>
      <c r="AC38" s="34">
        <f t="shared" si="10"/>
        <v>0</v>
      </c>
      <c r="AD38" s="37">
        <f t="shared" si="10"/>
        <v>0</v>
      </c>
      <c r="AE38" s="36">
        <f t="shared" si="10"/>
        <v>0</v>
      </c>
      <c r="AF38" s="33">
        <f t="shared" si="10"/>
        <v>0</v>
      </c>
      <c r="AG38" s="34">
        <f t="shared" si="10"/>
        <v>0</v>
      </c>
      <c r="AH38" s="35">
        <f t="shared" si="10"/>
        <v>0</v>
      </c>
      <c r="AI38" s="36">
        <f t="shared" si="10"/>
        <v>0</v>
      </c>
      <c r="AJ38" s="33">
        <f t="shared" si="10"/>
        <v>0</v>
      </c>
      <c r="AK38" s="34">
        <f t="shared" si="10"/>
        <v>0</v>
      </c>
      <c r="AL38" s="37">
        <f t="shared" si="10"/>
        <v>0</v>
      </c>
      <c r="AM38" s="36">
        <f t="shared" si="10"/>
        <v>0</v>
      </c>
      <c r="AN38" s="33">
        <f t="shared" si="10"/>
        <v>0</v>
      </c>
      <c r="AO38" s="34">
        <f t="shared" si="10"/>
        <v>0</v>
      </c>
      <c r="AP38" s="35">
        <f t="shared" si="10"/>
        <v>0</v>
      </c>
      <c r="AQ38" s="32">
        <f>SUM(AQ16:AQ19)</f>
        <v>1</v>
      </c>
      <c r="AR38" s="33">
        <f t="shared" ref="AR38:BR38" si="11">SUM(AR16:AR19)</f>
        <v>0</v>
      </c>
      <c r="AS38" s="34">
        <f t="shared" si="11"/>
        <v>0</v>
      </c>
      <c r="AT38" s="35">
        <f t="shared" si="11"/>
        <v>1</v>
      </c>
      <c r="AU38" s="36">
        <f t="shared" si="11"/>
        <v>0</v>
      </c>
      <c r="AV38" s="33">
        <f t="shared" si="11"/>
        <v>0</v>
      </c>
      <c r="AW38" s="34">
        <f t="shared" si="11"/>
        <v>0</v>
      </c>
      <c r="AX38" s="37">
        <f t="shared" si="11"/>
        <v>0</v>
      </c>
      <c r="AY38" s="36">
        <f t="shared" si="11"/>
        <v>0</v>
      </c>
      <c r="AZ38" s="33">
        <f t="shared" si="11"/>
        <v>0</v>
      </c>
      <c r="BA38" s="34">
        <f t="shared" si="11"/>
        <v>0</v>
      </c>
      <c r="BB38" s="35">
        <f t="shared" si="11"/>
        <v>0</v>
      </c>
      <c r="BC38" s="36">
        <f t="shared" si="11"/>
        <v>0</v>
      </c>
      <c r="BD38" s="33">
        <f t="shared" si="11"/>
        <v>0</v>
      </c>
      <c r="BE38" s="34">
        <f t="shared" si="11"/>
        <v>0</v>
      </c>
      <c r="BF38" s="35">
        <f t="shared" si="11"/>
        <v>0</v>
      </c>
      <c r="BG38" s="36">
        <f t="shared" si="11"/>
        <v>0</v>
      </c>
      <c r="BH38" s="33">
        <f t="shared" si="11"/>
        <v>0</v>
      </c>
      <c r="BI38" s="34">
        <f t="shared" si="11"/>
        <v>0</v>
      </c>
      <c r="BJ38" s="37">
        <f t="shared" si="11"/>
        <v>0</v>
      </c>
      <c r="BK38" s="36">
        <f t="shared" si="11"/>
        <v>0</v>
      </c>
      <c r="BL38" s="33">
        <f t="shared" si="11"/>
        <v>2</v>
      </c>
      <c r="BM38" s="34">
        <f t="shared" si="11"/>
        <v>1</v>
      </c>
      <c r="BN38" s="37">
        <f t="shared" si="11"/>
        <v>0</v>
      </c>
      <c r="BO38" s="36">
        <f t="shared" si="11"/>
        <v>0</v>
      </c>
      <c r="BP38" s="33">
        <f t="shared" si="11"/>
        <v>1</v>
      </c>
      <c r="BQ38" s="34">
        <f t="shared" si="11"/>
        <v>0</v>
      </c>
      <c r="BR38" s="37">
        <f t="shared" si="11"/>
        <v>0</v>
      </c>
      <c r="BS38" s="366" t="str">
        <f t="shared" si="4"/>
        <v>7:30 à 8:30</v>
      </c>
      <c r="BT38" s="367"/>
      <c r="BU38" s="324">
        <f t="shared" si="5"/>
        <v>13</v>
      </c>
      <c r="BV38" s="303">
        <f t="shared" si="6"/>
        <v>6</v>
      </c>
      <c r="BW38" s="303">
        <f t="shared" si="7"/>
        <v>2</v>
      </c>
      <c r="BX38" s="303">
        <f t="shared" si="8"/>
        <v>1</v>
      </c>
      <c r="BY38" s="303">
        <f t="shared" si="9"/>
        <v>10</v>
      </c>
      <c r="BZ38" s="319"/>
      <c r="CA38" s="316"/>
      <c r="CB38" s="316"/>
    </row>
    <row r="39" spans="1:80" ht="54.95" customHeight="1">
      <c r="A39" s="377" t="s">
        <v>48</v>
      </c>
      <c r="B39" s="378"/>
      <c r="C39" s="32">
        <f>SUM(C18:C21)</f>
        <v>0</v>
      </c>
      <c r="D39" s="33">
        <f t="shared" ref="D39:AP39" si="12">SUM(D18:D21)</f>
        <v>0</v>
      </c>
      <c r="E39" s="34">
        <f t="shared" si="12"/>
        <v>0</v>
      </c>
      <c r="F39" s="35">
        <f t="shared" si="12"/>
        <v>0</v>
      </c>
      <c r="G39" s="36">
        <f t="shared" si="12"/>
        <v>0</v>
      </c>
      <c r="H39" s="33">
        <f t="shared" si="12"/>
        <v>0</v>
      </c>
      <c r="I39" s="34">
        <f t="shared" si="12"/>
        <v>0</v>
      </c>
      <c r="J39" s="37">
        <f t="shared" si="12"/>
        <v>0</v>
      </c>
      <c r="K39" s="36">
        <f t="shared" si="12"/>
        <v>2</v>
      </c>
      <c r="L39" s="33">
        <f t="shared" si="12"/>
        <v>1</v>
      </c>
      <c r="M39" s="34">
        <f t="shared" si="12"/>
        <v>0</v>
      </c>
      <c r="N39" s="37">
        <f t="shared" si="12"/>
        <v>1</v>
      </c>
      <c r="O39" s="36">
        <f t="shared" si="12"/>
        <v>0</v>
      </c>
      <c r="P39" s="33">
        <f t="shared" si="12"/>
        <v>0</v>
      </c>
      <c r="Q39" s="34">
        <f t="shared" si="12"/>
        <v>0</v>
      </c>
      <c r="R39" s="35">
        <f t="shared" si="12"/>
        <v>0</v>
      </c>
      <c r="S39" s="36">
        <f t="shared" si="12"/>
        <v>0</v>
      </c>
      <c r="T39" s="33">
        <f t="shared" si="12"/>
        <v>0</v>
      </c>
      <c r="U39" s="34">
        <f t="shared" si="12"/>
        <v>0</v>
      </c>
      <c r="V39" s="35">
        <f t="shared" si="12"/>
        <v>0</v>
      </c>
      <c r="W39" s="36">
        <f t="shared" si="12"/>
        <v>0</v>
      </c>
      <c r="X39" s="33">
        <f t="shared" si="12"/>
        <v>0</v>
      </c>
      <c r="Y39" s="34">
        <f t="shared" si="12"/>
        <v>0</v>
      </c>
      <c r="Z39" s="37">
        <f t="shared" si="12"/>
        <v>0</v>
      </c>
      <c r="AA39" s="36">
        <f t="shared" si="12"/>
        <v>0</v>
      </c>
      <c r="AB39" s="33">
        <f t="shared" si="12"/>
        <v>0</v>
      </c>
      <c r="AC39" s="34">
        <f t="shared" si="12"/>
        <v>0</v>
      </c>
      <c r="AD39" s="37">
        <f t="shared" si="12"/>
        <v>0</v>
      </c>
      <c r="AE39" s="36">
        <f t="shared" si="12"/>
        <v>0</v>
      </c>
      <c r="AF39" s="33">
        <f t="shared" si="12"/>
        <v>0</v>
      </c>
      <c r="AG39" s="34">
        <f t="shared" si="12"/>
        <v>0</v>
      </c>
      <c r="AH39" s="35">
        <f t="shared" si="12"/>
        <v>0</v>
      </c>
      <c r="AI39" s="36">
        <f t="shared" si="12"/>
        <v>0</v>
      </c>
      <c r="AJ39" s="33">
        <f t="shared" si="12"/>
        <v>0</v>
      </c>
      <c r="AK39" s="34">
        <f t="shared" si="12"/>
        <v>0</v>
      </c>
      <c r="AL39" s="37">
        <f t="shared" si="12"/>
        <v>0</v>
      </c>
      <c r="AM39" s="36">
        <f t="shared" si="12"/>
        <v>0</v>
      </c>
      <c r="AN39" s="33">
        <f t="shared" si="12"/>
        <v>0</v>
      </c>
      <c r="AO39" s="34">
        <f t="shared" si="12"/>
        <v>0</v>
      </c>
      <c r="AP39" s="35">
        <f t="shared" si="12"/>
        <v>0</v>
      </c>
      <c r="AQ39" s="32">
        <f>SUM(AQ18:AQ21)</f>
        <v>1</v>
      </c>
      <c r="AR39" s="33">
        <f t="shared" ref="AR39:BR39" si="13">SUM(AR18:AR21)</f>
        <v>0</v>
      </c>
      <c r="AS39" s="34">
        <f t="shared" si="13"/>
        <v>0</v>
      </c>
      <c r="AT39" s="35">
        <f t="shared" si="13"/>
        <v>1</v>
      </c>
      <c r="AU39" s="36">
        <f t="shared" si="13"/>
        <v>0</v>
      </c>
      <c r="AV39" s="33">
        <f t="shared" si="13"/>
        <v>1</v>
      </c>
      <c r="AW39" s="34">
        <f t="shared" si="13"/>
        <v>0</v>
      </c>
      <c r="AX39" s="37">
        <f t="shared" si="13"/>
        <v>1</v>
      </c>
      <c r="AY39" s="36">
        <f t="shared" si="13"/>
        <v>0</v>
      </c>
      <c r="AZ39" s="33">
        <f t="shared" si="13"/>
        <v>0</v>
      </c>
      <c r="BA39" s="34">
        <f t="shared" si="13"/>
        <v>0</v>
      </c>
      <c r="BB39" s="35">
        <f t="shared" si="13"/>
        <v>0</v>
      </c>
      <c r="BC39" s="36">
        <f t="shared" si="13"/>
        <v>0</v>
      </c>
      <c r="BD39" s="33">
        <f t="shared" si="13"/>
        <v>0</v>
      </c>
      <c r="BE39" s="34">
        <f t="shared" si="13"/>
        <v>0</v>
      </c>
      <c r="BF39" s="35">
        <f t="shared" si="13"/>
        <v>0</v>
      </c>
      <c r="BG39" s="36">
        <f t="shared" si="13"/>
        <v>0</v>
      </c>
      <c r="BH39" s="33">
        <f t="shared" si="13"/>
        <v>0</v>
      </c>
      <c r="BI39" s="34">
        <f t="shared" si="13"/>
        <v>0</v>
      </c>
      <c r="BJ39" s="37">
        <f t="shared" si="13"/>
        <v>0</v>
      </c>
      <c r="BK39" s="36">
        <f t="shared" si="13"/>
        <v>1</v>
      </c>
      <c r="BL39" s="33">
        <f t="shared" si="13"/>
        <v>0</v>
      </c>
      <c r="BM39" s="34">
        <f t="shared" si="13"/>
        <v>0</v>
      </c>
      <c r="BN39" s="37">
        <f t="shared" si="13"/>
        <v>0</v>
      </c>
      <c r="BO39" s="36">
        <f t="shared" si="13"/>
        <v>0</v>
      </c>
      <c r="BP39" s="33">
        <f t="shared" si="13"/>
        <v>1</v>
      </c>
      <c r="BQ39" s="34">
        <f t="shared" si="13"/>
        <v>0</v>
      </c>
      <c r="BR39" s="37">
        <f t="shared" si="13"/>
        <v>0</v>
      </c>
      <c r="BS39" s="366" t="str">
        <f t="shared" si="4"/>
        <v>8:00 à 9:00</v>
      </c>
      <c r="BT39" s="367"/>
      <c r="BU39" s="324">
        <f t="shared" si="5"/>
        <v>10</v>
      </c>
      <c r="BV39" s="303">
        <f t="shared" si="6"/>
        <v>4</v>
      </c>
      <c r="BW39" s="303">
        <f t="shared" si="7"/>
        <v>3</v>
      </c>
      <c r="BX39" s="303">
        <f t="shared" si="8"/>
        <v>0</v>
      </c>
      <c r="BY39" s="303">
        <f t="shared" si="9"/>
        <v>7</v>
      </c>
      <c r="BZ39" s="319"/>
      <c r="CA39" s="316"/>
      <c r="CB39" s="316"/>
    </row>
    <row r="40" spans="1:80" ht="54.95" customHeight="1" thickBot="1">
      <c r="A40" s="406" t="s">
        <v>13</v>
      </c>
      <c r="B40" s="407"/>
      <c r="C40" s="38">
        <f t="shared" ref="C40:AH40" si="14">SUM(C12:C23)</f>
        <v>0</v>
      </c>
      <c r="D40" s="39">
        <f t="shared" si="14"/>
        <v>0</v>
      </c>
      <c r="E40" s="40">
        <f t="shared" si="14"/>
        <v>0</v>
      </c>
      <c r="F40" s="41">
        <f t="shared" si="14"/>
        <v>0</v>
      </c>
      <c r="G40" s="42">
        <f t="shared" si="14"/>
        <v>1</v>
      </c>
      <c r="H40" s="39">
        <f t="shared" si="14"/>
        <v>0</v>
      </c>
      <c r="I40" s="40">
        <f t="shared" si="14"/>
        <v>1</v>
      </c>
      <c r="J40" s="43">
        <f t="shared" si="14"/>
        <v>0</v>
      </c>
      <c r="K40" s="42">
        <f t="shared" si="14"/>
        <v>3</v>
      </c>
      <c r="L40" s="39">
        <f t="shared" si="14"/>
        <v>2</v>
      </c>
      <c r="M40" s="40">
        <f t="shared" si="14"/>
        <v>0</v>
      </c>
      <c r="N40" s="43">
        <f t="shared" si="14"/>
        <v>1</v>
      </c>
      <c r="O40" s="42">
        <f t="shared" si="14"/>
        <v>0</v>
      </c>
      <c r="P40" s="39">
        <f t="shared" si="14"/>
        <v>1</v>
      </c>
      <c r="Q40" s="40">
        <f t="shared" si="14"/>
        <v>0</v>
      </c>
      <c r="R40" s="41">
        <f t="shared" si="14"/>
        <v>0</v>
      </c>
      <c r="S40" s="42">
        <f t="shared" si="14"/>
        <v>0</v>
      </c>
      <c r="T40" s="39">
        <f t="shared" si="14"/>
        <v>0</v>
      </c>
      <c r="U40" s="40">
        <f t="shared" si="14"/>
        <v>0</v>
      </c>
      <c r="V40" s="41">
        <f t="shared" si="14"/>
        <v>0</v>
      </c>
      <c r="W40" s="42">
        <f t="shared" si="14"/>
        <v>0</v>
      </c>
      <c r="X40" s="39">
        <f t="shared" si="14"/>
        <v>1</v>
      </c>
      <c r="Y40" s="40">
        <f t="shared" si="14"/>
        <v>0</v>
      </c>
      <c r="Z40" s="43">
        <f t="shared" si="14"/>
        <v>0</v>
      </c>
      <c r="AA40" s="42">
        <f t="shared" si="14"/>
        <v>0</v>
      </c>
      <c r="AB40" s="39">
        <f t="shared" si="14"/>
        <v>1</v>
      </c>
      <c r="AC40" s="40">
        <f t="shared" si="14"/>
        <v>0</v>
      </c>
      <c r="AD40" s="43">
        <f t="shared" si="14"/>
        <v>0</v>
      </c>
      <c r="AE40" s="42">
        <f t="shared" si="14"/>
        <v>0</v>
      </c>
      <c r="AF40" s="39">
        <f t="shared" si="14"/>
        <v>0</v>
      </c>
      <c r="AG40" s="40">
        <f t="shared" si="14"/>
        <v>0</v>
      </c>
      <c r="AH40" s="41">
        <f t="shared" si="14"/>
        <v>0</v>
      </c>
      <c r="AI40" s="42">
        <f t="shared" ref="AI40:BR40" si="15">SUM(AI12:AI23)</f>
        <v>0</v>
      </c>
      <c r="AJ40" s="39">
        <f t="shared" si="15"/>
        <v>0</v>
      </c>
      <c r="AK40" s="40">
        <f t="shared" si="15"/>
        <v>0</v>
      </c>
      <c r="AL40" s="43">
        <f t="shared" si="15"/>
        <v>0</v>
      </c>
      <c r="AM40" s="42">
        <f t="shared" si="15"/>
        <v>0</v>
      </c>
      <c r="AN40" s="39">
        <f t="shared" si="15"/>
        <v>0</v>
      </c>
      <c r="AO40" s="40">
        <f t="shared" si="15"/>
        <v>0</v>
      </c>
      <c r="AP40" s="41">
        <f t="shared" si="15"/>
        <v>0</v>
      </c>
      <c r="AQ40" s="38">
        <f t="shared" si="15"/>
        <v>1</v>
      </c>
      <c r="AR40" s="39">
        <f t="shared" si="15"/>
        <v>0</v>
      </c>
      <c r="AS40" s="40">
        <f t="shared" si="15"/>
        <v>0</v>
      </c>
      <c r="AT40" s="41">
        <f t="shared" si="15"/>
        <v>1</v>
      </c>
      <c r="AU40" s="42">
        <f t="shared" si="15"/>
        <v>0</v>
      </c>
      <c r="AV40" s="39">
        <f t="shared" si="15"/>
        <v>1</v>
      </c>
      <c r="AW40" s="40">
        <f t="shared" si="15"/>
        <v>0</v>
      </c>
      <c r="AX40" s="43">
        <f t="shared" si="15"/>
        <v>1</v>
      </c>
      <c r="AY40" s="42">
        <f t="shared" si="15"/>
        <v>1</v>
      </c>
      <c r="AZ40" s="39">
        <f t="shared" si="15"/>
        <v>0</v>
      </c>
      <c r="BA40" s="40">
        <f t="shared" si="15"/>
        <v>1</v>
      </c>
      <c r="BB40" s="41">
        <f t="shared" si="15"/>
        <v>0</v>
      </c>
      <c r="BC40" s="42">
        <f t="shared" si="15"/>
        <v>0</v>
      </c>
      <c r="BD40" s="39">
        <f t="shared" si="15"/>
        <v>0</v>
      </c>
      <c r="BE40" s="40">
        <f t="shared" si="15"/>
        <v>0</v>
      </c>
      <c r="BF40" s="41">
        <f t="shared" si="15"/>
        <v>0</v>
      </c>
      <c r="BG40" s="42">
        <f t="shared" si="15"/>
        <v>0</v>
      </c>
      <c r="BH40" s="39">
        <f t="shared" si="15"/>
        <v>0</v>
      </c>
      <c r="BI40" s="40">
        <f t="shared" si="15"/>
        <v>0</v>
      </c>
      <c r="BJ40" s="43">
        <f t="shared" si="15"/>
        <v>0</v>
      </c>
      <c r="BK40" s="42">
        <f t="shared" si="15"/>
        <v>1</v>
      </c>
      <c r="BL40" s="39">
        <f t="shared" si="15"/>
        <v>2</v>
      </c>
      <c r="BM40" s="40">
        <f t="shared" si="15"/>
        <v>1</v>
      </c>
      <c r="BN40" s="43">
        <f t="shared" si="15"/>
        <v>1</v>
      </c>
      <c r="BO40" s="42">
        <f t="shared" si="15"/>
        <v>0</v>
      </c>
      <c r="BP40" s="39">
        <f t="shared" si="15"/>
        <v>1</v>
      </c>
      <c r="BQ40" s="40">
        <f t="shared" si="15"/>
        <v>2</v>
      </c>
      <c r="BR40" s="43">
        <f t="shared" si="15"/>
        <v>0</v>
      </c>
      <c r="BS40" s="383" t="s">
        <v>13</v>
      </c>
      <c r="BT40" s="384"/>
      <c r="BU40" s="328">
        <f>SUM(C40:BR40)</f>
        <v>25</v>
      </c>
      <c r="BV40" s="329">
        <f t="shared" si="6"/>
        <v>12</v>
      </c>
      <c r="BW40" s="329">
        <f t="shared" si="7"/>
        <v>9</v>
      </c>
      <c r="BX40" s="329">
        <f t="shared" si="8"/>
        <v>5</v>
      </c>
      <c r="BY40" s="329">
        <f t="shared" si="9"/>
        <v>17</v>
      </c>
      <c r="BZ40" s="319"/>
      <c r="CA40" s="316"/>
      <c r="CB40" s="316"/>
    </row>
    <row r="41" spans="1:80" ht="53.25" customHeight="1" thickTop="1" thickBo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8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360" t="str">
        <f>IF($BU$36=MAX($BU$36:$BU$39),BS36,IF($BU$37=MAX($BU$36:$BU$39),BS37,IF($BU$38=MAX($BU$36:$BU$39),BS38,IF($BU$39=MAX($BU$36:$BU$39),BS39,BS38))))</f>
        <v>7:30 à 8:30</v>
      </c>
      <c r="BT41" s="361"/>
      <c r="BU41" s="314">
        <f>IF($BU$36=MAX($BU$36:$BU$39),BU36,IF($BU$37=MAX($BU$36:$BU$39),BU37,IF($BU$38=MAX($BU$36:$BU$39),BU38,IF($BU$39=MAX($BU$36:$BU$39),BU39,BU38))))</f>
        <v>13</v>
      </c>
      <c r="BV41" s="315">
        <f t="shared" ref="BV41:BY41" si="16">IF($BU$36=MAX($BU$36:$BU$39),BV36,IF($BU$37=MAX($BU$36:$BU$39),BV37,IF($BU$38=MAX($BU$36:$BU$39),BV38,IF($BU$39=MAX($BU$36:$BU$39),BV39,BV38))))</f>
        <v>6</v>
      </c>
      <c r="BW41" s="315">
        <f t="shared" si="16"/>
        <v>2</v>
      </c>
      <c r="BX41" s="315">
        <f t="shared" si="16"/>
        <v>1</v>
      </c>
      <c r="BY41" s="315">
        <f t="shared" si="16"/>
        <v>10</v>
      </c>
      <c r="BZ41" s="319"/>
      <c r="CA41" s="316"/>
      <c r="CB41" s="316"/>
    </row>
    <row r="42" spans="1:80" ht="21" thickTop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20"/>
      <c r="BT42" s="21"/>
      <c r="BU42" s="368" t="s">
        <v>13</v>
      </c>
      <c r="BV42" s="370" t="s">
        <v>15</v>
      </c>
      <c r="BW42" s="370" t="s">
        <v>16</v>
      </c>
      <c r="BX42" s="370" t="s">
        <v>17</v>
      </c>
      <c r="BY42" s="362"/>
      <c r="BZ42" s="402" t="s">
        <v>152</v>
      </c>
      <c r="CA42" s="385"/>
      <c r="CB42" s="385"/>
    </row>
    <row r="43" spans="1:80" ht="20.25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20"/>
      <c r="BT43" s="21"/>
      <c r="BU43" s="369"/>
      <c r="BV43" s="371"/>
      <c r="BW43" s="371"/>
      <c r="BX43" s="371"/>
      <c r="BY43" s="363"/>
      <c r="BZ43" s="403"/>
      <c r="CA43" s="386"/>
      <c r="CB43" s="386"/>
    </row>
    <row r="44" spans="1:80" ht="21" thickBot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124"/>
      <c r="BT44" s="21"/>
      <c r="BU44" s="369"/>
      <c r="BV44" s="371"/>
      <c r="BW44" s="371"/>
      <c r="BX44" s="371"/>
      <c r="BY44" s="363"/>
      <c r="BZ44" s="403"/>
      <c r="CA44" s="386"/>
      <c r="CB44" s="386"/>
    </row>
    <row r="45" spans="1:80" ht="21" thickTop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364" t="s">
        <v>14</v>
      </c>
      <c r="BT45" s="365"/>
      <c r="BU45" s="369"/>
      <c r="BV45" s="372"/>
      <c r="BW45" s="372"/>
      <c r="BX45" s="372"/>
      <c r="BY45" s="363"/>
      <c r="BZ45" s="404"/>
      <c r="CA45" s="405"/>
      <c r="CB45" s="405"/>
    </row>
    <row r="46" spans="1:80" ht="45" customHeight="1">
      <c r="A46" s="1"/>
      <c r="B46" s="7"/>
      <c r="C46" s="7"/>
      <c r="D46" s="7"/>
      <c r="E46" s="7"/>
      <c r="F46" s="7"/>
      <c r="G46" s="7">
        <f>SUM(G40:J40,AQ40:BB40)</f>
        <v>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366" t="str">
        <f>BS36</f>
        <v>6:30 à 7:00</v>
      </c>
      <c r="BT46" s="367"/>
      <c r="BU46" s="47"/>
      <c r="BV46" s="304">
        <f>IF(BV36=0,0,BV36/BU36)</f>
        <v>0.75</v>
      </c>
      <c r="BW46" s="304">
        <f>IF(BW36=0,0,BW36/BU36)</f>
        <v>0.5</v>
      </c>
      <c r="BX46" s="304">
        <f>IF(BX36=0,0,BX36/BV36)</f>
        <v>0.66666666666666663</v>
      </c>
      <c r="BY46" s="304">
        <f>IF(BY36=0,0,BY36/BU36)</f>
        <v>0.25</v>
      </c>
      <c r="BZ46" s="319"/>
      <c r="CA46" s="316"/>
      <c r="CB46" s="316"/>
    </row>
    <row r="47" spans="1:80" ht="45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366" t="str">
        <f t="shared" ref="BS47:BS49" si="17">BS37</f>
        <v>7:00 à 8:00</v>
      </c>
      <c r="BT47" s="367"/>
      <c r="BU47" s="47"/>
      <c r="BV47" s="304">
        <f t="shared" ref="BV47:BV50" si="18">IF(BV37=0,0,BV37/BU37)</f>
        <v>0.45454545454545453</v>
      </c>
      <c r="BW47" s="304">
        <f t="shared" ref="BW47:BX50" si="19">IF(BW37=0,0,BW37/BU37)</f>
        <v>0.36363636363636365</v>
      </c>
      <c r="BX47" s="304">
        <f>IF(BX37=0,0,BX37/BV37)</f>
        <v>0.6</v>
      </c>
      <c r="BY47" s="304">
        <f t="shared" ref="BY47:BY50" si="20">IF(BY37=0,0,BY37/BU37)</f>
        <v>0.81818181818181823</v>
      </c>
      <c r="BZ47" s="319"/>
      <c r="CA47" s="316"/>
      <c r="CB47" s="316"/>
    </row>
    <row r="48" spans="1:80" ht="45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366" t="str">
        <f t="shared" si="17"/>
        <v>7:30 à 8:30</v>
      </c>
      <c r="BT48" s="367"/>
      <c r="BU48" s="47"/>
      <c r="BV48" s="304">
        <f t="shared" si="18"/>
        <v>0.46153846153846156</v>
      </c>
      <c r="BW48" s="304">
        <f t="shared" si="19"/>
        <v>0.15384615384615385</v>
      </c>
      <c r="BX48" s="304">
        <f t="shared" si="19"/>
        <v>0.16666666666666666</v>
      </c>
      <c r="BY48" s="304">
        <f t="shared" si="20"/>
        <v>0.76923076923076927</v>
      </c>
      <c r="BZ48" s="319"/>
      <c r="CA48" s="316"/>
      <c r="CB48" s="316"/>
    </row>
    <row r="49" spans="6:80" ht="45" customHeight="1">
      <c r="F49" s="7"/>
      <c r="O49" s="7"/>
      <c r="P49" s="7"/>
      <c r="Q49" s="7"/>
      <c r="R49" s="7"/>
      <c r="S49" s="7"/>
      <c r="T49" s="7"/>
      <c r="U49" s="7"/>
      <c r="AE49" s="7"/>
      <c r="AF49" s="7"/>
      <c r="AG49" s="7"/>
      <c r="AT49" s="7"/>
      <c r="AY49" s="7"/>
      <c r="AZ49" s="7"/>
      <c r="BA49" s="7"/>
      <c r="BB49" s="7"/>
      <c r="BC49" s="7"/>
      <c r="BD49" s="7"/>
      <c r="BE49" s="7"/>
      <c r="BS49" s="366" t="str">
        <f t="shared" si="17"/>
        <v>8:00 à 9:00</v>
      </c>
      <c r="BT49" s="367"/>
      <c r="BU49" s="47"/>
      <c r="BV49" s="304">
        <f t="shared" si="18"/>
        <v>0.4</v>
      </c>
      <c r="BW49" s="304">
        <f t="shared" si="19"/>
        <v>0.3</v>
      </c>
      <c r="BX49" s="304">
        <f t="shared" si="19"/>
        <v>0</v>
      </c>
      <c r="BY49" s="304">
        <f t="shared" si="20"/>
        <v>0.7</v>
      </c>
      <c r="BZ49" s="319"/>
      <c r="CA49" s="316"/>
      <c r="CB49" s="316"/>
    </row>
    <row r="50" spans="6:80" ht="45" customHeight="1">
      <c r="F50" s="7"/>
      <c r="O50" s="7"/>
      <c r="P50" s="7"/>
      <c r="Q50" s="7"/>
      <c r="R50" s="7"/>
      <c r="S50" s="7"/>
      <c r="T50" s="7"/>
      <c r="U50" s="7"/>
      <c r="AE50" s="7"/>
      <c r="AF50" s="7"/>
      <c r="AG50" s="7"/>
      <c r="AT50" s="7"/>
      <c r="AY50" s="7"/>
      <c r="AZ50" s="7"/>
      <c r="BA50" s="7"/>
      <c r="BB50" s="7"/>
      <c r="BC50" s="7"/>
      <c r="BD50" s="7"/>
      <c r="BE50" s="7"/>
      <c r="BS50" s="358" t="s">
        <v>13</v>
      </c>
      <c r="BT50" s="359"/>
      <c r="BU50" s="334"/>
      <c r="BV50" s="335">
        <f t="shared" si="18"/>
        <v>0.48</v>
      </c>
      <c r="BW50" s="335">
        <f t="shared" si="19"/>
        <v>0.36</v>
      </c>
      <c r="BX50" s="335">
        <f t="shared" si="19"/>
        <v>0.41666666666666669</v>
      </c>
      <c r="BY50" s="335">
        <f t="shared" si="20"/>
        <v>0.68</v>
      </c>
      <c r="BZ50" s="319"/>
      <c r="CA50" s="316"/>
      <c r="CB50" s="316"/>
    </row>
    <row r="51" spans="6:80" ht="45" customHeight="1" thickBot="1">
      <c r="BS51" s="360" t="str">
        <f>BS41</f>
        <v>7:30 à 8:30</v>
      </c>
      <c r="BT51" s="361"/>
      <c r="BU51" s="314"/>
      <c r="BV51" s="313">
        <f>BV41/$BU$41</f>
        <v>0.46153846153846156</v>
      </c>
      <c r="BW51" s="313">
        <f t="shared" ref="BW51:BY51" si="21">BW41/$BU$41</f>
        <v>0.15384615384615385</v>
      </c>
      <c r="BX51" s="313">
        <f t="shared" si="21"/>
        <v>7.6923076923076927E-2</v>
      </c>
      <c r="BY51" s="313">
        <f t="shared" si="21"/>
        <v>0.76923076923076927</v>
      </c>
      <c r="BZ51" s="319"/>
      <c r="CA51" s="316"/>
      <c r="CB51" s="316"/>
    </row>
    <row r="52" spans="6:80" ht="15" thickTop="1"/>
  </sheetData>
  <mergeCells count="144">
    <mergeCell ref="BI34:BJ34"/>
    <mergeCell ref="BK34:BL34"/>
    <mergeCell ref="BM34:BN34"/>
    <mergeCell ref="BO34:BP34"/>
    <mergeCell ref="BQ34:BR34"/>
    <mergeCell ref="BO33:BR33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BG34:BH34"/>
    <mergeCell ref="BO10:BP10"/>
    <mergeCell ref="BQ10:BR10"/>
    <mergeCell ref="AQ32:BB32"/>
    <mergeCell ref="BC32:BR32"/>
    <mergeCell ref="AQ33:AT33"/>
    <mergeCell ref="AU33:AX33"/>
    <mergeCell ref="AY33:BB33"/>
    <mergeCell ref="BC33:BF33"/>
    <mergeCell ref="BG33:BJ33"/>
    <mergeCell ref="BK33:BN33"/>
    <mergeCell ref="BC10:BD10"/>
    <mergeCell ref="BE10:BF10"/>
    <mergeCell ref="BG10:BH10"/>
    <mergeCell ref="BI10:BJ10"/>
    <mergeCell ref="BK10:BL10"/>
    <mergeCell ref="BM10:BN10"/>
    <mergeCell ref="AQ10:AR10"/>
    <mergeCell ref="AS10:AT10"/>
    <mergeCell ref="AU10:AV10"/>
    <mergeCell ref="AW10:AX10"/>
    <mergeCell ref="AY10:AZ10"/>
    <mergeCell ref="BA10:BB10"/>
    <mergeCell ref="AQ8:BB8"/>
    <mergeCell ref="BC8:BR8"/>
    <mergeCell ref="AQ9:AT9"/>
    <mergeCell ref="AU9:AX9"/>
    <mergeCell ref="AY9:BB9"/>
    <mergeCell ref="BC9:BF9"/>
    <mergeCell ref="BG9:BJ9"/>
    <mergeCell ref="BK9:BN9"/>
    <mergeCell ref="BO9:BR9"/>
    <mergeCell ref="AE33:AH33"/>
    <mergeCell ref="AI33:AL33"/>
    <mergeCell ref="A40:B40"/>
    <mergeCell ref="A39:B39"/>
    <mergeCell ref="A37:B37"/>
    <mergeCell ref="A38:B38"/>
    <mergeCell ref="AM34:AN34"/>
    <mergeCell ref="AO34:AP34"/>
    <mergeCell ref="A35:B35"/>
    <mergeCell ref="A36:B36"/>
    <mergeCell ref="AA34:AB34"/>
    <mergeCell ref="AC34:AD34"/>
    <mergeCell ref="AE34:AF34"/>
    <mergeCell ref="AG34:AH34"/>
    <mergeCell ref="AI34:AJ34"/>
    <mergeCell ref="AK34:AL34"/>
    <mergeCell ref="O34:P34"/>
    <mergeCell ref="Q34:R34"/>
    <mergeCell ref="S34:T34"/>
    <mergeCell ref="U34:V34"/>
    <mergeCell ref="W34:X34"/>
    <mergeCell ref="Y34:Z34"/>
    <mergeCell ref="C34:D34"/>
    <mergeCell ref="E34:F34"/>
    <mergeCell ref="U10:V10"/>
    <mergeCell ref="W10:X10"/>
    <mergeCell ref="Y10:Z10"/>
    <mergeCell ref="AA10:AB10"/>
    <mergeCell ref="G34:H34"/>
    <mergeCell ref="I34:J34"/>
    <mergeCell ref="K34:L34"/>
    <mergeCell ref="M34:N34"/>
    <mergeCell ref="S33:V33"/>
    <mergeCell ref="W33:Z33"/>
    <mergeCell ref="AA33:AD33"/>
    <mergeCell ref="C10:D10"/>
    <mergeCell ref="E10:F10"/>
    <mergeCell ref="G10:H10"/>
    <mergeCell ref="I10:J10"/>
    <mergeCell ref="K10:L10"/>
    <mergeCell ref="M10:N10"/>
    <mergeCell ref="O10:P10"/>
    <mergeCell ref="AM33:AP33"/>
    <mergeCell ref="AO10:AP10"/>
    <mergeCell ref="C32:R32"/>
    <mergeCell ref="S32:AD32"/>
    <mergeCell ref="AE32:AP32"/>
    <mergeCell ref="C33:F33"/>
    <mergeCell ref="G33:J33"/>
    <mergeCell ref="K33:N33"/>
    <mergeCell ref="O33:R33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C8:R8"/>
    <mergeCell ref="S8:AD8"/>
    <mergeCell ref="AE8:AP8"/>
    <mergeCell ref="C9:F9"/>
    <mergeCell ref="G9:J9"/>
    <mergeCell ref="K9:N9"/>
    <mergeCell ref="O9:R9"/>
    <mergeCell ref="S9:V9"/>
    <mergeCell ref="W9:Z9"/>
    <mergeCell ref="AA9:AD9"/>
    <mergeCell ref="AE9:AH9"/>
    <mergeCell ref="AI9:AL9"/>
    <mergeCell ref="AM9:AP9"/>
    <mergeCell ref="BZ42:CB45"/>
    <mergeCell ref="BS45:BT45"/>
    <mergeCell ref="BS46:BT46"/>
    <mergeCell ref="BS47:BT47"/>
    <mergeCell ref="BU32:BU35"/>
    <mergeCell ref="BV32:BV35"/>
    <mergeCell ref="BW32:BW35"/>
    <mergeCell ref="BX32:BX35"/>
    <mergeCell ref="BY32:BY35"/>
    <mergeCell ref="BZ32:CB35"/>
    <mergeCell ref="BS36:BT36"/>
    <mergeCell ref="BS37:BT37"/>
    <mergeCell ref="BS41:BT41"/>
    <mergeCell ref="BS35:BT35"/>
    <mergeCell ref="BS40:BT40"/>
    <mergeCell ref="BS38:BT38"/>
    <mergeCell ref="BS39:BT39"/>
    <mergeCell ref="BS48:BT48"/>
    <mergeCell ref="BS49:BT49"/>
    <mergeCell ref="BS50:BT50"/>
    <mergeCell ref="BS51:BT51"/>
    <mergeCell ref="BU42:BU45"/>
    <mergeCell ref="BV42:BV45"/>
    <mergeCell ref="BW42:BW45"/>
    <mergeCell ref="BX42:BX45"/>
    <mergeCell ref="BY42:BY45"/>
  </mergeCells>
  <pageMargins left="0.39370078740157483" right="0.39370078740157483" top="0.39370078740157483" bottom="0.39370078740157483" header="0.19685039370078741" footer="0.19685039370078741"/>
  <pageSetup paperSize="9" scale="49" fitToWidth="0" fitToHeight="0" pageOrder="overThenDown" orientation="landscape" useFirstPageNumber="1" horizontalDpi="1200" verticalDpi="1200" r:id="rId1"/>
  <headerFooter alignWithMargins="0"/>
  <rowBreaks count="1" manualBreakCount="1">
    <brk id="24" max="16383" man="1"/>
  </rowBreaks>
  <colBreaks count="2" manualBreakCount="2">
    <brk id="42" min="24" max="41" man="1"/>
    <brk id="42" max="2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8868-BCFB-43DB-979B-9D4DC43A209A}">
  <sheetPr>
    <tabColor rgb="FF00B050"/>
  </sheetPr>
  <dimension ref="A1:BI52"/>
  <sheetViews>
    <sheetView showZeros="0" view="pageBreakPreview" topLeftCell="A25" zoomScale="55" zoomScaleNormal="40" zoomScaleSheetLayoutView="55" workbookViewId="0">
      <selection activeCell="L41" sqref="L41"/>
    </sheetView>
  </sheetViews>
  <sheetFormatPr baseColWidth="10" defaultRowHeight="14.25"/>
  <cols>
    <col min="1" max="1" width="4.5" style="8" customWidth="1"/>
    <col min="2" max="2" width="13.25" style="8" customWidth="1"/>
    <col min="3" max="14" width="6.125" style="8" customWidth="1"/>
    <col min="15" max="49" width="5.125" style="8" customWidth="1"/>
    <col min="50" max="50" width="3.75" style="8" customWidth="1"/>
    <col min="51" max="51" width="8.625" style="8" customWidth="1"/>
    <col min="52" max="52" width="13.875" style="8" customWidth="1"/>
    <col min="53" max="57" width="20.625" style="8" customWidth="1"/>
    <col min="58" max="60" width="35.625" style="8" customWidth="1"/>
    <col min="61" max="61" width="10.625" style="8" customWidth="1"/>
    <col min="62" max="16384" width="11" style="8"/>
  </cols>
  <sheetData>
    <row r="1" spans="1:60" ht="52.5" customHeight="1" thickBot="1">
      <c r="A1" s="56" t="s">
        <v>0</v>
      </c>
      <c r="B1" s="84" t="s">
        <v>184</v>
      </c>
      <c r="C1" s="49"/>
      <c r="D1" s="49"/>
      <c r="E1" s="49"/>
      <c r="F1" s="57"/>
      <c r="G1" s="49"/>
      <c r="H1" s="49"/>
      <c r="I1" s="49"/>
      <c r="J1" s="49"/>
      <c r="K1" s="57"/>
      <c r="L1" s="57"/>
      <c r="M1" s="57"/>
      <c r="N1" s="57"/>
      <c r="O1" s="58" t="s">
        <v>1</v>
      </c>
      <c r="P1" s="59" t="s">
        <v>25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60"/>
      <c r="AC1" s="60"/>
      <c r="AD1" s="60"/>
      <c r="AE1" s="49"/>
      <c r="AF1" s="49"/>
      <c r="AG1" s="49"/>
      <c r="AH1" s="49"/>
      <c r="AI1" s="60"/>
      <c r="AJ1" s="60"/>
      <c r="AK1" s="60"/>
      <c r="AL1" s="61"/>
      <c r="AM1" s="49"/>
      <c r="AN1" s="60"/>
      <c r="AO1" s="60"/>
      <c r="AP1" s="60"/>
      <c r="AQ1" s="49"/>
      <c r="AR1" s="49"/>
      <c r="AS1" s="49"/>
      <c r="AT1" s="49"/>
      <c r="AU1" s="60"/>
      <c r="AV1" s="60"/>
      <c r="AW1" s="60"/>
      <c r="AX1" s="61"/>
      <c r="AY1" s="53"/>
      <c r="AZ1" s="53"/>
      <c r="BA1" s="53"/>
      <c r="BB1" s="53"/>
      <c r="BC1" s="53"/>
      <c r="BD1" s="53"/>
      <c r="BE1" s="53"/>
      <c r="BF1" s="53"/>
      <c r="BG1" s="53"/>
      <c r="BH1" s="53"/>
    </row>
    <row r="2" spans="1:60" ht="52.5" customHeight="1" thickBot="1">
      <c r="A2" s="51" t="s">
        <v>2</v>
      </c>
      <c r="B2" s="52"/>
      <c r="C2" s="52"/>
      <c r="D2" s="52"/>
      <c r="E2" s="52"/>
      <c r="F2" s="53"/>
      <c r="G2" s="24"/>
      <c r="H2" s="24"/>
      <c r="I2" s="24"/>
      <c r="J2" s="24"/>
      <c r="K2" s="52"/>
      <c r="L2" s="25" t="s">
        <v>58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52"/>
      <c r="AC2" s="52"/>
      <c r="AD2" s="52"/>
      <c r="AE2" s="24"/>
      <c r="AF2" s="24"/>
      <c r="AG2" s="24"/>
      <c r="AH2" s="24"/>
      <c r="AI2" s="52"/>
      <c r="AJ2" s="52"/>
      <c r="AK2" s="52"/>
      <c r="AL2" s="53"/>
      <c r="AM2" s="24"/>
      <c r="AN2" s="52"/>
      <c r="AO2" s="52"/>
      <c r="AP2" s="52"/>
      <c r="AQ2" s="24"/>
      <c r="AR2" s="24"/>
      <c r="AS2" s="24"/>
      <c r="AT2" s="24"/>
      <c r="AU2" s="52"/>
      <c r="AV2" s="52"/>
      <c r="AW2" s="52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</row>
    <row r="3" spans="1:60" ht="52.5" customHeight="1" thickBot="1">
      <c r="A3" s="51" t="s">
        <v>3</v>
      </c>
      <c r="B3" s="52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52"/>
      <c r="AC3" s="52"/>
      <c r="AD3" s="52"/>
      <c r="AE3" s="23"/>
      <c r="AF3" s="23"/>
      <c r="AG3" s="23"/>
      <c r="AH3" s="23"/>
      <c r="AI3" s="52"/>
      <c r="AJ3" s="52"/>
      <c r="AK3" s="52"/>
      <c r="AL3" s="53"/>
      <c r="AM3" s="23"/>
      <c r="AN3" s="52"/>
      <c r="AO3" s="52"/>
      <c r="AP3" s="52"/>
      <c r="AQ3" s="23"/>
      <c r="AR3" s="23"/>
      <c r="AS3" s="23"/>
      <c r="AT3" s="23"/>
      <c r="AU3" s="52"/>
      <c r="AV3" s="52"/>
      <c r="AW3" s="52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</row>
    <row r="4" spans="1:60" ht="52.5" customHeight="1" thickBot="1">
      <c r="A4" s="51" t="s">
        <v>18</v>
      </c>
      <c r="B4" s="52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52"/>
      <c r="AC4" s="52"/>
      <c r="AD4" s="52"/>
      <c r="AE4" s="23"/>
      <c r="AF4" s="23"/>
      <c r="AG4" s="23"/>
      <c r="AH4" s="23"/>
      <c r="AI4" s="52"/>
      <c r="AJ4" s="52"/>
      <c r="AK4" s="52"/>
      <c r="AL4" s="53"/>
      <c r="AM4" s="23"/>
      <c r="AN4" s="52"/>
      <c r="AO4" s="52"/>
      <c r="AP4" s="52"/>
      <c r="AQ4" s="23"/>
      <c r="AR4" s="23"/>
      <c r="AS4" s="23"/>
      <c r="AT4" s="23"/>
      <c r="AU4" s="52"/>
      <c r="AV4" s="52"/>
      <c r="AW4" s="52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</row>
    <row r="5" spans="1:60" ht="25.5" customHeight="1">
      <c r="A5" s="83" t="s">
        <v>50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3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3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</row>
    <row r="6" spans="1:60" ht="25.5" customHeight="1">
      <c r="A6" s="83" t="s">
        <v>55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3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3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</row>
    <row r="7" spans="1:60" ht="25.5" customHeight="1">
      <c r="A7" s="83" t="s">
        <v>56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3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3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</row>
    <row r="8" spans="1:60" ht="25.5" customHeight="1" thickBot="1">
      <c r="A8" s="83" t="s">
        <v>52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3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3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</row>
    <row r="9" spans="1:60" ht="32.25" customHeight="1" thickTop="1">
      <c r="A9" s="20"/>
      <c r="B9" s="21"/>
      <c r="C9" s="399" t="s">
        <v>57</v>
      </c>
      <c r="D9" s="400"/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 t="s">
        <v>54</v>
      </c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1"/>
      <c r="AA9" s="400" t="s">
        <v>42</v>
      </c>
      <c r="AB9" s="400"/>
      <c r="AC9" s="400"/>
      <c r="AD9" s="400"/>
      <c r="AE9" s="400"/>
      <c r="AF9" s="400"/>
      <c r="AG9" s="400"/>
      <c r="AH9" s="400"/>
      <c r="AI9" s="400"/>
      <c r="AJ9" s="400"/>
      <c r="AK9" s="400"/>
      <c r="AL9" s="401"/>
      <c r="AM9" s="400" t="s">
        <v>43</v>
      </c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1"/>
      <c r="AY9" s="320"/>
      <c r="AZ9" s="320"/>
      <c r="BA9" s="320"/>
      <c r="BB9" s="320"/>
      <c r="BC9" s="320"/>
      <c r="BD9" s="320"/>
      <c r="BE9" s="320"/>
      <c r="BF9" s="320"/>
      <c r="BG9" s="320"/>
      <c r="BH9" s="320"/>
    </row>
    <row r="10" spans="1:60" ht="22.7" customHeight="1">
      <c r="A10" s="20"/>
      <c r="B10" s="21"/>
      <c r="C10" s="398" t="s">
        <v>38</v>
      </c>
      <c r="D10" s="395"/>
      <c r="E10" s="395"/>
      <c r="F10" s="395"/>
      <c r="G10" s="398" t="s">
        <v>39</v>
      </c>
      <c r="H10" s="395"/>
      <c r="I10" s="395"/>
      <c r="J10" s="395"/>
      <c r="K10" s="398" t="s">
        <v>40</v>
      </c>
      <c r="L10" s="395"/>
      <c r="M10" s="395"/>
      <c r="N10" s="395"/>
      <c r="O10" s="398" t="s">
        <v>44</v>
      </c>
      <c r="P10" s="395"/>
      <c r="Q10" s="395"/>
      <c r="R10" s="395"/>
      <c r="S10" s="398" t="s">
        <v>40</v>
      </c>
      <c r="T10" s="395"/>
      <c r="U10" s="395"/>
      <c r="V10" s="395"/>
      <c r="W10" s="398" t="s">
        <v>41</v>
      </c>
      <c r="X10" s="395"/>
      <c r="Y10" s="395"/>
      <c r="Z10" s="395"/>
      <c r="AA10" s="398" t="s">
        <v>40</v>
      </c>
      <c r="AB10" s="395"/>
      <c r="AC10" s="395"/>
      <c r="AD10" s="395"/>
      <c r="AE10" s="398" t="s">
        <v>41</v>
      </c>
      <c r="AF10" s="395"/>
      <c r="AG10" s="395"/>
      <c r="AH10" s="395"/>
      <c r="AI10" s="398" t="s">
        <v>38</v>
      </c>
      <c r="AJ10" s="395"/>
      <c r="AK10" s="395"/>
      <c r="AL10" s="395"/>
      <c r="AM10" s="398" t="s">
        <v>41</v>
      </c>
      <c r="AN10" s="395"/>
      <c r="AO10" s="395"/>
      <c r="AP10" s="395"/>
      <c r="AQ10" s="398" t="s">
        <v>38</v>
      </c>
      <c r="AR10" s="395"/>
      <c r="AS10" s="395"/>
      <c r="AT10" s="395"/>
      <c r="AU10" s="398" t="s">
        <v>44</v>
      </c>
      <c r="AV10" s="395"/>
      <c r="AW10" s="395"/>
      <c r="AX10" s="395"/>
      <c r="AY10" s="321"/>
      <c r="AZ10" s="321"/>
      <c r="BA10" s="321"/>
      <c r="BB10" s="321"/>
      <c r="BC10" s="321"/>
      <c r="BD10" s="321"/>
      <c r="BE10" s="321"/>
      <c r="BF10" s="321"/>
      <c r="BG10" s="321"/>
      <c r="BH10" s="321"/>
    </row>
    <row r="11" spans="1:60" ht="18.600000000000001" customHeight="1" thickBot="1">
      <c r="A11" s="20"/>
      <c r="B11" s="21"/>
      <c r="C11" s="397" t="s">
        <v>5</v>
      </c>
      <c r="D11" s="390"/>
      <c r="E11" s="387" t="s">
        <v>6</v>
      </c>
      <c r="F11" s="396"/>
      <c r="G11" s="389" t="s">
        <v>5</v>
      </c>
      <c r="H11" s="390"/>
      <c r="I11" s="387" t="s">
        <v>6</v>
      </c>
      <c r="J11" s="388"/>
      <c r="K11" s="389" t="s">
        <v>5</v>
      </c>
      <c r="L11" s="390"/>
      <c r="M11" s="387" t="s">
        <v>6</v>
      </c>
      <c r="N11" s="396"/>
      <c r="O11" s="389" t="s">
        <v>5</v>
      </c>
      <c r="P11" s="390"/>
      <c r="Q11" s="387" t="s">
        <v>6</v>
      </c>
      <c r="R11" s="396"/>
      <c r="S11" s="389" t="s">
        <v>5</v>
      </c>
      <c r="T11" s="390"/>
      <c r="U11" s="387" t="s">
        <v>6</v>
      </c>
      <c r="V11" s="388"/>
      <c r="W11" s="389" t="s">
        <v>5</v>
      </c>
      <c r="X11" s="390"/>
      <c r="Y11" s="387" t="s">
        <v>6</v>
      </c>
      <c r="Z11" s="388"/>
      <c r="AA11" s="389" t="s">
        <v>5</v>
      </c>
      <c r="AB11" s="390"/>
      <c r="AC11" s="387" t="s">
        <v>6</v>
      </c>
      <c r="AD11" s="396"/>
      <c r="AE11" s="389" t="s">
        <v>5</v>
      </c>
      <c r="AF11" s="390"/>
      <c r="AG11" s="387" t="s">
        <v>6</v>
      </c>
      <c r="AH11" s="388"/>
      <c r="AI11" s="389" t="s">
        <v>5</v>
      </c>
      <c r="AJ11" s="390"/>
      <c r="AK11" s="387" t="s">
        <v>6</v>
      </c>
      <c r="AL11" s="388"/>
      <c r="AM11" s="389" t="s">
        <v>5</v>
      </c>
      <c r="AN11" s="390"/>
      <c r="AO11" s="387" t="s">
        <v>6</v>
      </c>
      <c r="AP11" s="396"/>
      <c r="AQ11" s="389" t="s">
        <v>5</v>
      </c>
      <c r="AR11" s="390"/>
      <c r="AS11" s="387" t="s">
        <v>6</v>
      </c>
      <c r="AT11" s="388"/>
      <c r="AU11" s="389" t="s">
        <v>5</v>
      </c>
      <c r="AV11" s="390"/>
      <c r="AW11" s="387" t="s">
        <v>6</v>
      </c>
      <c r="AX11" s="388"/>
      <c r="AY11" s="322"/>
      <c r="AZ11" s="322"/>
      <c r="BA11" s="322"/>
      <c r="BB11" s="322"/>
      <c r="BC11" s="322"/>
      <c r="BD11" s="322"/>
      <c r="BE11" s="322"/>
      <c r="BF11" s="322"/>
      <c r="BG11" s="322"/>
      <c r="BH11" s="322"/>
    </row>
    <row r="12" spans="1:60" ht="21" thickTop="1">
      <c r="A12" s="11" t="s">
        <v>5</v>
      </c>
      <c r="B12" s="12" t="s">
        <v>8</v>
      </c>
      <c r="C12" s="15" t="s">
        <v>9</v>
      </c>
      <c r="D12" s="4" t="s">
        <v>10</v>
      </c>
      <c r="E12" s="5" t="s">
        <v>9</v>
      </c>
      <c r="F12" s="6" t="s">
        <v>10</v>
      </c>
      <c r="G12" s="3" t="s">
        <v>9</v>
      </c>
      <c r="H12" s="4" t="s">
        <v>10</v>
      </c>
      <c r="I12" s="5" t="s">
        <v>9</v>
      </c>
      <c r="J12" s="16" t="s">
        <v>10</v>
      </c>
      <c r="K12" s="3" t="s">
        <v>9</v>
      </c>
      <c r="L12" s="4" t="s">
        <v>10</v>
      </c>
      <c r="M12" s="5" t="s">
        <v>9</v>
      </c>
      <c r="N12" s="6" t="s">
        <v>10</v>
      </c>
      <c r="O12" s="3" t="s">
        <v>9</v>
      </c>
      <c r="P12" s="4" t="s">
        <v>10</v>
      </c>
      <c r="Q12" s="5" t="s">
        <v>9</v>
      </c>
      <c r="R12" s="6" t="s">
        <v>10</v>
      </c>
      <c r="S12" s="3" t="s">
        <v>9</v>
      </c>
      <c r="T12" s="4" t="s">
        <v>10</v>
      </c>
      <c r="U12" s="5" t="s">
        <v>9</v>
      </c>
      <c r="V12" s="16" t="s">
        <v>10</v>
      </c>
      <c r="W12" s="3" t="s">
        <v>9</v>
      </c>
      <c r="X12" s="4" t="s">
        <v>10</v>
      </c>
      <c r="Y12" s="5" t="s">
        <v>9</v>
      </c>
      <c r="Z12" s="16" t="s">
        <v>10</v>
      </c>
      <c r="AA12" s="3" t="s">
        <v>9</v>
      </c>
      <c r="AB12" s="4" t="s">
        <v>10</v>
      </c>
      <c r="AC12" s="5" t="s">
        <v>9</v>
      </c>
      <c r="AD12" s="6" t="s">
        <v>10</v>
      </c>
      <c r="AE12" s="3" t="s">
        <v>9</v>
      </c>
      <c r="AF12" s="4" t="s">
        <v>10</v>
      </c>
      <c r="AG12" s="5" t="s">
        <v>9</v>
      </c>
      <c r="AH12" s="16" t="s">
        <v>10</v>
      </c>
      <c r="AI12" s="3" t="s">
        <v>9</v>
      </c>
      <c r="AJ12" s="4" t="s">
        <v>10</v>
      </c>
      <c r="AK12" s="5" t="s">
        <v>9</v>
      </c>
      <c r="AL12" s="16" t="s">
        <v>10</v>
      </c>
      <c r="AM12" s="3" t="s">
        <v>9</v>
      </c>
      <c r="AN12" s="4" t="s">
        <v>10</v>
      </c>
      <c r="AO12" s="5" t="s">
        <v>9</v>
      </c>
      <c r="AP12" s="6" t="s">
        <v>10</v>
      </c>
      <c r="AQ12" s="3" t="s">
        <v>9</v>
      </c>
      <c r="AR12" s="4" t="s">
        <v>10</v>
      </c>
      <c r="AS12" s="5" t="s">
        <v>9</v>
      </c>
      <c r="AT12" s="16" t="s">
        <v>10</v>
      </c>
      <c r="AU12" s="3" t="s">
        <v>9</v>
      </c>
      <c r="AV12" s="4" t="s">
        <v>10</v>
      </c>
      <c r="AW12" s="5" t="s">
        <v>9</v>
      </c>
      <c r="AX12" s="16" t="s">
        <v>10</v>
      </c>
      <c r="AY12" s="55"/>
      <c r="AZ12" s="55"/>
      <c r="BA12" s="55"/>
      <c r="BB12" s="55"/>
      <c r="BC12" s="55"/>
      <c r="BD12" s="55"/>
      <c r="BE12" s="55"/>
      <c r="BF12" s="55"/>
      <c r="BG12" s="55"/>
      <c r="BH12" s="55"/>
    </row>
    <row r="13" spans="1:60" ht="54.95" customHeight="1">
      <c r="A13" s="92">
        <v>6</v>
      </c>
      <c r="B13" s="14" t="s">
        <v>20</v>
      </c>
      <c r="C13" s="64"/>
      <c r="D13" s="65"/>
      <c r="E13" s="66"/>
      <c r="F13" s="67"/>
      <c r="G13" s="68"/>
      <c r="H13" s="65"/>
      <c r="I13" s="66"/>
      <c r="J13" s="69"/>
      <c r="K13" s="68"/>
      <c r="L13" s="65"/>
      <c r="M13" s="66"/>
      <c r="N13" s="67"/>
      <c r="O13" s="68"/>
      <c r="P13" s="65"/>
      <c r="Q13" s="66"/>
      <c r="R13" s="67"/>
      <c r="S13" s="68"/>
      <c r="T13" s="65"/>
      <c r="U13" s="66"/>
      <c r="V13" s="69"/>
      <c r="W13" s="68"/>
      <c r="X13" s="65"/>
      <c r="Y13" s="66"/>
      <c r="Z13" s="69"/>
      <c r="AA13" s="68"/>
      <c r="AB13" s="65"/>
      <c r="AC13" s="66"/>
      <c r="AD13" s="67"/>
      <c r="AE13" s="68"/>
      <c r="AF13" s="65"/>
      <c r="AG13" s="66"/>
      <c r="AH13" s="69"/>
      <c r="AI13" s="68"/>
      <c r="AJ13" s="65"/>
      <c r="AK13" s="66"/>
      <c r="AL13" s="69"/>
      <c r="AM13" s="68"/>
      <c r="AN13" s="65"/>
      <c r="AO13" s="66"/>
      <c r="AP13" s="67"/>
      <c r="AQ13" s="68"/>
      <c r="AR13" s="65"/>
      <c r="AS13" s="66"/>
      <c r="AT13" s="69"/>
      <c r="AU13" s="68"/>
      <c r="AV13" s="65"/>
      <c r="AW13" s="66"/>
      <c r="AX13" s="69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spans="1:60" ht="54.95" customHeight="1">
      <c r="A14" s="13"/>
      <c r="B14" s="14" t="s">
        <v>24</v>
      </c>
      <c r="C14" s="70"/>
      <c r="D14" s="71"/>
      <c r="E14" s="72"/>
      <c r="F14" s="73"/>
      <c r="G14" s="74"/>
      <c r="H14" s="71"/>
      <c r="I14" s="72"/>
      <c r="J14" s="75"/>
      <c r="K14" s="74"/>
      <c r="L14" s="71">
        <v>1</v>
      </c>
      <c r="M14" s="72"/>
      <c r="N14" s="73"/>
      <c r="O14" s="74"/>
      <c r="P14" s="71"/>
      <c r="Q14" s="72"/>
      <c r="R14" s="73"/>
      <c r="S14" s="74"/>
      <c r="T14" s="71"/>
      <c r="U14" s="72"/>
      <c r="V14" s="75"/>
      <c r="W14" s="74"/>
      <c r="X14" s="71"/>
      <c r="Y14" s="72"/>
      <c r="Z14" s="75"/>
      <c r="AA14" s="74"/>
      <c r="AB14" s="71"/>
      <c r="AC14" s="72"/>
      <c r="AD14" s="73"/>
      <c r="AE14" s="74"/>
      <c r="AF14" s="71"/>
      <c r="AG14" s="72"/>
      <c r="AH14" s="75"/>
      <c r="AI14" s="74"/>
      <c r="AJ14" s="71"/>
      <c r="AK14" s="72"/>
      <c r="AL14" s="75"/>
      <c r="AM14" s="74"/>
      <c r="AN14" s="71"/>
      <c r="AO14" s="72"/>
      <c r="AP14" s="73"/>
      <c r="AQ14" s="74"/>
      <c r="AR14" s="71"/>
      <c r="AS14" s="72"/>
      <c r="AT14" s="75"/>
      <c r="AU14" s="74"/>
      <c r="AV14" s="71"/>
      <c r="AW14" s="72"/>
      <c r="AX14" s="75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spans="1:60" ht="54.95" customHeight="1">
      <c r="A15" s="92">
        <v>7</v>
      </c>
      <c r="B15" s="14" t="s">
        <v>21</v>
      </c>
      <c r="C15" s="64"/>
      <c r="D15" s="65"/>
      <c r="E15" s="66"/>
      <c r="F15" s="67"/>
      <c r="G15" s="68"/>
      <c r="H15" s="65"/>
      <c r="I15" s="66"/>
      <c r="J15" s="69"/>
      <c r="K15" s="68"/>
      <c r="L15" s="65"/>
      <c r="M15" s="66"/>
      <c r="N15" s="67"/>
      <c r="O15" s="68"/>
      <c r="P15" s="65"/>
      <c r="Q15" s="66"/>
      <c r="R15" s="67"/>
      <c r="S15" s="68"/>
      <c r="T15" s="65"/>
      <c r="U15" s="66"/>
      <c r="V15" s="69"/>
      <c r="W15" s="68"/>
      <c r="X15" s="65"/>
      <c r="Y15" s="66"/>
      <c r="Z15" s="69"/>
      <c r="AA15" s="68"/>
      <c r="AB15" s="65"/>
      <c r="AC15" s="66"/>
      <c r="AD15" s="67"/>
      <c r="AE15" s="68">
        <v>1</v>
      </c>
      <c r="AF15" s="65">
        <v>1</v>
      </c>
      <c r="AG15" s="66"/>
      <c r="AH15" s="69"/>
      <c r="AI15" s="68"/>
      <c r="AJ15" s="65"/>
      <c r="AK15" s="66"/>
      <c r="AL15" s="69"/>
      <c r="AM15" s="68"/>
      <c r="AN15" s="65"/>
      <c r="AO15" s="66"/>
      <c r="AP15" s="67"/>
      <c r="AQ15" s="68"/>
      <c r="AR15" s="65"/>
      <c r="AS15" s="66"/>
      <c r="AT15" s="69"/>
      <c r="AU15" s="68"/>
      <c r="AV15" s="65"/>
      <c r="AW15" s="66"/>
      <c r="AX15" s="69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spans="1:60" ht="54.95" customHeight="1">
      <c r="A16" s="13"/>
      <c r="B16" s="14" t="s">
        <v>22</v>
      </c>
      <c r="C16" s="76"/>
      <c r="D16" s="77"/>
      <c r="E16" s="78"/>
      <c r="F16" s="79"/>
      <c r="G16" s="80"/>
      <c r="H16" s="77"/>
      <c r="I16" s="78"/>
      <c r="J16" s="81"/>
      <c r="K16" s="80"/>
      <c r="L16" s="77">
        <v>1</v>
      </c>
      <c r="M16" s="78"/>
      <c r="N16" s="79">
        <v>1</v>
      </c>
      <c r="O16" s="80"/>
      <c r="P16" s="77"/>
      <c r="Q16" s="78"/>
      <c r="R16" s="79"/>
      <c r="S16" s="80"/>
      <c r="T16" s="77"/>
      <c r="U16" s="78"/>
      <c r="V16" s="81"/>
      <c r="W16" s="80"/>
      <c r="X16" s="77"/>
      <c r="Y16" s="78"/>
      <c r="Z16" s="81"/>
      <c r="AA16" s="80"/>
      <c r="AB16" s="77"/>
      <c r="AC16" s="78"/>
      <c r="AD16" s="79"/>
      <c r="AE16" s="80"/>
      <c r="AF16" s="77"/>
      <c r="AG16" s="78"/>
      <c r="AH16" s="81"/>
      <c r="AI16" s="80"/>
      <c r="AJ16" s="77"/>
      <c r="AK16" s="78"/>
      <c r="AL16" s="81"/>
      <c r="AM16" s="80"/>
      <c r="AN16" s="77"/>
      <c r="AO16" s="78"/>
      <c r="AP16" s="79"/>
      <c r="AQ16" s="80"/>
      <c r="AR16" s="77"/>
      <c r="AS16" s="78"/>
      <c r="AT16" s="81"/>
      <c r="AU16" s="80"/>
      <c r="AV16" s="77"/>
      <c r="AW16" s="78"/>
      <c r="AX16" s="81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spans="1:60" ht="54.95" customHeight="1">
      <c r="A17" s="13"/>
      <c r="B17" s="14" t="s">
        <v>20</v>
      </c>
      <c r="C17" s="76"/>
      <c r="D17" s="77"/>
      <c r="E17" s="78"/>
      <c r="F17" s="79"/>
      <c r="G17" s="80"/>
      <c r="H17" s="77"/>
      <c r="I17" s="78"/>
      <c r="J17" s="81"/>
      <c r="K17" s="80"/>
      <c r="L17" s="77"/>
      <c r="M17" s="78"/>
      <c r="N17" s="79"/>
      <c r="O17" s="80"/>
      <c r="P17" s="77"/>
      <c r="Q17" s="78"/>
      <c r="R17" s="79"/>
      <c r="S17" s="80"/>
      <c r="T17" s="77"/>
      <c r="U17" s="78"/>
      <c r="V17" s="81"/>
      <c r="W17" s="80"/>
      <c r="X17" s="77"/>
      <c r="Y17" s="78"/>
      <c r="Z17" s="81"/>
      <c r="AA17" s="80"/>
      <c r="AB17" s="77"/>
      <c r="AC17" s="78"/>
      <c r="AD17" s="79"/>
      <c r="AE17" s="80"/>
      <c r="AF17" s="77"/>
      <c r="AG17" s="78"/>
      <c r="AH17" s="81"/>
      <c r="AI17" s="80"/>
      <c r="AJ17" s="77"/>
      <c r="AK17" s="78"/>
      <c r="AL17" s="81"/>
      <c r="AM17" s="80">
        <v>1</v>
      </c>
      <c r="AN17" s="77"/>
      <c r="AO17" s="78"/>
      <c r="AP17" s="79"/>
      <c r="AQ17" s="80"/>
      <c r="AR17" s="77"/>
      <c r="AS17" s="78"/>
      <c r="AT17" s="81"/>
      <c r="AU17" s="80"/>
      <c r="AV17" s="77"/>
      <c r="AW17" s="78"/>
      <c r="AX17" s="81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spans="1:60" ht="54.95" customHeight="1">
      <c r="A18" s="13"/>
      <c r="B18" s="14" t="s">
        <v>23</v>
      </c>
      <c r="C18" s="70"/>
      <c r="D18" s="71"/>
      <c r="E18" s="72"/>
      <c r="F18" s="73"/>
      <c r="G18" s="74"/>
      <c r="H18" s="71"/>
      <c r="I18" s="72"/>
      <c r="J18" s="75"/>
      <c r="K18" s="74">
        <v>1</v>
      </c>
      <c r="L18" s="71"/>
      <c r="M18" s="72"/>
      <c r="N18" s="73"/>
      <c r="O18" s="74"/>
      <c r="P18" s="71"/>
      <c r="Q18" s="72"/>
      <c r="R18" s="73"/>
      <c r="S18" s="74"/>
      <c r="T18" s="71"/>
      <c r="U18" s="72"/>
      <c r="V18" s="75">
        <v>1</v>
      </c>
      <c r="W18" s="74"/>
      <c r="X18" s="71"/>
      <c r="Y18" s="72"/>
      <c r="Z18" s="75"/>
      <c r="AA18" s="74"/>
      <c r="AB18" s="71"/>
      <c r="AC18" s="72"/>
      <c r="AD18" s="73"/>
      <c r="AE18" s="74"/>
      <c r="AF18" s="71"/>
      <c r="AG18" s="72"/>
      <c r="AH18" s="75"/>
      <c r="AI18" s="74"/>
      <c r="AJ18" s="71"/>
      <c r="AK18" s="72"/>
      <c r="AL18" s="75"/>
      <c r="AM18" s="74"/>
      <c r="AN18" s="71"/>
      <c r="AO18" s="72"/>
      <c r="AP18" s="73"/>
      <c r="AQ18" s="74"/>
      <c r="AR18" s="71"/>
      <c r="AS18" s="72"/>
      <c r="AT18" s="75"/>
      <c r="AU18" s="74"/>
      <c r="AV18" s="71"/>
      <c r="AW18" s="72"/>
      <c r="AX18" s="75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spans="1:60" ht="54.95" customHeight="1">
      <c r="A19" s="92">
        <v>8</v>
      </c>
      <c r="B19" s="14" t="s">
        <v>21</v>
      </c>
      <c r="C19" s="64"/>
      <c r="D19" s="65"/>
      <c r="E19" s="66"/>
      <c r="F19" s="67"/>
      <c r="G19" s="68"/>
      <c r="H19" s="65"/>
      <c r="I19" s="66"/>
      <c r="J19" s="69"/>
      <c r="K19" s="68">
        <v>1</v>
      </c>
      <c r="L19" s="65"/>
      <c r="M19" s="66"/>
      <c r="N19" s="67"/>
      <c r="O19" s="68"/>
      <c r="P19" s="65"/>
      <c r="Q19" s="66"/>
      <c r="R19" s="67"/>
      <c r="S19" s="68"/>
      <c r="T19" s="65"/>
      <c r="U19" s="66"/>
      <c r="V19" s="69"/>
      <c r="W19" s="68"/>
      <c r="X19" s="65"/>
      <c r="Y19" s="66"/>
      <c r="Z19" s="69">
        <v>1</v>
      </c>
      <c r="AA19" s="68"/>
      <c r="AB19" s="65"/>
      <c r="AC19" s="66"/>
      <c r="AD19" s="67"/>
      <c r="AE19" s="68"/>
      <c r="AF19" s="65"/>
      <c r="AG19" s="66"/>
      <c r="AH19" s="69"/>
      <c r="AI19" s="68"/>
      <c r="AJ19" s="65"/>
      <c r="AK19" s="66"/>
      <c r="AL19" s="69"/>
      <c r="AM19" s="68"/>
      <c r="AN19" s="65"/>
      <c r="AO19" s="66"/>
      <c r="AP19" s="67"/>
      <c r="AQ19" s="68"/>
      <c r="AR19" s="65"/>
      <c r="AS19" s="66"/>
      <c r="AT19" s="69"/>
      <c r="AU19" s="68"/>
      <c r="AV19" s="65"/>
      <c r="AW19" s="66"/>
      <c r="AX19" s="69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spans="1:60" ht="54.95" customHeight="1">
      <c r="A20" s="13"/>
      <c r="B20" s="14" t="s">
        <v>22</v>
      </c>
      <c r="C20" s="76"/>
      <c r="D20" s="77"/>
      <c r="E20" s="78"/>
      <c r="F20" s="79"/>
      <c r="G20" s="80"/>
      <c r="H20" s="77"/>
      <c r="I20" s="78"/>
      <c r="J20" s="81"/>
      <c r="K20" s="80"/>
      <c r="L20" s="77">
        <v>1</v>
      </c>
      <c r="M20" s="78"/>
      <c r="N20" s="79"/>
      <c r="O20" s="80"/>
      <c r="P20" s="77"/>
      <c r="Q20" s="78"/>
      <c r="R20" s="79"/>
      <c r="S20" s="80"/>
      <c r="T20" s="77"/>
      <c r="U20" s="78"/>
      <c r="V20" s="81"/>
      <c r="W20" s="80"/>
      <c r="X20" s="77"/>
      <c r="Y20" s="78"/>
      <c r="Z20" s="81"/>
      <c r="AA20" s="80"/>
      <c r="AB20" s="77">
        <v>1</v>
      </c>
      <c r="AC20" s="78"/>
      <c r="AD20" s="79"/>
      <c r="AE20" s="80"/>
      <c r="AF20" s="77"/>
      <c r="AG20" s="78"/>
      <c r="AH20" s="81"/>
      <c r="AI20" s="80"/>
      <c r="AJ20" s="77"/>
      <c r="AK20" s="78"/>
      <c r="AL20" s="81"/>
      <c r="AM20" s="80">
        <v>1</v>
      </c>
      <c r="AN20" s="77">
        <v>1</v>
      </c>
      <c r="AO20" s="78"/>
      <c r="AP20" s="79"/>
      <c r="AQ20" s="80"/>
      <c r="AR20" s="77"/>
      <c r="AS20" s="78"/>
      <c r="AT20" s="81"/>
      <c r="AU20" s="80"/>
      <c r="AV20" s="77"/>
      <c r="AW20" s="78"/>
      <c r="AX20" s="81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spans="1:60" ht="54.95" customHeight="1">
      <c r="A21" s="13"/>
      <c r="B21" s="14" t="s">
        <v>20</v>
      </c>
      <c r="C21" s="76"/>
      <c r="D21" s="77"/>
      <c r="E21" s="78"/>
      <c r="F21" s="79"/>
      <c r="G21" s="80"/>
      <c r="H21" s="77"/>
      <c r="I21" s="78"/>
      <c r="J21" s="81"/>
      <c r="K21" s="80"/>
      <c r="L21" s="77"/>
      <c r="M21" s="78"/>
      <c r="N21" s="79"/>
      <c r="O21" s="80"/>
      <c r="P21" s="77"/>
      <c r="Q21" s="78"/>
      <c r="R21" s="79"/>
      <c r="S21" s="80">
        <v>2</v>
      </c>
      <c r="T21" s="77"/>
      <c r="U21" s="78"/>
      <c r="V21" s="81"/>
      <c r="W21" s="80"/>
      <c r="X21" s="77"/>
      <c r="Y21" s="78"/>
      <c r="Z21" s="81"/>
      <c r="AA21" s="80"/>
      <c r="AB21" s="77"/>
      <c r="AC21" s="78"/>
      <c r="AD21" s="79"/>
      <c r="AE21" s="80"/>
      <c r="AF21" s="77"/>
      <c r="AG21" s="78"/>
      <c r="AH21" s="81"/>
      <c r="AI21" s="80"/>
      <c r="AJ21" s="77"/>
      <c r="AK21" s="78"/>
      <c r="AL21" s="81"/>
      <c r="AM21" s="80">
        <v>1</v>
      </c>
      <c r="AN21" s="77"/>
      <c r="AO21" s="78"/>
      <c r="AP21" s="79"/>
      <c r="AQ21" s="80"/>
      <c r="AR21" s="77"/>
      <c r="AS21" s="78"/>
      <c r="AT21" s="81"/>
      <c r="AU21" s="80"/>
      <c r="AV21" s="77"/>
      <c r="AW21" s="78"/>
      <c r="AX21" s="81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spans="1:60" ht="54.95" customHeight="1" thickBot="1">
      <c r="A22" s="93">
        <v>9</v>
      </c>
      <c r="B22" s="85" t="s">
        <v>23</v>
      </c>
      <c r="C22" s="86"/>
      <c r="D22" s="87"/>
      <c r="E22" s="88"/>
      <c r="F22" s="89"/>
      <c r="G22" s="90"/>
      <c r="H22" s="87"/>
      <c r="I22" s="88"/>
      <c r="J22" s="91"/>
      <c r="K22" s="90"/>
      <c r="L22" s="87"/>
      <c r="M22" s="88"/>
      <c r="N22" s="89"/>
      <c r="O22" s="90"/>
      <c r="P22" s="87"/>
      <c r="Q22" s="88"/>
      <c r="R22" s="89"/>
      <c r="S22" s="90">
        <v>1</v>
      </c>
      <c r="T22" s="87"/>
      <c r="U22" s="88"/>
      <c r="V22" s="91"/>
      <c r="W22" s="90"/>
      <c r="X22" s="87"/>
      <c r="Y22" s="88"/>
      <c r="Z22" s="91"/>
      <c r="AA22" s="90"/>
      <c r="AB22" s="87"/>
      <c r="AC22" s="88"/>
      <c r="AD22" s="89"/>
      <c r="AE22" s="90"/>
      <c r="AF22" s="87"/>
      <c r="AG22" s="88"/>
      <c r="AH22" s="91"/>
      <c r="AI22" s="90"/>
      <c r="AJ22" s="87"/>
      <c r="AK22" s="88"/>
      <c r="AL22" s="91"/>
      <c r="AM22" s="90"/>
      <c r="AN22" s="87"/>
      <c r="AO22" s="88"/>
      <c r="AP22" s="89"/>
      <c r="AQ22" s="90"/>
      <c r="AR22" s="87"/>
      <c r="AS22" s="88"/>
      <c r="AT22" s="91"/>
      <c r="AU22" s="90"/>
      <c r="AV22" s="87"/>
      <c r="AW22" s="88"/>
      <c r="AX22" s="91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spans="1:60" ht="5.0999999999999996" customHeight="1" thickTop="1">
      <c r="A23" s="326"/>
      <c r="B23" s="55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spans="1:60" ht="5.0999999999999996" customHeight="1" thickBot="1">
      <c r="A24" s="55"/>
      <c r="B24" s="5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spans="1:60" ht="52.5" customHeight="1" thickBot="1">
      <c r="A25" s="56" t="s">
        <v>0</v>
      </c>
      <c r="B25" s="82" t="str">
        <f>B1</f>
        <v>La Roche Rond-Point ENILV</v>
      </c>
      <c r="C25" s="49"/>
      <c r="D25" s="49"/>
      <c r="E25" s="49"/>
      <c r="F25" s="57"/>
      <c r="G25" s="49"/>
      <c r="H25" s="49"/>
      <c r="I25" s="49"/>
      <c r="J25" s="49"/>
      <c r="K25" s="57"/>
      <c r="L25" s="57"/>
      <c r="M25" s="57"/>
      <c r="N25" s="57"/>
      <c r="O25" s="58" t="s">
        <v>1</v>
      </c>
      <c r="P25" s="59" t="str">
        <f>P1</f>
        <v>16 juin 2020</v>
      </c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60"/>
      <c r="AC25" s="60"/>
      <c r="AD25" s="60"/>
      <c r="AE25" s="49"/>
      <c r="AF25" s="49"/>
      <c r="AG25" s="49"/>
      <c r="AH25" s="49"/>
      <c r="AI25" s="60"/>
      <c r="AJ25" s="60"/>
      <c r="AK25" s="60"/>
      <c r="AL25" s="61"/>
      <c r="AM25" s="49"/>
      <c r="AN25" s="60"/>
      <c r="AO25" s="60"/>
      <c r="AP25" s="60"/>
      <c r="AQ25" s="49"/>
      <c r="AR25" s="49"/>
      <c r="AS25" s="49"/>
      <c r="AT25" s="49"/>
      <c r="AU25" s="60"/>
      <c r="AV25" s="60"/>
      <c r="AW25" s="60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</row>
    <row r="26" spans="1:60" ht="52.5" customHeight="1" thickBot="1">
      <c r="A26" s="51" t="s">
        <v>2</v>
      </c>
      <c r="B26" s="52"/>
      <c r="C26" s="52"/>
      <c r="D26" s="52"/>
      <c r="E26" s="52"/>
      <c r="F26" s="53"/>
      <c r="G26" s="24"/>
      <c r="H26" s="24"/>
      <c r="I26" s="24"/>
      <c r="J26" s="24"/>
      <c r="K26" s="52"/>
      <c r="L26" s="25" t="str">
        <f>L2</f>
        <v>Sylviane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52"/>
      <c r="AC26" s="52"/>
      <c r="AD26" s="52"/>
      <c r="AE26" s="24"/>
      <c r="AF26" s="24"/>
      <c r="AG26" s="24"/>
      <c r="AH26" s="24"/>
      <c r="AI26" s="52"/>
      <c r="AJ26" s="52"/>
      <c r="AK26" s="52"/>
      <c r="AL26" s="53"/>
      <c r="AM26" s="24"/>
      <c r="AN26" s="52"/>
      <c r="AO26" s="52"/>
      <c r="AP26" s="52"/>
      <c r="AQ26" s="24"/>
      <c r="AR26" s="24"/>
      <c r="AS26" s="24"/>
      <c r="AT26" s="24"/>
      <c r="AU26" s="52"/>
      <c r="AV26" s="52"/>
      <c r="AW26" s="52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</row>
    <row r="27" spans="1:60" ht="52.5" customHeight="1" thickBot="1">
      <c r="A27" s="51" t="s">
        <v>3</v>
      </c>
      <c r="B27" s="52"/>
      <c r="C27" s="22" t="s">
        <v>67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52"/>
      <c r="AC27" s="52"/>
      <c r="AD27" s="52"/>
      <c r="AE27" s="23"/>
      <c r="AF27" s="23"/>
      <c r="AG27" s="23"/>
      <c r="AH27" s="23"/>
      <c r="AI27" s="52"/>
      <c r="AJ27" s="52"/>
      <c r="AK27" s="52"/>
      <c r="AL27" s="53"/>
      <c r="AM27" s="23"/>
      <c r="AN27" s="52"/>
      <c r="AO27" s="52"/>
      <c r="AP27" s="52"/>
      <c r="AQ27" s="23"/>
      <c r="AR27" s="23"/>
      <c r="AS27" s="23"/>
      <c r="AT27" s="23"/>
      <c r="AU27" s="52"/>
      <c r="AV27" s="52"/>
      <c r="AW27" s="52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</row>
    <row r="28" spans="1:60" ht="52.5" customHeight="1" thickBot="1">
      <c r="A28" s="51" t="s">
        <v>18</v>
      </c>
      <c r="B28" s="52"/>
      <c r="C28" s="22" t="s">
        <v>66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52"/>
      <c r="AC28" s="52"/>
      <c r="AD28" s="52"/>
      <c r="AE28" s="23"/>
      <c r="AF28" s="23"/>
      <c r="AG28" s="23"/>
      <c r="AH28" s="23"/>
      <c r="AI28" s="52"/>
      <c r="AJ28" s="52"/>
      <c r="AK28" s="52"/>
      <c r="AL28" s="53"/>
      <c r="AM28" s="23"/>
      <c r="AN28" s="52"/>
      <c r="AO28" s="52"/>
      <c r="AP28" s="52"/>
      <c r="AQ28" s="23"/>
      <c r="AR28" s="23"/>
      <c r="AS28" s="23"/>
      <c r="AT28" s="23"/>
      <c r="AU28" s="52"/>
      <c r="AV28" s="52"/>
      <c r="AW28" s="52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</row>
    <row r="29" spans="1:60" ht="25.5" customHeight="1">
      <c r="A29" s="54" t="s">
        <v>45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3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3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</row>
    <row r="30" spans="1:60" ht="25.5" customHeight="1">
      <c r="A30" s="54" t="s">
        <v>4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3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3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</row>
    <row r="31" spans="1:60" ht="25.5" customHeight="1" thickBot="1">
      <c r="A31" s="54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3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</row>
    <row r="32" spans="1:60" ht="32.25" customHeight="1" thickTop="1">
      <c r="A32" s="20"/>
      <c r="B32" s="21"/>
      <c r="C32" s="399" t="str">
        <f>C9</f>
        <v>Du centre (La Roche) vers</v>
      </c>
      <c r="D32" s="400"/>
      <c r="E32" s="400"/>
      <c r="F32" s="400"/>
      <c r="G32" s="400"/>
      <c r="H32" s="400"/>
      <c r="I32" s="400"/>
      <c r="J32" s="400"/>
      <c r="K32" s="400"/>
      <c r="L32" s="400"/>
      <c r="M32" s="400"/>
      <c r="N32" s="400"/>
      <c r="O32" s="400" t="str">
        <f>O9</f>
        <v>D'Eteaux av Gambetta vers</v>
      </c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1"/>
      <c r="AA32" s="400" t="str">
        <f>AA9</f>
        <v>De boutique Enilv vers</v>
      </c>
      <c r="AB32" s="400"/>
      <c r="AC32" s="400"/>
      <c r="AD32" s="400"/>
      <c r="AE32" s="400"/>
      <c r="AF32" s="400"/>
      <c r="AG32" s="400"/>
      <c r="AH32" s="400"/>
      <c r="AI32" s="400"/>
      <c r="AJ32" s="400"/>
      <c r="AK32" s="400"/>
      <c r="AL32" s="400"/>
      <c r="AM32" s="400" t="str">
        <f>AM9</f>
        <v>De Reignier vers</v>
      </c>
      <c r="AN32" s="400"/>
      <c r="AO32" s="400"/>
      <c r="AP32" s="400"/>
      <c r="AQ32" s="400"/>
      <c r="AR32" s="400"/>
      <c r="AS32" s="400"/>
      <c r="AT32" s="400"/>
      <c r="AU32" s="400"/>
      <c r="AV32" s="400"/>
      <c r="AW32" s="400"/>
      <c r="AX32" s="400"/>
      <c r="AY32" s="20"/>
      <c r="AZ32" s="21"/>
      <c r="BA32" s="368" t="s">
        <v>13</v>
      </c>
      <c r="BB32" s="385" t="s">
        <v>108</v>
      </c>
      <c r="BC32" s="385" t="s">
        <v>109</v>
      </c>
      <c r="BD32" s="385" t="s">
        <v>110</v>
      </c>
      <c r="BE32" s="362" t="s">
        <v>160</v>
      </c>
      <c r="BF32" s="402" t="s">
        <v>152</v>
      </c>
      <c r="BG32" s="385"/>
      <c r="BH32" s="385"/>
    </row>
    <row r="33" spans="1:61" ht="22.7" customHeight="1">
      <c r="A33" s="20"/>
      <c r="B33" s="21"/>
      <c r="C33" s="398" t="str">
        <f>C10</f>
        <v>Av Gambetta Eteaux</v>
      </c>
      <c r="D33" s="395"/>
      <c r="E33" s="395"/>
      <c r="F33" s="395"/>
      <c r="G33" s="393" t="str">
        <f>G10</f>
        <v>Boutique Enilv</v>
      </c>
      <c r="H33" s="393"/>
      <c r="I33" s="393"/>
      <c r="J33" s="393"/>
      <c r="K33" s="393" t="str">
        <f>K10</f>
        <v>Reignier</v>
      </c>
      <c r="L33" s="393"/>
      <c r="M33" s="393"/>
      <c r="N33" s="393"/>
      <c r="O33" s="395" t="str">
        <f>O10</f>
        <v>Bout Enilv</v>
      </c>
      <c r="P33" s="395"/>
      <c r="Q33" s="395"/>
      <c r="R33" s="395"/>
      <c r="S33" s="393" t="str">
        <f>S10</f>
        <v>Reignier</v>
      </c>
      <c r="T33" s="393"/>
      <c r="U33" s="393"/>
      <c r="V33" s="393"/>
      <c r="W33" s="393" t="str">
        <f>W10</f>
        <v>La Roche</v>
      </c>
      <c r="X33" s="393"/>
      <c r="Y33" s="393"/>
      <c r="Z33" s="394"/>
      <c r="AA33" s="395" t="str">
        <f>AA10</f>
        <v>Reignier</v>
      </c>
      <c r="AB33" s="395"/>
      <c r="AC33" s="395"/>
      <c r="AD33" s="395"/>
      <c r="AE33" s="393" t="str">
        <f>AE10</f>
        <v>La Roche</v>
      </c>
      <c r="AF33" s="393"/>
      <c r="AG33" s="393"/>
      <c r="AH33" s="393"/>
      <c r="AI33" s="393" t="str">
        <f>AI10</f>
        <v>Av Gambetta Eteaux</v>
      </c>
      <c r="AJ33" s="395"/>
      <c r="AK33" s="395"/>
      <c r="AL33" s="395"/>
      <c r="AM33" s="395" t="str">
        <f>AM10</f>
        <v>La Roche</v>
      </c>
      <c r="AN33" s="395"/>
      <c r="AO33" s="395"/>
      <c r="AP33" s="395"/>
      <c r="AQ33" s="393" t="str">
        <f>AQ10</f>
        <v>Av Gambetta Eteaux</v>
      </c>
      <c r="AR33" s="393"/>
      <c r="AS33" s="393"/>
      <c r="AT33" s="393"/>
      <c r="AU33" s="393" t="str">
        <f>AU10</f>
        <v>Bout Enilv</v>
      </c>
      <c r="AV33" s="395"/>
      <c r="AW33" s="395"/>
      <c r="AX33" s="395"/>
      <c r="AY33" s="20"/>
      <c r="AZ33" s="21"/>
      <c r="BA33" s="369"/>
      <c r="BB33" s="386"/>
      <c r="BC33" s="386"/>
      <c r="BD33" s="386"/>
      <c r="BE33" s="363"/>
      <c r="BF33" s="403"/>
      <c r="BG33" s="386"/>
      <c r="BH33" s="386"/>
    </row>
    <row r="34" spans="1:61" ht="18.600000000000001" customHeight="1" thickBot="1">
      <c r="A34" s="20"/>
      <c r="B34" s="21"/>
      <c r="C34" s="397" t="s">
        <v>5</v>
      </c>
      <c r="D34" s="390"/>
      <c r="E34" s="387" t="s">
        <v>6</v>
      </c>
      <c r="F34" s="396"/>
      <c r="G34" s="389" t="s">
        <v>5</v>
      </c>
      <c r="H34" s="390"/>
      <c r="I34" s="387" t="s">
        <v>6</v>
      </c>
      <c r="J34" s="388"/>
      <c r="K34" s="389" t="s">
        <v>5</v>
      </c>
      <c r="L34" s="390"/>
      <c r="M34" s="387" t="s">
        <v>6</v>
      </c>
      <c r="N34" s="396"/>
      <c r="O34" s="389" t="s">
        <v>5</v>
      </c>
      <c r="P34" s="390"/>
      <c r="Q34" s="387" t="s">
        <v>6</v>
      </c>
      <c r="R34" s="396"/>
      <c r="S34" s="389" t="s">
        <v>5</v>
      </c>
      <c r="T34" s="390"/>
      <c r="U34" s="387" t="s">
        <v>6</v>
      </c>
      <c r="V34" s="388"/>
      <c r="W34" s="389" t="s">
        <v>5</v>
      </c>
      <c r="X34" s="390"/>
      <c r="Y34" s="387" t="s">
        <v>6</v>
      </c>
      <c r="Z34" s="388"/>
      <c r="AA34" s="389" t="s">
        <v>5</v>
      </c>
      <c r="AB34" s="390"/>
      <c r="AC34" s="387" t="s">
        <v>6</v>
      </c>
      <c r="AD34" s="396"/>
      <c r="AE34" s="389" t="s">
        <v>5</v>
      </c>
      <c r="AF34" s="390"/>
      <c r="AG34" s="387" t="s">
        <v>6</v>
      </c>
      <c r="AH34" s="388"/>
      <c r="AI34" s="389" t="s">
        <v>5</v>
      </c>
      <c r="AJ34" s="390"/>
      <c r="AK34" s="391" t="s">
        <v>6</v>
      </c>
      <c r="AL34" s="392"/>
      <c r="AM34" s="389" t="s">
        <v>5</v>
      </c>
      <c r="AN34" s="390"/>
      <c r="AO34" s="387" t="s">
        <v>6</v>
      </c>
      <c r="AP34" s="396"/>
      <c r="AQ34" s="389" t="s">
        <v>5</v>
      </c>
      <c r="AR34" s="390"/>
      <c r="AS34" s="387" t="s">
        <v>6</v>
      </c>
      <c r="AT34" s="388"/>
      <c r="AU34" s="389" t="s">
        <v>5</v>
      </c>
      <c r="AV34" s="390"/>
      <c r="AW34" s="391" t="s">
        <v>6</v>
      </c>
      <c r="AX34" s="392"/>
      <c r="AY34" s="124"/>
      <c r="AZ34" s="21"/>
      <c r="BA34" s="369"/>
      <c r="BB34" s="386"/>
      <c r="BC34" s="386"/>
      <c r="BD34" s="386"/>
      <c r="BE34" s="363"/>
      <c r="BF34" s="403"/>
      <c r="BG34" s="386"/>
      <c r="BH34" s="386"/>
    </row>
    <row r="35" spans="1:61" ht="21.75" thickTop="1" thickBot="1">
      <c r="A35" s="373" t="s">
        <v>14</v>
      </c>
      <c r="B35" s="374"/>
      <c r="C35" s="15" t="s">
        <v>9</v>
      </c>
      <c r="D35" s="4" t="s">
        <v>10</v>
      </c>
      <c r="E35" s="5" t="s">
        <v>9</v>
      </c>
      <c r="F35" s="6" t="s">
        <v>10</v>
      </c>
      <c r="G35" s="3" t="s">
        <v>9</v>
      </c>
      <c r="H35" s="4" t="s">
        <v>10</v>
      </c>
      <c r="I35" s="5" t="s">
        <v>9</v>
      </c>
      <c r="J35" s="16" t="s">
        <v>10</v>
      </c>
      <c r="K35" s="3" t="s">
        <v>9</v>
      </c>
      <c r="L35" s="4" t="s">
        <v>10</v>
      </c>
      <c r="M35" s="5" t="s">
        <v>9</v>
      </c>
      <c r="N35" s="6" t="s">
        <v>10</v>
      </c>
      <c r="O35" s="3" t="s">
        <v>9</v>
      </c>
      <c r="P35" s="4" t="s">
        <v>10</v>
      </c>
      <c r="Q35" s="5" t="s">
        <v>9</v>
      </c>
      <c r="R35" s="6" t="s">
        <v>10</v>
      </c>
      <c r="S35" s="3" t="s">
        <v>9</v>
      </c>
      <c r="T35" s="4" t="s">
        <v>10</v>
      </c>
      <c r="U35" s="5" t="s">
        <v>9</v>
      </c>
      <c r="V35" s="16" t="s">
        <v>10</v>
      </c>
      <c r="W35" s="3" t="s">
        <v>9</v>
      </c>
      <c r="X35" s="4" t="s">
        <v>10</v>
      </c>
      <c r="Y35" s="5" t="s">
        <v>9</v>
      </c>
      <c r="Z35" s="16" t="s">
        <v>10</v>
      </c>
      <c r="AA35" s="3" t="s">
        <v>9</v>
      </c>
      <c r="AB35" s="4" t="s">
        <v>10</v>
      </c>
      <c r="AC35" s="5" t="s">
        <v>9</v>
      </c>
      <c r="AD35" s="6" t="s">
        <v>10</v>
      </c>
      <c r="AE35" s="3" t="s">
        <v>9</v>
      </c>
      <c r="AF35" s="4" t="s">
        <v>10</v>
      </c>
      <c r="AG35" s="5" t="s">
        <v>9</v>
      </c>
      <c r="AH35" s="16" t="s">
        <v>10</v>
      </c>
      <c r="AI35" s="3" t="s">
        <v>9</v>
      </c>
      <c r="AJ35" s="4" t="s">
        <v>10</v>
      </c>
      <c r="AK35" s="5" t="s">
        <v>9</v>
      </c>
      <c r="AL35" s="6" t="s">
        <v>10</v>
      </c>
      <c r="AM35" s="3" t="s">
        <v>9</v>
      </c>
      <c r="AN35" s="4" t="s">
        <v>10</v>
      </c>
      <c r="AO35" s="5" t="s">
        <v>9</v>
      </c>
      <c r="AP35" s="6" t="s">
        <v>10</v>
      </c>
      <c r="AQ35" s="3" t="s">
        <v>9</v>
      </c>
      <c r="AR35" s="4" t="s">
        <v>10</v>
      </c>
      <c r="AS35" s="5" t="s">
        <v>9</v>
      </c>
      <c r="AT35" s="16" t="s">
        <v>10</v>
      </c>
      <c r="AU35" s="3" t="s">
        <v>9</v>
      </c>
      <c r="AV35" s="4" t="s">
        <v>10</v>
      </c>
      <c r="AW35" s="5" t="s">
        <v>9</v>
      </c>
      <c r="AX35" s="6" t="s">
        <v>10</v>
      </c>
      <c r="AY35" s="364" t="s">
        <v>14</v>
      </c>
      <c r="AZ35" s="365"/>
      <c r="BA35" s="369"/>
      <c r="BB35" s="386"/>
      <c r="BC35" s="386"/>
      <c r="BD35" s="386"/>
      <c r="BE35" s="363"/>
      <c r="BF35" s="404"/>
      <c r="BG35" s="405"/>
      <c r="BH35" s="405"/>
    </row>
    <row r="36" spans="1:61" ht="54.95" customHeight="1" thickBot="1">
      <c r="A36" s="375" t="s">
        <v>175</v>
      </c>
      <c r="B36" s="376"/>
      <c r="C36" s="26">
        <f>SUM(C13:C14)</f>
        <v>0</v>
      </c>
      <c r="D36" s="27">
        <f t="shared" ref="D36:AX36" si="0">SUM(D13:D14)</f>
        <v>0</v>
      </c>
      <c r="E36" s="28">
        <f t="shared" si="0"/>
        <v>0</v>
      </c>
      <c r="F36" s="29">
        <f t="shared" si="0"/>
        <v>0</v>
      </c>
      <c r="G36" s="30">
        <f t="shared" si="0"/>
        <v>0</v>
      </c>
      <c r="H36" s="27">
        <f t="shared" si="0"/>
        <v>0</v>
      </c>
      <c r="I36" s="28">
        <f t="shared" si="0"/>
        <v>0</v>
      </c>
      <c r="J36" s="31">
        <f t="shared" si="0"/>
        <v>0</v>
      </c>
      <c r="K36" s="30">
        <f t="shared" si="0"/>
        <v>0</v>
      </c>
      <c r="L36" s="27">
        <f t="shared" si="0"/>
        <v>1</v>
      </c>
      <c r="M36" s="28">
        <f t="shared" si="0"/>
        <v>0</v>
      </c>
      <c r="N36" s="29">
        <f t="shared" si="0"/>
        <v>0</v>
      </c>
      <c r="O36" s="30">
        <f t="shared" si="0"/>
        <v>0</v>
      </c>
      <c r="P36" s="27">
        <f t="shared" si="0"/>
        <v>0</v>
      </c>
      <c r="Q36" s="28">
        <f t="shared" si="0"/>
        <v>0</v>
      </c>
      <c r="R36" s="29">
        <f t="shared" si="0"/>
        <v>0</v>
      </c>
      <c r="S36" s="30">
        <f t="shared" si="0"/>
        <v>0</v>
      </c>
      <c r="T36" s="27">
        <f t="shared" si="0"/>
        <v>0</v>
      </c>
      <c r="U36" s="28">
        <f t="shared" si="0"/>
        <v>0</v>
      </c>
      <c r="V36" s="31">
        <f t="shared" si="0"/>
        <v>0</v>
      </c>
      <c r="W36" s="30">
        <f t="shared" si="0"/>
        <v>0</v>
      </c>
      <c r="X36" s="27">
        <f t="shared" si="0"/>
        <v>0</v>
      </c>
      <c r="Y36" s="28">
        <f t="shared" si="0"/>
        <v>0</v>
      </c>
      <c r="Z36" s="31">
        <f t="shared" si="0"/>
        <v>0</v>
      </c>
      <c r="AA36" s="30">
        <f t="shared" si="0"/>
        <v>0</v>
      </c>
      <c r="AB36" s="27">
        <f t="shared" si="0"/>
        <v>0</v>
      </c>
      <c r="AC36" s="28">
        <f t="shared" si="0"/>
        <v>0</v>
      </c>
      <c r="AD36" s="29">
        <f t="shared" si="0"/>
        <v>0</v>
      </c>
      <c r="AE36" s="30">
        <f t="shared" si="0"/>
        <v>0</v>
      </c>
      <c r="AF36" s="27">
        <f t="shared" si="0"/>
        <v>0</v>
      </c>
      <c r="AG36" s="28">
        <f t="shared" si="0"/>
        <v>0</v>
      </c>
      <c r="AH36" s="31">
        <f t="shared" si="0"/>
        <v>0</v>
      </c>
      <c r="AI36" s="30">
        <f t="shared" si="0"/>
        <v>0</v>
      </c>
      <c r="AJ36" s="27">
        <f t="shared" si="0"/>
        <v>0</v>
      </c>
      <c r="AK36" s="28">
        <f t="shared" si="0"/>
        <v>0</v>
      </c>
      <c r="AL36" s="29">
        <f t="shared" si="0"/>
        <v>0</v>
      </c>
      <c r="AM36" s="30">
        <f t="shared" si="0"/>
        <v>0</v>
      </c>
      <c r="AN36" s="27">
        <f t="shared" si="0"/>
        <v>0</v>
      </c>
      <c r="AO36" s="28">
        <f t="shared" si="0"/>
        <v>0</v>
      </c>
      <c r="AP36" s="29">
        <f t="shared" si="0"/>
        <v>0</v>
      </c>
      <c r="AQ36" s="30">
        <f t="shared" si="0"/>
        <v>0</v>
      </c>
      <c r="AR36" s="27">
        <f t="shared" si="0"/>
        <v>0</v>
      </c>
      <c r="AS36" s="28">
        <f t="shared" si="0"/>
        <v>0</v>
      </c>
      <c r="AT36" s="31">
        <f t="shared" si="0"/>
        <v>0</v>
      </c>
      <c r="AU36" s="30">
        <f t="shared" si="0"/>
        <v>0</v>
      </c>
      <c r="AV36" s="27">
        <f t="shared" si="0"/>
        <v>0</v>
      </c>
      <c r="AW36" s="28">
        <f t="shared" si="0"/>
        <v>0</v>
      </c>
      <c r="AX36" s="29">
        <f t="shared" si="0"/>
        <v>0</v>
      </c>
      <c r="AY36" s="366" t="str">
        <f>A36</f>
        <v>6:30 à 7:00</v>
      </c>
      <c r="AZ36" s="367"/>
      <c r="BA36" s="324">
        <f>SUM(C36:AX36)</f>
        <v>1</v>
      </c>
      <c r="BB36" s="303">
        <f>C36+E36+G36+I36+K36+M36+O36+Q36+S36+U36+W36+Y36+AA36+AC36+AE36+AG36+AI36+AK36+AM36+AO36+AQ36+AS36+AU36+AW36</f>
        <v>0</v>
      </c>
      <c r="BC36" s="303">
        <f t="shared" ref="BC36:BC37" si="1">E36+F36+I36+J36+M36+N36+Q36+R36+U36+V36+Y36+Z36+AC36+AD36+AG36+AH36+AK36+AL36+AO36+AP36+AS36+AT36+AW36+AX36</f>
        <v>0</v>
      </c>
      <c r="BD36" s="303">
        <f>E36+I36+M36+Q36+U36+Y36+AC36+AG36+AK36+AO36+AS36+AW36</f>
        <v>0</v>
      </c>
      <c r="BE36" s="303">
        <f>SUM(K36:N36)+SUM(S36:V36)+SUM(AA36:AD36)+SUM(AM36:AX36)</f>
        <v>1</v>
      </c>
      <c r="BF36" s="22" t="s">
        <v>166</v>
      </c>
      <c r="BG36" s="316"/>
      <c r="BH36" s="316"/>
    </row>
    <row r="37" spans="1:61" ht="54.95" customHeight="1" thickBot="1">
      <c r="A37" s="377" t="s">
        <v>46</v>
      </c>
      <c r="B37" s="378"/>
      <c r="C37" s="32">
        <f t="shared" ref="C37:AX37" si="2">SUM(C15:C18)</f>
        <v>0</v>
      </c>
      <c r="D37" s="33">
        <f t="shared" si="2"/>
        <v>0</v>
      </c>
      <c r="E37" s="34">
        <f t="shared" si="2"/>
        <v>0</v>
      </c>
      <c r="F37" s="35">
        <f t="shared" si="2"/>
        <v>0</v>
      </c>
      <c r="G37" s="36">
        <f t="shared" si="2"/>
        <v>0</v>
      </c>
      <c r="H37" s="33">
        <f t="shared" si="2"/>
        <v>0</v>
      </c>
      <c r="I37" s="34">
        <f t="shared" si="2"/>
        <v>0</v>
      </c>
      <c r="J37" s="37">
        <f t="shared" si="2"/>
        <v>0</v>
      </c>
      <c r="K37" s="36">
        <f t="shared" si="2"/>
        <v>1</v>
      </c>
      <c r="L37" s="33">
        <f t="shared" si="2"/>
        <v>1</v>
      </c>
      <c r="M37" s="34">
        <f t="shared" si="2"/>
        <v>0</v>
      </c>
      <c r="N37" s="35">
        <f t="shared" si="2"/>
        <v>1</v>
      </c>
      <c r="O37" s="36">
        <f t="shared" si="2"/>
        <v>0</v>
      </c>
      <c r="P37" s="33">
        <f t="shared" si="2"/>
        <v>0</v>
      </c>
      <c r="Q37" s="34">
        <f t="shared" si="2"/>
        <v>0</v>
      </c>
      <c r="R37" s="35">
        <f t="shared" si="2"/>
        <v>0</v>
      </c>
      <c r="S37" s="36">
        <f t="shared" si="2"/>
        <v>0</v>
      </c>
      <c r="T37" s="33">
        <f t="shared" si="2"/>
        <v>0</v>
      </c>
      <c r="U37" s="34">
        <f t="shared" si="2"/>
        <v>0</v>
      </c>
      <c r="V37" s="37">
        <f t="shared" si="2"/>
        <v>1</v>
      </c>
      <c r="W37" s="36">
        <f t="shared" si="2"/>
        <v>0</v>
      </c>
      <c r="X37" s="33">
        <f t="shared" si="2"/>
        <v>0</v>
      </c>
      <c r="Y37" s="34">
        <f t="shared" si="2"/>
        <v>0</v>
      </c>
      <c r="Z37" s="37">
        <f t="shared" si="2"/>
        <v>0</v>
      </c>
      <c r="AA37" s="36">
        <f t="shared" si="2"/>
        <v>0</v>
      </c>
      <c r="AB37" s="33">
        <f t="shared" si="2"/>
        <v>0</v>
      </c>
      <c r="AC37" s="34">
        <f t="shared" si="2"/>
        <v>0</v>
      </c>
      <c r="AD37" s="35">
        <f t="shared" si="2"/>
        <v>0</v>
      </c>
      <c r="AE37" s="36">
        <f t="shared" si="2"/>
        <v>1</v>
      </c>
      <c r="AF37" s="33">
        <f t="shared" si="2"/>
        <v>1</v>
      </c>
      <c r="AG37" s="34">
        <f t="shared" si="2"/>
        <v>0</v>
      </c>
      <c r="AH37" s="37">
        <f t="shared" si="2"/>
        <v>0</v>
      </c>
      <c r="AI37" s="36">
        <f t="shared" si="2"/>
        <v>0</v>
      </c>
      <c r="AJ37" s="33">
        <f t="shared" si="2"/>
        <v>0</v>
      </c>
      <c r="AK37" s="34">
        <f t="shared" si="2"/>
        <v>0</v>
      </c>
      <c r="AL37" s="35">
        <f t="shared" si="2"/>
        <v>0</v>
      </c>
      <c r="AM37" s="36">
        <f t="shared" si="2"/>
        <v>1</v>
      </c>
      <c r="AN37" s="33">
        <f t="shared" si="2"/>
        <v>0</v>
      </c>
      <c r="AO37" s="34">
        <f t="shared" si="2"/>
        <v>0</v>
      </c>
      <c r="AP37" s="35">
        <f t="shared" si="2"/>
        <v>0</v>
      </c>
      <c r="AQ37" s="36">
        <f t="shared" si="2"/>
        <v>0</v>
      </c>
      <c r="AR37" s="33">
        <f t="shared" si="2"/>
        <v>0</v>
      </c>
      <c r="AS37" s="34">
        <f t="shared" si="2"/>
        <v>0</v>
      </c>
      <c r="AT37" s="37">
        <f t="shared" si="2"/>
        <v>0</v>
      </c>
      <c r="AU37" s="36">
        <f t="shared" si="2"/>
        <v>0</v>
      </c>
      <c r="AV37" s="33">
        <f t="shared" si="2"/>
        <v>0</v>
      </c>
      <c r="AW37" s="34">
        <f t="shared" si="2"/>
        <v>0</v>
      </c>
      <c r="AX37" s="35">
        <f t="shared" si="2"/>
        <v>0</v>
      </c>
      <c r="AY37" s="366" t="str">
        <f t="shared" ref="AY37:AY39" si="3">A37</f>
        <v>7:00 à 8:00</v>
      </c>
      <c r="AZ37" s="367"/>
      <c r="BA37" s="324">
        <f t="shared" ref="BA37:BA40" si="4">SUM(C37:AX37)</f>
        <v>7</v>
      </c>
      <c r="BB37" s="303">
        <f t="shared" ref="BB37:BB40" si="5">C37+E37+G37+I37+K37+M37+O37+Q37+S37+U37+W37+Y37+AA37+AC37+AE37+AG37+AI37+AK37+AM37+AO37+AQ37+AS37+AU37+AW37</f>
        <v>3</v>
      </c>
      <c r="BC37" s="303">
        <f t="shared" si="1"/>
        <v>2</v>
      </c>
      <c r="BD37" s="303">
        <f t="shared" ref="BD37:BD40" si="6">E37+I37+M37+Q37+U37+Y37+AC37+AG37+AK37+AO37+AS37+AW37</f>
        <v>0</v>
      </c>
      <c r="BE37" s="303">
        <f t="shared" ref="BE37:BE40" si="7">SUM(K37:N37)+SUM(S37:V37)+SUM(AA37:AD37)+SUM(AM37:AX37)</f>
        <v>5</v>
      </c>
      <c r="BF37" s="22" t="s">
        <v>167</v>
      </c>
      <c r="BG37" s="316"/>
      <c r="BH37" s="316"/>
    </row>
    <row r="38" spans="1:61" ht="54.95" customHeight="1">
      <c r="A38" s="377" t="s">
        <v>47</v>
      </c>
      <c r="B38" s="378"/>
      <c r="C38" s="32">
        <f t="shared" ref="C38:AX38" si="8">SUM(C17:C20)</f>
        <v>0</v>
      </c>
      <c r="D38" s="33">
        <f t="shared" si="8"/>
        <v>0</v>
      </c>
      <c r="E38" s="34">
        <f t="shared" si="8"/>
        <v>0</v>
      </c>
      <c r="F38" s="35">
        <f t="shared" si="8"/>
        <v>0</v>
      </c>
      <c r="G38" s="36">
        <f t="shared" si="8"/>
        <v>0</v>
      </c>
      <c r="H38" s="33">
        <f t="shared" si="8"/>
        <v>0</v>
      </c>
      <c r="I38" s="34">
        <f t="shared" si="8"/>
        <v>0</v>
      </c>
      <c r="J38" s="37">
        <f t="shared" si="8"/>
        <v>0</v>
      </c>
      <c r="K38" s="36">
        <f t="shared" si="8"/>
        <v>2</v>
      </c>
      <c r="L38" s="33">
        <f t="shared" si="8"/>
        <v>1</v>
      </c>
      <c r="M38" s="34">
        <f t="shared" si="8"/>
        <v>0</v>
      </c>
      <c r="N38" s="35">
        <f t="shared" si="8"/>
        <v>0</v>
      </c>
      <c r="O38" s="36">
        <f t="shared" si="8"/>
        <v>0</v>
      </c>
      <c r="P38" s="33">
        <f t="shared" si="8"/>
        <v>0</v>
      </c>
      <c r="Q38" s="34">
        <f t="shared" si="8"/>
        <v>0</v>
      </c>
      <c r="R38" s="35">
        <f t="shared" si="8"/>
        <v>0</v>
      </c>
      <c r="S38" s="36">
        <f t="shared" si="8"/>
        <v>0</v>
      </c>
      <c r="T38" s="33">
        <f t="shared" si="8"/>
        <v>0</v>
      </c>
      <c r="U38" s="34">
        <f t="shared" si="8"/>
        <v>0</v>
      </c>
      <c r="V38" s="37">
        <f t="shared" si="8"/>
        <v>1</v>
      </c>
      <c r="W38" s="36">
        <f t="shared" si="8"/>
        <v>0</v>
      </c>
      <c r="X38" s="33">
        <f t="shared" si="8"/>
        <v>0</v>
      </c>
      <c r="Y38" s="34">
        <f t="shared" si="8"/>
        <v>0</v>
      </c>
      <c r="Z38" s="37">
        <f t="shared" si="8"/>
        <v>1</v>
      </c>
      <c r="AA38" s="36">
        <f t="shared" si="8"/>
        <v>0</v>
      </c>
      <c r="AB38" s="33">
        <f t="shared" si="8"/>
        <v>1</v>
      </c>
      <c r="AC38" s="34">
        <f t="shared" si="8"/>
        <v>0</v>
      </c>
      <c r="AD38" s="35">
        <f t="shared" si="8"/>
        <v>0</v>
      </c>
      <c r="AE38" s="36">
        <f t="shared" si="8"/>
        <v>0</v>
      </c>
      <c r="AF38" s="33">
        <f t="shared" si="8"/>
        <v>0</v>
      </c>
      <c r="AG38" s="34">
        <f t="shared" si="8"/>
        <v>0</v>
      </c>
      <c r="AH38" s="37">
        <f t="shared" si="8"/>
        <v>0</v>
      </c>
      <c r="AI38" s="36">
        <f t="shared" si="8"/>
        <v>0</v>
      </c>
      <c r="AJ38" s="33">
        <f t="shared" si="8"/>
        <v>0</v>
      </c>
      <c r="AK38" s="34">
        <f t="shared" si="8"/>
        <v>0</v>
      </c>
      <c r="AL38" s="35">
        <f t="shared" si="8"/>
        <v>0</v>
      </c>
      <c r="AM38" s="36">
        <f t="shared" si="8"/>
        <v>2</v>
      </c>
      <c r="AN38" s="33">
        <f t="shared" si="8"/>
        <v>1</v>
      </c>
      <c r="AO38" s="34">
        <f t="shared" si="8"/>
        <v>0</v>
      </c>
      <c r="AP38" s="35">
        <f t="shared" si="8"/>
        <v>0</v>
      </c>
      <c r="AQ38" s="36">
        <f t="shared" si="8"/>
        <v>0</v>
      </c>
      <c r="AR38" s="33">
        <f t="shared" si="8"/>
        <v>0</v>
      </c>
      <c r="AS38" s="34">
        <f t="shared" si="8"/>
        <v>0</v>
      </c>
      <c r="AT38" s="37">
        <f t="shared" si="8"/>
        <v>0</v>
      </c>
      <c r="AU38" s="36">
        <f t="shared" si="8"/>
        <v>0</v>
      </c>
      <c r="AV38" s="33">
        <f t="shared" si="8"/>
        <v>0</v>
      </c>
      <c r="AW38" s="34">
        <f t="shared" si="8"/>
        <v>0</v>
      </c>
      <c r="AX38" s="35">
        <f t="shared" si="8"/>
        <v>0</v>
      </c>
      <c r="AY38" s="366" t="str">
        <f t="shared" si="3"/>
        <v>7:30 à 8:30</v>
      </c>
      <c r="AZ38" s="367"/>
      <c r="BA38" s="324">
        <f t="shared" si="4"/>
        <v>9</v>
      </c>
      <c r="BB38" s="303">
        <f t="shared" si="5"/>
        <v>4</v>
      </c>
      <c r="BC38" s="303">
        <f>E38+F38+I38+J38+M38+N38+Q38+R38+U38+V38+Y38+Z38+AC38+AD38+AG38+AH38+AK38+AL38+AO38+AP38+AS38+AT38+AW38+AX38</f>
        <v>2</v>
      </c>
      <c r="BD38" s="303">
        <f t="shared" si="6"/>
        <v>0</v>
      </c>
      <c r="BE38" s="303">
        <f t="shared" si="7"/>
        <v>8</v>
      </c>
      <c r="BF38" s="319" t="s">
        <v>165</v>
      </c>
      <c r="BG38" s="316"/>
      <c r="BH38" s="316"/>
    </row>
    <row r="39" spans="1:61" ht="54.95" customHeight="1">
      <c r="A39" s="377" t="s">
        <v>48</v>
      </c>
      <c r="B39" s="378"/>
      <c r="C39" s="32">
        <f t="shared" ref="C39:AX39" si="9">SUM(C19:C22)</f>
        <v>0</v>
      </c>
      <c r="D39" s="33">
        <f t="shared" si="9"/>
        <v>0</v>
      </c>
      <c r="E39" s="34">
        <f t="shared" si="9"/>
        <v>0</v>
      </c>
      <c r="F39" s="35">
        <f t="shared" si="9"/>
        <v>0</v>
      </c>
      <c r="G39" s="36">
        <f t="shared" si="9"/>
        <v>0</v>
      </c>
      <c r="H39" s="33">
        <f t="shared" si="9"/>
        <v>0</v>
      </c>
      <c r="I39" s="34">
        <f t="shared" si="9"/>
        <v>0</v>
      </c>
      <c r="J39" s="37">
        <f t="shared" si="9"/>
        <v>0</v>
      </c>
      <c r="K39" s="36">
        <f t="shared" si="9"/>
        <v>1</v>
      </c>
      <c r="L39" s="33">
        <f t="shared" si="9"/>
        <v>1</v>
      </c>
      <c r="M39" s="34">
        <f t="shared" si="9"/>
        <v>0</v>
      </c>
      <c r="N39" s="35">
        <f t="shared" si="9"/>
        <v>0</v>
      </c>
      <c r="O39" s="36">
        <f t="shared" si="9"/>
        <v>0</v>
      </c>
      <c r="P39" s="33">
        <f t="shared" si="9"/>
        <v>0</v>
      </c>
      <c r="Q39" s="34">
        <f t="shared" si="9"/>
        <v>0</v>
      </c>
      <c r="R39" s="35">
        <f t="shared" si="9"/>
        <v>0</v>
      </c>
      <c r="S39" s="36">
        <f t="shared" si="9"/>
        <v>3</v>
      </c>
      <c r="T39" s="33">
        <f t="shared" si="9"/>
        <v>0</v>
      </c>
      <c r="U39" s="34">
        <f t="shared" si="9"/>
        <v>0</v>
      </c>
      <c r="V39" s="37">
        <f t="shared" si="9"/>
        <v>0</v>
      </c>
      <c r="W39" s="36">
        <f t="shared" si="9"/>
        <v>0</v>
      </c>
      <c r="X39" s="33">
        <f t="shared" si="9"/>
        <v>0</v>
      </c>
      <c r="Y39" s="34">
        <f t="shared" si="9"/>
        <v>0</v>
      </c>
      <c r="Z39" s="37">
        <f t="shared" si="9"/>
        <v>1</v>
      </c>
      <c r="AA39" s="36">
        <f t="shared" si="9"/>
        <v>0</v>
      </c>
      <c r="AB39" s="33">
        <f t="shared" si="9"/>
        <v>1</v>
      </c>
      <c r="AC39" s="34">
        <f t="shared" si="9"/>
        <v>0</v>
      </c>
      <c r="AD39" s="35">
        <f t="shared" si="9"/>
        <v>0</v>
      </c>
      <c r="AE39" s="36">
        <f t="shared" si="9"/>
        <v>0</v>
      </c>
      <c r="AF39" s="33">
        <f t="shared" si="9"/>
        <v>0</v>
      </c>
      <c r="AG39" s="34">
        <f t="shared" si="9"/>
        <v>0</v>
      </c>
      <c r="AH39" s="37">
        <f t="shared" si="9"/>
        <v>0</v>
      </c>
      <c r="AI39" s="36">
        <f t="shared" si="9"/>
        <v>0</v>
      </c>
      <c r="AJ39" s="33">
        <f t="shared" si="9"/>
        <v>0</v>
      </c>
      <c r="AK39" s="34">
        <f t="shared" si="9"/>
        <v>0</v>
      </c>
      <c r="AL39" s="35">
        <f t="shared" si="9"/>
        <v>0</v>
      </c>
      <c r="AM39" s="36">
        <f t="shared" si="9"/>
        <v>2</v>
      </c>
      <c r="AN39" s="33">
        <f t="shared" si="9"/>
        <v>1</v>
      </c>
      <c r="AO39" s="34">
        <f t="shared" si="9"/>
        <v>0</v>
      </c>
      <c r="AP39" s="35">
        <f t="shared" si="9"/>
        <v>0</v>
      </c>
      <c r="AQ39" s="36">
        <f t="shared" si="9"/>
        <v>0</v>
      </c>
      <c r="AR39" s="33">
        <f t="shared" si="9"/>
        <v>0</v>
      </c>
      <c r="AS39" s="34">
        <f t="shared" si="9"/>
        <v>0</v>
      </c>
      <c r="AT39" s="37">
        <f t="shared" si="9"/>
        <v>0</v>
      </c>
      <c r="AU39" s="36">
        <f t="shared" si="9"/>
        <v>0</v>
      </c>
      <c r="AV39" s="33">
        <f t="shared" si="9"/>
        <v>0</v>
      </c>
      <c r="AW39" s="34">
        <f t="shared" si="9"/>
        <v>0</v>
      </c>
      <c r="AX39" s="35">
        <f t="shared" si="9"/>
        <v>0</v>
      </c>
      <c r="AY39" s="366" t="str">
        <f t="shared" si="3"/>
        <v>8:00 à 9:00</v>
      </c>
      <c r="AZ39" s="367"/>
      <c r="BA39" s="324">
        <f t="shared" si="4"/>
        <v>10</v>
      </c>
      <c r="BB39" s="303">
        <f t="shared" si="5"/>
        <v>6</v>
      </c>
      <c r="BC39" s="303">
        <f>E39+F39+I39+J39+M39+N39+Q39+R39+U39+V39+Y39+Z39+AC39+AD39+AG39+AH39+AK39+AL39+AO39+AP39+AS39+AT39+AW39+AX39</f>
        <v>1</v>
      </c>
      <c r="BD39" s="303">
        <f t="shared" si="6"/>
        <v>0</v>
      </c>
      <c r="BE39" s="303">
        <f t="shared" si="7"/>
        <v>9</v>
      </c>
      <c r="BF39" s="25" t="s">
        <v>173</v>
      </c>
      <c r="BG39" s="316"/>
      <c r="BH39" s="316"/>
    </row>
    <row r="40" spans="1:61" ht="54.95" customHeight="1" thickBot="1">
      <c r="A40" s="406" t="s">
        <v>13</v>
      </c>
      <c r="B40" s="407"/>
      <c r="C40" s="38">
        <f t="shared" ref="C40:AX40" si="10">SUM(C13:C22)</f>
        <v>0</v>
      </c>
      <c r="D40" s="39">
        <f t="shared" si="10"/>
        <v>0</v>
      </c>
      <c r="E40" s="40">
        <f t="shared" si="10"/>
        <v>0</v>
      </c>
      <c r="F40" s="41">
        <f t="shared" si="10"/>
        <v>0</v>
      </c>
      <c r="G40" s="42">
        <f t="shared" si="10"/>
        <v>0</v>
      </c>
      <c r="H40" s="39">
        <f t="shared" si="10"/>
        <v>0</v>
      </c>
      <c r="I40" s="40">
        <f t="shared" si="10"/>
        <v>0</v>
      </c>
      <c r="J40" s="43">
        <f t="shared" si="10"/>
        <v>0</v>
      </c>
      <c r="K40" s="42">
        <f t="shared" si="10"/>
        <v>2</v>
      </c>
      <c r="L40" s="39">
        <f t="shared" si="10"/>
        <v>3</v>
      </c>
      <c r="M40" s="40">
        <f t="shared" si="10"/>
        <v>0</v>
      </c>
      <c r="N40" s="41">
        <f t="shared" si="10"/>
        <v>1</v>
      </c>
      <c r="O40" s="42">
        <f t="shared" si="10"/>
        <v>0</v>
      </c>
      <c r="P40" s="39">
        <f t="shared" si="10"/>
        <v>0</v>
      </c>
      <c r="Q40" s="40">
        <f t="shared" si="10"/>
        <v>0</v>
      </c>
      <c r="R40" s="41">
        <f t="shared" si="10"/>
        <v>0</v>
      </c>
      <c r="S40" s="42">
        <f t="shared" si="10"/>
        <v>3</v>
      </c>
      <c r="T40" s="39">
        <f t="shared" si="10"/>
        <v>0</v>
      </c>
      <c r="U40" s="40">
        <f t="shared" si="10"/>
        <v>0</v>
      </c>
      <c r="V40" s="43">
        <f t="shared" si="10"/>
        <v>1</v>
      </c>
      <c r="W40" s="42">
        <f t="shared" si="10"/>
        <v>0</v>
      </c>
      <c r="X40" s="39">
        <f t="shared" si="10"/>
        <v>0</v>
      </c>
      <c r="Y40" s="40">
        <f t="shared" si="10"/>
        <v>0</v>
      </c>
      <c r="Z40" s="43">
        <f t="shared" si="10"/>
        <v>1</v>
      </c>
      <c r="AA40" s="42">
        <f t="shared" si="10"/>
        <v>0</v>
      </c>
      <c r="AB40" s="39">
        <f t="shared" si="10"/>
        <v>1</v>
      </c>
      <c r="AC40" s="40">
        <f t="shared" si="10"/>
        <v>0</v>
      </c>
      <c r="AD40" s="41">
        <f t="shared" si="10"/>
        <v>0</v>
      </c>
      <c r="AE40" s="42">
        <f t="shared" si="10"/>
        <v>1</v>
      </c>
      <c r="AF40" s="39">
        <f t="shared" si="10"/>
        <v>1</v>
      </c>
      <c r="AG40" s="40">
        <f t="shared" si="10"/>
        <v>0</v>
      </c>
      <c r="AH40" s="43">
        <f t="shared" si="10"/>
        <v>0</v>
      </c>
      <c r="AI40" s="42">
        <f t="shared" si="10"/>
        <v>0</v>
      </c>
      <c r="AJ40" s="39">
        <f t="shared" si="10"/>
        <v>0</v>
      </c>
      <c r="AK40" s="40">
        <f t="shared" si="10"/>
        <v>0</v>
      </c>
      <c r="AL40" s="41">
        <f t="shared" si="10"/>
        <v>0</v>
      </c>
      <c r="AM40" s="42">
        <f t="shared" si="10"/>
        <v>3</v>
      </c>
      <c r="AN40" s="39">
        <f t="shared" si="10"/>
        <v>1</v>
      </c>
      <c r="AO40" s="40">
        <f t="shared" si="10"/>
        <v>0</v>
      </c>
      <c r="AP40" s="41">
        <f t="shared" si="10"/>
        <v>0</v>
      </c>
      <c r="AQ40" s="42">
        <f t="shared" si="10"/>
        <v>0</v>
      </c>
      <c r="AR40" s="39">
        <f t="shared" si="10"/>
        <v>0</v>
      </c>
      <c r="AS40" s="40">
        <f t="shared" si="10"/>
        <v>0</v>
      </c>
      <c r="AT40" s="43">
        <f t="shared" si="10"/>
        <v>0</v>
      </c>
      <c r="AU40" s="42">
        <f t="shared" si="10"/>
        <v>0</v>
      </c>
      <c r="AV40" s="39">
        <f t="shared" si="10"/>
        <v>0</v>
      </c>
      <c r="AW40" s="40">
        <f t="shared" si="10"/>
        <v>0</v>
      </c>
      <c r="AX40" s="41">
        <f t="shared" si="10"/>
        <v>0</v>
      </c>
      <c r="AY40" s="383" t="s">
        <v>13</v>
      </c>
      <c r="AZ40" s="384"/>
      <c r="BA40" s="328">
        <f t="shared" si="4"/>
        <v>18</v>
      </c>
      <c r="BB40" s="329">
        <f t="shared" si="5"/>
        <v>9</v>
      </c>
      <c r="BC40" s="329">
        <f>E40+F40+I40+J40+M40+N40+Q40+R40+U40+V40+Y40+Z40+AC40+AD40+AG40+AH40+AK40+AL40+AO40+AP40+AS40+AT40+AW40+AX40</f>
        <v>3</v>
      </c>
      <c r="BD40" s="329">
        <f t="shared" si="6"/>
        <v>0</v>
      </c>
      <c r="BE40" s="329">
        <f t="shared" si="7"/>
        <v>15</v>
      </c>
      <c r="BF40" s="319"/>
      <c r="BG40" s="316"/>
      <c r="BH40" s="316"/>
    </row>
    <row r="41" spans="1:61" ht="42.75" customHeight="1" thickTop="1" thickBo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8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8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360" t="str">
        <f>IF($BA$36=MAX($BA$36:$BA$39),AY36,IF($BA$37=MAX($BA$36:$BA$39),AY37,IF($BA$38=MAX($BA$36:$BA$39),AY38,IF($BA$39=MAX($BA$36:$BA$39),AY39,AY38))))</f>
        <v>8:00 à 9:00</v>
      </c>
      <c r="AZ41" s="361"/>
      <c r="BA41" s="314">
        <f>IF($BA$36=MAX($BA$36:$BA$39),BA36,IF($BA$37=MAX($BA$36:$BA$39),BA37,IF($BA$38=MAX($BA$36:$BA$39),BA38,IF($BA$39=MAX($BA$36:$BA$39),BA39,BA38))))</f>
        <v>10</v>
      </c>
      <c r="BB41" s="315">
        <f>IF($BA$36=MAX($BA$36:$BA$39),BB36,IF($BA$37=MAX($BA$36:$BA$39),BB37,IF($BA$38=MAX($BA$36:$BA$39),BB38,IF($BA$39=MAX($BA$36:$BA$39),BB39,BB38))))</f>
        <v>6</v>
      </c>
      <c r="BC41" s="315">
        <f>IF($BA$36=MAX($BA$36:$BA$39),BC36,IF($BA$37=MAX($BA$36:$BA$39),BC37,IF($BA$38=MAX($BA$36:$BA$39),BC38,IF($BA$39=MAX($BA$36:$BA$39),BC39,BC38))))</f>
        <v>1</v>
      </c>
      <c r="BD41" s="315">
        <f>IF($BA$36=MAX($BA$36:$BA$39),BD36,IF($BA$37=MAX($BA$36:$BA$39),BD37,IF($BA$38=MAX($BA$36:$BA$39),BD38,IF($BA$39=MAX($BA$36:$BA$39),BD39,BD38))))</f>
        <v>0</v>
      </c>
      <c r="BE41" s="315">
        <f>IF($BA$36=MAX($BA$36:$BA$39),BE36,IF($BA$37=MAX($BA$36:$BA$39),BE37,IF($BA$38=MAX($BA$36:$BA$39),BE38,IF($BA$39=MAX($BA$36:$BA$39),BE39,BE38))))</f>
        <v>9</v>
      </c>
      <c r="BF41" s="319"/>
      <c r="BG41" s="316"/>
      <c r="BH41" s="316"/>
    </row>
    <row r="42" spans="1:61" ht="21" thickTop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20"/>
      <c r="AZ42" s="21"/>
      <c r="BA42" s="368" t="s">
        <v>13</v>
      </c>
      <c r="BB42" s="370" t="s">
        <v>15</v>
      </c>
      <c r="BC42" s="370" t="s">
        <v>16</v>
      </c>
      <c r="BD42" s="370" t="s">
        <v>17</v>
      </c>
      <c r="BE42" s="362" t="str">
        <f>BE32</f>
        <v>Cycles sur route de Reignier</v>
      </c>
      <c r="BF42" s="402" t="s">
        <v>152</v>
      </c>
      <c r="BG42" s="385"/>
      <c r="BH42" s="385"/>
    </row>
    <row r="43" spans="1:61" ht="20.25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20"/>
      <c r="AZ43" s="21"/>
      <c r="BA43" s="369"/>
      <c r="BB43" s="371"/>
      <c r="BC43" s="371"/>
      <c r="BD43" s="371"/>
      <c r="BE43" s="363"/>
      <c r="BF43" s="403"/>
      <c r="BG43" s="386"/>
      <c r="BH43" s="386"/>
      <c r="BI43" s="7"/>
    </row>
    <row r="44" spans="1:61" ht="21" thickBot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124"/>
      <c r="AZ44" s="21"/>
      <c r="BA44" s="369"/>
      <c r="BB44" s="371"/>
      <c r="BC44" s="371"/>
      <c r="BD44" s="371"/>
      <c r="BE44" s="363"/>
      <c r="BF44" s="403"/>
      <c r="BG44" s="386"/>
      <c r="BH44" s="386"/>
      <c r="BI44" s="7"/>
    </row>
    <row r="45" spans="1:61" ht="21" thickTop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364" t="s">
        <v>14</v>
      </c>
      <c r="AZ45" s="365"/>
      <c r="BA45" s="369"/>
      <c r="BB45" s="372"/>
      <c r="BC45" s="372"/>
      <c r="BD45" s="372"/>
      <c r="BE45" s="363"/>
      <c r="BF45" s="404"/>
      <c r="BG45" s="405"/>
      <c r="BH45" s="405"/>
      <c r="BI45" s="7"/>
    </row>
    <row r="46" spans="1:61" ht="35.1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366" t="str">
        <f>AY36</f>
        <v>6:30 à 7:00</v>
      </c>
      <c r="AZ46" s="367"/>
      <c r="BA46" s="47"/>
      <c r="BB46" s="304">
        <f>IF(BB36=0,0,BB36/BA36)</f>
        <v>0</v>
      </c>
      <c r="BC46" s="304">
        <f>IF(BC36=0,0,BC36/BA36)</f>
        <v>0</v>
      </c>
      <c r="BD46" s="304">
        <f>IF(BD36=0,0,BD36/BB36)</f>
        <v>0</v>
      </c>
      <c r="BE46" s="304">
        <f>IF(BE36=0,0,BE36/BA36)</f>
        <v>1</v>
      </c>
      <c r="BF46" s="319"/>
      <c r="BG46" s="316"/>
      <c r="BH46" s="316"/>
      <c r="BI46" s="7"/>
    </row>
    <row r="47" spans="1:61" ht="35.1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366" t="str">
        <f t="shared" ref="AY47:AY49" si="11">AY37</f>
        <v>7:00 à 8:00</v>
      </c>
      <c r="AZ47" s="367"/>
      <c r="BA47" s="47"/>
      <c r="BB47" s="304">
        <f t="shared" ref="BB47:BB49" si="12">IF(BB37=0,0,BB37/BA37)</f>
        <v>0.42857142857142855</v>
      </c>
      <c r="BC47" s="304">
        <f t="shared" ref="BC47:BD50" si="13">IF(BC37=0,0,BC37/BA37)</f>
        <v>0.2857142857142857</v>
      </c>
      <c r="BD47" s="304">
        <f>IF(BD37=0,0,BD37/BB37)</f>
        <v>0</v>
      </c>
      <c r="BE47" s="304">
        <f t="shared" ref="BE47:BE50" si="14">IF(BE37=0,0,BE37/BA37)</f>
        <v>0.7142857142857143</v>
      </c>
      <c r="BF47" s="319"/>
      <c r="BG47" s="316"/>
      <c r="BH47" s="316"/>
      <c r="BI47" s="7"/>
    </row>
    <row r="48" spans="1:61" ht="35.1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366" t="str">
        <f t="shared" si="11"/>
        <v>7:30 à 8:30</v>
      </c>
      <c r="AZ48" s="367"/>
      <c r="BA48" s="47"/>
      <c r="BB48" s="304">
        <f t="shared" si="12"/>
        <v>0.44444444444444442</v>
      </c>
      <c r="BC48" s="304">
        <f t="shared" si="13"/>
        <v>0.22222222222222221</v>
      </c>
      <c r="BD48" s="304">
        <f t="shared" si="13"/>
        <v>0</v>
      </c>
      <c r="BE48" s="304">
        <f t="shared" si="14"/>
        <v>0.88888888888888884</v>
      </c>
      <c r="BF48" s="319"/>
      <c r="BG48" s="316"/>
      <c r="BH48" s="316"/>
      <c r="BI48" s="7"/>
    </row>
    <row r="49" spans="6:60" ht="35.1" customHeight="1">
      <c r="F49" s="7"/>
      <c r="K49" s="7"/>
      <c r="L49" s="7"/>
      <c r="M49" s="7"/>
      <c r="N49" s="7"/>
      <c r="O49" s="7"/>
      <c r="P49" s="7"/>
      <c r="Q49" s="7"/>
      <c r="AA49" s="7"/>
      <c r="AB49" s="7"/>
      <c r="AC49" s="7"/>
      <c r="AM49" s="7"/>
      <c r="AN49" s="7"/>
      <c r="AO49" s="7"/>
      <c r="AY49" s="366" t="str">
        <f t="shared" si="11"/>
        <v>8:00 à 9:00</v>
      </c>
      <c r="AZ49" s="367"/>
      <c r="BA49" s="47"/>
      <c r="BB49" s="304">
        <f t="shared" si="12"/>
        <v>0.6</v>
      </c>
      <c r="BC49" s="304">
        <f t="shared" si="13"/>
        <v>0.1</v>
      </c>
      <c r="BD49" s="304">
        <f t="shared" si="13"/>
        <v>0</v>
      </c>
      <c r="BE49" s="304">
        <f t="shared" si="14"/>
        <v>0.9</v>
      </c>
      <c r="BF49" s="319"/>
      <c r="BG49" s="316"/>
      <c r="BH49" s="316"/>
    </row>
    <row r="50" spans="6:60" ht="35.1" customHeight="1">
      <c r="F50" s="7"/>
      <c r="K50" s="7"/>
      <c r="L50" s="7"/>
      <c r="M50" s="7"/>
      <c r="N50" s="7"/>
      <c r="O50" s="7"/>
      <c r="P50" s="7"/>
      <c r="Q50" s="7"/>
      <c r="AA50" s="7"/>
      <c r="AB50" s="7"/>
      <c r="AC50" s="7"/>
      <c r="AM50" s="7"/>
      <c r="AN50" s="7"/>
      <c r="AO50" s="7"/>
      <c r="AY50" s="408" t="s">
        <v>13</v>
      </c>
      <c r="AZ50" s="409"/>
      <c r="BA50" s="324"/>
      <c r="BB50" s="304">
        <f t="shared" ref="BB50" si="15">IF(BB40=0,0,BB40/BA40)</f>
        <v>0.5</v>
      </c>
      <c r="BC50" s="304">
        <f t="shared" si="13"/>
        <v>0.16666666666666666</v>
      </c>
      <c r="BD50" s="304">
        <f t="shared" si="13"/>
        <v>0</v>
      </c>
      <c r="BE50" s="304">
        <f t="shared" si="14"/>
        <v>0.83333333333333337</v>
      </c>
      <c r="BF50" s="319"/>
      <c r="BG50" s="316"/>
      <c r="BH50" s="316"/>
    </row>
    <row r="51" spans="6:60" ht="35.1" customHeight="1" thickBot="1">
      <c r="AY51" s="360" t="str">
        <f>AY41</f>
        <v>8:00 à 9:00</v>
      </c>
      <c r="AZ51" s="361"/>
      <c r="BA51" s="314"/>
      <c r="BB51" s="313">
        <f>BB41/$BA$41</f>
        <v>0.6</v>
      </c>
      <c r="BC51" s="313">
        <f t="shared" ref="BC51:BE51" si="16">BC41/$BA$41</f>
        <v>0.1</v>
      </c>
      <c r="BD51" s="313">
        <f t="shared" si="16"/>
        <v>0</v>
      </c>
      <c r="BE51" s="313">
        <f t="shared" si="16"/>
        <v>0.9</v>
      </c>
      <c r="BF51" s="319"/>
      <c r="BG51" s="316"/>
      <c r="BH51" s="316"/>
    </row>
    <row r="52" spans="6:60" ht="15" thickTop="1"/>
  </sheetData>
  <mergeCells count="112">
    <mergeCell ref="BA32:BA35"/>
    <mergeCell ref="BB32:BB35"/>
    <mergeCell ref="BC32:BC35"/>
    <mergeCell ref="BD32:BD35"/>
    <mergeCell ref="BE32:BE35"/>
    <mergeCell ref="BF32:BH35"/>
    <mergeCell ref="AY35:AZ35"/>
    <mergeCell ref="A39:B39"/>
    <mergeCell ref="A40:B40"/>
    <mergeCell ref="AY36:AZ36"/>
    <mergeCell ref="AY37:AZ37"/>
    <mergeCell ref="AY38:AZ38"/>
    <mergeCell ref="AY39:AZ39"/>
    <mergeCell ref="AY40:AZ40"/>
    <mergeCell ref="A37:B37"/>
    <mergeCell ref="A38:B38"/>
    <mergeCell ref="AU34:AV34"/>
    <mergeCell ref="AW34:AX34"/>
    <mergeCell ref="A35:B35"/>
    <mergeCell ref="A36:B36"/>
    <mergeCell ref="W34:X34"/>
    <mergeCell ref="Y34:Z34"/>
    <mergeCell ref="AM34:AN34"/>
    <mergeCell ref="AO34:AP34"/>
    <mergeCell ref="C32:N32"/>
    <mergeCell ref="O32:Z32"/>
    <mergeCell ref="AM32:AX32"/>
    <mergeCell ref="AA34:AB34"/>
    <mergeCell ref="AC34:AD34"/>
    <mergeCell ref="AE34:AF34"/>
    <mergeCell ref="AG34:AH34"/>
    <mergeCell ref="AI34:AJ34"/>
    <mergeCell ref="AK34:AL34"/>
    <mergeCell ref="AQ34:AR34"/>
    <mergeCell ref="AS34:AT34"/>
    <mergeCell ref="K34:L34"/>
    <mergeCell ref="M34:N34"/>
    <mergeCell ref="O34:P34"/>
    <mergeCell ref="Q34:R34"/>
    <mergeCell ref="S34:T34"/>
    <mergeCell ref="U34:V34"/>
    <mergeCell ref="C34:D34"/>
    <mergeCell ref="E34:F34"/>
    <mergeCell ref="G34:H34"/>
    <mergeCell ref="I34:J34"/>
    <mergeCell ref="O33:R33"/>
    <mergeCell ref="S33:V33"/>
    <mergeCell ref="W33:Z33"/>
    <mergeCell ref="AM33:AP33"/>
    <mergeCell ref="AA33:AD33"/>
    <mergeCell ref="Q11:R11"/>
    <mergeCell ref="S11:T11"/>
    <mergeCell ref="U11:V11"/>
    <mergeCell ref="W11:X11"/>
    <mergeCell ref="AQ33:AT33"/>
    <mergeCell ref="AU33:AX33"/>
    <mergeCell ref="AE33:AH33"/>
    <mergeCell ref="AI33:AL33"/>
    <mergeCell ref="AW11:AX11"/>
    <mergeCell ref="AA11:AB11"/>
    <mergeCell ref="AC11:AD11"/>
    <mergeCell ref="AE11:AF11"/>
    <mergeCell ref="AG11:AH11"/>
    <mergeCell ref="AI11:AJ11"/>
    <mergeCell ref="AK11:AL11"/>
    <mergeCell ref="AA32:AL32"/>
    <mergeCell ref="C9:N9"/>
    <mergeCell ref="O9:Z9"/>
    <mergeCell ref="AM9:AX9"/>
    <mergeCell ref="C10:F10"/>
    <mergeCell ref="G10:J10"/>
    <mergeCell ref="K10:N10"/>
    <mergeCell ref="O10:R10"/>
    <mergeCell ref="S10:V10"/>
    <mergeCell ref="W10:Z10"/>
    <mergeCell ref="AA9:AL9"/>
    <mergeCell ref="AA10:AD10"/>
    <mergeCell ref="AE10:AH10"/>
    <mergeCell ref="AI10:AL10"/>
    <mergeCell ref="BD42:BD45"/>
    <mergeCell ref="BE42:BE45"/>
    <mergeCell ref="BF42:BH45"/>
    <mergeCell ref="AY45:AZ45"/>
    <mergeCell ref="AY46:AZ46"/>
    <mergeCell ref="AM10:AP10"/>
    <mergeCell ref="AQ10:AT10"/>
    <mergeCell ref="AU10:AX10"/>
    <mergeCell ref="C11:D11"/>
    <mergeCell ref="E11:F11"/>
    <mergeCell ref="G11:H11"/>
    <mergeCell ref="I11:J11"/>
    <mergeCell ref="K11:L11"/>
    <mergeCell ref="C33:F33"/>
    <mergeCell ref="G33:J33"/>
    <mergeCell ref="K33:N33"/>
    <mergeCell ref="Y11:Z11"/>
    <mergeCell ref="AM11:AN11"/>
    <mergeCell ref="AO11:AP11"/>
    <mergeCell ref="AQ11:AR11"/>
    <mergeCell ref="AS11:AT11"/>
    <mergeCell ref="AU11:AV11"/>
    <mergeCell ref="M11:N11"/>
    <mergeCell ref="O11:P11"/>
    <mergeCell ref="AY47:AZ47"/>
    <mergeCell ref="AY48:AZ48"/>
    <mergeCell ref="AY49:AZ49"/>
    <mergeCell ref="AY50:AZ50"/>
    <mergeCell ref="AY51:AZ51"/>
    <mergeCell ref="AY41:AZ41"/>
    <mergeCell ref="BA42:BA45"/>
    <mergeCell ref="BB42:BB45"/>
    <mergeCell ref="BC42:BC45"/>
  </mergeCells>
  <pageMargins left="0.19685039370078741" right="0.19685039370078741" top="0.39370078740157483" bottom="0.39370078740157483" header="0.19685039370078741" footer="0.19685039370078741"/>
  <pageSetup paperSize="9" scale="49" fitToWidth="0" fitToHeight="0" pageOrder="overThenDown" orientation="landscape" useFirstPageNumber="1" horizontalDpi="1200" verticalDpi="1200" r:id="rId1"/>
  <headerFooter alignWithMargins="0"/>
  <rowBreaks count="1" manualBreakCount="1">
    <brk id="2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566B-54DE-450F-A479-94B7F884E473}">
  <sheetPr>
    <tabColor rgb="FF7030A0"/>
  </sheetPr>
  <dimension ref="A1:AT51"/>
  <sheetViews>
    <sheetView showZeros="0" topLeftCell="A4" zoomScale="50" zoomScaleNormal="50" workbookViewId="0">
      <selection activeCell="AO17" sqref="AO17"/>
    </sheetView>
  </sheetViews>
  <sheetFormatPr baseColWidth="10" defaultRowHeight="14.25"/>
  <cols>
    <col min="1" max="1" width="4.5" style="8" customWidth="1"/>
    <col min="2" max="2" width="11" style="8"/>
    <col min="3" max="38" width="6.125" style="8" customWidth="1"/>
    <col min="39" max="45" width="25.625" style="8" customWidth="1"/>
    <col min="46" max="46" width="10.625" style="8" customWidth="1"/>
    <col min="47" max="16384" width="11" style="8"/>
  </cols>
  <sheetData>
    <row r="1" spans="1:45" ht="52.5" customHeight="1" thickBot="1">
      <c r="A1" s="56"/>
      <c r="B1" s="84" t="s">
        <v>161</v>
      </c>
      <c r="C1" s="49"/>
      <c r="D1" s="49"/>
      <c r="E1" s="49"/>
      <c r="F1" s="57"/>
      <c r="G1" s="49"/>
      <c r="H1" s="49"/>
      <c r="I1" s="49"/>
      <c r="J1" s="49"/>
      <c r="K1" s="57"/>
      <c r="L1" s="57"/>
      <c r="M1" s="57"/>
      <c r="N1" s="57"/>
      <c r="Q1" s="49"/>
      <c r="R1" s="49"/>
      <c r="S1" s="58" t="s">
        <v>1</v>
      </c>
      <c r="T1" s="59" t="s">
        <v>25</v>
      </c>
      <c r="V1" s="49"/>
      <c r="W1" s="49"/>
      <c r="X1" s="49"/>
      <c r="Y1" s="49"/>
      <c r="Z1" s="49"/>
      <c r="AA1" s="49"/>
      <c r="AB1" s="60"/>
      <c r="AC1" s="60"/>
      <c r="AD1" s="60"/>
      <c r="AE1" s="49"/>
      <c r="AF1" s="49"/>
      <c r="AG1" s="49"/>
      <c r="AH1" s="49"/>
      <c r="AI1" s="60"/>
      <c r="AJ1" s="60"/>
      <c r="AK1" s="60"/>
      <c r="AL1" s="61"/>
      <c r="AM1" s="53"/>
      <c r="AN1" s="53"/>
      <c r="AO1" s="53"/>
      <c r="AP1" s="53"/>
      <c r="AQ1" s="53"/>
      <c r="AR1" s="53"/>
      <c r="AS1" s="53"/>
    </row>
    <row r="2" spans="1:45" ht="52.5" customHeight="1" thickBot="1">
      <c r="A2" s="20" t="s">
        <v>2</v>
      </c>
      <c r="B2" s="21"/>
      <c r="C2" s="21"/>
      <c r="D2" s="21"/>
      <c r="E2" s="21"/>
      <c r="F2" s="94"/>
      <c r="G2" s="24"/>
      <c r="H2" s="24"/>
      <c r="I2" s="24"/>
      <c r="J2" s="24"/>
      <c r="K2" s="21"/>
      <c r="L2" s="24" t="s">
        <v>68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1"/>
      <c r="AC2" s="21"/>
      <c r="AD2" s="21"/>
      <c r="AE2" s="24"/>
      <c r="AF2" s="24"/>
      <c r="AG2" s="24"/>
      <c r="AH2" s="24"/>
      <c r="AI2" s="21"/>
      <c r="AJ2" s="21"/>
      <c r="AK2" s="21"/>
      <c r="AL2" s="94"/>
      <c r="AM2" s="94"/>
      <c r="AN2" s="94"/>
      <c r="AO2" s="94"/>
      <c r="AP2" s="94"/>
      <c r="AQ2" s="94"/>
      <c r="AR2" s="94"/>
      <c r="AS2" s="94"/>
    </row>
    <row r="3" spans="1:45" ht="52.5" customHeight="1" thickBot="1">
      <c r="A3" s="20" t="s">
        <v>3</v>
      </c>
      <c r="B3" s="21"/>
      <c r="C3" s="22"/>
      <c r="D3" s="23" t="s">
        <v>69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1"/>
      <c r="AC3" s="21"/>
      <c r="AD3" s="21"/>
      <c r="AE3" s="23"/>
      <c r="AF3" s="23"/>
      <c r="AG3" s="23"/>
      <c r="AH3" s="23"/>
      <c r="AI3" s="21"/>
      <c r="AJ3" s="21"/>
      <c r="AK3" s="21"/>
      <c r="AL3" s="94"/>
      <c r="AM3" s="94"/>
      <c r="AN3" s="94"/>
      <c r="AO3" s="94"/>
      <c r="AP3" s="94"/>
      <c r="AQ3" s="94"/>
      <c r="AR3" s="94"/>
      <c r="AS3" s="94"/>
    </row>
    <row r="4" spans="1:45" ht="166.5" customHeight="1" thickBot="1">
      <c r="A4" s="20" t="s">
        <v>18</v>
      </c>
      <c r="B4" s="21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1"/>
      <c r="AC4" s="21"/>
      <c r="AD4" s="21"/>
      <c r="AE4" s="23"/>
      <c r="AF4" s="23"/>
      <c r="AG4" s="23"/>
      <c r="AH4" s="23"/>
      <c r="AI4" s="21"/>
      <c r="AJ4" s="21"/>
      <c r="AK4" s="21"/>
      <c r="AL4" s="94"/>
      <c r="AM4" s="94"/>
      <c r="AN4" s="94"/>
      <c r="AO4" s="94"/>
      <c r="AP4" s="94"/>
      <c r="AQ4" s="94"/>
      <c r="AR4" s="94"/>
      <c r="AS4" s="94"/>
    </row>
    <row r="5" spans="1:45" s="98" customFormat="1" ht="32.1" customHeight="1">
      <c r="A5" s="95" t="s">
        <v>50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7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7"/>
      <c r="AM5" s="97"/>
      <c r="AN5" s="97"/>
      <c r="AO5" s="97"/>
      <c r="AP5" s="97"/>
      <c r="AQ5" s="97"/>
      <c r="AR5" s="97"/>
      <c r="AS5" s="97"/>
    </row>
    <row r="6" spans="1:45" s="98" customFormat="1" ht="32.1" customHeight="1">
      <c r="A6" s="95" t="s">
        <v>70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7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7"/>
      <c r="AM6" s="97"/>
      <c r="AN6" s="97"/>
      <c r="AO6" s="97"/>
      <c r="AP6" s="97"/>
      <c r="AQ6" s="97"/>
      <c r="AR6" s="97"/>
      <c r="AS6" s="97"/>
    </row>
    <row r="7" spans="1:45" s="98" customFormat="1" ht="32.1" customHeight="1">
      <c r="A7" s="95" t="s">
        <v>56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7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7"/>
      <c r="AM7" s="97"/>
      <c r="AN7" s="97"/>
      <c r="AO7" s="97"/>
      <c r="AP7" s="97"/>
      <c r="AQ7" s="97"/>
      <c r="AR7" s="97"/>
      <c r="AS7" s="97"/>
    </row>
    <row r="8" spans="1:45" s="98" customFormat="1" ht="32.1" customHeight="1" thickBot="1">
      <c r="A8" s="95" t="s">
        <v>52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7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7"/>
      <c r="AM8" s="97"/>
      <c r="AN8" s="97"/>
      <c r="AO8" s="97"/>
      <c r="AP8" s="97"/>
      <c r="AQ8" s="97"/>
      <c r="AR8" s="97"/>
      <c r="AS8" s="97"/>
    </row>
    <row r="9" spans="1:45" ht="32.25" customHeight="1" thickTop="1">
      <c r="A9" s="20"/>
      <c r="B9" s="21"/>
      <c r="C9" s="399" t="s">
        <v>71</v>
      </c>
      <c r="D9" s="400"/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 t="s">
        <v>63</v>
      </c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1"/>
      <c r="AA9" s="400" t="s">
        <v>72</v>
      </c>
      <c r="AB9" s="400"/>
      <c r="AC9" s="400"/>
      <c r="AD9" s="400"/>
      <c r="AE9" s="400"/>
      <c r="AF9" s="400"/>
      <c r="AG9" s="400"/>
      <c r="AH9" s="400"/>
      <c r="AI9" s="400"/>
      <c r="AJ9" s="400"/>
      <c r="AK9" s="400"/>
      <c r="AL9" s="401"/>
      <c r="AM9" s="320"/>
      <c r="AN9" s="320"/>
      <c r="AO9" s="320"/>
      <c r="AP9" s="320"/>
      <c r="AQ9" s="320"/>
      <c r="AR9" s="320"/>
      <c r="AS9" s="320"/>
    </row>
    <row r="10" spans="1:45" ht="22.7" customHeight="1">
      <c r="A10" s="20"/>
      <c r="B10" s="21"/>
      <c r="C10" s="398" t="s">
        <v>34</v>
      </c>
      <c r="D10" s="395"/>
      <c r="E10" s="395"/>
      <c r="F10" s="395"/>
      <c r="G10" s="398" t="s">
        <v>73</v>
      </c>
      <c r="H10" s="395"/>
      <c r="I10" s="395"/>
      <c r="J10" s="395"/>
      <c r="K10" s="398" t="s">
        <v>74</v>
      </c>
      <c r="L10" s="395"/>
      <c r="M10" s="395"/>
      <c r="N10" s="395"/>
      <c r="O10" s="398" t="s">
        <v>73</v>
      </c>
      <c r="P10" s="395"/>
      <c r="Q10" s="395"/>
      <c r="R10" s="395"/>
      <c r="S10" s="398" t="s">
        <v>75</v>
      </c>
      <c r="T10" s="395"/>
      <c r="U10" s="395"/>
      <c r="V10" s="395"/>
      <c r="W10" s="398" t="s">
        <v>74</v>
      </c>
      <c r="X10" s="395"/>
      <c r="Y10" s="395"/>
      <c r="Z10" s="395"/>
      <c r="AA10" s="398" t="s">
        <v>75</v>
      </c>
      <c r="AB10" s="395"/>
      <c r="AC10" s="395"/>
      <c r="AD10" s="395"/>
      <c r="AE10" s="398" t="s">
        <v>73</v>
      </c>
      <c r="AF10" s="395"/>
      <c r="AG10" s="395"/>
      <c r="AH10" s="395"/>
      <c r="AI10" s="398" t="s">
        <v>34</v>
      </c>
      <c r="AJ10" s="395"/>
      <c r="AK10" s="395"/>
      <c r="AL10" s="395"/>
      <c r="AM10" s="321"/>
      <c r="AN10" s="321"/>
      <c r="AO10" s="321"/>
      <c r="AP10" s="321"/>
      <c r="AQ10" s="321"/>
      <c r="AR10" s="321"/>
      <c r="AS10" s="321"/>
    </row>
    <row r="11" spans="1:45" ht="18.600000000000001" customHeight="1" thickBot="1">
      <c r="A11" s="20"/>
      <c r="B11" s="21"/>
      <c r="C11" s="397" t="s">
        <v>5</v>
      </c>
      <c r="D11" s="390"/>
      <c r="E11" s="387" t="s">
        <v>6</v>
      </c>
      <c r="F11" s="396"/>
      <c r="G11" s="389" t="s">
        <v>5</v>
      </c>
      <c r="H11" s="390"/>
      <c r="I11" s="387" t="s">
        <v>6</v>
      </c>
      <c r="J11" s="388"/>
      <c r="K11" s="389" t="s">
        <v>5</v>
      </c>
      <c r="L11" s="390"/>
      <c r="M11" s="387" t="s">
        <v>6</v>
      </c>
      <c r="N11" s="396"/>
      <c r="O11" s="389" t="s">
        <v>5</v>
      </c>
      <c r="P11" s="390"/>
      <c r="Q11" s="387" t="s">
        <v>6</v>
      </c>
      <c r="R11" s="396"/>
      <c r="S11" s="389" t="s">
        <v>5</v>
      </c>
      <c r="T11" s="390"/>
      <c r="U11" s="387" t="s">
        <v>6</v>
      </c>
      <c r="V11" s="388"/>
      <c r="W11" s="389" t="s">
        <v>5</v>
      </c>
      <c r="X11" s="390"/>
      <c r="Y11" s="387" t="s">
        <v>6</v>
      </c>
      <c r="Z11" s="388"/>
      <c r="AA11" s="389" t="s">
        <v>5</v>
      </c>
      <c r="AB11" s="390"/>
      <c r="AC11" s="387" t="s">
        <v>6</v>
      </c>
      <c r="AD11" s="396"/>
      <c r="AE11" s="389" t="s">
        <v>5</v>
      </c>
      <c r="AF11" s="390"/>
      <c r="AG11" s="387" t="s">
        <v>6</v>
      </c>
      <c r="AH11" s="388"/>
      <c r="AI11" s="389" t="s">
        <v>5</v>
      </c>
      <c r="AJ11" s="390"/>
      <c r="AK11" s="387" t="s">
        <v>6</v>
      </c>
      <c r="AL11" s="388"/>
      <c r="AM11" s="322"/>
      <c r="AN11" s="322"/>
      <c r="AO11" s="322"/>
      <c r="AP11" s="322"/>
      <c r="AQ11" s="322"/>
      <c r="AR11" s="322"/>
      <c r="AS11" s="322"/>
    </row>
    <row r="12" spans="1:45" ht="21" thickTop="1">
      <c r="A12" s="11" t="s">
        <v>7</v>
      </c>
      <c r="B12" s="12" t="s">
        <v>8</v>
      </c>
      <c r="C12" s="15" t="s">
        <v>9</v>
      </c>
      <c r="D12" s="4" t="s">
        <v>10</v>
      </c>
      <c r="E12" s="5" t="s">
        <v>9</v>
      </c>
      <c r="F12" s="6" t="s">
        <v>10</v>
      </c>
      <c r="G12" s="3" t="s">
        <v>9</v>
      </c>
      <c r="H12" s="4" t="s">
        <v>10</v>
      </c>
      <c r="I12" s="5" t="s">
        <v>9</v>
      </c>
      <c r="J12" s="16" t="s">
        <v>10</v>
      </c>
      <c r="K12" s="3" t="s">
        <v>9</v>
      </c>
      <c r="L12" s="4" t="s">
        <v>10</v>
      </c>
      <c r="M12" s="5" t="s">
        <v>9</v>
      </c>
      <c r="N12" s="6" t="s">
        <v>10</v>
      </c>
      <c r="O12" s="3" t="s">
        <v>9</v>
      </c>
      <c r="P12" s="4" t="s">
        <v>10</v>
      </c>
      <c r="Q12" s="5" t="s">
        <v>9</v>
      </c>
      <c r="R12" s="6" t="s">
        <v>10</v>
      </c>
      <c r="S12" s="3" t="s">
        <v>9</v>
      </c>
      <c r="T12" s="4" t="s">
        <v>10</v>
      </c>
      <c r="U12" s="5" t="s">
        <v>9</v>
      </c>
      <c r="V12" s="16" t="s">
        <v>10</v>
      </c>
      <c r="W12" s="3" t="s">
        <v>9</v>
      </c>
      <c r="X12" s="4" t="s">
        <v>10</v>
      </c>
      <c r="Y12" s="5" t="s">
        <v>9</v>
      </c>
      <c r="Z12" s="16" t="s">
        <v>10</v>
      </c>
      <c r="AA12" s="3" t="s">
        <v>9</v>
      </c>
      <c r="AB12" s="4" t="s">
        <v>10</v>
      </c>
      <c r="AC12" s="5" t="s">
        <v>9</v>
      </c>
      <c r="AD12" s="6" t="s">
        <v>10</v>
      </c>
      <c r="AE12" s="3" t="s">
        <v>9</v>
      </c>
      <c r="AF12" s="4" t="s">
        <v>10</v>
      </c>
      <c r="AG12" s="5" t="s">
        <v>9</v>
      </c>
      <c r="AH12" s="16" t="s">
        <v>10</v>
      </c>
      <c r="AI12" s="3" t="s">
        <v>9</v>
      </c>
      <c r="AJ12" s="4" t="s">
        <v>10</v>
      </c>
      <c r="AK12" s="5" t="s">
        <v>9</v>
      </c>
      <c r="AL12" s="16" t="s">
        <v>10</v>
      </c>
      <c r="AM12" s="55"/>
      <c r="AN12" s="55"/>
      <c r="AO12" s="55"/>
      <c r="AP12" s="55"/>
      <c r="AQ12" s="55"/>
      <c r="AR12" s="55"/>
      <c r="AS12" s="55"/>
    </row>
    <row r="13" spans="1:45" ht="54.95" customHeight="1">
      <c r="A13" s="92">
        <v>6</v>
      </c>
      <c r="B13" s="14" t="s">
        <v>20</v>
      </c>
      <c r="C13" s="64"/>
      <c r="D13" s="65"/>
      <c r="E13" s="66"/>
      <c r="F13" s="67"/>
      <c r="G13" s="68"/>
      <c r="H13" s="65"/>
      <c r="I13" s="66"/>
      <c r="J13" s="69"/>
      <c r="K13" s="68"/>
      <c r="L13" s="65"/>
      <c r="M13" s="66"/>
      <c r="N13" s="67"/>
      <c r="O13" s="68"/>
      <c r="P13" s="65"/>
      <c r="Q13" s="66"/>
      <c r="R13" s="67"/>
      <c r="S13" s="68"/>
      <c r="T13" s="65"/>
      <c r="U13" s="66"/>
      <c r="V13" s="69"/>
      <c r="W13" s="68"/>
      <c r="X13" s="65"/>
      <c r="Y13" s="66"/>
      <c r="Z13" s="69"/>
      <c r="AA13" s="68"/>
      <c r="AB13" s="65"/>
      <c r="AC13" s="66"/>
      <c r="AD13" s="67"/>
      <c r="AE13" s="68"/>
      <c r="AF13" s="65"/>
      <c r="AG13" s="66"/>
      <c r="AH13" s="69"/>
      <c r="AI13" s="68"/>
      <c r="AJ13" s="65"/>
      <c r="AK13" s="66"/>
      <c r="AL13" s="69"/>
      <c r="AM13" s="17"/>
      <c r="AN13" s="17"/>
      <c r="AO13" s="17"/>
      <c r="AP13" s="17"/>
      <c r="AQ13" s="17"/>
      <c r="AR13" s="17"/>
      <c r="AS13" s="17"/>
    </row>
    <row r="14" spans="1:45" ht="54.95" customHeight="1">
      <c r="A14" s="13"/>
      <c r="B14" s="14" t="s">
        <v>24</v>
      </c>
      <c r="C14" s="70"/>
      <c r="D14" s="71">
        <v>1</v>
      </c>
      <c r="E14" s="72"/>
      <c r="F14" s="73"/>
      <c r="G14" s="74"/>
      <c r="H14" s="71"/>
      <c r="I14" s="72"/>
      <c r="J14" s="75"/>
      <c r="K14" s="74"/>
      <c r="L14" s="71"/>
      <c r="M14" s="72"/>
      <c r="N14" s="73"/>
      <c r="O14" s="74"/>
      <c r="P14" s="71"/>
      <c r="Q14" s="72"/>
      <c r="R14" s="73"/>
      <c r="S14" s="74"/>
      <c r="T14" s="71"/>
      <c r="U14" s="72"/>
      <c r="V14" s="75"/>
      <c r="W14" s="74"/>
      <c r="X14" s="71"/>
      <c r="Y14" s="72"/>
      <c r="Z14" s="75"/>
      <c r="AA14" s="74"/>
      <c r="AB14" s="71"/>
      <c r="AC14" s="72"/>
      <c r="AD14" s="73"/>
      <c r="AE14" s="74"/>
      <c r="AF14" s="71"/>
      <c r="AG14" s="72"/>
      <c r="AH14" s="75"/>
      <c r="AI14" s="74"/>
      <c r="AJ14" s="71"/>
      <c r="AK14" s="72"/>
      <c r="AL14" s="75"/>
      <c r="AM14" s="17"/>
      <c r="AN14" s="17"/>
      <c r="AO14" s="17"/>
      <c r="AP14" s="17"/>
      <c r="AQ14" s="17"/>
      <c r="AR14" s="17"/>
      <c r="AS14" s="17"/>
    </row>
    <row r="15" spans="1:45" ht="54.95" customHeight="1">
      <c r="A15" s="92">
        <v>7</v>
      </c>
      <c r="B15" s="14" t="s">
        <v>21</v>
      </c>
      <c r="C15" s="64"/>
      <c r="D15" s="65"/>
      <c r="E15" s="66"/>
      <c r="F15" s="67"/>
      <c r="G15" s="68"/>
      <c r="H15" s="65"/>
      <c r="I15" s="66"/>
      <c r="J15" s="69"/>
      <c r="K15" s="68"/>
      <c r="L15" s="65"/>
      <c r="M15" s="66"/>
      <c r="N15" s="67"/>
      <c r="O15" s="68"/>
      <c r="P15" s="65"/>
      <c r="Q15" s="66"/>
      <c r="R15" s="67"/>
      <c r="S15" s="68"/>
      <c r="T15" s="65"/>
      <c r="U15" s="66"/>
      <c r="V15" s="69"/>
      <c r="W15" s="68"/>
      <c r="X15" s="65"/>
      <c r="Y15" s="66"/>
      <c r="Z15" s="69"/>
      <c r="AA15" s="68"/>
      <c r="AB15" s="65"/>
      <c r="AC15" s="66"/>
      <c r="AD15" s="67"/>
      <c r="AE15" s="68"/>
      <c r="AF15" s="65"/>
      <c r="AG15" s="66"/>
      <c r="AH15" s="69"/>
      <c r="AI15" s="68"/>
      <c r="AJ15" s="65"/>
      <c r="AK15" s="66"/>
      <c r="AL15" s="69"/>
      <c r="AM15" s="17"/>
      <c r="AN15" s="17"/>
      <c r="AO15" s="17"/>
      <c r="AP15" s="17"/>
      <c r="AQ15" s="17"/>
      <c r="AR15" s="17"/>
      <c r="AS15" s="17"/>
    </row>
    <row r="16" spans="1:45" ht="54.95" customHeight="1">
      <c r="A16" s="13"/>
      <c r="B16" s="14" t="s">
        <v>22</v>
      </c>
      <c r="C16" s="76"/>
      <c r="D16" s="77"/>
      <c r="E16" s="78"/>
      <c r="F16" s="79"/>
      <c r="G16" s="80"/>
      <c r="H16" s="77"/>
      <c r="I16" s="78"/>
      <c r="J16" s="81"/>
      <c r="K16" s="80"/>
      <c r="L16" s="77"/>
      <c r="M16" s="78"/>
      <c r="N16" s="79"/>
      <c r="O16" s="80"/>
      <c r="P16" s="77"/>
      <c r="Q16" s="78"/>
      <c r="R16" s="79"/>
      <c r="S16" s="80"/>
      <c r="T16" s="77">
        <v>1</v>
      </c>
      <c r="U16" s="78"/>
      <c r="V16" s="81"/>
      <c r="W16" s="80"/>
      <c r="X16" s="77"/>
      <c r="Y16" s="78"/>
      <c r="Z16" s="81"/>
      <c r="AA16" s="80"/>
      <c r="AB16" s="77"/>
      <c r="AC16" s="78"/>
      <c r="AD16" s="79"/>
      <c r="AE16" s="80"/>
      <c r="AF16" s="77"/>
      <c r="AG16" s="78"/>
      <c r="AH16" s="81"/>
      <c r="AI16" s="80"/>
      <c r="AJ16" s="77"/>
      <c r="AK16" s="78"/>
      <c r="AL16" s="81"/>
      <c r="AM16" s="17"/>
      <c r="AN16" s="17"/>
      <c r="AO16" s="17"/>
      <c r="AP16" s="17"/>
      <c r="AQ16" s="17"/>
      <c r="AR16" s="17"/>
      <c r="AS16" s="17"/>
    </row>
    <row r="17" spans="1:45" ht="54.95" customHeight="1">
      <c r="A17" s="13"/>
      <c r="B17" s="14" t="s">
        <v>20</v>
      </c>
      <c r="C17" s="76"/>
      <c r="D17" s="77"/>
      <c r="E17" s="78"/>
      <c r="F17" s="79"/>
      <c r="G17" s="80"/>
      <c r="H17" s="77"/>
      <c r="I17" s="78"/>
      <c r="J17" s="81"/>
      <c r="K17" s="80"/>
      <c r="L17" s="77"/>
      <c r="M17" s="78"/>
      <c r="N17" s="79"/>
      <c r="O17" s="80"/>
      <c r="P17" s="77"/>
      <c r="Q17" s="78"/>
      <c r="R17" s="79"/>
      <c r="S17" s="80"/>
      <c r="T17" s="77"/>
      <c r="U17" s="78"/>
      <c r="V17" s="81"/>
      <c r="W17" s="80"/>
      <c r="X17" s="77"/>
      <c r="Y17" s="78"/>
      <c r="Z17" s="81"/>
      <c r="AA17" s="80"/>
      <c r="AB17" s="77"/>
      <c r="AC17" s="78"/>
      <c r="AD17" s="79"/>
      <c r="AE17" s="80"/>
      <c r="AF17" s="77"/>
      <c r="AG17" s="78"/>
      <c r="AH17" s="81"/>
      <c r="AI17" s="80"/>
      <c r="AJ17" s="77"/>
      <c r="AK17" s="78"/>
      <c r="AL17" s="81"/>
      <c r="AM17" s="17"/>
      <c r="AN17" s="17"/>
      <c r="AO17" s="17"/>
      <c r="AP17" s="17"/>
      <c r="AQ17" s="17"/>
      <c r="AR17" s="17"/>
      <c r="AS17" s="17"/>
    </row>
    <row r="18" spans="1:45" ht="54.95" customHeight="1">
      <c r="A18" s="13"/>
      <c r="B18" s="14" t="s">
        <v>23</v>
      </c>
      <c r="C18" s="70"/>
      <c r="D18" s="71">
        <v>1</v>
      </c>
      <c r="E18" s="72"/>
      <c r="F18" s="73">
        <v>1</v>
      </c>
      <c r="G18" s="74"/>
      <c r="H18" s="71"/>
      <c r="I18" s="72"/>
      <c r="J18" s="75"/>
      <c r="K18" s="74"/>
      <c r="L18" s="71"/>
      <c r="M18" s="72"/>
      <c r="N18" s="73"/>
      <c r="O18" s="74"/>
      <c r="P18" s="71"/>
      <c r="Q18" s="72"/>
      <c r="R18" s="73"/>
      <c r="S18" s="74"/>
      <c r="T18" s="71">
        <v>1</v>
      </c>
      <c r="U18" s="72"/>
      <c r="V18" s="75"/>
      <c r="W18" s="74"/>
      <c r="X18" s="71"/>
      <c r="Y18" s="72"/>
      <c r="Z18" s="75"/>
      <c r="AA18" s="74"/>
      <c r="AB18" s="71"/>
      <c r="AC18" s="72"/>
      <c r="AD18" s="73"/>
      <c r="AE18" s="74"/>
      <c r="AF18" s="71"/>
      <c r="AG18" s="72"/>
      <c r="AH18" s="75"/>
      <c r="AI18" s="74"/>
      <c r="AJ18" s="71"/>
      <c r="AK18" s="72"/>
      <c r="AL18" s="75"/>
      <c r="AM18" s="17"/>
      <c r="AN18" s="17"/>
      <c r="AO18" s="17"/>
      <c r="AP18" s="17"/>
      <c r="AQ18" s="17"/>
      <c r="AR18" s="17"/>
      <c r="AS18" s="17"/>
    </row>
    <row r="19" spans="1:45" ht="54.95" customHeight="1">
      <c r="A19" s="92">
        <v>8</v>
      </c>
      <c r="B19" s="14" t="s">
        <v>21</v>
      </c>
      <c r="C19" s="64"/>
      <c r="D19" s="65"/>
      <c r="E19" s="66"/>
      <c r="F19" s="67"/>
      <c r="G19" s="68"/>
      <c r="H19" s="65"/>
      <c r="I19" s="66"/>
      <c r="J19" s="69"/>
      <c r="K19" s="68"/>
      <c r="L19" s="65"/>
      <c r="M19" s="66"/>
      <c r="N19" s="67"/>
      <c r="O19" s="68"/>
      <c r="P19" s="65"/>
      <c r="Q19" s="66"/>
      <c r="R19" s="67"/>
      <c r="S19" s="68"/>
      <c r="T19" s="65"/>
      <c r="U19" s="66"/>
      <c r="V19" s="69"/>
      <c r="W19" s="68"/>
      <c r="X19" s="65"/>
      <c r="Y19" s="66"/>
      <c r="Z19" s="69"/>
      <c r="AA19" s="68"/>
      <c r="AB19" s="65"/>
      <c r="AC19" s="66"/>
      <c r="AD19" s="67"/>
      <c r="AE19" s="68"/>
      <c r="AF19" s="65"/>
      <c r="AG19" s="66"/>
      <c r="AH19" s="69"/>
      <c r="AI19" s="68"/>
      <c r="AJ19" s="65"/>
      <c r="AK19" s="66"/>
      <c r="AL19" s="69"/>
      <c r="AM19" s="17"/>
      <c r="AN19" s="17"/>
      <c r="AO19" s="17"/>
      <c r="AP19" s="17"/>
      <c r="AQ19" s="17"/>
      <c r="AR19" s="17"/>
      <c r="AS19" s="17"/>
    </row>
    <row r="20" spans="1:45" ht="54.95" customHeight="1">
      <c r="A20" s="13"/>
      <c r="B20" s="14" t="s">
        <v>22</v>
      </c>
      <c r="C20" s="76"/>
      <c r="D20" s="77">
        <v>1</v>
      </c>
      <c r="E20" s="78"/>
      <c r="F20" s="79"/>
      <c r="G20" s="80"/>
      <c r="H20" s="77"/>
      <c r="I20" s="78"/>
      <c r="J20" s="81"/>
      <c r="K20" s="80"/>
      <c r="L20" s="77">
        <v>1</v>
      </c>
      <c r="M20" s="78"/>
      <c r="N20" s="79"/>
      <c r="O20" s="80"/>
      <c r="P20" s="77"/>
      <c r="Q20" s="78"/>
      <c r="R20" s="79"/>
      <c r="S20" s="80"/>
      <c r="T20" s="77">
        <v>1</v>
      </c>
      <c r="U20" s="78"/>
      <c r="V20" s="81"/>
      <c r="W20" s="80"/>
      <c r="X20" s="77"/>
      <c r="Y20" s="78"/>
      <c r="Z20" s="81"/>
      <c r="AA20" s="80"/>
      <c r="AB20" s="77"/>
      <c r="AC20" s="78"/>
      <c r="AD20" s="79"/>
      <c r="AE20" s="80"/>
      <c r="AF20" s="77">
        <v>1</v>
      </c>
      <c r="AG20" s="78"/>
      <c r="AH20" s="81"/>
      <c r="AI20" s="80"/>
      <c r="AJ20" s="77"/>
      <c r="AK20" s="78"/>
      <c r="AL20" s="81"/>
      <c r="AM20" s="17"/>
      <c r="AN20" s="17"/>
      <c r="AO20" s="17"/>
      <c r="AP20" s="17"/>
      <c r="AQ20" s="17"/>
      <c r="AR20" s="17"/>
      <c r="AS20" s="17"/>
    </row>
    <row r="21" spans="1:45" ht="54.95" customHeight="1">
      <c r="A21" s="13"/>
      <c r="B21" s="14" t="s">
        <v>20</v>
      </c>
      <c r="C21" s="76"/>
      <c r="D21" s="77"/>
      <c r="E21" s="78"/>
      <c r="F21" s="79"/>
      <c r="G21" s="80"/>
      <c r="H21" s="77"/>
      <c r="I21" s="78"/>
      <c r="J21" s="81"/>
      <c r="K21" s="80"/>
      <c r="L21" s="77"/>
      <c r="M21" s="78"/>
      <c r="N21" s="79"/>
      <c r="O21" s="80"/>
      <c r="P21" s="77"/>
      <c r="Q21" s="78"/>
      <c r="R21" s="79"/>
      <c r="S21" s="80"/>
      <c r="T21" s="77">
        <v>1</v>
      </c>
      <c r="U21" s="78"/>
      <c r="V21" s="81"/>
      <c r="W21" s="80"/>
      <c r="X21" s="77"/>
      <c r="Y21" s="78"/>
      <c r="Z21" s="81"/>
      <c r="AA21" s="80"/>
      <c r="AB21" s="77"/>
      <c r="AC21" s="78"/>
      <c r="AD21" s="79"/>
      <c r="AE21" s="80"/>
      <c r="AF21" s="77"/>
      <c r="AG21" s="78"/>
      <c r="AH21" s="81"/>
      <c r="AI21" s="80"/>
      <c r="AJ21" s="77">
        <v>1</v>
      </c>
      <c r="AK21" s="78"/>
      <c r="AL21" s="81"/>
      <c r="AM21" s="17"/>
      <c r="AN21" s="17"/>
      <c r="AO21" s="17"/>
      <c r="AP21" s="17"/>
      <c r="AQ21" s="17"/>
      <c r="AR21" s="17"/>
      <c r="AS21" s="17"/>
    </row>
    <row r="22" spans="1:45" ht="54.95" customHeight="1" thickBot="1">
      <c r="A22" s="93">
        <v>9</v>
      </c>
      <c r="B22" s="85" t="s">
        <v>23</v>
      </c>
      <c r="C22" s="86"/>
      <c r="D22" s="87">
        <v>1</v>
      </c>
      <c r="E22" s="88"/>
      <c r="F22" s="89"/>
      <c r="G22" s="90"/>
      <c r="H22" s="87"/>
      <c r="I22" s="88"/>
      <c r="J22" s="91"/>
      <c r="K22" s="90"/>
      <c r="L22" s="87"/>
      <c r="M22" s="88"/>
      <c r="N22" s="89"/>
      <c r="O22" s="90"/>
      <c r="P22" s="87"/>
      <c r="Q22" s="88"/>
      <c r="R22" s="89"/>
      <c r="S22" s="90"/>
      <c r="T22" s="87"/>
      <c r="U22" s="88"/>
      <c r="V22" s="91"/>
      <c r="W22" s="90"/>
      <c r="X22" s="87"/>
      <c r="Y22" s="88"/>
      <c r="Z22" s="91"/>
      <c r="AA22" s="90"/>
      <c r="AB22" s="87"/>
      <c r="AC22" s="88"/>
      <c r="AD22" s="89"/>
      <c r="AE22" s="90"/>
      <c r="AF22" s="87"/>
      <c r="AG22" s="88"/>
      <c r="AH22" s="91"/>
      <c r="AI22" s="90">
        <v>1</v>
      </c>
      <c r="AJ22" s="87">
        <v>1</v>
      </c>
      <c r="AK22" s="88"/>
      <c r="AL22" s="91"/>
      <c r="AM22" s="17"/>
      <c r="AN22" s="17"/>
      <c r="AO22" s="17"/>
      <c r="AP22" s="17"/>
      <c r="AQ22" s="17"/>
      <c r="AR22" s="17"/>
      <c r="AS22" s="17"/>
    </row>
    <row r="23" spans="1:45" ht="54.95" customHeight="1" thickTop="1" thickBot="1">
      <c r="A23" s="100"/>
      <c r="B23" s="100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</row>
    <row r="24" spans="1:45" ht="52.5" customHeight="1" thickBot="1">
      <c r="A24" s="56" t="s">
        <v>0</v>
      </c>
      <c r="B24" s="84" t="str">
        <f>B1</f>
        <v>Arenthon La Papeterie RD19/TNA</v>
      </c>
      <c r="C24" s="49"/>
      <c r="D24" s="49"/>
      <c r="E24" s="49"/>
      <c r="F24" s="57"/>
      <c r="G24" s="49"/>
      <c r="H24" s="49"/>
      <c r="I24" s="49"/>
      <c r="J24" s="49"/>
      <c r="K24" s="57"/>
      <c r="L24" s="57"/>
      <c r="M24" s="57"/>
      <c r="N24" s="57"/>
      <c r="Q24" s="49"/>
      <c r="R24" s="49"/>
      <c r="S24" s="58" t="s">
        <v>1</v>
      </c>
      <c r="T24" s="59" t="str">
        <f>T1</f>
        <v>16 juin 2020</v>
      </c>
      <c r="U24" s="49"/>
      <c r="V24" s="49"/>
      <c r="W24" s="49"/>
      <c r="X24" s="49"/>
      <c r="Y24" s="49"/>
      <c r="Z24" s="49"/>
      <c r="AA24" s="49"/>
      <c r="AB24" s="60"/>
      <c r="AC24" s="60"/>
      <c r="AD24" s="60"/>
      <c r="AE24" s="49"/>
      <c r="AF24" s="49"/>
      <c r="AG24" s="49"/>
      <c r="AH24" s="49"/>
      <c r="AI24" s="60"/>
      <c r="AJ24" s="60"/>
      <c r="AK24" s="60"/>
      <c r="AL24" s="61"/>
      <c r="AM24" s="61"/>
      <c r="AN24" s="61"/>
      <c r="AO24" s="61"/>
      <c r="AP24" s="61"/>
      <c r="AQ24" s="61"/>
      <c r="AR24" s="61"/>
      <c r="AS24" s="61"/>
    </row>
    <row r="25" spans="1:45" ht="52.5" customHeight="1" thickBot="1">
      <c r="A25" s="20" t="s">
        <v>2</v>
      </c>
      <c r="B25" s="21"/>
      <c r="C25" s="21"/>
      <c r="D25" s="21"/>
      <c r="E25" s="21"/>
      <c r="F25" s="94"/>
      <c r="G25" s="24"/>
      <c r="H25" s="24"/>
      <c r="I25" s="24"/>
      <c r="J25" s="24"/>
      <c r="K25" s="21"/>
      <c r="L25" s="8" t="str">
        <f>L2</f>
        <v>Béa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1"/>
      <c r="AC25" s="21"/>
      <c r="AD25" s="21"/>
      <c r="AE25" s="24"/>
      <c r="AF25" s="24"/>
      <c r="AG25" s="24"/>
      <c r="AH25" s="24"/>
      <c r="AI25" s="21"/>
      <c r="AJ25" s="21"/>
      <c r="AK25" s="21"/>
      <c r="AL25" s="94"/>
      <c r="AM25" s="94"/>
      <c r="AN25" s="94"/>
      <c r="AO25" s="94"/>
      <c r="AP25" s="94"/>
      <c r="AQ25" s="94"/>
      <c r="AR25" s="94"/>
      <c r="AS25" s="94"/>
    </row>
    <row r="26" spans="1:45" ht="52.5" customHeight="1" thickBot="1">
      <c r="A26" s="20" t="s">
        <v>3</v>
      </c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1"/>
      <c r="AC26" s="21"/>
      <c r="AD26" s="21"/>
      <c r="AE26" s="23"/>
      <c r="AF26" s="23"/>
      <c r="AG26" s="23"/>
      <c r="AH26" s="23"/>
      <c r="AI26" s="21"/>
      <c r="AJ26" s="21"/>
      <c r="AK26" s="21"/>
      <c r="AL26" s="94"/>
      <c r="AM26" s="94"/>
      <c r="AN26" s="94"/>
      <c r="AO26" s="94"/>
      <c r="AP26" s="94"/>
      <c r="AQ26" s="94"/>
      <c r="AR26" s="94"/>
      <c r="AS26" s="94"/>
    </row>
    <row r="27" spans="1:45" ht="52.5" customHeight="1" thickBot="1">
      <c r="A27" s="20" t="s">
        <v>18</v>
      </c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1"/>
      <c r="AC27" s="21"/>
      <c r="AD27" s="21"/>
      <c r="AE27" s="23"/>
      <c r="AF27" s="23"/>
      <c r="AG27" s="23"/>
      <c r="AH27" s="23"/>
      <c r="AI27" s="21"/>
      <c r="AJ27" s="21"/>
      <c r="AK27" s="21"/>
      <c r="AL27" s="94"/>
      <c r="AM27" s="94"/>
      <c r="AN27" s="94"/>
      <c r="AO27" s="94"/>
      <c r="AP27" s="94"/>
      <c r="AQ27" s="94"/>
      <c r="AR27" s="94"/>
      <c r="AS27" s="94"/>
    </row>
    <row r="28" spans="1:45" ht="25.5" customHeight="1">
      <c r="A28" s="83" t="s">
        <v>50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94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94"/>
      <c r="AM28" s="94"/>
      <c r="AN28" s="94"/>
      <c r="AO28" s="25" t="s">
        <v>174</v>
      </c>
      <c r="AP28" s="94"/>
      <c r="AQ28" s="94"/>
      <c r="AR28" s="94"/>
      <c r="AS28" s="94"/>
    </row>
    <row r="29" spans="1:45" ht="25.5" customHeight="1">
      <c r="A29" s="83" t="s">
        <v>51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94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94"/>
      <c r="AM29" s="94"/>
      <c r="AN29" s="94"/>
      <c r="AO29" s="94"/>
      <c r="AP29" s="94"/>
      <c r="AQ29" s="94"/>
      <c r="AR29" s="94"/>
      <c r="AS29" s="94"/>
    </row>
    <row r="30" spans="1:45" ht="25.5" customHeight="1" thickBot="1">
      <c r="A30" s="83" t="s">
        <v>52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94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94"/>
      <c r="AM30" s="94"/>
      <c r="AN30" s="94"/>
      <c r="AO30" s="94"/>
      <c r="AP30" s="94"/>
      <c r="AQ30" s="94"/>
      <c r="AR30" s="94"/>
      <c r="AS30" s="94"/>
    </row>
    <row r="31" spans="1:45" ht="32.25" customHeight="1" thickTop="1">
      <c r="A31" s="20"/>
      <c r="B31" s="21"/>
      <c r="C31" s="399" t="str">
        <f>C9</f>
        <v>De Arenthon vers</v>
      </c>
      <c r="D31" s="400"/>
      <c r="E31" s="400"/>
      <c r="F31" s="400"/>
      <c r="G31" s="400"/>
      <c r="H31" s="400"/>
      <c r="I31" s="400"/>
      <c r="J31" s="400"/>
      <c r="K31" s="400"/>
      <c r="L31" s="400"/>
      <c r="M31" s="400"/>
      <c r="N31" s="400"/>
      <c r="O31" s="400" t="str">
        <f>O9</f>
        <v>De Bonneville vers</v>
      </c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1"/>
      <c r="AA31" s="400" t="str">
        <f>AA9</f>
        <v>De Rte de La Papeterie vers</v>
      </c>
      <c r="AB31" s="400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20"/>
      <c r="AN31" s="21"/>
      <c r="AO31" s="368" t="s">
        <v>13</v>
      </c>
      <c r="AP31" s="385" t="s">
        <v>108</v>
      </c>
      <c r="AQ31" s="385" t="s">
        <v>109</v>
      </c>
      <c r="AR31" s="385" t="s">
        <v>110</v>
      </c>
      <c r="AS31" s="362" t="s">
        <v>159</v>
      </c>
    </row>
    <row r="32" spans="1:45" ht="22.7" customHeight="1">
      <c r="A32" s="20"/>
      <c r="B32" s="21"/>
      <c r="C32" s="398" t="str">
        <f>C10</f>
        <v>Bonneville</v>
      </c>
      <c r="D32" s="395"/>
      <c r="E32" s="395"/>
      <c r="F32" s="395"/>
      <c r="G32" s="393" t="str">
        <f>G10</f>
        <v>TNA</v>
      </c>
      <c r="H32" s="393"/>
      <c r="I32" s="393"/>
      <c r="J32" s="393"/>
      <c r="K32" s="393" t="str">
        <f>K10</f>
        <v>Rte Papeterie</v>
      </c>
      <c r="L32" s="393"/>
      <c r="M32" s="393"/>
      <c r="N32" s="393"/>
      <c r="O32" s="395" t="str">
        <f>O10</f>
        <v>TNA</v>
      </c>
      <c r="P32" s="395"/>
      <c r="Q32" s="395"/>
      <c r="R32" s="395"/>
      <c r="S32" s="393" t="str">
        <f>S10</f>
        <v>Arenthon</v>
      </c>
      <c r="T32" s="393"/>
      <c r="U32" s="393"/>
      <c r="V32" s="393"/>
      <c r="W32" s="393" t="str">
        <f>W10</f>
        <v>Rte Papeterie</v>
      </c>
      <c r="X32" s="393"/>
      <c r="Y32" s="393"/>
      <c r="Z32" s="394"/>
      <c r="AA32" s="395" t="str">
        <f>AA10</f>
        <v>Arenthon</v>
      </c>
      <c r="AB32" s="395"/>
      <c r="AC32" s="395"/>
      <c r="AD32" s="395"/>
      <c r="AE32" s="393" t="str">
        <f>AE10</f>
        <v>TNA</v>
      </c>
      <c r="AF32" s="393"/>
      <c r="AG32" s="393"/>
      <c r="AH32" s="393"/>
      <c r="AI32" s="393" t="str">
        <f>AI10</f>
        <v>Bonneville</v>
      </c>
      <c r="AJ32" s="395"/>
      <c r="AK32" s="395"/>
      <c r="AL32" s="395"/>
      <c r="AM32" s="20"/>
      <c r="AN32" s="21"/>
      <c r="AO32" s="369"/>
      <c r="AP32" s="386"/>
      <c r="AQ32" s="386"/>
      <c r="AR32" s="386"/>
      <c r="AS32" s="363"/>
    </row>
    <row r="33" spans="1:46" ht="18.600000000000001" customHeight="1" thickBot="1">
      <c r="A33" s="20"/>
      <c r="B33" s="21"/>
      <c r="C33" s="397" t="s">
        <v>5</v>
      </c>
      <c r="D33" s="390"/>
      <c r="E33" s="387" t="s">
        <v>6</v>
      </c>
      <c r="F33" s="396"/>
      <c r="G33" s="389" t="s">
        <v>5</v>
      </c>
      <c r="H33" s="390"/>
      <c r="I33" s="387" t="s">
        <v>6</v>
      </c>
      <c r="J33" s="388"/>
      <c r="K33" s="389" t="s">
        <v>5</v>
      </c>
      <c r="L33" s="390"/>
      <c r="M33" s="387" t="s">
        <v>6</v>
      </c>
      <c r="N33" s="396"/>
      <c r="O33" s="389" t="s">
        <v>5</v>
      </c>
      <c r="P33" s="390"/>
      <c r="Q33" s="387" t="s">
        <v>6</v>
      </c>
      <c r="R33" s="396"/>
      <c r="S33" s="389" t="s">
        <v>5</v>
      </c>
      <c r="T33" s="390"/>
      <c r="U33" s="387" t="s">
        <v>6</v>
      </c>
      <c r="V33" s="388"/>
      <c r="W33" s="389" t="s">
        <v>5</v>
      </c>
      <c r="X33" s="390"/>
      <c r="Y33" s="387" t="s">
        <v>6</v>
      </c>
      <c r="Z33" s="388"/>
      <c r="AA33" s="389" t="s">
        <v>5</v>
      </c>
      <c r="AB33" s="390"/>
      <c r="AC33" s="387" t="s">
        <v>6</v>
      </c>
      <c r="AD33" s="396"/>
      <c r="AE33" s="389" t="s">
        <v>5</v>
      </c>
      <c r="AF33" s="390"/>
      <c r="AG33" s="387" t="s">
        <v>6</v>
      </c>
      <c r="AH33" s="388"/>
      <c r="AI33" s="389" t="s">
        <v>5</v>
      </c>
      <c r="AJ33" s="390"/>
      <c r="AK33" s="391" t="s">
        <v>6</v>
      </c>
      <c r="AL33" s="392"/>
      <c r="AM33" s="124"/>
      <c r="AN33" s="21"/>
      <c r="AO33" s="369"/>
      <c r="AP33" s="386"/>
      <c r="AQ33" s="386"/>
      <c r="AR33" s="386"/>
      <c r="AS33" s="363"/>
    </row>
    <row r="34" spans="1:46" ht="21" thickTop="1">
      <c r="A34" s="373" t="s">
        <v>14</v>
      </c>
      <c r="B34" s="374"/>
      <c r="C34" s="15" t="s">
        <v>9</v>
      </c>
      <c r="D34" s="4" t="s">
        <v>10</v>
      </c>
      <c r="E34" s="5" t="s">
        <v>9</v>
      </c>
      <c r="F34" s="6" t="s">
        <v>10</v>
      </c>
      <c r="G34" s="3" t="s">
        <v>9</v>
      </c>
      <c r="H34" s="4" t="s">
        <v>10</v>
      </c>
      <c r="I34" s="5" t="s">
        <v>9</v>
      </c>
      <c r="J34" s="16" t="s">
        <v>10</v>
      </c>
      <c r="K34" s="3" t="s">
        <v>9</v>
      </c>
      <c r="L34" s="4" t="s">
        <v>10</v>
      </c>
      <c r="M34" s="5" t="s">
        <v>9</v>
      </c>
      <c r="N34" s="6" t="s">
        <v>10</v>
      </c>
      <c r="O34" s="3" t="s">
        <v>9</v>
      </c>
      <c r="P34" s="4" t="s">
        <v>10</v>
      </c>
      <c r="Q34" s="5" t="s">
        <v>9</v>
      </c>
      <c r="R34" s="6" t="s">
        <v>10</v>
      </c>
      <c r="S34" s="3" t="s">
        <v>9</v>
      </c>
      <c r="T34" s="4" t="s">
        <v>10</v>
      </c>
      <c r="U34" s="5" t="s">
        <v>9</v>
      </c>
      <c r="V34" s="16" t="s">
        <v>10</v>
      </c>
      <c r="W34" s="3" t="s">
        <v>9</v>
      </c>
      <c r="X34" s="4" t="s">
        <v>10</v>
      </c>
      <c r="Y34" s="5" t="s">
        <v>9</v>
      </c>
      <c r="Z34" s="16" t="s">
        <v>10</v>
      </c>
      <c r="AA34" s="3" t="s">
        <v>9</v>
      </c>
      <c r="AB34" s="4" t="s">
        <v>10</v>
      </c>
      <c r="AC34" s="5" t="s">
        <v>9</v>
      </c>
      <c r="AD34" s="6" t="s">
        <v>10</v>
      </c>
      <c r="AE34" s="3" t="s">
        <v>9</v>
      </c>
      <c r="AF34" s="4" t="s">
        <v>10</v>
      </c>
      <c r="AG34" s="5" t="s">
        <v>9</v>
      </c>
      <c r="AH34" s="16" t="s">
        <v>10</v>
      </c>
      <c r="AI34" s="3" t="s">
        <v>9</v>
      </c>
      <c r="AJ34" s="4" t="s">
        <v>10</v>
      </c>
      <c r="AK34" s="5" t="s">
        <v>9</v>
      </c>
      <c r="AL34" s="6" t="s">
        <v>10</v>
      </c>
      <c r="AM34" s="364" t="s">
        <v>14</v>
      </c>
      <c r="AN34" s="365"/>
      <c r="AO34" s="369"/>
      <c r="AP34" s="386"/>
      <c r="AQ34" s="386"/>
      <c r="AR34" s="386"/>
      <c r="AS34" s="363"/>
    </row>
    <row r="35" spans="1:46" ht="54.95" customHeight="1">
      <c r="A35" s="375" t="s">
        <v>175</v>
      </c>
      <c r="B35" s="376"/>
      <c r="C35" s="26">
        <f>SUM(C13:C14)</f>
        <v>0</v>
      </c>
      <c r="D35" s="27">
        <f t="shared" ref="D35:AL35" si="0">SUM(D13:D14)</f>
        <v>1</v>
      </c>
      <c r="E35" s="28">
        <f t="shared" si="0"/>
        <v>0</v>
      </c>
      <c r="F35" s="29">
        <f t="shared" si="0"/>
        <v>0</v>
      </c>
      <c r="G35" s="30">
        <f t="shared" si="0"/>
        <v>0</v>
      </c>
      <c r="H35" s="27">
        <f t="shared" si="0"/>
        <v>0</v>
      </c>
      <c r="I35" s="28">
        <f t="shared" si="0"/>
        <v>0</v>
      </c>
      <c r="J35" s="31">
        <f t="shared" si="0"/>
        <v>0</v>
      </c>
      <c r="K35" s="30">
        <f t="shared" si="0"/>
        <v>0</v>
      </c>
      <c r="L35" s="27">
        <f t="shared" si="0"/>
        <v>0</v>
      </c>
      <c r="M35" s="28">
        <f t="shared" si="0"/>
        <v>0</v>
      </c>
      <c r="N35" s="29">
        <f t="shared" si="0"/>
        <v>0</v>
      </c>
      <c r="O35" s="30">
        <f t="shared" si="0"/>
        <v>0</v>
      </c>
      <c r="P35" s="27">
        <f t="shared" si="0"/>
        <v>0</v>
      </c>
      <c r="Q35" s="28">
        <f t="shared" si="0"/>
        <v>0</v>
      </c>
      <c r="R35" s="29">
        <f t="shared" si="0"/>
        <v>0</v>
      </c>
      <c r="S35" s="30">
        <f t="shared" si="0"/>
        <v>0</v>
      </c>
      <c r="T35" s="27">
        <f t="shared" si="0"/>
        <v>0</v>
      </c>
      <c r="U35" s="28">
        <f t="shared" si="0"/>
        <v>0</v>
      </c>
      <c r="V35" s="31">
        <f t="shared" si="0"/>
        <v>0</v>
      </c>
      <c r="W35" s="30">
        <f t="shared" si="0"/>
        <v>0</v>
      </c>
      <c r="X35" s="27">
        <f t="shared" si="0"/>
        <v>0</v>
      </c>
      <c r="Y35" s="28">
        <f t="shared" si="0"/>
        <v>0</v>
      </c>
      <c r="Z35" s="31">
        <f t="shared" si="0"/>
        <v>0</v>
      </c>
      <c r="AA35" s="30">
        <f t="shared" si="0"/>
        <v>0</v>
      </c>
      <c r="AB35" s="27">
        <f t="shared" si="0"/>
        <v>0</v>
      </c>
      <c r="AC35" s="34">
        <f t="shared" si="0"/>
        <v>0</v>
      </c>
      <c r="AD35" s="29">
        <f t="shared" si="0"/>
        <v>0</v>
      </c>
      <c r="AE35" s="30">
        <f t="shared" si="0"/>
        <v>0</v>
      </c>
      <c r="AF35" s="27">
        <f t="shared" si="0"/>
        <v>0</v>
      </c>
      <c r="AG35" s="28">
        <f t="shared" si="0"/>
        <v>0</v>
      </c>
      <c r="AH35" s="31">
        <f t="shared" si="0"/>
        <v>0</v>
      </c>
      <c r="AI35" s="30">
        <f t="shared" si="0"/>
        <v>0</v>
      </c>
      <c r="AJ35" s="27">
        <f t="shared" si="0"/>
        <v>0</v>
      </c>
      <c r="AK35" s="28">
        <f t="shared" si="0"/>
        <v>0</v>
      </c>
      <c r="AL35" s="29">
        <f t="shared" si="0"/>
        <v>0</v>
      </c>
      <c r="AM35" s="366" t="str">
        <f>A35</f>
        <v>6:30 à 7:00</v>
      </c>
      <c r="AN35" s="367"/>
      <c r="AO35" s="47">
        <f>SUM(C35:AL35)</f>
        <v>1</v>
      </c>
      <c r="AP35" s="303">
        <f>C35+E35+G35+I35+K35+M35+O35+Q35+S35+U35+W35+Y35+AA35+AC35+AE35+AG35+AI35+AK35</f>
        <v>0</v>
      </c>
      <c r="AQ35" s="303">
        <f>E35+F35+I35+J35+M35+N35+Q35+R35+U35+V35+Y35+Z35+AC35+AD35+AG35+AH35+AK35+AL35</f>
        <v>0</v>
      </c>
      <c r="AR35" s="303">
        <f t="shared" ref="AR35:AR39" si="1">E35+I35+M35+Q35+U35+Y35+AC35+AG35+AK35</f>
        <v>0</v>
      </c>
      <c r="AS35" s="303">
        <f t="shared" ref="AS35:AS37" si="2">SUM(C35:AD35)+SUM(AI35:AL35)</f>
        <v>1</v>
      </c>
    </row>
    <row r="36" spans="1:46" ht="54.95" customHeight="1">
      <c r="A36" s="377" t="s">
        <v>46</v>
      </c>
      <c r="B36" s="378"/>
      <c r="C36" s="32">
        <f t="shared" ref="C36:AB36" si="3">SUM(C15:C18)</f>
        <v>0</v>
      </c>
      <c r="D36" s="33">
        <f t="shared" si="3"/>
        <v>1</v>
      </c>
      <c r="E36" s="34">
        <f t="shared" si="3"/>
        <v>0</v>
      </c>
      <c r="F36" s="35">
        <f t="shared" si="3"/>
        <v>1</v>
      </c>
      <c r="G36" s="36">
        <f t="shared" si="3"/>
        <v>0</v>
      </c>
      <c r="H36" s="33">
        <f t="shared" si="3"/>
        <v>0</v>
      </c>
      <c r="I36" s="34">
        <f t="shared" si="3"/>
        <v>0</v>
      </c>
      <c r="J36" s="37">
        <f t="shared" si="3"/>
        <v>0</v>
      </c>
      <c r="K36" s="36">
        <f t="shared" si="3"/>
        <v>0</v>
      </c>
      <c r="L36" s="33">
        <f t="shared" si="3"/>
        <v>0</v>
      </c>
      <c r="M36" s="34">
        <f t="shared" si="3"/>
        <v>0</v>
      </c>
      <c r="N36" s="35">
        <f t="shared" si="3"/>
        <v>0</v>
      </c>
      <c r="O36" s="36">
        <f t="shared" si="3"/>
        <v>0</v>
      </c>
      <c r="P36" s="33">
        <f t="shared" si="3"/>
        <v>0</v>
      </c>
      <c r="Q36" s="34">
        <f t="shared" si="3"/>
        <v>0</v>
      </c>
      <c r="R36" s="35">
        <f t="shared" si="3"/>
        <v>0</v>
      </c>
      <c r="S36" s="36">
        <f t="shared" si="3"/>
        <v>0</v>
      </c>
      <c r="T36" s="33">
        <f t="shared" si="3"/>
        <v>2</v>
      </c>
      <c r="U36" s="34">
        <f t="shared" si="3"/>
        <v>0</v>
      </c>
      <c r="V36" s="37">
        <f t="shared" si="3"/>
        <v>0</v>
      </c>
      <c r="W36" s="36">
        <f t="shared" si="3"/>
        <v>0</v>
      </c>
      <c r="X36" s="33">
        <f t="shared" si="3"/>
        <v>0</v>
      </c>
      <c r="Y36" s="34">
        <f t="shared" si="3"/>
        <v>0</v>
      </c>
      <c r="Z36" s="37">
        <f t="shared" si="3"/>
        <v>0</v>
      </c>
      <c r="AA36" s="36">
        <f t="shared" si="3"/>
        <v>0</v>
      </c>
      <c r="AB36" s="33">
        <f t="shared" si="3"/>
        <v>0</v>
      </c>
      <c r="AC36" s="34">
        <f>SUM(AC15:AC18)</f>
        <v>0</v>
      </c>
      <c r="AD36" s="35">
        <f t="shared" ref="AD36:AL36" si="4">SUM(AD15:AD18)</f>
        <v>0</v>
      </c>
      <c r="AE36" s="36">
        <f t="shared" si="4"/>
        <v>0</v>
      </c>
      <c r="AF36" s="33">
        <f t="shared" si="4"/>
        <v>0</v>
      </c>
      <c r="AG36" s="34">
        <f t="shared" si="4"/>
        <v>0</v>
      </c>
      <c r="AH36" s="37">
        <f t="shared" si="4"/>
        <v>0</v>
      </c>
      <c r="AI36" s="36">
        <f t="shared" si="4"/>
        <v>0</v>
      </c>
      <c r="AJ36" s="33">
        <f t="shared" si="4"/>
        <v>0</v>
      </c>
      <c r="AK36" s="34">
        <f t="shared" si="4"/>
        <v>0</v>
      </c>
      <c r="AL36" s="35">
        <f t="shared" si="4"/>
        <v>0</v>
      </c>
      <c r="AM36" s="379" t="str">
        <f>A36</f>
        <v>7:00 à 8:00</v>
      </c>
      <c r="AN36" s="380"/>
      <c r="AO36" s="47">
        <f t="shared" ref="AO36:AO38" si="5">SUM(C36:AL36)</f>
        <v>4</v>
      </c>
      <c r="AP36" s="303">
        <f t="shared" ref="AP36:AP39" si="6">C36+E36+G36+I36+K36+M36+O36+Q36+S36+U36+W36+Y36+AA36+AC36+AE36+AG36+AI36+AK36</f>
        <v>0</v>
      </c>
      <c r="AQ36" s="303">
        <f t="shared" ref="AQ36:AQ39" si="7">E36+F36+I36+J36+M36+N36+Q36+R36+U36+V36+Y36+Z36+AC36+AD36+AG36+AH36+AK36+AL36</f>
        <v>1</v>
      </c>
      <c r="AR36" s="303">
        <f t="shared" si="1"/>
        <v>0</v>
      </c>
      <c r="AS36" s="303">
        <f t="shared" si="2"/>
        <v>4</v>
      </c>
    </row>
    <row r="37" spans="1:46" ht="54.95" customHeight="1">
      <c r="A37" s="377" t="s">
        <v>47</v>
      </c>
      <c r="B37" s="378"/>
      <c r="C37" s="32">
        <f t="shared" ref="C37:AL37" si="8">SUM(C17:C20)</f>
        <v>0</v>
      </c>
      <c r="D37" s="33">
        <f t="shared" si="8"/>
        <v>2</v>
      </c>
      <c r="E37" s="34">
        <f t="shared" si="8"/>
        <v>0</v>
      </c>
      <c r="F37" s="35">
        <f t="shared" si="8"/>
        <v>1</v>
      </c>
      <c r="G37" s="36">
        <f t="shared" si="8"/>
        <v>0</v>
      </c>
      <c r="H37" s="33">
        <f t="shared" si="8"/>
        <v>0</v>
      </c>
      <c r="I37" s="34">
        <f t="shared" si="8"/>
        <v>0</v>
      </c>
      <c r="J37" s="37">
        <f t="shared" si="8"/>
        <v>0</v>
      </c>
      <c r="K37" s="36">
        <f t="shared" si="8"/>
        <v>0</v>
      </c>
      <c r="L37" s="33">
        <f t="shared" si="8"/>
        <v>1</v>
      </c>
      <c r="M37" s="34">
        <f t="shared" si="8"/>
        <v>0</v>
      </c>
      <c r="N37" s="35">
        <f t="shared" si="8"/>
        <v>0</v>
      </c>
      <c r="O37" s="36">
        <f t="shared" si="8"/>
        <v>0</v>
      </c>
      <c r="P37" s="33">
        <f t="shared" si="8"/>
        <v>0</v>
      </c>
      <c r="Q37" s="34">
        <f t="shared" si="8"/>
        <v>0</v>
      </c>
      <c r="R37" s="35">
        <f t="shared" si="8"/>
        <v>0</v>
      </c>
      <c r="S37" s="36">
        <f t="shared" si="8"/>
        <v>0</v>
      </c>
      <c r="T37" s="33">
        <f t="shared" si="8"/>
        <v>2</v>
      </c>
      <c r="U37" s="34">
        <f t="shared" si="8"/>
        <v>0</v>
      </c>
      <c r="V37" s="37">
        <f t="shared" si="8"/>
        <v>0</v>
      </c>
      <c r="W37" s="36">
        <f t="shared" si="8"/>
        <v>0</v>
      </c>
      <c r="X37" s="33">
        <f t="shared" si="8"/>
        <v>0</v>
      </c>
      <c r="Y37" s="34">
        <f t="shared" si="8"/>
        <v>0</v>
      </c>
      <c r="Z37" s="37">
        <f t="shared" si="8"/>
        <v>0</v>
      </c>
      <c r="AA37" s="36">
        <f t="shared" si="8"/>
        <v>0</v>
      </c>
      <c r="AB37" s="33">
        <f t="shared" si="8"/>
        <v>0</v>
      </c>
      <c r="AC37" s="34">
        <f t="shared" si="8"/>
        <v>0</v>
      </c>
      <c r="AD37" s="35">
        <f t="shared" si="8"/>
        <v>0</v>
      </c>
      <c r="AE37" s="36">
        <f t="shared" si="8"/>
        <v>0</v>
      </c>
      <c r="AF37" s="33">
        <f t="shared" si="8"/>
        <v>1</v>
      </c>
      <c r="AG37" s="34">
        <f t="shared" si="8"/>
        <v>0</v>
      </c>
      <c r="AH37" s="37">
        <f t="shared" si="8"/>
        <v>0</v>
      </c>
      <c r="AI37" s="36">
        <f t="shared" si="8"/>
        <v>0</v>
      </c>
      <c r="AJ37" s="33">
        <f t="shared" si="8"/>
        <v>0</v>
      </c>
      <c r="AK37" s="34">
        <f t="shared" si="8"/>
        <v>0</v>
      </c>
      <c r="AL37" s="35">
        <f t="shared" si="8"/>
        <v>0</v>
      </c>
      <c r="AM37" s="379" t="str">
        <f>A37</f>
        <v>7:30 à 8:30</v>
      </c>
      <c r="AN37" s="380"/>
      <c r="AO37" s="47">
        <f t="shared" si="5"/>
        <v>7</v>
      </c>
      <c r="AP37" s="303">
        <f t="shared" si="6"/>
        <v>0</v>
      </c>
      <c r="AQ37" s="303">
        <f t="shared" si="7"/>
        <v>1</v>
      </c>
      <c r="AR37" s="303">
        <f t="shared" si="1"/>
        <v>0</v>
      </c>
      <c r="AS37" s="303">
        <f t="shared" si="2"/>
        <v>6</v>
      </c>
    </row>
    <row r="38" spans="1:46" ht="54.95" customHeight="1">
      <c r="A38" s="377" t="s">
        <v>48</v>
      </c>
      <c r="B38" s="378"/>
      <c r="C38" s="32">
        <f>SUM(C19:C22)</f>
        <v>0</v>
      </c>
      <c r="D38" s="33">
        <f t="shared" ref="D38:AL38" si="9">SUM(D19:D22)</f>
        <v>2</v>
      </c>
      <c r="E38" s="34">
        <f t="shared" si="9"/>
        <v>0</v>
      </c>
      <c r="F38" s="35">
        <f t="shared" si="9"/>
        <v>0</v>
      </c>
      <c r="G38" s="36">
        <f t="shared" si="9"/>
        <v>0</v>
      </c>
      <c r="H38" s="33">
        <f t="shared" si="9"/>
        <v>0</v>
      </c>
      <c r="I38" s="34">
        <f t="shared" si="9"/>
        <v>0</v>
      </c>
      <c r="J38" s="37">
        <f t="shared" si="9"/>
        <v>0</v>
      </c>
      <c r="K38" s="36">
        <f t="shared" si="9"/>
        <v>0</v>
      </c>
      <c r="L38" s="33">
        <f t="shared" si="9"/>
        <v>1</v>
      </c>
      <c r="M38" s="34">
        <f t="shared" si="9"/>
        <v>0</v>
      </c>
      <c r="N38" s="35">
        <f t="shared" si="9"/>
        <v>0</v>
      </c>
      <c r="O38" s="36">
        <f t="shared" si="9"/>
        <v>0</v>
      </c>
      <c r="P38" s="33">
        <f t="shared" si="9"/>
        <v>0</v>
      </c>
      <c r="Q38" s="34">
        <f t="shared" si="9"/>
        <v>0</v>
      </c>
      <c r="R38" s="35">
        <f t="shared" si="9"/>
        <v>0</v>
      </c>
      <c r="S38" s="36">
        <f t="shared" si="9"/>
        <v>0</v>
      </c>
      <c r="T38" s="33">
        <f t="shared" si="9"/>
        <v>2</v>
      </c>
      <c r="U38" s="34">
        <f t="shared" si="9"/>
        <v>0</v>
      </c>
      <c r="V38" s="37">
        <f t="shared" si="9"/>
        <v>0</v>
      </c>
      <c r="W38" s="36">
        <f t="shared" si="9"/>
        <v>0</v>
      </c>
      <c r="X38" s="33">
        <f t="shared" si="9"/>
        <v>0</v>
      </c>
      <c r="Y38" s="34">
        <f t="shared" si="9"/>
        <v>0</v>
      </c>
      <c r="Z38" s="37">
        <f t="shared" si="9"/>
        <v>0</v>
      </c>
      <c r="AA38" s="36">
        <f t="shared" si="9"/>
        <v>0</v>
      </c>
      <c r="AB38" s="33">
        <f t="shared" si="9"/>
        <v>0</v>
      </c>
      <c r="AC38" s="34">
        <f t="shared" si="9"/>
        <v>0</v>
      </c>
      <c r="AD38" s="35">
        <f t="shared" si="9"/>
        <v>0</v>
      </c>
      <c r="AE38" s="36">
        <f t="shared" si="9"/>
        <v>0</v>
      </c>
      <c r="AF38" s="33">
        <f t="shared" si="9"/>
        <v>1</v>
      </c>
      <c r="AG38" s="34">
        <f t="shared" si="9"/>
        <v>0</v>
      </c>
      <c r="AH38" s="37">
        <f t="shared" si="9"/>
        <v>0</v>
      </c>
      <c r="AI38" s="36">
        <f t="shared" si="9"/>
        <v>1</v>
      </c>
      <c r="AJ38" s="33">
        <f t="shared" si="9"/>
        <v>2</v>
      </c>
      <c r="AK38" s="34">
        <f t="shared" si="9"/>
        <v>0</v>
      </c>
      <c r="AL38" s="35">
        <f t="shared" si="9"/>
        <v>0</v>
      </c>
      <c r="AM38" s="377" t="str">
        <f>A38</f>
        <v>8:00 à 9:00</v>
      </c>
      <c r="AN38" s="378"/>
      <c r="AO38" s="47">
        <f t="shared" si="5"/>
        <v>9</v>
      </c>
      <c r="AP38" s="303">
        <f t="shared" si="6"/>
        <v>1</v>
      </c>
      <c r="AQ38" s="303">
        <f t="shared" si="7"/>
        <v>0</v>
      </c>
      <c r="AR38" s="303">
        <f t="shared" si="1"/>
        <v>0</v>
      </c>
      <c r="AS38" s="303">
        <f>SUM(C38:AD38)+SUM(AI38:AL38)</f>
        <v>8</v>
      </c>
    </row>
    <row r="39" spans="1:46" ht="54.95" customHeight="1" thickBot="1">
      <c r="A39" s="406" t="s">
        <v>13</v>
      </c>
      <c r="B39" s="407"/>
      <c r="C39" s="38">
        <f t="shared" ref="C39:AL39" si="10">SUM(C13:C22)</f>
        <v>0</v>
      </c>
      <c r="D39" s="39">
        <f t="shared" si="10"/>
        <v>4</v>
      </c>
      <c r="E39" s="40">
        <f t="shared" si="10"/>
        <v>0</v>
      </c>
      <c r="F39" s="41">
        <f t="shared" si="10"/>
        <v>1</v>
      </c>
      <c r="G39" s="42">
        <f t="shared" si="10"/>
        <v>0</v>
      </c>
      <c r="H39" s="39">
        <f t="shared" si="10"/>
        <v>0</v>
      </c>
      <c r="I39" s="40">
        <f t="shared" si="10"/>
        <v>0</v>
      </c>
      <c r="J39" s="43">
        <f t="shared" si="10"/>
        <v>0</v>
      </c>
      <c r="K39" s="42">
        <f t="shared" si="10"/>
        <v>0</v>
      </c>
      <c r="L39" s="39">
        <f t="shared" si="10"/>
        <v>1</v>
      </c>
      <c r="M39" s="40">
        <f t="shared" si="10"/>
        <v>0</v>
      </c>
      <c r="N39" s="41">
        <f t="shared" si="10"/>
        <v>0</v>
      </c>
      <c r="O39" s="42">
        <f t="shared" si="10"/>
        <v>0</v>
      </c>
      <c r="P39" s="39">
        <f t="shared" si="10"/>
        <v>0</v>
      </c>
      <c r="Q39" s="40">
        <f t="shared" si="10"/>
        <v>0</v>
      </c>
      <c r="R39" s="41">
        <f t="shared" si="10"/>
        <v>0</v>
      </c>
      <c r="S39" s="42">
        <f t="shared" si="10"/>
        <v>0</v>
      </c>
      <c r="T39" s="39">
        <f t="shared" si="10"/>
        <v>4</v>
      </c>
      <c r="U39" s="40">
        <f t="shared" si="10"/>
        <v>0</v>
      </c>
      <c r="V39" s="43">
        <f t="shared" si="10"/>
        <v>0</v>
      </c>
      <c r="W39" s="42">
        <f t="shared" si="10"/>
        <v>0</v>
      </c>
      <c r="X39" s="39">
        <f t="shared" si="10"/>
        <v>0</v>
      </c>
      <c r="Y39" s="40">
        <f t="shared" si="10"/>
        <v>0</v>
      </c>
      <c r="Z39" s="43">
        <f t="shared" si="10"/>
        <v>0</v>
      </c>
      <c r="AA39" s="42">
        <f t="shared" si="10"/>
        <v>0</v>
      </c>
      <c r="AB39" s="39">
        <f t="shared" si="10"/>
        <v>0</v>
      </c>
      <c r="AC39" s="40">
        <f t="shared" si="10"/>
        <v>0</v>
      </c>
      <c r="AD39" s="41">
        <f t="shared" si="10"/>
        <v>0</v>
      </c>
      <c r="AE39" s="42">
        <f t="shared" si="10"/>
        <v>0</v>
      </c>
      <c r="AF39" s="39">
        <f t="shared" si="10"/>
        <v>1</v>
      </c>
      <c r="AG39" s="40">
        <f t="shared" si="10"/>
        <v>0</v>
      </c>
      <c r="AH39" s="43">
        <f t="shared" si="10"/>
        <v>0</v>
      </c>
      <c r="AI39" s="42">
        <f t="shared" si="10"/>
        <v>1</v>
      </c>
      <c r="AJ39" s="39">
        <f t="shared" si="10"/>
        <v>2</v>
      </c>
      <c r="AK39" s="40">
        <f t="shared" si="10"/>
        <v>0</v>
      </c>
      <c r="AL39" s="41">
        <f t="shared" si="10"/>
        <v>0</v>
      </c>
      <c r="AM39" s="383" t="s">
        <v>13</v>
      </c>
      <c r="AN39" s="384"/>
      <c r="AO39" s="329">
        <f>SUM(C39:AL39)</f>
        <v>14</v>
      </c>
      <c r="AP39" s="329">
        <f t="shared" si="6"/>
        <v>1</v>
      </c>
      <c r="AQ39" s="329">
        <f t="shared" si="7"/>
        <v>1</v>
      </c>
      <c r="AR39" s="329">
        <f t="shared" si="1"/>
        <v>0</v>
      </c>
      <c r="AS39" s="329">
        <f>AS35+AS36+AS38</f>
        <v>13</v>
      </c>
    </row>
    <row r="40" spans="1:46" ht="35.1" customHeight="1" thickTop="1" thickBot="1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8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360" t="str">
        <f>IF($AO$37=MAX($AO$35:$AO$38),AM37,IF($AO$36=MAX($AO$35:$AO$38),AM36,IF($AN$35=MAX($AO$35:$AO$38),AM35,IF($AO$38=MAX($AO$35:$AO$38),AM38,AM38))))</f>
        <v>8:00 à 9:00</v>
      </c>
      <c r="AN40" s="361"/>
      <c r="AO40" s="314">
        <f>IF($AO$37=MAX($AO$35:$AO$38),AO37,IF($AO$36=MAX($AO$35:$AO$38),AO36,IF($AN$35=MAX($AO$35:$AO$38),AO35,IF($AO$38=MAX($AO$35:$AO$38),AO38,AO38))))</f>
        <v>9</v>
      </c>
      <c r="AP40" s="315">
        <f>IF($AO$37=MAX($AO$35:$AO$38),AP37,IF($AO$36=MAX($AO$35:$AO$38),AP36,IF($AN$35=MAX($AO$35:$AO$38),AP35,IF($AO$38=MAX($AO$35:$AO$38),AP38,AP38))))</f>
        <v>1</v>
      </c>
      <c r="AQ40" s="315">
        <f>IF($AO$37=MAX($AO$35:$AO$38),AQ37,IF($AO$36=MAX($AO$35:$AO$38),AQ36,IF($AN$35=MAX($AO$35:$AO$38),AQ35,IF($AO$38=MAX($AO$35:$AO$38),AQ38,AQ38))))</f>
        <v>0</v>
      </c>
      <c r="AR40" s="315">
        <f>IF($AO$37=MAX($AO$35:$AO$38),AR37,IF($AO$36=MAX($AO$35:$AO$38),AR36,IF($AN$35=MAX($AO$35:$AO$38),AR35,IF($AO$38=MAX($AO$35:$AO$38),AR38,AR38))))</f>
        <v>0</v>
      </c>
      <c r="AS40" s="315">
        <f>IF($AO$37=MAX($AO$35:$AO$38),AS37,IF($AO$36=MAX($AO$35:$AO$38),AS36,IF($AN$35=MAX($AO$35:$AO$38),AS35,IF($AO$38=MAX($AO$35:$AO$38),AS38,AS38))))</f>
        <v>8</v>
      </c>
    </row>
    <row r="41" spans="1:46" ht="21" thickTop="1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1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20"/>
      <c r="AN41" s="21"/>
      <c r="AO41" s="368" t="s">
        <v>13</v>
      </c>
      <c r="AP41" s="370" t="s">
        <v>15</v>
      </c>
      <c r="AQ41" s="370" t="s">
        <v>16</v>
      </c>
      <c r="AR41" s="370" t="s">
        <v>17</v>
      </c>
      <c r="AS41" s="362" t="str">
        <f>AS31</f>
        <v>Cycles sur RD 19</v>
      </c>
    </row>
    <row r="42" spans="1:46" ht="20.25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20"/>
      <c r="AN42" s="21"/>
      <c r="AO42" s="369"/>
      <c r="AP42" s="371"/>
      <c r="AQ42" s="371"/>
      <c r="AR42" s="371"/>
      <c r="AS42" s="363"/>
      <c r="AT42" s="7"/>
    </row>
    <row r="43" spans="1:46" ht="21" thickBot="1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24"/>
      <c r="AN43" s="21"/>
      <c r="AO43" s="369"/>
      <c r="AP43" s="371"/>
      <c r="AQ43" s="371"/>
      <c r="AR43" s="371"/>
      <c r="AS43" s="363"/>
      <c r="AT43" s="7"/>
    </row>
    <row r="44" spans="1:46" ht="32.1" customHeight="1" thickTop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364" t="s">
        <v>14</v>
      </c>
      <c r="AN44" s="365"/>
      <c r="AO44" s="369"/>
      <c r="AP44" s="372"/>
      <c r="AQ44" s="372"/>
      <c r="AR44" s="372"/>
      <c r="AS44" s="363"/>
      <c r="AT44" s="7"/>
    </row>
    <row r="45" spans="1:46" ht="32.1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366" t="str">
        <f>AM35</f>
        <v>6:30 à 7:00</v>
      </c>
      <c r="AN45" s="367"/>
      <c r="AO45" s="47"/>
      <c r="AP45" s="304">
        <f>IF(AP35=0,0,AP35/AO35)</f>
        <v>0</v>
      </c>
      <c r="AQ45" s="304">
        <f t="shared" ref="AQ45:AQ48" si="11">IF(AQ35=0,0,AQ35/AO35)</f>
        <v>0</v>
      </c>
      <c r="AR45" s="304">
        <f>IF(AR35=0,0,AR35/AO35)</f>
        <v>0</v>
      </c>
      <c r="AS45" s="304">
        <f>IF(AS35=0,0,AS35/AO35)</f>
        <v>1</v>
      </c>
      <c r="AT45" s="7"/>
    </row>
    <row r="46" spans="1:46" ht="32.1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366" t="str">
        <f t="shared" ref="AM46:AM48" si="12">AM36</f>
        <v>7:00 à 8:00</v>
      </c>
      <c r="AN46" s="367"/>
      <c r="AO46" s="47"/>
      <c r="AP46" s="304">
        <f>IF(AP36=0,0,AP36/AO36)</f>
        <v>0</v>
      </c>
      <c r="AQ46" s="304">
        <f t="shared" si="11"/>
        <v>0.25</v>
      </c>
      <c r="AR46" s="304">
        <f>IF(AR36=0,0,AR36/AO36)</f>
        <v>0</v>
      </c>
      <c r="AS46" s="304">
        <f>IF(AS36=0,0,AS36/AO36)</f>
        <v>1</v>
      </c>
      <c r="AT46" s="7"/>
    </row>
    <row r="47" spans="1:46" ht="32.1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366" t="str">
        <f t="shared" si="12"/>
        <v>7:30 à 8:30</v>
      </c>
      <c r="AN47" s="367"/>
      <c r="AO47" s="47"/>
      <c r="AP47" s="304">
        <f>IF(AP37=0,0,AP37/AO37)</f>
        <v>0</v>
      </c>
      <c r="AQ47" s="304">
        <f t="shared" si="11"/>
        <v>0.14285714285714285</v>
      </c>
      <c r="AR47" s="304">
        <f>IF(AR37=0,0,AR37/AQ37)</f>
        <v>0</v>
      </c>
      <c r="AS47" s="304">
        <f>IF(AS37=0,0,AS37/AO37)</f>
        <v>0.8571428571428571</v>
      </c>
      <c r="AT47" s="7"/>
    </row>
    <row r="48" spans="1:46" ht="32.1" customHeight="1">
      <c r="F48" s="7"/>
      <c r="K48" s="7"/>
      <c r="L48" s="7"/>
      <c r="M48" s="7"/>
      <c r="N48" s="7"/>
      <c r="O48" s="7"/>
      <c r="P48" s="7"/>
      <c r="Q48" s="7"/>
      <c r="AA48" s="7"/>
      <c r="AB48" s="7"/>
      <c r="AC48" s="7"/>
      <c r="AM48" s="366" t="str">
        <f t="shared" si="12"/>
        <v>8:00 à 9:00</v>
      </c>
      <c r="AN48" s="367"/>
      <c r="AO48" s="47"/>
      <c r="AP48" s="304">
        <f>IF(AP38=0,0,AP38/AO38)</f>
        <v>0.1111111111111111</v>
      </c>
      <c r="AQ48" s="304">
        <f t="shared" si="11"/>
        <v>0</v>
      </c>
      <c r="AR48" s="304">
        <f>IF(AR38=0,0,AR38/AO38)</f>
        <v>0</v>
      </c>
      <c r="AS48" s="304">
        <f>IF(AS38=0,0,AS38/AO38)</f>
        <v>0.88888888888888884</v>
      </c>
    </row>
    <row r="49" spans="6:45" ht="32.1" customHeight="1">
      <c r="F49" s="7"/>
      <c r="K49" s="7"/>
      <c r="L49" s="7"/>
      <c r="M49" s="7"/>
      <c r="N49" s="7"/>
      <c r="O49" s="7"/>
      <c r="P49" s="7"/>
      <c r="Q49" s="7"/>
      <c r="AA49" s="7"/>
      <c r="AB49" s="7"/>
      <c r="AC49" s="7"/>
      <c r="AM49" s="358" t="s">
        <v>13</v>
      </c>
      <c r="AN49" s="359"/>
      <c r="AO49" s="334"/>
      <c r="AP49" s="335">
        <f t="shared" ref="AP49" si="13">IF(AP39=0,0,AP39/AO39)</f>
        <v>7.1428571428571425E-2</v>
      </c>
      <c r="AQ49" s="335">
        <f t="shared" ref="AQ49:AR49" si="14">IF(AQ39=0,0,AQ39/AO39)</f>
        <v>7.1428571428571425E-2</v>
      </c>
      <c r="AR49" s="335">
        <f t="shared" si="14"/>
        <v>0</v>
      </c>
      <c r="AS49" s="335">
        <f t="shared" ref="AS49" si="15">IF(AS39=0,0,AS39/AO39)</f>
        <v>0.9285714285714286</v>
      </c>
    </row>
    <row r="50" spans="6:45" ht="32.1" customHeight="1" thickBot="1">
      <c r="AM50" s="360" t="str">
        <f>AM40</f>
        <v>8:00 à 9:00</v>
      </c>
      <c r="AN50" s="361"/>
      <c r="AO50" s="314" t="e">
        <f>IF(#REF!=MAX(#REF!),AO45,IF(#REF!=MAX(#REF!),AO46,IF(#REF!=MAX(#REF!),AO47,IF(#REF!=MAX(#REF!),(AO47),AO48))))</f>
        <v>#REF!</v>
      </c>
      <c r="AP50" s="313">
        <f>AP40/AO40</f>
        <v>0.1111111111111111</v>
      </c>
      <c r="AQ50" s="313">
        <f>AQ40/AP40</f>
        <v>0</v>
      </c>
      <c r="AR50" s="313">
        <f>AR40/AO40</f>
        <v>0</v>
      </c>
      <c r="AS50" s="313">
        <f>AS40/AO40</f>
        <v>0.88888888888888884</v>
      </c>
    </row>
    <row r="51" spans="6:45" ht="15" thickTop="1"/>
  </sheetData>
  <mergeCells count="90">
    <mergeCell ref="C9:N9"/>
    <mergeCell ref="O9:Z9"/>
    <mergeCell ref="AA9:AL9"/>
    <mergeCell ref="C10:F10"/>
    <mergeCell ref="G10:J10"/>
    <mergeCell ref="K10:N10"/>
    <mergeCell ref="O10:R10"/>
    <mergeCell ref="S10:V10"/>
    <mergeCell ref="W10:Z10"/>
    <mergeCell ref="AA10:AD10"/>
    <mergeCell ref="AE10:AH10"/>
    <mergeCell ref="AI10:AL10"/>
    <mergeCell ref="C11:D11"/>
    <mergeCell ref="E11:F11"/>
    <mergeCell ref="G11:H11"/>
    <mergeCell ref="I11:J11"/>
    <mergeCell ref="K11:L11"/>
    <mergeCell ref="AI11:AJ11"/>
    <mergeCell ref="AK11:AL11"/>
    <mergeCell ref="C31:N31"/>
    <mergeCell ref="O31:Z31"/>
    <mergeCell ref="AA31:AL31"/>
    <mergeCell ref="S11:T11"/>
    <mergeCell ref="U11:V11"/>
    <mergeCell ref="W11:X11"/>
    <mergeCell ref="Y11:Z11"/>
    <mergeCell ref="AA11:AB11"/>
    <mergeCell ref="AC11:AD11"/>
    <mergeCell ref="M11:N11"/>
    <mergeCell ref="O11:P11"/>
    <mergeCell ref="Q11:R11"/>
    <mergeCell ref="AE11:AF11"/>
    <mergeCell ref="AG11:AH11"/>
    <mergeCell ref="W32:Z32"/>
    <mergeCell ref="AA32:AD32"/>
    <mergeCell ref="AE32:AH32"/>
    <mergeCell ref="O33:P33"/>
    <mergeCell ref="Q33:R33"/>
    <mergeCell ref="S33:T33"/>
    <mergeCell ref="AG33:AH33"/>
    <mergeCell ref="AC33:AD33"/>
    <mergeCell ref="AE33:AF33"/>
    <mergeCell ref="C32:F32"/>
    <mergeCell ref="G32:J32"/>
    <mergeCell ref="K32:N32"/>
    <mergeCell ref="O32:R32"/>
    <mergeCell ref="S32:V32"/>
    <mergeCell ref="AI32:AL32"/>
    <mergeCell ref="AM34:AN34"/>
    <mergeCell ref="AK33:AL33"/>
    <mergeCell ref="AI33:AJ33"/>
    <mergeCell ref="A39:B39"/>
    <mergeCell ref="A38:B38"/>
    <mergeCell ref="A36:B36"/>
    <mergeCell ref="A37:B37"/>
    <mergeCell ref="A35:B35"/>
    <mergeCell ref="A34:B34"/>
    <mergeCell ref="U33:V33"/>
    <mergeCell ref="W33:X33"/>
    <mergeCell ref="Y33:Z33"/>
    <mergeCell ref="AA33:AB33"/>
    <mergeCell ref="C33:D33"/>
    <mergeCell ref="I33:J33"/>
    <mergeCell ref="K33:L33"/>
    <mergeCell ref="M33:N33"/>
    <mergeCell ref="E33:F33"/>
    <mergeCell ref="G33:H33"/>
    <mergeCell ref="AM35:AN35"/>
    <mergeCell ref="AO31:AO34"/>
    <mergeCell ref="AP31:AP34"/>
    <mergeCell ref="AQ31:AQ34"/>
    <mergeCell ref="AS41:AS44"/>
    <mergeCell ref="AR31:AR34"/>
    <mergeCell ref="AS31:AS34"/>
    <mergeCell ref="AM36:AN36"/>
    <mergeCell ref="AM37:AN37"/>
    <mergeCell ref="AM38:AN38"/>
    <mergeCell ref="AM39:AN39"/>
    <mergeCell ref="AM40:AN40"/>
    <mergeCell ref="AM50:AN50"/>
    <mergeCell ref="AO41:AO44"/>
    <mergeCell ref="AP41:AP44"/>
    <mergeCell ref="AQ41:AQ44"/>
    <mergeCell ref="AR41:AR44"/>
    <mergeCell ref="AM49:AN49"/>
    <mergeCell ref="AM44:AN44"/>
    <mergeCell ref="AM45:AN45"/>
    <mergeCell ref="AM46:AN46"/>
    <mergeCell ref="AM47:AN47"/>
    <mergeCell ref="AM48:AN4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C7AB-5324-4A62-8DFA-0E8E8ADB08CF}">
  <sheetPr>
    <tabColor rgb="FFFFFF00"/>
  </sheetPr>
  <dimension ref="A1:AH60"/>
  <sheetViews>
    <sheetView showZeros="0" topLeftCell="A7" zoomScale="50" zoomScaleNormal="50" workbookViewId="0">
      <selection activeCell="H17" sqref="H17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8" width="9.625" style="8" customWidth="1"/>
    <col min="29" max="32" width="16.625" style="8" customWidth="1"/>
    <col min="33" max="34" width="10.625" style="8" customWidth="1"/>
    <col min="35" max="16384" width="11" style="8"/>
  </cols>
  <sheetData>
    <row r="1" spans="1:33" ht="45" customHeight="1" thickBot="1">
      <c r="A1" s="56" t="s">
        <v>89</v>
      </c>
      <c r="B1" s="104" t="s">
        <v>185</v>
      </c>
      <c r="C1" s="45"/>
      <c r="D1" s="45"/>
      <c r="E1" s="45"/>
      <c r="F1" s="46"/>
      <c r="G1" s="46"/>
      <c r="H1" s="45"/>
      <c r="I1" s="45"/>
      <c r="J1" s="46"/>
      <c r="K1" s="46"/>
      <c r="L1" s="105"/>
      <c r="M1" s="106" t="s">
        <v>90</v>
      </c>
      <c r="N1" s="107" t="s">
        <v>91</v>
      </c>
      <c r="O1" s="45"/>
      <c r="P1" s="45"/>
      <c r="Q1" s="45"/>
      <c r="R1" s="45"/>
      <c r="S1" s="45"/>
      <c r="T1" s="45"/>
      <c r="U1" s="45"/>
      <c r="V1" s="108"/>
      <c r="W1" s="60"/>
      <c r="X1" s="60"/>
      <c r="Y1" s="60"/>
      <c r="Z1" s="61"/>
      <c r="AA1" s="44"/>
      <c r="AB1" s="44"/>
      <c r="AC1" s="44"/>
      <c r="AD1" s="44"/>
      <c r="AE1" s="44"/>
      <c r="AF1" s="44"/>
      <c r="AG1" s="44"/>
    </row>
    <row r="2" spans="1:33" ht="21" thickBot="1">
      <c r="A2" s="20" t="s">
        <v>2</v>
      </c>
      <c r="B2" s="21"/>
      <c r="C2" s="21"/>
      <c r="D2" s="21"/>
      <c r="E2" s="21"/>
      <c r="F2" s="21"/>
      <c r="G2" s="104" t="s">
        <v>92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108"/>
      <c r="W2" s="21"/>
      <c r="X2" s="21"/>
      <c r="Y2" s="21"/>
      <c r="Z2" s="21"/>
      <c r="AA2" s="44"/>
      <c r="AB2" s="44"/>
      <c r="AC2" s="44"/>
      <c r="AD2" s="44"/>
      <c r="AE2" s="44"/>
      <c r="AF2" s="44"/>
      <c r="AG2" s="44"/>
    </row>
    <row r="3" spans="1:33" ht="21" thickBot="1">
      <c r="A3" s="20" t="s">
        <v>3</v>
      </c>
      <c r="B3" s="21"/>
      <c r="C3" s="104" t="s">
        <v>93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108"/>
      <c r="W3" s="21"/>
      <c r="X3" s="21"/>
      <c r="Y3" s="21"/>
      <c r="Z3" s="94"/>
      <c r="AA3" s="44"/>
      <c r="AB3" s="44"/>
      <c r="AC3" s="44"/>
      <c r="AD3" s="44"/>
      <c r="AE3" s="44"/>
      <c r="AF3" s="44"/>
      <c r="AG3" s="44"/>
    </row>
    <row r="4" spans="1:33" ht="21" thickBot="1">
      <c r="A4" s="20" t="s">
        <v>18</v>
      </c>
      <c r="B4" s="21"/>
      <c r="C4" s="104" t="s">
        <v>94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108"/>
      <c r="W4" s="21"/>
      <c r="X4" s="21"/>
      <c r="Y4" s="21"/>
      <c r="Z4" s="94"/>
      <c r="AA4" s="44"/>
      <c r="AB4" s="44"/>
      <c r="AC4" s="44"/>
      <c r="AD4" s="44"/>
      <c r="AE4" s="44"/>
      <c r="AF4" s="44"/>
      <c r="AG4" s="44"/>
    </row>
    <row r="5" spans="1:33" ht="20.25">
      <c r="A5" s="20" t="s">
        <v>95</v>
      </c>
      <c r="B5" s="21"/>
      <c r="C5" s="21" t="s">
        <v>96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94"/>
      <c r="S5" s="21"/>
      <c r="T5" s="21"/>
      <c r="U5" s="21"/>
      <c r="V5" s="21"/>
      <c r="W5" s="21"/>
      <c r="X5" s="21"/>
      <c r="Y5" s="21"/>
      <c r="Z5" s="94"/>
      <c r="AA5" s="44"/>
      <c r="AB5" s="44"/>
      <c r="AC5" s="44"/>
      <c r="AD5" s="44"/>
      <c r="AE5" s="44"/>
      <c r="AF5" s="44"/>
      <c r="AG5" s="44"/>
    </row>
    <row r="6" spans="1:33" ht="20.25">
      <c r="A6" s="102"/>
      <c r="B6" s="21"/>
      <c r="C6" s="21" t="s">
        <v>97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94"/>
      <c r="S6" s="21"/>
      <c r="T6" s="21"/>
      <c r="U6" s="21"/>
      <c r="V6" s="21"/>
      <c r="W6" s="21"/>
      <c r="X6" s="21"/>
      <c r="Y6" s="21"/>
      <c r="Z6" s="94"/>
      <c r="AA6" s="44"/>
      <c r="AB6" s="44"/>
      <c r="AC6" s="44"/>
      <c r="AD6" s="44"/>
      <c r="AE6" s="44"/>
      <c r="AF6" s="44"/>
      <c r="AG6" s="44"/>
    </row>
    <row r="7" spans="1:33" ht="21" thickBot="1">
      <c r="A7" s="102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94"/>
      <c r="S7" s="21"/>
      <c r="T7" s="21"/>
      <c r="U7" s="21"/>
      <c r="V7" s="21"/>
      <c r="W7" s="21"/>
      <c r="X7" s="21"/>
      <c r="Y7" s="21"/>
      <c r="Z7" s="94"/>
      <c r="AA7" s="44"/>
      <c r="AB7" s="44"/>
      <c r="AC7" s="44"/>
      <c r="AD7" s="44"/>
      <c r="AE7" s="44"/>
      <c r="AF7" s="44"/>
      <c r="AG7" s="44"/>
    </row>
    <row r="8" spans="1:33" ht="30.75" customHeight="1" thickTop="1">
      <c r="A8" s="20"/>
      <c r="B8" s="21"/>
      <c r="C8" s="399" t="s">
        <v>98</v>
      </c>
      <c r="D8" s="400"/>
      <c r="E8" s="400"/>
      <c r="F8" s="400"/>
      <c r="G8" s="400"/>
      <c r="H8" s="400"/>
      <c r="I8" s="400"/>
      <c r="J8" s="400"/>
      <c r="K8" s="400" t="s">
        <v>99</v>
      </c>
      <c r="L8" s="400"/>
      <c r="M8" s="400"/>
      <c r="N8" s="400"/>
      <c r="O8" s="400"/>
      <c r="P8" s="400"/>
      <c r="Q8" s="400"/>
      <c r="R8" s="401"/>
      <c r="S8" s="400" t="s">
        <v>100</v>
      </c>
      <c r="T8" s="400"/>
      <c r="U8" s="400"/>
      <c r="V8" s="400"/>
      <c r="W8" s="400"/>
      <c r="X8" s="400"/>
      <c r="Y8" s="400"/>
      <c r="Z8" s="401"/>
      <c r="AA8" s="44"/>
      <c r="AB8" s="44"/>
      <c r="AC8" s="44"/>
      <c r="AD8" s="44"/>
      <c r="AE8" s="44"/>
      <c r="AF8" s="44"/>
      <c r="AG8" s="44"/>
    </row>
    <row r="9" spans="1:33" ht="23.25" customHeight="1">
      <c r="A9" s="20"/>
      <c r="B9" s="21"/>
      <c r="C9" s="398" t="s">
        <v>101</v>
      </c>
      <c r="D9" s="395"/>
      <c r="E9" s="395"/>
      <c r="F9" s="395"/>
      <c r="G9" s="393" t="s">
        <v>102</v>
      </c>
      <c r="H9" s="393"/>
      <c r="I9" s="393"/>
      <c r="J9" s="393"/>
      <c r="K9" s="395" t="s">
        <v>102</v>
      </c>
      <c r="L9" s="395"/>
      <c r="M9" s="395"/>
      <c r="N9" s="395"/>
      <c r="O9" s="393" t="s">
        <v>103</v>
      </c>
      <c r="P9" s="393"/>
      <c r="Q9" s="393"/>
      <c r="R9" s="394"/>
      <c r="S9" s="395" t="s">
        <v>101</v>
      </c>
      <c r="T9" s="395"/>
      <c r="U9" s="395"/>
      <c r="V9" s="395"/>
      <c r="W9" s="393" t="s">
        <v>103</v>
      </c>
      <c r="X9" s="393"/>
      <c r="Y9" s="393"/>
      <c r="Z9" s="394"/>
      <c r="AA9" s="44"/>
      <c r="AB9" s="44"/>
      <c r="AC9" s="44"/>
      <c r="AD9" s="44"/>
      <c r="AE9" s="44"/>
      <c r="AF9" s="44"/>
      <c r="AG9" s="44"/>
    </row>
    <row r="10" spans="1:33" ht="21" thickBot="1">
      <c r="A10" s="20"/>
      <c r="B10" s="21"/>
      <c r="C10" s="397" t="s">
        <v>5</v>
      </c>
      <c r="D10" s="390"/>
      <c r="E10" s="387" t="s">
        <v>6</v>
      </c>
      <c r="F10" s="396"/>
      <c r="G10" s="389" t="s">
        <v>5</v>
      </c>
      <c r="H10" s="390"/>
      <c r="I10" s="387" t="s">
        <v>6</v>
      </c>
      <c r="J10" s="396"/>
      <c r="K10" s="389" t="s">
        <v>5</v>
      </c>
      <c r="L10" s="390"/>
      <c r="M10" s="387" t="s">
        <v>6</v>
      </c>
      <c r="N10" s="396"/>
      <c r="O10" s="389" t="s">
        <v>5</v>
      </c>
      <c r="P10" s="390"/>
      <c r="Q10" s="387" t="s">
        <v>6</v>
      </c>
      <c r="R10" s="388"/>
      <c r="S10" s="389" t="s">
        <v>5</v>
      </c>
      <c r="T10" s="390"/>
      <c r="U10" s="387" t="s">
        <v>6</v>
      </c>
      <c r="V10" s="396"/>
      <c r="W10" s="389" t="s">
        <v>5</v>
      </c>
      <c r="X10" s="390"/>
      <c r="Y10" s="387" t="s">
        <v>6</v>
      </c>
      <c r="Z10" s="388"/>
      <c r="AA10" s="44"/>
      <c r="AB10" s="44"/>
      <c r="AC10" s="44"/>
      <c r="AD10" s="44"/>
      <c r="AE10" s="44"/>
      <c r="AF10" s="44"/>
      <c r="AG10" s="44"/>
    </row>
    <row r="11" spans="1:33" ht="21" thickTop="1">
      <c r="A11" s="11" t="s">
        <v>7</v>
      </c>
      <c r="B11" s="12" t="s">
        <v>8</v>
      </c>
      <c r="C11" s="15" t="s">
        <v>9</v>
      </c>
      <c r="D11" s="4" t="s">
        <v>10</v>
      </c>
      <c r="E11" s="5" t="s">
        <v>9</v>
      </c>
      <c r="F11" s="6" t="s">
        <v>10</v>
      </c>
      <c r="G11" s="3" t="s">
        <v>9</v>
      </c>
      <c r="H11" s="4" t="s">
        <v>10</v>
      </c>
      <c r="I11" s="5" t="s">
        <v>9</v>
      </c>
      <c r="J11" s="6" t="s">
        <v>10</v>
      </c>
      <c r="K11" s="3" t="s">
        <v>9</v>
      </c>
      <c r="L11" s="4" t="s">
        <v>10</v>
      </c>
      <c r="M11" s="5" t="s">
        <v>9</v>
      </c>
      <c r="N11" s="6" t="s">
        <v>10</v>
      </c>
      <c r="O11" s="3" t="s">
        <v>9</v>
      </c>
      <c r="P11" s="4" t="s">
        <v>10</v>
      </c>
      <c r="Q11" s="5" t="s">
        <v>9</v>
      </c>
      <c r="R11" s="16" t="s">
        <v>10</v>
      </c>
      <c r="S11" s="3" t="s">
        <v>9</v>
      </c>
      <c r="T11" s="4" t="s">
        <v>10</v>
      </c>
      <c r="U11" s="5" t="s">
        <v>9</v>
      </c>
      <c r="V11" s="6" t="s">
        <v>10</v>
      </c>
      <c r="W11" s="3" t="s">
        <v>9</v>
      </c>
      <c r="X11" s="4" t="s">
        <v>10</v>
      </c>
      <c r="Y11" s="5" t="s">
        <v>9</v>
      </c>
      <c r="Z11" s="16" t="s">
        <v>10</v>
      </c>
      <c r="AA11" s="44"/>
      <c r="AB11" s="44"/>
      <c r="AC11" s="44"/>
      <c r="AD11" s="44"/>
      <c r="AE11" s="44"/>
      <c r="AF11" s="44"/>
      <c r="AG11" s="44"/>
    </row>
    <row r="12" spans="1:33" ht="30">
      <c r="A12" s="92">
        <v>6</v>
      </c>
      <c r="B12" s="14" t="s">
        <v>104</v>
      </c>
      <c r="C12" s="109"/>
      <c r="D12" s="110"/>
      <c r="E12" s="111"/>
      <c r="F12" s="112"/>
      <c r="G12" s="113"/>
      <c r="H12" s="110"/>
      <c r="I12" s="111"/>
      <c r="J12" s="112"/>
      <c r="K12" s="113"/>
      <c r="L12" s="110"/>
      <c r="M12" s="111"/>
      <c r="N12" s="112"/>
      <c r="O12" s="113"/>
      <c r="P12" s="110"/>
      <c r="Q12" s="111"/>
      <c r="R12" s="114"/>
      <c r="S12" s="113"/>
      <c r="T12" s="110"/>
      <c r="U12" s="111"/>
      <c r="V12" s="112"/>
      <c r="W12" s="113"/>
      <c r="X12" s="110"/>
      <c r="Y12" s="111"/>
      <c r="Z12" s="114"/>
      <c r="AA12" s="44"/>
      <c r="AB12" s="44"/>
      <c r="AC12" s="44"/>
      <c r="AD12" s="44"/>
      <c r="AE12" s="44"/>
      <c r="AF12" s="44"/>
      <c r="AG12" s="44"/>
    </row>
    <row r="13" spans="1:33" ht="20.25">
      <c r="A13" s="13"/>
      <c r="B13" s="14" t="s">
        <v>105</v>
      </c>
      <c r="C13" s="109"/>
      <c r="D13" s="110"/>
      <c r="E13" s="111"/>
      <c r="F13" s="112"/>
      <c r="G13" s="113"/>
      <c r="H13" s="110"/>
      <c r="I13" s="111"/>
      <c r="J13" s="112"/>
      <c r="K13" s="113"/>
      <c r="L13" s="110"/>
      <c r="M13" s="111"/>
      <c r="N13" s="112"/>
      <c r="O13" s="113"/>
      <c r="P13" s="110"/>
      <c r="Q13" s="111"/>
      <c r="R13" s="114"/>
      <c r="S13" s="113"/>
      <c r="T13" s="110"/>
      <c r="U13" s="111"/>
      <c r="V13" s="112"/>
      <c r="W13" s="113"/>
      <c r="X13" s="110"/>
      <c r="Y13" s="111"/>
      <c r="Z13" s="114"/>
      <c r="AA13" s="44"/>
      <c r="AB13" s="44"/>
      <c r="AC13" s="44"/>
      <c r="AD13" s="44"/>
      <c r="AE13" s="44"/>
      <c r="AF13" s="44"/>
      <c r="AG13" s="44"/>
    </row>
    <row r="14" spans="1:33" ht="30">
      <c r="A14" s="92">
        <v>7</v>
      </c>
      <c r="B14" s="14" t="s">
        <v>106</v>
      </c>
      <c r="C14" s="109"/>
      <c r="D14" s="110"/>
      <c r="E14" s="111"/>
      <c r="F14" s="112"/>
      <c r="G14" s="113"/>
      <c r="H14" s="110"/>
      <c r="I14" s="111"/>
      <c r="J14" s="112"/>
      <c r="K14" s="113"/>
      <c r="L14" s="110"/>
      <c r="M14" s="111"/>
      <c r="N14" s="112"/>
      <c r="O14" s="113"/>
      <c r="P14" s="110"/>
      <c r="Q14" s="111"/>
      <c r="R14" s="114"/>
      <c r="S14" s="113"/>
      <c r="T14" s="110">
        <v>1</v>
      </c>
      <c r="U14" s="111"/>
      <c r="V14" s="112"/>
      <c r="W14" s="113"/>
      <c r="X14" s="110"/>
      <c r="Y14" s="111"/>
      <c r="Z14" s="114"/>
      <c r="AA14" s="44"/>
      <c r="AB14" s="44"/>
      <c r="AC14" s="44"/>
      <c r="AD14" s="44"/>
      <c r="AE14" s="44"/>
      <c r="AF14" s="44"/>
      <c r="AG14" s="44"/>
    </row>
    <row r="15" spans="1:33" ht="20.25">
      <c r="A15" s="13"/>
      <c r="B15" s="14" t="s">
        <v>107</v>
      </c>
      <c r="C15" s="109"/>
      <c r="D15" s="110"/>
      <c r="E15" s="111"/>
      <c r="F15" s="112"/>
      <c r="G15" s="113"/>
      <c r="H15" s="110"/>
      <c r="I15" s="111"/>
      <c r="J15" s="112"/>
      <c r="K15" s="113"/>
      <c r="L15" s="110"/>
      <c r="M15" s="111"/>
      <c r="N15" s="112"/>
      <c r="O15" s="113"/>
      <c r="P15" s="110"/>
      <c r="Q15" s="111"/>
      <c r="R15" s="114"/>
      <c r="S15" s="113"/>
      <c r="T15" s="110"/>
      <c r="U15" s="111"/>
      <c r="V15" s="112"/>
      <c r="W15" s="113"/>
      <c r="X15" s="110"/>
      <c r="Y15" s="111"/>
      <c r="Z15" s="114"/>
      <c r="AA15" s="44"/>
      <c r="AB15" s="44"/>
      <c r="AC15" s="44"/>
      <c r="AD15" s="44"/>
      <c r="AE15" s="44"/>
      <c r="AF15" s="44"/>
      <c r="AG15" s="44"/>
    </row>
    <row r="16" spans="1:33" ht="20.25">
      <c r="A16" s="13"/>
      <c r="B16" s="14" t="s">
        <v>104</v>
      </c>
      <c r="C16" s="109"/>
      <c r="D16" s="110"/>
      <c r="E16" s="111"/>
      <c r="F16" s="112"/>
      <c r="G16" s="113"/>
      <c r="H16" s="110">
        <v>1</v>
      </c>
      <c r="I16" s="111"/>
      <c r="J16" s="112"/>
      <c r="K16" s="113"/>
      <c r="L16" s="110">
        <v>1</v>
      </c>
      <c r="M16" s="111"/>
      <c r="N16" s="112"/>
      <c r="O16" s="113"/>
      <c r="P16" s="110"/>
      <c r="Q16" s="111"/>
      <c r="R16" s="114"/>
      <c r="S16" s="113"/>
      <c r="T16" s="110"/>
      <c r="U16" s="111"/>
      <c r="V16" s="112"/>
      <c r="W16" s="113"/>
      <c r="X16" s="110"/>
      <c r="Y16" s="111"/>
      <c r="Z16" s="114"/>
      <c r="AA16" s="44"/>
      <c r="AB16" s="44"/>
      <c r="AC16" s="44"/>
      <c r="AD16" s="44"/>
      <c r="AE16" s="44"/>
      <c r="AF16" s="44"/>
      <c r="AG16" s="44"/>
    </row>
    <row r="17" spans="1:33" ht="20.25">
      <c r="A17" s="13"/>
      <c r="B17" s="14" t="s">
        <v>105</v>
      </c>
      <c r="C17" s="109"/>
      <c r="D17" s="110"/>
      <c r="E17" s="111"/>
      <c r="F17" s="112"/>
      <c r="G17" s="113"/>
      <c r="H17" s="110">
        <v>1</v>
      </c>
      <c r="I17" s="111"/>
      <c r="J17" s="112"/>
      <c r="K17" s="113"/>
      <c r="L17" s="110">
        <v>1</v>
      </c>
      <c r="M17" s="111"/>
      <c r="N17" s="112"/>
      <c r="O17" s="113"/>
      <c r="P17" s="110"/>
      <c r="Q17" s="111"/>
      <c r="R17" s="114"/>
      <c r="S17" s="113"/>
      <c r="T17" s="110"/>
      <c r="U17" s="111"/>
      <c r="V17" s="112"/>
      <c r="W17" s="113"/>
      <c r="X17" s="110"/>
      <c r="Y17" s="111"/>
      <c r="Z17" s="114"/>
      <c r="AA17" s="44"/>
      <c r="AB17" s="44"/>
      <c r="AC17" s="44"/>
      <c r="AD17" s="44"/>
      <c r="AE17" s="44"/>
      <c r="AF17" s="44"/>
      <c r="AG17" s="44"/>
    </row>
    <row r="18" spans="1:33" ht="30">
      <c r="A18" s="92">
        <v>8</v>
      </c>
      <c r="B18" s="14" t="s">
        <v>106</v>
      </c>
      <c r="C18" s="109"/>
      <c r="D18" s="110"/>
      <c r="E18" s="111"/>
      <c r="F18" s="112"/>
      <c r="G18" s="113"/>
      <c r="H18" s="110"/>
      <c r="I18" s="111"/>
      <c r="J18" s="112"/>
      <c r="K18" s="113"/>
      <c r="L18" s="110">
        <v>1</v>
      </c>
      <c r="M18" s="111"/>
      <c r="N18" s="112"/>
      <c r="O18" s="113"/>
      <c r="P18" s="110"/>
      <c r="Q18" s="111"/>
      <c r="R18" s="114"/>
      <c r="S18" s="113"/>
      <c r="T18" s="110"/>
      <c r="U18" s="111"/>
      <c r="V18" s="112"/>
      <c r="W18" s="113"/>
      <c r="X18" s="110"/>
      <c r="Y18" s="111"/>
      <c r="Z18" s="114"/>
      <c r="AA18" s="44"/>
      <c r="AB18" s="44"/>
      <c r="AC18" s="44"/>
      <c r="AD18" s="44"/>
      <c r="AE18" s="44"/>
      <c r="AF18" s="44"/>
      <c r="AG18" s="44"/>
    </row>
    <row r="19" spans="1:33" ht="20.25">
      <c r="A19" s="13"/>
      <c r="B19" s="14" t="s">
        <v>107</v>
      </c>
      <c r="C19" s="109"/>
      <c r="D19" s="110"/>
      <c r="E19" s="111"/>
      <c r="F19" s="112"/>
      <c r="G19" s="113"/>
      <c r="H19" s="110"/>
      <c r="I19" s="111"/>
      <c r="J19" s="112"/>
      <c r="K19" s="113"/>
      <c r="L19" s="110"/>
      <c r="M19" s="111"/>
      <c r="N19" s="112"/>
      <c r="O19" s="113"/>
      <c r="P19" s="110"/>
      <c r="Q19" s="111"/>
      <c r="R19" s="114"/>
      <c r="S19" s="113"/>
      <c r="T19" s="110"/>
      <c r="U19" s="111"/>
      <c r="V19" s="112"/>
      <c r="W19" s="113"/>
      <c r="X19" s="110"/>
      <c r="Y19" s="111"/>
      <c r="Z19" s="114"/>
      <c r="AA19" s="44"/>
      <c r="AB19" s="44"/>
      <c r="AC19" s="44"/>
      <c r="AD19" s="44"/>
      <c r="AE19" s="44"/>
      <c r="AF19" s="44"/>
      <c r="AG19" s="44"/>
    </row>
    <row r="20" spans="1:33" ht="20.25">
      <c r="A20" s="13"/>
      <c r="B20" s="14" t="s">
        <v>104</v>
      </c>
      <c r="C20" s="109"/>
      <c r="D20" s="110"/>
      <c r="E20" s="111"/>
      <c r="F20" s="112"/>
      <c r="G20" s="113"/>
      <c r="H20" s="110"/>
      <c r="I20" s="111"/>
      <c r="J20" s="112"/>
      <c r="K20" s="113"/>
      <c r="L20" s="110"/>
      <c r="M20" s="111"/>
      <c r="N20" s="112"/>
      <c r="O20" s="113"/>
      <c r="P20" s="110"/>
      <c r="Q20" s="111"/>
      <c r="R20" s="114"/>
      <c r="S20" s="113"/>
      <c r="T20" s="110"/>
      <c r="U20" s="111"/>
      <c r="V20" s="112"/>
      <c r="W20" s="113"/>
      <c r="X20" s="110"/>
      <c r="Y20" s="111"/>
      <c r="Z20" s="114"/>
      <c r="AA20" s="44"/>
      <c r="AB20" s="44"/>
      <c r="AC20" s="44"/>
      <c r="AD20" s="44"/>
      <c r="AE20" s="44"/>
      <c r="AF20" s="44"/>
      <c r="AG20" s="44"/>
    </row>
    <row r="21" spans="1:33" ht="21" thickBot="1">
      <c r="A21" s="93">
        <v>9</v>
      </c>
      <c r="B21" s="14" t="s">
        <v>105</v>
      </c>
      <c r="C21" s="109"/>
      <c r="D21" s="110"/>
      <c r="E21" s="111"/>
      <c r="F21" s="112"/>
      <c r="G21" s="113"/>
      <c r="H21" s="110"/>
      <c r="I21" s="111"/>
      <c r="J21" s="112"/>
      <c r="K21" s="113"/>
      <c r="L21" s="110"/>
      <c r="M21" s="111"/>
      <c r="N21" s="112"/>
      <c r="O21" s="113"/>
      <c r="P21" s="110"/>
      <c r="Q21" s="111"/>
      <c r="R21" s="114"/>
      <c r="S21" s="113"/>
      <c r="T21" s="110"/>
      <c r="U21" s="111"/>
      <c r="V21" s="112"/>
      <c r="W21" s="113"/>
      <c r="X21" s="110"/>
      <c r="Y21" s="111"/>
      <c r="Z21" s="114"/>
      <c r="AA21" s="44"/>
      <c r="AB21" s="44"/>
      <c r="AC21" s="44"/>
      <c r="AD21" s="44"/>
      <c r="AE21" s="44"/>
      <c r="AF21" s="44"/>
      <c r="AG21" s="44"/>
    </row>
    <row r="22" spans="1:33" ht="21.75" thickTop="1" thickBot="1">
      <c r="A22" s="100"/>
      <c r="B22" s="100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44"/>
      <c r="AB22" s="44"/>
      <c r="AC22" s="44"/>
      <c r="AD22" s="44"/>
      <c r="AE22" s="44"/>
      <c r="AF22" s="44"/>
      <c r="AG22" s="44"/>
    </row>
    <row r="23" spans="1:33" ht="21" thickBot="1">
      <c r="A23" s="115" t="s">
        <v>0</v>
      </c>
      <c r="B23" s="116" t="str">
        <f>B1</f>
        <v>Scientrier Carrefour Pont de Bellecombe</v>
      </c>
      <c r="C23" s="117"/>
      <c r="D23" s="117"/>
      <c r="E23" s="117"/>
      <c r="F23" s="118"/>
      <c r="G23" s="118"/>
      <c r="H23" s="117"/>
      <c r="I23" s="117"/>
      <c r="J23" s="118"/>
      <c r="K23" s="118"/>
      <c r="L23" s="119"/>
      <c r="M23" s="58" t="s">
        <v>90</v>
      </c>
      <c r="N23" s="120" t="str">
        <f>N1</f>
        <v>mardi 16 juin 2020</v>
      </c>
      <c r="O23" s="117"/>
      <c r="P23" s="117"/>
      <c r="Q23" s="117"/>
      <c r="R23" s="117"/>
      <c r="S23" s="117"/>
      <c r="T23" s="117"/>
      <c r="U23" s="117"/>
      <c r="V23" s="121"/>
      <c r="W23" s="50"/>
      <c r="X23" s="50"/>
      <c r="Y23" s="50"/>
      <c r="Z23" s="122"/>
      <c r="AA23" s="44"/>
      <c r="AB23" s="44"/>
      <c r="AC23" s="44"/>
      <c r="AD23" s="44"/>
      <c r="AE23" s="44"/>
      <c r="AF23" s="44"/>
      <c r="AG23" s="44"/>
    </row>
    <row r="24" spans="1:33" ht="21" thickBot="1">
      <c r="A24" s="115" t="s">
        <v>2</v>
      </c>
      <c r="B24" s="123"/>
      <c r="C24" s="21"/>
      <c r="D24" s="21"/>
      <c r="E24" s="21"/>
      <c r="F24" s="21"/>
      <c r="G24" s="116" t="str">
        <f>G2</f>
        <v>Philippe LEMOINE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21"/>
      <c r="W24" s="50"/>
      <c r="X24" s="50"/>
      <c r="Y24" s="50"/>
      <c r="Z24" s="50"/>
      <c r="AA24" s="323"/>
      <c r="AB24" s="323"/>
      <c r="AC24" s="323"/>
      <c r="AD24" s="323"/>
      <c r="AE24" s="323"/>
      <c r="AF24" s="323"/>
    </row>
    <row r="25" spans="1:33" ht="21" thickBot="1">
      <c r="A25" s="115" t="s">
        <v>3</v>
      </c>
      <c r="B25" s="50"/>
      <c r="C25" s="116" t="str">
        <f>C3</f>
        <v>Beau temps, mais frais</v>
      </c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21"/>
      <c r="W25" s="50"/>
      <c r="X25" s="50"/>
      <c r="Y25" s="50"/>
      <c r="Z25" s="122"/>
      <c r="AA25" s="44"/>
      <c r="AB25" s="44"/>
      <c r="AC25" s="44"/>
      <c r="AD25" s="44"/>
      <c r="AE25" s="44"/>
      <c r="AF25" s="44"/>
    </row>
    <row r="26" spans="1:33" ht="21" thickBot="1">
      <c r="A26" s="56" t="s">
        <v>18</v>
      </c>
      <c r="B26" s="60"/>
      <c r="C26" s="116" t="str">
        <f>C4</f>
        <v>Petite brume matinale (liée à l'Arve) et carrefour très bruyant (beaucoup de camions !)</v>
      </c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21"/>
      <c r="W26" s="60"/>
      <c r="X26" s="60"/>
      <c r="Y26" s="60"/>
      <c r="Z26" s="61"/>
      <c r="AA26" s="44"/>
      <c r="AB26" s="44"/>
      <c r="AC26" s="44"/>
      <c r="AD26" s="44"/>
      <c r="AE26" s="44"/>
      <c r="AF26" s="44"/>
    </row>
    <row r="27" spans="1:33" ht="20.25">
      <c r="A27" s="102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94"/>
      <c r="S27" s="21"/>
      <c r="T27" s="21"/>
      <c r="U27" s="21"/>
      <c r="V27" s="21"/>
      <c r="W27" s="21"/>
      <c r="X27" s="21"/>
      <c r="Y27" s="21"/>
      <c r="Z27" s="94"/>
      <c r="AA27" s="327" t="s">
        <v>164</v>
      </c>
      <c r="AB27" s="44"/>
      <c r="AC27" s="44"/>
      <c r="AD27" s="44"/>
      <c r="AE27" s="44"/>
      <c r="AF27" s="44"/>
    </row>
    <row r="28" spans="1:33" ht="21" thickBot="1">
      <c r="A28" s="10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94"/>
      <c r="S28" s="21"/>
      <c r="T28" s="21"/>
      <c r="U28" s="21"/>
      <c r="V28" s="21"/>
      <c r="W28" s="21"/>
      <c r="X28" s="21"/>
      <c r="Y28" s="21"/>
      <c r="Z28" s="94"/>
      <c r="AA28" s="21"/>
      <c r="AB28" s="21"/>
      <c r="AC28" s="21"/>
      <c r="AD28" s="21"/>
      <c r="AE28" s="21"/>
      <c r="AF28" s="21"/>
    </row>
    <row r="29" spans="1:33" ht="21" thickBot="1">
      <c r="A29" s="102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94"/>
      <c r="S29" s="21"/>
      <c r="T29" s="21"/>
      <c r="U29" s="21"/>
      <c r="V29" s="21"/>
      <c r="W29" s="21"/>
      <c r="X29" s="21"/>
      <c r="Y29" s="21"/>
      <c r="Z29" s="94"/>
      <c r="AA29" s="62" t="s">
        <v>0</v>
      </c>
      <c r="AB29" s="21"/>
      <c r="AC29" s="21"/>
      <c r="AD29" s="21"/>
      <c r="AE29" s="21"/>
      <c r="AF29" s="21"/>
    </row>
    <row r="30" spans="1:33" ht="30.75" customHeight="1" thickTop="1">
      <c r="A30" s="20"/>
      <c r="B30" s="21"/>
      <c r="C30" s="399" t="str">
        <f>C8</f>
        <v>Depuis 'La Roche'</v>
      </c>
      <c r="D30" s="400"/>
      <c r="E30" s="400"/>
      <c r="F30" s="400"/>
      <c r="G30" s="400"/>
      <c r="H30" s="400"/>
      <c r="I30" s="400"/>
      <c r="J30" s="400"/>
      <c r="K30" s="400" t="str">
        <f>K8</f>
        <v>Depuis 'Reignier'</v>
      </c>
      <c r="L30" s="400"/>
      <c r="M30" s="400"/>
      <c r="N30" s="400"/>
      <c r="O30" s="400"/>
      <c r="P30" s="400"/>
      <c r="Q30" s="400"/>
      <c r="R30" s="401"/>
      <c r="S30" s="401" t="str">
        <f>S8</f>
        <v>Depuis 'Findrol'</v>
      </c>
      <c r="T30" s="413"/>
      <c r="U30" s="413"/>
      <c r="V30" s="413"/>
      <c r="W30" s="413"/>
      <c r="X30" s="413"/>
      <c r="Y30" s="413"/>
      <c r="Z30" s="413"/>
      <c r="AA30" s="20"/>
      <c r="AB30" s="21"/>
      <c r="AC30" s="368" t="s">
        <v>13</v>
      </c>
      <c r="AD30" s="385" t="s">
        <v>108</v>
      </c>
      <c r="AE30" s="385" t="s">
        <v>109</v>
      </c>
      <c r="AF30" s="385" t="s">
        <v>110</v>
      </c>
    </row>
    <row r="31" spans="1:33" ht="23.25" customHeight="1">
      <c r="A31" s="20"/>
      <c r="B31" s="21"/>
      <c r="C31" s="398" t="str">
        <f>C9</f>
        <v>vers 'Reignier'</v>
      </c>
      <c r="D31" s="395"/>
      <c r="E31" s="395"/>
      <c r="F31" s="395"/>
      <c r="G31" s="398" t="str">
        <f>G9</f>
        <v>vers 'Findrol'</v>
      </c>
      <c r="H31" s="395"/>
      <c r="I31" s="395"/>
      <c r="J31" s="395"/>
      <c r="K31" s="398" t="str">
        <f>K9</f>
        <v>vers 'Findrol'</v>
      </c>
      <c r="L31" s="395"/>
      <c r="M31" s="395"/>
      <c r="N31" s="395"/>
      <c r="O31" s="398" t="str">
        <f>O9</f>
        <v>vers 'La Roche'</v>
      </c>
      <c r="P31" s="395"/>
      <c r="Q31" s="395"/>
      <c r="R31" s="395"/>
      <c r="S31" s="410" t="str">
        <f>S9</f>
        <v>vers 'Reignier'</v>
      </c>
      <c r="T31" s="410"/>
      <c r="U31" s="410"/>
      <c r="V31" s="410"/>
      <c r="W31" s="410" t="str">
        <f>W9</f>
        <v>vers 'La Roche'</v>
      </c>
      <c r="X31" s="410"/>
      <c r="Y31" s="410"/>
      <c r="Z31" s="410"/>
      <c r="AA31" s="20"/>
      <c r="AB31" s="21"/>
      <c r="AC31" s="369"/>
      <c r="AD31" s="386"/>
      <c r="AE31" s="386"/>
      <c r="AF31" s="386"/>
    </row>
    <row r="32" spans="1:33" ht="21" thickBot="1">
      <c r="A32" s="124"/>
      <c r="B32" s="21"/>
      <c r="C32" s="397" t="s">
        <v>5</v>
      </c>
      <c r="D32" s="390"/>
      <c r="E32" s="387" t="s">
        <v>6</v>
      </c>
      <c r="F32" s="396"/>
      <c r="G32" s="389" t="s">
        <v>5</v>
      </c>
      <c r="H32" s="390"/>
      <c r="I32" s="387" t="s">
        <v>6</v>
      </c>
      <c r="J32" s="396"/>
      <c r="K32" s="389" t="s">
        <v>5</v>
      </c>
      <c r="L32" s="390"/>
      <c r="M32" s="387" t="s">
        <v>6</v>
      </c>
      <c r="N32" s="396"/>
      <c r="O32" s="389" t="s">
        <v>5</v>
      </c>
      <c r="P32" s="390"/>
      <c r="Q32" s="387" t="s">
        <v>6</v>
      </c>
      <c r="R32" s="388"/>
      <c r="S32" s="411" t="s">
        <v>5</v>
      </c>
      <c r="T32" s="412"/>
      <c r="U32" s="412" t="s">
        <v>6</v>
      </c>
      <c r="V32" s="412"/>
      <c r="W32" s="412" t="s">
        <v>5</v>
      </c>
      <c r="X32" s="412"/>
      <c r="Y32" s="412" t="s">
        <v>6</v>
      </c>
      <c r="Z32" s="412"/>
      <c r="AA32" s="124"/>
      <c r="AB32" s="21"/>
      <c r="AC32" s="369"/>
      <c r="AD32" s="386"/>
      <c r="AE32" s="386"/>
      <c r="AF32" s="386"/>
    </row>
    <row r="33" spans="1:32" ht="21" thickTop="1">
      <c r="A33" s="373" t="s">
        <v>14</v>
      </c>
      <c r="B33" s="374"/>
      <c r="C33" s="15" t="s">
        <v>9</v>
      </c>
      <c r="D33" s="4" t="s">
        <v>10</v>
      </c>
      <c r="E33" s="5" t="s">
        <v>9</v>
      </c>
      <c r="F33" s="6" t="s">
        <v>10</v>
      </c>
      <c r="G33" s="3" t="s">
        <v>9</v>
      </c>
      <c r="H33" s="4" t="s">
        <v>10</v>
      </c>
      <c r="I33" s="5" t="s">
        <v>9</v>
      </c>
      <c r="J33" s="6" t="s">
        <v>10</v>
      </c>
      <c r="K33" s="3" t="s">
        <v>9</v>
      </c>
      <c r="L33" s="4" t="s">
        <v>10</v>
      </c>
      <c r="M33" s="5" t="s">
        <v>9</v>
      </c>
      <c r="N33" s="6" t="s">
        <v>10</v>
      </c>
      <c r="O33" s="3" t="s">
        <v>9</v>
      </c>
      <c r="P33" s="4" t="s">
        <v>10</v>
      </c>
      <c r="Q33" s="5" t="s">
        <v>9</v>
      </c>
      <c r="R33" s="16" t="s">
        <v>10</v>
      </c>
      <c r="S33" s="125" t="s">
        <v>9</v>
      </c>
      <c r="T33" s="126" t="s">
        <v>10</v>
      </c>
      <c r="U33" s="126" t="s">
        <v>9</v>
      </c>
      <c r="V33" s="126" t="s">
        <v>10</v>
      </c>
      <c r="W33" s="126" t="s">
        <v>9</v>
      </c>
      <c r="X33" s="126" t="s">
        <v>10</v>
      </c>
      <c r="Y33" s="126" t="s">
        <v>9</v>
      </c>
      <c r="Z33" s="126" t="s">
        <v>10</v>
      </c>
      <c r="AA33" s="364" t="s">
        <v>14</v>
      </c>
      <c r="AB33" s="365"/>
      <c r="AC33" s="369"/>
      <c r="AD33" s="386"/>
      <c r="AE33" s="386"/>
      <c r="AF33" s="386"/>
    </row>
    <row r="34" spans="1:32" ht="35.1" customHeight="1">
      <c r="A34" s="375" t="s">
        <v>175</v>
      </c>
      <c r="B34" s="376"/>
      <c r="C34" s="26">
        <f>SUM(C12:C13)</f>
        <v>0</v>
      </c>
      <c r="D34" s="27">
        <f t="shared" ref="D34:Z34" si="0">SUM(D12:D13)</f>
        <v>0</v>
      </c>
      <c r="E34" s="28">
        <f t="shared" si="0"/>
        <v>0</v>
      </c>
      <c r="F34" s="29">
        <f t="shared" si="0"/>
        <v>0</v>
      </c>
      <c r="G34" s="30">
        <f t="shared" si="0"/>
        <v>0</v>
      </c>
      <c r="H34" s="27">
        <f t="shared" si="0"/>
        <v>0</v>
      </c>
      <c r="I34" s="28">
        <f t="shared" si="0"/>
        <v>0</v>
      </c>
      <c r="J34" s="29">
        <f t="shared" si="0"/>
        <v>0</v>
      </c>
      <c r="K34" s="30">
        <f t="shared" si="0"/>
        <v>0</v>
      </c>
      <c r="L34" s="27">
        <f t="shared" si="0"/>
        <v>0</v>
      </c>
      <c r="M34" s="28">
        <f t="shared" si="0"/>
        <v>0</v>
      </c>
      <c r="N34" s="29">
        <f t="shared" si="0"/>
        <v>0</v>
      </c>
      <c r="O34" s="30">
        <f t="shared" si="0"/>
        <v>0</v>
      </c>
      <c r="P34" s="27">
        <f t="shared" si="0"/>
        <v>0</v>
      </c>
      <c r="Q34" s="28">
        <f t="shared" si="0"/>
        <v>0</v>
      </c>
      <c r="R34" s="31">
        <f t="shared" si="0"/>
        <v>0</v>
      </c>
      <c r="S34" s="127">
        <f t="shared" si="0"/>
        <v>0</v>
      </c>
      <c r="T34" s="128">
        <f t="shared" si="0"/>
        <v>0</v>
      </c>
      <c r="U34" s="128">
        <f t="shared" si="0"/>
        <v>0</v>
      </c>
      <c r="V34" s="128">
        <f t="shared" si="0"/>
        <v>0</v>
      </c>
      <c r="W34" s="128">
        <f t="shared" si="0"/>
        <v>0</v>
      </c>
      <c r="X34" s="128">
        <f t="shared" si="0"/>
        <v>0</v>
      </c>
      <c r="Y34" s="128">
        <f t="shared" si="0"/>
        <v>0</v>
      </c>
      <c r="Z34" s="128">
        <f t="shared" si="0"/>
        <v>0</v>
      </c>
      <c r="AA34" s="366" t="str">
        <f>A34</f>
        <v>6:30 à 7:00</v>
      </c>
      <c r="AB34" s="367"/>
      <c r="AC34" s="47">
        <f>SUM(C34:Z34)</f>
        <v>0</v>
      </c>
      <c r="AD34" s="303">
        <f>C34+E34+G34+I34+K34+M34+O34+Q34+S34+U34+W34+Y34</f>
        <v>0</v>
      </c>
      <c r="AE34" s="303">
        <f>E34+F34+I34+J34+M34+N34+Q34+R34+U34+V34+Y34+Z34</f>
        <v>0</v>
      </c>
      <c r="AF34" s="303">
        <f>E34+I34+M34+Q34+U34+Y34</f>
        <v>0</v>
      </c>
    </row>
    <row r="35" spans="1:32" ht="35.1" customHeight="1">
      <c r="A35" s="377" t="s">
        <v>46</v>
      </c>
      <c r="B35" s="378"/>
      <c r="C35" s="32">
        <f t="shared" ref="C35:Z35" si="1">SUM(C14:C17)</f>
        <v>0</v>
      </c>
      <c r="D35" s="33">
        <f t="shared" si="1"/>
        <v>0</v>
      </c>
      <c r="E35" s="34">
        <f t="shared" si="1"/>
        <v>0</v>
      </c>
      <c r="F35" s="35">
        <f t="shared" si="1"/>
        <v>0</v>
      </c>
      <c r="G35" s="36">
        <f t="shared" si="1"/>
        <v>0</v>
      </c>
      <c r="H35" s="33">
        <f t="shared" si="1"/>
        <v>2</v>
      </c>
      <c r="I35" s="34">
        <f t="shared" si="1"/>
        <v>0</v>
      </c>
      <c r="J35" s="35">
        <f t="shared" si="1"/>
        <v>0</v>
      </c>
      <c r="K35" s="36">
        <f t="shared" si="1"/>
        <v>0</v>
      </c>
      <c r="L35" s="33">
        <f t="shared" si="1"/>
        <v>2</v>
      </c>
      <c r="M35" s="34">
        <f t="shared" si="1"/>
        <v>0</v>
      </c>
      <c r="N35" s="35">
        <f t="shared" si="1"/>
        <v>0</v>
      </c>
      <c r="O35" s="36">
        <f t="shared" si="1"/>
        <v>0</v>
      </c>
      <c r="P35" s="33">
        <f t="shared" si="1"/>
        <v>0</v>
      </c>
      <c r="Q35" s="34">
        <f t="shared" si="1"/>
        <v>0</v>
      </c>
      <c r="R35" s="37">
        <f t="shared" si="1"/>
        <v>0</v>
      </c>
      <c r="S35" s="130">
        <f t="shared" si="1"/>
        <v>0</v>
      </c>
      <c r="T35" s="131">
        <f t="shared" si="1"/>
        <v>1</v>
      </c>
      <c r="U35" s="131">
        <f t="shared" si="1"/>
        <v>0</v>
      </c>
      <c r="V35" s="131">
        <f t="shared" si="1"/>
        <v>0</v>
      </c>
      <c r="W35" s="131">
        <f t="shared" si="1"/>
        <v>0</v>
      </c>
      <c r="X35" s="131">
        <f t="shared" si="1"/>
        <v>0</v>
      </c>
      <c r="Y35" s="131">
        <f t="shared" si="1"/>
        <v>0</v>
      </c>
      <c r="Z35" s="131">
        <f t="shared" si="1"/>
        <v>0</v>
      </c>
      <c r="AA35" s="366" t="str">
        <f t="shared" ref="AA35:AA37" si="2">A35</f>
        <v>7:00 à 8:00</v>
      </c>
      <c r="AB35" s="367"/>
      <c r="AC35" s="47">
        <f t="shared" ref="AC35:AC37" si="3">SUM(C35:Z35)</f>
        <v>5</v>
      </c>
      <c r="AD35" s="303">
        <f t="shared" ref="AD35:AD37" si="4">C35+E35+G35+I35+K35+M35+O35+Q35+S35+U35+W35+Y35</f>
        <v>0</v>
      </c>
      <c r="AE35" s="303">
        <f t="shared" ref="AE35:AE37" si="5">E35+F35+I35+J35+M35+N35+Q35+R35+U35+V35+Y35+Z35</f>
        <v>0</v>
      </c>
      <c r="AF35" s="303">
        <f t="shared" ref="AF35:AF37" si="6">E35+I35+M35+Q35+U35+Y35</f>
        <v>0</v>
      </c>
    </row>
    <row r="36" spans="1:32" ht="35.1" customHeight="1">
      <c r="A36" s="377" t="s">
        <v>47</v>
      </c>
      <c r="B36" s="378"/>
      <c r="C36" s="32">
        <f t="shared" ref="C36:Z36" si="7">SUM(C16:C19)</f>
        <v>0</v>
      </c>
      <c r="D36" s="33">
        <f t="shared" si="7"/>
        <v>0</v>
      </c>
      <c r="E36" s="34">
        <f t="shared" si="7"/>
        <v>0</v>
      </c>
      <c r="F36" s="35">
        <f t="shared" si="7"/>
        <v>0</v>
      </c>
      <c r="G36" s="36">
        <f t="shared" si="7"/>
        <v>0</v>
      </c>
      <c r="H36" s="33">
        <f t="shared" si="7"/>
        <v>2</v>
      </c>
      <c r="I36" s="34">
        <f t="shared" si="7"/>
        <v>0</v>
      </c>
      <c r="J36" s="35">
        <f t="shared" si="7"/>
        <v>0</v>
      </c>
      <c r="K36" s="36">
        <f t="shared" si="7"/>
        <v>0</v>
      </c>
      <c r="L36" s="33">
        <f t="shared" si="7"/>
        <v>3</v>
      </c>
      <c r="M36" s="34">
        <f t="shared" si="7"/>
        <v>0</v>
      </c>
      <c r="N36" s="35">
        <f t="shared" si="7"/>
        <v>0</v>
      </c>
      <c r="O36" s="36">
        <f t="shared" si="7"/>
        <v>0</v>
      </c>
      <c r="P36" s="33">
        <f t="shared" si="7"/>
        <v>0</v>
      </c>
      <c r="Q36" s="34">
        <f t="shared" si="7"/>
        <v>0</v>
      </c>
      <c r="R36" s="37">
        <f t="shared" si="7"/>
        <v>0</v>
      </c>
      <c r="S36" s="130">
        <f t="shared" si="7"/>
        <v>0</v>
      </c>
      <c r="T36" s="131">
        <f t="shared" si="7"/>
        <v>0</v>
      </c>
      <c r="U36" s="131">
        <f t="shared" si="7"/>
        <v>0</v>
      </c>
      <c r="V36" s="131">
        <f t="shared" si="7"/>
        <v>0</v>
      </c>
      <c r="W36" s="131">
        <f t="shared" si="7"/>
        <v>0</v>
      </c>
      <c r="X36" s="131">
        <f t="shared" si="7"/>
        <v>0</v>
      </c>
      <c r="Y36" s="131">
        <f t="shared" si="7"/>
        <v>0</v>
      </c>
      <c r="Z36" s="131">
        <f t="shared" si="7"/>
        <v>0</v>
      </c>
      <c r="AA36" s="366" t="str">
        <f t="shared" si="2"/>
        <v>7:30 à 8:30</v>
      </c>
      <c r="AB36" s="367"/>
      <c r="AC36" s="47">
        <f t="shared" si="3"/>
        <v>5</v>
      </c>
      <c r="AD36" s="303">
        <f t="shared" si="4"/>
        <v>0</v>
      </c>
      <c r="AE36" s="303">
        <f t="shared" si="5"/>
        <v>0</v>
      </c>
      <c r="AF36" s="303">
        <f t="shared" si="6"/>
        <v>0</v>
      </c>
    </row>
    <row r="37" spans="1:32" ht="35.1" customHeight="1">
      <c r="A37" s="377" t="s">
        <v>48</v>
      </c>
      <c r="B37" s="378"/>
      <c r="C37" s="32">
        <f t="shared" ref="C37:Z37" si="8">SUM(C18:C21)</f>
        <v>0</v>
      </c>
      <c r="D37" s="33">
        <f t="shared" si="8"/>
        <v>0</v>
      </c>
      <c r="E37" s="34">
        <f t="shared" si="8"/>
        <v>0</v>
      </c>
      <c r="F37" s="35">
        <f t="shared" si="8"/>
        <v>0</v>
      </c>
      <c r="G37" s="36">
        <f t="shared" si="8"/>
        <v>0</v>
      </c>
      <c r="H37" s="33">
        <f t="shared" si="8"/>
        <v>0</v>
      </c>
      <c r="I37" s="34">
        <f t="shared" si="8"/>
        <v>0</v>
      </c>
      <c r="J37" s="35">
        <f t="shared" si="8"/>
        <v>0</v>
      </c>
      <c r="K37" s="36">
        <f t="shared" si="8"/>
        <v>0</v>
      </c>
      <c r="L37" s="33">
        <f t="shared" si="8"/>
        <v>1</v>
      </c>
      <c r="M37" s="34">
        <f t="shared" si="8"/>
        <v>0</v>
      </c>
      <c r="N37" s="35">
        <f t="shared" si="8"/>
        <v>0</v>
      </c>
      <c r="O37" s="36">
        <f t="shared" si="8"/>
        <v>0</v>
      </c>
      <c r="P37" s="33">
        <f t="shared" si="8"/>
        <v>0</v>
      </c>
      <c r="Q37" s="34">
        <f t="shared" si="8"/>
        <v>0</v>
      </c>
      <c r="R37" s="37">
        <f t="shared" si="8"/>
        <v>0</v>
      </c>
      <c r="S37" s="130">
        <f t="shared" si="8"/>
        <v>0</v>
      </c>
      <c r="T37" s="131">
        <f t="shared" si="8"/>
        <v>0</v>
      </c>
      <c r="U37" s="131">
        <f t="shared" si="8"/>
        <v>0</v>
      </c>
      <c r="V37" s="131">
        <f t="shared" si="8"/>
        <v>0</v>
      </c>
      <c r="W37" s="131">
        <f t="shared" si="8"/>
        <v>0</v>
      </c>
      <c r="X37" s="131">
        <f t="shared" si="8"/>
        <v>0</v>
      </c>
      <c r="Y37" s="131">
        <f t="shared" si="8"/>
        <v>0</v>
      </c>
      <c r="Z37" s="131">
        <f t="shared" si="8"/>
        <v>0</v>
      </c>
      <c r="AA37" s="366" t="str">
        <f t="shared" si="2"/>
        <v>8:00 à 9:00</v>
      </c>
      <c r="AB37" s="367"/>
      <c r="AC37" s="47">
        <f t="shared" si="3"/>
        <v>1</v>
      </c>
      <c r="AD37" s="303">
        <f t="shared" si="4"/>
        <v>0</v>
      </c>
      <c r="AE37" s="303">
        <f t="shared" si="5"/>
        <v>0</v>
      </c>
      <c r="AF37" s="303">
        <f t="shared" si="6"/>
        <v>0</v>
      </c>
    </row>
    <row r="38" spans="1:32" ht="35.1" customHeight="1" thickBot="1">
      <c r="A38" s="406" t="s">
        <v>13</v>
      </c>
      <c r="B38" s="407"/>
      <c r="C38" s="38">
        <f t="shared" ref="C38:Z38" si="9">SUM(C12:C21)</f>
        <v>0</v>
      </c>
      <c r="D38" s="39">
        <f t="shared" si="9"/>
        <v>0</v>
      </c>
      <c r="E38" s="40">
        <f t="shared" si="9"/>
        <v>0</v>
      </c>
      <c r="F38" s="41">
        <f t="shared" si="9"/>
        <v>0</v>
      </c>
      <c r="G38" s="42">
        <f t="shared" si="9"/>
        <v>0</v>
      </c>
      <c r="H38" s="39">
        <f t="shared" si="9"/>
        <v>2</v>
      </c>
      <c r="I38" s="40">
        <f t="shared" si="9"/>
        <v>0</v>
      </c>
      <c r="J38" s="41">
        <f t="shared" si="9"/>
        <v>0</v>
      </c>
      <c r="K38" s="42">
        <f t="shared" si="9"/>
        <v>0</v>
      </c>
      <c r="L38" s="39">
        <f t="shared" si="9"/>
        <v>3</v>
      </c>
      <c r="M38" s="40">
        <f t="shared" si="9"/>
        <v>0</v>
      </c>
      <c r="N38" s="41">
        <f t="shared" si="9"/>
        <v>0</v>
      </c>
      <c r="O38" s="42">
        <f t="shared" si="9"/>
        <v>0</v>
      </c>
      <c r="P38" s="39">
        <f t="shared" si="9"/>
        <v>0</v>
      </c>
      <c r="Q38" s="40">
        <f t="shared" si="9"/>
        <v>0</v>
      </c>
      <c r="R38" s="43">
        <f t="shared" si="9"/>
        <v>0</v>
      </c>
      <c r="S38" s="134">
        <f t="shared" si="9"/>
        <v>0</v>
      </c>
      <c r="T38" s="135">
        <f t="shared" si="9"/>
        <v>1</v>
      </c>
      <c r="U38" s="135">
        <f t="shared" si="9"/>
        <v>0</v>
      </c>
      <c r="V38" s="135">
        <f t="shared" si="9"/>
        <v>0</v>
      </c>
      <c r="W38" s="135">
        <f t="shared" si="9"/>
        <v>0</v>
      </c>
      <c r="X38" s="135">
        <f t="shared" si="9"/>
        <v>0</v>
      </c>
      <c r="Y38" s="135">
        <f t="shared" si="9"/>
        <v>0</v>
      </c>
      <c r="Z38" s="135">
        <f t="shared" si="9"/>
        <v>0</v>
      </c>
      <c r="AA38" s="358" t="s">
        <v>13</v>
      </c>
      <c r="AB38" s="359"/>
      <c r="AC38" s="47">
        <f>SUM(C38:Z38)</f>
        <v>6</v>
      </c>
      <c r="AD38" s="325">
        <f>AD34+AD35+AD37</f>
        <v>0</v>
      </c>
      <c r="AE38" s="325">
        <f>AE34+AE35+AE37</f>
        <v>0</v>
      </c>
      <c r="AF38" s="325">
        <f>AF34+AF35+AF37</f>
        <v>0</v>
      </c>
    </row>
    <row r="39" spans="1:32" ht="35.1" customHeight="1" thickTop="1" thickBot="1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7"/>
      <c r="T39" s="138"/>
      <c r="U39" s="138"/>
      <c r="V39" s="138"/>
      <c r="W39" s="138"/>
      <c r="X39" s="138"/>
      <c r="Y39" s="138"/>
      <c r="Z39" s="138"/>
      <c r="AA39" s="360" t="str">
        <f>IF($AC$37=MAX($AC$34:$AC$37),AA37,IF($AC$36=MAX($AC$34:$AC$37),AA36,IF($AC$35=MAX($AC$34:$AC$37),AA35,IF($AC$34=MAX($AC$34:$AC$37),AA34,AA37))))</f>
        <v>7:30 à 8:30</v>
      </c>
      <c r="AB39" s="361"/>
      <c r="AC39" s="314">
        <f>IF($AC$37=MAX($AC$34:$AC$37),AC37,IF($AC$36=MAX($AC$34:$AC$37),AC36,IF($AC$35=MAX($AC$34:$AC$37),AC35,IF($AC$34=MAX($AC$34:$AC$37),AC34,AC37))))</f>
        <v>5</v>
      </c>
      <c r="AD39" s="315">
        <f t="shared" ref="AD39:AF39" si="10">IF($AC$37=MAX($AC$34:$AC$37),AD37,IF($AC$36=MAX($AC$34:$AC$37),AD36,IF($AC$35=MAX($AC$34:$AC$37),AD35,IF($AC$34=MAX($AC$34:$AC$37),AD34,AD37))))</f>
        <v>0</v>
      </c>
      <c r="AE39" s="315">
        <f t="shared" si="10"/>
        <v>0</v>
      </c>
      <c r="AF39" s="315">
        <f t="shared" si="10"/>
        <v>0</v>
      </c>
    </row>
    <row r="40" spans="1:32" ht="24.95" customHeight="1" thickTop="1">
      <c r="A40" s="139"/>
      <c r="B40" s="101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20"/>
      <c r="AB40" s="21"/>
      <c r="AC40" s="368" t="s">
        <v>13</v>
      </c>
      <c r="AD40" s="370" t="s">
        <v>15</v>
      </c>
      <c r="AE40" s="370" t="s">
        <v>16</v>
      </c>
      <c r="AF40" s="370" t="s">
        <v>17</v>
      </c>
    </row>
    <row r="41" spans="1:32" ht="24.95" customHeight="1">
      <c r="A41" s="139"/>
      <c r="B41" s="10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20"/>
      <c r="AB41" s="21"/>
      <c r="AC41" s="369"/>
      <c r="AD41" s="371"/>
      <c r="AE41" s="371"/>
      <c r="AF41" s="371"/>
    </row>
    <row r="42" spans="1:32" ht="24.95" customHeight="1" thickBot="1">
      <c r="A42" s="139"/>
      <c r="B42" s="10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24"/>
      <c r="AB42" s="21"/>
      <c r="AC42" s="369"/>
      <c r="AD42" s="371"/>
      <c r="AE42" s="371"/>
      <c r="AF42" s="371"/>
    </row>
    <row r="43" spans="1:32" ht="35.1" customHeight="1" thickTop="1">
      <c r="A43" s="143"/>
      <c r="B43" s="14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364" t="s">
        <v>14</v>
      </c>
      <c r="AB43" s="365"/>
      <c r="AC43" s="369"/>
      <c r="AD43" s="372"/>
      <c r="AE43" s="372"/>
      <c r="AF43" s="372"/>
    </row>
    <row r="44" spans="1:32" ht="35.1" customHeight="1">
      <c r="A44" s="143"/>
      <c r="B44" s="143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366" t="str">
        <f>AA34</f>
        <v>6:30 à 7:00</v>
      </c>
      <c r="AB44" s="367"/>
      <c r="AC44" s="47"/>
      <c r="AD44" s="304">
        <f>IF(AD34=0,0,AD34/AC34)</f>
        <v>0</v>
      </c>
      <c r="AE44" s="304">
        <f t="shared" ref="AE44:AF47" si="11">IF(AE34=0,0,AE34/AC34)</f>
        <v>0</v>
      </c>
      <c r="AF44" s="304">
        <f t="shared" si="11"/>
        <v>0</v>
      </c>
    </row>
    <row r="45" spans="1:32" ht="35.1" customHeight="1">
      <c r="A45" s="143"/>
      <c r="B45" s="143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366" t="str">
        <f t="shared" ref="AA45:AA47" si="12">AA35</f>
        <v>7:00 à 8:00</v>
      </c>
      <c r="AB45" s="367"/>
      <c r="AC45" s="47"/>
      <c r="AD45" s="304">
        <f>IF(AD35=0,0,AD35/AC35)</f>
        <v>0</v>
      </c>
      <c r="AE45" s="304">
        <f t="shared" si="11"/>
        <v>0</v>
      </c>
      <c r="AF45" s="304">
        <f t="shared" si="11"/>
        <v>0</v>
      </c>
    </row>
    <row r="46" spans="1:32" ht="35.1" customHeight="1">
      <c r="A46" s="143"/>
      <c r="B46" s="143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366" t="str">
        <f t="shared" si="12"/>
        <v>7:30 à 8:30</v>
      </c>
      <c r="AB46" s="367"/>
      <c r="AC46" s="47"/>
      <c r="AD46" s="304">
        <f>IF(AD36=0,0,AD36/AC36)</f>
        <v>0</v>
      </c>
      <c r="AE46" s="304">
        <f t="shared" si="11"/>
        <v>0</v>
      </c>
      <c r="AF46" s="304">
        <f t="shared" si="11"/>
        <v>0</v>
      </c>
    </row>
    <row r="47" spans="1:32" ht="35.1" customHeight="1">
      <c r="A47" s="143"/>
      <c r="B47" s="143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366" t="str">
        <f t="shared" si="12"/>
        <v>8:00 à 9:00</v>
      </c>
      <c r="AB47" s="367"/>
      <c r="AC47" s="47"/>
      <c r="AD47" s="304">
        <f>IF(AD37=0,0,AD37/AC37)</f>
        <v>0</v>
      </c>
      <c r="AE47" s="304">
        <f t="shared" si="11"/>
        <v>0</v>
      </c>
      <c r="AF47" s="304">
        <f t="shared" si="11"/>
        <v>0</v>
      </c>
    </row>
    <row r="48" spans="1:32" ht="35.1" customHeight="1">
      <c r="A48" s="143"/>
      <c r="B48" s="143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358" t="s">
        <v>13</v>
      </c>
      <c r="AB48" s="359"/>
      <c r="AC48" s="334"/>
      <c r="AD48" s="335">
        <f t="shared" ref="AD48" si="13">IF(AD38=0,0,AD38/AC38)</f>
        <v>0</v>
      </c>
      <c r="AE48" s="335">
        <f t="shared" ref="AE48:AF48" si="14">IF(AE38=0,0,AE38/AC38)</f>
        <v>0</v>
      </c>
      <c r="AF48" s="335">
        <f t="shared" si="14"/>
        <v>0</v>
      </c>
    </row>
    <row r="49" spans="1:34" ht="35.1" customHeight="1" thickBot="1">
      <c r="A49" s="143"/>
      <c r="B49" s="143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360" t="str">
        <f>AA39</f>
        <v>7:30 à 8:30</v>
      </c>
      <c r="AB49" s="361"/>
      <c r="AC49" s="308"/>
      <c r="AD49" s="312">
        <f>AD39/AC39</f>
        <v>0</v>
      </c>
      <c r="AE49" s="313">
        <f>AE39/AC39</f>
        <v>0</v>
      </c>
      <c r="AF49" s="313">
        <f>AF39/AC39</f>
        <v>0</v>
      </c>
    </row>
    <row r="50" spans="1:34" ht="21" thickTop="1">
      <c r="A50" s="143"/>
      <c r="B50" s="143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34" ht="20.25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1"/>
      <c r="T51" s="7"/>
      <c r="U51" s="7"/>
      <c r="V51" s="7"/>
      <c r="W51" s="7"/>
      <c r="X51" s="7"/>
      <c r="Y51" s="7"/>
      <c r="Z51" s="7"/>
    </row>
    <row r="52" spans="1:34" ht="20.25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"/>
      <c r="T52" s="7"/>
      <c r="U52" s="7"/>
      <c r="V52" s="7"/>
      <c r="W52" s="7"/>
      <c r="X52" s="7"/>
      <c r="Y52" s="7"/>
      <c r="Z52" s="7"/>
    </row>
    <row r="53" spans="1:34" ht="20.25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34" ht="20.25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G54" s="7"/>
      <c r="AH54" s="7"/>
    </row>
    <row r="55" spans="1:34" ht="20.25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G55" s="7"/>
      <c r="AH55" s="7"/>
    </row>
    <row r="56" spans="1:34" ht="2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G56" s="7"/>
      <c r="AH56" s="7"/>
    </row>
    <row r="57" spans="1:34" ht="20.2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G57" s="7"/>
      <c r="AH57" s="7"/>
    </row>
    <row r="58" spans="1:34" ht="20.25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G58" s="7"/>
      <c r="AH58" s="7"/>
    </row>
    <row r="59" spans="1:34" ht="20.25">
      <c r="F59" s="7"/>
      <c r="G59" s="7"/>
      <c r="H59" s="7"/>
      <c r="I59" s="7"/>
      <c r="J59" s="7"/>
      <c r="K59" s="7"/>
      <c r="L59" s="7"/>
      <c r="M59" s="7"/>
      <c r="S59" s="7"/>
      <c r="T59" s="7"/>
      <c r="U59" s="7"/>
      <c r="AG59" s="7"/>
      <c r="AH59" s="7"/>
    </row>
    <row r="60" spans="1:34" ht="20.25">
      <c r="F60" s="7"/>
      <c r="G60" s="7"/>
      <c r="H60" s="7"/>
      <c r="I60" s="7"/>
      <c r="J60" s="7"/>
      <c r="K60" s="7"/>
      <c r="L60" s="7"/>
      <c r="M60" s="7"/>
      <c r="S60" s="7"/>
      <c r="T60" s="7"/>
      <c r="U60" s="7"/>
    </row>
  </sheetData>
  <mergeCells count="70"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K30:R30"/>
    <mergeCell ref="S30:Z30"/>
    <mergeCell ref="C31:F31"/>
    <mergeCell ref="G31:J31"/>
    <mergeCell ref="K31:N31"/>
    <mergeCell ref="O31:R31"/>
    <mergeCell ref="S31:V31"/>
    <mergeCell ref="C30:J30"/>
    <mergeCell ref="Q32:R32"/>
    <mergeCell ref="S32:T32"/>
    <mergeCell ref="U32:V32"/>
    <mergeCell ref="W32:X32"/>
    <mergeCell ref="Y32:Z32"/>
    <mergeCell ref="G32:H32"/>
    <mergeCell ref="I32:J32"/>
    <mergeCell ref="K32:L32"/>
    <mergeCell ref="M32:N32"/>
    <mergeCell ref="O32:P32"/>
    <mergeCell ref="AF30:AF33"/>
    <mergeCell ref="A38:B38"/>
    <mergeCell ref="A36:B36"/>
    <mergeCell ref="A37:B37"/>
    <mergeCell ref="A33:B33"/>
    <mergeCell ref="A34:B34"/>
    <mergeCell ref="A35:B35"/>
    <mergeCell ref="AA34:AB34"/>
    <mergeCell ref="AA35:AB35"/>
    <mergeCell ref="AA36:AB36"/>
    <mergeCell ref="AA37:AB37"/>
    <mergeCell ref="AA38:AB38"/>
    <mergeCell ref="AA33:AB33"/>
    <mergeCell ref="W31:Z31"/>
    <mergeCell ref="C32:D32"/>
    <mergeCell ref="E32:F32"/>
    <mergeCell ref="AA39:AB39"/>
    <mergeCell ref="AC40:AC43"/>
    <mergeCell ref="AC30:AC33"/>
    <mergeCell ref="AD30:AD33"/>
    <mergeCell ref="AE30:AE33"/>
    <mergeCell ref="AA48:AB48"/>
    <mergeCell ref="AA49:AB49"/>
    <mergeCell ref="AD40:AD43"/>
    <mergeCell ref="AE40:AE43"/>
    <mergeCell ref="AF40:AF43"/>
    <mergeCell ref="AA46:AB46"/>
    <mergeCell ref="AA47:AB47"/>
    <mergeCell ref="AA43:AB43"/>
    <mergeCell ref="AA44:AB44"/>
    <mergeCell ref="AA45:AB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AB2E-32E0-4BF9-9A8F-D653EE20A314}">
  <sheetPr>
    <tabColor theme="9" tint="-0.249977111117893"/>
  </sheetPr>
  <dimension ref="A1:AL50"/>
  <sheetViews>
    <sheetView showZeros="0" zoomScale="50" zoomScaleNormal="50" workbookViewId="0">
      <selection activeCell="C1" sqref="C1"/>
    </sheetView>
  </sheetViews>
  <sheetFormatPr baseColWidth="10" defaultRowHeight="14.25"/>
  <cols>
    <col min="1" max="1" width="6.375" style="8" customWidth="1"/>
    <col min="2" max="2" width="11" style="8"/>
    <col min="3" max="28" width="9.625" style="8" customWidth="1"/>
    <col min="29" max="34" width="16.625" style="8" customWidth="1"/>
    <col min="35" max="38" width="10.625" style="8" customWidth="1"/>
    <col min="39" max="16384" width="11" style="8"/>
  </cols>
  <sheetData>
    <row r="1" spans="1:34" ht="52.5" customHeight="1" thickBot="1">
      <c r="A1" s="56" t="s">
        <v>0</v>
      </c>
      <c r="B1" s="84" t="s">
        <v>186</v>
      </c>
      <c r="C1" s="49"/>
      <c r="D1" s="49"/>
      <c r="E1" s="49"/>
      <c r="F1" s="57"/>
      <c r="G1" s="49"/>
      <c r="H1" s="49"/>
      <c r="I1" s="49"/>
      <c r="J1" s="49"/>
      <c r="K1" s="58" t="s">
        <v>1</v>
      </c>
      <c r="L1" s="59" t="s">
        <v>25</v>
      </c>
      <c r="M1" s="49"/>
      <c r="N1" s="49"/>
      <c r="O1" s="49"/>
      <c r="P1" s="49"/>
      <c r="Q1" s="49"/>
      <c r="R1" s="49"/>
      <c r="S1" s="49"/>
      <c r="T1" s="60"/>
      <c r="U1" s="60"/>
      <c r="V1" s="60"/>
      <c r="W1" s="49"/>
      <c r="X1" s="49"/>
      <c r="Y1" s="49"/>
      <c r="Z1" s="49"/>
      <c r="AA1" s="44"/>
      <c r="AB1" s="44"/>
      <c r="AC1" s="44"/>
      <c r="AD1" s="44"/>
      <c r="AE1" s="44"/>
      <c r="AF1" s="44"/>
      <c r="AG1" s="44"/>
      <c r="AH1" s="44"/>
    </row>
    <row r="2" spans="1:34" ht="52.5" customHeight="1" thickBot="1">
      <c r="A2" s="20" t="s">
        <v>2</v>
      </c>
      <c r="B2" s="21"/>
      <c r="C2" s="21"/>
      <c r="D2" s="21"/>
      <c r="E2" s="21"/>
      <c r="F2" s="94"/>
      <c r="G2" s="24"/>
      <c r="H2" s="24"/>
      <c r="I2" s="24" t="s">
        <v>158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1"/>
      <c r="U2" s="21"/>
      <c r="V2" s="21"/>
      <c r="W2" s="24"/>
      <c r="X2" s="24"/>
      <c r="Y2" s="24"/>
      <c r="Z2" s="24"/>
      <c r="AA2" s="44"/>
      <c r="AB2" s="44"/>
      <c r="AC2" s="44"/>
      <c r="AD2" s="44"/>
      <c r="AE2" s="44"/>
      <c r="AF2" s="44"/>
      <c r="AG2" s="44"/>
      <c r="AH2" s="44"/>
    </row>
    <row r="3" spans="1:34" ht="52.5" customHeight="1" thickBot="1">
      <c r="A3" s="20" t="s">
        <v>3</v>
      </c>
      <c r="B3" s="21"/>
      <c r="C3" s="22" t="s">
        <v>76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1"/>
      <c r="U3" s="21"/>
      <c r="V3" s="21"/>
      <c r="W3" s="23"/>
      <c r="X3" s="23"/>
      <c r="Y3" s="23"/>
      <c r="Z3" s="23"/>
      <c r="AA3" s="44"/>
      <c r="AB3" s="44"/>
      <c r="AC3" s="44"/>
      <c r="AD3" s="44"/>
      <c r="AE3" s="44"/>
      <c r="AF3" s="44"/>
      <c r="AG3" s="44"/>
      <c r="AH3" s="44"/>
    </row>
    <row r="4" spans="1:34" ht="52.5" customHeight="1" thickBot="1">
      <c r="A4" s="20" t="s">
        <v>18</v>
      </c>
      <c r="B4" s="21"/>
      <c r="C4" s="22" t="s">
        <v>77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1"/>
      <c r="U4" s="21"/>
      <c r="V4" s="21"/>
      <c r="W4" s="23"/>
      <c r="X4" s="23"/>
      <c r="Y4" s="23"/>
      <c r="Z4" s="23"/>
      <c r="AA4" s="44"/>
      <c r="AB4" s="44"/>
      <c r="AC4" s="44"/>
      <c r="AD4" s="44"/>
      <c r="AE4" s="44"/>
      <c r="AF4" s="44"/>
      <c r="AG4" s="44"/>
      <c r="AH4" s="44"/>
    </row>
    <row r="5" spans="1:34" ht="99" customHeight="1">
      <c r="A5" s="20"/>
      <c r="B5" s="2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21"/>
      <c r="U5" s="21"/>
      <c r="V5" s="2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</row>
    <row r="6" spans="1:34" ht="30" customHeight="1">
      <c r="A6" s="83" t="s">
        <v>50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1:34" ht="30" customHeight="1">
      <c r="A7" s="83" t="s">
        <v>78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spans="1:34" ht="30" customHeight="1">
      <c r="A8" s="83" t="s">
        <v>56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spans="1:34" ht="30" customHeight="1" thickBot="1">
      <c r="A9" s="83" t="s">
        <v>52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 ht="32.25" customHeight="1" thickTop="1">
      <c r="A10" s="20"/>
      <c r="B10" s="21"/>
      <c r="C10" s="399" t="s">
        <v>79</v>
      </c>
      <c r="D10" s="400"/>
      <c r="E10" s="400"/>
      <c r="F10" s="400"/>
      <c r="G10" s="400"/>
      <c r="H10" s="400"/>
      <c r="I10" s="400"/>
      <c r="J10" s="400"/>
      <c r="K10" s="400" t="s">
        <v>80</v>
      </c>
      <c r="L10" s="400"/>
      <c r="M10" s="400"/>
      <c r="N10" s="400"/>
      <c r="O10" s="400"/>
      <c r="P10" s="400"/>
      <c r="Q10" s="400"/>
      <c r="R10" s="400"/>
      <c r="S10" s="400" t="s">
        <v>81</v>
      </c>
      <c r="T10" s="400"/>
      <c r="U10" s="400"/>
      <c r="V10" s="400"/>
      <c r="W10" s="400"/>
      <c r="X10" s="400"/>
      <c r="Y10" s="400"/>
      <c r="Z10" s="400"/>
      <c r="AA10" s="320"/>
      <c r="AB10" s="320"/>
      <c r="AC10" s="320"/>
      <c r="AD10" s="320"/>
      <c r="AE10" s="320"/>
      <c r="AF10" s="320"/>
      <c r="AG10" s="320"/>
      <c r="AH10" s="320"/>
    </row>
    <row r="11" spans="1:34" ht="22.7" customHeight="1">
      <c r="A11" s="20"/>
      <c r="B11" s="21"/>
      <c r="C11" s="398" t="s">
        <v>82</v>
      </c>
      <c r="D11" s="395"/>
      <c r="E11" s="395"/>
      <c r="F11" s="395"/>
      <c r="G11" s="398" t="s">
        <v>83</v>
      </c>
      <c r="H11" s="395"/>
      <c r="I11" s="395"/>
      <c r="J11" s="395"/>
      <c r="K11" s="398" t="s">
        <v>83</v>
      </c>
      <c r="L11" s="395"/>
      <c r="M11" s="395"/>
      <c r="N11" s="395"/>
      <c r="O11" s="398" t="s">
        <v>84</v>
      </c>
      <c r="P11" s="395"/>
      <c r="Q11" s="395"/>
      <c r="R11" s="395"/>
      <c r="S11" s="398" t="s">
        <v>84</v>
      </c>
      <c r="T11" s="395"/>
      <c r="U11" s="395"/>
      <c r="V11" s="395"/>
      <c r="W11" s="398" t="s">
        <v>82</v>
      </c>
      <c r="X11" s="395"/>
      <c r="Y11" s="395"/>
      <c r="Z11" s="395"/>
      <c r="AA11" s="321"/>
      <c r="AB11" s="321"/>
      <c r="AC11" s="321"/>
      <c r="AD11" s="321"/>
      <c r="AE11" s="321"/>
      <c r="AF11" s="321"/>
      <c r="AG11" s="321"/>
      <c r="AH11" s="321"/>
    </row>
    <row r="12" spans="1:34" ht="18.600000000000001" customHeight="1" thickBot="1">
      <c r="A12" s="20"/>
      <c r="B12" s="21"/>
      <c r="C12" s="397" t="s">
        <v>5</v>
      </c>
      <c r="D12" s="390"/>
      <c r="E12" s="387" t="s">
        <v>6</v>
      </c>
      <c r="F12" s="396"/>
      <c r="G12" s="389" t="s">
        <v>5</v>
      </c>
      <c r="H12" s="390"/>
      <c r="I12" s="387" t="s">
        <v>6</v>
      </c>
      <c r="J12" s="388"/>
      <c r="K12" s="389" t="s">
        <v>5</v>
      </c>
      <c r="L12" s="390"/>
      <c r="M12" s="387" t="s">
        <v>6</v>
      </c>
      <c r="N12" s="396"/>
      <c r="O12" s="389" t="s">
        <v>5</v>
      </c>
      <c r="P12" s="390"/>
      <c r="Q12" s="387" t="s">
        <v>6</v>
      </c>
      <c r="R12" s="388"/>
      <c r="S12" s="389" t="s">
        <v>5</v>
      </c>
      <c r="T12" s="390"/>
      <c r="U12" s="387" t="s">
        <v>6</v>
      </c>
      <c r="V12" s="396"/>
      <c r="W12" s="389" t="s">
        <v>5</v>
      </c>
      <c r="X12" s="390"/>
      <c r="Y12" s="387" t="s">
        <v>6</v>
      </c>
      <c r="Z12" s="388"/>
      <c r="AA12" s="322"/>
      <c r="AB12" s="322"/>
      <c r="AC12" s="322"/>
      <c r="AD12" s="322"/>
      <c r="AE12" s="322"/>
      <c r="AF12" s="322"/>
      <c r="AG12" s="322"/>
      <c r="AH12" s="322"/>
    </row>
    <row r="13" spans="1:34" ht="21" thickTop="1">
      <c r="A13" s="11" t="s">
        <v>7</v>
      </c>
      <c r="B13" s="12" t="s">
        <v>8</v>
      </c>
      <c r="C13" s="15" t="s">
        <v>9</v>
      </c>
      <c r="D13" s="4" t="s">
        <v>10</v>
      </c>
      <c r="E13" s="5" t="s">
        <v>9</v>
      </c>
      <c r="F13" s="6" t="s">
        <v>10</v>
      </c>
      <c r="G13" s="3" t="s">
        <v>9</v>
      </c>
      <c r="H13" s="4" t="s">
        <v>10</v>
      </c>
      <c r="I13" s="5" t="s">
        <v>9</v>
      </c>
      <c r="J13" s="16" t="s">
        <v>10</v>
      </c>
      <c r="K13" s="3" t="s">
        <v>9</v>
      </c>
      <c r="L13" s="4" t="s">
        <v>10</v>
      </c>
      <c r="M13" s="5" t="s">
        <v>9</v>
      </c>
      <c r="N13" s="6" t="s">
        <v>10</v>
      </c>
      <c r="O13" s="3" t="s">
        <v>9</v>
      </c>
      <c r="P13" s="4" t="s">
        <v>10</v>
      </c>
      <c r="Q13" s="5" t="s">
        <v>9</v>
      </c>
      <c r="R13" s="16" t="s">
        <v>10</v>
      </c>
      <c r="S13" s="3" t="s">
        <v>9</v>
      </c>
      <c r="T13" s="4" t="s">
        <v>10</v>
      </c>
      <c r="U13" s="5" t="s">
        <v>9</v>
      </c>
      <c r="V13" s="6" t="s">
        <v>10</v>
      </c>
      <c r="W13" s="3" t="s">
        <v>9</v>
      </c>
      <c r="X13" s="4" t="s">
        <v>10</v>
      </c>
      <c r="Y13" s="5" t="s">
        <v>9</v>
      </c>
      <c r="Z13" s="16" t="s">
        <v>10</v>
      </c>
      <c r="AA13" s="55"/>
      <c r="AB13" s="55"/>
      <c r="AC13" s="55"/>
      <c r="AD13" s="55"/>
      <c r="AE13" s="55"/>
      <c r="AF13" s="55"/>
      <c r="AG13" s="55"/>
      <c r="AH13" s="55"/>
    </row>
    <row r="14" spans="1:34" ht="54.95" customHeight="1">
      <c r="A14" s="92">
        <v>6</v>
      </c>
      <c r="B14" s="14" t="s">
        <v>20</v>
      </c>
      <c r="C14" s="64"/>
      <c r="D14" s="65"/>
      <c r="E14" s="66"/>
      <c r="F14" s="67"/>
      <c r="G14" s="68"/>
      <c r="H14" s="65"/>
      <c r="I14" s="66"/>
      <c r="J14" s="69"/>
      <c r="K14" s="68"/>
      <c r="L14" s="65"/>
      <c r="M14" s="66"/>
      <c r="N14" s="67"/>
      <c r="O14" s="68"/>
      <c r="P14" s="65"/>
      <c r="Q14" s="66"/>
      <c r="R14" s="69"/>
      <c r="S14" s="68"/>
      <c r="T14" s="65"/>
      <c r="U14" s="66"/>
      <c r="V14" s="67"/>
      <c r="W14" s="68"/>
      <c r="X14" s="65"/>
      <c r="Y14" s="66"/>
      <c r="Z14" s="69"/>
      <c r="AA14" s="17"/>
      <c r="AB14" s="17"/>
      <c r="AC14" s="17"/>
      <c r="AD14" s="17"/>
      <c r="AE14" s="17"/>
      <c r="AF14" s="17"/>
      <c r="AG14" s="17"/>
      <c r="AH14" s="17"/>
    </row>
    <row r="15" spans="1:34" ht="54.95" customHeight="1">
      <c r="A15" s="13"/>
      <c r="B15" s="14" t="s">
        <v>24</v>
      </c>
      <c r="C15" s="70"/>
      <c r="D15" s="71"/>
      <c r="E15" s="72"/>
      <c r="F15" s="73"/>
      <c r="G15" s="74"/>
      <c r="H15" s="71"/>
      <c r="I15" s="72"/>
      <c r="J15" s="75"/>
      <c r="K15" s="74"/>
      <c r="L15" s="71"/>
      <c r="M15" s="72"/>
      <c r="N15" s="73"/>
      <c r="O15" s="74"/>
      <c r="P15" s="71"/>
      <c r="Q15" s="72"/>
      <c r="R15" s="75"/>
      <c r="S15" s="74"/>
      <c r="T15" s="71"/>
      <c r="U15" s="72"/>
      <c r="V15" s="73"/>
      <c r="W15" s="74"/>
      <c r="X15" s="71"/>
      <c r="Y15" s="72"/>
      <c r="Z15" s="75"/>
      <c r="AA15" s="17"/>
      <c r="AB15" s="17"/>
      <c r="AC15" s="17"/>
      <c r="AD15" s="17"/>
      <c r="AE15" s="17"/>
      <c r="AF15" s="17"/>
      <c r="AG15" s="17"/>
      <c r="AH15" s="17"/>
    </row>
    <row r="16" spans="1:34" ht="54.95" customHeight="1">
      <c r="A16" s="92">
        <v>7</v>
      </c>
      <c r="B16" s="14" t="s">
        <v>21</v>
      </c>
      <c r="C16" s="64"/>
      <c r="D16" s="65"/>
      <c r="E16" s="66"/>
      <c r="F16" s="67"/>
      <c r="G16" s="68"/>
      <c r="H16" s="65"/>
      <c r="I16" s="66"/>
      <c r="J16" s="69"/>
      <c r="K16" s="68"/>
      <c r="L16" s="65"/>
      <c r="M16" s="66"/>
      <c r="N16" s="67"/>
      <c r="O16" s="68"/>
      <c r="P16" s="65"/>
      <c r="Q16" s="66"/>
      <c r="R16" s="69"/>
      <c r="S16" s="68"/>
      <c r="T16" s="65">
        <v>1</v>
      </c>
      <c r="U16" s="66"/>
      <c r="V16" s="67"/>
      <c r="W16" s="68"/>
      <c r="X16" s="65"/>
      <c r="Y16" s="66"/>
      <c r="Z16" s="69"/>
      <c r="AA16" s="17"/>
      <c r="AB16" s="17"/>
      <c r="AC16" s="17"/>
      <c r="AD16" s="17"/>
      <c r="AE16" s="17"/>
      <c r="AF16" s="17"/>
      <c r="AG16" s="17"/>
      <c r="AH16" s="17"/>
    </row>
    <row r="17" spans="1:34" ht="54.95" customHeight="1">
      <c r="A17" s="13"/>
      <c r="B17" s="14" t="s">
        <v>22</v>
      </c>
      <c r="C17" s="76"/>
      <c r="D17" s="77"/>
      <c r="E17" s="78"/>
      <c r="F17" s="79"/>
      <c r="G17" s="80"/>
      <c r="H17" s="77"/>
      <c r="I17" s="78"/>
      <c r="J17" s="81"/>
      <c r="K17" s="80"/>
      <c r="L17" s="77"/>
      <c r="M17" s="78"/>
      <c r="N17" s="79"/>
      <c r="O17" s="80"/>
      <c r="P17" s="77"/>
      <c r="Q17" s="78"/>
      <c r="R17" s="81"/>
      <c r="S17" s="80"/>
      <c r="T17" s="77"/>
      <c r="U17" s="78"/>
      <c r="V17" s="79"/>
      <c r="W17" s="80"/>
      <c r="X17" s="77"/>
      <c r="Y17" s="78"/>
      <c r="Z17" s="81"/>
      <c r="AA17" s="17"/>
      <c r="AB17" s="17"/>
      <c r="AC17" s="17"/>
      <c r="AD17" s="17"/>
      <c r="AE17" s="17"/>
      <c r="AF17" s="17"/>
      <c r="AG17" s="17"/>
      <c r="AH17" s="17"/>
    </row>
    <row r="18" spans="1:34" ht="54.95" customHeight="1">
      <c r="A18" s="13"/>
      <c r="B18" s="14" t="s">
        <v>20</v>
      </c>
      <c r="C18" s="76"/>
      <c r="D18" s="77"/>
      <c r="E18" s="78"/>
      <c r="F18" s="79"/>
      <c r="G18" s="80"/>
      <c r="H18" s="77">
        <v>2</v>
      </c>
      <c r="I18" s="78"/>
      <c r="J18" s="81"/>
      <c r="K18" s="80"/>
      <c r="L18" s="77"/>
      <c r="M18" s="78"/>
      <c r="N18" s="79"/>
      <c r="O18" s="80"/>
      <c r="P18" s="77"/>
      <c r="Q18" s="78"/>
      <c r="R18" s="81"/>
      <c r="S18" s="80"/>
      <c r="T18" s="77"/>
      <c r="U18" s="78"/>
      <c r="V18" s="79"/>
      <c r="W18" s="80"/>
      <c r="X18" s="77"/>
      <c r="Y18" s="78"/>
      <c r="Z18" s="81">
        <v>1</v>
      </c>
      <c r="AA18" s="17"/>
      <c r="AB18" s="17"/>
      <c r="AC18" s="17"/>
      <c r="AD18" s="17"/>
      <c r="AE18" s="17"/>
      <c r="AF18" s="17"/>
      <c r="AG18" s="17"/>
      <c r="AH18" s="17"/>
    </row>
    <row r="19" spans="1:34" ht="54.95" customHeight="1">
      <c r="A19" s="13"/>
      <c r="B19" s="14" t="s">
        <v>23</v>
      </c>
      <c r="C19" s="70"/>
      <c r="D19" s="71">
        <v>1</v>
      </c>
      <c r="E19" s="72"/>
      <c r="F19" s="73">
        <v>1</v>
      </c>
      <c r="G19" s="74"/>
      <c r="H19" s="71">
        <v>2</v>
      </c>
      <c r="I19" s="72"/>
      <c r="J19" s="75"/>
      <c r="K19" s="74"/>
      <c r="L19" s="71"/>
      <c r="M19" s="72"/>
      <c r="N19" s="73"/>
      <c r="O19" s="74"/>
      <c r="P19" s="71"/>
      <c r="Q19" s="72"/>
      <c r="R19" s="75"/>
      <c r="S19" s="74"/>
      <c r="T19" s="71"/>
      <c r="U19" s="72"/>
      <c r="V19" s="73"/>
      <c r="W19" s="74"/>
      <c r="X19" s="71"/>
      <c r="Y19" s="72"/>
      <c r="Z19" s="75"/>
      <c r="AA19" s="17"/>
      <c r="AB19" s="17"/>
      <c r="AC19" s="17"/>
      <c r="AD19" s="17"/>
      <c r="AE19" s="17"/>
      <c r="AF19" s="17"/>
      <c r="AG19" s="17"/>
      <c r="AH19" s="17"/>
    </row>
    <row r="20" spans="1:34" ht="54.95" customHeight="1">
      <c r="A20" s="92">
        <v>8</v>
      </c>
      <c r="B20" s="14" t="s">
        <v>21</v>
      </c>
      <c r="C20" s="64"/>
      <c r="D20" s="65">
        <v>1</v>
      </c>
      <c r="E20" s="66"/>
      <c r="F20" s="67"/>
      <c r="G20" s="68"/>
      <c r="H20" s="65"/>
      <c r="I20" s="66">
        <v>1</v>
      </c>
      <c r="J20" s="69"/>
      <c r="K20" s="68"/>
      <c r="L20" s="65"/>
      <c r="M20" s="66"/>
      <c r="N20" s="67"/>
      <c r="O20" s="68"/>
      <c r="P20" s="65"/>
      <c r="Q20" s="66"/>
      <c r="R20" s="69"/>
      <c r="S20" s="68"/>
      <c r="T20" s="65"/>
      <c r="U20" s="66"/>
      <c r="V20" s="67"/>
      <c r="W20" s="68"/>
      <c r="X20" s="65"/>
      <c r="Y20" s="66"/>
      <c r="Z20" s="69"/>
      <c r="AA20" s="17"/>
      <c r="AB20" s="17"/>
      <c r="AC20" s="17"/>
      <c r="AD20" s="17"/>
      <c r="AE20" s="17"/>
      <c r="AF20" s="17"/>
      <c r="AG20" s="17"/>
      <c r="AH20" s="17"/>
    </row>
    <row r="21" spans="1:34" ht="54.95" customHeight="1">
      <c r="A21" s="13"/>
      <c r="B21" s="14" t="s">
        <v>22</v>
      </c>
      <c r="C21" s="76"/>
      <c r="D21" s="77">
        <v>1</v>
      </c>
      <c r="E21" s="78"/>
      <c r="F21" s="79"/>
      <c r="G21" s="80"/>
      <c r="H21" s="77">
        <v>2</v>
      </c>
      <c r="I21" s="78"/>
      <c r="J21" s="81"/>
      <c r="K21" s="80"/>
      <c r="L21" s="77"/>
      <c r="M21" s="78"/>
      <c r="N21" s="79"/>
      <c r="O21" s="80"/>
      <c r="P21" s="77"/>
      <c r="Q21" s="78"/>
      <c r="R21" s="81"/>
      <c r="S21" s="80"/>
      <c r="T21" s="77"/>
      <c r="U21" s="78"/>
      <c r="V21" s="79"/>
      <c r="W21" s="80"/>
      <c r="X21" s="77"/>
      <c r="Y21" s="78"/>
      <c r="Z21" s="81"/>
      <c r="AA21" s="17"/>
      <c r="AB21" s="17"/>
      <c r="AC21" s="17"/>
      <c r="AD21" s="17"/>
      <c r="AE21" s="17"/>
      <c r="AF21" s="17"/>
      <c r="AG21" s="17"/>
      <c r="AH21" s="17"/>
    </row>
    <row r="22" spans="1:34" ht="54.95" customHeight="1">
      <c r="A22" s="13"/>
      <c r="B22" s="14" t="s">
        <v>20</v>
      </c>
      <c r="C22" s="76"/>
      <c r="D22" s="77">
        <v>1</v>
      </c>
      <c r="E22" s="78"/>
      <c r="F22" s="79"/>
      <c r="G22" s="80"/>
      <c r="H22" s="77">
        <v>1</v>
      </c>
      <c r="I22" s="78"/>
      <c r="J22" s="81"/>
      <c r="K22" s="80"/>
      <c r="L22" s="77"/>
      <c r="M22" s="78"/>
      <c r="N22" s="79"/>
      <c r="O22" s="80"/>
      <c r="P22" s="77">
        <v>1</v>
      </c>
      <c r="Q22" s="78"/>
      <c r="R22" s="81"/>
      <c r="S22" s="80"/>
      <c r="T22" s="77">
        <v>1</v>
      </c>
      <c r="U22" s="78"/>
      <c r="V22" s="79"/>
      <c r="W22" s="80"/>
      <c r="X22" s="77"/>
      <c r="Y22" s="78"/>
      <c r="Z22" s="81"/>
      <c r="AA22" s="17"/>
      <c r="AB22" s="17"/>
      <c r="AC22" s="17"/>
      <c r="AD22" s="17"/>
      <c r="AE22" s="17"/>
      <c r="AF22" s="17"/>
      <c r="AG22" s="17"/>
      <c r="AH22" s="17"/>
    </row>
    <row r="23" spans="1:34" ht="54.95" customHeight="1" thickBot="1">
      <c r="A23" s="103">
        <v>9</v>
      </c>
      <c r="B23" s="85" t="s">
        <v>23</v>
      </c>
      <c r="C23" s="86"/>
      <c r="D23" s="87"/>
      <c r="E23" s="88"/>
      <c r="F23" s="89"/>
      <c r="G23" s="90"/>
      <c r="H23" s="87">
        <v>3</v>
      </c>
      <c r="I23" s="88"/>
      <c r="J23" s="91">
        <v>1</v>
      </c>
      <c r="K23" s="90"/>
      <c r="L23" s="87"/>
      <c r="M23" s="88"/>
      <c r="N23" s="89"/>
      <c r="O23" s="90"/>
      <c r="P23" s="87"/>
      <c r="Q23" s="88"/>
      <c r="R23" s="91"/>
      <c r="S23" s="90"/>
      <c r="T23" s="87">
        <v>1</v>
      </c>
      <c r="U23" s="88"/>
      <c r="V23" s="89"/>
      <c r="W23" s="90"/>
      <c r="X23" s="87">
        <v>1</v>
      </c>
      <c r="Y23" s="88"/>
      <c r="Z23" s="91">
        <v>1</v>
      </c>
      <c r="AA23" s="17"/>
      <c r="AB23" s="17"/>
      <c r="AC23" s="17"/>
      <c r="AD23" s="17"/>
      <c r="AE23" s="17"/>
      <c r="AF23" s="17"/>
      <c r="AG23" s="17"/>
      <c r="AH23" s="17"/>
    </row>
    <row r="24" spans="1:34" ht="52.5" customHeight="1" thickTop="1" thickBot="1">
      <c r="A24" s="56" t="s">
        <v>0</v>
      </c>
      <c r="B24" s="48" t="str">
        <f>B1</f>
        <v>St Pierre Franchissement du Borne Dessy</v>
      </c>
      <c r="C24" s="49"/>
      <c r="D24" s="49"/>
      <c r="E24" s="49"/>
      <c r="F24" s="57"/>
      <c r="G24" s="49"/>
      <c r="H24" s="49"/>
      <c r="I24" s="49"/>
      <c r="J24" s="49"/>
      <c r="K24" s="58" t="s">
        <v>1</v>
      </c>
      <c r="L24" s="59" t="str">
        <f>L1</f>
        <v>16 juin 2020</v>
      </c>
      <c r="M24" s="49"/>
      <c r="N24" s="49"/>
      <c r="O24" s="49"/>
      <c r="P24" s="49"/>
      <c r="Q24" s="49"/>
      <c r="R24" s="49"/>
      <c r="S24" s="49"/>
      <c r="T24" s="60"/>
      <c r="U24" s="60"/>
      <c r="V24" s="60"/>
      <c r="W24" s="49"/>
      <c r="X24" s="49"/>
      <c r="Y24" s="49"/>
      <c r="Z24" s="49"/>
      <c r="AA24" s="323"/>
      <c r="AB24" s="323"/>
      <c r="AC24" s="323"/>
      <c r="AD24" s="323"/>
      <c r="AE24" s="323"/>
      <c r="AF24" s="323"/>
      <c r="AG24" s="323"/>
      <c r="AH24" s="323"/>
    </row>
    <row r="25" spans="1:34" ht="52.5" customHeight="1" thickBot="1">
      <c r="A25" s="20" t="s">
        <v>2</v>
      </c>
      <c r="B25" s="21"/>
      <c r="C25" s="21"/>
      <c r="D25" s="21"/>
      <c r="E25" s="21"/>
      <c r="F25" s="94"/>
      <c r="G25" s="24"/>
      <c r="H25" s="24"/>
      <c r="I25" s="24" t="str">
        <f>I2</f>
        <v>Stéphane Moutard-Martin / La Fabrique à Biclou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1"/>
      <c r="U25" s="21"/>
      <c r="V25" s="21"/>
      <c r="W25" s="24"/>
      <c r="X25" s="24"/>
      <c r="Y25" s="24"/>
      <c r="Z25" s="24"/>
      <c r="AA25" s="44"/>
      <c r="AB25" s="44"/>
      <c r="AC25" s="44"/>
      <c r="AD25" s="44"/>
      <c r="AE25" s="44"/>
      <c r="AF25" s="44"/>
      <c r="AG25" s="44"/>
      <c r="AH25" s="44"/>
    </row>
    <row r="26" spans="1:34" ht="52.5" customHeight="1" thickBot="1">
      <c r="A26" s="20" t="s">
        <v>3</v>
      </c>
      <c r="B26" s="21"/>
      <c r="C26" s="22" t="str">
        <f>C3</f>
        <v>frais 13°C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1"/>
      <c r="U26" s="21"/>
      <c r="V26" s="21"/>
      <c r="W26" s="23"/>
      <c r="X26" s="23"/>
      <c r="Y26" s="23"/>
      <c r="Z26" s="23"/>
      <c r="AA26" s="44"/>
      <c r="AB26" s="44"/>
      <c r="AC26" s="44"/>
      <c r="AD26" s="44"/>
      <c r="AE26" s="44"/>
      <c r="AF26" s="44"/>
      <c r="AG26" s="44"/>
      <c r="AH26" s="44"/>
    </row>
    <row r="27" spans="1:34" ht="52.5" customHeight="1" thickBot="1">
      <c r="A27" s="20" t="s">
        <v>18</v>
      </c>
      <c r="B27" s="21"/>
      <c r="C27" s="22" t="str">
        <f>C4</f>
        <v>Faire colonnes VELO puis VAE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1"/>
      <c r="U27" s="21"/>
      <c r="V27" s="21"/>
      <c r="W27" s="23"/>
      <c r="X27" s="23"/>
      <c r="Y27" s="23"/>
      <c r="Z27" s="23"/>
      <c r="AA27" s="44"/>
      <c r="AB27" s="44"/>
      <c r="AC27" s="44"/>
      <c r="AD27" s="44"/>
      <c r="AE27" s="44"/>
      <c r="AF27" s="44"/>
      <c r="AG27" s="44"/>
      <c r="AH27" s="44"/>
    </row>
    <row r="28" spans="1:34" ht="25.5" customHeight="1" thickBot="1">
      <c r="A28" s="102" t="s">
        <v>45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 ht="25.5" customHeight="1" thickBot="1">
      <c r="A29" s="102" t="s">
        <v>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62" t="s">
        <v>0</v>
      </c>
      <c r="AB29" s="21"/>
      <c r="AC29" s="21"/>
      <c r="AD29" s="21"/>
      <c r="AE29" s="21"/>
      <c r="AF29" s="21"/>
      <c r="AG29" s="21"/>
      <c r="AH29" s="21"/>
    </row>
    <row r="30" spans="1:34" ht="32.25" customHeight="1" thickTop="1">
      <c r="A30" s="20"/>
      <c r="B30" s="21"/>
      <c r="C30" s="399" t="str">
        <f>C10</f>
        <v>De Rte Gorges du Borne vers</v>
      </c>
      <c r="D30" s="400"/>
      <c r="E30" s="400"/>
      <c r="F30" s="400"/>
      <c r="G30" s="400"/>
      <c r="H30" s="400"/>
      <c r="I30" s="400"/>
      <c r="J30" s="400"/>
      <c r="K30" s="400" t="str">
        <f>K10</f>
        <v>De Avenue des Digues vers</v>
      </c>
      <c r="L30" s="400"/>
      <c r="M30" s="400"/>
      <c r="N30" s="400"/>
      <c r="O30" s="400"/>
      <c r="P30" s="400"/>
      <c r="Q30" s="400"/>
      <c r="R30" s="400"/>
      <c r="S30" s="400" t="str">
        <f>S10</f>
        <v>De Dessy vers</v>
      </c>
      <c r="T30" s="400"/>
      <c r="U30" s="400"/>
      <c r="V30" s="400"/>
      <c r="W30" s="400"/>
      <c r="X30" s="400"/>
      <c r="Y30" s="400"/>
      <c r="Z30" s="400"/>
      <c r="AA30" s="20"/>
      <c r="AB30" s="21"/>
      <c r="AC30" s="368" t="s">
        <v>13</v>
      </c>
      <c r="AD30" s="385" t="s">
        <v>108</v>
      </c>
      <c r="AE30" s="385" t="s">
        <v>109</v>
      </c>
      <c r="AF30" s="385" t="s">
        <v>110</v>
      </c>
      <c r="AG30" s="362" t="s">
        <v>176</v>
      </c>
      <c r="AH30" s="362" t="s">
        <v>177</v>
      </c>
    </row>
    <row r="31" spans="1:34" ht="22.7" customHeight="1">
      <c r="A31" s="20"/>
      <c r="B31" s="21"/>
      <c r="C31" s="398" t="str">
        <f>C11</f>
        <v>Av des Digues</v>
      </c>
      <c r="D31" s="395"/>
      <c r="E31" s="395"/>
      <c r="F31" s="395"/>
      <c r="G31" s="393" t="str">
        <f>G11</f>
        <v>Dessy</v>
      </c>
      <c r="H31" s="393"/>
      <c r="I31" s="393"/>
      <c r="J31" s="393"/>
      <c r="K31" s="395" t="str">
        <f>K11</f>
        <v>Dessy</v>
      </c>
      <c r="L31" s="395"/>
      <c r="M31" s="395"/>
      <c r="N31" s="395"/>
      <c r="O31" s="393" t="str">
        <f>O11</f>
        <v>Rte Gorges du Borne</v>
      </c>
      <c r="P31" s="393"/>
      <c r="Q31" s="393"/>
      <c r="R31" s="393"/>
      <c r="S31" s="395" t="str">
        <f>S11</f>
        <v>Rte Gorges du Borne</v>
      </c>
      <c r="T31" s="395"/>
      <c r="U31" s="395"/>
      <c r="V31" s="395"/>
      <c r="W31" s="393" t="str">
        <f>W11</f>
        <v>Av des Digues</v>
      </c>
      <c r="X31" s="393"/>
      <c r="Y31" s="393"/>
      <c r="Z31" s="393"/>
      <c r="AA31" s="20"/>
      <c r="AB31" s="21"/>
      <c r="AC31" s="369"/>
      <c r="AD31" s="386"/>
      <c r="AE31" s="386"/>
      <c r="AF31" s="386"/>
      <c r="AG31" s="363"/>
      <c r="AH31" s="363"/>
    </row>
    <row r="32" spans="1:34" ht="18.600000000000001" customHeight="1" thickBot="1">
      <c r="A32" s="20"/>
      <c r="B32" s="21"/>
      <c r="C32" s="397" t="s">
        <v>5</v>
      </c>
      <c r="D32" s="390"/>
      <c r="E32" s="387" t="s">
        <v>6</v>
      </c>
      <c r="F32" s="396"/>
      <c r="G32" s="389" t="s">
        <v>5</v>
      </c>
      <c r="H32" s="390"/>
      <c r="I32" s="387" t="s">
        <v>6</v>
      </c>
      <c r="J32" s="388"/>
      <c r="K32" s="389" t="s">
        <v>5</v>
      </c>
      <c r="L32" s="390"/>
      <c r="M32" s="387" t="s">
        <v>6</v>
      </c>
      <c r="N32" s="396"/>
      <c r="O32" s="389" t="s">
        <v>5</v>
      </c>
      <c r="P32" s="390"/>
      <c r="Q32" s="387" t="s">
        <v>6</v>
      </c>
      <c r="R32" s="388"/>
      <c r="S32" s="389" t="s">
        <v>5</v>
      </c>
      <c r="T32" s="390"/>
      <c r="U32" s="387" t="s">
        <v>6</v>
      </c>
      <c r="V32" s="396"/>
      <c r="W32" s="389" t="s">
        <v>5</v>
      </c>
      <c r="X32" s="390"/>
      <c r="Y32" s="387" t="s">
        <v>6</v>
      </c>
      <c r="Z32" s="388"/>
      <c r="AA32" s="124"/>
      <c r="AB32" s="21"/>
      <c r="AC32" s="369"/>
      <c r="AD32" s="386"/>
      <c r="AE32" s="386"/>
      <c r="AF32" s="386"/>
      <c r="AG32" s="363"/>
      <c r="AH32" s="363"/>
    </row>
    <row r="33" spans="1:38" ht="21" thickTop="1">
      <c r="A33" s="373" t="s">
        <v>14</v>
      </c>
      <c r="B33" s="374"/>
      <c r="C33" s="15" t="s">
        <v>9</v>
      </c>
      <c r="D33" s="4" t="s">
        <v>10</v>
      </c>
      <c r="E33" s="5" t="s">
        <v>9</v>
      </c>
      <c r="F33" s="6" t="s">
        <v>10</v>
      </c>
      <c r="G33" s="3" t="s">
        <v>9</v>
      </c>
      <c r="H33" s="4" t="s">
        <v>10</v>
      </c>
      <c r="I33" s="5" t="s">
        <v>9</v>
      </c>
      <c r="J33" s="16" t="s">
        <v>10</v>
      </c>
      <c r="K33" s="3" t="s">
        <v>9</v>
      </c>
      <c r="L33" s="4" t="s">
        <v>10</v>
      </c>
      <c r="M33" s="5" t="s">
        <v>9</v>
      </c>
      <c r="N33" s="6" t="s">
        <v>10</v>
      </c>
      <c r="O33" s="3" t="s">
        <v>9</v>
      </c>
      <c r="P33" s="4" t="s">
        <v>10</v>
      </c>
      <c r="Q33" s="5" t="s">
        <v>9</v>
      </c>
      <c r="R33" s="16" t="s">
        <v>10</v>
      </c>
      <c r="S33" s="3" t="s">
        <v>9</v>
      </c>
      <c r="T33" s="4" t="s">
        <v>10</v>
      </c>
      <c r="U33" s="5" t="s">
        <v>9</v>
      </c>
      <c r="V33" s="6" t="s">
        <v>10</v>
      </c>
      <c r="W33" s="3" t="s">
        <v>9</v>
      </c>
      <c r="X33" s="4" t="s">
        <v>10</v>
      </c>
      <c r="Y33" s="5" t="s">
        <v>9</v>
      </c>
      <c r="Z33" s="16" t="s">
        <v>10</v>
      </c>
      <c r="AA33" s="364" t="s">
        <v>14</v>
      </c>
      <c r="AB33" s="365"/>
      <c r="AC33" s="369"/>
      <c r="AD33" s="386"/>
      <c r="AE33" s="386"/>
      <c r="AF33" s="386"/>
      <c r="AG33" s="363"/>
      <c r="AH33" s="363"/>
    </row>
    <row r="34" spans="1:38" ht="54.95" customHeight="1">
      <c r="A34" s="375" t="s">
        <v>175</v>
      </c>
      <c r="B34" s="376"/>
      <c r="C34" s="26">
        <f>SUM(C14:C15)</f>
        <v>0</v>
      </c>
      <c r="D34" s="27">
        <f t="shared" ref="D34:Z34" si="0">SUM(D14:D15)</f>
        <v>0</v>
      </c>
      <c r="E34" s="28">
        <f t="shared" si="0"/>
        <v>0</v>
      </c>
      <c r="F34" s="29">
        <f t="shared" si="0"/>
        <v>0</v>
      </c>
      <c r="G34" s="30">
        <f t="shared" si="0"/>
        <v>0</v>
      </c>
      <c r="H34" s="27">
        <f t="shared" si="0"/>
        <v>0</v>
      </c>
      <c r="I34" s="28">
        <f t="shared" si="0"/>
        <v>0</v>
      </c>
      <c r="J34" s="31">
        <f t="shared" si="0"/>
        <v>0</v>
      </c>
      <c r="K34" s="30">
        <f t="shared" si="0"/>
        <v>0</v>
      </c>
      <c r="L34" s="27">
        <f t="shared" si="0"/>
        <v>0</v>
      </c>
      <c r="M34" s="28">
        <f t="shared" si="0"/>
        <v>0</v>
      </c>
      <c r="N34" s="29">
        <f t="shared" si="0"/>
        <v>0</v>
      </c>
      <c r="O34" s="30">
        <f t="shared" si="0"/>
        <v>0</v>
      </c>
      <c r="P34" s="27">
        <f t="shared" si="0"/>
        <v>0</v>
      </c>
      <c r="Q34" s="28">
        <f t="shared" si="0"/>
        <v>0</v>
      </c>
      <c r="R34" s="31">
        <f t="shared" si="0"/>
        <v>0</v>
      </c>
      <c r="S34" s="30">
        <f t="shared" si="0"/>
        <v>0</v>
      </c>
      <c r="T34" s="27">
        <f t="shared" si="0"/>
        <v>0</v>
      </c>
      <c r="U34" s="28">
        <f t="shared" si="0"/>
        <v>0</v>
      </c>
      <c r="V34" s="29">
        <f t="shared" si="0"/>
        <v>0</v>
      </c>
      <c r="W34" s="30">
        <f t="shared" si="0"/>
        <v>0</v>
      </c>
      <c r="X34" s="27">
        <f t="shared" si="0"/>
        <v>0</v>
      </c>
      <c r="Y34" s="28">
        <f t="shared" si="0"/>
        <v>0</v>
      </c>
      <c r="Z34" s="31">
        <f t="shared" si="0"/>
        <v>0</v>
      </c>
      <c r="AA34" s="366" t="str">
        <f>A34</f>
        <v>6:30 à 7:00</v>
      </c>
      <c r="AB34" s="367"/>
      <c r="AC34" s="47">
        <f>SUM(C34:Z34)</f>
        <v>0</v>
      </c>
      <c r="AD34" s="303">
        <f>C34+E34+G34+I34+K34+M34+O34+Q34+S34+U34+W34+Y34</f>
        <v>0</v>
      </c>
      <c r="AE34" s="303">
        <f>E34+F34+I34+J34+M34+N34+Q34+R34+U34+V34+Y34+Z34</f>
        <v>0</v>
      </c>
      <c r="AF34" s="303">
        <f>E34+I34+M34+Q34+U34+Y34</f>
        <v>0</v>
      </c>
      <c r="AG34" s="303">
        <f>SUM(G34:N34)+SUM(S34:Z34)</f>
        <v>0</v>
      </c>
      <c r="AH34" s="303">
        <f>SUM(C34:F34)+SUM(W34:Z34)+SUM(K34:R34)</f>
        <v>0</v>
      </c>
    </row>
    <row r="35" spans="1:38" ht="54.95" customHeight="1">
      <c r="A35" s="377" t="s">
        <v>46</v>
      </c>
      <c r="B35" s="378"/>
      <c r="C35" s="32">
        <f t="shared" ref="C35:Z35" si="1">SUM(C16:C19)</f>
        <v>0</v>
      </c>
      <c r="D35" s="33">
        <f t="shared" si="1"/>
        <v>1</v>
      </c>
      <c r="E35" s="34">
        <f t="shared" si="1"/>
        <v>0</v>
      </c>
      <c r="F35" s="35">
        <f t="shared" si="1"/>
        <v>1</v>
      </c>
      <c r="G35" s="36">
        <f t="shared" si="1"/>
        <v>0</v>
      </c>
      <c r="H35" s="33">
        <f t="shared" si="1"/>
        <v>4</v>
      </c>
      <c r="I35" s="34">
        <f t="shared" si="1"/>
        <v>0</v>
      </c>
      <c r="J35" s="37">
        <f t="shared" si="1"/>
        <v>0</v>
      </c>
      <c r="K35" s="36">
        <f t="shared" si="1"/>
        <v>0</v>
      </c>
      <c r="L35" s="33">
        <f t="shared" si="1"/>
        <v>0</v>
      </c>
      <c r="M35" s="34">
        <f t="shared" si="1"/>
        <v>0</v>
      </c>
      <c r="N35" s="35">
        <f t="shared" si="1"/>
        <v>0</v>
      </c>
      <c r="O35" s="36">
        <f t="shared" si="1"/>
        <v>0</v>
      </c>
      <c r="P35" s="33">
        <f t="shared" si="1"/>
        <v>0</v>
      </c>
      <c r="Q35" s="34">
        <f t="shared" si="1"/>
        <v>0</v>
      </c>
      <c r="R35" s="37">
        <f t="shared" si="1"/>
        <v>0</v>
      </c>
      <c r="S35" s="36">
        <f t="shared" si="1"/>
        <v>0</v>
      </c>
      <c r="T35" s="33">
        <f t="shared" si="1"/>
        <v>1</v>
      </c>
      <c r="U35" s="34">
        <f t="shared" si="1"/>
        <v>0</v>
      </c>
      <c r="V35" s="35">
        <f t="shared" si="1"/>
        <v>0</v>
      </c>
      <c r="W35" s="36">
        <f t="shared" si="1"/>
        <v>0</v>
      </c>
      <c r="X35" s="33">
        <f t="shared" si="1"/>
        <v>0</v>
      </c>
      <c r="Y35" s="34">
        <f t="shared" si="1"/>
        <v>0</v>
      </c>
      <c r="Z35" s="37">
        <f t="shared" si="1"/>
        <v>1</v>
      </c>
      <c r="AA35" s="366" t="str">
        <f t="shared" ref="AA35:AA37" si="2">A35</f>
        <v>7:00 à 8:00</v>
      </c>
      <c r="AB35" s="367"/>
      <c r="AC35" s="47">
        <f t="shared" ref="AC35:AC38" si="3">SUM(C35:Z35)</f>
        <v>8</v>
      </c>
      <c r="AD35" s="303">
        <f t="shared" ref="AD35:AD37" si="4">C35+E35+G35+I35+K35+M35+O35+Q35+S35+U35+W35+Y35</f>
        <v>0</v>
      </c>
      <c r="AE35" s="303">
        <f t="shared" ref="AE35:AE37" si="5">E35+F35+I35+J35+M35+N35+Q35+R35+U35+V35+Y35+Z35</f>
        <v>2</v>
      </c>
      <c r="AF35" s="303">
        <f t="shared" ref="AF35:AF37" si="6">E35+I35+M35+Q35+U35+Y35</f>
        <v>0</v>
      </c>
      <c r="AG35" s="303">
        <f>SUM(G35:N35)+SUM(S35:Z35)</f>
        <v>6</v>
      </c>
      <c r="AH35" s="303">
        <f t="shared" ref="AH35:AH37" si="7">SUM(C35:F35)+SUM(W35:Z35)+SUM(K35:R35)</f>
        <v>3</v>
      </c>
    </row>
    <row r="36" spans="1:38" ht="54.95" customHeight="1">
      <c r="A36" s="377" t="s">
        <v>47</v>
      </c>
      <c r="B36" s="378"/>
      <c r="C36" s="32">
        <f t="shared" ref="C36:Z36" si="8">SUM(C18:C21)</f>
        <v>0</v>
      </c>
      <c r="D36" s="33">
        <f t="shared" si="8"/>
        <v>3</v>
      </c>
      <c r="E36" s="34">
        <f t="shared" si="8"/>
        <v>0</v>
      </c>
      <c r="F36" s="35">
        <f t="shared" si="8"/>
        <v>1</v>
      </c>
      <c r="G36" s="36">
        <f t="shared" si="8"/>
        <v>0</v>
      </c>
      <c r="H36" s="33">
        <f t="shared" si="8"/>
        <v>6</v>
      </c>
      <c r="I36" s="34">
        <f t="shared" si="8"/>
        <v>1</v>
      </c>
      <c r="J36" s="37">
        <f t="shared" si="8"/>
        <v>0</v>
      </c>
      <c r="K36" s="36">
        <f t="shared" si="8"/>
        <v>0</v>
      </c>
      <c r="L36" s="33">
        <f t="shared" si="8"/>
        <v>0</v>
      </c>
      <c r="M36" s="34">
        <f t="shared" si="8"/>
        <v>0</v>
      </c>
      <c r="N36" s="35">
        <f t="shared" si="8"/>
        <v>0</v>
      </c>
      <c r="O36" s="36">
        <f t="shared" si="8"/>
        <v>0</v>
      </c>
      <c r="P36" s="33">
        <f t="shared" si="8"/>
        <v>0</v>
      </c>
      <c r="Q36" s="34">
        <f t="shared" si="8"/>
        <v>0</v>
      </c>
      <c r="R36" s="37">
        <f t="shared" si="8"/>
        <v>0</v>
      </c>
      <c r="S36" s="36">
        <f t="shared" si="8"/>
        <v>0</v>
      </c>
      <c r="T36" s="33">
        <f t="shared" si="8"/>
        <v>0</v>
      </c>
      <c r="U36" s="34">
        <f t="shared" si="8"/>
        <v>0</v>
      </c>
      <c r="V36" s="35">
        <f t="shared" si="8"/>
        <v>0</v>
      </c>
      <c r="W36" s="36">
        <f t="shared" si="8"/>
        <v>0</v>
      </c>
      <c r="X36" s="33">
        <f t="shared" si="8"/>
        <v>0</v>
      </c>
      <c r="Y36" s="34">
        <f t="shared" si="8"/>
        <v>0</v>
      </c>
      <c r="Z36" s="37">
        <f t="shared" si="8"/>
        <v>1</v>
      </c>
      <c r="AA36" s="366" t="str">
        <f t="shared" si="2"/>
        <v>7:30 à 8:30</v>
      </c>
      <c r="AB36" s="367"/>
      <c r="AC36" s="47">
        <f t="shared" si="3"/>
        <v>12</v>
      </c>
      <c r="AD36" s="303">
        <f t="shared" si="4"/>
        <v>1</v>
      </c>
      <c r="AE36" s="303">
        <f t="shared" si="5"/>
        <v>3</v>
      </c>
      <c r="AF36" s="303">
        <f t="shared" si="6"/>
        <v>1</v>
      </c>
      <c r="AG36" s="303">
        <f t="shared" ref="AG36:AG37" si="9">SUM(G36:N36)+SUM(S36:Z36)</f>
        <v>8</v>
      </c>
      <c r="AH36" s="303">
        <f t="shared" si="7"/>
        <v>5</v>
      </c>
    </row>
    <row r="37" spans="1:38" ht="54.95" customHeight="1">
      <c r="A37" s="377" t="s">
        <v>48</v>
      </c>
      <c r="B37" s="378"/>
      <c r="C37" s="32">
        <f t="shared" ref="C37:Z37" si="10">SUM(C20:C23)</f>
        <v>0</v>
      </c>
      <c r="D37" s="33">
        <f t="shared" si="10"/>
        <v>3</v>
      </c>
      <c r="E37" s="34">
        <f t="shared" si="10"/>
        <v>0</v>
      </c>
      <c r="F37" s="35">
        <f t="shared" si="10"/>
        <v>0</v>
      </c>
      <c r="G37" s="36">
        <f t="shared" si="10"/>
        <v>0</v>
      </c>
      <c r="H37" s="33">
        <f t="shared" si="10"/>
        <v>6</v>
      </c>
      <c r="I37" s="34">
        <f t="shared" si="10"/>
        <v>1</v>
      </c>
      <c r="J37" s="37">
        <f t="shared" si="10"/>
        <v>1</v>
      </c>
      <c r="K37" s="36">
        <f t="shared" si="10"/>
        <v>0</v>
      </c>
      <c r="L37" s="33">
        <f t="shared" si="10"/>
        <v>0</v>
      </c>
      <c r="M37" s="34">
        <f t="shared" si="10"/>
        <v>0</v>
      </c>
      <c r="N37" s="35">
        <f t="shared" si="10"/>
        <v>0</v>
      </c>
      <c r="O37" s="36">
        <f t="shared" si="10"/>
        <v>0</v>
      </c>
      <c r="P37" s="33">
        <f t="shared" si="10"/>
        <v>1</v>
      </c>
      <c r="Q37" s="34">
        <f t="shared" si="10"/>
        <v>0</v>
      </c>
      <c r="R37" s="37">
        <f t="shared" si="10"/>
        <v>0</v>
      </c>
      <c r="S37" s="36">
        <f t="shared" si="10"/>
        <v>0</v>
      </c>
      <c r="T37" s="33">
        <f t="shared" si="10"/>
        <v>2</v>
      </c>
      <c r="U37" s="34">
        <f t="shared" si="10"/>
        <v>0</v>
      </c>
      <c r="V37" s="35">
        <f t="shared" si="10"/>
        <v>0</v>
      </c>
      <c r="W37" s="36">
        <f t="shared" si="10"/>
        <v>0</v>
      </c>
      <c r="X37" s="33">
        <f t="shared" si="10"/>
        <v>1</v>
      </c>
      <c r="Y37" s="34">
        <f t="shared" si="10"/>
        <v>0</v>
      </c>
      <c r="Z37" s="37">
        <f t="shared" si="10"/>
        <v>1</v>
      </c>
      <c r="AA37" s="366" t="str">
        <f t="shared" si="2"/>
        <v>8:00 à 9:00</v>
      </c>
      <c r="AB37" s="367"/>
      <c r="AC37" s="47">
        <f t="shared" si="3"/>
        <v>16</v>
      </c>
      <c r="AD37" s="303">
        <f t="shared" si="4"/>
        <v>1</v>
      </c>
      <c r="AE37" s="303">
        <f t="shared" si="5"/>
        <v>3</v>
      </c>
      <c r="AF37" s="303">
        <f t="shared" si="6"/>
        <v>1</v>
      </c>
      <c r="AG37" s="303">
        <f t="shared" si="9"/>
        <v>12</v>
      </c>
      <c r="AH37" s="303">
        <f t="shared" si="7"/>
        <v>6</v>
      </c>
    </row>
    <row r="38" spans="1:38" ht="54.95" customHeight="1" thickBot="1">
      <c r="A38" s="406" t="s">
        <v>13</v>
      </c>
      <c r="B38" s="407"/>
      <c r="C38" s="38">
        <f t="shared" ref="C38:Z38" si="11">SUM(C14:C23)</f>
        <v>0</v>
      </c>
      <c r="D38" s="39">
        <f t="shared" si="11"/>
        <v>4</v>
      </c>
      <c r="E38" s="40">
        <f t="shared" si="11"/>
        <v>0</v>
      </c>
      <c r="F38" s="41">
        <f t="shared" si="11"/>
        <v>1</v>
      </c>
      <c r="G38" s="42">
        <f t="shared" si="11"/>
        <v>0</v>
      </c>
      <c r="H38" s="39">
        <f t="shared" si="11"/>
        <v>10</v>
      </c>
      <c r="I38" s="40">
        <f t="shared" si="11"/>
        <v>1</v>
      </c>
      <c r="J38" s="43">
        <f t="shared" si="11"/>
        <v>1</v>
      </c>
      <c r="K38" s="42">
        <f t="shared" si="11"/>
        <v>0</v>
      </c>
      <c r="L38" s="39">
        <f t="shared" si="11"/>
        <v>0</v>
      </c>
      <c r="M38" s="40">
        <f t="shared" si="11"/>
        <v>0</v>
      </c>
      <c r="N38" s="41">
        <f t="shared" si="11"/>
        <v>0</v>
      </c>
      <c r="O38" s="42">
        <f t="shared" si="11"/>
        <v>0</v>
      </c>
      <c r="P38" s="39">
        <f t="shared" si="11"/>
        <v>1</v>
      </c>
      <c r="Q38" s="40">
        <f t="shared" si="11"/>
        <v>0</v>
      </c>
      <c r="R38" s="43">
        <f t="shared" si="11"/>
        <v>0</v>
      </c>
      <c r="S38" s="42">
        <f t="shared" si="11"/>
        <v>0</v>
      </c>
      <c r="T38" s="39">
        <f t="shared" si="11"/>
        <v>3</v>
      </c>
      <c r="U38" s="40">
        <f t="shared" si="11"/>
        <v>0</v>
      </c>
      <c r="V38" s="41">
        <f t="shared" si="11"/>
        <v>0</v>
      </c>
      <c r="W38" s="42">
        <f t="shared" si="11"/>
        <v>0</v>
      </c>
      <c r="X38" s="39">
        <f t="shared" si="11"/>
        <v>1</v>
      </c>
      <c r="Y38" s="40">
        <f t="shared" si="11"/>
        <v>0</v>
      </c>
      <c r="Z38" s="43">
        <f t="shared" si="11"/>
        <v>2</v>
      </c>
      <c r="AA38" s="383" t="s">
        <v>13</v>
      </c>
      <c r="AB38" s="384"/>
      <c r="AC38" s="328">
        <f t="shared" si="3"/>
        <v>24</v>
      </c>
      <c r="AD38" s="329">
        <f>AD34+AD35+AD37</f>
        <v>1</v>
      </c>
      <c r="AE38" s="329">
        <f t="shared" ref="AE38" si="12">AE34+AE35+AE37</f>
        <v>5</v>
      </c>
      <c r="AF38" s="329">
        <f t="shared" ref="AF38" si="13">AF34+AF35+AF37</f>
        <v>1</v>
      </c>
      <c r="AG38" s="329">
        <f t="shared" ref="AG38:AH38" si="14">AG34+AG35+AG37</f>
        <v>18</v>
      </c>
      <c r="AH38" s="329">
        <f t="shared" si="14"/>
        <v>9</v>
      </c>
    </row>
    <row r="39" spans="1:38" ht="44.25" customHeight="1" thickTop="1" thickBot="1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8"/>
      <c r="T39" s="19"/>
      <c r="U39" s="19"/>
      <c r="V39" s="19"/>
      <c r="W39" s="19"/>
      <c r="X39" s="19"/>
      <c r="Y39" s="19"/>
      <c r="Z39" s="19"/>
      <c r="AA39" s="360" t="str">
        <f>IF($AC$37=MAX($AC$34:$AC$37),AA37,IF($AC$36=MAX($AC$34:$AC$37),AA36,IF($AC$35=MAX($AC$34:$AC$37),AA35,IF($AC$34=MAX($AC$34:$AC$37),AA34,AA37))))</f>
        <v>8:00 à 9:00</v>
      </c>
      <c r="AB39" s="361"/>
      <c r="AC39" s="314">
        <f t="shared" ref="AC39:AH39" si="15">IF($AC$37=MAX($AC$34:$AC$37),AC37,IF($AC$36=MAX($AC$34:$AC$37),AC36,IF($AC$35=MAX($AC$34:$AC$37),AC35,IF($AC$34=MAX($AC$34:$AC$37),AC34,AC37))))</f>
        <v>16</v>
      </c>
      <c r="AD39" s="315">
        <f t="shared" si="15"/>
        <v>1</v>
      </c>
      <c r="AE39" s="315">
        <f t="shared" si="15"/>
        <v>3</v>
      </c>
      <c r="AF39" s="315">
        <f t="shared" si="15"/>
        <v>1</v>
      </c>
      <c r="AG39" s="315">
        <f t="shared" si="15"/>
        <v>12</v>
      </c>
      <c r="AH39" s="315">
        <f t="shared" si="15"/>
        <v>6</v>
      </c>
    </row>
    <row r="40" spans="1:38" ht="21" customHeight="1" thickTop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1"/>
      <c r="T40" s="7"/>
      <c r="U40" s="7"/>
      <c r="V40" s="7"/>
      <c r="W40" s="7"/>
      <c r="X40" s="7"/>
      <c r="Y40" s="7"/>
      <c r="Z40" s="7"/>
      <c r="AA40" s="20"/>
      <c r="AB40" s="21"/>
      <c r="AC40" s="368" t="s">
        <v>13</v>
      </c>
      <c r="AD40" s="370" t="s">
        <v>15</v>
      </c>
      <c r="AE40" s="370" t="s">
        <v>16</v>
      </c>
      <c r="AF40" s="370" t="s">
        <v>17</v>
      </c>
      <c r="AG40" s="362" t="str">
        <f>AG30</f>
        <v>Cycles sur rte de Dessy</v>
      </c>
      <c r="AH40" s="362" t="str">
        <f>AH30</f>
        <v>Cycles sur rte des Digues</v>
      </c>
    </row>
    <row r="41" spans="1:38" ht="20.25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20"/>
      <c r="AB41" s="21"/>
      <c r="AC41" s="369"/>
      <c r="AD41" s="371"/>
      <c r="AE41" s="371"/>
      <c r="AF41" s="371"/>
      <c r="AG41" s="363"/>
      <c r="AH41" s="363"/>
      <c r="AI41" s="7"/>
      <c r="AJ41" s="7"/>
      <c r="AK41" s="7"/>
      <c r="AL41" s="7"/>
    </row>
    <row r="42" spans="1:38" ht="21" thickBo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24"/>
      <c r="AB42" s="21"/>
      <c r="AC42" s="369"/>
      <c r="AD42" s="371"/>
      <c r="AE42" s="371"/>
      <c r="AF42" s="371"/>
      <c r="AG42" s="363"/>
      <c r="AH42" s="363"/>
      <c r="AI42" s="7"/>
      <c r="AJ42" s="7"/>
      <c r="AK42" s="7"/>
      <c r="AL42" s="7"/>
    </row>
    <row r="43" spans="1:38" ht="21" thickTop="1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364" t="s">
        <v>14</v>
      </c>
      <c r="AB43" s="365"/>
      <c r="AC43" s="369"/>
      <c r="AD43" s="372"/>
      <c r="AE43" s="372"/>
      <c r="AF43" s="372"/>
      <c r="AG43" s="363"/>
      <c r="AH43" s="363"/>
      <c r="AI43" s="7"/>
      <c r="AJ43" s="7"/>
      <c r="AK43" s="7"/>
      <c r="AL43" s="7"/>
    </row>
    <row r="44" spans="1:38" ht="35.1" customHeight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366" t="str">
        <f>AA34</f>
        <v>6:30 à 7:00</v>
      </c>
      <c r="AB44" s="367"/>
      <c r="AC44" s="47"/>
      <c r="AD44" s="304">
        <f>IF(AD34=0,0,AD34/AC34)</f>
        <v>0</v>
      </c>
      <c r="AE44" s="304">
        <f>IF(AE34=0,0,AE34/AC34)</f>
        <v>0</v>
      </c>
      <c r="AF44" s="304">
        <f>IF(AF34=0,0,AF34/AD34)</f>
        <v>0</v>
      </c>
      <c r="AG44" s="304">
        <f>IF(AG34=0,0,AG34/AC34)</f>
        <v>0</v>
      </c>
      <c r="AH44" s="304">
        <f>IF(AH34=0,0,AH34/AC34)</f>
        <v>0</v>
      </c>
      <c r="AI44" s="7"/>
      <c r="AJ44" s="7"/>
      <c r="AK44" s="7"/>
      <c r="AL44" s="7"/>
    </row>
    <row r="45" spans="1:38" ht="35.1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366" t="str">
        <f t="shared" ref="AA45:AA47" si="16">AA35</f>
        <v>7:00 à 8:00</v>
      </c>
      <c r="AB45" s="367"/>
      <c r="AC45" s="47"/>
      <c r="AD45" s="304">
        <f t="shared" ref="AD45:AD48" si="17">IF(AD35=0,0,AD35/AC35)</f>
        <v>0</v>
      </c>
      <c r="AE45" s="304">
        <f t="shared" ref="AE45:AF48" si="18">IF(AE35=0,0,AE35/AC35)</f>
        <v>0.25</v>
      </c>
      <c r="AF45" s="304">
        <f>IF(AF35=0,0,AF35/AD35)</f>
        <v>0</v>
      </c>
      <c r="AG45" s="304">
        <f t="shared" ref="AG45:AG48" si="19">IF(AG35=0,0,AG35/AC35)</f>
        <v>0.75</v>
      </c>
      <c r="AH45" s="304">
        <f>IF(AH35=0,0,AH35/AC35)</f>
        <v>0.375</v>
      </c>
      <c r="AI45" s="7"/>
      <c r="AJ45" s="7"/>
      <c r="AK45" s="7"/>
      <c r="AL45" s="7"/>
    </row>
    <row r="46" spans="1:38" ht="35.1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366" t="str">
        <f t="shared" si="16"/>
        <v>7:30 à 8:30</v>
      </c>
      <c r="AB46" s="367"/>
      <c r="AC46" s="47"/>
      <c r="AD46" s="304">
        <f t="shared" si="17"/>
        <v>8.3333333333333329E-2</v>
      </c>
      <c r="AE46" s="304">
        <f t="shared" si="18"/>
        <v>0.25</v>
      </c>
      <c r="AF46" s="304">
        <f t="shared" si="18"/>
        <v>1</v>
      </c>
      <c r="AG46" s="304">
        <f t="shared" si="19"/>
        <v>0.66666666666666663</v>
      </c>
      <c r="AH46" s="304">
        <f>IF(AH36=0,0,AH36/AC36)</f>
        <v>0.41666666666666669</v>
      </c>
      <c r="AI46" s="7"/>
      <c r="AJ46" s="7"/>
      <c r="AK46" s="7"/>
      <c r="AL46" s="7"/>
    </row>
    <row r="47" spans="1:38" ht="35.1" customHeight="1">
      <c r="F47" s="7"/>
      <c r="K47" s="7"/>
      <c r="L47" s="7"/>
      <c r="M47" s="7"/>
      <c r="S47" s="7"/>
      <c r="T47" s="7"/>
      <c r="U47" s="7"/>
      <c r="AA47" s="366" t="str">
        <f t="shared" si="16"/>
        <v>8:00 à 9:00</v>
      </c>
      <c r="AB47" s="367"/>
      <c r="AC47" s="47"/>
      <c r="AD47" s="304">
        <f t="shared" si="17"/>
        <v>6.25E-2</v>
      </c>
      <c r="AE47" s="304">
        <f t="shared" si="18"/>
        <v>0.1875</v>
      </c>
      <c r="AF47" s="304">
        <f t="shared" si="18"/>
        <v>1</v>
      </c>
      <c r="AG47" s="304">
        <f t="shared" si="19"/>
        <v>0.75</v>
      </c>
      <c r="AH47" s="304">
        <f>IF(AH37=0,0,AH37/AC37)</f>
        <v>0.375</v>
      </c>
    </row>
    <row r="48" spans="1:38" ht="35.1" customHeight="1">
      <c r="F48" s="7"/>
      <c r="K48" s="7"/>
      <c r="L48" s="7"/>
      <c r="M48" s="7"/>
      <c r="S48" s="7"/>
      <c r="T48" s="7"/>
      <c r="U48" s="7"/>
      <c r="AA48" s="358" t="s">
        <v>13</v>
      </c>
      <c r="AB48" s="359"/>
      <c r="AC48" s="334"/>
      <c r="AD48" s="335">
        <f t="shared" si="17"/>
        <v>4.1666666666666664E-2</v>
      </c>
      <c r="AE48" s="335">
        <f t="shared" si="18"/>
        <v>0.20833333333333334</v>
      </c>
      <c r="AF48" s="335">
        <f t="shared" si="18"/>
        <v>1</v>
      </c>
      <c r="AG48" s="335">
        <f t="shared" si="19"/>
        <v>0.75</v>
      </c>
      <c r="AH48" s="335">
        <f>IF(AH38=0,0,AH38/AC38)</f>
        <v>0.375</v>
      </c>
    </row>
    <row r="49" spans="27:34" ht="35.1" customHeight="1" thickBot="1">
      <c r="AA49" s="360" t="str">
        <f>AA39</f>
        <v>8:00 à 9:00</v>
      </c>
      <c r="AB49" s="361"/>
      <c r="AC49" s="314">
        <f>IF($AW$48=MAX($AW$48:$AW$52),AC44,IF($AW$49=MAX($AW$48:$AW$52),AC45,IF($AW$50=MAX($AW$48:$AW$52),AC46,IF($AW$51=MAX($AW$48:$AW$52),(AC46),AC47))))</f>
        <v>0</v>
      </c>
      <c r="AD49" s="313">
        <f>AD39/AC39</f>
        <v>6.25E-2</v>
      </c>
      <c r="AE49" s="313">
        <f>AE39/AC39</f>
        <v>0.1875</v>
      </c>
      <c r="AF49" s="313">
        <f>AF39/AC39</f>
        <v>6.25E-2</v>
      </c>
      <c r="AG49" s="313">
        <f>AG39/AC39</f>
        <v>0.75</v>
      </c>
      <c r="AH49" s="313">
        <f>AH39/AC39</f>
        <v>0.375</v>
      </c>
    </row>
    <row r="50" spans="27:34" ht="35.1" customHeight="1" thickTop="1"/>
  </sheetData>
  <mergeCells count="74">
    <mergeCell ref="C10:J10"/>
    <mergeCell ref="K10:R10"/>
    <mergeCell ref="S10:Z10"/>
    <mergeCell ref="C11:F11"/>
    <mergeCell ref="G11:J11"/>
    <mergeCell ref="K11:N11"/>
    <mergeCell ref="O11:R11"/>
    <mergeCell ref="S11:V11"/>
    <mergeCell ref="W11:Z11"/>
    <mergeCell ref="Y12:Z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C30:J30"/>
    <mergeCell ref="K30:R30"/>
    <mergeCell ref="S30:Z30"/>
    <mergeCell ref="C31:F31"/>
    <mergeCell ref="G31:J31"/>
    <mergeCell ref="K31:N31"/>
    <mergeCell ref="O31:R31"/>
    <mergeCell ref="M32:N32"/>
    <mergeCell ref="O32:P32"/>
    <mergeCell ref="Q32:R32"/>
    <mergeCell ref="S32:T32"/>
    <mergeCell ref="U32:V32"/>
    <mergeCell ref="C32:D32"/>
    <mergeCell ref="E32:F32"/>
    <mergeCell ref="G32:H32"/>
    <mergeCell ref="I32:J32"/>
    <mergeCell ref="K32:L32"/>
    <mergeCell ref="AG30:AG33"/>
    <mergeCell ref="AA33:AB33"/>
    <mergeCell ref="AA34:AB34"/>
    <mergeCell ref="AA35:AB35"/>
    <mergeCell ref="S31:V31"/>
    <mergeCell ref="W31:Z31"/>
    <mergeCell ref="W32:X32"/>
    <mergeCell ref="Y32:Z32"/>
    <mergeCell ref="A36:B36"/>
    <mergeCell ref="A37:B37"/>
    <mergeCell ref="AA36:AB36"/>
    <mergeCell ref="AA37:AB37"/>
    <mergeCell ref="A33:B33"/>
    <mergeCell ref="A34:B34"/>
    <mergeCell ref="A35:B35"/>
    <mergeCell ref="A38:B38"/>
    <mergeCell ref="AA38:AB38"/>
    <mergeCell ref="AA39:AB39"/>
    <mergeCell ref="AC40:AC43"/>
    <mergeCell ref="AD40:AD43"/>
    <mergeCell ref="AA48:AB48"/>
    <mergeCell ref="AA49:AB49"/>
    <mergeCell ref="AH30:AH33"/>
    <mergeCell ref="AH40:AH43"/>
    <mergeCell ref="AA43:AB43"/>
    <mergeCell ref="AA44:AB44"/>
    <mergeCell ref="AA45:AB45"/>
    <mergeCell ref="AA46:AB46"/>
    <mergeCell ref="AA47:AB47"/>
    <mergeCell ref="AE40:AE43"/>
    <mergeCell ref="AF40:AF43"/>
    <mergeCell ref="AG40:AG43"/>
    <mergeCell ref="AC30:AC33"/>
    <mergeCell ref="AD30:AD33"/>
    <mergeCell ref="AE30:AE33"/>
    <mergeCell ref="AF30:AF3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3EC2-4F01-44D3-8EC0-C20AAF53370F}">
  <sheetPr>
    <tabColor theme="9" tint="-0.249977111117893"/>
  </sheetPr>
  <dimension ref="A1:X50"/>
  <sheetViews>
    <sheetView zoomScale="50" zoomScaleNormal="50" workbookViewId="0">
      <selection activeCell="B2" sqref="B2"/>
    </sheetView>
  </sheetViews>
  <sheetFormatPr baseColWidth="10" defaultRowHeight="14.25"/>
  <cols>
    <col min="1" max="1" width="6.375" style="8" customWidth="1"/>
    <col min="2" max="2" width="11" style="8"/>
    <col min="3" max="10" width="20.625" style="8" customWidth="1"/>
    <col min="11" max="12" width="10.625" style="8" customWidth="1"/>
    <col min="13" max="13" width="19.5" style="8" customWidth="1"/>
    <col min="14" max="14" width="21.25" style="8" customWidth="1"/>
    <col min="15" max="15" width="19.5" style="8" customWidth="1"/>
    <col min="16" max="16" width="20.75" style="8" customWidth="1"/>
    <col min="17" max="17" width="23.25" style="8" customWidth="1"/>
    <col min="18" max="16384" width="11" style="8"/>
  </cols>
  <sheetData>
    <row r="1" spans="1:10" ht="27" thickBot="1">
      <c r="A1" s="56" t="s">
        <v>0</v>
      </c>
      <c r="B1" s="84" t="s">
        <v>181</v>
      </c>
      <c r="C1" s="49"/>
      <c r="D1" s="49"/>
      <c r="E1" s="49"/>
      <c r="F1" s="57"/>
      <c r="G1" s="49"/>
      <c r="H1" s="49"/>
      <c r="I1" s="49"/>
      <c r="J1" s="49"/>
    </row>
    <row r="2" spans="1:10" ht="21" thickBot="1">
      <c r="A2" s="20" t="s">
        <v>2</v>
      </c>
      <c r="B2" s="21"/>
      <c r="C2" s="21"/>
      <c r="D2" s="21"/>
      <c r="E2" s="21"/>
      <c r="F2" s="94"/>
      <c r="G2" s="24" t="s">
        <v>85</v>
      </c>
      <c r="H2" s="24"/>
      <c r="I2" s="24"/>
      <c r="J2" s="24"/>
    </row>
    <row r="3" spans="1:10" ht="21" thickBot="1">
      <c r="A3" s="20" t="s">
        <v>3</v>
      </c>
      <c r="B3" s="21"/>
      <c r="C3" s="22"/>
      <c r="D3" s="23"/>
      <c r="E3" s="23"/>
      <c r="F3" s="23"/>
      <c r="G3" s="23"/>
      <c r="H3" s="23"/>
      <c r="I3" s="23"/>
      <c r="J3" s="23"/>
    </row>
    <row r="4" spans="1:10" ht="21" thickBot="1">
      <c r="A4" s="20" t="s">
        <v>18</v>
      </c>
      <c r="B4" s="21"/>
      <c r="C4" s="22"/>
      <c r="D4" s="23"/>
      <c r="E4" s="23"/>
      <c r="F4" s="23"/>
      <c r="G4" s="23"/>
      <c r="H4" s="23"/>
      <c r="I4" s="23"/>
      <c r="J4" s="23"/>
    </row>
    <row r="5" spans="1:10" ht="23.25">
      <c r="A5" s="83" t="s">
        <v>50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23.25">
      <c r="A6" s="83" t="s">
        <v>51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ht="24" thickBot="1">
      <c r="A7" s="83" t="s">
        <v>52</v>
      </c>
      <c r="B7" s="21"/>
      <c r="C7" s="21"/>
      <c r="D7" s="21"/>
      <c r="E7" s="21"/>
      <c r="F7" s="21"/>
      <c r="G7" s="21"/>
      <c r="H7" s="21"/>
      <c r="I7" s="21"/>
      <c r="J7" s="21"/>
    </row>
    <row r="8" spans="1:10" ht="30.75" thickTop="1">
      <c r="A8" s="20"/>
      <c r="B8" s="21"/>
      <c r="C8" s="399" t="s">
        <v>86</v>
      </c>
      <c r="D8" s="400"/>
      <c r="E8" s="400"/>
      <c r="F8" s="400"/>
      <c r="G8" s="400"/>
      <c r="H8" s="400"/>
      <c r="I8" s="400"/>
      <c r="J8" s="400"/>
    </row>
    <row r="9" spans="1:10" ht="23.25">
      <c r="A9" s="20"/>
      <c r="B9" s="21"/>
      <c r="C9" s="398" t="s">
        <v>87</v>
      </c>
      <c r="D9" s="395"/>
      <c r="E9" s="395"/>
      <c r="F9" s="395"/>
      <c r="G9" s="398" t="s">
        <v>88</v>
      </c>
      <c r="H9" s="395"/>
      <c r="I9" s="395"/>
      <c r="J9" s="395"/>
    </row>
    <row r="10" spans="1:10" ht="21" thickBot="1">
      <c r="A10" s="20"/>
      <c r="B10" s="21"/>
      <c r="C10" s="397" t="s">
        <v>5</v>
      </c>
      <c r="D10" s="390"/>
      <c r="E10" s="387" t="s">
        <v>6</v>
      </c>
      <c r="F10" s="396"/>
      <c r="G10" s="389" t="s">
        <v>5</v>
      </c>
      <c r="H10" s="390"/>
      <c r="I10" s="387" t="s">
        <v>6</v>
      </c>
      <c r="J10" s="388"/>
    </row>
    <row r="11" spans="1:10" ht="21" thickTop="1">
      <c r="A11" s="11" t="s">
        <v>7</v>
      </c>
      <c r="B11" s="12" t="s">
        <v>8</v>
      </c>
      <c r="C11" s="15" t="s">
        <v>9</v>
      </c>
      <c r="D11" s="4" t="s">
        <v>10</v>
      </c>
      <c r="E11" s="5" t="s">
        <v>9</v>
      </c>
      <c r="F11" s="6" t="s">
        <v>10</v>
      </c>
      <c r="G11" s="3" t="s">
        <v>9</v>
      </c>
      <c r="H11" s="4" t="s">
        <v>10</v>
      </c>
      <c r="I11" s="5" t="s">
        <v>9</v>
      </c>
      <c r="J11" s="16" t="s">
        <v>10</v>
      </c>
    </row>
    <row r="12" spans="1:10" ht="30">
      <c r="A12" s="92">
        <v>6</v>
      </c>
      <c r="B12" s="14" t="s">
        <v>20</v>
      </c>
      <c r="C12" s="64"/>
      <c r="D12" s="65"/>
      <c r="E12" s="66"/>
      <c r="F12" s="67"/>
      <c r="G12" s="68"/>
      <c r="H12" s="65">
        <v>1</v>
      </c>
      <c r="I12" s="66"/>
      <c r="J12" s="69"/>
    </row>
    <row r="13" spans="1:10" ht="20.25">
      <c r="A13" s="13"/>
      <c r="B13" s="14" t="s">
        <v>24</v>
      </c>
      <c r="C13" s="70"/>
      <c r="D13" s="71"/>
      <c r="E13" s="72"/>
      <c r="F13" s="73"/>
      <c r="G13" s="74"/>
      <c r="H13" s="71">
        <v>1</v>
      </c>
      <c r="I13" s="72"/>
      <c r="J13" s="75"/>
    </row>
    <row r="14" spans="1:10" ht="30">
      <c r="A14" s="92">
        <v>7</v>
      </c>
      <c r="B14" s="14" t="s">
        <v>21</v>
      </c>
      <c r="C14" s="64"/>
      <c r="D14" s="65">
        <v>1</v>
      </c>
      <c r="E14" s="66"/>
      <c r="F14" s="67"/>
      <c r="G14" s="68"/>
      <c r="H14" s="65">
        <v>1</v>
      </c>
      <c r="I14" s="66"/>
      <c r="J14" s="69"/>
    </row>
    <row r="15" spans="1:10" ht="20.25">
      <c r="A15" s="13"/>
      <c r="B15" s="14" t="s">
        <v>22</v>
      </c>
      <c r="C15" s="76"/>
      <c r="D15" s="77"/>
      <c r="E15" s="78"/>
      <c r="F15" s="79"/>
      <c r="G15" s="80"/>
      <c r="H15" s="77"/>
      <c r="I15" s="78"/>
      <c r="J15" s="81"/>
    </row>
    <row r="16" spans="1:10" ht="20.25">
      <c r="A16" s="13"/>
      <c r="B16" s="14" t="s">
        <v>20</v>
      </c>
      <c r="C16" s="76"/>
      <c r="D16" s="77">
        <v>1</v>
      </c>
      <c r="E16" s="78"/>
      <c r="F16" s="79"/>
      <c r="G16" s="80"/>
      <c r="H16" s="77"/>
      <c r="I16" s="78"/>
      <c r="J16" s="81"/>
    </row>
    <row r="17" spans="1:24" ht="20.25">
      <c r="A17" s="13"/>
      <c r="B17" s="14" t="s">
        <v>23</v>
      </c>
      <c r="C17" s="70"/>
      <c r="D17" s="71"/>
      <c r="E17" s="72"/>
      <c r="F17" s="73"/>
      <c r="G17" s="74"/>
      <c r="H17" s="71"/>
      <c r="I17" s="72"/>
      <c r="J17" s="75">
        <v>3</v>
      </c>
    </row>
    <row r="18" spans="1:24" ht="30">
      <c r="A18" s="92">
        <v>8</v>
      </c>
      <c r="B18" s="14" t="s">
        <v>21</v>
      </c>
      <c r="C18" s="64"/>
      <c r="D18" s="65">
        <v>1</v>
      </c>
      <c r="E18" s="66"/>
      <c r="F18" s="67"/>
      <c r="G18" s="68"/>
      <c r="H18" s="65">
        <v>1</v>
      </c>
      <c r="I18" s="66"/>
      <c r="J18" s="69"/>
    </row>
    <row r="19" spans="1:24" ht="20.25">
      <c r="A19" s="13"/>
      <c r="B19" s="14" t="s">
        <v>22</v>
      </c>
      <c r="C19" s="76"/>
      <c r="D19" s="77">
        <v>1</v>
      </c>
      <c r="E19" s="78"/>
      <c r="F19" s="79">
        <v>1</v>
      </c>
      <c r="G19" s="80"/>
      <c r="H19" s="77"/>
      <c r="I19" s="78"/>
      <c r="J19" s="81">
        <v>3</v>
      </c>
    </row>
    <row r="20" spans="1:24" ht="20.25">
      <c r="A20" s="13"/>
      <c r="B20" s="14" t="s">
        <v>20</v>
      </c>
      <c r="C20" s="76"/>
      <c r="D20" s="77">
        <v>1</v>
      </c>
      <c r="E20" s="78"/>
      <c r="F20" s="79">
        <v>1</v>
      </c>
      <c r="G20" s="80"/>
      <c r="H20" s="77"/>
      <c r="I20" s="78"/>
      <c r="J20" s="81">
        <v>1</v>
      </c>
    </row>
    <row r="21" spans="1:24" ht="21" thickBot="1">
      <c r="A21" s="93">
        <v>9</v>
      </c>
      <c r="B21" s="14" t="s">
        <v>23</v>
      </c>
      <c r="C21" s="70"/>
      <c r="D21" s="71">
        <v>4</v>
      </c>
      <c r="E21" s="72"/>
      <c r="F21" s="73">
        <v>3</v>
      </c>
      <c r="G21" s="74"/>
      <c r="H21" s="71">
        <v>4</v>
      </c>
      <c r="I21" s="72"/>
      <c r="J21" s="75"/>
    </row>
    <row r="22" spans="1:24" ht="21.75" thickTop="1" thickBot="1">
      <c r="A22" s="100"/>
      <c r="B22" s="100"/>
      <c r="C22" s="99"/>
      <c r="D22" s="99"/>
      <c r="E22" s="99"/>
      <c r="F22" s="99"/>
      <c r="G22" s="99"/>
      <c r="H22" s="99"/>
      <c r="I22" s="99"/>
      <c r="J22" s="99"/>
    </row>
    <row r="23" spans="1:24" ht="21" thickBot="1">
      <c r="A23" s="56" t="s">
        <v>0</v>
      </c>
      <c r="B23" s="48" t="str">
        <f>B1</f>
        <v>Bonneville Franchissement du Borne Tucinge</v>
      </c>
      <c r="C23" s="49"/>
      <c r="D23" s="49"/>
      <c r="E23" s="49"/>
      <c r="F23" s="57"/>
      <c r="G23" s="49"/>
      <c r="H23" s="49"/>
      <c r="I23" s="49"/>
      <c r="J23" s="49"/>
    </row>
    <row r="24" spans="1:24" ht="21" thickBot="1">
      <c r="A24" s="20" t="s">
        <v>2</v>
      </c>
      <c r="B24" s="21"/>
      <c r="C24" s="21"/>
      <c r="D24" s="21"/>
      <c r="E24" s="21"/>
      <c r="F24" s="94"/>
      <c r="G24" s="24"/>
      <c r="H24" s="24"/>
      <c r="I24" s="24"/>
      <c r="J24" s="24"/>
    </row>
    <row r="25" spans="1:24" ht="21" thickBot="1">
      <c r="A25" s="20" t="s">
        <v>3</v>
      </c>
      <c r="B25" s="21"/>
      <c r="C25" s="22">
        <f>C3</f>
        <v>0</v>
      </c>
      <c r="D25" s="23"/>
      <c r="E25" s="23"/>
      <c r="F25" s="23"/>
      <c r="G25" s="23"/>
      <c r="H25" s="23"/>
      <c r="I25" s="23"/>
      <c r="J25" s="23"/>
    </row>
    <row r="26" spans="1:24" ht="21" thickBot="1">
      <c r="A26" s="20" t="s">
        <v>18</v>
      </c>
      <c r="B26" s="21"/>
      <c r="C26" s="22">
        <f>C4</f>
        <v>0</v>
      </c>
      <c r="D26" s="23"/>
      <c r="E26" s="23"/>
      <c r="F26" s="23"/>
      <c r="G26" s="23"/>
      <c r="H26" s="23"/>
      <c r="I26" s="23"/>
      <c r="J26" s="23"/>
    </row>
    <row r="27" spans="1:24" ht="21" customHeight="1">
      <c r="A27" s="102" t="s">
        <v>45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24" ht="20.25">
      <c r="A28" s="102" t="s">
        <v>4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24" ht="21" thickBot="1">
      <c r="A29" s="102"/>
      <c r="B29" s="21"/>
      <c r="C29" s="21"/>
      <c r="D29" s="21"/>
      <c r="E29" s="21"/>
      <c r="F29" s="21"/>
      <c r="G29" s="21"/>
      <c r="H29" s="21"/>
      <c r="I29" s="21"/>
      <c r="J29" s="21"/>
    </row>
    <row r="30" spans="1:24" ht="30.75" thickTop="1">
      <c r="A30" s="20"/>
      <c r="B30" s="21"/>
      <c r="C30" s="399" t="str">
        <f>C8</f>
        <v>Pont du Borne</v>
      </c>
      <c r="D30" s="400"/>
      <c r="E30" s="400"/>
      <c r="F30" s="400"/>
      <c r="G30" s="400"/>
      <c r="H30" s="400"/>
      <c r="I30" s="400"/>
      <c r="J30" s="400"/>
      <c r="K30" s="20"/>
      <c r="L30" s="21"/>
      <c r="M30" s="368" t="s">
        <v>13</v>
      </c>
      <c r="N30" s="385" t="s">
        <v>108</v>
      </c>
      <c r="O30" s="385" t="s">
        <v>109</v>
      </c>
      <c r="P30" s="385" t="s">
        <v>110</v>
      </c>
      <c r="Q30" s="362" t="s">
        <v>153</v>
      </c>
      <c r="R30" s="402" t="s">
        <v>152</v>
      </c>
      <c r="S30" s="385"/>
      <c r="T30" s="385"/>
      <c r="U30" s="385"/>
      <c r="V30" s="385"/>
      <c r="W30" s="385"/>
      <c r="X30" s="414"/>
    </row>
    <row r="31" spans="1:24" ht="23.25">
      <c r="A31" s="20"/>
      <c r="B31" s="21"/>
      <c r="C31" s="398" t="str">
        <f>C9</f>
        <v>Depuis Bonneville</v>
      </c>
      <c r="D31" s="395"/>
      <c r="E31" s="395"/>
      <c r="F31" s="395"/>
      <c r="G31" s="393" t="str">
        <f>G9</f>
        <v>Depuis St Pierre</v>
      </c>
      <c r="H31" s="393"/>
      <c r="I31" s="393"/>
      <c r="J31" s="393"/>
      <c r="K31" s="20"/>
      <c r="L31" s="21"/>
      <c r="M31" s="369"/>
      <c r="N31" s="386"/>
      <c r="O31" s="386"/>
      <c r="P31" s="386"/>
      <c r="Q31" s="363"/>
      <c r="R31" s="403"/>
      <c r="S31" s="386"/>
      <c r="T31" s="386"/>
      <c r="U31" s="386"/>
      <c r="V31" s="386"/>
      <c r="W31" s="386"/>
      <c r="X31" s="415"/>
    </row>
    <row r="32" spans="1:24" ht="21" thickBot="1">
      <c r="A32" s="20"/>
      <c r="B32" s="21"/>
      <c r="C32" s="397" t="s">
        <v>5</v>
      </c>
      <c r="D32" s="390"/>
      <c r="E32" s="387" t="s">
        <v>6</v>
      </c>
      <c r="F32" s="396"/>
      <c r="G32" s="389" t="s">
        <v>5</v>
      </c>
      <c r="H32" s="390"/>
      <c r="I32" s="387" t="s">
        <v>6</v>
      </c>
      <c r="J32" s="388"/>
      <c r="K32" s="124"/>
      <c r="L32" s="21"/>
      <c r="M32" s="369"/>
      <c r="N32" s="386"/>
      <c r="O32" s="386"/>
      <c r="P32" s="386"/>
      <c r="Q32" s="363"/>
      <c r="R32" s="403"/>
      <c r="S32" s="386"/>
      <c r="T32" s="386"/>
      <c r="U32" s="386"/>
      <c r="V32" s="386"/>
      <c r="W32" s="386"/>
      <c r="X32" s="415"/>
    </row>
    <row r="33" spans="1:24" ht="21" customHeight="1" thickTop="1">
      <c r="A33" s="373" t="s">
        <v>14</v>
      </c>
      <c r="B33" s="374"/>
      <c r="C33" s="15" t="s">
        <v>9</v>
      </c>
      <c r="D33" s="4" t="s">
        <v>10</v>
      </c>
      <c r="E33" s="5" t="s">
        <v>9</v>
      </c>
      <c r="F33" s="6" t="s">
        <v>10</v>
      </c>
      <c r="G33" s="3" t="s">
        <v>9</v>
      </c>
      <c r="H33" s="4" t="s">
        <v>10</v>
      </c>
      <c r="I33" s="5" t="s">
        <v>9</v>
      </c>
      <c r="J33" s="16" t="s">
        <v>10</v>
      </c>
      <c r="K33" s="364" t="s">
        <v>14</v>
      </c>
      <c r="L33" s="365"/>
      <c r="M33" s="369"/>
      <c r="N33" s="386"/>
      <c r="O33" s="386"/>
      <c r="P33" s="386"/>
      <c r="Q33" s="363"/>
      <c r="R33" s="404"/>
      <c r="S33" s="405"/>
      <c r="T33" s="405"/>
      <c r="U33" s="405"/>
      <c r="V33" s="405"/>
      <c r="W33" s="405"/>
      <c r="X33" s="416"/>
    </row>
    <row r="34" spans="1:24" ht="35.1" customHeight="1">
      <c r="A34" s="375" t="s">
        <v>175</v>
      </c>
      <c r="B34" s="376"/>
      <c r="C34" s="26">
        <f>SUM(C12:C13)</f>
        <v>0</v>
      </c>
      <c r="D34" s="27">
        <f t="shared" ref="D34:J34" si="0">SUM(D12:D13)</f>
        <v>0</v>
      </c>
      <c r="E34" s="28">
        <f t="shared" si="0"/>
        <v>0</v>
      </c>
      <c r="F34" s="29">
        <f t="shared" si="0"/>
        <v>0</v>
      </c>
      <c r="G34" s="30">
        <f t="shared" si="0"/>
        <v>0</v>
      </c>
      <c r="H34" s="27">
        <f t="shared" si="0"/>
        <v>2</v>
      </c>
      <c r="I34" s="28">
        <f t="shared" si="0"/>
        <v>0</v>
      </c>
      <c r="J34" s="31">
        <f t="shared" si="0"/>
        <v>0</v>
      </c>
      <c r="K34" s="366" t="str">
        <f>A34</f>
        <v>6:30 à 7:00</v>
      </c>
      <c r="L34" s="367"/>
      <c r="M34" s="47">
        <f>SUM(C34:J34)</f>
        <v>2</v>
      </c>
      <c r="N34" s="303">
        <f>C34+E34+G34+I34</f>
        <v>0</v>
      </c>
      <c r="O34" s="303">
        <f>E34+F34+I34+J34</f>
        <v>0</v>
      </c>
      <c r="P34" s="303">
        <f>E34+I34</f>
        <v>0</v>
      </c>
      <c r="Q34" s="303">
        <f>SUM(G34:J34)</f>
        <v>2</v>
      </c>
      <c r="R34" s="319"/>
      <c r="S34" s="316"/>
      <c r="T34" s="316"/>
      <c r="U34" s="317"/>
      <c r="V34" s="317"/>
      <c r="W34" s="317"/>
      <c r="X34" s="318"/>
    </row>
    <row r="35" spans="1:24" ht="35.1" customHeight="1">
      <c r="A35" s="377" t="s">
        <v>46</v>
      </c>
      <c r="B35" s="378"/>
      <c r="C35" s="32">
        <f t="shared" ref="C35:J35" si="1">SUM(C14:C17)</f>
        <v>0</v>
      </c>
      <c r="D35" s="33">
        <f t="shared" si="1"/>
        <v>2</v>
      </c>
      <c r="E35" s="34">
        <f t="shared" si="1"/>
        <v>0</v>
      </c>
      <c r="F35" s="35">
        <f t="shared" si="1"/>
        <v>0</v>
      </c>
      <c r="G35" s="36">
        <f t="shared" si="1"/>
        <v>0</v>
      </c>
      <c r="H35" s="33">
        <f t="shared" si="1"/>
        <v>1</v>
      </c>
      <c r="I35" s="34">
        <f t="shared" si="1"/>
        <v>0</v>
      </c>
      <c r="J35" s="37">
        <f t="shared" si="1"/>
        <v>3</v>
      </c>
      <c r="K35" s="366" t="str">
        <f t="shared" ref="K35:K37" si="2">A35</f>
        <v>7:00 à 8:00</v>
      </c>
      <c r="L35" s="367"/>
      <c r="M35" s="47">
        <f>SUM(C35:J35)</f>
        <v>6</v>
      </c>
      <c r="N35" s="303">
        <f>C35+E35+G35+I35</f>
        <v>0</v>
      </c>
      <c r="O35" s="303">
        <f>E35+F35+I35+J35</f>
        <v>3</v>
      </c>
      <c r="P35" s="303">
        <f>E35+I35</f>
        <v>0</v>
      </c>
      <c r="Q35" s="303">
        <f>SUM(G35:J35)</f>
        <v>4</v>
      </c>
      <c r="R35" s="319" t="s">
        <v>156</v>
      </c>
      <c r="S35" s="316"/>
      <c r="T35" s="316"/>
      <c r="U35" s="317"/>
      <c r="V35" s="317"/>
      <c r="W35" s="317"/>
      <c r="X35" s="318"/>
    </row>
    <row r="36" spans="1:24" ht="35.1" customHeight="1">
      <c r="A36" s="377" t="s">
        <v>47</v>
      </c>
      <c r="B36" s="378"/>
      <c r="C36" s="32">
        <f t="shared" ref="C36:J36" si="3">SUM(C16:C19)</f>
        <v>0</v>
      </c>
      <c r="D36" s="33">
        <f t="shared" si="3"/>
        <v>3</v>
      </c>
      <c r="E36" s="34">
        <f t="shared" si="3"/>
        <v>0</v>
      </c>
      <c r="F36" s="35">
        <f t="shared" si="3"/>
        <v>1</v>
      </c>
      <c r="G36" s="36">
        <f t="shared" si="3"/>
        <v>0</v>
      </c>
      <c r="H36" s="33">
        <f t="shared" si="3"/>
        <v>1</v>
      </c>
      <c r="I36" s="34">
        <f t="shared" si="3"/>
        <v>0</v>
      </c>
      <c r="J36" s="37">
        <f t="shared" si="3"/>
        <v>6</v>
      </c>
      <c r="K36" s="366" t="str">
        <f t="shared" si="2"/>
        <v>7:30 à 8:30</v>
      </c>
      <c r="L36" s="367"/>
      <c r="M36" s="47">
        <f>SUM(C36:J36)</f>
        <v>11</v>
      </c>
      <c r="N36" s="303">
        <f>C36+E36+G36+I36</f>
        <v>0</v>
      </c>
      <c r="O36" s="303">
        <f>E36+F36+I36+J36</f>
        <v>7</v>
      </c>
      <c r="P36" s="303">
        <f>E36+I36</f>
        <v>0</v>
      </c>
      <c r="Q36" s="303">
        <f>SUM(G36:J36)</f>
        <v>7</v>
      </c>
      <c r="R36" s="319"/>
      <c r="S36" s="316"/>
      <c r="T36" s="316"/>
      <c r="U36" s="317"/>
      <c r="V36" s="317"/>
      <c r="W36" s="317"/>
      <c r="X36" s="318"/>
    </row>
    <row r="37" spans="1:24" ht="35.1" customHeight="1">
      <c r="A37" s="377" t="s">
        <v>48</v>
      </c>
      <c r="B37" s="378"/>
      <c r="C37" s="32">
        <f t="shared" ref="C37:J37" si="4">SUM(C18:C21)</f>
        <v>0</v>
      </c>
      <c r="D37" s="33">
        <f t="shared" si="4"/>
        <v>7</v>
      </c>
      <c r="E37" s="34">
        <f t="shared" si="4"/>
        <v>0</v>
      </c>
      <c r="F37" s="35">
        <f t="shared" si="4"/>
        <v>5</v>
      </c>
      <c r="G37" s="36">
        <f t="shared" si="4"/>
        <v>0</v>
      </c>
      <c r="H37" s="33">
        <f t="shared" si="4"/>
        <v>5</v>
      </c>
      <c r="I37" s="34">
        <f t="shared" si="4"/>
        <v>0</v>
      </c>
      <c r="J37" s="37">
        <f t="shared" si="4"/>
        <v>4</v>
      </c>
      <c r="K37" s="366" t="str">
        <f t="shared" si="2"/>
        <v>8:00 à 9:00</v>
      </c>
      <c r="L37" s="367"/>
      <c r="M37" s="47">
        <f>SUM(C37:J37)</f>
        <v>21</v>
      </c>
      <c r="N37" s="303">
        <f>C37+E37+G37+I37</f>
        <v>0</v>
      </c>
      <c r="O37" s="303">
        <f>E37+F37+I37+J37</f>
        <v>9</v>
      </c>
      <c r="P37" s="303">
        <f>E37+I37</f>
        <v>0</v>
      </c>
      <c r="Q37" s="303">
        <f>SUM(G37:J37)</f>
        <v>9</v>
      </c>
      <c r="R37" s="319" t="s">
        <v>155</v>
      </c>
      <c r="S37" s="316"/>
      <c r="T37" s="316"/>
      <c r="U37" s="317"/>
      <c r="V37" s="317"/>
      <c r="W37" s="317"/>
      <c r="X37" s="318"/>
    </row>
    <row r="38" spans="1:24" ht="35.1" customHeight="1" thickBot="1">
      <c r="A38" s="406" t="s">
        <v>13</v>
      </c>
      <c r="B38" s="407"/>
      <c r="C38" s="38">
        <f t="shared" ref="C38:J38" si="5">SUM(C12:C21)</f>
        <v>0</v>
      </c>
      <c r="D38" s="39">
        <f t="shared" si="5"/>
        <v>9</v>
      </c>
      <c r="E38" s="40">
        <f t="shared" si="5"/>
        <v>0</v>
      </c>
      <c r="F38" s="41">
        <f t="shared" si="5"/>
        <v>5</v>
      </c>
      <c r="G38" s="42">
        <f t="shared" si="5"/>
        <v>0</v>
      </c>
      <c r="H38" s="39">
        <f t="shared" si="5"/>
        <v>8</v>
      </c>
      <c r="I38" s="40">
        <f t="shared" si="5"/>
        <v>0</v>
      </c>
      <c r="J38" s="43">
        <f t="shared" si="5"/>
        <v>7</v>
      </c>
      <c r="K38" s="383" t="s">
        <v>13</v>
      </c>
      <c r="L38" s="384"/>
      <c r="M38" s="328">
        <f>SUM(C38:J38)</f>
        <v>29</v>
      </c>
      <c r="N38" s="330">
        <f>N37+N35+N34</f>
        <v>0</v>
      </c>
      <c r="O38" s="330">
        <f>O37+O35+O34</f>
        <v>12</v>
      </c>
      <c r="P38" s="330">
        <f>P37+P35+P34</f>
        <v>0</v>
      </c>
      <c r="Q38" s="330">
        <f>Q37+Q35+Q34</f>
        <v>15</v>
      </c>
      <c r="R38" s="319" t="s">
        <v>157</v>
      </c>
      <c r="S38" s="316"/>
      <c r="T38" s="316"/>
      <c r="U38" s="317"/>
      <c r="V38" s="317"/>
      <c r="W38" s="317"/>
      <c r="X38" s="318"/>
    </row>
    <row r="39" spans="1:24" ht="35.1" customHeight="1" thickTop="1" thickBot="1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360" t="str">
        <f>IF($M$37=MAX($M$34:$M$37),K37,IF($M$36=MAX($M$34:$M$37),K36,IF($M$35=MAX($M$34:$M$37),K35,IF($M$34=MAX($M$34:$M$37),K34,K37))))</f>
        <v>8:00 à 9:00</v>
      </c>
      <c r="L39" s="361"/>
      <c r="M39" s="314">
        <f>IF($M$37=MAX($M$34:$M$37),M37,IF($M$36=MAX($M$34:$M$37),M36,IF($M$35=MAX($M$34:$M$37),M35,IF($M$34=MAX($M$34:$M$37),M34,M37))))</f>
        <v>21</v>
      </c>
      <c r="N39" s="314">
        <f>IF($M$37=MAX($M$34:$M$37),N37,IF($M$36=MAX($M$34:$M$37),N36,IF($M$35=MAX($M$34:$M$37),N35,IF($M$34=MAX($M$34:$M$37),N34,N37))))</f>
        <v>0</v>
      </c>
      <c r="O39" s="314">
        <f>IF($M$37=MAX($M$34:$M$37),O37,IF($M$36=MAX($M$34:$M$37),O36,IF($M$35=MAX($M$34:$M$37),O35,IF($M$34=MAX($M$34:$M$37),O34,O37))))</f>
        <v>9</v>
      </c>
      <c r="P39" s="314">
        <f>IF($M$37=MAX($M$34:$M$37),P37,IF($M$36=MAX($M$34:$M$37),P36,IF($M$35=MAX($M$34:$M$37),P35,IF($M$34=MAX($M$34:$M$37),P34,P37))))</f>
        <v>0</v>
      </c>
      <c r="Q39" s="314">
        <f>IF($M$37=MAX($M$34:$M$37),Q37,IF($M$36=MAX($M$34:$M$37),Q36,IF($M$35=MAX($M$34:$M$37),Q35,IF($M$34=MAX($M$34:$M$37),Q34,Q37))))</f>
        <v>9</v>
      </c>
      <c r="R39" s="319"/>
      <c r="S39" s="316"/>
      <c r="T39" s="316"/>
      <c r="U39" s="317"/>
      <c r="V39" s="317"/>
      <c r="W39" s="317"/>
      <c r="X39" s="318"/>
    </row>
    <row r="40" spans="1:24" ht="24.95" customHeight="1" thickTop="1">
      <c r="A40" s="1"/>
      <c r="B40" s="7"/>
      <c r="C40" s="7"/>
      <c r="D40" s="7"/>
      <c r="E40" s="7"/>
      <c r="F40" s="7"/>
      <c r="G40" s="7"/>
      <c r="H40" s="7"/>
      <c r="I40" s="7"/>
      <c r="J40" s="7"/>
      <c r="K40" s="20"/>
      <c r="L40" s="21"/>
      <c r="M40" s="368" t="s">
        <v>13</v>
      </c>
      <c r="N40" s="370" t="s">
        <v>15</v>
      </c>
      <c r="O40" s="370" t="s">
        <v>16</v>
      </c>
      <c r="P40" s="370" t="s">
        <v>17</v>
      </c>
      <c r="Q40" s="362" t="str">
        <f>Q30</f>
        <v>Cycles en direction de Bonneville</v>
      </c>
      <c r="R40" s="402" t="s">
        <v>152</v>
      </c>
      <c r="S40" s="385"/>
      <c r="T40" s="385"/>
      <c r="U40" s="385"/>
      <c r="V40" s="385"/>
      <c r="W40" s="385"/>
      <c r="X40" s="414"/>
    </row>
    <row r="41" spans="1:24" ht="24.95" customHeight="1">
      <c r="A41" s="1"/>
      <c r="B41" s="7"/>
      <c r="C41" s="7"/>
      <c r="D41" s="7"/>
      <c r="E41" s="7"/>
      <c r="F41" s="7"/>
      <c r="G41" s="7"/>
      <c r="H41" s="7"/>
      <c r="I41" s="7"/>
      <c r="J41" s="7"/>
      <c r="K41" s="20"/>
      <c r="L41" s="21"/>
      <c r="M41" s="369"/>
      <c r="N41" s="371"/>
      <c r="O41" s="371"/>
      <c r="P41" s="371"/>
      <c r="Q41" s="363"/>
      <c r="R41" s="403"/>
      <c r="S41" s="386"/>
      <c r="T41" s="386"/>
      <c r="U41" s="386"/>
      <c r="V41" s="386"/>
      <c r="W41" s="386"/>
      <c r="X41" s="415"/>
    </row>
    <row r="42" spans="1:24" ht="24.95" customHeight="1" thickBot="1">
      <c r="A42" s="1"/>
      <c r="B42" s="7"/>
      <c r="C42" s="7"/>
      <c r="D42" s="7"/>
      <c r="E42" s="7"/>
      <c r="F42" s="7"/>
      <c r="G42" s="7"/>
      <c r="H42" s="7"/>
      <c r="I42" s="7"/>
      <c r="J42" s="7"/>
      <c r="K42" s="124"/>
      <c r="L42" s="21"/>
      <c r="M42" s="369"/>
      <c r="N42" s="371"/>
      <c r="O42" s="371"/>
      <c r="P42" s="371"/>
      <c r="Q42" s="363"/>
      <c r="R42" s="403"/>
      <c r="S42" s="386"/>
      <c r="T42" s="386"/>
      <c r="U42" s="386"/>
      <c r="V42" s="386"/>
      <c r="W42" s="386"/>
      <c r="X42" s="415"/>
    </row>
    <row r="43" spans="1:24" ht="35.1" customHeight="1" thickTop="1">
      <c r="A43" s="1"/>
      <c r="B43" s="7"/>
      <c r="C43" s="7"/>
      <c r="D43" s="7"/>
      <c r="E43" s="7"/>
      <c r="F43" s="7"/>
      <c r="G43" s="7"/>
      <c r="H43" s="7"/>
      <c r="I43" s="7"/>
      <c r="J43" s="7"/>
      <c r="K43" s="364" t="s">
        <v>14</v>
      </c>
      <c r="L43" s="365"/>
      <c r="M43" s="369"/>
      <c r="N43" s="372"/>
      <c r="O43" s="372"/>
      <c r="P43" s="372"/>
      <c r="Q43" s="363"/>
      <c r="R43" s="404"/>
      <c r="S43" s="405"/>
      <c r="T43" s="405"/>
      <c r="U43" s="405"/>
      <c r="V43" s="405"/>
      <c r="W43" s="405"/>
      <c r="X43" s="416"/>
    </row>
    <row r="44" spans="1:24" ht="35.1" customHeight="1">
      <c r="A44" s="1"/>
      <c r="B44" s="7"/>
      <c r="C44" s="7"/>
      <c r="D44" s="7"/>
      <c r="E44" s="7"/>
      <c r="F44" s="7"/>
      <c r="G44" s="7"/>
      <c r="H44" s="7"/>
      <c r="I44" s="7"/>
      <c r="J44" s="7"/>
      <c r="K44" s="366" t="str">
        <f>K34</f>
        <v>6:30 à 7:00</v>
      </c>
      <c r="L44" s="367"/>
      <c r="M44" s="47"/>
      <c r="N44" s="304">
        <f>IF(N34=0,0,N34/M34)</f>
        <v>0</v>
      </c>
      <c r="O44" s="304">
        <f>IF(O34=0,0,O34/M34)</f>
        <v>0</v>
      </c>
      <c r="P44" s="304">
        <f>IF(P34=0,0,P34/N34)</f>
        <v>0</v>
      </c>
      <c r="Q44" s="304">
        <f>IF(Q34=0,0,Q34/M34)</f>
        <v>1</v>
      </c>
      <c r="R44" s="319"/>
      <c r="S44" s="316"/>
      <c r="T44" s="316"/>
      <c r="U44" s="317"/>
      <c r="V44" s="317"/>
      <c r="W44" s="317"/>
      <c r="X44" s="318"/>
    </row>
    <row r="45" spans="1:24" ht="35.1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366" t="str">
        <f t="shared" ref="K45:K47" si="6">K35</f>
        <v>7:00 à 8:00</v>
      </c>
      <c r="L45" s="367"/>
      <c r="M45" s="47"/>
      <c r="N45" s="304">
        <f t="shared" ref="N45:N47" si="7">IF(N35=0,0,N35/M35)</f>
        <v>0</v>
      </c>
      <c r="O45" s="304">
        <f t="shared" ref="O45:O47" si="8">IF(O35=0,0,O35/M35)</f>
        <v>0.5</v>
      </c>
      <c r="P45" s="304">
        <f>IF(P35=0,0,P35/N35)</f>
        <v>0</v>
      </c>
      <c r="Q45" s="304">
        <f t="shared" ref="Q45:Q48" si="9">IF(Q35=0,0,Q35/M35)</f>
        <v>0.66666666666666663</v>
      </c>
      <c r="R45" s="319"/>
      <c r="S45" s="316"/>
      <c r="T45" s="316"/>
      <c r="U45" s="317"/>
      <c r="V45" s="317"/>
      <c r="W45" s="317"/>
      <c r="X45" s="318"/>
    </row>
    <row r="46" spans="1:24" ht="35.1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366" t="str">
        <f t="shared" si="6"/>
        <v>7:30 à 8:30</v>
      </c>
      <c r="L46" s="367"/>
      <c r="M46" s="47"/>
      <c r="N46" s="304">
        <f t="shared" si="7"/>
        <v>0</v>
      </c>
      <c r="O46" s="304">
        <f t="shared" si="8"/>
        <v>0.63636363636363635</v>
      </c>
      <c r="P46" s="304">
        <f t="shared" ref="O46:P48" si="10">IF(P36=0,0,P36/N36)</f>
        <v>0</v>
      </c>
      <c r="Q46" s="304">
        <f t="shared" si="9"/>
        <v>0.63636363636363635</v>
      </c>
      <c r="R46" s="319"/>
      <c r="S46" s="316"/>
      <c r="T46" s="316"/>
      <c r="U46" s="317"/>
      <c r="V46" s="317"/>
      <c r="W46" s="317"/>
      <c r="X46" s="318"/>
    </row>
    <row r="47" spans="1:24" ht="35.1" customHeight="1">
      <c r="F47" s="7"/>
      <c r="K47" s="366" t="str">
        <f t="shared" si="6"/>
        <v>8:00 à 9:00</v>
      </c>
      <c r="L47" s="367"/>
      <c r="M47" s="47"/>
      <c r="N47" s="304">
        <f t="shared" si="7"/>
        <v>0</v>
      </c>
      <c r="O47" s="304">
        <f t="shared" si="8"/>
        <v>0.42857142857142855</v>
      </c>
      <c r="P47" s="304">
        <f t="shared" si="10"/>
        <v>0</v>
      </c>
      <c r="Q47" s="304">
        <f t="shared" si="9"/>
        <v>0.42857142857142855</v>
      </c>
      <c r="R47" s="319"/>
      <c r="S47" s="316"/>
      <c r="T47" s="316"/>
      <c r="U47" s="317"/>
      <c r="V47" s="317"/>
      <c r="W47" s="317"/>
      <c r="X47" s="318"/>
    </row>
    <row r="48" spans="1:24" ht="35.1" customHeight="1">
      <c r="F48" s="7"/>
      <c r="K48" s="358" t="s">
        <v>13</v>
      </c>
      <c r="L48" s="359"/>
      <c r="M48" s="334"/>
      <c r="N48" s="335">
        <f t="shared" ref="N48" si="11">IF(N38=0,0,N38/M38)</f>
        <v>0</v>
      </c>
      <c r="O48" s="335">
        <f t="shared" si="10"/>
        <v>0.41379310344827586</v>
      </c>
      <c r="P48" s="335">
        <f t="shared" si="10"/>
        <v>0</v>
      </c>
      <c r="Q48" s="335">
        <f t="shared" si="9"/>
        <v>0.51724137931034486</v>
      </c>
      <c r="R48" s="319"/>
      <c r="S48" s="316"/>
      <c r="T48" s="316"/>
      <c r="U48" s="317"/>
      <c r="V48" s="317"/>
      <c r="W48" s="317"/>
      <c r="X48" s="318"/>
    </row>
    <row r="49" spans="11:24" ht="35.1" customHeight="1" thickBot="1">
      <c r="K49" s="360" t="str">
        <f>K39</f>
        <v>8:00 à 9:00</v>
      </c>
      <c r="L49" s="361"/>
      <c r="M49" s="308">
        <f>IF($AW$50=MAX($AW$50:$AW$54),M44,IF($AW$51=MAX($AW$50:$AW$54),M45,IF($AW$52=MAX($AW$50:$AW$54),M46,IF($AW$53=MAX($AW$50:$AW$54),(M46),M47))))</f>
        <v>0</v>
      </c>
      <c r="N49" s="312">
        <f>IF($AW$50=MAX($AW$50:$AW$54),N44,IF($AW$51=MAX($AW$50:$AW$54),N45,IF($AW$52=MAX($AW$50:$AW$54),N46,IF($AW$53=MAX($AW$50:$AW$54),(N46),N47))))</f>
        <v>0</v>
      </c>
      <c r="O49" s="313">
        <f>O47</f>
        <v>0.42857142857142855</v>
      </c>
      <c r="P49" s="313">
        <f>IF($AW$50=MAX($AW$50:$AW$54),P44,IF($AW$51=MAX($AW$50:$AW$54),P45,IF($AW$52=MAX($AW$50:$AW$54),P46,IF($AW$53=MAX($AW$50:$AW$54),(P46),P47))))</f>
        <v>0</v>
      </c>
      <c r="Q49" s="313">
        <f>IF($AW$50=MAX($AW$50:$AW$54),Q44,IF($AW$51=MAX($AW$50:$AW$54),Q45,IF($AW$52=MAX($AW$50:$AW$54),Q46,IF($AW$53=MAX($AW$50:$AW$54),(Q46),Q47))))</f>
        <v>1</v>
      </c>
      <c r="R49" s="319"/>
      <c r="S49" s="316"/>
      <c r="T49" s="316"/>
      <c r="U49" s="317"/>
      <c r="V49" s="317"/>
      <c r="W49" s="317"/>
      <c r="X49" s="318"/>
    </row>
    <row r="50" spans="11:24" ht="15" thickTop="1"/>
  </sheetData>
  <mergeCells count="46">
    <mergeCell ref="C8:J8"/>
    <mergeCell ref="C9:F9"/>
    <mergeCell ref="G9:J9"/>
    <mergeCell ref="C10:D10"/>
    <mergeCell ref="E10:F10"/>
    <mergeCell ref="G10:H10"/>
    <mergeCell ref="I10:J10"/>
    <mergeCell ref="C30:J30"/>
    <mergeCell ref="M30:M33"/>
    <mergeCell ref="N30:N33"/>
    <mergeCell ref="C31:F31"/>
    <mergeCell ref="G31:J31"/>
    <mergeCell ref="K33:L33"/>
    <mergeCell ref="C32:D32"/>
    <mergeCell ref="E32:F32"/>
    <mergeCell ref="G32:H32"/>
    <mergeCell ref="I32:J32"/>
    <mergeCell ref="A38:B38"/>
    <mergeCell ref="A36:B36"/>
    <mergeCell ref="A37:B37"/>
    <mergeCell ref="A33:B33"/>
    <mergeCell ref="A34:B34"/>
    <mergeCell ref="A35:B35"/>
    <mergeCell ref="K35:L35"/>
    <mergeCell ref="K36:L36"/>
    <mergeCell ref="K34:L34"/>
    <mergeCell ref="K39:L39"/>
    <mergeCell ref="K38:L38"/>
    <mergeCell ref="K47:L47"/>
    <mergeCell ref="K48:L48"/>
    <mergeCell ref="K49:L49"/>
    <mergeCell ref="K46:L46"/>
    <mergeCell ref="K37:L37"/>
    <mergeCell ref="K43:L43"/>
    <mergeCell ref="K44:L44"/>
    <mergeCell ref="K45:L45"/>
    <mergeCell ref="R30:X33"/>
    <mergeCell ref="M40:M43"/>
    <mergeCell ref="N40:N43"/>
    <mergeCell ref="O40:O43"/>
    <mergeCell ref="P40:P43"/>
    <mergeCell ref="Q40:Q43"/>
    <mergeCell ref="R40:X43"/>
    <mergeCell ref="O30:O33"/>
    <mergeCell ref="P30:P33"/>
    <mergeCell ref="Q30:Q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FF5D-4833-43A6-9027-9558CFA38830}">
  <sheetPr>
    <tabColor theme="9" tint="-0.249977111117893"/>
  </sheetPr>
  <dimension ref="A1:CO77"/>
  <sheetViews>
    <sheetView showZeros="0" zoomScale="50" zoomScaleNormal="50" workbookViewId="0">
      <selection activeCell="C1" sqref="C1"/>
    </sheetView>
  </sheetViews>
  <sheetFormatPr baseColWidth="10" defaultRowHeight="14.25"/>
  <cols>
    <col min="1" max="1" width="4.5" style="8" customWidth="1"/>
    <col min="2" max="2" width="11" style="8"/>
    <col min="3" max="62" width="6.125" style="8" customWidth="1"/>
    <col min="63" max="64" width="12.625" style="8" customWidth="1"/>
    <col min="65" max="65" width="16.625" style="8" customWidth="1"/>
    <col min="66" max="66" width="17.375" style="8" customWidth="1"/>
    <col min="67" max="67" width="22.875" style="8" customWidth="1"/>
    <col min="68" max="68" width="18.375" style="8" customWidth="1"/>
    <col min="69" max="70" width="21.625" style="8" customWidth="1"/>
    <col min="71" max="80" width="12.625" style="8" customWidth="1"/>
    <col min="81" max="87" width="6.125" style="8" customWidth="1"/>
    <col min="88" max="88" width="9.125" style="8" customWidth="1"/>
    <col min="89" max="89" width="13.75" style="8" customWidth="1"/>
    <col min="90" max="90" width="13.625" style="8" customWidth="1"/>
    <col min="91" max="94" width="20.625" style="8" customWidth="1"/>
    <col min="95" max="96" width="18.625" style="8" customWidth="1"/>
    <col min="97" max="97" width="15.625" style="8" customWidth="1"/>
    <col min="98" max="101" width="17" style="8" customWidth="1"/>
    <col min="102" max="106" width="10.625" style="8" customWidth="1"/>
    <col min="107" max="16384" width="11" style="8"/>
  </cols>
  <sheetData>
    <row r="1" spans="1:93" ht="52.5" customHeight="1" thickBot="1">
      <c r="A1" s="56"/>
      <c r="B1" s="84" t="s">
        <v>187</v>
      </c>
      <c r="C1" s="49"/>
      <c r="D1" s="49"/>
      <c r="E1" s="49"/>
      <c r="F1" s="57"/>
      <c r="G1" s="49"/>
      <c r="H1" s="49"/>
      <c r="I1" s="49"/>
      <c r="J1" s="49"/>
      <c r="K1" s="57"/>
      <c r="L1" s="57"/>
      <c r="M1" s="57"/>
      <c r="N1" s="57"/>
      <c r="O1" s="49"/>
      <c r="P1" s="49"/>
      <c r="Q1" s="49"/>
      <c r="R1" s="49"/>
      <c r="S1" s="57"/>
      <c r="T1" s="57"/>
      <c r="U1" s="57"/>
      <c r="V1" s="57"/>
      <c r="X1" s="58" t="s">
        <v>1</v>
      </c>
      <c r="Y1" s="59" t="s">
        <v>25</v>
      </c>
      <c r="Z1" s="49"/>
      <c r="AA1" s="49"/>
      <c r="AB1" s="24"/>
      <c r="AC1" s="24"/>
      <c r="AD1" s="49"/>
      <c r="AE1" s="49"/>
      <c r="AF1" s="24"/>
      <c r="AG1" s="24"/>
      <c r="AH1" s="24"/>
      <c r="AI1" s="24"/>
      <c r="AJ1" s="24"/>
      <c r="AK1" s="24"/>
      <c r="AL1" s="24"/>
      <c r="AM1" s="49"/>
      <c r="AN1" s="49"/>
      <c r="AO1" s="49"/>
      <c r="AP1" s="49"/>
      <c r="AQ1" s="49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</row>
    <row r="2" spans="1:93" ht="52.5" customHeight="1" thickBot="1">
      <c r="A2" s="20" t="s">
        <v>2</v>
      </c>
      <c r="B2" s="21"/>
      <c r="C2" s="21"/>
      <c r="D2" s="21"/>
      <c r="E2" s="21"/>
      <c r="F2" s="94"/>
      <c r="G2" s="24"/>
      <c r="H2" s="24"/>
      <c r="I2" s="24"/>
      <c r="J2" s="24"/>
      <c r="K2" s="21"/>
      <c r="L2" s="25" t="s">
        <v>137</v>
      </c>
      <c r="M2" s="24"/>
      <c r="N2" s="24"/>
      <c r="O2" s="24"/>
      <c r="P2" s="24"/>
      <c r="Q2" s="24"/>
      <c r="R2" s="24"/>
      <c r="S2" s="21"/>
      <c r="T2" s="25" t="s">
        <v>138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</row>
    <row r="3" spans="1:93" ht="52.5" customHeight="1" thickBot="1">
      <c r="A3" s="20" t="s">
        <v>3</v>
      </c>
      <c r="B3" s="21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</row>
    <row r="4" spans="1:93" ht="52.5" customHeight="1" thickBot="1">
      <c r="A4" s="20" t="s">
        <v>18</v>
      </c>
      <c r="B4" s="21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</row>
    <row r="5" spans="1:93" ht="25.5" customHeight="1" thickBot="1">
      <c r="A5" s="83" t="s">
        <v>50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94"/>
      <c r="AQ5" s="21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</row>
    <row r="6" spans="1:93" ht="25.5" customHeight="1" thickBot="1">
      <c r="A6" s="83" t="s">
        <v>51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94"/>
      <c r="AQ6" s="21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</row>
    <row r="7" spans="1:93" ht="25.5" customHeight="1" thickBot="1">
      <c r="A7" s="83" t="s">
        <v>52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94"/>
      <c r="AQ7" s="21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</row>
    <row r="8" spans="1:93" ht="32.25" customHeight="1" thickTop="1">
      <c r="A8" s="20"/>
      <c r="B8" s="21"/>
      <c r="C8" s="400" t="s">
        <v>139</v>
      </c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1"/>
      <c r="W8" s="399" t="s">
        <v>140</v>
      </c>
      <c r="X8" s="400"/>
      <c r="Y8" s="400"/>
      <c r="Z8" s="400"/>
      <c r="AA8" s="400"/>
      <c r="AB8" s="400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 t="s">
        <v>141</v>
      </c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/>
      <c r="BH8" s="400"/>
      <c r="BI8" s="400"/>
      <c r="BJ8" s="401"/>
      <c r="CF8" s="99"/>
      <c r="CG8" s="99"/>
      <c r="CI8" s="9"/>
      <c r="CJ8" s="9"/>
      <c r="CK8" s="9"/>
      <c r="CL8" s="9"/>
      <c r="CM8" s="9"/>
      <c r="CN8" s="9"/>
      <c r="CO8" s="9"/>
    </row>
    <row r="9" spans="1:93" ht="22.7" customHeight="1">
      <c r="A9" s="20"/>
      <c r="B9" s="21"/>
      <c r="C9" s="419" t="s">
        <v>142</v>
      </c>
      <c r="D9" s="420"/>
      <c r="E9" s="420"/>
      <c r="F9" s="393"/>
      <c r="G9" s="419" t="s">
        <v>143</v>
      </c>
      <c r="H9" s="420"/>
      <c r="I9" s="420"/>
      <c r="J9" s="393"/>
      <c r="K9" s="419" t="s">
        <v>144</v>
      </c>
      <c r="L9" s="420"/>
      <c r="M9" s="420"/>
      <c r="N9" s="394"/>
      <c r="O9" s="398" t="s">
        <v>145</v>
      </c>
      <c r="P9" s="395"/>
      <c r="Q9" s="395"/>
      <c r="R9" s="395"/>
      <c r="S9" s="419" t="s">
        <v>146</v>
      </c>
      <c r="T9" s="420"/>
      <c r="U9" s="420"/>
      <c r="V9" s="393"/>
      <c r="W9" s="398" t="s">
        <v>143</v>
      </c>
      <c r="X9" s="395"/>
      <c r="Y9" s="395"/>
      <c r="Z9" s="395"/>
      <c r="AA9" s="398" t="s">
        <v>144</v>
      </c>
      <c r="AB9" s="395"/>
      <c r="AC9" s="395"/>
      <c r="AD9" s="395"/>
      <c r="AE9" s="398" t="s">
        <v>145</v>
      </c>
      <c r="AF9" s="395"/>
      <c r="AG9" s="395"/>
      <c r="AH9" s="395"/>
      <c r="AI9" s="398" t="s">
        <v>146</v>
      </c>
      <c r="AJ9" s="395"/>
      <c r="AK9" s="395"/>
      <c r="AL9" s="395"/>
      <c r="AM9" s="398" t="s">
        <v>147</v>
      </c>
      <c r="AN9" s="395"/>
      <c r="AO9" s="395"/>
      <c r="AP9" s="395"/>
      <c r="AQ9" s="398" t="s">
        <v>144</v>
      </c>
      <c r="AR9" s="395"/>
      <c r="AS9" s="395"/>
      <c r="AT9" s="395"/>
      <c r="AU9" s="398" t="s">
        <v>145</v>
      </c>
      <c r="AV9" s="395"/>
      <c r="AW9" s="395"/>
      <c r="AX9" s="395"/>
      <c r="AY9" s="398" t="s">
        <v>146</v>
      </c>
      <c r="AZ9" s="395"/>
      <c r="BA9" s="395"/>
      <c r="BB9" s="395"/>
      <c r="BC9" s="398" t="s">
        <v>147</v>
      </c>
      <c r="BD9" s="395"/>
      <c r="BE9" s="395"/>
      <c r="BF9" s="395"/>
      <c r="BG9" s="398" t="s">
        <v>142</v>
      </c>
      <c r="BH9" s="395"/>
      <c r="BI9" s="395"/>
      <c r="BJ9" s="395"/>
      <c r="CF9" s="99"/>
      <c r="CG9" s="99"/>
    </row>
    <row r="10" spans="1:93" ht="18.600000000000001" customHeight="1" thickBot="1">
      <c r="A10" s="20"/>
      <c r="B10" s="21"/>
      <c r="C10" s="389" t="s">
        <v>5</v>
      </c>
      <c r="D10" s="390"/>
      <c r="E10" s="387" t="s">
        <v>6</v>
      </c>
      <c r="F10" s="396"/>
      <c r="G10" s="389" t="s">
        <v>5</v>
      </c>
      <c r="H10" s="390"/>
      <c r="I10" s="387" t="s">
        <v>6</v>
      </c>
      <c r="J10" s="396"/>
      <c r="K10" s="389" t="s">
        <v>5</v>
      </c>
      <c r="L10" s="390"/>
      <c r="M10" s="387" t="s">
        <v>6</v>
      </c>
      <c r="N10" s="388"/>
      <c r="O10" s="389" t="s">
        <v>5</v>
      </c>
      <c r="P10" s="390"/>
      <c r="Q10" s="387" t="s">
        <v>6</v>
      </c>
      <c r="R10" s="388"/>
      <c r="S10" s="389" t="s">
        <v>5</v>
      </c>
      <c r="T10" s="390"/>
      <c r="U10" s="387" t="s">
        <v>6</v>
      </c>
      <c r="V10" s="388"/>
      <c r="W10" s="397" t="s">
        <v>5</v>
      </c>
      <c r="X10" s="390"/>
      <c r="Y10" s="387" t="s">
        <v>6</v>
      </c>
      <c r="Z10" s="396"/>
      <c r="AA10" s="389" t="s">
        <v>5</v>
      </c>
      <c r="AB10" s="390"/>
      <c r="AC10" s="387" t="s">
        <v>6</v>
      </c>
      <c r="AD10" s="388"/>
      <c r="AE10" s="389" t="s">
        <v>5</v>
      </c>
      <c r="AF10" s="390"/>
      <c r="AG10" s="387" t="s">
        <v>6</v>
      </c>
      <c r="AH10" s="396"/>
      <c r="AI10" s="389" t="s">
        <v>5</v>
      </c>
      <c r="AJ10" s="390"/>
      <c r="AK10" s="387" t="s">
        <v>6</v>
      </c>
      <c r="AL10" s="388"/>
      <c r="AM10" s="389" t="s">
        <v>5</v>
      </c>
      <c r="AN10" s="390"/>
      <c r="AO10" s="387" t="s">
        <v>6</v>
      </c>
      <c r="AP10" s="396"/>
      <c r="AQ10" s="389" t="s">
        <v>5</v>
      </c>
      <c r="AR10" s="390"/>
      <c r="AS10" s="387" t="s">
        <v>6</v>
      </c>
      <c r="AT10" s="396"/>
      <c r="AU10" s="389" t="s">
        <v>5</v>
      </c>
      <c r="AV10" s="390"/>
      <c r="AW10" s="387" t="s">
        <v>6</v>
      </c>
      <c r="AX10" s="388"/>
      <c r="AY10" s="389" t="s">
        <v>5</v>
      </c>
      <c r="AZ10" s="390"/>
      <c r="BA10" s="387" t="s">
        <v>6</v>
      </c>
      <c r="BB10" s="388"/>
      <c r="BC10" s="389" t="s">
        <v>5</v>
      </c>
      <c r="BD10" s="390"/>
      <c r="BE10" s="387" t="s">
        <v>6</v>
      </c>
      <c r="BF10" s="388"/>
      <c r="BG10" s="389" t="s">
        <v>5</v>
      </c>
      <c r="BH10" s="390"/>
      <c r="BI10" s="387" t="s">
        <v>6</v>
      </c>
      <c r="BJ10" s="388"/>
      <c r="CF10" s="99"/>
      <c r="CG10" s="99"/>
    </row>
    <row r="11" spans="1:93" ht="21" thickTop="1">
      <c r="A11" s="11" t="s">
        <v>7</v>
      </c>
      <c r="B11" s="12" t="s">
        <v>8</v>
      </c>
      <c r="C11" s="3" t="s">
        <v>9</v>
      </c>
      <c r="D11" s="4" t="s">
        <v>10</v>
      </c>
      <c r="E11" s="5" t="s">
        <v>9</v>
      </c>
      <c r="F11" s="6" t="s">
        <v>10</v>
      </c>
      <c r="G11" s="3" t="s">
        <v>9</v>
      </c>
      <c r="H11" s="4" t="s">
        <v>10</v>
      </c>
      <c r="I11" s="5" t="s">
        <v>9</v>
      </c>
      <c r="J11" s="6" t="s">
        <v>10</v>
      </c>
      <c r="K11" s="3" t="s">
        <v>9</v>
      </c>
      <c r="L11" s="4" t="s">
        <v>10</v>
      </c>
      <c r="M11" s="5" t="s">
        <v>9</v>
      </c>
      <c r="N11" s="16" t="s">
        <v>10</v>
      </c>
      <c r="O11" s="3" t="s">
        <v>9</v>
      </c>
      <c r="P11" s="4" t="s">
        <v>10</v>
      </c>
      <c r="Q11" s="5" t="s">
        <v>9</v>
      </c>
      <c r="R11" s="16" t="s">
        <v>10</v>
      </c>
      <c r="S11" s="3" t="s">
        <v>9</v>
      </c>
      <c r="T11" s="4" t="s">
        <v>10</v>
      </c>
      <c r="U11" s="5" t="s">
        <v>9</v>
      </c>
      <c r="V11" s="16" t="s">
        <v>10</v>
      </c>
      <c r="W11" s="15" t="s">
        <v>9</v>
      </c>
      <c r="X11" s="4" t="s">
        <v>10</v>
      </c>
      <c r="Y11" s="5" t="s">
        <v>9</v>
      </c>
      <c r="Z11" s="6" t="s">
        <v>10</v>
      </c>
      <c r="AA11" s="3" t="s">
        <v>9</v>
      </c>
      <c r="AB11" s="4" t="s">
        <v>10</v>
      </c>
      <c r="AC11" s="5" t="s">
        <v>9</v>
      </c>
      <c r="AD11" s="16" t="s">
        <v>10</v>
      </c>
      <c r="AE11" s="3" t="s">
        <v>9</v>
      </c>
      <c r="AF11" s="4" t="s">
        <v>10</v>
      </c>
      <c r="AG11" s="5" t="s">
        <v>9</v>
      </c>
      <c r="AH11" s="6" t="s">
        <v>10</v>
      </c>
      <c r="AI11" s="3" t="s">
        <v>9</v>
      </c>
      <c r="AJ11" s="4" t="s">
        <v>10</v>
      </c>
      <c r="AK11" s="5" t="s">
        <v>9</v>
      </c>
      <c r="AL11" s="16" t="s">
        <v>10</v>
      </c>
      <c r="AM11" s="3" t="s">
        <v>9</v>
      </c>
      <c r="AN11" s="4" t="s">
        <v>10</v>
      </c>
      <c r="AO11" s="5" t="s">
        <v>9</v>
      </c>
      <c r="AP11" s="6" t="s">
        <v>10</v>
      </c>
      <c r="AQ11" s="3" t="s">
        <v>9</v>
      </c>
      <c r="AR11" s="4" t="s">
        <v>10</v>
      </c>
      <c r="AS11" s="5" t="s">
        <v>9</v>
      </c>
      <c r="AT11" s="6" t="s">
        <v>10</v>
      </c>
      <c r="AU11" s="3" t="s">
        <v>9</v>
      </c>
      <c r="AV11" s="4" t="s">
        <v>10</v>
      </c>
      <c r="AW11" s="5" t="s">
        <v>9</v>
      </c>
      <c r="AX11" s="16" t="s">
        <v>10</v>
      </c>
      <c r="AY11" s="3" t="s">
        <v>9</v>
      </c>
      <c r="AZ11" s="4" t="s">
        <v>10</v>
      </c>
      <c r="BA11" s="5" t="s">
        <v>9</v>
      </c>
      <c r="BB11" s="16" t="s">
        <v>10</v>
      </c>
      <c r="BC11" s="3" t="s">
        <v>9</v>
      </c>
      <c r="BD11" s="4" t="s">
        <v>10</v>
      </c>
      <c r="BE11" s="5" t="s">
        <v>9</v>
      </c>
      <c r="BF11" s="16" t="s">
        <v>10</v>
      </c>
      <c r="BG11" s="3" t="s">
        <v>9</v>
      </c>
      <c r="BH11" s="4" t="s">
        <v>10</v>
      </c>
      <c r="BI11" s="5" t="s">
        <v>9</v>
      </c>
      <c r="BJ11" s="16" t="s">
        <v>10</v>
      </c>
      <c r="CF11" s="99"/>
      <c r="CG11" s="99"/>
      <c r="CH11" s="10"/>
    </row>
    <row r="12" spans="1:93" ht="54.95" customHeight="1">
      <c r="A12" s="92">
        <v>6</v>
      </c>
      <c r="B12" s="14" t="s">
        <v>20</v>
      </c>
      <c r="C12" s="68"/>
      <c r="D12" s="65"/>
      <c r="E12" s="66"/>
      <c r="F12" s="67"/>
      <c r="G12" s="68"/>
      <c r="H12" s="65"/>
      <c r="I12" s="66"/>
      <c r="J12" s="67"/>
      <c r="K12" s="68"/>
      <c r="L12" s="65"/>
      <c r="M12" s="66"/>
      <c r="N12" s="69"/>
      <c r="O12" s="68"/>
      <c r="P12" s="65"/>
      <c r="Q12" s="66"/>
      <c r="R12" s="69"/>
      <c r="S12" s="68"/>
      <c r="T12" s="65"/>
      <c r="U12" s="66"/>
      <c r="V12" s="69"/>
      <c r="W12" s="64"/>
      <c r="X12" s="65"/>
      <c r="Y12" s="66"/>
      <c r="Z12" s="67"/>
      <c r="AA12" s="68"/>
      <c r="AB12" s="65"/>
      <c r="AC12" s="66"/>
      <c r="AD12" s="69"/>
      <c r="AE12" s="68"/>
      <c r="AF12" s="65"/>
      <c r="AG12" s="66"/>
      <c r="AH12" s="67"/>
      <c r="AI12" s="68"/>
      <c r="AJ12" s="65"/>
      <c r="AK12" s="66"/>
      <c r="AL12" s="69"/>
      <c r="AM12" s="68"/>
      <c r="AN12" s="65"/>
      <c r="AO12" s="66"/>
      <c r="AP12" s="67"/>
      <c r="AQ12" s="68"/>
      <c r="AR12" s="65"/>
      <c r="AS12" s="66"/>
      <c r="AT12" s="67"/>
      <c r="AU12" s="68"/>
      <c r="AV12" s="65"/>
      <c r="AW12" s="66"/>
      <c r="AX12" s="69"/>
      <c r="AY12" s="68"/>
      <c r="AZ12" s="65"/>
      <c r="BA12" s="66"/>
      <c r="BB12" s="69"/>
      <c r="BC12" s="68"/>
      <c r="BD12" s="65"/>
      <c r="BE12" s="66"/>
      <c r="BF12" s="69"/>
      <c r="BG12" s="68"/>
      <c r="BH12" s="65"/>
      <c r="BI12" s="66"/>
      <c r="BJ12" s="69"/>
      <c r="CF12" s="99"/>
      <c r="CG12" s="99"/>
      <c r="CH12" s="2"/>
      <c r="CI12" s="2"/>
      <c r="CJ12" s="2"/>
      <c r="CK12" s="2"/>
      <c r="CL12" s="2"/>
      <c r="CM12" s="2"/>
      <c r="CN12" s="2"/>
      <c r="CO12" s="2"/>
    </row>
    <row r="13" spans="1:93" ht="54.95" customHeight="1">
      <c r="A13" s="13"/>
      <c r="B13" s="14" t="s">
        <v>24</v>
      </c>
      <c r="C13" s="74"/>
      <c r="D13" s="71"/>
      <c r="E13" s="72"/>
      <c r="F13" s="73"/>
      <c r="G13" s="74"/>
      <c r="H13" s="71">
        <v>1</v>
      </c>
      <c r="I13" s="72"/>
      <c r="J13" s="73"/>
      <c r="K13" s="74"/>
      <c r="L13" s="71"/>
      <c r="M13" s="72"/>
      <c r="N13" s="75"/>
      <c r="O13" s="74"/>
      <c r="P13" s="71"/>
      <c r="Q13" s="72"/>
      <c r="R13" s="75"/>
      <c r="S13" s="74"/>
      <c r="T13" s="71"/>
      <c r="U13" s="72"/>
      <c r="V13" s="75"/>
      <c r="W13" s="70"/>
      <c r="X13" s="71"/>
      <c r="Y13" s="72"/>
      <c r="Z13" s="73"/>
      <c r="AA13" s="74"/>
      <c r="AB13" s="71"/>
      <c r="AC13" s="72"/>
      <c r="AD13" s="75"/>
      <c r="AE13" s="74"/>
      <c r="AF13" s="71"/>
      <c r="AG13" s="72"/>
      <c r="AH13" s="73"/>
      <c r="AI13" s="74"/>
      <c r="AJ13" s="71"/>
      <c r="AK13" s="72"/>
      <c r="AL13" s="75"/>
      <c r="AM13" s="74"/>
      <c r="AN13" s="71"/>
      <c r="AO13" s="72"/>
      <c r="AP13" s="73"/>
      <c r="AQ13" s="74"/>
      <c r="AR13" s="71"/>
      <c r="AS13" s="72"/>
      <c r="AT13" s="73"/>
      <c r="AU13" s="74"/>
      <c r="AV13" s="71"/>
      <c r="AW13" s="72"/>
      <c r="AX13" s="75"/>
      <c r="AY13" s="74"/>
      <c r="AZ13" s="71"/>
      <c r="BA13" s="72"/>
      <c r="BB13" s="75"/>
      <c r="BC13" s="74"/>
      <c r="BD13" s="71"/>
      <c r="BE13" s="72"/>
      <c r="BF13" s="75"/>
      <c r="BG13" s="74"/>
      <c r="BH13" s="71"/>
      <c r="BI13" s="72"/>
      <c r="BJ13" s="75"/>
      <c r="CF13" s="99"/>
      <c r="CG13" s="99"/>
      <c r="CH13" s="2"/>
      <c r="CI13" s="2"/>
      <c r="CJ13" s="2"/>
      <c r="CK13" s="2"/>
      <c r="CL13" s="2"/>
      <c r="CM13" s="2"/>
      <c r="CN13" s="2"/>
      <c r="CO13" s="2"/>
    </row>
    <row r="14" spans="1:93" ht="54.95" customHeight="1">
      <c r="A14" s="92">
        <v>7</v>
      </c>
      <c r="B14" s="14" t="s">
        <v>21</v>
      </c>
      <c r="C14" s="68"/>
      <c r="D14" s="65"/>
      <c r="E14" s="66"/>
      <c r="F14" s="67"/>
      <c r="G14" s="68"/>
      <c r="H14" s="65"/>
      <c r="I14" s="66"/>
      <c r="J14" s="67"/>
      <c r="K14" s="68"/>
      <c r="L14" s="65"/>
      <c r="M14" s="66"/>
      <c r="N14" s="69"/>
      <c r="O14" s="68"/>
      <c r="P14" s="65"/>
      <c r="Q14" s="66"/>
      <c r="R14" s="69"/>
      <c r="S14" s="68"/>
      <c r="T14" s="65"/>
      <c r="U14" s="66"/>
      <c r="V14" s="69"/>
      <c r="W14" s="64"/>
      <c r="X14" s="65"/>
      <c r="Y14" s="66"/>
      <c r="Z14" s="67"/>
      <c r="AA14" s="68"/>
      <c r="AB14" s="65"/>
      <c r="AC14" s="66"/>
      <c r="AD14" s="69"/>
      <c r="AE14" s="68"/>
      <c r="AF14" s="65"/>
      <c r="AG14" s="66"/>
      <c r="AH14" s="67"/>
      <c r="AI14" s="68"/>
      <c r="AJ14" s="65"/>
      <c r="AK14" s="66"/>
      <c r="AL14" s="69"/>
      <c r="AM14" s="68"/>
      <c r="AN14" s="65"/>
      <c r="AO14" s="66"/>
      <c r="AP14" s="67"/>
      <c r="AQ14" s="68"/>
      <c r="AR14" s="65"/>
      <c r="AS14" s="66"/>
      <c r="AT14" s="67"/>
      <c r="AU14" s="68"/>
      <c r="AV14" s="65"/>
      <c r="AW14" s="66"/>
      <c r="AX14" s="69"/>
      <c r="AY14" s="68"/>
      <c r="AZ14" s="65"/>
      <c r="BA14" s="66"/>
      <c r="BB14" s="69"/>
      <c r="BC14" s="68"/>
      <c r="BD14" s="65"/>
      <c r="BE14" s="66"/>
      <c r="BF14" s="69"/>
      <c r="BG14" s="68"/>
      <c r="BH14" s="65"/>
      <c r="BI14" s="66"/>
      <c r="BJ14" s="69"/>
      <c r="CF14" s="99"/>
      <c r="CG14" s="99"/>
      <c r="CH14" s="2"/>
      <c r="CI14" s="2"/>
      <c r="CJ14" s="2"/>
      <c r="CK14" s="2"/>
      <c r="CL14" s="2"/>
      <c r="CM14" s="2"/>
      <c r="CN14" s="2"/>
      <c r="CO14" s="2"/>
    </row>
    <row r="15" spans="1:93" ht="54.95" customHeight="1">
      <c r="A15" s="13"/>
      <c r="B15" s="14" t="s">
        <v>22</v>
      </c>
      <c r="C15" s="80"/>
      <c r="D15" s="77"/>
      <c r="E15" s="78"/>
      <c r="F15" s="79"/>
      <c r="G15" s="80"/>
      <c r="H15" s="77"/>
      <c r="I15" s="78"/>
      <c r="J15" s="79"/>
      <c r="K15" s="80"/>
      <c r="L15" s="77"/>
      <c r="M15" s="78"/>
      <c r="N15" s="81"/>
      <c r="O15" s="80"/>
      <c r="P15" s="77"/>
      <c r="Q15" s="78"/>
      <c r="R15" s="81"/>
      <c r="S15" s="80"/>
      <c r="T15" s="77"/>
      <c r="U15" s="78"/>
      <c r="V15" s="81"/>
      <c r="W15" s="76"/>
      <c r="X15" s="77"/>
      <c r="Y15" s="78"/>
      <c r="Z15" s="79"/>
      <c r="AA15" s="80">
        <v>1</v>
      </c>
      <c r="AB15" s="77">
        <v>1</v>
      </c>
      <c r="AC15" s="78"/>
      <c r="AD15" s="81"/>
      <c r="AE15" s="80"/>
      <c r="AF15" s="77">
        <v>1</v>
      </c>
      <c r="AG15" s="78"/>
      <c r="AH15" s="79"/>
      <c r="AI15" s="80"/>
      <c r="AJ15" s="77"/>
      <c r="AK15" s="78"/>
      <c r="AL15" s="81"/>
      <c r="AM15" s="80"/>
      <c r="AN15" s="77"/>
      <c r="AO15" s="78"/>
      <c r="AP15" s="79"/>
      <c r="AQ15" s="80"/>
      <c r="AR15" s="77"/>
      <c r="AS15" s="78"/>
      <c r="AT15" s="79"/>
      <c r="AU15" s="80"/>
      <c r="AV15" s="77"/>
      <c r="AW15" s="78"/>
      <c r="AX15" s="81"/>
      <c r="AY15" s="80"/>
      <c r="AZ15" s="77"/>
      <c r="BA15" s="78"/>
      <c r="BB15" s="81"/>
      <c r="BC15" s="80"/>
      <c r="BD15" s="77"/>
      <c r="BE15" s="78"/>
      <c r="BF15" s="81"/>
      <c r="BG15" s="80"/>
      <c r="BH15" s="77"/>
      <c r="BI15" s="78"/>
      <c r="BJ15" s="81"/>
      <c r="CF15" s="99"/>
      <c r="CG15" s="99"/>
      <c r="CH15" s="2"/>
      <c r="CI15" s="2"/>
      <c r="CJ15" s="2"/>
      <c r="CK15" s="2"/>
      <c r="CL15" s="2"/>
      <c r="CM15" s="2"/>
      <c r="CN15" s="2"/>
      <c r="CO15" s="2"/>
    </row>
    <row r="16" spans="1:93" ht="54.95" customHeight="1">
      <c r="A16" s="13"/>
      <c r="B16" s="14" t="s">
        <v>20</v>
      </c>
      <c r="C16" s="80"/>
      <c r="D16" s="77"/>
      <c r="E16" s="78"/>
      <c r="F16" s="79"/>
      <c r="G16" s="80"/>
      <c r="H16" s="77"/>
      <c r="I16" s="78"/>
      <c r="J16" s="79"/>
      <c r="K16" s="80"/>
      <c r="L16" s="77"/>
      <c r="M16" s="78"/>
      <c r="N16" s="81"/>
      <c r="O16" s="80"/>
      <c r="P16" s="77"/>
      <c r="Q16" s="78"/>
      <c r="R16" s="81"/>
      <c r="S16" s="80"/>
      <c r="T16" s="77"/>
      <c r="U16" s="78"/>
      <c r="V16" s="81"/>
      <c r="W16" s="76"/>
      <c r="X16" s="77">
        <v>1</v>
      </c>
      <c r="Y16" s="78"/>
      <c r="Z16" s="79"/>
      <c r="AA16" s="80"/>
      <c r="AB16" s="77"/>
      <c r="AC16" s="78"/>
      <c r="AD16" s="81"/>
      <c r="AE16" s="80"/>
      <c r="AF16" s="77"/>
      <c r="AG16" s="78"/>
      <c r="AH16" s="79"/>
      <c r="AI16" s="80"/>
      <c r="AJ16" s="77"/>
      <c r="AK16" s="78"/>
      <c r="AL16" s="81"/>
      <c r="AM16" s="80"/>
      <c r="AN16" s="77"/>
      <c r="AO16" s="78"/>
      <c r="AP16" s="79"/>
      <c r="AQ16" s="80"/>
      <c r="AR16" s="77"/>
      <c r="AS16" s="78"/>
      <c r="AT16" s="79"/>
      <c r="AU16" s="80"/>
      <c r="AV16" s="77"/>
      <c r="AW16" s="78"/>
      <c r="AX16" s="81"/>
      <c r="AY16" s="80"/>
      <c r="AZ16" s="77"/>
      <c r="BA16" s="78"/>
      <c r="BB16" s="81"/>
      <c r="BC16" s="80"/>
      <c r="BD16" s="77"/>
      <c r="BE16" s="78"/>
      <c r="BF16" s="81"/>
      <c r="BG16" s="80"/>
      <c r="BH16" s="77"/>
      <c r="BI16" s="78"/>
      <c r="BJ16" s="81"/>
      <c r="CF16" s="99"/>
      <c r="CG16" s="99"/>
      <c r="CH16" s="2"/>
      <c r="CI16" s="2"/>
      <c r="CJ16" s="2"/>
      <c r="CK16" s="2"/>
      <c r="CL16" s="2"/>
      <c r="CM16" s="2"/>
      <c r="CN16" s="2"/>
      <c r="CO16" s="2"/>
    </row>
    <row r="17" spans="1:93" ht="54.95" customHeight="1">
      <c r="A17" s="13"/>
      <c r="B17" s="14" t="s">
        <v>23</v>
      </c>
      <c r="C17" s="74"/>
      <c r="D17" s="71"/>
      <c r="E17" s="72"/>
      <c r="F17" s="73"/>
      <c r="G17" s="74"/>
      <c r="H17" s="71"/>
      <c r="I17" s="72"/>
      <c r="J17" s="73"/>
      <c r="K17" s="74"/>
      <c r="L17" s="71"/>
      <c r="M17" s="72"/>
      <c r="N17" s="75"/>
      <c r="O17" s="74"/>
      <c r="P17" s="71"/>
      <c r="Q17" s="72"/>
      <c r="R17" s="75"/>
      <c r="S17" s="74"/>
      <c r="T17" s="71"/>
      <c r="U17" s="72"/>
      <c r="V17" s="75"/>
      <c r="W17" s="70"/>
      <c r="X17" s="71"/>
      <c r="Y17" s="72"/>
      <c r="Z17" s="73"/>
      <c r="AA17" s="74"/>
      <c r="AB17" s="71"/>
      <c r="AC17" s="72"/>
      <c r="AD17" s="75"/>
      <c r="AE17" s="74"/>
      <c r="AF17" s="71"/>
      <c r="AG17" s="72"/>
      <c r="AH17" s="73"/>
      <c r="AI17" s="74"/>
      <c r="AJ17" s="71"/>
      <c r="AK17" s="72"/>
      <c r="AL17" s="75"/>
      <c r="AM17" s="74"/>
      <c r="AN17" s="71"/>
      <c r="AO17" s="72"/>
      <c r="AP17" s="73"/>
      <c r="AQ17" s="74"/>
      <c r="AR17" s="71"/>
      <c r="AS17" s="72"/>
      <c r="AT17" s="73"/>
      <c r="AU17" s="74"/>
      <c r="AV17" s="71"/>
      <c r="AW17" s="72"/>
      <c r="AX17" s="75"/>
      <c r="AY17" s="74"/>
      <c r="AZ17" s="71"/>
      <c r="BA17" s="72"/>
      <c r="BB17" s="75"/>
      <c r="BC17" s="74"/>
      <c r="BD17" s="71"/>
      <c r="BE17" s="72"/>
      <c r="BF17" s="75"/>
      <c r="BG17" s="74"/>
      <c r="BH17" s="71"/>
      <c r="BI17" s="72"/>
      <c r="BJ17" s="75"/>
      <c r="CF17" s="99"/>
      <c r="CG17" s="99"/>
      <c r="CH17" s="2"/>
      <c r="CI17" s="2"/>
      <c r="CJ17" s="2"/>
      <c r="CK17" s="2"/>
      <c r="CL17" s="2"/>
      <c r="CM17" s="2"/>
      <c r="CN17" s="2"/>
      <c r="CO17" s="2"/>
    </row>
    <row r="18" spans="1:93" ht="54.95" customHeight="1">
      <c r="A18" s="92">
        <v>8</v>
      </c>
      <c r="B18" s="14" t="s">
        <v>21</v>
      </c>
      <c r="C18" s="68"/>
      <c r="D18" s="65"/>
      <c r="E18" s="66"/>
      <c r="F18" s="67"/>
      <c r="G18" s="68"/>
      <c r="H18" s="65"/>
      <c r="I18" s="66"/>
      <c r="J18" s="67"/>
      <c r="K18" s="68"/>
      <c r="L18" s="65"/>
      <c r="M18" s="66"/>
      <c r="N18" s="69"/>
      <c r="O18" s="68"/>
      <c r="P18" s="65"/>
      <c r="Q18" s="66"/>
      <c r="R18" s="69"/>
      <c r="S18" s="68"/>
      <c r="T18" s="65"/>
      <c r="U18" s="66"/>
      <c r="V18" s="69"/>
      <c r="W18" s="64"/>
      <c r="X18" s="65"/>
      <c r="Y18" s="66"/>
      <c r="Z18" s="67"/>
      <c r="AA18" s="68"/>
      <c r="AB18" s="65"/>
      <c r="AC18" s="66"/>
      <c r="AD18" s="69"/>
      <c r="AE18" s="68"/>
      <c r="AF18" s="65"/>
      <c r="AG18" s="66"/>
      <c r="AH18" s="67"/>
      <c r="AI18" s="68"/>
      <c r="AJ18" s="65"/>
      <c r="AK18" s="66"/>
      <c r="AL18" s="69"/>
      <c r="AM18" s="68"/>
      <c r="AN18" s="65"/>
      <c r="AO18" s="66"/>
      <c r="AP18" s="67"/>
      <c r="AQ18" s="68"/>
      <c r="AR18" s="65"/>
      <c r="AS18" s="66"/>
      <c r="AT18" s="67"/>
      <c r="AU18" s="68"/>
      <c r="AV18" s="65"/>
      <c r="AW18" s="66"/>
      <c r="AX18" s="69"/>
      <c r="AY18" s="68"/>
      <c r="AZ18" s="65"/>
      <c r="BA18" s="66"/>
      <c r="BB18" s="69">
        <v>1</v>
      </c>
      <c r="BC18" s="68"/>
      <c r="BD18" s="65"/>
      <c r="BE18" s="66"/>
      <c r="BF18" s="69"/>
      <c r="BG18" s="68"/>
      <c r="BH18" s="65"/>
      <c r="BI18" s="66"/>
      <c r="BJ18" s="69"/>
      <c r="CF18" s="99"/>
      <c r="CG18" s="99"/>
      <c r="CH18" s="2"/>
      <c r="CI18" s="2"/>
      <c r="CJ18" s="2"/>
      <c r="CK18" s="2"/>
      <c r="CL18" s="2"/>
      <c r="CM18" s="2"/>
      <c r="CN18" s="2"/>
      <c r="CO18" s="2"/>
    </row>
    <row r="19" spans="1:93" ht="54.95" customHeight="1">
      <c r="A19" s="13"/>
      <c r="B19" s="14" t="s">
        <v>22</v>
      </c>
      <c r="C19" s="80"/>
      <c r="D19" s="77"/>
      <c r="E19" s="78"/>
      <c r="F19" s="79"/>
      <c r="G19" s="80"/>
      <c r="H19" s="77"/>
      <c r="I19" s="78"/>
      <c r="J19" s="79"/>
      <c r="K19" s="80"/>
      <c r="L19" s="77"/>
      <c r="M19" s="78"/>
      <c r="N19" s="81"/>
      <c r="O19" s="80"/>
      <c r="P19" s="77"/>
      <c r="Q19" s="78"/>
      <c r="R19" s="81"/>
      <c r="S19" s="80"/>
      <c r="T19" s="77"/>
      <c r="U19" s="78"/>
      <c r="V19" s="81"/>
      <c r="W19" s="76"/>
      <c r="X19" s="77"/>
      <c r="Y19" s="78"/>
      <c r="Z19" s="79"/>
      <c r="AA19" s="80"/>
      <c r="AB19" s="77"/>
      <c r="AC19" s="78"/>
      <c r="AD19" s="81"/>
      <c r="AE19" s="80"/>
      <c r="AF19" s="77"/>
      <c r="AG19" s="78"/>
      <c r="AH19" s="79"/>
      <c r="AI19" s="80"/>
      <c r="AJ19" s="77">
        <v>1</v>
      </c>
      <c r="AK19" s="78"/>
      <c r="AL19" s="81"/>
      <c r="AM19" s="80"/>
      <c r="AN19" s="77"/>
      <c r="AO19" s="78"/>
      <c r="AP19" s="79"/>
      <c r="AQ19" s="80"/>
      <c r="AR19" s="77"/>
      <c r="AS19" s="78"/>
      <c r="AT19" s="79"/>
      <c r="AU19" s="80"/>
      <c r="AV19" s="77"/>
      <c r="AW19" s="78"/>
      <c r="AX19" s="81"/>
      <c r="AY19" s="80"/>
      <c r="AZ19" s="77"/>
      <c r="BA19" s="78"/>
      <c r="BB19" s="81"/>
      <c r="BC19" s="80"/>
      <c r="BD19" s="77"/>
      <c r="BE19" s="78"/>
      <c r="BF19" s="81"/>
      <c r="BG19" s="80"/>
      <c r="BH19" s="77"/>
      <c r="BI19" s="78"/>
      <c r="BJ19" s="81"/>
      <c r="CF19" s="99"/>
      <c r="CG19" s="99"/>
      <c r="CH19" s="2"/>
      <c r="CI19" s="2"/>
      <c r="CJ19" s="2"/>
      <c r="CK19" s="2"/>
      <c r="CL19" s="2"/>
      <c r="CM19" s="2"/>
      <c r="CN19" s="2"/>
      <c r="CO19" s="2"/>
    </row>
    <row r="20" spans="1:93" ht="54.95" customHeight="1">
      <c r="A20" s="13"/>
      <c r="B20" s="14" t="s">
        <v>20</v>
      </c>
      <c r="C20" s="80"/>
      <c r="D20" s="77"/>
      <c r="E20" s="78"/>
      <c r="F20" s="79"/>
      <c r="G20" s="80"/>
      <c r="H20" s="77"/>
      <c r="I20" s="78"/>
      <c r="J20" s="79"/>
      <c r="K20" s="80"/>
      <c r="L20" s="77"/>
      <c r="M20" s="78"/>
      <c r="N20" s="81"/>
      <c r="O20" s="80"/>
      <c r="P20" s="77"/>
      <c r="Q20" s="78"/>
      <c r="R20" s="81"/>
      <c r="S20" s="80"/>
      <c r="T20" s="77"/>
      <c r="U20" s="78"/>
      <c r="V20" s="81"/>
      <c r="W20" s="76"/>
      <c r="X20" s="77"/>
      <c r="Y20" s="78"/>
      <c r="Z20" s="79"/>
      <c r="AA20" s="80"/>
      <c r="AB20" s="77"/>
      <c r="AC20" s="78"/>
      <c r="AD20" s="81"/>
      <c r="AE20" s="80"/>
      <c r="AF20" s="77"/>
      <c r="AG20" s="78"/>
      <c r="AH20" s="79"/>
      <c r="AI20" s="80"/>
      <c r="AJ20" s="77"/>
      <c r="AK20" s="78"/>
      <c r="AL20" s="81"/>
      <c r="AM20" s="80"/>
      <c r="AN20" s="77"/>
      <c r="AO20" s="78"/>
      <c r="AP20" s="79"/>
      <c r="AQ20" s="80"/>
      <c r="AR20" s="77"/>
      <c r="AS20" s="78"/>
      <c r="AT20" s="79"/>
      <c r="AU20" s="80"/>
      <c r="AV20" s="77"/>
      <c r="AW20" s="78"/>
      <c r="AX20" s="81"/>
      <c r="AY20" s="80"/>
      <c r="AZ20" s="77"/>
      <c r="BA20" s="78"/>
      <c r="BB20" s="81"/>
      <c r="BC20" s="80"/>
      <c r="BD20" s="77"/>
      <c r="BE20" s="78"/>
      <c r="BF20" s="81"/>
      <c r="BG20" s="80"/>
      <c r="BH20" s="77"/>
      <c r="BI20" s="78"/>
      <c r="BJ20" s="81"/>
      <c r="CF20" s="99"/>
      <c r="CG20" s="99"/>
      <c r="CH20" s="2"/>
      <c r="CI20" s="2"/>
      <c r="CJ20" s="2"/>
      <c r="CK20" s="2"/>
      <c r="CL20" s="2"/>
      <c r="CM20" s="2"/>
      <c r="CN20" s="2"/>
      <c r="CO20" s="2"/>
    </row>
    <row r="21" spans="1:93" ht="54.95" customHeight="1" thickBot="1">
      <c r="A21" s="93">
        <v>9</v>
      </c>
      <c r="B21" s="14" t="s">
        <v>23</v>
      </c>
      <c r="C21" s="74"/>
      <c r="D21" s="71"/>
      <c r="E21" s="72"/>
      <c r="F21" s="73"/>
      <c r="G21" s="74"/>
      <c r="H21" s="71"/>
      <c r="I21" s="72"/>
      <c r="J21" s="73"/>
      <c r="K21" s="74">
        <v>3</v>
      </c>
      <c r="L21" s="71"/>
      <c r="M21" s="72"/>
      <c r="N21" s="75"/>
      <c r="O21" s="74"/>
      <c r="P21" s="71"/>
      <c r="Q21" s="72"/>
      <c r="R21" s="75"/>
      <c r="S21" s="74"/>
      <c r="T21" s="71"/>
      <c r="U21" s="72"/>
      <c r="V21" s="75"/>
      <c r="W21" s="70"/>
      <c r="X21" s="71"/>
      <c r="Y21" s="72"/>
      <c r="Z21" s="73"/>
      <c r="AA21" s="74"/>
      <c r="AB21" s="71"/>
      <c r="AC21" s="72"/>
      <c r="AD21" s="75"/>
      <c r="AE21" s="74"/>
      <c r="AF21" s="71">
        <v>1</v>
      </c>
      <c r="AG21" s="72"/>
      <c r="AH21" s="73"/>
      <c r="AI21" s="74"/>
      <c r="AJ21" s="71"/>
      <c r="AK21" s="72"/>
      <c r="AL21" s="75"/>
      <c r="AM21" s="74"/>
      <c r="AN21" s="71"/>
      <c r="AO21" s="72"/>
      <c r="AP21" s="73"/>
      <c r="AQ21" s="74"/>
      <c r="AR21" s="71"/>
      <c r="AS21" s="72"/>
      <c r="AT21" s="73"/>
      <c r="AU21" s="74"/>
      <c r="AV21" s="71"/>
      <c r="AW21" s="72"/>
      <c r="AX21" s="75"/>
      <c r="AY21" s="74"/>
      <c r="AZ21" s="71"/>
      <c r="BA21" s="72"/>
      <c r="BB21" s="75"/>
      <c r="BC21" s="74"/>
      <c r="BD21" s="71"/>
      <c r="BE21" s="72"/>
      <c r="BF21" s="75"/>
      <c r="BG21" s="74"/>
      <c r="BH21" s="71"/>
      <c r="BI21" s="72"/>
      <c r="BJ21" s="75"/>
      <c r="CF21" s="99"/>
      <c r="CG21" s="99"/>
      <c r="CH21" s="2"/>
      <c r="CI21" s="2"/>
      <c r="CJ21" s="2"/>
      <c r="CK21" s="2"/>
      <c r="CL21" s="2"/>
      <c r="CM21" s="2"/>
      <c r="CN21" s="2"/>
      <c r="CO21" s="2"/>
    </row>
    <row r="22" spans="1:93" ht="32.25" customHeight="1" thickTop="1">
      <c r="A22" s="20"/>
      <c r="B22" s="21"/>
      <c r="C22" s="425" t="s">
        <v>148</v>
      </c>
      <c r="D22" s="426"/>
      <c r="E22" s="426"/>
      <c r="F22" s="426"/>
      <c r="G22" s="426"/>
      <c r="H22" s="426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7"/>
      <c r="W22" s="428" t="s">
        <v>149</v>
      </c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  <c r="AO22" s="426"/>
      <c r="AP22" s="427"/>
      <c r="AQ22" s="400" t="s">
        <v>150</v>
      </c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/>
      <c r="BH22" s="400"/>
      <c r="BI22" s="400"/>
      <c r="BJ22" s="401"/>
      <c r="BK22" s="99"/>
      <c r="BL22" s="99"/>
      <c r="BN22" s="9"/>
      <c r="BO22" s="9"/>
      <c r="BP22" s="9"/>
      <c r="BQ22" s="9"/>
      <c r="BR22" s="9"/>
      <c r="BS22" s="9"/>
      <c r="BT22" s="9"/>
      <c r="BU22" s="9"/>
    </row>
    <row r="23" spans="1:93" ht="22.7" customHeight="1">
      <c r="A23" s="20"/>
      <c r="B23" s="21"/>
      <c r="C23" s="398" t="s">
        <v>145</v>
      </c>
      <c r="D23" s="395"/>
      <c r="E23" s="395"/>
      <c r="F23" s="395"/>
      <c r="G23" s="398" t="s">
        <v>146</v>
      </c>
      <c r="H23" s="395"/>
      <c r="I23" s="395"/>
      <c r="J23" s="395"/>
      <c r="K23" s="398" t="s">
        <v>147</v>
      </c>
      <c r="L23" s="395"/>
      <c r="M23" s="395"/>
      <c r="N23" s="395"/>
      <c r="O23" s="398" t="s">
        <v>142</v>
      </c>
      <c r="P23" s="395"/>
      <c r="Q23" s="395"/>
      <c r="R23" s="395"/>
      <c r="S23" s="398" t="s">
        <v>143</v>
      </c>
      <c r="T23" s="395"/>
      <c r="U23" s="395"/>
      <c r="V23" s="395"/>
      <c r="W23" s="419" t="s">
        <v>146</v>
      </c>
      <c r="X23" s="420"/>
      <c r="Y23" s="420"/>
      <c r="Z23" s="393"/>
      <c r="AA23" s="419" t="s">
        <v>147</v>
      </c>
      <c r="AB23" s="420"/>
      <c r="AC23" s="420"/>
      <c r="AD23" s="393"/>
      <c r="AE23" s="419" t="s">
        <v>142</v>
      </c>
      <c r="AF23" s="420"/>
      <c r="AG23" s="420"/>
      <c r="AH23" s="393"/>
      <c r="AI23" s="419" t="s">
        <v>143</v>
      </c>
      <c r="AJ23" s="420"/>
      <c r="AK23" s="420"/>
      <c r="AL23" s="393"/>
      <c r="AM23" s="419" t="s">
        <v>144</v>
      </c>
      <c r="AN23" s="420"/>
      <c r="AO23" s="420"/>
      <c r="AP23" s="394"/>
      <c r="AQ23" s="398" t="s">
        <v>147</v>
      </c>
      <c r="AR23" s="395"/>
      <c r="AS23" s="395"/>
      <c r="AT23" s="395"/>
      <c r="AU23" s="398" t="s">
        <v>142</v>
      </c>
      <c r="AV23" s="395"/>
      <c r="AW23" s="395"/>
      <c r="AX23" s="395"/>
      <c r="AY23" s="398" t="s">
        <v>143</v>
      </c>
      <c r="AZ23" s="395"/>
      <c r="BA23" s="395"/>
      <c r="BB23" s="395"/>
      <c r="BC23" s="398" t="s">
        <v>144</v>
      </c>
      <c r="BD23" s="395"/>
      <c r="BE23" s="395"/>
      <c r="BF23" s="395"/>
      <c r="BG23" s="398" t="s">
        <v>145</v>
      </c>
      <c r="BH23" s="395"/>
      <c r="BI23" s="395"/>
      <c r="BJ23" s="395"/>
      <c r="BK23" s="99"/>
      <c r="BL23" s="99"/>
    </row>
    <row r="24" spans="1:93" ht="18.600000000000001" customHeight="1" thickBot="1">
      <c r="A24" s="20"/>
      <c r="B24" s="21"/>
      <c r="C24" s="389" t="s">
        <v>5</v>
      </c>
      <c r="D24" s="390"/>
      <c r="E24" s="387" t="s">
        <v>6</v>
      </c>
      <c r="F24" s="396"/>
      <c r="G24" s="389" t="s">
        <v>5</v>
      </c>
      <c r="H24" s="390"/>
      <c r="I24" s="387" t="s">
        <v>6</v>
      </c>
      <c r="J24" s="388"/>
      <c r="K24" s="389" t="s">
        <v>5</v>
      </c>
      <c r="L24" s="390"/>
      <c r="M24" s="387" t="s">
        <v>6</v>
      </c>
      <c r="N24" s="396"/>
      <c r="O24" s="389" t="s">
        <v>5</v>
      </c>
      <c r="P24" s="390"/>
      <c r="Q24" s="387" t="s">
        <v>6</v>
      </c>
      <c r="R24" s="388"/>
      <c r="S24" s="389" t="s">
        <v>5</v>
      </c>
      <c r="T24" s="390"/>
      <c r="U24" s="387" t="s">
        <v>6</v>
      </c>
      <c r="V24" s="388"/>
      <c r="W24" s="417" t="s">
        <v>5</v>
      </c>
      <c r="X24" s="418"/>
      <c r="Y24" s="421" t="s">
        <v>6</v>
      </c>
      <c r="Z24" s="422"/>
      <c r="AA24" s="417" t="s">
        <v>5</v>
      </c>
      <c r="AB24" s="418"/>
      <c r="AC24" s="421" t="s">
        <v>6</v>
      </c>
      <c r="AD24" s="423"/>
      <c r="AE24" s="424" t="s">
        <v>5</v>
      </c>
      <c r="AF24" s="418"/>
      <c r="AG24" s="421" t="s">
        <v>6</v>
      </c>
      <c r="AH24" s="423"/>
      <c r="AI24" s="424" t="s">
        <v>5</v>
      </c>
      <c r="AJ24" s="418"/>
      <c r="AK24" s="421" t="s">
        <v>6</v>
      </c>
      <c r="AL24" s="423"/>
      <c r="AM24" s="424" t="s">
        <v>5</v>
      </c>
      <c r="AN24" s="418"/>
      <c r="AO24" s="421" t="s">
        <v>6</v>
      </c>
      <c r="AP24" s="422"/>
      <c r="AQ24" s="389" t="s">
        <v>5</v>
      </c>
      <c r="AR24" s="390"/>
      <c r="AS24" s="387" t="s">
        <v>6</v>
      </c>
      <c r="AT24" s="396"/>
      <c r="AU24" s="389" t="s">
        <v>5</v>
      </c>
      <c r="AV24" s="390"/>
      <c r="AW24" s="387" t="s">
        <v>6</v>
      </c>
      <c r="AX24" s="396"/>
      <c r="AY24" s="389" t="s">
        <v>5</v>
      </c>
      <c r="AZ24" s="390"/>
      <c r="BA24" s="387" t="s">
        <v>6</v>
      </c>
      <c r="BB24" s="388"/>
      <c r="BC24" s="389" t="s">
        <v>5</v>
      </c>
      <c r="BD24" s="390"/>
      <c r="BE24" s="387" t="s">
        <v>6</v>
      </c>
      <c r="BF24" s="388"/>
      <c r="BG24" s="389" t="s">
        <v>5</v>
      </c>
      <c r="BH24" s="390"/>
      <c r="BI24" s="387" t="s">
        <v>6</v>
      </c>
      <c r="BJ24" s="388"/>
      <c r="BK24" s="99"/>
      <c r="BL24" s="99"/>
    </row>
    <row r="25" spans="1:93" ht="21" thickTop="1">
      <c r="A25" s="11" t="s">
        <v>7</v>
      </c>
      <c r="B25" s="12" t="s">
        <v>8</v>
      </c>
      <c r="C25" s="3" t="s">
        <v>9</v>
      </c>
      <c r="D25" s="4" t="s">
        <v>10</v>
      </c>
      <c r="E25" s="5" t="s">
        <v>9</v>
      </c>
      <c r="F25" s="6" t="s">
        <v>10</v>
      </c>
      <c r="G25" s="3" t="s">
        <v>9</v>
      </c>
      <c r="H25" s="4" t="s">
        <v>10</v>
      </c>
      <c r="I25" s="5" t="s">
        <v>9</v>
      </c>
      <c r="J25" s="16" t="s">
        <v>10</v>
      </c>
      <c r="K25" s="3" t="s">
        <v>9</v>
      </c>
      <c r="L25" s="4" t="s">
        <v>10</v>
      </c>
      <c r="M25" s="5" t="s">
        <v>9</v>
      </c>
      <c r="N25" s="6" t="s">
        <v>10</v>
      </c>
      <c r="O25" s="3" t="s">
        <v>9</v>
      </c>
      <c r="P25" s="4" t="s">
        <v>10</v>
      </c>
      <c r="Q25" s="5" t="s">
        <v>9</v>
      </c>
      <c r="R25" s="16" t="s">
        <v>10</v>
      </c>
      <c r="S25" s="3" t="s">
        <v>9</v>
      </c>
      <c r="T25" s="4" t="s">
        <v>10</v>
      </c>
      <c r="U25" s="5" t="s">
        <v>9</v>
      </c>
      <c r="V25" s="16" t="s">
        <v>10</v>
      </c>
      <c r="W25" s="3" t="s">
        <v>9</v>
      </c>
      <c r="X25" s="4" t="s">
        <v>10</v>
      </c>
      <c r="Y25" s="5" t="s">
        <v>9</v>
      </c>
      <c r="Z25" s="6" t="s">
        <v>10</v>
      </c>
      <c r="AA25" s="3" t="s">
        <v>9</v>
      </c>
      <c r="AB25" s="4" t="s">
        <v>10</v>
      </c>
      <c r="AC25" s="5" t="s">
        <v>9</v>
      </c>
      <c r="AD25" s="16" t="s">
        <v>10</v>
      </c>
      <c r="AE25" s="3" t="s">
        <v>9</v>
      </c>
      <c r="AF25" s="4" t="s">
        <v>10</v>
      </c>
      <c r="AG25" s="5" t="s">
        <v>9</v>
      </c>
      <c r="AH25" s="16" t="s">
        <v>10</v>
      </c>
      <c r="AI25" s="3" t="s">
        <v>9</v>
      </c>
      <c r="AJ25" s="4" t="s">
        <v>10</v>
      </c>
      <c r="AK25" s="5" t="s">
        <v>9</v>
      </c>
      <c r="AL25" s="16" t="s">
        <v>10</v>
      </c>
      <c r="AM25" s="3" t="s">
        <v>9</v>
      </c>
      <c r="AN25" s="4" t="s">
        <v>10</v>
      </c>
      <c r="AO25" s="5" t="s">
        <v>9</v>
      </c>
      <c r="AP25" s="16" t="s">
        <v>10</v>
      </c>
      <c r="AQ25" s="3" t="s">
        <v>9</v>
      </c>
      <c r="AR25" s="4" t="s">
        <v>10</v>
      </c>
      <c r="AS25" s="5" t="s">
        <v>9</v>
      </c>
      <c r="AT25" s="6" t="s">
        <v>10</v>
      </c>
      <c r="AU25" s="3" t="s">
        <v>9</v>
      </c>
      <c r="AV25" s="4" t="s">
        <v>10</v>
      </c>
      <c r="AW25" s="5" t="s">
        <v>9</v>
      </c>
      <c r="AX25" s="6" t="s">
        <v>10</v>
      </c>
      <c r="AY25" s="3" t="s">
        <v>9</v>
      </c>
      <c r="AZ25" s="4" t="s">
        <v>10</v>
      </c>
      <c r="BA25" s="5" t="s">
        <v>9</v>
      </c>
      <c r="BB25" s="16" t="s">
        <v>10</v>
      </c>
      <c r="BC25" s="3" t="s">
        <v>9</v>
      </c>
      <c r="BD25" s="4" t="s">
        <v>10</v>
      </c>
      <c r="BE25" s="5" t="s">
        <v>9</v>
      </c>
      <c r="BF25" s="16" t="s">
        <v>10</v>
      </c>
      <c r="BG25" s="3" t="s">
        <v>9</v>
      </c>
      <c r="BH25" s="4" t="s">
        <v>10</v>
      </c>
      <c r="BI25" s="5" t="s">
        <v>9</v>
      </c>
      <c r="BJ25" s="16" t="s">
        <v>10</v>
      </c>
      <c r="BK25" s="99"/>
      <c r="BL25" s="99"/>
      <c r="BM25" s="10"/>
    </row>
    <row r="26" spans="1:93" ht="54.95" customHeight="1">
      <c r="A26" s="92">
        <v>6</v>
      </c>
      <c r="B26" s="14" t="s">
        <v>20</v>
      </c>
      <c r="C26" s="68"/>
      <c r="D26" s="65"/>
      <c r="E26" s="66"/>
      <c r="F26" s="67"/>
      <c r="G26" s="68"/>
      <c r="H26" s="65"/>
      <c r="I26" s="66"/>
      <c r="J26" s="69"/>
      <c r="K26" s="68"/>
      <c r="L26" s="65"/>
      <c r="M26" s="66"/>
      <c r="N26" s="67"/>
      <c r="O26" s="68"/>
      <c r="P26" s="65">
        <v>1</v>
      </c>
      <c r="Q26" s="66"/>
      <c r="R26" s="69"/>
      <c r="S26" s="68"/>
      <c r="T26" s="65"/>
      <c r="U26" s="66"/>
      <c r="V26" s="69"/>
      <c r="W26" s="68"/>
      <c r="X26" s="65"/>
      <c r="Y26" s="66"/>
      <c r="Z26" s="67"/>
      <c r="AA26" s="68"/>
      <c r="AB26" s="65"/>
      <c r="AC26" s="66"/>
      <c r="AD26" s="69"/>
      <c r="AE26" s="68"/>
      <c r="AF26" s="65"/>
      <c r="AG26" s="66"/>
      <c r="AH26" s="69"/>
      <c r="AI26" s="68"/>
      <c r="AJ26" s="65"/>
      <c r="AK26" s="66"/>
      <c r="AL26" s="69"/>
      <c r="AM26" s="68"/>
      <c r="AN26" s="65"/>
      <c r="AO26" s="66"/>
      <c r="AP26" s="69"/>
      <c r="AQ26" s="68"/>
      <c r="AR26" s="65"/>
      <c r="AS26" s="66"/>
      <c r="AT26" s="67"/>
      <c r="AU26" s="68"/>
      <c r="AV26" s="65"/>
      <c r="AW26" s="66"/>
      <c r="AX26" s="67"/>
      <c r="AY26" s="68"/>
      <c r="AZ26" s="65"/>
      <c r="BA26" s="66"/>
      <c r="BB26" s="69"/>
      <c r="BC26" s="68"/>
      <c r="BD26" s="65"/>
      <c r="BE26" s="66"/>
      <c r="BF26" s="69"/>
      <c r="BG26" s="68"/>
      <c r="BH26" s="65"/>
      <c r="BI26" s="66"/>
      <c r="BJ26" s="69"/>
      <c r="BK26" s="99"/>
      <c r="BL26" s="99"/>
      <c r="BM26" s="2"/>
      <c r="BN26" s="2"/>
      <c r="BO26" s="2"/>
      <c r="BP26" s="2"/>
      <c r="BQ26" s="2"/>
      <c r="BR26" s="2"/>
      <c r="BS26" s="2"/>
      <c r="BT26" s="2"/>
      <c r="BU26" s="2"/>
    </row>
    <row r="27" spans="1:93" ht="54.95" customHeight="1">
      <c r="A27" s="13"/>
      <c r="B27" s="14" t="s">
        <v>24</v>
      </c>
      <c r="C27" s="74"/>
      <c r="D27" s="71"/>
      <c r="E27" s="72"/>
      <c r="F27" s="73"/>
      <c r="G27" s="74"/>
      <c r="H27" s="71"/>
      <c r="I27" s="72"/>
      <c r="J27" s="75"/>
      <c r="K27" s="74"/>
      <c r="L27" s="71"/>
      <c r="M27" s="72"/>
      <c r="N27" s="73"/>
      <c r="O27" s="74"/>
      <c r="P27" s="71"/>
      <c r="Q27" s="72"/>
      <c r="R27" s="75"/>
      <c r="S27" s="74"/>
      <c r="T27" s="71"/>
      <c r="U27" s="72"/>
      <c r="V27" s="75"/>
      <c r="W27" s="74"/>
      <c r="X27" s="71"/>
      <c r="Y27" s="72"/>
      <c r="Z27" s="73"/>
      <c r="AA27" s="74"/>
      <c r="AB27" s="71"/>
      <c r="AC27" s="72"/>
      <c r="AD27" s="75"/>
      <c r="AE27" s="74"/>
      <c r="AF27" s="71"/>
      <c r="AG27" s="72"/>
      <c r="AH27" s="75"/>
      <c r="AI27" s="74"/>
      <c r="AJ27" s="71"/>
      <c r="AK27" s="72"/>
      <c r="AL27" s="75"/>
      <c r="AM27" s="74"/>
      <c r="AN27" s="71"/>
      <c r="AO27" s="72"/>
      <c r="AP27" s="75"/>
      <c r="AQ27" s="74"/>
      <c r="AR27" s="71"/>
      <c r="AS27" s="72"/>
      <c r="AT27" s="73"/>
      <c r="AU27" s="74"/>
      <c r="AV27" s="71"/>
      <c r="AW27" s="72"/>
      <c r="AX27" s="73"/>
      <c r="AY27" s="74"/>
      <c r="AZ27" s="71"/>
      <c r="BA27" s="72"/>
      <c r="BB27" s="75"/>
      <c r="BC27" s="74"/>
      <c r="BD27" s="71"/>
      <c r="BE27" s="72"/>
      <c r="BF27" s="75"/>
      <c r="BG27" s="74"/>
      <c r="BH27" s="71"/>
      <c r="BI27" s="72"/>
      <c r="BJ27" s="75"/>
      <c r="BK27" s="99"/>
      <c r="BL27" s="99"/>
      <c r="BM27" s="2"/>
      <c r="BN27" s="2"/>
      <c r="BO27" s="2"/>
      <c r="BP27" s="2"/>
      <c r="BQ27" s="2"/>
      <c r="BR27" s="2"/>
      <c r="BS27" s="2"/>
      <c r="BT27" s="2"/>
      <c r="BU27" s="2"/>
    </row>
    <row r="28" spans="1:93" ht="54.95" customHeight="1">
      <c r="A28" s="92">
        <v>7</v>
      </c>
      <c r="B28" s="14" t="s">
        <v>21</v>
      </c>
      <c r="C28" s="68"/>
      <c r="D28" s="65"/>
      <c r="E28" s="66"/>
      <c r="F28" s="67"/>
      <c r="G28" s="68"/>
      <c r="H28" s="65"/>
      <c r="I28" s="66"/>
      <c r="J28" s="69"/>
      <c r="K28" s="68"/>
      <c r="L28" s="65"/>
      <c r="M28" s="66"/>
      <c r="N28" s="67"/>
      <c r="O28" s="68"/>
      <c r="P28" s="65"/>
      <c r="Q28" s="66"/>
      <c r="R28" s="69"/>
      <c r="S28" s="68"/>
      <c r="T28" s="65"/>
      <c r="U28" s="66"/>
      <c r="V28" s="69"/>
      <c r="W28" s="68"/>
      <c r="X28" s="65"/>
      <c r="Y28" s="66"/>
      <c r="Z28" s="67"/>
      <c r="AA28" s="68"/>
      <c r="AB28" s="65"/>
      <c r="AC28" s="66"/>
      <c r="AD28" s="69"/>
      <c r="AE28" s="68"/>
      <c r="AF28" s="65"/>
      <c r="AG28" s="66"/>
      <c r="AH28" s="69"/>
      <c r="AI28" s="68"/>
      <c r="AJ28" s="65"/>
      <c r="AK28" s="66"/>
      <c r="AL28" s="69"/>
      <c r="AM28" s="68"/>
      <c r="AN28" s="65"/>
      <c r="AO28" s="66"/>
      <c r="AP28" s="69"/>
      <c r="AQ28" s="68"/>
      <c r="AR28" s="65"/>
      <c r="AS28" s="66"/>
      <c r="AT28" s="67"/>
      <c r="AU28" s="68"/>
      <c r="AV28" s="65"/>
      <c r="AW28" s="66"/>
      <c r="AX28" s="67"/>
      <c r="AY28" s="68"/>
      <c r="AZ28" s="65"/>
      <c r="BA28" s="66"/>
      <c r="BB28" s="69"/>
      <c r="BC28" s="68"/>
      <c r="BD28" s="65"/>
      <c r="BE28" s="66"/>
      <c r="BF28" s="69"/>
      <c r="BG28" s="68"/>
      <c r="BH28" s="65"/>
      <c r="BI28" s="66"/>
      <c r="BJ28" s="69"/>
      <c r="BK28" s="99"/>
      <c r="BL28" s="99"/>
      <c r="BM28" s="2"/>
      <c r="BN28" s="2"/>
      <c r="BO28" s="2"/>
      <c r="BP28" s="2"/>
      <c r="BQ28" s="2"/>
      <c r="BR28" s="2"/>
      <c r="BS28" s="2"/>
      <c r="BT28" s="2"/>
      <c r="BU28" s="2"/>
    </row>
    <row r="29" spans="1:93" ht="54.95" customHeight="1">
      <c r="A29" s="13"/>
      <c r="B29" s="14" t="s">
        <v>22</v>
      </c>
      <c r="C29" s="80"/>
      <c r="D29" s="77"/>
      <c r="E29" s="78"/>
      <c r="F29" s="79"/>
      <c r="G29" s="80"/>
      <c r="H29" s="77"/>
      <c r="I29" s="78"/>
      <c r="J29" s="81"/>
      <c r="K29" s="80"/>
      <c r="L29" s="77"/>
      <c r="M29" s="78"/>
      <c r="N29" s="79"/>
      <c r="O29" s="80"/>
      <c r="P29" s="77"/>
      <c r="Q29" s="78"/>
      <c r="R29" s="81"/>
      <c r="S29" s="80"/>
      <c r="T29" s="77"/>
      <c r="U29" s="78"/>
      <c r="V29" s="81"/>
      <c r="W29" s="80"/>
      <c r="X29" s="77"/>
      <c r="Y29" s="78"/>
      <c r="Z29" s="79"/>
      <c r="AA29" s="80"/>
      <c r="AB29" s="77"/>
      <c r="AC29" s="78"/>
      <c r="AD29" s="81"/>
      <c r="AE29" s="80"/>
      <c r="AF29" s="77"/>
      <c r="AG29" s="78"/>
      <c r="AH29" s="81">
        <v>1</v>
      </c>
      <c r="AI29" s="80"/>
      <c r="AJ29" s="77"/>
      <c r="AK29" s="78"/>
      <c r="AL29" s="81"/>
      <c r="AM29" s="80"/>
      <c r="AN29" s="77"/>
      <c r="AO29" s="78"/>
      <c r="AP29" s="81"/>
      <c r="AQ29" s="80"/>
      <c r="AR29" s="77"/>
      <c r="AS29" s="78"/>
      <c r="AT29" s="79"/>
      <c r="AU29" s="80"/>
      <c r="AV29" s="77"/>
      <c r="AW29" s="78"/>
      <c r="AX29" s="79"/>
      <c r="AY29" s="80"/>
      <c r="AZ29" s="77"/>
      <c r="BA29" s="78"/>
      <c r="BB29" s="81"/>
      <c r="BC29" s="80"/>
      <c r="BD29" s="77"/>
      <c r="BE29" s="78"/>
      <c r="BF29" s="81"/>
      <c r="BG29" s="80"/>
      <c r="BH29" s="77"/>
      <c r="BI29" s="78"/>
      <c r="BJ29" s="81"/>
      <c r="BK29" s="99"/>
      <c r="BL29" s="99"/>
      <c r="BM29" s="2"/>
      <c r="BN29" s="2"/>
      <c r="BO29" s="2"/>
      <c r="BP29" s="2"/>
      <c r="BQ29" s="2"/>
      <c r="BR29" s="2"/>
      <c r="BS29" s="2"/>
      <c r="BT29" s="2"/>
      <c r="BU29" s="2"/>
    </row>
    <row r="30" spans="1:93" ht="54.95" customHeight="1">
      <c r="A30" s="13"/>
      <c r="B30" s="14" t="s">
        <v>20</v>
      </c>
      <c r="C30" s="80"/>
      <c r="D30" s="77"/>
      <c r="E30" s="78"/>
      <c r="F30" s="79"/>
      <c r="G30" s="80"/>
      <c r="H30" s="77"/>
      <c r="I30" s="78"/>
      <c r="J30" s="81"/>
      <c r="K30" s="80"/>
      <c r="L30" s="77"/>
      <c r="M30" s="78"/>
      <c r="N30" s="79"/>
      <c r="O30" s="80"/>
      <c r="P30" s="77"/>
      <c r="Q30" s="78"/>
      <c r="R30" s="81"/>
      <c r="S30" s="80"/>
      <c r="T30" s="77"/>
      <c r="U30" s="78"/>
      <c r="V30" s="81"/>
      <c r="W30" s="80"/>
      <c r="X30" s="77"/>
      <c r="Y30" s="78"/>
      <c r="Z30" s="79"/>
      <c r="AA30" s="80"/>
      <c r="AB30" s="77"/>
      <c r="AC30" s="78"/>
      <c r="AD30" s="81"/>
      <c r="AE30" s="80"/>
      <c r="AF30" s="77"/>
      <c r="AG30" s="78"/>
      <c r="AH30" s="81"/>
      <c r="AI30" s="80"/>
      <c r="AJ30" s="77"/>
      <c r="AK30" s="78"/>
      <c r="AL30" s="81"/>
      <c r="AM30" s="80"/>
      <c r="AN30" s="77"/>
      <c r="AO30" s="78"/>
      <c r="AP30" s="81"/>
      <c r="AQ30" s="80"/>
      <c r="AR30" s="77"/>
      <c r="AS30" s="78"/>
      <c r="AT30" s="79">
        <v>1</v>
      </c>
      <c r="AU30" s="80"/>
      <c r="AV30" s="77"/>
      <c r="AW30" s="78"/>
      <c r="AX30" s="79"/>
      <c r="AY30" s="80"/>
      <c r="AZ30" s="77"/>
      <c r="BA30" s="78"/>
      <c r="BB30" s="81"/>
      <c r="BC30" s="80"/>
      <c r="BD30" s="77"/>
      <c r="BE30" s="78"/>
      <c r="BF30" s="81"/>
      <c r="BG30" s="80"/>
      <c r="BH30" s="77"/>
      <c r="BI30" s="78"/>
      <c r="BJ30" s="81"/>
      <c r="BK30" s="99"/>
      <c r="BL30" s="99"/>
      <c r="BM30" s="2"/>
      <c r="BN30" s="2"/>
      <c r="BO30" s="2"/>
      <c r="BP30" s="2"/>
      <c r="BQ30" s="2"/>
      <c r="BR30" s="2"/>
      <c r="BS30" s="2"/>
      <c r="BT30" s="2"/>
      <c r="BU30" s="2"/>
    </row>
    <row r="31" spans="1:93" ht="54.95" customHeight="1">
      <c r="A31" s="13"/>
      <c r="B31" s="14" t="s">
        <v>23</v>
      </c>
      <c r="C31" s="74"/>
      <c r="D31" s="71"/>
      <c r="E31" s="72"/>
      <c r="F31" s="73"/>
      <c r="G31" s="74"/>
      <c r="H31" s="71"/>
      <c r="I31" s="72"/>
      <c r="J31" s="75"/>
      <c r="K31" s="74"/>
      <c r="L31" s="71"/>
      <c r="M31" s="72"/>
      <c r="N31" s="73"/>
      <c r="O31" s="74"/>
      <c r="P31" s="71"/>
      <c r="Q31" s="72"/>
      <c r="R31" s="75"/>
      <c r="S31" s="74"/>
      <c r="T31" s="71"/>
      <c r="U31" s="72"/>
      <c r="V31" s="75"/>
      <c r="W31" s="74"/>
      <c r="X31" s="71"/>
      <c r="Y31" s="72"/>
      <c r="Z31" s="73"/>
      <c r="AA31" s="74"/>
      <c r="AB31" s="71"/>
      <c r="AC31" s="72"/>
      <c r="AD31" s="75"/>
      <c r="AE31" s="74"/>
      <c r="AF31" s="71"/>
      <c r="AG31" s="72">
        <v>1</v>
      </c>
      <c r="AH31" s="75"/>
      <c r="AI31" s="74"/>
      <c r="AJ31" s="71"/>
      <c r="AK31" s="72"/>
      <c r="AL31" s="75"/>
      <c r="AM31" s="74"/>
      <c r="AN31" s="71"/>
      <c r="AO31" s="72"/>
      <c r="AP31" s="75"/>
      <c r="AQ31" s="74"/>
      <c r="AR31" s="71"/>
      <c r="AS31" s="72"/>
      <c r="AT31" s="73"/>
      <c r="AU31" s="74"/>
      <c r="AV31" s="71"/>
      <c r="AW31" s="72">
        <v>1</v>
      </c>
      <c r="AX31" s="73"/>
      <c r="AY31" s="74"/>
      <c r="AZ31" s="71"/>
      <c r="BA31" s="72"/>
      <c r="BB31" s="75"/>
      <c r="BC31" s="74"/>
      <c r="BD31" s="71"/>
      <c r="BE31" s="72"/>
      <c r="BF31" s="75"/>
      <c r="BG31" s="74"/>
      <c r="BH31" s="71"/>
      <c r="BI31" s="72"/>
      <c r="BJ31" s="75"/>
      <c r="BK31" s="99"/>
      <c r="BL31" s="99"/>
      <c r="BM31" s="2"/>
      <c r="BN31" s="2"/>
      <c r="BO31" s="2"/>
      <c r="BP31" s="2"/>
      <c r="BQ31" s="2"/>
      <c r="BR31" s="2"/>
      <c r="BS31" s="2"/>
      <c r="BT31" s="2"/>
      <c r="BU31" s="2"/>
    </row>
    <row r="32" spans="1:93" ht="54.95" customHeight="1">
      <c r="A32" s="92">
        <v>8</v>
      </c>
      <c r="B32" s="14" t="s">
        <v>21</v>
      </c>
      <c r="C32" s="68"/>
      <c r="D32" s="65"/>
      <c r="E32" s="66"/>
      <c r="F32" s="67"/>
      <c r="G32" s="68"/>
      <c r="H32" s="65"/>
      <c r="I32" s="66"/>
      <c r="J32" s="69"/>
      <c r="K32" s="68"/>
      <c r="L32" s="65"/>
      <c r="M32" s="66"/>
      <c r="N32" s="67"/>
      <c r="O32" s="68"/>
      <c r="P32" s="65"/>
      <c r="Q32" s="66"/>
      <c r="R32" s="69"/>
      <c r="S32" s="68"/>
      <c r="T32" s="65"/>
      <c r="U32" s="66"/>
      <c r="V32" s="69"/>
      <c r="W32" s="68"/>
      <c r="X32" s="65"/>
      <c r="Y32" s="66"/>
      <c r="Z32" s="67"/>
      <c r="AA32" s="68"/>
      <c r="AB32" s="65"/>
      <c r="AC32" s="66"/>
      <c r="AD32" s="69"/>
      <c r="AE32" s="68"/>
      <c r="AF32" s="65"/>
      <c r="AG32" s="66"/>
      <c r="AH32" s="69">
        <v>1</v>
      </c>
      <c r="AI32" s="68"/>
      <c r="AJ32" s="65"/>
      <c r="AK32" s="66"/>
      <c r="AL32" s="69"/>
      <c r="AM32" s="68"/>
      <c r="AN32" s="65"/>
      <c r="AO32" s="66"/>
      <c r="AP32" s="69"/>
      <c r="AQ32" s="68"/>
      <c r="AR32" s="65"/>
      <c r="AS32" s="66"/>
      <c r="AT32" s="67"/>
      <c r="AU32" s="68"/>
      <c r="AV32" s="65"/>
      <c r="AW32" s="66"/>
      <c r="AX32" s="67">
        <v>1</v>
      </c>
      <c r="AY32" s="68"/>
      <c r="AZ32" s="65"/>
      <c r="BA32" s="66"/>
      <c r="BB32" s="69"/>
      <c r="BC32" s="68"/>
      <c r="BD32" s="65"/>
      <c r="BE32" s="66"/>
      <c r="BF32" s="69"/>
      <c r="BG32" s="68"/>
      <c r="BH32" s="65"/>
      <c r="BI32" s="66"/>
      <c r="BJ32" s="69"/>
      <c r="BK32" s="99"/>
      <c r="BL32" s="99"/>
      <c r="BM32" s="2"/>
      <c r="BN32" s="2"/>
      <c r="BO32" s="2"/>
      <c r="BP32" s="2"/>
      <c r="BQ32" s="2"/>
      <c r="BR32" s="2"/>
      <c r="BS32" s="2"/>
      <c r="BT32" s="2"/>
      <c r="BU32" s="2"/>
    </row>
    <row r="33" spans="1:77" ht="54.95" customHeight="1">
      <c r="A33" s="13"/>
      <c r="B33" s="14" t="s">
        <v>22</v>
      </c>
      <c r="C33" s="80"/>
      <c r="D33" s="77"/>
      <c r="E33" s="78"/>
      <c r="F33" s="79"/>
      <c r="G33" s="80"/>
      <c r="H33" s="77">
        <v>1</v>
      </c>
      <c r="I33" s="78"/>
      <c r="J33" s="81"/>
      <c r="K33" s="80"/>
      <c r="L33" s="77"/>
      <c r="M33" s="78"/>
      <c r="N33" s="79"/>
      <c r="O33" s="80"/>
      <c r="P33" s="77"/>
      <c r="Q33" s="78"/>
      <c r="R33" s="81"/>
      <c r="S33" s="80"/>
      <c r="T33" s="77"/>
      <c r="U33" s="78"/>
      <c r="V33" s="81"/>
      <c r="W33" s="80"/>
      <c r="X33" s="77"/>
      <c r="Y33" s="78"/>
      <c r="Z33" s="79"/>
      <c r="AA33" s="80"/>
      <c r="AB33" s="77"/>
      <c r="AC33" s="78"/>
      <c r="AD33" s="81"/>
      <c r="AE33" s="80"/>
      <c r="AF33" s="77"/>
      <c r="AG33" s="78"/>
      <c r="AH33" s="81"/>
      <c r="AI33" s="80"/>
      <c r="AJ33" s="77"/>
      <c r="AK33" s="78"/>
      <c r="AL33" s="81"/>
      <c r="AM33" s="80"/>
      <c r="AN33" s="77"/>
      <c r="AO33" s="78"/>
      <c r="AP33" s="81"/>
      <c r="AQ33" s="80"/>
      <c r="AR33" s="77"/>
      <c r="AS33" s="78"/>
      <c r="AT33" s="79"/>
      <c r="AU33" s="80"/>
      <c r="AV33" s="77"/>
      <c r="AW33" s="78"/>
      <c r="AX33" s="79"/>
      <c r="AY33" s="80"/>
      <c r="AZ33" s="77"/>
      <c r="BA33" s="78"/>
      <c r="BB33" s="81"/>
      <c r="BC33" s="80"/>
      <c r="BD33" s="77"/>
      <c r="BE33" s="78"/>
      <c r="BF33" s="81">
        <v>1</v>
      </c>
      <c r="BG33" s="80"/>
      <c r="BH33" s="77">
        <v>1</v>
      </c>
      <c r="BI33" s="78"/>
      <c r="BJ33" s="81"/>
      <c r="BK33" s="99"/>
      <c r="BL33" s="99"/>
      <c r="BM33" s="2"/>
      <c r="BN33" s="2"/>
      <c r="BO33" s="2"/>
      <c r="BP33" s="2"/>
      <c r="BQ33" s="2"/>
      <c r="BR33" s="2"/>
      <c r="BS33" s="2"/>
      <c r="BT33" s="2"/>
      <c r="BU33" s="2"/>
    </row>
    <row r="34" spans="1:77" ht="54.95" customHeight="1">
      <c r="A34" s="13"/>
      <c r="B34" s="14" t="s">
        <v>20</v>
      </c>
      <c r="C34" s="80"/>
      <c r="D34" s="77"/>
      <c r="E34" s="78"/>
      <c r="F34" s="79"/>
      <c r="G34" s="80"/>
      <c r="H34" s="77"/>
      <c r="I34" s="78"/>
      <c r="J34" s="81"/>
      <c r="K34" s="80"/>
      <c r="L34" s="77"/>
      <c r="M34" s="78"/>
      <c r="N34" s="79"/>
      <c r="O34" s="80"/>
      <c r="P34" s="77"/>
      <c r="Q34" s="78"/>
      <c r="R34" s="81"/>
      <c r="S34" s="80"/>
      <c r="T34" s="77"/>
      <c r="U34" s="78"/>
      <c r="V34" s="81"/>
      <c r="W34" s="80"/>
      <c r="X34" s="77"/>
      <c r="Y34" s="78"/>
      <c r="Z34" s="79"/>
      <c r="AA34" s="80"/>
      <c r="AB34" s="77"/>
      <c r="AC34" s="78"/>
      <c r="AD34" s="81"/>
      <c r="AE34" s="80"/>
      <c r="AF34" s="77"/>
      <c r="AG34" s="78"/>
      <c r="AH34" s="81"/>
      <c r="AI34" s="80"/>
      <c r="AJ34" s="77"/>
      <c r="AK34" s="78"/>
      <c r="AL34" s="81"/>
      <c r="AM34" s="80"/>
      <c r="AN34" s="77"/>
      <c r="AO34" s="78"/>
      <c r="AP34" s="81"/>
      <c r="AQ34" s="80"/>
      <c r="AR34" s="77"/>
      <c r="AS34" s="78"/>
      <c r="AT34" s="79"/>
      <c r="AU34" s="80"/>
      <c r="AV34" s="77">
        <v>1</v>
      </c>
      <c r="AW34" s="78">
        <v>1</v>
      </c>
      <c r="AX34" s="79">
        <v>1</v>
      </c>
      <c r="AY34" s="80"/>
      <c r="AZ34" s="77"/>
      <c r="BA34" s="78"/>
      <c r="BB34" s="81">
        <v>1</v>
      </c>
      <c r="BC34" s="80"/>
      <c r="BD34" s="77"/>
      <c r="BE34" s="78"/>
      <c r="BF34" s="81"/>
      <c r="BG34" s="80"/>
      <c r="BH34" s="77"/>
      <c r="BI34" s="78"/>
      <c r="BJ34" s="81"/>
      <c r="BK34" s="99"/>
      <c r="BL34" s="99"/>
      <c r="BM34" s="2"/>
      <c r="BN34" s="2"/>
      <c r="BO34" s="2"/>
      <c r="BP34" s="2"/>
      <c r="BQ34" s="2"/>
      <c r="BR34" s="2"/>
      <c r="BS34" s="2"/>
      <c r="BT34" s="2"/>
      <c r="BU34" s="2"/>
    </row>
    <row r="35" spans="1:77" ht="54.95" customHeight="1" thickBot="1">
      <c r="A35" s="93">
        <v>9</v>
      </c>
      <c r="B35" s="14" t="s">
        <v>23</v>
      </c>
      <c r="C35" s="74"/>
      <c r="D35" s="71"/>
      <c r="E35" s="72"/>
      <c r="F35" s="73"/>
      <c r="G35" s="74"/>
      <c r="H35" s="71">
        <v>1</v>
      </c>
      <c r="I35" s="72"/>
      <c r="J35" s="75"/>
      <c r="K35" s="74"/>
      <c r="L35" s="71"/>
      <c r="M35" s="72"/>
      <c r="N35" s="73"/>
      <c r="O35" s="74"/>
      <c r="P35" s="71"/>
      <c r="Q35" s="72"/>
      <c r="R35" s="75"/>
      <c r="S35" s="74"/>
      <c r="T35" s="71"/>
      <c r="U35" s="72"/>
      <c r="V35" s="75"/>
      <c r="W35" s="74"/>
      <c r="X35" s="71"/>
      <c r="Y35" s="72"/>
      <c r="Z35" s="73"/>
      <c r="AA35" s="74"/>
      <c r="AB35" s="71"/>
      <c r="AC35" s="72"/>
      <c r="AD35" s="75"/>
      <c r="AE35" s="74"/>
      <c r="AF35" s="71"/>
      <c r="AG35" s="72"/>
      <c r="AH35" s="75"/>
      <c r="AI35" s="74"/>
      <c r="AJ35" s="71"/>
      <c r="AK35" s="72"/>
      <c r="AL35" s="75"/>
      <c r="AM35" s="74"/>
      <c r="AN35" s="71"/>
      <c r="AO35" s="72"/>
      <c r="AP35" s="75"/>
      <c r="AQ35" s="74"/>
      <c r="AR35" s="71"/>
      <c r="AS35" s="72"/>
      <c r="AT35" s="73"/>
      <c r="AU35" s="74"/>
      <c r="AV35" s="71"/>
      <c r="AW35" s="72"/>
      <c r="AX35" s="73"/>
      <c r="AY35" s="74"/>
      <c r="AZ35" s="71"/>
      <c r="BA35" s="72"/>
      <c r="BB35" s="75">
        <v>2</v>
      </c>
      <c r="BC35" s="74"/>
      <c r="BD35" s="71"/>
      <c r="BE35" s="72"/>
      <c r="BF35" s="75"/>
      <c r="BG35" s="74"/>
      <c r="BH35" s="71"/>
      <c r="BI35" s="72"/>
      <c r="BJ35" s="75"/>
      <c r="BK35" s="99"/>
      <c r="BL35" s="99"/>
      <c r="BM35" s="2"/>
      <c r="BN35" s="2"/>
      <c r="BO35" s="2"/>
      <c r="BP35" s="2"/>
      <c r="BQ35" s="2"/>
      <c r="BR35" s="2"/>
      <c r="BS35" s="2"/>
      <c r="BT35" s="2"/>
      <c r="BU35" s="2"/>
    </row>
    <row r="36" spans="1:77" ht="54.95" hidden="1" customHeight="1">
      <c r="A36" s="13">
        <v>9</v>
      </c>
      <c r="B36" s="14" t="s">
        <v>21</v>
      </c>
      <c r="C36" s="68"/>
      <c r="D36" s="65"/>
      <c r="E36" s="66"/>
      <c r="F36" s="67"/>
      <c r="G36" s="68"/>
      <c r="H36" s="65"/>
      <c r="I36" s="66"/>
      <c r="J36" s="69"/>
      <c r="K36" s="68"/>
      <c r="L36" s="65"/>
      <c r="M36" s="66"/>
      <c r="N36" s="69"/>
      <c r="O36" s="68"/>
      <c r="P36" s="65"/>
      <c r="Q36" s="66"/>
      <c r="R36" s="69"/>
      <c r="S36" s="68"/>
      <c r="T36" s="65"/>
      <c r="U36" s="66"/>
      <c r="V36" s="69"/>
      <c r="W36" s="68"/>
      <c r="X36" s="65"/>
      <c r="Y36" s="66"/>
      <c r="Z36" s="67"/>
      <c r="AA36" s="68"/>
      <c r="AB36" s="65"/>
      <c r="AC36" s="66"/>
      <c r="AD36" s="67"/>
      <c r="AE36" s="68"/>
      <c r="AF36" s="65"/>
      <c r="AG36" s="66"/>
      <c r="AH36" s="69"/>
      <c r="AI36" s="68"/>
      <c r="AJ36" s="65"/>
      <c r="AK36" s="66"/>
      <c r="AL36" s="69"/>
      <c r="AM36" s="68"/>
      <c r="AN36" s="65"/>
      <c r="AO36" s="66"/>
      <c r="AP36" s="69"/>
      <c r="AQ36" s="68"/>
      <c r="AR36" s="65"/>
      <c r="AS36" s="66"/>
      <c r="AT36" s="67"/>
      <c r="AU36" s="68"/>
      <c r="AV36" s="65"/>
      <c r="AW36" s="66"/>
      <c r="AX36" s="67"/>
      <c r="AY36" s="68"/>
      <c r="AZ36" s="65"/>
      <c r="BA36" s="66"/>
      <c r="BB36" s="69"/>
      <c r="BC36" s="68"/>
      <c r="BD36" s="65"/>
      <c r="BE36" s="66"/>
      <c r="BF36" s="69"/>
      <c r="BG36" s="68"/>
      <c r="BH36" s="65"/>
      <c r="BI36" s="66"/>
      <c r="BJ36" s="69"/>
      <c r="BK36" s="99"/>
      <c r="BL36" s="99"/>
      <c r="BM36" s="2"/>
      <c r="BN36" s="2"/>
      <c r="BO36" s="2"/>
      <c r="BP36" s="2"/>
      <c r="BQ36" s="2"/>
      <c r="BR36" s="2"/>
      <c r="BS36" s="2"/>
      <c r="BT36" s="2"/>
      <c r="BU36" s="2"/>
    </row>
    <row r="37" spans="1:77" ht="54.95" hidden="1" customHeight="1" thickTop="1">
      <c r="A37" s="13"/>
      <c r="B37" s="14" t="s">
        <v>22</v>
      </c>
      <c r="C37" s="74"/>
      <c r="D37" s="71"/>
      <c r="E37" s="72"/>
      <c r="F37" s="73"/>
      <c r="G37" s="74"/>
      <c r="H37" s="71"/>
      <c r="I37" s="72"/>
      <c r="J37" s="75"/>
      <c r="K37" s="74"/>
      <c r="L37" s="71"/>
      <c r="M37" s="72"/>
      <c r="N37" s="75"/>
      <c r="O37" s="74"/>
      <c r="P37" s="71"/>
      <c r="Q37" s="72"/>
      <c r="R37" s="75"/>
      <c r="S37" s="74"/>
      <c r="T37" s="71"/>
      <c r="U37" s="72"/>
      <c r="V37" s="75"/>
      <c r="W37" s="74"/>
      <c r="X37" s="71"/>
      <c r="Y37" s="72"/>
      <c r="Z37" s="73"/>
      <c r="AA37" s="74"/>
      <c r="AB37" s="71"/>
      <c r="AC37" s="72"/>
      <c r="AD37" s="73"/>
      <c r="AE37" s="74"/>
      <c r="AF37" s="71"/>
      <c r="AG37" s="72"/>
      <c r="AH37" s="75"/>
      <c r="AI37" s="74"/>
      <c r="AJ37" s="71"/>
      <c r="AK37" s="72"/>
      <c r="AL37" s="75"/>
      <c r="AM37" s="74"/>
      <c r="AN37" s="71"/>
      <c r="AO37" s="72"/>
      <c r="AP37" s="75"/>
      <c r="AQ37" s="74"/>
      <c r="AR37" s="71"/>
      <c r="AS37" s="72"/>
      <c r="AT37" s="73"/>
      <c r="AU37" s="74"/>
      <c r="AV37" s="71"/>
      <c r="AW37" s="72"/>
      <c r="AX37" s="73"/>
      <c r="AY37" s="74"/>
      <c r="AZ37" s="71"/>
      <c r="BA37" s="72"/>
      <c r="BB37" s="75"/>
      <c r="BC37" s="74"/>
      <c r="BD37" s="71"/>
      <c r="BE37" s="72"/>
      <c r="BF37" s="75"/>
      <c r="BG37" s="74"/>
      <c r="BH37" s="71"/>
      <c r="BI37" s="72"/>
      <c r="BJ37" s="75"/>
      <c r="BK37" s="99"/>
      <c r="BL37" s="99"/>
      <c r="BM37" s="2"/>
      <c r="BN37" s="2"/>
      <c r="BO37" s="2"/>
      <c r="BP37" s="2"/>
      <c r="BQ37" s="2"/>
      <c r="BR37" s="2"/>
      <c r="BS37" s="2"/>
      <c r="BT37" s="2"/>
      <c r="BU37" s="2"/>
    </row>
    <row r="38" spans="1:77" ht="18" customHeight="1" thickTop="1" thickBot="1">
      <c r="A38" s="100"/>
      <c r="B38" s="100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2"/>
      <c r="T38" s="2"/>
      <c r="U38" s="2"/>
      <c r="V38" s="2"/>
      <c r="W38" s="2"/>
      <c r="X38" s="2"/>
    </row>
    <row r="39" spans="1:77" ht="52.5" customHeight="1" thickBot="1">
      <c r="A39" s="56" t="s">
        <v>0</v>
      </c>
      <c r="B39" s="82" t="str">
        <f>B1</f>
        <v>St Pierre Pont sur le Borne Principal - RD 1203</v>
      </c>
      <c r="C39" s="49"/>
      <c r="D39" s="49"/>
      <c r="E39" s="49"/>
      <c r="F39" s="57"/>
      <c r="G39" s="49"/>
      <c r="H39" s="49"/>
      <c r="I39" s="49"/>
      <c r="J39" s="49"/>
      <c r="K39" s="57"/>
      <c r="L39" s="57"/>
      <c r="M39" s="57"/>
      <c r="N39" s="57"/>
      <c r="O39" s="49"/>
      <c r="P39" s="49"/>
      <c r="Q39" s="49"/>
      <c r="R39" s="49"/>
      <c r="S39" s="57"/>
      <c r="T39" s="57"/>
      <c r="U39" s="57"/>
      <c r="V39" s="57"/>
      <c r="W39" s="58" t="s">
        <v>1</v>
      </c>
      <c r="X39" s="59">
        <f>AG1</f>
        <v>0</v>
      </c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60"/>
      <c r="AS39" s="60"/>
      <c r="AT39" s="60"/>
      <c r="AU39" s="49"/>
      <c r="AV39" s="60"/>
      <c r="AW39" s="60"/>
      <c r="AX39" s="60"/>
      <c r="AY39" s="49"/>
      <c r="AZ39" s="49"/>
      <c r="BA39" s="49"/>
      <c r="BB39" s="49"/>
      <c r="BC39" s="49"/>
      <c r="BD39" s="49"/>
      <c r="BE39" s="49"/>
      <c r="BF39" s="49"/>
      <c r="BG39" s="60"/>
      <c r="BH39" s="60"/>
      <c r="BI39" s="60"/>
      <c r="BJ39" s="61"/>
      <c r="BK39" s="62" t="s">
        <v>0</v>
      </c>
      <c r="BL39" s="45" t="str">
        <f>B39</f>
        <v>St Pierre Pont sur le Borne Principal - RD 1203</v>
      </c>
      <c r="BM39" s="45"/>
      <c r="BN39" s="45"/>
      <c r="BO39" s="45"/>
      <c r="BP39" s="46"/>
      <c r="BQ39" s="63" t="s">
        <v>1</v>
      </c>
      <c r="BR39" s="58"/>
      <c r="BS39" s="48" t="s">
        <v>151</v>
      </c>
      <c r="BT39" s="45"/>
      <c r="BU39" s="45"/>
      <c r="BV39" s="23"/>
      <c r="BW39" s="23"/>
      <c r="BX39" s="23"/>
      <c r="BY39" s="23"/>
    </row>
    <row r="40" spans="1:77" ht="52.5" customHeight="1" thickBot="1">
      <c r="A40" s="20" t="s">
        <v>2</v>
      </c>
      <c r="B40" s="21"/>
      <c r="C40" s="21"/>
      <c r="D40" s="21"/>
      <c r="E40" s="21"/>
      <c r="F40" s="94"/>
      <c r="G40" s="24"/>
      <c r="H40" s="24"/>
      <c r="I40" s="24"/>
      <c r="J40" s="24"/>
      <c r="K40" s="21"/>
      <c r="L40" s="25" t="str">
        <f>L2</f>
        <v>René Suard côté La Roche</v>
      </c>
      <c r="M40" s="24"/>
      <c r="N40" s="24"/>
      <c r="O40" s="24"/>
      <c r="P40" s="24"/>
      <c r="Q40" s="24"/>
      <c r="R40" s="24"/>
      <c r="S40" s="21"/>
      <c r="T40" s="25" t="str">
        <f>T2</f>
        <v>Christine Suard côté Bonneville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1"/>
      <c r="AS40" s="21"/>
      <c r="AT40" s="21"/>
      <c r="AU40" s="24"/>
      <c r="AV40" s="21"/>
      <c r="AW40" s="21"/>
      <c r="AX40" s="21"/>
      <c r="AY40" s="24"/>
      <c r="AZ40" s="24"/>
      <c r="BA40" s="24"/>
      <c r="BB40" s="24"/>
      <c r="BC40" s="24"/>
      <c r="BD40" s="24"/>
      <c r="BE40" s="24"/>
      <c r="BF40" s="24"/>
      <c r="BG40" s="21"/>
      <c r="BH40" s="21"/>
      <c r="BI40" s="21"/>
      <c r="BJ40" s="94"/>
      <c r="BK40" s="20" t="s">
        <v>2</v>
      </c>
      <c r="BL40" s="21"/>
      <c r="BM40" s="21"/>
      <c r="BN40" s="21"/>
      <c r="BO40" s="21"/>
      <c r="BP40" s="48" t="str">
        <f>L2</f>
        <v>René Suard côté La Roche</v>
      </c>
      <c r="BQ40" s="49"/>
      <c r="BR40" s="49"/>
      <c r="BS40" s="49"/>
      <c r="BT40" s="101" t="str">
        <f>T2</f>
        <v>Christine Suard côté Bonneville</v>
      </c>
      <c r="BU40" s="101"/>
      <c r="BV40" s="23"/>
      <c r="BW40" s="23"/>
      <c r="BX40" s="23"/>
      <c r="BY40" s="23"/>
    </row>
    <row r="41" spans="1:77" ht="52.5" customHeight="1" thickBot="1">
      <c r="A41" s="20" t="s">
        <v>3</v>
      </c>
      <c r="B41" s="21"/>
      <c r="C41" s="22">
        <f>C3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1"/>
      <c r="AS41" s="21"/>
      <c r="AT41" s="21"/>
      <c r="AU41" s="23"/>
      <c r="AV41" s="21"/>
      <c r="AW41" s="21"/>
      <c r="AX41" s="21"/>
      <c r="AY41" s="23"/>
      <c r="AZ41" s="23"/>
      <c r="BA41" s="23"/>
      <c r="BB41" s="23"/>
      <c r="BC41" s="23"/>
      <c r="BD41" s="23"/>
      <c r="BE41" s="23"/>
      <c r="BF41" s="23"/>
      <c r="BG41" s="21"/>
      <c r="BH41" s="21"/>
      <c r="BI41" s="21"/>
      <c r="BJ41" s="94"/>
      <c r="BK41" s="20" t="s">
        <v>3</v>
      </c>
      <c r="BL41" s="21"/>
      <c r="BM41" s="22">
        <f>C41</f>
        <v>0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</row>
    <row r="42" spans="1:77" ht="52.5" customHeight="1" thickBot="1">
      <c r="A42" s="20" t="s">
        <v>18</v>
      </c>
      <c r="B42" s="21"/>
      <c r="C42" s="22">
        <f>C4</f>
        <v>0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1"/>
      <c r="AS42" s="21"/>
      <c r="AT42" s="21"/>
      <c r="AU42" s="23"/>
      <c r="AV42" s="21"/>
      <c r="AW42" s="21"/>
      <c r="AX42" s="21"/>
      <c r="AY42" s="23"/>
      <c r="AZ42" s="23"/>
      <c r="BA42" s="23"/>
      <c r="BB42" s="23"/>
      <c r="BC42" s="23"/>
      <c r="BD42" s="23"/>
      <c r="BE42" s="23"/>
      <c r="BF42" s="23"/>
      <c r="BG42" s="21"/>
      <c r="BH42" s="21"/>
      <c r="BI42" s="21"/>
      <c r="BJ42" s="94"/>
      <c r="BK42" s="20" t="s">
        <v>18</v>
      </c>
      <c r="BL42" s="21"/>
      <c r="BM42" s="22">
        <f>C42</f>
        <v>0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</row>
    <row r="43" spans="1:77" ht="25.5" customHeight="1">
      <c r="A43" s="102" t="s">
        <v>50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94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94"/>
      <c r="BK43" s="102" t="s">
        <v>45</v>
      </c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</row>
    <row r="44" spans="1:77" ht="25.5" customHeight="1">
      <c r="A44" s="102" t="s">
        <v>51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94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94"/>
      <c r="BK44" s="102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94"/>
      <c r="BW44" s="94"/>
      <c r="BX44" s="94"/>
      <c r="BY44" s="94"/>
    </row>
    <row r="45" spans="1:77" ht="25.5" customHeight="1" thickBot="1">
      <c r="A45" s="102" t="s">
        <v>52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94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</row>
    <row r="46" spans="1:77" ht="32.25" customHeight="1" thickTop="1">
      <c r="A46" s="20"/>
      <c r="B46" s="21"/>
      <c r="C46" s="400" t="s">
        <v>139</v>
      </c>
      <c r="D46" s="400"/>
      <c r="E46" s="400"/>
      <c r="F46" s="400"/>
      <c r="G46" s="400"/>
      <c r="H46" s="400"/>
      <c r="I46" s="400"/>
      <c r="J46" s="400"/>
      <c r="K46" s="400"/>
      <c r="L46" s="400"/>
      <c r="M46" s="400"/>
      <c r="N46" s="400"/>
      <c r="O46" s="400"/>
      <c r="P46" s="400"/>
      <c r="Q46" s="400"/>
      <c r="R46" s="400"/>
      <c r="S46" s="400"/>
      <c r="T46" s="400"/>
      <c r="U46" s="400"/>
      <c r="V46" s="401"/>
      <c r="W46" s="399" t="s">
        <v>140</v>
      </c>
      <c r="X46" s="400"/>
      <c r="Y46" s="400"/>
      <c r="Z46" s="400"/>
      <c r="AA46" s="400"/>
      <c r="AB46" s="400"/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/>
      <c r="AP46" s="400"/>
      <c r="AQ46" s="400" t="s">
        <v>141</v>
      </c>
      <c r="AR46" s="400"/>
      <c r="AS46" s="400"/>
      <c r="AT46" s="400"/>
      <c r="AU46" s="400"/>
      <c r="AV46" s="400"/>
      <c r="AW46" s="400"/>
      <c r="AX46" s="400"/>
      <c r="AY46" s="400"/>
      <c r="AZ46" s="400"/>
      <c r="BA46" s="400"/>
      <c r="BB46" s="400"/>
      <c r="BC46" s="400"/>
      <c r="BD46" s="400"/>
      <c r="BE46" s="400"/>
      <c r="BF46" s="400"/>
      <c r="BG46" s="400"/>
      <c r="BH46" s="400"/>
      <c r="BI46" s="400"/>
      <c r="BJ46" s="401"/>
      <c r="BK46" s="20"/>
      <c r="BL46" s="21"/>
      <c r="BM46" s="368" t="s">
        <v>13</v>
      </c>
      <c r="BN46" s="385" t="s">
        <v>108</v>
      </c>
      <c r="BO46" s="385" t="s">
        <v>109</v>
      </c>
      <c r="BP46" s="385" t="s">
        <v>110</v>
      </c>
      <c r="BQ46" s="362" t="s">
        <v>154</v>
      </c>
      <c r="BR46" s="362" t="s">
        <v>179</v>
      </c>
      <c r="BS46" s="402" t="s">
        <v>152</v>
      </c>
      <c r="BT46" s="385"/>
      <c r="BU46" s="385"/>
      <c r="BV46" s="385"/>
      <c r="BW46" s="385"/>
      <c r="BX46" s="385"/>
      <c r="BY46" s="414"/>
    </row>
    <row r="47" spans="1:77" ht="22.7" customHeight="1">
      <c r="A47" s="20"/>
      <c r="B47" s="21"/>
      <c r="C47" s="419" t="s">
        <v>142</v>
      </c>
      <c r="D47" s="420"/>
      <c r="E47" s="420"/>
      <c r="F47" s="393"/>
      <c r="G47" s="419" t="s">
        <v>143</v>
      </c>
      <c r="H47" s="420"/>
      <c r="I47" s="420"/>
      <c r="J47" s="393"/>
      <c r="K47" s="419" t="s">
        <v>144</v>
      </c>
      <c r="L47" s="420"/>
      <c r="M47" s="420"/>
      <c r="N47" s="394"/>
      <c r="O47" s="398" t="s">
        <v>145</v>
      </c>
      <c r="P47" s="395"/>
      <c r="Q47" s="395"/>
      <c r="R47" s="395"/>
      <c r="S47" s="419" t="s">
        <v>146</v>
      </c>
      <c r="T47" s="420"/>
      <c r="U47" s="420"/>
      <c r="V47" s="393"/>
      <c r="W47" s="398" t="s">
        <v>143</v>
      </c>
      <c r="X47" s="395"/>
      <c r="Y47" s="395"/>
      <c r="Z47" s="395"/>
      <c r="AA47" s="398" t="s">
        <v>144</v>
      </c>
      <c r="AB47" s="395"/>
      <c r="AC47" s="395"/>
      <c r="AD47" s="395"/>
      <c r="AE47" s="398" t="s">
        <v>145</v>
      </c>
      <c r="AF47" s="395"/>
      <c r="AG47" s="395"/>
      <c r="AH47" s="395"/>
      <c r="AI47" s="398" t="s">
        <v>146</v>
      </c>
      <c r="AJ47" s="395"/>
      <c r="AK47" s="395"/>
      <c r="AL47" s="395"/>
      <c r="AM47" s="398" t="s">
        <v>147</v>
      </c>
      <c r="AN47" s="395"/>
      <c r="AO47" s="395"/>
      <c r="AP47" s="395"/>
      <c r="AQ47" s="398" t="s">
        <v>144</v>
      </c>
      <c r="AR47" s="395"/>
      <c r="AS47" s="395"/>
      <c r="AT47" s="395"/>
      <c r="AU47" s="398" t="s">
        <v>145</v>
      </c>
      <c r="AV47" s="395"/>
      <c r="AW47" s="395"/>
      <c r="AX47" s="395"/>
      <c r="AY47" s="398" t="s">
        <v>146</v>
      </c>
      <c r="AZ47" s="395"/>
      <c r="BA47" s="395"/>
      <c r="BB47" s="395"/>
      <c r="BC47" s="398" t="s">
        <v>147</v>
      </c>
      <c r="BD47" s="395"/>
      <c r="BE47" s="395"/>
      <c r="BF47" s="395"/>
      <c r="BG47" s="398" t="s">
        <v>142</v>
      </c>
      <c r="BH47" s="395"/>
      <c r="BI47" s="395"/>
      <c r="BJ47" s="395"/>
      <c r="BK47" s="20"/>
      <c r="BL47" s="21"/>
      <c r="BM47" s="369"/>
      <c r="BN47" s="386"/>
      <c r="BO47" s="386"/>
      <c r="BP47" s="386"/>
      <c r="BQ47" s="363"/>
      <c r="BR47" s="363"/>
      <c r="BS47" s="403"/>
      <c r="BT47" s="386"/>
      <c r="BU47" s="386"/>
      <c r="BV47" s="386"/>
      <c r="BW47" s="386"/>
      <c r="BX47" s="386"/>
      <c r="BY47" s="415"/>
    </row>
    <row r="48" spans="1:77" ht="18.600000000000001" customHeight="1" thickBot="1">
      <c r="A48" s="20"/>
      <c r="B48" s="21"/>
      <c r="C48" s="389" t="s">
        <v>5</v>
      </c>
      <c r="D48" s="390"/>
      <c r="E48" s="387" t="s">
        <v>6</v>
      </c>
      <c r="F48" s="396"/>
      <c r="G48" s="389" t="s">
        <v>5</v>
      </c>
      <c r="H48" s="390"/>
      <c r="I48" s="387" t="s">
        <v>6</v>
      </c>
      <c r="J48" s="396"/>
      <c r="K48" s="389" t="s">
        <v>5</v>
      </c>
      <c r="L48" s="390"/>
      <c r="M48" s="387" t="s">
        <v>6</v>
      </c>
      <c r="N48" s="388"/>
      <c r="O48" s="389" t="s">
        <v>5</v>
      </c>
      <c r="P48" s="390"/>
      <c r="Q48" s="387" t="s">
        <v>6</v>
      </c>
      <c r="R48" s="388"/>
      <c r="S48" s="389" t="s">
        <v>5</v>
      </c>
      <c r="T48" s="390"/>
      <c r="U48" s="387" t="s">
        <v>6</v>
      </c>
      <c r="V48" s="388"/>
      <c r="W48" s="397" t="s">
        <v>5</v>
      </c>
      <c r="X48" s="390"/>
      <c r="Y48" s="387" t="s">
        <v>6</v>
      </c>
      <c r="Z48" s="396"/>
      <c r="AA48" s="389" t="s">
        <v>5</v>
      </c>
      <c r="AB48" s="390"/>
      <c r="AC48" s="387" t="s">
        <v>6</v>
      </c>
      <c r="AD48" s="388"/>
      <c r="AE48" s="389" t="s">
        <v>5</v>
      </c>
      <c r="AF48" s="390"/>
      <c r="AG48" s="387" t="s">
        <v>6</v>
      </c>
      <c r="AH48" s="396"/>
      <c r="AI48" s="389" t="s">
        <v>5</v>
      </c>
      <c r="AJ48" s="390"/>
      <c r="AK48" s="387" t="s">
        <v>6</v>
      </c>
      <c r="AL48" s="388"/>
      <c r="AM48" s="389" t="s">
        <v>5</v>
      </c>
      <c r="AN48" s="390"/>
      <c r="AO48" s="387" t="s">
        <v>6</v>
      </c>
      <c r="AP48" s="396"/>
      <c r="AQ48" s="389" t="s">
        <v>5</v>
      </c>
      <c r="AR48" s="390"/>
      <c r="AS48" s="387" t="s">
        <v>6</v>
      </c>
      <c r="AT48" s="396"/>
      <c r="AU48" s="389" t="s">
        <v>5</v>
      </c>
      <c r="AV48" s="390"/>
      <c r="AW48" s="387" t="s">
        <v>6</v>
      </c>
      <c r="AX48" s="388"/>
      <c r="AY48" s="389" t="s">
        <v>5</v>
      </c>
      <c r="AZ48" s="390"/>
      <c r="BA48" s="387" t="s">
        <v>6</v>
      </c>
      <c r="BB48" s="388"/>
      <c r="BC48" s="389" t="s">
        <v>5</v>
      </c>
      <c r="BD48" s="390"/>
      <c r="BE48" s="387" t="s">
        <v>6</v>
      </c>
      <c r="BF48" s="388"/>
      <c r="BG48" s="389" t="s">
        <v>5</v>
      </c>
      <c r="BH48" s="390"/>
      <c r="BI48" s="387" t="s">
        <v>6</v>
      </c>
      <c r="BJ48" s="388"/>
      <c r="BK48" s="124"/>
      <c r="BL48" s="21"/>
      <c r="BM48" s="369"/>
      <c r="BN48" s="386"/>
      <c r="BO48" s="386"/>
      <c r="BP48" s="386"/>
      <c r="BQ48" s="363"/>
      <c r="BR48" s="363"/>
      <c r="BS48" s="403"/>
      <c r="BT48" s="386"/>
      <c r="BU48" s="386"/>
      <c r="BV48" s="386"/>
      <c r="BW48" s="386"/>
      <c r="BX48" s="386"/>
      <c r="BY48" s="415"/>
    </row>
    <row r="49" spans="1:77" ht="21" customHeight="1" thickTop="1">
      <c r="A49" s="373" t="s">
        <v>14</v>
      </c>
      <c r="B49" s="374"/>
      <c r="C49" s="3" t="s">
        <v>9</v>
      </c>
      <c r="D49" s="4" t="s">
        <v>10</v>
      </c>
      <c r="E49" s="5" t="s">
        <v>9</v>
      </c>
      <c r="F49" s="6" t="s">
        <v>10</v>
      </c>
      <c r="G49" s="3" t="s">
        <v>9</v>
      </c>
      <c r="H49" s="4" t="s">
        <v>10</v>
      </c>
      <c r="I49" s="5" t="s">
        <v>9</v>
      </c>
      <c r="J49" s="6" t="s">
        <v>10</v>
      </c>
      <c r="K49" s="3" t="s">
        <v>9</v>
      </c>
      <c r="L49" s="4" t="s">
        <v>10</v>
      </c>
      <c r="M49" s="5" t="s">
        <v>9</v>
      </c>
      <c r="N49" s="16" t="s">
        <v>10</v>
      </c>
      <c r="O49" s="3" t="s">
        <v>9</v>
      </c>
      <c r="P49" s="4" t="s">
        <v>10</v>
      </c>
      <c r="Q49" s="5" t="s">
        <v>9</v>
      </c>
      <c r="R49" s="16" t="s">
        <v>10</v>
      </c>
      <c r="S49" s="3" t="s">
        <v>9</v>
      </c>
      <c r="T49" s="4" t="s">
        <v>10</v>
      </c>
      <c r="U49" s="5" t="s">
        <v>9</v>
      </c>
      <c r="V49" s="16" t="s">
        <v>10</v>
      </c>
      <c r="W49" s="15" t="s">
        <v>9</v>
      </c>
      <c r="X49" s="4" t="s">
        <v>10</v>
      </c>
      <c r="Y49" s="5" t="s">
        <v>9</v>
      </c>
      <c r="Z49" s="6" t="s">
        <v>10</v>
      </c>
      <c r="AA49" s="3" t="s">
        <v>9</v>
      </c>
      <c r="AB49" s="4" t="s">
        <v>10</v>
      </c>
      <c r="AC49" s="5" t="s">
        <v>9</v>
      </c>
      <c r="AD49" s="16" t="s">
        <v>10</v>
      </c>
      <c r="AE49" s="3" t="s">
        <v>9</v>
      </c>
      <c r="AF49" s="4" t="s">
        <v>10</v>
      </c>
      <c r="AG49" s="5" t="s">
        <v>9</v>
      </c>
      <c r="AH49" s="6" t="s">
        <v>10</v>
      </c>
      <c r="AI49" s="3" t="s">
        <v>9</v>
      </c>
      <c r="AJ49" s="4" t="s">
        <v>10</v>
      </c>
      <c r="AK49" s="5" t="s">
        <v>9</v>
      </c>
      <c r="AL49" s="16" t="s">
        <v>10</v>
      </c>
      <c r="AM49" s="3" t="s">
        <v>9</v>
      </c>
      <c r="AN49" s="4" t="s">
        <v>10</v>
      </c>
      <c r="AO49" s="5" t="s">
        <v>9</v>
      </c>
      <c r="AP49" s="6" t="s">
        <v>10</v>
      </c>
      <c r="AQ49" s="3" t="s">
        <v>9</v>
      </c>
      <c r="AR49" s="4" t="s">
        <v>10</v>
      </c>
      <c r="AS49" s="5" t="s">
        <v>9</v>
      </c>
      <c r="AT49" s="6" t="s">
        <v>10</v>
      </c>
      <c r="AU49" s="3" t="s">
        <v>9</v>
      </c>
      <c r="AV49" s="4" t="s">
        <v>10</v>
      </c>
      <c r="AW49" s="5" t="s">
        <v>9</v>
      </c>
      <c r="AX49" s="16" t="s">
        <v>10</v>
      </c>
      <c r="AY49" s="3" t="s">
        <v>9</v>
      </c>
      <c r="AZ49" s="4" t="s">
        <v>10</v>
      </c>
      <c r="BA49" s="5" t="s">
        <v>9</v>
      </c>
      <c r="BB49" s="16" t="s">
        <v>10</v>
      </c>
      <c r="BC49" s="3" t="s">
        <v>9</v>
      </c>
      <c r="BD49" s="4" t="s">
        <v>10</v>
      </c>
      <c r="BE49" s="5" t="s">
        <v>9</v>
      </c>
      <c r="BF49" s="16" t="s">
        <v>10</v>
      </c>
      <c r="BG49" s="3" t="s">
        <v>9</v>
      </c>
      <c r="BH49" s="4" t="s">
        <v>10</v>
      </c>
      <c r="BI49" s="5" t="s">
        <v>9</v>
      </c>
      <c r="BJ49" s="16" t="s">
        <v>10</v>
      </c>
      <c r="BK49" s="364" t="s">
        <v>14</v>
      </c>
      <c r="BL49" s="365"/>
      <c r="BM49" s="369"/>
      <c r="BN49" s="386"/>
      <c r="BO49" s="386"/>
      <c r="BP49" s="386"/>
      <c r="BQ49" s="363"/>
      <c r="BR49" s="363"/>
      <c r="BS49" s="404"/>
      <c r="BT49" s="405"/>
      <c r="BU49" s="405"/>
      <c r="BV49" s="405"/>
      <c r="BW49" s="405"/>
      <c r="BX49" s="405"/>
      <c r="BY49" s="416"/>
    </row>
    <row r="50" spans="1:77" ht="54.95" customHeight="1">
      <c r="A50" s="375" t="s">
        <v>175</v>
      </c>
      <c r="B50" s="376"/>
      <c r="C50" s="26">
        <f>SUM(C12:C13)</f>
        <v>0</v>
      </c>
      <c r="D50" s="27">
        <f t="shared" ref="D50:BJ50" si="0">SUM(D12:D13)</f>
        <v>0</v>
      </c>
      <c r="E50" s="28">
        <f t="shared" si="0"/>
        <v>0</v>
      </c>
      <c r="F50" s="29">
        <f t="shared" si="0"/>
        <v>0</v>
      </c>
      <c r="G50" s="30">
        <f t="shared" si="0"/>
        <v>0</v>
      </c>
      <c r="H50" s="27">
        <f t="shared" si="0"/>
        <v>1</v>
      </c>
      <c r="I50" s="28">
        <f t="shared" si="0"/>
        <v>0</v>
      </c>
      <c r="J50" s="31">
        <f t="shared" si="0"/>
        <v>0</v>
      </c>
      <c r="K50" s="30">
        <f t="shared" si="0"/>
        <v>0</v>
      </c>
      <c r="L50" s="27">
        <f t="shared" si="0"/>
        <v>0</v>
      </c>
      <c r="M50" s="28">
        <f t="shared" si="0"/>
        <v>0</v>
      </c>
      <c r="N50" s="29">
        <f t="shared" si="0"/>
        <v>0</v>
      </c>
      <c r="O50" s="30">
        <f t="shared" si="0"/>
        <v>0</v>
      </c>
      <c r="P50" s="27">
        <f t="shared" si="0"/>
        <v>0</v>
      </c>
      <c r="Q50" s="28">
        <f t="shared" si="0"/>
        <v>0</v>
      </c>
      <c r="R50" s="31">
        <f t="shared" si="0"/>
        <v>0</v>
      </c>
      <c r="S50" s="30">
        <f t="shared" si="0"/>
        <v>0</v>
      </c>
      <c r="T50" s="27">
        <f t="shared" si="0"/>
        <v>0</v>
      </c>
      <c r="U50" s="28">
        <f t="shared" si="0"/>
        <v>0</v>
      </c>
      <c r="V50" s="29">
        <f t="shared" si="0"/>
        <v>0</v>
      </c>
      <c r="W50" s="30">
        <f t="shared" si="0"/>
        <v>0</v>
      </c>
      <c r="X50" s="27">
        <f t="shared" si="0"/>
        <v>0</v>
      </c>
      <c r="Y50" s="28">
        <f t="shared" si="0"/>
        <v>0</v>
      </c>
      <c r="Z50" s="29">
        <f t="shared" si="0"/>
        <v>0</v>
      </c>
      <c r="AA50" s="30">
        <f t="shared" si="0"/>
        <v>0</v>
      </c>
      <c r="AB50" s="27">
        <f t="shared" si="0"/>
        <v>0</v>
      </c>
      <c r="AC50" s="28">
        <f t="shared" si="0"/>
        <v>0</v>
      </c>
      <c r="AD50" s="31">
        <f t="shared" si="0"/>
        <v>0</v>
      </c>
      <c r="AE50" s="30">
        <f t="shared" si="0"/>
        <v>0</v>
      </c>
      <c r="AF50" s="27">
        <f t="shared" si="0"/>
        <v>0</v>
      </c>
      <c r="AG50" s="28">
        <f t="shared" si="0"/>
        <v>0</v>
      </c>
      <c r="AH50" s="31">
        <f t="shared" si="0"/>
        <v>0</v>
      </c>
      <c r="AI50" s="30">
        <f t="shared" si="0"/>
        <v>0</v>
      </c>
      <c r="AJ50" s="27">
        <f t="shared" si="0"/>
        <v>0</v>
      </c>
      <c r="AK50" s="28">
        <f t="shared" si="0"/>
        <v>0</v>
      </c>
      <c r="AL50" s="31">
        <f t="shared" si="0"/>
        <v>0</v>
      </c>
      <c r="AM50" s="30">
        <f t="shared" si="0"/>
        <v>0</v>
      </c>
      <c r="AN50" s="27">
        <f t="shared" si="0"/>
        <v>0</v>
      </c>
      <c r="AO50" s="28">
        <f t="shared" si="0"/>
        <v>0</v>
      </c>
      <c r="AP50" s="31">
        <f t="shared" si="0"/>
        <v>0</v>
      </c>
      <c r="AQ50" s="30">
        <f t="shared" si="0"/>
        <v>0</v>
      </c>
      <c r="AR50" s="27">
        <f t="shared" si="0"/>
        <v>0</v>
      </c>
      <c r="AS50" s="28">
        <f t="shared" si="0"/>
        <v>0</v>
      </c>
      <c r="AT50" s="29">
        <f t="shared" si="0"/>
        <v>0</v>
      </c>
      <c r="AU50" s="30">
        <f t="shared" si="0"/>
        <v>0</v>
      </c>
      <c r="AV50" s="27">
        <f t="shared" si="0"/>
        <v>0</v>
      </c>
      <c r="AW50" s="28">
        <f t="shared" si="0"/>
        <v>0</v>
      </c>
      <c r="AX50" s="29">
        <f t="shared" si="0"/>
        <v>0</v>
      </c>
      <c r="AY50" s="30">
        <f t="shared" si="0"/>
        <v>0</v>
      </c>
      <c r="AZ50" s="27">
        <f t="shared" si="0"/>
        <v>0</v>
      </c>
      <c r="BA50" s="28">
        <f t="shared" si="0"/>
        <v>0</v>
      </c>
      <c r="BB50" s="31">
        <f t="shared" si="0"/>
        <v>0</v>
      </c>
      <c r="BC50" s="30">
        <f t="shared" si="0"/>
        <v>0</v>
      </c>
      <c r="BD50" s="27">
        <f t="shared" si="0"/>
        <v>0</v>
      </c>
      <c r="BE50" s="28">
        <f t="shared" si="0"/>
        <v>0</v>
      </c>
      <c r="BF50" s="31">
        <f t="shared" si="0"/>
        <v>0</v>
      </c>
      <c r="BG50" s="30">
        <f t="shared" si="0"/>
        <v>0</v>
      </c>
      <c r="BH50" s="27">
        <f t="shared" si="0"/>
        <v>0</v>
      </c>
      <c r="BI50" s="28">
        <f t="shared" si="0"/>
        <v>0</v>
      </c>
      <c r="BJ50" s="29">
        <f t="shared" si="0"/>
        <v>0</v>
      </c>
      <c r="BK50" s="366" t="str">
        <f>A50</f>
        <v>6:30 à 7:00</v>
      </c>
      <c r="BL50" s="367"/>
      <c r="BM50" s="47">
        <f>SUM(C50:BJ50)+SUM(C60:BJ60)</f>
        <v>2</v>
      </c>
      <c r="BN50" s="303">
        <f>C50+E50+G50+I50+K50+M50+O50+Q50+S50+U50+W50+Y50+AA50+AC50+AE50+AG50+AI50+AK50+AM50+AO50+AQ50+AS50+AU50+AW50+AY50+BA50+BC50+BE50+BG50+BI50+C60+E60+G60+I60+K60+M60+O60+Q60+S60+U60+W60+Y60+AA60+AC60+AE60+AG60+AI60+AK60+AM60+AO60+AQ60+AS60+AU60+AW60+AY60+BA60+BC60+BE60+BG60+BI60</f>
        <v>0</v>
      </c>
      <c r="BO50" s="303">
        <f>E50+F50+I50+J50+M50+N50+Q50+R50+U50+V50+Y50+Z50+AC50+AD50+AG50+AH50+AK50+AL50+AO50+AP50+AS50+AT50+AW50+AX50+BA50+BB50+BE50+BF50+BI50+BJ50+E60+F60+I60+J60+M60+N60+Q60+R60+U60+V60+Y60+Z60+AC60+AD60+AG60+AH60+AK60+AL60+AO60+AP60+AS60+AT60+AW60+AX60+BA60+BB60+BE60+BF60+BI60+BJ60</f>
        <v>0</v>
      </c>
      <c r="BP50" s="303">
        <f>E50+I50+M50+Q50+U50+Y50+AC50+AG50+AK50+AO50+AS50+AW50+BA50+BE50+BI50+E60+I60+M60+Q60+U60+Y60+AC60+AG60+AK60+AO60+AS60+AW60+BA60+BE60+BI60</f>
        <v>0</v>
      </c>
      <c r="BQ50" s="303">
        <f>C50+D50+E50+F50+O50+P50+Q50+R50++AE50+AF50+AG50+AH50+AU50+AV50+AW50+AX50+BG50+BH50+BI50+BJ50+C60+D60+E60+F60+O60+P60+Q60+R60+AE60+AF60+AG60+AH60+AU60+AV60+AW60+AX60+BG60+BH60+BI60+BJ60</f>
        <v>1</v>
      </c>
      <c r="BR50" s="303">
        <f>SUM(S50:V50)+SUM(AI50:AL50)+SUM(AY50:BB50)+SUM(G60:J60)+SUM(W60:Z60)+SUM(AQ60:BJ60)</f>
        <v>0</v>
      </c>
      <c r="BS50" s="319"/>
      <c r="BT50" s="316"/>
      <c r="BU50" s="316"/>
      <c r="BV50" s="317"/>
      <c r="BW50" s="317"/>
      <c r="BX50" s="317"/>
      <c r="BY50" s="318"/>
    </row>
    <row r="51" spans="1:77" ht="54.95" customHeight="1">
      <c r="A51" s="377" t="s">
        <v>46</v>
      </c>
      <c r="B51" s="378"/>
      <c r="C51" s="32">
        <f t="shared" ref="C51:AH51" si="1">SUM(C14:C17)</f>
        <v>0</v>
      </c>
      <c r="D51" s="33">
        <f t="shared" si="1"/>
        <v>0</v>
      </c>
      <c r="E51" s="34">
        <f t="shared" si="1"/>
        <v>0</v>
      </c>
      <c r="F51" s="35">
        <f t="shared" si="1"/>
        <v>0</v>
      </c>
      <c r="G51" s="36">
        <f t="shared" si="1"/>
        <v>0</v>
      </c>
      <c r="H51" s="33">
        <f t="shared" si="1"/>
        <v>0</v>
      </c>
      <c r="I51" s="34">
        <f t="shared" si="1"/>
        <v>0</v>
      </c>
      <c r="J51" s="37">
        <f t="shared" si="1"/>
        <v>0</v>
      </c>
      <c r="K51" s="36">
        <f t="shared" si="1"/>
        <v>0</v>
      </c>
      <c r="L51" s="33">
        <f t="shared" si="1"/>
        <v>0</v>
      </c>
      <c r="M51" s="34">
        <f t="shared" si="1"/>
        <v>0</v>
      </c>
      <c r="N51" s="35">
        <f t="shared" si="1"/>
        <v>0</v>
      </c>
      <c r="O51" s="36">
        <f t="shared" si="1"/>
        <v>0</v>
      </c>
      <c r="P51" s="33">
        <f t="shared" si="1"/>
        <v>0</v>
      </c>
      <c r="Q51" s="34">
        <f t="shared" si="1"/>
        <v>0</v>
      </c>
      <c r="R51" s="37">
        <f t="shared" si="1"/>
        <v>0</v>
      </c>
      <c r="S51" s="36">
        <f t="shared" si="1"/>
        <v>0</v>
      </c>
      <c r="T51" s="33">
        <f t="shared" si="1"/>
        <v>0</v>
      </c>
      <c r="U51" s="34">
        <f t="shared" si="1"/>
        <v>0</v>
      </c>
      <c r="V51" s="35">
        <f t="shared" si="1"/>
        <v>0</v>
      </c>
      <c r="W51" s="36">
        <f t="shared" si="1"/>
        <v>0</v>
      </c>
      <c r="X51" s="33">
        <f t="shared" si="1"/>
        <v>1</v>
      </c>
      <c r="Y51" s="34">
        <f t="shared" si="1"/>
        <v>0</v>
      </c>
      <c r="Z51" s="35">
        <f t="shared" si="1"/>
        <v>0</v>
      </c>
      <c r="AA51" s="36">
        <f t="shared" si="1"/>
        <v>1</v>
      </c>
      <c r="AB51" s="33">
        <f t="shared" si="1"/>
        <v>1</v>
      </c>
      <c r="AC51" s="34">
        <f t="shared" si="1"/>
        <v>0</v>
      </c>
      <c r="AD51" s="37">
        <f t="shared" si="1"/>
        <v>0</v>
      </c>
      <c r="AE51" s="36">
        <f t="shared" si="1"/>
        <v>0</v>
      </c>
      <c r="AF51" s="33">
        <f t="shared" si="1"/>
        <v>1</v>
      </c>
      <c r="AG51" s="34">
        <f t="shared" si="1"/>
        <v>0</v>
      </c>
      <c r="AH51" s="37">
        <f t="shared" si="1"/>
        <v>0</v>
      </c>
      <c r="AI51" s="36">
        <f t="shared" ref="AI51:BJ51" si="2">SUM(AI14:AI17)</f>
        <v>0</v>
      </c>
      <c r="AJ51" s="33">
        <f t="shared" si="2"/>
        <v>0</v>
      </c>
      <c r="AK51" s="34">
        <f t="shared" si="2"/>
        <v>0</v>
      </c>
      <c r="AL51" s="37">
        <f t="shared" si="2"/>
        <v>0</v>
      </c>
      <c r="AM51" s="36">
        <f t="shared" si="2"/>
        <v>0</v>
      </c>
      <c r="AN51" s="33">
        <f t="shared" si="2"/>
        <v>0</v>
      </c>
      <c r="AO51" s="34">
        <f t="shared" si="2"/>
        <v>0</v>
      </c>
      <c r="AP51" s="37">
        <f t="shared" si="2"/>
        <v>0</v>
      </c>
      <c r="AQ51" s="36">
        <f t="shared" si="2"/>
        <v>0</v>
      </c>
      <c r="AR51" s="33">
        <f t="shared" si="2"/>
        <v>0</v>
      </c>
      <c r="AS51" s="34">
        <f t="shared" si="2"/>
        <v>0</v>
      </c>
      <c r="AT51" s="35">
        <f t="shared" si="2"/>
        <v>0</v>
      </c>
      <c r="AU51" s="36">
        <f t="shared" si="2"/>
        <v>0</v>
      </c>
      <c r="AV51" s="33">
        <f t="shared" si="2"/>
        <v>0</v>
      </c>
      <c r="AW51" s="34">
        <f t="shared" si="2"/>
        <v>0</v>
      </c>
      <c r="AX51" s="35">
        <f t="shared" si="2"/>
        <v>0</v>
      </c>
      <c r="AY51" s="36">
        <f t="shared" si="2"/>
        <v>0</v>
      </c>
      <c r="AZ51" s="33">
        <f t="shared" si="2"/>
        <v>0</v>
      </c>
      <c r="BA51" s="34">
        <f t="shared" si="2"/>
        <v>0</v>
      </c>
      <c r="BB51" s="37">
        <f t="shared" si="2"/>
        <v>0</v>
      </c>
      <c r="BC51" s="36">
        <f t="shared" si="2"/>
        <v>0</v>
      </c>
      <c r="BD51" s="33">
        <f t="shared" si="2"/>
        <v>0</v>
      </c>
      <c r="BE51" s="34">
        <f t="shared" si="2"/>
        <v>0</v>
      </c>
      <c r="BF51" s="37">
        <f t="shared" si="2"/>
        <v>0</v>
      </c>
      <c r="BG51" s="36">
        <f t="shared" si="2"/>
        <v>0</v>
      </c>
      <c r="BH51" s="33">
        <f t="shared" si="2"/>
        <v>0</v>
      </c>
      <c r="BI51" s="34">
        <f t="shared" si="2"/>
        <v>0</v>
      </c>
      <c r="BJ51" s="35">
        <f t="shared" si="2"/>
        <v>0</v>
      </c>
      <c r="BK51" s="366" t="str">
        <f t="shared" ref="BK51:BK53" si="3">A51</f>
        <v>7:00 à 8:00</v>
      </c>
      <c r="BL51" s="367"/>
      <c r="BM51" s="47">
        <f>SUM(C51:BJ51)+SUM(C61:BJ61)</f>
        <v>8</v>
      </c>
      <c r="BN51" s="303">
        <f t="shared" ref="BN51:BN53" si="4">C51+E51+G51+I51+K51+M51+O51+Q51+S51+U51+W51+Y51+AA51+AC51+AE51+AG51+AI51+AK51+AM51+AO51+AQ51+AS51+AU51+AW51+AY51+BA51+BC51+BE51+BG51+BI51+C61+E61+G61+I61+K61+M61+O61+Q61+S61+U61+W61+Y61+AA61+AC61+AE61+AG61+AI61+AK61+AM61+AO61+AQ61+AS61+AU61+AW61+AY61+BA61+BC61+BE61+BG61+BI61</f>
        <v>3</v>
      </c>
      <c r="BO51" s="303">
        <f>E51+F51+I51+J51+M51+N51+Q51+R51+U51+V51+Y51+Z51+AC51+AD51+AG51+AH51+AK51+AL51+AO51+AP51+AS51+AT51+AW51+AX51+BA51+BB51+BE51+BF51+BI51+BJ51+E61+F61+I61+J61+M61+N61+Q61+R61+U61+V61+Y61+Z61+AC61+AD61+AG61+AH61+AK61+AL61+AO61+AP61+AS61+AT61+AW61+AX61+BA61+BB61+BE61+BF61+BI61+BJ61</f>
        <v>4</v>
      </c>
      <c r="BP51" s="303">
        <f>E51+I51+M51+Q51+U51+Y51+AC51+AG51+AK51+AO51+AS51+AW51+BA51+BE51+BI51+E61+I61+M61+Q61+U61+Y61+AC61+AG61+AK61+AO61+AS61+AW61+BA61+BE61+BI61</f>
        <v>2</v>
      </c>
      <c r="BQ51" s="303">
        <f t="shared" ref="BQ51:BQ54" si="5">C51+D51+E51+F51+O51+P51+Q51+R51++AE51+AF51+AG51+AH51+AU51+AV51+AW51+AX51+BG51+BH51+BI51+BJ51+C61+D61+E61+F61+O61+P61+Q61+R61+AE61+AF61+AG61+AH61+AU61+AV61+AW61+AX61+BG61+BH61+BI61+BJ61</f>
        <v>4</v>
      </c>
      <c r="BR51" s="303">
        <f t="shared" ref="BR51:BR52" si="6">SUM(S51:V51)+SUM(AI51:AL51)+SUM(AY51:BB51)+SUM(G61:J61)+SUM(W61:Z61)+SUM(AQ61:BJ61)</f>
        <v>2</v>
      </c>
      <c r="BS51" s="319"/>
      <c r="BT51" s="316"/>
      <c r="BU51" s="316"/>
      <c r="BV51" s="317"/>
      <c r="BW51" s="317"/>
      <c r="BX51" s="317"/>
      <c r="BY51" s="318"/>
    </row>
    <row r="52" spans="1:77" ht="54.95" customHeight="1">
      <c r="A52" s="377" t="s">
        <v>47</v>
      </c>
      <c r="B52" s="378"/>
      <c r="C52" s="32">
        <f>SUM(C16:C19)</f>
        <v>0</v>
      </c>
      <c r="D52" s="33">
        <f t="shared" ref="D52:BJ52" si="7">SUM(D16:D19)</f>
        <v>0</v>
      </c>
      <c r="E52" s="34">
        <f t="shared" si="7"/>
        <v>0</v>
      </c>
      <c r="F52" s="35">
        <f t="shared" si="7"/>
        <v>0</v>
      </c>
      <c r="G52" s="36">
        <f t="shared" si="7"/>
        <v>0</v>
      </c>
      <c r="H52" s="33">
        <f t="shared" si="7"/>
        <v>0</v>
      </c>
      <c r="I52" s="34">
        <f t="shared" si="7"/>
        <v>0</v>
      </c>
      <c r="J52" s="37">
        <f t="shared" si="7"/>
        <v>0</v>
      </c>
      <c r="K52" s="36">
        <f t="shared" si="7"/>
        <v>0</v>
      </c>
      <c r="L52" s="33">
        <f t="shared" si="7"/>
        <v>0</v>
      </c>
      <c r="M52" s="34">
        <f t="shared" si="7"/>
        <v>0</v>
      </c>
      <c r="N52" s="35">
        <f t="shared" si="7"/>
        <v>0</v>
      </c>
      <c r="O52" s="36">
        <f t="shared" si="7"/>
        <v>0</v>
      </c>
      <c r="P52" s="33">
        <f t="shared" si="7"/>
        <v>0</v>
      </c>
      <c r="Q52" s="34">
        <f t="shared" si="7"/>
        <v>0</v>
      </c>
      <c r="R52" s="37">
        <f t="shared" si="7"/>
        <v>0</v>
      </c>
      <c r="S52" s="36">
        <f t="shared" si="7"/>
        <v>0</v>
      </c>
      <c r="T52" s="33">
        <f t="shared" si="7"/>
        <v>0</v>
      </c>
      <c r="U52" s="34">
        <f t="shared" si="7"/>
        <v>0</v>
      </c>
      <c r="V52" s="35">
        <f t="shared" si="7"/>
        <v>0</v>
      </c>
      <c r="W52" s="36">
        <f t="shared" si="7"/>
        <v>0</v>
      </c>
      <c r="X52" s="33">
        <f t="shared" si="7"/>
        <v>1</v>
      </c>
      <c r="Y52" s="34">
        <f t="shared" si="7"/>
        <v>0</v>
      </c>
      <c r="Z52" s="35">
        <f t="shared" si="7"/>
        <v>0</v>
      </c>
      <c r="AA52" s="36">
        <f t="shared" si="7"/>
        <v>0</v>
      </c>
      <c r="AB52" s="33">
        <f t="shared" si="7"/>
        <v>0</v>
      </c>
      <c r="AC52" s="34">
        <f t="shared" si="7"/>
        <v>0</v>
      </c>
      <c r="AD52" s="37">
        <f t="shared" si="7"/>
        <v>0</v>
      </c>
      <c r="AE52" s="36">
        <f t="shared" si="7"/>
        <v>0</v>
      </c>
      <c r="AF52" s="33">
        <f t="shared" si="7"/>
        <v>0</v>
      </c>
      <c r="AG52" s="34">
        <f t="shared" si="7"/>
        <v>0</v>
      </c>
      <c r="AH52" s="37">
        <f t="shared" si="7"/>
        <v>0</v>
      </c>
      <c r="AI52" s="36">
        <f t="shared" si="7"/>
        <v>0</v>
      </c>
      <c r="AJ52" s="33">
        <f t="shared" si="7"/>
        <v>1</v>
      </c>
      <c r="AK52" s="34">
        <f t="shared" si="7"/>
        <v>0</v>
      </c>
      <c r="AL52" s="37">
        <f t="shared" si="7"/>
        <v>0</v>
      </c>
      <c r="AM52" s="36">
        <f t="shared" si="7"/>
        <v>0</v>
      </c>
      <c r="AN52" s="33">
        <f t="shared" si="7"/>
        <v>0</v>
      </c>
      <c r="AO52" s="34">
        <f t="shared" si="7"/>
        <v>0</v>
      </c>
      <c r="AP52" s="37">
        <f t="shared" si="7"/>
        <v>0</v>
      </c>
      <c r="AQ52" s="36">
        <f t="shared" si="7"/>
        <v>0</v>
      </c>
      <c r="AR52" s="33">
        <f t="shared" si="7"/>
        <v>0</v>
      </c>
      <c r="AS52" s="34">
        <f t="shared" si="7"/>
        <v>0</v>
      </c>
      <c r="AT52" s="35">
        <f t="shared" si="7"/>
        <v>0</v>
      </c>
      <c r="AU52" s="36">
        <f t="shared" si="7"/>
        <v>0</v>
      </c>
      <c r="AV52" s="33">
        <f t="shared" si="7"/>
        <v>0</v>
      </c>
      <c r="AW52" s="34">
        <f t="shared" si="7"/>
        <v>0</v>
      </c>
      <c r="AX52" s="35">
        <f t="shared" si="7"/>
        <v>0</v>
      </c>
      <c r="AY52" s="36">
        <f t="shared" si="7"/>
        <v>0</v>
      </c>
      <c r="AZ52" s="33">
        <f t="shared" si="7"/>
        <v>0</v>
      </c>
      <c r="BA52" s="34">
        <f t="shared" si="7"/>
        <v>0</v>
      </c>
      <c r="BB52" s="37">
        <f t="shared" si="7"/>
        <v>1</v>
      </c>
      <c r="BC52" s="36">
        <f t="shared" si="7"/>
        <v>0</v>
      </c>
      <c r="BD52" s="33">
        <f t="shared" si="7"/>
        <v>0</v>
      </c>
      <c r="BE52" s="34">
        <f t="shared" si="7"/>
        <v>0</v>
      </c>
      <c r="BF52" s="37">
        <f t="shared" si="7"/>
        <v>0</v>
      </c>
      <c r="BG52" s="36">
        <f t="shared" si="7"/>
        <v>0</v>
      </c>
      <c r="BH52" s="33">
        <f t="shared" si="7"/>
        <v>0</v>
      </c>
      <c r="BI52" s="34">
        <f t="shared" si="7"/>
        <v>0</v>
      </c>
      <c r="BJ52" s="35">
        <f t="shared" si="7"/>
        <v>0</v>
      </c>
      <c r="BK52" s="366" t="str">
        <f t="shared" si="3"/>
        <v>7:30 à 8:30</v>
      </c>
      <c r="BL52" s="367"/>
      <c r="BM52" s="47">
        <f>SUM(C52:BJ52)+SUM(C62:BJ62)</f>
        <v>11</v>
      </c>
      <c r="BN52" s="303">
        <f t="shared" si="4"/>
        <v>2</v>
      </c>
      <c r="BO52" s="303">
        <f>E52+F52+I52+J52+M52+N52+Q52+R52+U52+V52+Y52+Z52+AC52+AD52+AG52+AH52+AK52+AL52+AO52+AP52+AS52+AT52+AW52+AX52+BA52+BB52+BE52+BF52+BI52+BJ52+E62+F62+I62+J62+M62+N62+Q62+R62+U62+V62+Y62+Z62+AC62+AD62+AG62+AH62+AK62+AL62+AO62+AP62+AS62+AT62+AW62+AX62+BA62+BB62+BE62+BF62+BI62+BJ62</f>
        <v>7</v>
      </c>
      <c r="BP52" s="303">
        <f>E52+I52+M52+Q52+U52+Y52+AC52+AG52+AK52+AO52+AS52+AW52+BA52+BE52+BI52+E62+I62+M62+Q62+U62+Y62+AC62+AG62+AK62+AO62+AS62+AW62+BA62+BE62+BI62</f>
        <v>2</v>
      </c>
      <c r="BQ52" s="303">
        <f t="shared" si="5"/>
        <v>5</v>
      </c>
      <c r="BR52" s="303">
        <f t="shared" si="6"/>
        <v>8</v>
      </c>
      <c r="BS52" s="319" t="s">
        <v>178</v>
      </c>
      <c r="BT52" s="316"/>
      <c r="BU52" s="316"/>
      <c r="BV52" s="317"/>
      <c r="BW52" s="317"/>
      <c r="BX52" s="317"/>
      <c r="BY52" s="318"/>
    </row>
    <row r="53" spans="1:77" ht="54.95" customHeight="1">
      <c r="A53" s="377" t="s">
        <v>48</v>
      </c>
      <c r="B53" s="378"/>
      <c r="C53" s="32">
        <f>SUM(C18:C21)</f>
        <v>0</v>
      </c>
      <c r="D53" s="33">
        <f t="shared" ref="D53:BJ53" si="8">SUM(D18:D21)</f>
        <v>0</v>
      </c>
      <c r="E53" s="34">
        <f t="shared" si="8"/>
        <v>0</v>
      </c>
      <c r="F53" s="35">
        <f t="shared" si="8"/>
        <v>0</v>
      </c>
      <c r="G53" s="36">
        <f t="shared" si="8"/>
        <v>0</v>
      </c>
      <c r="H53" s="33">
        <f t="shared" si="8"/>
        <v>0</v>
      </c>
      <c r="I53" s="34">
        <f t="shared" si="8"/>
        <v>0</v>
      </c>
      <c r="J53" s="37">
        <f t="shared" si="8"/>
        <v>0</v>
      </c>
      <c r="K53" s="36">
        <f t="shared" si="8"/>
        <v>3</v>
      </c>
      <c r="L53" s="33">
        <f t="shared" si="8"/>
        <v>0</v>
      </c>
      <c r="M53" s="34">
        <f t="shared" si="8"/>
        <v>0</v>
      </c>
      <c r="N53" s="35">
        <f t="shared" si="8"/>
        <v>0</v>
      </c>
      <c r="O53" s="36">
        <f t="shared" si="8"/>
        <v>0</v>
      </c>
      <c r="P53" s="33">
        <f t="shared" si="8"/>
        <v>0</v>
      </c>
      <c r="Q53" s="34">
        <f t="shared" si="8"/>
        <v>0</v>
      </c>
      <c r="R53" s="37">
        <f t="shared" si="8"/>
        <v>0</v>
      </c>
      <c r="S53" s="36">
        <f t="shared" si="8"/>
        <v>0</v>
      </c>
      <c r="T53" s="33">
        <f t="shared" si="8"/>
        <v>0</v>
      </c>
      <c r="U53" s="34">
        <f t="shared" si="8"/>
        <v>0</v>
      </c>
      <c r="V53" s="35">
        <f t="shared" si="8"/>
        <v>0</v>
      </c>
      <c r="W53" s="36">
        <f t="shared" si="8"/>
        <v>0</v>
      </c>
      <c r="X53" s="33">
        <f t="shared" si="8"/>
        <v>0</v>
      </c>
      <c r="Y53" s="34">
        <f t="shared" si="8"/>
        <v>0</v>
      </c>
      <c r="Z53" s="35">
        <f t="shared" si="8"/>
        <v>0</v>
      </c>
      <c r="AA53" s="36">
        <f t="shared" si="8"/>
        <v>0</v>
      </c>
      <c r="AB53" s="33">
        <f t="shared" si="8"/>
        <v>0</v>
      </c>
      <c r="AC53" s="34">
        <f t="shared" si="8"/>
        <v>0</v>
      </c>
      <c r="AD53" s="37">
        <f t="shared" si="8"/>
        <v>0</v>
      </c>
      <c r="AE53" s="36">
        <f t="shared" si="8"/>
        <v>0</v>
      </c>
      <c r="AF53" s="33">
        <f t="shared" si="8"/>
        <v>1</v>
      </c>
      <c r="AG53" s="34">
        <f t="shared" si="8"/>
        <v>0</v>
      </c>
      <c r="AH53" s="37">
        <f t="shared" si="8"/>
        <v>0</v>
      </c>
      <c r="AI53" s="36">
        <f t="shared" si="8"/>
        <v>0</v>
      </c>
      <c r="AJ53" s="33">
        <f t="shared" si="8"/>
        <v>1</v>
      </c>
      <c r="AK53" s="34">
        <f t="shared" si="8"/>
        <v>0</v>
      </c>
      <c r="AL53" s="37">
        <f t="shared" si="8"/>
        <v>0</v>
      </c>
      <c r="AM53" s="36">
        <f t="shared" si="8"/>
        <v>0</v>
      </c>
      <c r="AN53" s="33">
        <f t="shared" si="8"/>
        <v>0</v>
      </c>
      <c r="AO53" s="34">
        <f t="shared" si="8"/>
        <v>0</v>
      </c>
      <c r="AP53" s="37">
        <f t="shared" si="8"/>
        <v>0</v>
      </c>
      <c r="AQ53" s="36">
        <f t="shared" si="8"/>
        <v>0</v>
      </c>
      <c r="AR53" s="33">
        <f t="shared" si="8"/>
        <v>0</v>
      </c>
      <c r="AS53" s="34">
        <f t="shared" si="8"/>
        <v>0</v>
      </c>
      <c r="AT53" s="35">
        <f t="shared" si="8"/>
        <v>0</v>
      </c>
      <c r="AU53" s="36">
        <f t="shared" si="8"/>
        <v>0</v>
      </c>
      <c r="AV53" s="33">
        <f t="shared" si="8"/>
        <v>0</v>
      </c>
      <c r="AW53" s="34">
        <f t="shared" si="8"/>
        <v>0</v>
      </c>
      <c r="AX53" s="35">
        <f t="shared" si="8"/>
        <v>0</v>
      </c>
      <c r="AY53" s="36">
        <f t="shared" si="8"/>
        <v>0</v>
      </c>
      <c r="AZ53" s="33">
        <f t="shared" si="8"/>
        <v>0</v>
      </c>
      <c r="BA53" s="34">
        <f t="shared" si="8"/>
        <v>0</v>
      </c>
      <c r="BB53" s="37">
        <f t="shared" si="8"/>
        <v>1</v>
      </c>
      <c r="BC53" s="36">
        <f t="shared" si="8"/>
        <v>0</v>
      </c>
      <c r="BD53" s="33">
        <f t="shared" si="8"/>
        <v>0</v>
      </c>
      <c r="BE53" s="34">
        <f t="shared" si="8"/>
        <v>0</v>
      </c>
      <c r="BF53" s="37">
        <f t="shared" si="8"/>
        <v>0</v>
      </c>
      <c r="BG53" s="36">
        <f t="shared" si="8"/>
        <v>0</v>
      </c>
      <c r="BH53" s="33">
        <f t="shared" si="8"/>
        <v>0</v>
      </c>
      <c r="BI53" s="34">
        <f t="shared" si="8"/>
        <v>0</v>
      </c>
      <c r="BJ53" s="35">
        <f t="shared" si="8"/>
        <v>0</v>
      </c>
      <c r="BK53" s="366" t="str">
        <f t="shared" si="3"/>
        <v>8:00 à 9:00</v>
      </c>
      <c r="BL53" s="367"/>
      <c r="BM53" s="47">
        <f>SUM(C53:BJ53)+SUM(C63:BJ63)</f>
        <v>17</v>
      </c>
      <c r="BN53" s="303">
        <f t="shared" si="4"/>
        <v>4</v>
      </c>
      <c r="BO53" s="303">
        <f>E53+F53+I53+J53+M53+N53+Q53+R53+U53+V53+Y53+Z53+AC53+AD53+AG53+AH53+AK53+AL53+AO53+AP53+AS53+AT53+AW53+AX53+BA53+BB53+BE53+BF53+BI53+BJ53+E63+F63+I63+J63+M63+N63+Q63+R63+U63+V63+Y63+Z63+AC63+AD63+AG63+AH63+AK63+AL63+AO63+AP63+AS63+AT63+AW63+AX63+BA63+BB63+BE63+BF63+BI63+BJ63</f>
        <v>9</v>
      </c>
      <c r="BP53" s="303">
        <f>E53+I53+M53+Q53+U53+Y53+AC53+AG53+AK53+AO53+AS53+AW53+BA53+BE53+BI53+E63+I63+M63+Q63+U63+Y63+AC63+AG63+AK63+AO63+AS63+AW63+BA63+BE63+BI63</f>
        <v>1</v>
      </c>
      <c r="BQ53" s="303">
        <f t="shared" si="5"/>
        <v>7</v>
      </c>
      <c r="BR53" s="303">
        <f>SUM(S53:V53)+SUM(AI53:AL53)+SUM(AY53:BB53)+SUM(G63:J63)+SUM(W63:Z63)+SUM(AQ63:BJ63)</f>
        <v>12</v>
      </c>
      <c r="BS53" s="319" t="s">
        <v>155</v>
      </c>
      <c r="BT53" s="316"/>
      <c r="BU53" s="316"/>
      <c r="BV53" s="317"/>
      <c r="BW53" s="317"/>
      <c r="BX53" s="317"/>
      <c r="BY53" s="318"/>
    </row>
    <row r="54" spans="1:77" ht="54.95" customHeight="1">
      <c r="A54" s="406" t="s">
        <v>13</v>
      </c>
      <c r="B54" s="407"/>
      <c r="C54" s="38">
        <f t="shared" ref="C54:G54" si="9">C50+C51+C53</f>
        <v>0</v>
      </c>
      <c r="D54" s="39">
        <f t="shared" si="9"/>
        <v>0</v>
      </c>
      <c r="E54" s="40">
        <f t="shared" si="9"/>
        <v>0</v>
      </c>
      <c r="F54" s="41">
        <f t="shared" si="9"/>
        <v>0</v>
      </c>
      <c r="G54" s="42">
        <f t="shared" si="9"/>
        <v>0</v>
      </c>
      <c r="H54" s="39">
        <f>H50+H51+H53</f>
        <v>1</v>
      </c>
      <c r="I54" s="40">
        <f t="shared" ref="I54:BJ54" si="10">I50+I51+I53</f>
        <v>0</v>
      </c>
      <c r="J54" s="43">
        <f t="shared" si="10"/>
        <v>0</v>
      </c>
      <c r="K54" s="42">
        <f t="shared" si="10"/>
        <v>3</v>
      </c>
      <c r="L54" s="39">
        <f t="shared" si="10"/>
        <v>0</v>
      </c>
      <c r="M54" s="40">
        <f t="shared" si="10"/>
        <v>0</v>
      </c>
      <c r="N54" s="41">
        <f t="shared" si="10"/>
        <v>0</v>
      </c>
      <c r="O54" s="42">
        <f t="shared" si="10"/>
        <v>0</v>
      </c>
      <c r="P54" s="39">
        <f t="shared" si="10"/>
        <v>0</v>
      </c>
      <c r="Q54" s="40">
        <f t="shared" si="10"/>
        <v>0</v>
      </c>
      <c r="R54" s="43">
        <f t="shared" si="10"/>
        <v>0</v>
      </c>
      <c r="S54" s="42">
        <f t="shared" si="10"/>
        <v>0</v>
      </c>
      <c r="T54" s="39">
        <f t="shared" si="10"/>
        <v>0</v>
      </c>
      <c r="U54" s="40">
        <f t="shared" si="10"/>
        <v>0</v>
      </c>
      <c r="V54" s="41">
        <f t="shared" si="10"/>
        <v>0</v>
      </c>
      <c r="W54" s="42">
        <f t="shared" si="10"/>
        <v>0</v>
      </c>
      <c r="X54" s="39">
        <f t="shared" si="10"/>
        <v>1</v>
      </c>
      <c r="Y54" s="40">
        <f t="shared" si="10"/>
        <v>0</v>
      </c>
      <c r="Z54" s="41">
        <f t="shared" si="10"/>
        <v>0</v>
      </c>
      <c r="AA54" s="42">
        <f t="shared" si="10"/>
        <v>1</v>
      </c>
      <c r="AB54" s="39">
        <f t="shared" si="10"/>
        <v>1</v>
      </c>
      <c r="AC54" s="40">
        <f t="shared" si="10"/>
        <v>0</v>
      </c>
      <c r="AD54" s="43">
        <f t="shared" si="10"/>
        <v>0</v>
      </c>
      <c r="AE54" s="42">
        <f t="shared" si="10"/>
        <v>0</v>
      </c>
      <c r="AF54" s="39">
        <f t="shared" si="10"/>
        <v>2</v>
      </c>
      <c r="AG54" s="40">
        <f t="shared" si="10"/>
        <v>0</v>
      </c>
      <c r="AH54" s="43">
        <f t="shared" si="10"/>
        <v>0</v>
      </c>
      <c r="AI54" s="42">
        <f t="shared" si="10"/>
        <v>0</v>
      </c>
      <c r="AJ54" s="39">
        <f t="shared" si="10"/>
        <v>1</v>
      </c>
      <c r="AK54" s="40">
        <f t="shared" si="10"/>
        <v>0</v>
      </c>
      <c r="AL54" s="43">
        <f t="shared" si="10"/>
        <v>0</v>
      </c>
      <c r="AM54" s="42">
        <f t="shared" si="10"/>
        <v>0</v>
      </c>
      <c r="AN54" s="39">
        <f t="shared" si="10"/>
        <v>0</v>
      </c>
      <c r="AO54" s="40">
        <f t="shared" si="10"/>
        <v>0</v>
      </c>
      <c r="AP54" s="43">
        <f t="shared" si="10"/>
        <v>0</v>
      </c>
      <c r="AQ54" s="42">
        <f t="shared" si="10"/>
        <v>0</v>
      </c>
      <c r="AR54" s="39">
        <f t="shared" si="10"/>
        <v>0</v>
      </c>
      <c r="AS54" s="40">
        <f t="shared" si="10"/>
        <v>0</v>
      </c>
      <c r="AT54" s="41">
        <f t="shared" si="10"/>
        <v>0</v>
      </c>
      <c r="AU54" s="42">
        <f t="shared" si="10"/>
        <v>0</v>
      </c>
      <c r="AV54" s="39">
        <f t="shared" si="10"/>
        <v>0</v>
      </c>
      <c r="AW54" s="40">
        <f t="shared" si="10"/>
        <v>0</v>
      </c>
      <c r="AX54" s="41">
        <f t="shared" si="10"/>
        <v>0</v>
      </c>
      <c r="AY54" s="42">
        <f t="shared" si="10"/>
        <v>0</v>
      </c>
      <c r="AZ54" s="39">
        <f t="shared" si="10"/>
        <v>0</v>
      </c>
      <c r="BA54" s="40">
        <f t="shared" si="10"/>
        <v>0</v>
      </c>
      <c r="BB54" s="43">
        <f t="shared" si="10"/>
        <v>1</v>
      </c>
      <c r="BC54" s="42">
        <f t="shared" si="10"/>
        <v>0</v>
      </c>
      <c r="BD54" s="39">
        <f t="shared" si="10"/>
        <v>0</v>
      </c>
      <c r="BE54" s="40">
        <f t="shared" si="10"/>
        <v>0</v>
      </c>
      <c r="BF54" s="43">
        <f t="shared" si="10"/>
        <v>0</v>
      </c>
      <c r="BG54" s="42">
        <f t="shared" si="10"/>
        <v>0</v>
      </c>
      <c r="BH54" s="39">
        <f t="shared" si="10"/>
        <v>0</v>
      </c>
      <c r="BI54" s="40">
        <f t="shared" si="10"/>
        <v>0</v>
      </c>
      <c r="BJ54" s="41">
        <f t="shared" si="10"/>
        <v>0</v>
      </c>
      <c r="BK54" s="383" t="s">
        <v>13</v>
      </c>
      <c r="BL54" s="384"/>
      <c r="BM54" s="328">
        <f>SUM(C54:BJ54)+SUM(C64:BJ64)</f>
        <v>27</v>
      </c>
      <c r="BN54" s="330">
        <f>BN53+BN51+BN50</f>
        <v>7</v>
      </c>
      <c r="BO54" s="330">
        <f t="shared" ref="BO54:BP54" si="11">BO53+BO51+BO50</f>
        <v>13</v>
      </c>
      <c r="BP54" s="330">
        <f t="shared" si="11"/>
        <v>3</v>
      </c>
      <c r="BQ54" s="329">
        <f t="shared" si="5"/>
        <v>12</v>
      </c>
      <c r="BR54" s="329">
        <f>BR50+BR51+BR53</f>
        <v>14</v>
      </c>
      <c r="BS54" s="319"/>
      <c r="BT54" s="316"/>
      <c r="BU54" s="316"/>
      <c r="BV54" s="317"/>
      <c r="BW54" s="317"/>
      <c r="BX54" s="317"/>
      <c r="BY54" s="318"/>
    </row>
    <row r="55" spans="1:77" ht="32.25" customHeight="1" thickBot="1">
      <c r="A55" s="55"/>
      <c r="B55" s="55"/>
      <c r="C55" s="309"/>
      <c r="D55" s="305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10"/>
      <c r="W55" s="311"/>
      <c r="X55" s="305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  <c r="AK55" s="305"/>
      <c r="AL55" s="305"/>
      <c r="AM55" s="305"/>
      <c r="AN55" s="305"/>
      <c r="AO55" s="305"/>
      <c r="AP55" s="305"/>
      <c r="AQ55" s="311"/>
      <c r="AR55" s="305"/>
      <c r="AS55" s="305"/>
      <c r="AT55" s="310"/>
      <c r="AU55" s="311"/>
      <c r="AV55" s="305"/>
      <c r="AW55" s="305"/>
      <c r="AX55" s="310"/>
      <c r="AY55" s="311"/>
      <c r="AZ55" s="305"/>
      <c r="BA55" s="305"/>
      <c r="BB55" s="305"/>
      <c r="BC55" s="311"/>
      <c r="BD55" s="305"/>
      <c r="BE55" s="305"/>
      <c r="BF55" s="305"/>
      <c r="BG55" s="311"/>
      <c r="BH55" s="305"/>
      <c r="BI55" s="305"/>
      <c r="BJ55" s="305"/>
      <c r="BK55" s="360" t="str">
        <f>IF($BM$50=MAX($BM$50:$BM$53),BK50,IF($BM$51=MAX($BM$50:$BM$53),BK51,IF($BM$52=MAX($BM$50:$BM$53),BK52,IF($BM$53=MAX($BM$50:$BM$53),A53,BK53))))</f>
        <v>8:00 à 9:00</v>
      </c>
      <c r="BL55" s="361"/>
      <c r="BM55" s="314">
        <f t="shared" ref="BM55:BR55" si="12">IF($BM$50=MAX($BM$50:$BM$53),BM50,IF($BM$51=MAX($BM$50:$BM$53),BM51,IF($BM$52=MAX($BM$50:$BM$53),BM52,IF($BM$53=MAX($BM$50:$BM$53),BM53,BM53))))</f>
        <v>17</v>
      </c>
      <c r="BN55" s="315">
        <f t="shared" si="12"/>
        <v>4</v>
      </c>
      <c r="BO55" s="315">
        <f t="shared" si="12"/>
        <v>9</v>
      </c>
      <c r="BP55" s="315">
        <f t="shared" si="12"/>
        <v>1</v>
      </c>
      <c r="BQ55" s="315">
        <f t="shared" si="12"/>
        <v>7</v>
      </c>
      <c r="BR55" s="315">
        <f t="shared" si="12"/>
        <v>12</v>
      </c>
      <c r="BS55" s="319"/>
      <c r="BT55" s="316"/>
      <c r="BU55" s="316"/>
      <c r="BV55" s="317"/>
      <c r="BW55" s="317"/>
      <c r="BX55" s="317"/>
      <c r="BY55" s="318"/>
    </row>
    <row r="56" spans="1:77" ht="22.7" customHeight="1" thickTop="1">
      <c r="A56" s="20"/>
      <c r="B56" s="21"/>
      <c r="C56" s="425" t="s">
        <v>148</v>
      </c>
      <c r="D56" s="426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7"/>
      <c r="W56" s="428" t="s">
        <v>149</v>
      </c>
      <c r="X56" s="426"/>
      <c r="Y56" s="426"/>
      <c r="Z56" s="426"/>
      <c r="AA56" s="426"/>
      <c r="AB56" s="426"/>
      <c r="AC56" s="426"/>
      <c r="AD56" s="426"/>
      <c r="AE56" s="426"/>
      <c r="AF56" s="426"/>
      <c r="AG56" s="426"/>
      <c r="AH56" s="426"/>
      <c r="AI56" s="426"/>
      <c r="AJ56" s="426"/>
      <c r="AK56" s="426"/>
      <c r="AL56" s="426"/>
      <c r="AM56" s="426"/>
      <c r="AN56" s="426"/>
      <c r="AO56" s="426"/>
      <c r="AP56" s="427"/>
      <c r="AQ56" s="400" t="s">
        <v>150</v>
      </c>
      <c r="AR56" s="400"/>
      <c r="AS56" s="400"/>
      <c r="AT56" s="400"/>
      <c r="AU56" s="400"/>
      <c r="AV56" s="400"/>
      <c r="AW56" s="400"/>
      <c r="AX56" s="400"/>
      <c r="AY56" s="400"/>
      <c r="AZ56" s="400"/>
      <c r="BA56" s="400"/>
      <c r="BB56" s="400"/>
      <c r="BC56" s="400"/>
      <c r="BD56" s="400"/>
      <c r="BE56" s="400"/>
      <c r="BF56" s="400"/>
      <c r="BG56" s="400"/>
      <c r="BH56" s="400"/>
      <c r="BI56" s="400"/>
      <c r="BJ56" s="401"/>
      <c r="BK56" s="20"/>
      <c r="BL56" s="21"/>
      <c r="BM56" s="368" t="s">
        <v>13</v>
      </c>
      <c r="BN56" s="370" t="s">
        <v>15</v>
      </c>
      <c r="BO56" s="370" t="s">
        <v>16</v>
      </c>
      <c r="BP56" s="370" t="s">
        <v>17</v>
      </c>
      <c r="BQ56" s="362" t="str">
        <f>BQ46</f>
        <v>Cycles en direction de Bonneville ou La Roche</v>
      </c>
      <c r="BR56" s="340"/>
      <c r="BS56" s="402" t="s">
        <v>152</v>
      </c>
      <c r="BT56" s="385"/>
      <c r="BU56" s="385"/>
      <c r="BV56" s="385"/>
      <c r="BW56" s="385"/>
      <c r="BX56" s="385"/>
      <c r="BY56" s="414"/>
    </row>
    <row r="57" spans="1:77" ht="18.600000000000001" customHeight="1">
      <c r="A57" s="20"/>
      <c r="B57" s="21"/>
      <c r="C57" s="398" t="s">
        <v>145</v>
      </c>
      <c r="D57" s="395"/>
      <c r="E57" s="395"/>
      <c r="F57" s="395"/>
      <c r="G57" s="398" t="s">
        <v>146</v>
      </c>
      <c r="H57" s="395"/>
      <c r="I57" s="395"/>
      <c r="J57" s="395"/>
      <c r="K57" s="398" t="s">
        <v>147</v>
      </c>
      <c r="L57" s="395"/>
      <c r="M57" s="395"/>
      <c r="N57" s="395"/>
      <c r="O57" s="398" t="s">
        <v>142</v>
      </c>
      <c r="P57" s="395"/>
      <c r="Q57" s="395"/>
      <c r="R57" s="395"/>
      <c r="S57" s="398" t="s">
        <v>143</v>
      </c>
      <c r="T57" s="395"/>
      <c r="U57" s="395"/>
      <c r="V57" s="395"/>
      <c r="W57" s="419" t="s">
        <v>146</v>
      </c>
      <c r="X57" s="420"/>
      <c r="Y57" s="420"/>
      <c r="Z57" s="393"/>
      <c r="AA57" s="419" t="s">
        <v>147</v>
      </c>
      <c r="AB57" s="420"/>
      <c r="AC57" s="420"/>
      <c r="AD57" s="393"/>
      <c r="AE57" s="419" t="s">
        <v>142</v>
      </c>
      <c r="AF57" s="420"/>
      <c r="AG57" s="420"/>
      <c r="AH57" s="393"/>
      <c r="AI57" s="419" t="s">
        <v>143</v>
      </c>
      <c r="AJ57" s="420"/>
      <c r="AK57" s="420"/>
      <c r="AL57" s="393"/>
      <c r="AM57" s="419" t="s">
        <v>144</v>
      </c>
      <c r="AN57" s="420"/>
      <c r="AO57" s="420"/>
      <c r="AP57" s="394"/>
      <c r="AQ57" s="398" t="s">
        <v>147</v>
      </c>
      <c r="AR57" s="395"/>
      <c r="AS57" s="395"/>
      <c r="AT57" s="395"/>
      <c r="AU57" s="398" t="s">
        <v>142</v>
      </c>
      <c r="AV57" s="395"/>
      <c r="AW57" s="395"/>
      <c r="AX57" s="395"/>
      <c r="AY57" s="398" t="s">
        <v>143</v>
      </c>
      <c r="AZ57" s="395"/>
      <c r="BA57" s="395"/>
      <c r="BB57" s="395"/>
      <c r="BC57" s="398" t="s">
        <v>144</v>
      </c>
      <c r="BD57" s="395"/>
      <c r="BE57" s="395"/>
      <c r="BF57" s="395"/>
      <c r="BG57" s="398" t="s">
        <v>145</v>
      </c>
      <c r="BH57" s="395"/>
      <c r="BI57" s="395"/>
      <c r="BJ57" s="395"/>
      <c r="BK57" s="20"/>
      <c r="BL57" s="21"/>
      <c r="BM57" s="369"/>
      <c r="BN57" s="371"/>
      <c r="BO57" s="371"/>
      <c r="BP57" s="371"/>
      <c r="BQ57" s="363"/>
      <c r="BR57" s="341"/>
      <c r="BS57" s="403"/>
      <c r="BT57" s="386"/>
      <c r="BU57" s="386"/>
      <c r="BV57" s="386"/>
      <c r="BW57" s="386"/>
      <c r="BX57" s="386"/>
      <c r="BY57" s="415"/>
    </row>
    <row r="58" spans="1:77" ht="21" thickBot="1">
      <c r="A58" s="20"/>
      <c r="B58" s="21"/>
      <c r="C58" s="417" t="s">
        <v>5</v>
      </c>
      <c r="D58" s="418"/>
      <c r="E58" s="421" t="s">
        <v>6</v>
      </c>
      <c r="F58" s="422"/>
      <c r="G58" s="417" t="s">
        <v>5</v>
      </c>
      <c r="H58" s="418"/>
      <c r="I58" s="421" t="s">
        <v>6</v>
      </c>
      <c r="J58" s="422"/>
      <c r="K58" s="417" t="s">
        <v>5</v>
      </c>
      <c r="L58" s="418"/>
      <c r="M58" s="421" t="s">
        <v>6</v>
      </c>
      <c r="N58" s="423"/>
      <c r="O58" s="424" t="s">
        <v>5</v>
      </c>
      <c r="P58" s="418"/>
      <c r="Q58" s="421" t="s">
        <v>6</v>
      </c>
      <c r="R58" s="423"/>
      <c r="S58" s="424" t="s">
        <v>5</v>
      </c>
      <c r="T58" s="418"/>
      <c r="U58" s="421" t="s">
        <v>6</v>
      </c>
      <c r="V58" s="423"/>
      <c r="W58" s="424" t="s">
        <v>5</v>
      </c>
      <c r="X58" s="418"/>
      <c r="Y58" s="421" t="s">
        <v>6</v>
      </c>
      <c r="Z58" s="422"/>
      <c r="AA58" s="417" t="s">
        <v>5</v>
      </c>
      <c r="AB58" s="418"/>
      <c r="AC58" s="421" t="s">
        <v>6</v>
      </c>
      <c r="AD58" s="423"/>
      <c r="AE58" s="424" t="s">
        <v>5</v>
      </c>
      <c r="AF58" s="418"/>
      <c r="AG58" s="421" t="s">
        <v>6</v>
      </c>
      <c r="AH58" s="422"/>
      <c r="AI58" s="417" t="s">
        <v>5</v>
      </c>
      <c r="AJ58" s="418"/>
      <c r="AK58" s="421" t="s">
        <v>6</v>
      </c>
      <c r="AL58" s="422"/>
      <c r="AM58" s="417" t="s">
        <v>5</v>
      </c>
      <c r="AN58" s="418"/>
      <c r="AO58" s="421" t="s">
        <v>6</v>
      </c>
      <c r="AP58" s="422"/>
      <c r="AQ58" s="417" t="s">
        <v>5</v>
      </c>
      <c r="AR58" s="418"/>
      <c r="AS58" s="421" t="s">
        <v>6</v>
      </c>
      <c r="AT58" s="422"/>
      <c r="AU58" s="417" t="s">
        <v>5</v>
      </c>
      <c r="AV58" s="418"/>
      <c r="AW58" s="421" t="s">
        <v>6</v>
      </c>
      <c r="AX58" s="423"/>
      <c r="AY58" s="424" t="s">
        <v>5</v>
      </c>
      <c r="AZ58" s="418"/>
      <c r="BA58" s="421" t="s">
        <v>6</v>
      </c>
      <c r="BB58" s="423"/>
      <c r="BC58" s="424" t="s">
        <v>5</v>
      </c>
      <c r="BD58" s="418"/>
      <c r="BE58" s="421" t="s">
        <v>6</v>
      </c>
      <c r="BF58" s="423"/>
      <c r="BG58" s="424" t="s">
        <v>5</v>
      </c>
      <c r="BH58" s="418"/>
      <c r="BI58" s="421" t="s">
        <v>6</v>
      </c>
      <c r="BJ58" s="423"/>
      <c r="BK58" s="124"/>
      <c r="BL58" s="21"/>
      <c r="BM58" s="369"/>
      <c r="BN58" s="371"/>
      <c r="BO58" s="371"/>
      <c r="BP58" s="371"/>
      <c r="BQ58" s="363"/>
      <c r="BR58" s="341"/>
      <c r="BS58" s="403"/>
      <c r="BT58" s="386"/>
      <c r="BU58" s="386"/>
      <c r="BV58" s="386"/>
      <c r="BW58" s="386"/>
      <c r="BX58" s="386"/>
      <c r="BY58" s="415"/>
    </row>
    <row r="59" spans="1:77" ht="54.95" customHeight="1" thickTop="1">
      <c r="A59" s="373" t="s">
        <v>14</v>
      </c>
      <c r="B59" s="374"/>
      <c r="C59" s="3" t="s">
        <v>9</v>
      </c>
      <c r="D59" s="4" t="s">
        <v>10</v>
      </c>
      <c r="E59" s="5" t="s">
        <v>9</v>
      </c>
      <c r="F59" s="6" t="s">
        <v>10</v>
      </c>
      <c r="G59" s="3" t="s">
        <v>9</v>
      </c>
      <c r="H59" s="4" t="s">
        <v>10</v>
      </c>
      <c r="I59" s="5" t="s">
        <v>9</v>
      </c>
      <c r="J59" s="6" t="s">
        <v>10</v>
      </c>
      <c r="K59" s="3" t="s">
        <v>9</v>
      </c>
      <c r="L59" s="4" t="s">
        <v>10</v>
      </c>
      <c r="M59" s="5" t="s">
        <v>9</v>
      </c>
      <c r="N59" s="16" t="s">
        <v>10</v>
      </c>
      <c r="O59" s="3" t="s">
        <v>9</v>
      </c>
      <c r="P59" s="4" t="s">
        <v>10</v>
      </c>
      <c r="Q59" s="5" t="s">
        <v>9</v>
      </c>
      <c r="R59" s="16" t="s">
        <v>10</v>
      </c>
      <c r="S59" s="3" t="s">
        <v>9</v>
      </c>
      <c r="T59" s="4" t="s">
        <v>10</v>
      </c>
      <c r="U59" s="5" t="s">
        <v>9</v>
      </c>
      <c r="V59" s="16" t="s">
        <v>10</v>
      </c>
      <c r="W59" s="15" t="s">
        <v>9</v>
      </c>
      <c r="X59" s="4" t="s">
        <v>10</v>
      </c>
      <c r="Y59" s="5" t="s">
        <v>9</v>
      </c>
      <c r="Z59" s="6" t="s">
        <v>10</v>
      </c>
      <c r="AA59" s="3" t="s">
        <v>9</v>
      </c>
      <c r="AB59" s="4" t="s">
        <v>10</v>
      </c>
      <c r="AC59" s="5" t="s">
        <v>9</v>
      </c>
      <c r="AD59" s="16" t="s">
        <v>10</v>
      </c>
      <c r="AE59" s="3" t="s">
        <v>9</v>
      </c>
      <c r="AF59" s="4" t="s">
        <v>10</v>
      </c>
      <c r="AG59" s="5" t="s">
        <v>9</v>
      </c>
      <c r="AH59" s="6" t="s">
        <v>10</v>
      </c>
      <c r="AI59" s="3" t="s">
        <v>9</v>
      </c>
      <c r="AJ59" s="4" t="s">
        <v>10</v>
      </c>
      <c r="AK59" s="5" t="s">
        <v>9</v>
      </c>
      <c r="AL59" s="16" t="s">
        <v>10</v>
      </c>
      <c r="AM59" s="3" t="s">
        <v>9</v>
      </c>
      <c r="AN59" s="4" t="s">
        <v>10</v>
      </c>
      <c r="AO59" s="5" t="s">
        <v>9</v>
      </c>
      <c r="AP59" s="6" t="s">
        <v>10</v>
      </c>
      <c r="AQ59" s="3" t="s">
        <v>9</v>
      </c>
      <c r="AR59" s="4" t="s">
        <v>10</v>
      </c>
      <c r="AS59" s="5" t="s">
        <v>9</v>
      </c>
      <c r="AT59" s="6" t="s">
        <v>10</v>
      </c>
      <c r="AU59" s="3" t="s">
        <v>9</v>
      </c>
      <c r="AV59" s="4" t="s">
        <v>10</v>
      </c>
      <c r="AW59" s="5" t="s">
        <v>9</v>
      </c>
      <c r="AX59" s="16" t="s">
        <v>10</v>
      </c>
      <c r="AY59" s="3" t="s">
        <v>9</v>
      </c>
      <c r="AZ59" s="4" t="s">
        <v>10</v>
      </c>
      <c r="BA59" s="5" t="s">
        <v>9</v>
      </c>
      <c r="BB59" s="16" t="s">
        <v>10</v>
      </c>
      <c r="BC59" s="3" t="s">
        <v>9</v>
      </c>
      <c r="BD59" s="4" t="s">
        <v>10</v>
      </c>
      <c r="BE59" s="5" t="s">
        <v>9</v>
      </c>
      <c r="BF59" s="16" t="s">
        <v>10</v>
      </c>
      <c r="BG59" s="3" t="s">
        <v>9</v>
      </c>
      <c r="BH59" s="4" t="s">
        <v>10</v>
      </c>
      <c r="BI59" s="5" t="s">
        <v>9</v>
      </c>
      <c r="BJ59" s="16" t="s">
        <v>10</v>
      </c>
      <c r="BK59" s="364" t="s">
        <v>14</v>
      </c>
      <c r="BL59" s="365"/>
      <c r="BM59" s="369"/>
      <c r="BN59" s="372"/>
      <c r="BO59" s="372"/>
      <c r="BP59" s="372"/>
      <c r="BQ59" s="363"/>
      <c r="BR59" s="341"/>
      <c r="BS59" s="404"/>
      <c r="BT59" s="405"/>
      <c r="BU59" s="405"/>
      <c r="BV59" s="405"/>
      <c r="BW59" s="405"/>
      <c r="BX59" s="405"/>
      <c r="BY59" s="416"/>
    </row>
    <row r="60" spans="1:77" ht="54.95" customHeight="1">
      <c r="A60" s="375" t="s">
        <v>175</v>
      </c>
      <c r="B60" s="376"/>
      <c r="C60" s="26">
        <f>SUM(C26:C27)</f>
        <v>0</v>
      </c>
      <c r="D60" s="27">
        <f t="shared" ref="D60:BJ60" si="13">SUM(D26:D27)</f>
        <v>0</v>
      </c>
      <c r="E60" s="28">
        <f t="shared" si="13"/>
        <v>0</v>
      </c>
      <c r="F60" s="29">
        <f t="shared" si="13"/>
        <v>0</v>
      </c>
      <c r="G60" s="30">
        <f t="shared" si="13"/>
        <v>0</v>
      </c>
      <c r="H60" s="27">
        <f t="shared" si="13"/>
        <v>0</v>
      </c>
      <c r="I60" s="28">
        <f t="shared" si="13"/>
        <v>0</v>
      </c>
      <c r="J60" s="31">
        <f t="shared" si="13"/>
        <v>0</v>
      </c>
      <c r="K60" s="30">
        <f t="shared" si="13"/>
        <v>0</v>
      </c>
      <c r="L60" s="27">
        <f t="shared" si="13"/>
        <v>0</v>
      </c>
      <c r="M60" s="28">
        <f t="shared" si="13"/>
        <v>0</v>
      </c>
      <c r="N60" s="29">
        <f t="shared" si="13"/>
        <v>0</v>
      </c>
      <c r="O60" s="30">
        <f t="shared" si="13"/>
        <v>0</v>
      </c>
      <c r="P60" s="27">
        <f t="shared" si="13"/>
        <v>1</v>
      </c>
      <c r="Q60" s="28">
        <f t="shared" si="13"/>
        <v>0</v>
      </c>
      <c r="R60" s="31">
        <f t="shared" si="13"/>
        <v>0</v>
      </c>
      <c r="S60" s="30">
        <f t="shared" si="13"/>
        <v>0</v>
      </c>
      <c r="T60" s="27">
        <f t="shared" si="13"/>
        <v>0</v>
      </c>
      <c r="U60" s="28">
        <f t="shared" si="13"/>
        <v>0</v>
      </c>
      <c r="V60" s="29">
        <f t="shared" si="13"/>
        <v>0</v>
      </c>
      <c r="W60" s="30">
        <f t="shared" si="13"/>
        <v>0</v>
      </c>
      <c r="X60" s="27">
        <f t="shared" si="13"/>
        <v>0</v>
      </c>
      <c r="Y60" s="28">
        <f t="shared" si="13"/>
        <v>0</v>
      </c>
      <c r="Z60" s="29">
        <f t="shared" si="13"/>
        <v>0</v>
      </c>
      <c r="AA60" s="30">
        <f t="shared" si="13"/>
        <v>0</v>
      </c>
      <c r="AB60" s="27">
        <f t="shared" si="13"/>
        <v>0</v>
      </c>
      <c r="AC60" s="28">
        <f t="shared" si="13"/>
        <v>0</v>
      </c>
      <c r="AD60" s="31">
        <f t="shared" si="13"/>
        <v>0</v>
      </c>
      <c r="AE60" s="30">
        <f t="shared" si="13"/>
        <v>0</v>
      </c>
      <c r="AF60" s="27">
        <f t="shared" si="13"/>
        <v>0</v>
      </c>
      <c r="AG60" s="28">
        <f t="shared" si="13"/>
        <v>0</v>
      </c>
      <c r="AH60" s="31">
        <f t="shared" si="13"/>
        <v>0</v>
      </c>
      <c r="AI60" s="30">
        <f t="shared" si="13"/>
        <v>0</v>
      </c>
      <c r="AJ60" s="27">
        <f t="shared" si="13"/>
        <v>0</v>
      </c>
      <c r="AK60" s="28">
        <f t="shared" si="13"/>
        <v>0</v>
      </c>
      <c r="AL60" s="31">
        <f t="shared" si="13"/>
        <v>0</v>
      </c>
      <c r="AM60" s="30">
        <f t="shared" si="13"/>
        <v>0</v>
      </c>
      <c r="AN60" s="27">
        <f t="shared" si="13"/>
        <v>0</v>
      </c>
      <c r="AO60" s="28">
        <f t="shared" si="13"/>
        <v>0</v>
      </c>
      <c r="AP60" s="31">
        <f t="shared" si="13"/>
        <v>0</v>
      </c>
      <c r="AQ60" s="30">
        <f t="shared" si="13"/>
        <v>0</v>
      </c>
      <c r="AR60" s="27">
        <f t="shared" si="13"/>
        <v>0</v>
      </c>
      <c r="AS60" s="28">
        <f t="shared" si="13"/>
        <v>0</v>
      </c>
      <c r="AT60" s="29">
        <f t="shared" si="13"/>
        <v>0</v>
      </c>
      <c r="AU60" s="30">
        <f t="shared" si="13"/>
        <v>0</v>
      </c>
      <c r="AV60" s="27">
        <f t="shared" si="13"/>
        <v>0</v>
      </c>
      <c r="AW60" s="28">
        <f t="shared" si="13"/>
        <v>0</v>
      </c>
      <c r="AX60" s="29">
        <f t="shared" si="13"/>
        <v>0</v>
      </c>
      <c r="AY60" s="30">
        <f t="shared" si="13"/>
        <v>0</v>
      </c>
      <c r="AZ60" s="27">
        <f t="shared" si="13"/>
        <v>0</v>
      </c>
      <c r="BA60" s="28">
        <f t="shared" si="13"/>
        <v>0</v>
      </c>
      <c r="BB60" s="31">
        <f t="shared" si="13"/>
        <v>0</v>
      </c>
      <c r="BC60" s="30">
        <f t="shared" si="13"/>
        <v>0</v>
      </c>
      <c r="BD60" s="27">
        <f t="shared" si="13"/>
        <v>0</v>
      </c>
      <c r="BE60" s="28">
        <f t="shared" si="13"/>
        <v>0</v>
      </c>
      <c r="BF60" s="31">
        <f t="shared" si="13"/>
        <v>0</v>
      </c>
      <c r="BG60" s="30">
        <f t="shared" si="13"/>
        <v>0</v>
      </c>
      <c r="BH60" s="27">
        <f t="shared" si="13"/>
        <v>0</v>
      </c>
      <c r="BI60" s="28">
        <f t="shared" si="13"/>
        <v>0</v>
      </c>
      <c r="BJ60" s="29">
        <f t="shared" si="13"/>
        <v>0</v>
      </c>
      <c r="BK60" s="366" t="str">
        <f>A60</f>
        <v>6:30 à 7:00</v>
      </c>
      <c r="BL60" s="367"/>
      <c r="BM60" s="47"/>
      <c r="BN60" s="304">
        <f>IF(BN50=0,0,BN50/BM50)</f>
        <v>0</v>
      </c>
      <c r="BO60" s="304">
        <f>IF(BO50=0,0,BO50/BM50)</f>
        <v>0</v>
      </c>
      <c r="BP60" s="304">
        <f>IF(BP50=0,0,BP50/BN50)</f>
        <v>0</v>
      </c>
      <c r="BQ60" s="304">
        <f>IF(BQ50=0,0,BQ50/BM50)</f>
        <v>0.5</v>
      </c>
      <c r="BR60" s="342"/>
      <c r="BS60" s="319"/>
      <c r="BT60" s="316"/>
      <c r="BU60" s="316"/>
      <c r="BV60" s="317"/>
      <c r="BW60" s="317"/>
      <c r="BX60" s="317"/>
      <c r="BY60" s="318"/>
    </row>
    <row r="61" spans="1:77" ht="54.95" customHeight="1">
      <c r="A61" s="377" t="s">
        <v>46</v>
      </c>
      <c r="B61" s="378"/>
      <c r="C61" s="32">
        <f t="shared" ref="C61:AH61" si="14">SUM(C28:C31)</f>
        <v>0</v>
      </c>
      <c r="D61" s="33">
        <f t="shared" si="14"/>
        <v>0</v>
      </c>
      <c r="E61" s="34">
        <f t="shared" si="14"/>
        <v>0</v>
      </c>
      <c r="F61" s="35">
        <f t="shared" si="14"/>
        <v>0</v>
      </c>
      <c r="G61" s="36">
        <f t="shared" si="14"/>
        <v>0</v>
      </c>
      <c r="H61" s="33">
        <f t="shared" si="14"/>
        <v>0</v>
      </c>
      <c r="I61" s="34">
        <f t="shared" si="14"/>
        <v>0</v>
      </c>
      <c r="J61" s="37">
        <f t="shared" si="14"/>
        <v>0</v>
      </c>
      <c r="K61" s="36">
        <f t="shared" si="14"/>
        <v>0</v>
      </c>
      <c r="L61" s="33">
        <f t="shared" si="14"/>
        <v>0</v>
      </c>
      <c r="M61" s="34">
        <f t="shared" si="14"/>
        <v>0</v>
      </c>
      <c r="N61" s="35">
        <f t="shared" si="14"/>
        <v>0</v>
      </c>
      <c r="O61" s="36">
        <f t="shared" si="14"/>
        <v>0</v>
      </c>
      <c r="P61" s="33">
        <f t="shared" si="14"/>
        <v>0</v>
      </c>
      <c r="Q61" s="34">
        <f t="shared" si="14"/>
        <v>0</v>
      </c>
      <c r="R61" s="37">
        <f t="shared" si="14"/>
        <v>0</v>
      </c>
      <c r="S61" s="36">
        <f t="shared" si="14"/>
        <v>0</v>
      </c>
      <c r="T61" s="33">
        <f t="shared" si="14"/>
        <v>0</v>
      </c>
      <c r="U61" s="34">
        <f t="shared" si="14"/>
        <v>0</v>
      </c>
      <c r="V61" s="35">
        <f t="shared" si="14"/>
        <v>0</v>
      </c>
      <c r="W61" s="36">
        <f t="shared" si="14"/>
        <v>0</v>
      </c>
      <c r="X61" s="33">
        <f t="shared" si="14"/>
        <v>0</v>
      </c>
      <c r="Y61" s="34">
        <f t="shared" si="14"/>
        <v>0</v>
      </c>
      <c r="Z61" s="35">
        <f t="shared" si="14"/>
        <v>0</v>
      </c>
      <c r="AA61" s="36">
        <f t="shared" si="14"/>
        <v>0</v>
      </c>
      <c r="AB61" s="33">
        <f t="shared" si="14"/>
        <v>0</v>
      </c>
      <c r="AC61" s="34">
        <f t="shared" si="14"/>
        <v>0</v>
      </c>
      <c r="AD61" s="37">
        <f t="shared" si="14"/>
        <v>0</v>
      </c>
      <c r="AE61" s="36">
        <f t="shared" si="14"/>
        <v>0</v>
      </c>
      <c r="AF61" s="33">
        <f t="shared" si="14"/>
        <v>0</v>
      </c>
      <c r="AG61" s="34">
        <f t="shared" si="14"/>
        <v>1</v>
      </c>
      <c r="AH61" s="37">
        <f t="shared" si="14"/>
        <v>1</v>
      </c>
      <c r="AI61" s="36">
        <f t="shared" ref="AI61:BJ61" si="15">SUM(AI28:AI31)</f>
        <v>0</v>
      </c>
      <c r="AJ61" s="33">
        <f t="shared" si="15"/>
        <v>0</v>
      </c>
      <c r="AK61" s="34">
        <f t="shared" si="15"/>
        <v>0</v>
      </c>
      <c r="AL61" s="37">
        <f t="shared" si="15"/>
        <v>0</v>
      </c>
      <c r="AM61" s="36">
        <f t="shared" si="15"/>
        <v>0</v>
      </c>
      <c r="AN61" s="33">
        <f t="shared" si="15"/>
        <v>0</v>
      </c>
      <c r="AO61" s="34">
        <f t="shared" si="15"/>
        <v>0</v>
      </c>
      <c r="AP61" s="37">
        <f t="shared" si="15"/>
        <v>0</v>
      </c>
      <c r="AQ61" s="36">
        <f t="shared" si="15"/>
        <v>0</v>
      </c>
      <c r="AR61" s="33">
        <f t="shared" si="15"/>
        <v>0</v>
      </c>
      <c r="AS61" s="34">
        <f t="shared" si="15"/>
        <v>0</v>
      </c>
      <c r="AT61" s="35">
        <f t="shared" si="15"/>
        <v>1</v>
      </c>
      <c r="AU61" s="36">
        <f t="shared" si="15"/>
        <v>0</v>
      </c>
      <c r="AV61" s="33">
        <f t="shared" si="15"/>
        <v>0</v>
      </c>
      <c r="AW61" s="34">
        <f t="shared" si="15"/>
        <v>1</v>
      </c>
      <c r="AX61" s="35">
        <f t="shared" si="15"/>
        <v>0</v>
      </c>
      <c r="AY61" s="36">
        <f t="shared" si="15"/>
        <v>0</v>
      </c>
      <c r="AZ61" s="33">
        <f t="shared" si="15"/>
        <v>0</v>
      </c>
      <c r="BA61" s="34">
        <f t="shared" si="15"/>
        <v>0</v>
      </c>
      <c r="BB61" s="37">
        <f t="shared" si="15"/>
        <v>0</v>
      </c>
      <c r="BC61" s="36">
        <f t="shared" si="15"/>
        <v>0</v>
      </c>
      <c r="BD61" s="33">
        <f t="shared" si="15"/>
        <v>0</v>
      </c>
      <c r="BE61" s="34">
        <f t="shared" si="15"/>
        <v>0</v>
      </c>
      <c r="BF61" s="37">
        <f t="shared" si="15"/>
        <v>0</v>
      </c>
      <c r="BG61" s="36">
        <f t="shared" si="15"/>
        <v>0</v>
      </c>
      <c r="BH61" s="33">
        <f t="shared" si="15"/>
        <v>0</v>
      </c>
      <c r="BI61" s="34">
        <f t="shared" si="15"/>
        <v>0</v>
      </c>
      <c r="BJ61" s="35">
        <f t="shared" si="15"/>
        <v>0</v>
      </c>
      <c r="BK61" s="366" t="str">
        <f t="shared" ref="BK61:BK63" si="16">A61</f>
        <v>7:00 à 8:00</v>
      </c>
      <c r="BL61" s="367"/>
      <c r="BM61" s="47"/>
      <c r="BN61" s="304">
        <f t="shared" ref="BN61:BN64" si="17">IF(BN51=0,0,BN51/BM51)</f>
        <v>0.375</v>
      </c>
      <c r="BO61" s="304">
        <f t="shared" ref="BO61:BO64" si="18">IF(BO51=0,0,BO51/BM51)</f>
        <v>0.5</v>
      </c>
      <c r="BP61" s="304">
        <f>IF(BP51=0,0,BP51/BN51)</f>
        <v>0.66666666666666663</v>
      </c>
      <c r="BQ61" s="304">
        <f t="shared" ref="BQ61:BQ64" si="19">IF(BQ51=0,0,BQ51/BM51)</f>
        <v>0.5</v>
      </c>
      <c r="BR61" s="342"/>
      <c r="BS61" s="319"/>
      <c r="BT61" s="316"/>
      <c r="BU61" s="316"/>
      <c r="BV61" s="317"/>
      <c r="BW61" s="317"/>
      <c r="BX61" s="317"/>
      <c r="BY61" s="318"/>
    </row>
    <row r="62" spans="1:77" ht="54.95" customHeight="1">
      <c r="A62" s="377" t="s">
        <v>47</v>
      </c>
      <c r="B62" s="378"/>
      <c r="C62" s="32">
        <f t="shared" ref="C62:AH62" si="20">SUM(C30:C33)</f>
        <v>0</v>
      </c>
      <c r="D62" s="33">
        <f t="shared" si="20"/>
        <v>0</v>
      </c>
      <c r="E62" s="34">
        <f t="shared" si="20"/>
        <v>0</v>
      </c>
      <c r="F62" s="35">
        <f t="shared" si="20"/>
        <v>0</v>
      </c>
      <c r="G62" s="36">
        <f t="shared" si="20"/>
        <v>0</v>
      </c>
      <c r="H62" s="33">
        <f t="shared" si="20"/>
        <v>1</v>
      </c>
      <c r="I62" s="34">
        <f t="shared" si="20"/>
        <v>0</v>
      </c>
      <c r="J62" s="37">
        <f t="shared" si="20"/>
        <v>0</v>
      </c>
      <c r="K62" s="36">
        <f t="shared" si="20"/>
        <v>0</v>
      </c>
      <c r="L62" s="33">
        <f t="shared" si="20"/>
        <v>0</v>
      </c>
      <c r="M62" s="34">
        <f t="shared" si="20"/>
        <v>0</v>
      </c>
      <c r="N62" s="35">
        <f t="shared" si="20"/>
        <v>0</v>
      </c>
      <c r="O62" s="36">
        <f t="shared" si="20"/>
        <v>0</v>
      </c>
      <c r="P62" s="33">
        <f t="shared" si="20"/>
        <v>0</v>
      </c>
      <c r="Q62" s="34">
        <f t="shared" si="20"/>
        <v>0</v>
      </c>
      <c r="R62" s="37">
        <f t="shared" si="20"/>
        <v>0</v>
      </c>
      <c r="S62" s="36">
        <f t="shared" si="20"/>
        <v>0</v>
      </c>
      <c r="T62" s="33">
        <f t="shared" si="20"/>
        <v>0</v>
      </c>
      <c r="U62" s="34">
        <f t="shared" si="20"/>
        <v>0</v>
      </c>
      <c r="V62" s="35">
        <f t="shared" si="20"/>
        <v>0</v>
      </c>
      <c r="W62" s="36">
        <f t="shared" si="20"/>
        <v>0</v>
      </c>
      <c r="X62" s="33">
        <f t="shared" si="20"/>
        <v>0</v>
      </c>
      <c r="Y62" s="34">
        <f t="shared" si="20"/>
        <v>0</v>
      </c>
      <c r="Z62" s="35">
        <f t="shared" si="20"/>
        <v>0</v>
      </c>
      <c r="AA62" s="36">
        <f t="shared" si="20"/>
        <v>0</v>
      </c>
      <c r="AB62" s="33">
        <f t="shared" si="20"/>
        <v>0</v>
      </c>
      <c r="AC62" s="34">
        <f t="shared" si="20"/>
        <v>0</v>
      </c>
      <c r="AD62" s="37">
        <f t="shared" si="20"/>
        <v>0</v>
      </c>
      <c r="AE62" s="36">
        <f t="shared" si="20"/>
        <v>0</v>
      </c>
      <c r="AF62" s="33">
        <f t="shared" si="20"/>
        <v>0</v>
      </c>
      <c r="AG62" s="34">
        <f t="shared" si="20"/>
        <v>1</v>
      </c>
      <c r="AH62" s="37">
        <f t="shared" si="20"/>
        <v>1</v>
      </c>
      <c r="AI62" s="36">
        <f t="shared" ref="AI62:BJ62" si="21">SUM(AI30:AI33)</f>
        <v>0</v>
      </c>
      <c r="AJ62" s="33">
        <f t="shared" si="21"/>
        <v>0</v>
      </c>
      <c r="AK62" s="34">
        <f t="shared" si="21"/>
        <v>0</v>
      </c>
      <c r="AL62" s="37">
        <f t="shared" si="21"/>
        <v>0</v>
      </c>
      <c r="AM62" s="36">
        <f t="shared" si="21"/>
        <v>0</v>
      </c>
      <c r="AN62" s="33">
        <f t="shared" si="21"/>
        <v>0</v>
      </c>
      <c r="AO62" s="34">
        <f t="shared" si="21"/>
        <v>0</v>
      </c>
      <c r="AP62" s="37">
        <f t="shared" si="21"/>
        <v>0</v>
      </c>
      <c r="AQ62" s="36">
        <f t="shared" si="21"/>
        <v>0</v>
      </c>
      <c r="AR62" s="33">
        <f t="shared" si="21"/>
        <v>0</v>
      </c>
      <c r="AS62" s="34">
        <f t="shared" si="21"/>
        <v>0</v>
      </c>
      <c r="AT62" s="35">
        <f t="shared" si="21"/>
        <v>1</v>
      </c>
      <c r="AU62" s="36">
        <f t="shared" si="21"/>
        <v>0</v>
      </c>
      <c r="AV62" s="33">
        <f t="shared" si="21"/>
        <v>0</v>
      </c>
      <c r="AW62" s="34">
        <f t="shared" si="21"/>
        <v>1</v>
      </c>
      <c r="AX62" s="35">
        <f t="shared" si="21"/>
        <v>1</v>
      </c>
      <c r="AY62" s="36">
        <f t="shared" si="21"/>
        <v>0</v>
      </c>
      <c r="AZ62" s="33">
        <f t="shared" si="21"/>
        <v>0</v>
      </c>
      <c r="BA62" s="34">
        <f t="shared" si="21"/>
        <v>0</v>
      </c>
      <c r="BB62" s="37">
        <f t="shared" si="21"/>
        <v>0</v>
      </c>
      <c r="BC62" s="36">
        <f t="shared" si="21"/>
        <v>0</v>
      </c>
      <c r="BD62" s="33">
        <f t="shared" si="21"/>
        <v>0</v>
      </c>
      <c r="BE62" s="34">
        <f t="shared" si="21"/>
        <v>0</v>
      </c>
      <c r="BF62" s="37">
        <f t="shared" si="21"/>
        <v>1</v>
      </c>
      <c r="BG62" s="36">
        <f t="shared" si="21"/>
        <v>0</v>
      </c>
      <c r="BH62" s="33">
        <f t="shared" si="21"/>
        <v>1</v>
      </c>
      <c r="BI62" s="34">
        <f t="shared" si="21"/>
        <v>0</v>
      </c>
      <c r="BJ62" s="35">
        <f t="shared" si="21"/>
        <v>0</v>
      </c>
      <c r="BK62" s="366" t="str">
        <f t="shared" si="16"/>
        <v>7:30 à 8:30</v>
      </c>
      <c r="BL62" s="367"/>
      <c r="BM62" s="47"/>
      <c r="BN62" s="304">
        <f t="shared" si="17"/>
        <v>0.18181818181818182</v>
      </c>
      <c r="BO62" s="304">
        <f t="shared" si="18"/>
        <v>0.63636363636363635</v>
      </c>
      <c r="BP62" s="304">
        <f t="shared" ref="BP62:BP64" si="22">IF(BP52=0,0,BP52/BN52)</f>
        <v>1</v>
      </c>
      <c r="BQ62" s="304">
        <f t="shared" si="19"/>
        <v>0.45454545454545453</v>
      </c>
      <c r="BR62" s="342"/>
      <c r="BS62" s="319"/>
      <c r="BT62" s="316"/>
      <c r="BU62" s="316"/>
      <c r="BV62" s="317"/>
      <c r="BW62" s="317"/>
      <c r="BX62" s="317"/>
      <c r="BY62" s="318"/>
    </row>
    <row r="63" spans="1:77" ht="54.95" customHeight="1">
      <c r="A63" s="377" t="s">
        <v>48</v>
      </c>
      <c r="B63" s="378"/>
      <c r="C63" s="32">
        <f t="shared" ref="C63:AH63" si="23">SUM(C32:C35)</f>
        <v>0</v>
      </c>
      <c r="D63" s="33">
        <f t="shared" si="23"/>
        <v>0</v>
      </c>
      <c r="E63" s="34">
        <f t="shared" si="23"/>
        <v>0</v>
      </c>
      <c r="F63" s="35">
        <f t="shared" si="23"/>
        <v>0</v>
      </c>
      <c r="G63" s="36">
        <f t="shared" si="23"/>
        <v>0</v>
      </c>
      <c r="H63" s="33">
        <v>1</v>
      </c>
      <c r="I63" s="34">
        <f t="shared" si="23"/>
        <v>0</v>
      </c>
      <c r="J63" s="37">
        <f t="shared" si="23"/>
        <v>0</v>
      </c>
      <c r="K63" s="36">
        <f t="shared" si="23"/>
        <v>0</v>
      </c>
      <c r="L63" s="33">
        <f t="shared" si="23"/>
        <v>0</v>
      </c>
      <c r="M63" s="34">
        <f t="shared" si="23"/>
        <v>0</v>
      </c>
      <c r="N63" s="35">
        <f t="shared" si="23"/>
        <v>0</v>
      </c>
      <c r="O63" s="36">
        <f t="shared" si="23"/>
        <v>0</v>
      </c>
      <c r="P63" s="33">
        <f t="shared" si="23"/>
        <v>0</v>
      </c>
      <c r="Q63" s="34">
        <f t="shared" si="23"/>
        <v>0</v>
      </c>
      <c r="R63" s="37">
        <f t="shared" si="23"/>
        <v>0</v>
      </c>
      <c r="S63" s="36">
        <f t="shared" si="23"/>
        <v>0</v>
      </c>
      <c r="T63" s="33">
        <f t="shared" si="23"/>
        <v>0</v>
      </c>
      <c r="U63" s="34">
        <f t="shared" si="23"/>
        <v>0</v>
      </c>
      <c r="V63" s="35">
        <f t="shared" si="23"/>
        <v>0</v>
      </c>
      <c r="W63" s="36">
        <f t="shared" si="23"/>
        <v>0</v>
      </c>
      <c r="X63" s="33">
        <f t="shared" si="23"/>
        <v>0</v>
      </c>
      <c r="Y63" s="34">
        <f t="shared" si="23"/>
        <v>0</v>
      </c>
      <c r="Z63" s="35">
        <f t="shared" si="23"/>
        <v>0</v>
      </c>
      <c r="AA63" s="36">
        <f t="shared" si="23"/>
        <v>0</v>
      </c>
      <c r="AB63" s="33">
        <f t="shared" si="23"/>
        <v>0</v>
      </c>
      <c r="AC63" s="34">
        <f t="shared" si="23"/>
        <v>0</v>
      </c>
      <c r="AD63" s="37">
        <f t="shared" si="23"/>
        <v>0</v>
      </c>
      <c r="AE63" s="36">
        <f t="shared" si="23"/>
        <v>0</v>
      </c>
      <c r="AF63" s="33">
        <f t="shared" si="23"/>
        <v>0</v>
      </c>
      <c r="AG63" s="34">
        <f t="shared" si="23"/>
        <v>0</v>
      </c>
      <c r="AH63" s="37">
        <f t="shared" si="23"/>
        <v>1</v>
      </c>
      <c r="AI63" s="36">
        <f t="shared" ref="AI63:BJ63" si="24">SUM(AI32:AI35)</f>
        <v>0</v>
      </c>
      <c r="AJ63" s="33">
        <f t="shared" si="24"/>
        <v>0</v>
      </c>
      <c r="AK63" s="34">
        <f t="shared" si="24"/>
        <v>0</v>
      </c>
      <c r="AL63" s="37">
        <f t="shared" si="24"/>
        <v>0</v>
      </c>
      <c r="AM63" s="36">
        <f t="shared" si="24"/>
        <v>0</v>
      </c>
      <c r="AN63" s="33">
        <f t="shared" si="24"/>
        <v>0</v>
      </c>
      <c r="AO63" s="34">
        <f t="shared" si="24"/>
        <v>0</v>
      </c>
      <c r="AP63" s="37">
        <f t="shared" si="24"/>
        <v>0</v>
      </c>
      <c r="AQ63" s="36">
        <f t="shared" si="24"/>
        <v>0</v>
      </c>
      <c r="AR63" s="33">
        <f t="shared" si="24"/>
        <v>0</v>
      </c>
      <c r="AS63" s="34">
        <f t="shared" si="24"/>
        <v>0</v>
      </c>
      <c r="AT63" s="35">
        <f t="shared" si="24"/>
        <v>0</v>
      </c>
      <c r="AU63" s="36">
        <f t="shared" si="24"/>
        <v>0</v>
      </c>
      <c r="AV63" s="33">
        <f t="shared" si="24"/>
        <v>1</v>
      </c>
      <c r="AW63" s="34">
        <f t="shared" si="24"/>
        <v>1</v>
      </c>
      <c r="AX63" s="35">
        <f t="shared" si="24"/>
        <v>2</v>
      </c>
      <c r="AY63" s="36">
        <f t="shared" si="24"/>
        <v>0</v>
      </c>
      <c r="AZ63" s="33">
        <f t="shared" si="24"/>
        <v>0</v>
      </c>
      <c r="BA63" s="34">
        <f t="shared" si="24"/>
        <v>0</v>
      </c>
      <c r="BB63" s="37">
        <f t="shared" si="24"/>
        <v>3</v>
      </c>
      <c r="BC63" s="36">
        <f t="shared" si="24"/>
        <v>0</v>
      </c>
      <c r="BD63" s="33">
        <f t="shared" si="24"/>
        <v>0</v>
      </c>
      <c r="BE63" s="34">
        <f t="shared" si="24"/>
        <v>0</v>
      </c>
      <c r="BF63" s="37">
        <f t="shared" si="24"/>
        <v>1</v>
      </c>
      <c r="BG63" s="36">
        <f t="shared" si="24"/>
        <v>0</v>
      </c>
      <c r="BH63" s="33">
        <f t="shared" si="24"/>
        <v>1</v>
      </c>
      <c r="BI63" s="34">
        <f t="shared" si="24"/>
        <v>0</v>
      </c>
      <c r="BJ63" s="35">
        <f t="shared" si="24"/>
        <v>0</v>
      </c>
      <c r="BK63" s="366" t="str">
        <f t="shared" si="16"/>
        <v>8:00 à 9:00</v>
      </c>
      <c r="BL63" s="367"/>
      <c r="BM63" s="47"/>
      <c r="BN63" s="304">
        <f t="shared" si="17"/>
        <v>0.23529411764705882</v>
      </c>
      <c r="BO63" s="304">
        <f t="shared" si="18"/>
        <v>0.52941176470588236</v>
      </c>
      <c r="BP63" s="304">
        <f t="shared" si="22"/>
        <v>0.25</v>
      </c>
      <c r="BQ63" s="304">
        <f t="shared" si="19"/>
        <v>0.41176470588235292</v>
      </c>
      <c r="BR63" s="342"/>
      <c r="BS63" s="319"/>
      <c r="BT63" s="316"/>
      <c r="BU63" s="316"/>
      <c r="BV63" s="317"/>
      <c r="BW63" s="317"/>
      <c r="BX63" s="317"/>
      <c r="BY63" s="318"/>
    </row>
    <row r="64" spans="1:77" ht="54.95" customHeight="1">
      <c r="A64" s="406" t="s">
        <v>13</v>
      </c>
      <c r="B64" s="407"/>
      <c r="C64" s="38">
        <f t="shared" ref="C64" si="25">C60+C61+C63</f>
        <v>0</v>
      </c>
      <c r="D64" s="39">
        <f t="shared" ref="D64" si="26">D60+D61+D63</f>
        <v>0</v>
      </c>
      <c r="E64" s="40">
        <f t="shared" ref="E64" si="27">E60+E61+E63</f>
        <v>0</v>
      </c>
      <c r="F64" s="41">
        <f t="shared" ref="F64" si="28">F60+F61+F63</f>
        <v>0</v>
      </c>
      <c r="G64" s="42">
        <f t="shared" ref="G64" si="29">G60+G61+G63</f>
        <v>0</v>
      </c>
      <c r="H64" s="39">
        <f t="shared" ref="H64" si="30">H60+H61+H63</f>
        <v>1</v>
      </c>
      <c r="I64" s="40">
        <f t="shared" ref="I64" si="31">I60+I61+I63</f>
        <v>0</v>
      </c>
      <c r="J64" s="43">
        <f t="shared" ref="J64" si="32">J60+J61+J63</f>
        <v>0</v>
      </c>
      <c r="K64" s="42">
        <f t="shared" ref="K64" si="33">K60+K61+K63</f>
        <v>0</v>
      </c>
      <c r="L64" s="39">
        <f t="shared" ref="L64" si="34">L60+L61+L63</f>
        <v>0</v>
      </c>
      <c r="M64" s="40">
        <f t="shared" ref="M64" si="35">M60+M61+M63</f>
        <v>0</v>
      </c>
      <c r="N64" s="41">
        <f t="shared" ref="N64" si="36">N60+N61+N63</f>
        <v>0</v>
      </c>
      <c r="O64" s="42">
        <f t="shared" ref="O64" si="37">O60+O61+O63</f>
        <v>0</v>
      </c>
      <c r="P64" s="39">
        <f t="shared" ref="P64" si="38">P60+P61+P63</f>
        <v>1</v>
      </c>
      <c r="Q64" s="40">
        <f t="shared" ref="Q64" si="39">Q60+Q61+Q63</f>
        <v>0</v>
      </c>
      <c r="R64" s="43">
        <f t="shared" ref="R64" si="40">R60+R61+R63</f>
        <v>0</v>
      </c>
      <c r="S64" s="42">
        <f t="shared" ref="S64" si="41">S60+S61+S63</f>
        <v>0</v>
      </c>
      <c r="T64" s="39">
        <f t="shared" ref="T64" si="42">T60+T61+T63</f>
        <v>0</v>
      </c>
      <c r="U64" s="40">
        <f t="shared" ref="U64" si="43">U60+U61+U63</f>
        <v>0</v>
      </c>
      <c r="V64" s="41">
        <f t="shared" ref="V64" si="44">V60+V61+V63</f>
        <v>0</v>
      </c>
      <c r="W64" s="42">
        <f t="shared" ref="W64" si="45">W60+W61+W63</f>
        <v>0</v>
      </c>
      <c r="X64" s="39">
        <f t="shared" ref="X64" si="46">X60+X61+X63</f>
        <v>0</v>
      </c>
      <c r="Y64" s="40">
        <f t="shared" ref="Y64" si="47">Y60+Y61+Y63</f>
        <v>0</v>
      </c>
      <c r="Z64" s="41">
        <f t="shared" ref="Z64" si="48">Z60+Z61+Z63</f>
        <v>0</v>
      </c>
      <c r="AA64" s="42">
        <f t="shared" ref="AA64" si="49">AA60+AA61+AA63</f>
        <v>0</v>
      </c>
      <c r="AB64" s="39">
        <f t="shared" ref="AB64" si="50">AB60+AB61+AB63</f>
        <v>0</v>
      </c>
      <c r="AC64" s="40">
        <f t="shared" ref="AC64" si="51">AC60+AC61+AC63</f>
        <v>0</v>
      </c>
      <c r="AD64" s="43">
        <f t="shared" ref="AD64" si="52">AD60+AD61+AD63</f>
        <v>0</v>
      </c>
      <c r="AE64" s="42">
        <f t="shared" ref="AE64" si="53">AE60+AE61+AE63</f>
        <v>0</v>
      </c>
      <c r="AF64" s="39">
        <f t="shared" ref="AF64" si="54">AF60+AF61+AF63</f>
        <v>0</v>
      </c>
      <c r="AG64" s="40">
        <f t="shared" ref="AG64" si="55">AG60+AG61+AG63</f>
        <v>1</v>
      </c>
      <c r="AH64" s="43">
        <f t="shared" ref="AH64" si="56">AH60+AH61+AH63</f>
        <v>2</v>
      </c>
      <c r="AI64" s="42">
        <f t="shared" ref="AI64" si="57">AI60+AI61+AI63</f>
        <v>0</v>
      </c>
      <c r="AJ64" s="39">
        <f t="shared" ref="AJ64" si="58">AJ60+AJ61+AJ63</f>
        <v>0</v>
      </c>
      <c r="AK64" s="40">
        <f t="shared" ref="AK64" si="59">AK60+AK61+AK63</f>
        <v>0</v>
      </c>
      <c r="AL64" s="43">
        <f t="shared" ref="AL64" si="60">AL60+AL61+AL63</f>
        <v>0</v>
      </c>
      <c r="AM64" s="42">
        <f t="shared" ref="AM64" si="61">AM60+AM61+AM63</f>
        <v>0</v>
      </c>
      <c r="AN64" s="39">
        <f t="shared" ref="AN64" si="62">AN60+AN61+AN63</f>
        <v>0</v>
      </c>
      <c r="AO64" s="40">
        <f t="shared" ref="AO64" si="63">AO60+AO61+AO63</f>
        <v>0</v>
      </c>
      <c r="AP64" s="43">
        <f t="shared" ref="AP64" si="64">AP60+AP61+AP63</f>
        <v>0</v>
      </c>
      <c r="AQ64" s="42">
        <f t="shared" ref="AQ64" si="65">AQ60+AQ61+AQ63</f>
        <v>0</v>
      </c>
      <c r="AR64" s="39">
        <f t="shared" ref="AR64" si="66">AR60+AR61+AR63</f>
        <v>0</v>
      </c>
      <c r="AS64" s="40">
        <f t="shared" ref="AS64" si="67">AS60+AS61+AS63</f>
        <v>0</v>
      </c>
      <c r="AT64" s="41">
        <f t="shared" ref="AT64" si="68">AT60+AT61+AT63</f>
        <v>1</v>
      </c>
      <c r="AU64" s="42">
        <f t="shared" ref="AU64" si="69">AU60+AU61+AU63</f>
        <v>0</v>
      </c>
      <c r="AV64" s="39">
        <f t="shared" ref="AV64" si="70">AV60+AV61+AV63</f>
        <v>1</v>
      </c>
      <c r="AW64" s="40">
        <f t="shared" ref="AW64" si="71">AW60+AW61+AW63</f>
        <v>2</v>
      </c>
      <c r="AX64" s="41">
        <f t="shared" ref="AX64" si="72">AX60+AX61+AX63</f>
        <v>2</v>
      </c>
      <c r="AY64" s="42">
        <f t="shared" ref="AY64" si="73">AY60+AY61+AY63</f>
        <v>0</v>
      </c>
      <c r="AZ64" s="39">
        <f t="shared" ref="AZ64" si="74">AZ60+AZ61+AZ63</f>
        <v>0</v>
      </c>
      <c r="BA64" s="40">
        <f t="shared" ref="BA64" si="75">BA60+BA61+BA63</f>
        <v>0</v>
      </c>
      <c r="BB64" s="43">
        <f t="shared" ref="BB64" si="76">BB60+BB61+BB63</f>
        <v>3</v>
      </c>
      <c r="BC64" s="42">
        <f t="shared" ref="BC64" si="77">BC60+BC61+BC63</f>
        <v>0</v>
      </c>
      <c r="BD64" s="39">
        <f t="shared" ref="BD64" si="78">BD60+BD61+BD63</f>
        <v>0</v>
      </c>
      <c r="BE64" s="40">
        <f t="shared" ref="BE64" si="79">BE60+BE61+BE63</f>
        <v>0</v>
      </c>
      <c r="BF64" s="43">
        <f t="shared" ref="BF64" si="80">BF60+BF61+BF63</f>
        <v>1</v>
      </c>
      <c r="BG64" s="42">
        <f t="shared" ref="BG64" si="81">BG60+BG61+BG63</f>
        <v>0</v>
      </c>
      <c r="BH64" s="39">
        <f t="shared" ref="BH64" si="82">BH60+BH61+BH63</f>
        <v>1</v>
      </c>
      <c r="BI64" s="40">
        <f t="shared" ref="BI64" si="83">BI60+BI61+BI63</f>
        <v>0</v>
      </c>
      <c r="BJ64" s="41">
        <f t="shared" ref="BJ64" si="84">BJ60+BJ61+BJ63</f>
        <v>0</v>
      </c>
      <c r="BK64" s="358" t="s">
        <v>13</v>
      </c>
      <c r="BL64" s="359"/>
      <c r="BM64" s="334">
        <f>SUM(C66:BJ66)+SUM(C75:BJ75)</f>
        <v>0</v>
      </c>
      <c r="BN64" s="335">
        <f t="shared" si="17"/>
        <v>0.25925925925925924</v>
      </c>
      <c r="BO64" s="335">
        <f t="shared" si="18"/>
        <v>0.48148148148148145</v>
      </c>
      <c r="BP64" s="335">
        <f t="shared" si="22"/>
        <v>0.42857142857142855</v>
      </c>
      <c r="BQ64" s="335">
        <f t="shared" si="19"/>
        <v>0.44444444444444442</v>
      </c>
      <c r="BR64" s="343"/>
      <c r="BS64" s="319"/>
      <c r="BT64" s="316"/>
      <c r="BU64" s="316"/>
      <c r="BV64" s="317"/>
      <c r="BW64" s="317"/>
      <c r="BX64" s="317"/>
      <c r="BY64" s="318"/>
    </row>
    <row r="65" spans="1:77" ht="54.95" customHeight="1" thickBot="1">
      <c r="A65" s="55"/>
      <c r="B65" s="5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305"/>
      <c r="AU65" s="305"/>
      <c r="AV65" s="305"/>
      <c r="AW65" s="305"/>
      <c r="AX65" s="305"/>
      <c r="AY65" s="305"/>
      <c r="AZ65" s="305"/>
      <c r="BA65" s="305"/>
      <c r="BB65" s="305"/>
      <c r="BC65" s="305"/>
      <c r="BD65" s="305"/>
      <c r="BE65" s="305"/>
      <c r="BF65" s="305"/>
      <c r="BG65" s="305"/>
      <c r="BH65" s="305"/>
      <c r="BI65" s="305"/>
      <c r="BJ65" s="305"/>
      <c r="BK65" s="360" t="str">
        <f>IF($BM$50=MAX($BM$50:$BM$54),A60,IF($BM$51=MAX($BM$50:$BM$54),A61,IF($BM$52=MAX($BM$50:$BM$54),A62,IF($BM$53=MAX($BM$50:$BM$54),A63,BK63))))</f>
        <v>8:00 à 9:00</v>
      </c>
      <c r="BL65" s="361"/>
      <c r="BM65" s="314">
        <f>IF($BM$50=MAX($BM$50:$BM$54),BM60,IF($BM$51=MAX($BM$50:$BM$54),BM61,IF($BM$52=MAX($BM$50:$BM$54),BM62,IF($BM$53=MAX($BM$50:$BM$54),(BM62),BM63))))</f>
        <v>0</v>
      </c>
      <c r="BN65" s="313">
        <f>BN55/$BM$55</f>
        <v>0.23529411764705882</v>
      </c>
      <c r="BO65" s="313">
        <f t="shared" ref="BO65:BQ65" si="85">BO55/$BM$55</f>
        <v>0.52941176470588236</v>
      </c>
      <c r="BP65" s="313">
        <f t="shared" si="85"/>
        <v>5.8823529411764705E-2</v>
      </c>
      <c r="BQ65" s="313">
        <f t="shared" si="85"/>
        <v>0.41176470588235292</v>
      </c>
      <c r="BR65" s="344"/>
      <c r="BS65" s="319"/>
      <c r="BT65" s="316"/>
      <c r="BU65" s="316"/>
      <c r="BV65" s="317"/>
      <c r="BW65" s="317"/>
      <c r="BX65" s="317"/>
      <c r="BY65" s="318"/>
    </row>
    <row r="66" spans="1:77" ht="24" thickTop="1">
      <c r="A66" s="55"/>
      <c r="B66" s="5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M66" s="305"/>
      <c r="AN66" s="305"/>
      <c r="AO66" s="305"/>
      <c r="AP66" s="305"/>
      <c r="AQ66" s="305"/>
      <c r="AR66" s="305"/>
      <c r="AS66" s="305"/>
      <c r="AT66" s="305"/>
      <c r="AU66" s="305"/>
      <c r="AV66" s="305"/>
      <c r="AW66" s="305"/>
      <c r="AX66" s="305"/>
      <c r="AY66" s="305"/>
      <c r="AZ66" s="305"/>
      <c r="BA66" s="305"/>
      <c r="BB66" s="305"/>
      <c r="BC66" s="305"/>
      <c r="BD66" s="305"/>
      <c r="BE66" s="305"/>
      <c r="BF66" s="305"/>
      <c r="BG66" s="305"/>
      <c r="BH66" s="305"/>
      <c r="BI66" s="305"/>
      <c r="BJ66" s="305"/>
      <c r="BS66" s="306"/>
      <c r="BT66" s="306"/>
      <c r="BU66" s="306"/>
      <c r="BV66" s="307"/>
      <c r="BW66" s="307"/>
      <c r="BX66" s="307"/>
      <c r="BY66" s="307"/>
    </row>
    <row r="71" spans="1:77" ht="24.95" customHeight="1"/>
    <row r="72" spans="1:77" ht="24.95" customHeight="1"/>
    <row r="73" spans="1:77" ht="24.95" customHeight="1"/>
    <row r="74" spans="1:77" ht="24.95" customHeight="1"/>
    <row r="75" spans="1:77" ht="24.95" customHeight="1"/>
    <row r="76" spans="1:77" ht="24.95" customHeight="1"/>
    <row r="77" spans="1:77" ht="24.95" customHeight="1"/>
  </sheetData>
  <mergeCells count="231">
    <mergeCell ref="A64:B64"/>
    <mergeCell ref="BK62:BL62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K58:AL58"/>
    <mergeCell ref="A62:B62"/>
    <mergeCell ref="BK60:BL60"/>
    <mergeCell ref="A63:B63"/>
    <mergeCell ref="A59:B59"/>
    <mergeCell ref="A60:B60"/>
    <mergeCell ref="A61:B61"/>
    <mergeCell ref="BK59:BL59"/>
    <mergeCell ref="BS56:BY59"/>
    <mergeCell ref="C57:F57"/>
    <mergeCell ref="G57:J57"/>
    <mergeCell ref="K57:N57"/>
    <mergeCell ref="O57:R57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BE58:BF58"/>
    <mergeCell ref="BG58:BH58"/>
    <mergeCell ref="BG57:BJ57"/>
    <mergeCell ref="C56:V56"/>
    <mergeCell ref="W56:AP56"/>
    <mergeCell ref="BI58:BJ58"/>
    <mergeCell ref="AQ56:BJ56"/>
    <mergeCell ref="C8:V8"/>
    <mergeCell ref="W8:AP8"/>
    <mergeCell ref="AQ8:BJ8"/>
    <mergeCell ref="C9:F9"/>
    <mergeCell ref="G9:J9"/>
    <mergeCell ref="K9:N9"/>
    <mergeCell ref="O9:R9"/>
    <mergeCell ref="S9:V9"/>
    <mergeCell ref="W9:Z9"/>
    <mergeCell ref="AA9:AD9"/>
    <mergeCell ref="AC10:AD10"/>
    <mergeCell ref="BC9:BF9"/>
    <mergeCell ref="BG9:BJ9"/>
    <mergeCell ref="C10:D10"/>
    <mergeCell ref="E10:F10"/>
    <mergeCell ref="G10:H10"/>
    <mergeCell ref="I10:J10"/>
    <mergeCell ref="K10:L10"/>
    <mergeCell ref="M10:N10"/>
    <mergeCell ref="BG10:BH10"/>
    <mergeCell ref="BI10:BJ10"/>
    <mergeCell ref="AU10:AV10"/>
    <mergeCell ref="AW10:AX10"/>
    <mergeCell ref="AY10:AZ10"/>
    <mergeCell ref="BA10:BB10"/>
    <mergeCell ref="AE10:AF10"/>
    <mergeCell ref="AG10:AH10"/>
    <mergeCell ref="AI10:AJ10"/>
    <mergeCell ref="AK10:AL10"/>
    <mergeCell ref="AM10:AN10"/>
    <mergeCell ref="AO10:AP10"/>
    <mergeCell ref="S10:T10"/>
    <mergeCell ref="U10:V10"/>
    <mergeCell ref="W10:X10"/>
    <mergeCell ref="S57:V57"/>
    <mergeCell ref="Q10:R10"/>
    <mergeCell ref="AE9:AH9"/>
    <mergeCell ref="AI9:AL9"/>
    <mergeCell ref="AM9:AP9"/>
    <mergeCell ref="AQ9:AT9"/>
    <mergeCell ref="AU9:AX9"/>
    <mergeCell ref="AY9:BB9"/>
    <mergeCell ref="BC10:BD10"/>
    <mergeCell ref="BC57:BF57"/>
    <mergeCell ref="W57:Z57"/>
    <mergeCell ref="AA57:AD57"/>
    <mergeCell ref="AE57:AH57"/>
    <mergeCell ref="AI57:AL57"/>
    <mergeCell ref="AM57:AP57"/>
    <mergeCell ref="AQ57:AT57"/>
    <mergeCell ref="AU57:AX57"/>
    <mergeCell ref="AY57:BB57"/>
    <mergeCell ref="BE10:BF10"/>
    <mergeCell ref="C22:V22"/>
    <mergeCell ref="W22:AP22"/>
    <mergeCell ref="AQ22:BJ22"/>
    <mergeCell ref="AQ10:AR10"/>
    <mergeCell ref="AS10:AT10"/>
    <mergeCell ref="Y10:Z10"/>
    <mergeCell ref="AA10:AB10"/>
    <mergeCell ref="O10:P10"/>
    <mergeCell ref="Y24:Z24"/>
    <mergeCell ref="AA24:AB24"/>
    <mergeCell ref="AY23:BB23"/>
    <mergeCell ref="BC23:BF23"/>
    <mergeCell ref="BG23:BJ23"/>
    <mergeCell ref="C24:D24"/>
    <mergeCell ref="E24:F24"/>
    <mergeCell ref="G24:H24"/>
    <mergeCell ref="I24:J24"/>
    <mergeCell ref="K24:L24"/>
    <mergeCell ref="M24:N24"/>
    <mergeCell ref="O24:P24"/>
    <mergeCell ref="AA23:AD23"/>
    <mergeCell ref="AE23:AH23"/>
    <mergeCell ref="AI23:AL23"/>
    <mergeCell ref="AM23:AP23"/>
    <mergeCell ref="AQ23:AT23"/>
    <mergeCell ref="AU23:AX23"/>
    <mergeCell ref="C23:F23"/>
    <mergeCell ref="G23:J23"/>
    <mergeCell ref="K23:N23"/>
    <mergeCell ref="O23:R23"/>
    <mergeCell ref="S23:V23"/>
    <mergeCell ref="W23:Z23"/>
    <mergeCell ref="BA24:BB24"/>
    <mergeCell ref="BC24:BD24"/>
    <mergeCell ref="BE24:BF24"/>
    <mergeCell ref="BG24:BH24"/>
    <mergeCell ref="BI24:BJ24"/>
    <mergeCell ref="C46:V46"/>
    <mergeCell ref="W46:AP46"/>
    <mergeCell ref="AQ46:BJ46"/>
    <mergeCell ref="AO24:AP24"/>
    <mergeCell ref="AQ24:AR24"/>
    <mergeCell ref="AS24:AT24"/>
    <mergeCell ref="AU24:AV24"/>
    <mergeCell ref="AW24:AX24"/>
    <mergeCell ref="AY24:AZ24"/>
    <mergeCell ref="AC24:AD24"/>
    <mergeCell ref="AE24:AF24"/>
    <mergeCell ref="AG24:AH24"/>
    <mergeCell ref="AI24:AJ24"/>
    <mergeCell ref="AK24:AL24"/>
    <mergeCell ref="AM24:AN24"/>
    <mergeCell ref="Q24:R24"/>
    <mergeCell ref="S24:T24"/>
    <mergeCell ref="U24:V24"/>
    <mergeCell ref="W24:X24"/>
    <mergeCell ref="C47:F47"/>
    <mergeCell ref="G47:J47"/>
    <mergeCell ref="K47:N47"/>
    <mergeCell ref="O47:R47"/>
    <mergeCell ref="S47:V47"/>
    <mergeCell ref="W47:Z47"/>
    <mergeCell ref="AA47:AD47"/>
    <mergeCell ref="C48:D48"/>
    <mergeCell ref="E48:F48"/>
    <mergeCell ref="G48:H48"/>
    <mergeCell ref="I48:J48"/>
    <mergeCell ref="K48:L48"/>
    <mergeCell ref="M48:N48"/>
    <mergeCell ref="AA48:AB48"/>
    <mergeCell ref="AC48:AD48"/>
    <mergeCell ref="O48:P48"/>
    <mergeCell ref="Q48:R48"/>
    <mergeCell ref="S48:T48"/>
    <mergeCell ref="U48:V48"/>
    <mergeCell ref="W48:X48"/>
    <mergeCell ref="Y48:Z48"/>
    <mergeCell ref="AU48:AV48"/>
    <mergeCell ref="AW48:AX48"/>
    <mergeCell ref="BO46:BO49"/>
    <mergeCell ref="BP46:BP49"/>
    <mergeCell ref="BQ46:BQ49"/>
    <mergeCell ref="BS46:BY49"/>
    <mergeCell ref="AE47:AH47"/>
    <mergeCell ref="AI47:AL47"/>
    <mergeCell ref="AM47:AP47"/>
    <mergeCell ref="AQ47:AT47"/>
    <mergeCell ref="AU47:AX47"/>
    <mergeCell ref="AY47:BB47"/>
    <mergeCell ref="BC47:BF47"/>
    <mergeCell ref="BG47:BJ47"/>
    <mergeCell ref="AE48:AF48"/>
    <mergeCell ref="AG48:AH48"/>
    <mergeCell ref="AI48:AJ48"/>
    <mergeCell ref="AK48:AL48"/>
    <mergeCell ref="BR46:BR49"/>
    <mergeCell ref="BK55:BL55"/>
    <mergeCell ref="BM56:BM59"/>
    <mergeCell ref="BN56:BN59"/>
    <mergeCell ref="BO56:BO59"/>
    <mergeCell ref="BP56:BP59"/>
    <mergeCell ref="BQ56:BQ59"/>
    <mergeCell ref="BK63:BL63"/>
    <mergeCell ref="BK64:BL64"/>
    <mergeCell ref="BK65:BL65"/>
    <mergeCell ref="BK61:BL61"/>
    <mergeCell ref="BK50:BL50"/>
    <mergeCell ref="BK51:BL51"/>
    <mergeCell ref="BK52:BL52"/>
    <mergeCell ref="BK53:BL53"/>
    <mergeCell ref="BK54:BL54"/>
    <mergeCell ref="BN46:BN49"/>
    <mergeCell ref="BM46:BM49"/>
    <mergeCell ref="BK49:BL49"/>
    <mergeCell ref="A54:B54"/>
    <mergeCell ref="A52:B52"/>
    <mergeCell ref="A53:B53"/>
    <mergeCell ref="A50:B50"/>
    <mergeCell ref="A51:B51"/>
    <mergeCell ref="A49:B49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D43E-6097-4970-8A79-8FCCB9E6788F}">
  <sheetPr>
    <tabColor rgb="FFFF0000"/>
  </sheetPr>
  <dimension ref="A1:AQ64"/>
  <sheetViews>
    <sheetView showZeros="0" zoomScale="50" zoomScaleNormal="50" workbookViewId="0">
      <selection activeCell="B2" sqref="B2"/>
    </sheetView>
  </sheetViews>
  <sheetFormatPr baseColWidth="10" defaultRowHeight="14.25"/>
  <cols>
    <col min="1" max="1" width="9.125" style="161" customWidth="1"/>
    <col min="2" max="2" width="13.75" style="161" customWidth="1"/>
    <col min="3" max="26" width="10.875" style="161" customWidth="1"/>
    <col min="27" max="27" width="9.125" style="161" customWidth="1"/>
    <col min="28" max="28" width="13.75" style="161" customWidth="1"/>
    <col min="29" max="36" width="21.125" style="161" customWidth="1"/>
    <col min="37" max="37" width="82.625" style="161" customWidth="1"/>
    <col min="38" max="38" width="21.125" style="161" customWidth="1"/>
    <col min="39" max="43" width="10.625" style="161" customWidth="1"/>
    <col min="44" max="16384" width="11" style="161"/>
  </cols>
  <sheetData>
    <row r="1" spans="1:36" ht="52.5" customHeight="1" thickBot="1">
      <c r="A1" s="151" t="s">
        <v>89</v>
      </c>
      <c r="B1" s="152" t="s">
        <v>188</v>
      </c>
      <c r="C1" s="153"/>
      <c r="D1" s="153"/>
      <c r="E1" s="153"/>
      <c r="F1" s="154"/>
      <c r="G1" s="154"/>
      <c r="H1" s="153"/>
      <c r="I1" s="153"/>
      <c r="J1" s="154"/>
      <c r="K1" s="154"/>
      <c r="L1" s="155"/>
      <c r="M1" s="156" t="s">
        <v>90</v>
      </c>
      <c r="N1" s="157" t="s">
        <v>91</v>
      </c>
      <c r="O1" s="153"/>
      <c r="P1" s="153"/>
      <c r="Q1" s="153"/>
      <c r="R1" s="153"/>
      <c r="S1" s="153"/>
      <c r="T1" s="153"/>
      <c r="U1" s="153"/>
      <c r="V1" s="158"/>
      <c r="W1" s="159"/>
      <c r="X1" s="159"/>
      <c r="Y1" s="159"/>
      <c r="Z1" s="160"/>
    </row>
    <row r="2" spans="1:36" ht="52.5" customHeight="1" thickBot="1">
      <c r="A2" s="162" t="s">
        <v>2</v>
      </c>
      <c r="B2" s="163"/>
      <c r="C2" s="163"/>
      <c r="D2" s="163"/>
      <c r="E2" s="163"/>
      <c r="F2" s="163"/>
      <c r="G2" s="152" t="s">
        <v>111</v>
      </c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8"/>
      <c r="W2" s="163"/>
      <c r="X2" s="163"/>
      <c r="Y2" s="163"/>
      <c r="Z2" s="163"/>
    </row>
    <row r="3" spans="1:36" ht="52.5" customHeight="1" thickBot="1">
      <c r="A3" s="162" t="s">
        <v>3</v>
      </c>
      <c r="B3" s="163"/>
      <c r="C3" s="152" t="s">
        <v>93</v>
      </c>
      <c r="D3" s="153"/>
      <c r="E3" s="153"/>
      <c r="F3" s="153"/>
      <c r="G3" s="153" t="s">
        <v>124</v>
      </c>
      <c r="H3" s="153"/>
      <c r="I3" s="278" t="s">
        <v>125</v>
      </c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8"/>
      <c r="W3" s="163"/>
      <c r="X3" s="163"/>
      <c r="Y3" s="163"/>
      <c r="Z3" s="164"/>
    </row>
    <row r="4" spans="1:36" ht="52.5" customHeight="1" thickBot="1">
      <c r="A4" s="162" t="s">
        <v>18</v>
      </c>
      <c r="B4" s="163"/>
      <c r="C4" s="152" t="s">
        <v>112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8"/>
      <c r="W4" s="163"/>
      <c r="X4" s="163"/>
      <c r="Y4" s="163"/>
      <c r="Z4" s="164"/>
    </row>
    <row r="5" spans="1:36" ht="25.5" customHeight="1">
      <c r="A5" s="162" t="s">
        <v>95</v>
      </c>
      <c r="B5" s="163"/>
      <c r="C5" s="163" t="s">
        <v>96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4"/>
      <c r="S5" s="163"/>
      <c r="T5" s="163"/>
      <c r="U5" s="163"/>
      <c r="V5" s="163"/>
      <c r="W5" s="163"/>
      <c r="X5" s="163"/>
      <c r="Y5" s="163"/>
      <c r="Z5" s="164"/>
    </row>
    <row r="6" spans="1:36" ht="25.5" customHeight="1">
      <c r="A6" s="165"/>
      <c r="B6" s="163"/>
      <c r="C6" s="163" t="s">
        <v>97</v>
      </c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4"/>
      <c r="S6" s="163"/>
      <c r="T6" s="163"/>
      <c r="U6" s="163"/>
      <c r="V6" s="163"/>
      <c r="W6" s="163"/>
      <c r="X6" s="163"/>
      <c r="Y6" s="163"/>
      <c r="Z6" s="164"/>
    </row>
    <row r="7" spans="1:36" ht="25.5" customHeight="1" thickBot="1">
      <c r="A7" s="165"/>
      <c r="B7" s="163"/>
      <c r="C7" s="163" t="s">
        <v>113</v>
      </c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4"/>
      <c r="S7" s="163"/>
      <c r="T7" s="163"/>
      <c r="U7" s="163"/>
      <c r="V7" s="163"/>
      <c r="W7" s="163"/>
      <c r="X7" s="163"/>
      <c r="Y7" s="163"/>
      <c r="Z7" s="164"/>
    </row>
    <row r="8" spans="1:36" ht="32.25" customHeight="1" thickTop="1">
      <c r="A8" s="162"/>
      <c r="B8" s="163"/>
      <c r="C8" s="480"/>
      <c r="D8" s="481"/>
      <c r="E8" s="481"/>
      <c r="F8" s="481"/>
      <c r="G8" s="481"/>
      <c r="H8" s="481"/>
      <c r="I8" s="481"/>
      <c r="J8" s="481"/>
      <c r="K8" s="481"/>
      <c r="L8" s="481"/>
      <c r="M8" s="481"/>
      <c r="N8" s="481"/>
      <c r="O8" s="481"/>
      <c r="P8" s="481"/>
      <c r="Q8" s="481"/>
      <c r="R8" s="481"/>
      <c r="S8" s="481"/>
      <c r="T8" s="481"/>
      <c r="U8" s="481"/>
      <c r="V8" s="481"/>
      <c r="W8" s="481"/>
      <c r="X8" s="481"/>
      <c r="Y8" s="481"/>
      <c r="Z8" s="482"/>
      <c r="AA8" s="166"/>
      <c r="AB8" s="166"/>
      <c r="AD8" s="167"/>
      <c r="AE8" s="167"/>
      <c r="AF8" s="167"/>
      <c r="AG8" s="167"/>
      <c r="AH8" s="167"/>
      <c r="AI8" s="167"/>
      <c r="AJ8" s="167"/>
    </row>
    <row r="9" spans="1:36" ht="22.7" customHeight="1">
      <c r="A9" s="162"/>
      <c r="B9" s="163"/>
      <c r="C9" s="477" t="s">
        <v>114</v>
      </c>
      <c r="D9" s="478"/>
      <c r="E9" s="478"/>
      <c r="F9" s="478"/>
      <c r="G9" s="477" t="s">
        <v>115</v>
      </c>
      <c r="H9" s="478"/>
      <c r="I9" s="478"/>
      <c r="J9" s="478"/>
      <c r="K9" s="477" t="s">
        <v>116</v>
      </c>
      <c r="L9" s="478"/>
      <c r="M9" s="478"/>
      <c r="N9" s="478"/>
      <c r="O9" s="477" t="s">
        <v>117</v>
      </c>
      <c r="P9" s="478"/>
      <c r="Q9" s="478"/>
      <c r="R9" s="478"/>
      <c r="S9" s="477" t="s">
        <v>118</v>
      </c>
      <c r="T9" s="478"/>
      <c r="U9" s="478"/>
      <c r="V9" s="478"/>
      <c r="W9" s="477" t="s">
        <v>119</v>
      </c>
      <c r="X9" s="478"/>
      <c r="Y9" s="478"/>
      <c r="Z9" s="479"/>
      <c r="AA9" s="166"/>
      <c r="AB9" s="166"/>
    </row>
    <row r="10" spans="1:36" ht="18.600000000000001" customHeight="1" thickBot="1">
      <c r="A10" s="162"/>
      <c r="B10" s="163"/>
      <c r="C10" s="457" t="s">
        <v>5</v>
      </c>
      <c r="D10" s="458"/>
      <c r="E10" s="461" t="s">
        <v>6</v>
      </c>
      <c r="F10" s="462"/>
      <c r="G10" s="463" t="s">
        <v>5</v>
      </c>
      <c r="H10" s="458"/>
      <c r="I10" s="461" t="s">
        <v>6</v>
      </c>
      <c r="J10" s="462"/>
      <c r="K10" s="463" t="s">
        <v>5</v>
      </c>
      <c r="L10" s="458"/>
      <c r="M10" s="461" t="s">
        <v>6</v>
      </c>
      <c r="N10" s="462"/>
      <c r="O10" s="463" t="s">
        <v>5</v>
      </c>
      <c r="P10" s="458"/>
      <c r="Q10" s="461" t="s">
        <v>6</v>
      </c>
      <c r="R10" s="464"/>
      <c r="S10" s="463" t="s">
        <v>5</v>
      </c>
      <c r="T10" s="458"/>
      <c r="U10" s="461" t="s">
        <v>6</v>
      </c>
      <c r="V10" s="462"/>
      <c r="W10" s="463" t="s">
        <v>5</v>
      </c>
      <c r="X10" s="458"/>
      <c r="Y10" s="461" t="s">
        <v>6</v>
      </c>
      <c r="Z10" s="464"/>
      <c r="AA10" s="166"/>
      <c r="AB10" s="166"/>
    </row>
    <row r="11" spans="1:36" ht="21" thickTop="1">
      <c r="A11" s="168" t="s">
        <v>7</v>
      </c>
      <c r="B11" s="169" t="s">
        <v>8</v>
      </c>
      <c r="C11" s="170" t="s">
        <v>9</v>
      </c>
      <c r="D11" s="171" t="s">
        <v>10</v>
      </c>
      <c r="E11" s="172" t="s">
        <v>9</v>
      </c>
      <c r="F11" s="173" t="s">
        <v>10</v>
      </c>
      <c r="G11" s="174" t="s">
        <v>9</v>
      </c>
      <c r="H11" s="171" t="s">
        <v>10</v>
      </c>
      <c r="I11" s="172" t="s">
        <v>9</v>
      </c>
      <c r="J11" s="173" t="s">
        <v>10</v>
      </c>
      <c r="K11" s="174" t="s">
        <v>9</v>
      </c>
      <c r="L11" s="171" t="s">
        <v>10</v>
      </c>
      <c r="M11" s="172" t="s">
        <v>9</v>
      </c>
      <c r="N11" s="173" t="s">
        <v>10</v>
      </c>
      <c r="O11" s="174" t="s">
        <v>9</v>
      </c>
      <c r="P11" s="171" t="s">
        <v>10</v>
      </c>
      <c r="Q11" s="172" t="s">
        <v>9</v>
      </c>
      <c r="R11" s="175" t="s">
        <v>10</v>
      </c>
      <c r="S11" s="174" t="s">
        <v>9</v>
      </c>
      <c r="T11" s="171" t="s">
        <v>10</v>
      </c>
      <c r="U11" s="172" t="s">
        <v>9</v>
      </c>
      <c r="V11" s="173" t="s">
        <v>10</v>
      </c>
      <c r="W11" s="174" t="s">
        <v>9</v>
      </c>
      <c r="X11" s="171" t="s">
        <v>10</v>
      </c>
      <c r="Y11" s="172" t="s">
        <v>9</v>
      </c>
      <c r="Z11" s="175" t="s">
        <v>10</v>
      </c>
      <c r="AA11" s="166"/>
      <c r="AB11" s="166"/>
      <c r="AC11" s="176"/>
    </row>
    <row r="12" spans="1:36" ht="54.95" customHeight="1">
      <c r="A12" s="92">
        <v>6</v>
      </c>
      <c r="B12" s="178" t="s">
        <v>104</v>
      </c>
      <c r="C12" s="179"/>
      <c r="D12" s="180"/>
      <c r="E12" s="181"/>
      <c r="F12" s="182"/>
      <c r="G12" s="183"/>
      <c r="H12" s="180"/>
      <c r="I12" s="181"/>
      <c r="J12" s="182"/>
      <c r="K12" s="183"/>
      <c r="L12" s="180"/>
      <c r="M12" s="181"/>
      <c r="N12" s="182"/>
      <c r="O12" s="183"/>
      <c r="P12" s="180"/>
      <c r="Q12" s="181"/>
      <c r="R12" s="184"/>
      <c r="S12" s="183"/>
      <c r="T12" s="180"/>
      <c r="U12" s="181"/>
      <c r="V12" s="182"/>
      <c r="W12" s="183"/>
      <c r="X12" s="180"/>
      <c r="Y12" s="181"/>
      <c r="Z12" s="184"/>
      <c r="AA12" s="166"/>
      <c r="AB12" s="166"/>
      <c r="AC12" s="185"/>
      <c r="AD12" s="185"/>
      <c r="AE12" s="185"/>
      <c r="AF12" s="185"/>
      <c r="AG12" s="185"/>
      <c r="AH12" s="185"/>
      <c r="AI12" s="185"/>
      <c r="AJ12" s="185"/>
    </row>
    <row r="13" spans="1:36" ht="54.95" customHeight="1">
      <c r="A13" s="13"/>
      <c r="B13" s="178" t="s">
        <v>105</v>
      </c>
      <c r="C13" s="179"/>
      <c r="D13" s="180"/>
      <c r="E13" s="181"/>
      <c r="F13" s="182"/>
      <c r="G13" s="183"/>
      <c r="H13" s="180"/>
      <c r="I13" s="181"/>
      <c r="J13" s="182"/>
      <c r="K13" s="183"/>
      <c r="L13" s="180"/>
      <c r="M13" s="181"/>
      <c r="N13" s="182"/>
      <c r="O13" s="183"/>
      <c r="P13" s="180"/>
      <c r="Q13" s="181"/>
      <c r="R13" s="184"/>
      <c r="S13" s="183"/>
      <c r="T13" s="180"/>
      <c r="U13" s="181"/>
      <c r="V13" s="182"/>
      <c r="W13" s="183" t="s">
        <v>120</v>
      </c>
      <c r="X13" s="180"/>
      <c r="Y13" s="181"/>
      <c r="Z13" s="184"/>
      <c r="AA13" s="166"/>
      <c r="AB13" s="166"/>
      <c r="AC13" s="185"/>
      <c r="AD13" s="185"/>
      <c r="AE13" s="185"/>
      <c r="AF13" s="185"/>
      <c r="AG13" s="185"/>
      <c r="AH13" s="185"/>
      <c r="AI13" s="185"/>
      <c r="AJ13" s="185"/>
    </row>
    <row r="14" spans="1:36" ht="54.95" customHeight="1">
      <c r="A14" s="92">
        <v>7</v>
      </c>
      <c r="B14" s="178" t="s">
        <v>106</v>
      </c>
      <c r="C14" s="179"/>
      <c r="D14" s="180"/>
      <c r="E14" s="181"/>
      <c r="F14" s="182"/>
      <c r="G14" s="183"/>
      <c r="H14" s="180"/>
      <c r="I14" s="181"/>
      <c r="J14" s="182"/>
      <c r="K14" s="183"/>
      <c r="L14" s="180"/>
      <c r="M14" s="181"/>
      <c r="N14" s="182"/>
      <c r="O14" s="183"/>
      <c r="P14" s="180"/>
      <c r="Q14" s="181"/>
      <c r="R14" s="184"/>
      <c r="S14" s="183"/>
      <c r="T14" s="180"/>
      <c r="U14" s="181"/>
      <c r="V14" s="182"/>
      <c r="W14" s="183" t="s">
        <v>121</v>
      </c>
      <c r="X14" s="180"/>
      <c r="Y14" s="181"/>
      <c r="Z14" s="184"/>
      <c r="AA14" s="166"/>
      <c r="AB14" s="166"/>
      <c r="AC14" s="185"/>
      <c r="AD14" s="185"/>
      <c r="AE14" s="185"/>
      <c r="AF14" s="185"/>
      <c r="AG14" s="185"/>
      <c r="AH14" s="185"/>
      <c r="AI14" s="185"/>
      <c r="AJ14" s="185"/>
    </row>
    <row r="15" spans="1:36" ht="54.95" customHeight="1">
      <c r="A15" s="13"/>
      <c r="B15" s="178" t="s">
        <v>107</v>
      </c>
      <c r="C15" s="179"/>
      <c r="D15" s="180"/>
      <c r="E15" s="181"/>
      <c r="F15" s="182"/>
      <c r="G15" s="183">
        <v>1</v>
      </c>
      <c r="H15" s="180"/>
      <c r="I15" s="181"/>
      <c r="J15" s="182"/>
      <c r="K15" s="183"/>
      <c r="L15" s="180"/>
      <c r="M15" s="181"/>
      <c r="N15" s="182"/>
      <c r="O15" s="183"/>
      <c r="P15" s="180"/>
      <c r="Q15" s="181"/>
      <c r="R15" s="184"/>
      <c r="S15" s="183"/>
      <c r="T15" s="180"/>
      <c r="U15" s="181"/>
      <c r="V15" s="182"/>
      <c r="W15" s="183"/>
      <c r="X15" s="180"/>
      <c r="Y15" s="181"/>
      <c r="Z15" s="184"/>
      <c r="AA15" s="166"/>
      <c r="AB15" s="166"/>
      <c r="AC15" s="185"/>
      <c r="AD15" s="185"/>
      <c r="AE15" s="185"/>
      <c r="AF15" s="185"/>
      <c r="AG15" s="185"/>
      <c r="AH15" s="185"/>
      <c r="AI15" s="185"/>
      <c r="AJ15" s="185"/>
    </row>
    <row r="16" spans="1:36" ht="54.95" customHeight="1">
      <c r="A16" s="13"/>
      <c r="B16" s="178" t="s">
        <v>104</v>
      </c>
      <c r="C16" s="179"/>
      <c r="D16" s="180">
        <v>1</v>
      </c>
      <c r="E16" s="181"/>
      <c r="F16" s="182"/>
      <c r="G16" s="183"/>
      <c r="H16" s="180"/>
      <c r="I16" s="181"/>
      <c r="J16" s="182"/>
      <c r="K16" s="183"/>
      <c r="L16" s="180"/>
      <c r="M16" s="181"/>
      <c r="N16" s="182"/>
      <c r="O16" s="183"/>
      <c r="P16" s="180"/>
      <c r="Q16" s="181"/>
      <c r="R16" s="184"/>
      <c r="S16" s="183"/>
      <c r="T16" s="180"/>
      <c r="U16" s="181"/>
      <c r="V16" s="182"/>
      <c r="W16" s="183"/>
      <c r="X16" s="180"/>
      <c r="Y16" s="181"/>
      <c r="Z16" s="184"/>
      <c r="AA16" s="166"/>
      <c r="AB16" s="166"/>
      <c r="AC16" s="185"/>
      <c r="AD16" s="185"/>
      <c r="AE16" s="185"/>
      <c r="AF16" s="185"/>
      <c r="AG16" s="185"/>
      <c r="AH16" s="185"/>
      <c r="AI16" s="185"/>
      <c r="AJ16" s="185"/>
    </row>
    <row r="17" spans="1:38" ht="54.95" customHeight="1">
      <c r="A17" s="13"/>
      <c r="B17" s="178" t="s">
        <v>105</v>
      </c>
      <c r="C17" s="179"/>
      <c r="D17" s="180"/>
      <c r="E17" s="181"/>
      <c r="F17" s="182"/>
      <c r="G17" s="183"/>
      <c r="H17" s="180"/>
      <c r="I17" s="181"/>
      <c r="J17" s="182"/>
      <c r="K17" s="183"/>
      <c r="L17" s="180"/>
      <c r="M17" s="181"/>
      <c r="N17" s="182"/>
      <c r="O17" s="183"/>
      <c r="P17" s="180"/>
      <c r="Q17" s="181"/>
      <c r="R17" s="184"/>
      <c r="S17" s="183"/>
      <c r="T17" s="180"/>
      <c r="U17" s="181"/>
      <c r="V17" s="182"/>
      <c r="W17" s="183"/>
      <c r="X17" s="180"/>
      <c r="Y17" s="181"/>
      <c r="Z17" s="184"/>
      <c r="AA17" s="166"/>
      <c r="AB17" s="166"/>
      <c r="AC17" s="185"/>
      <c r="AD17" s="185"/>
      <c r="AE17" s="185"/>
      <c r="AF17" s="185"/>
      <c r="AG17" s="185"/>
      <c r="AH17" s="185"/>
      <c r="AI17" s="185"/>
      <c r="AJ17" s="185"/>
    </row>
    <row r="18" spans="1:38" ht="54.95" customHeight="1">
      <c r="A18" s="92">
        <v>8</v>
      </c>
      <c r="B18" s="178" t="s">
        <v>106</v>
      </c>
      <c r="C18" s="179"/>
      <c r="D18" s="180"/>
      <c r="E18" s="181"/>
      <c r="F18" s="182"/>
      <c r="G18" s="183" t="s">
        <v>121</v>
      </c>
      <c r="H18" s="180"/>
      <c r="I18" s="181"/>
      <c r="J18" s="182"/>
      <c r="K18" s="183"/>
      <c r="L18" s="180"/>
      <c r="M18" s="181"/>
      <c r="N18" s="182"/>
      <c r="O18" s="183"/>
      <c r="P18" s="180"/>
      <c r="Q18" s="181"/>
      <c r="R18" s="184"/>
      <c r="S18" s="183"/>
      <c r="T18" s="180"/>
      <c r="U18" s="181"/>
      <c r="V18" s="182"/>
      <c r="W18" s="183"/>
      <c r="X18" s="180"/>
      <c r="Y18" s="181"/>
      <c r="Z18" s="184"/>
      <c r="AA18" s="166"/>
      <c r="AB18" s="166"/>
      <c r="AC18" s="185"/>
      <c r="AD18" s="185"/>
      <c r="AE18" s="185"/>
      <c r="AF18" s="185"/>
      <c r="AG18" s="185"/>
      <c r="AH18" s="185"/>
      <c r="AI18" s="185"/>
      <c r="AJ18" s="185"/>
    </row>
    <row r="19" spans="1:38" ht="54.95" customHeight="1">
      <c r="A19" s="13"/>
      <c r="B19" s="178" t="s">
        <v>107</v>
      </c>
      <c r="C19" s="179"/>
      <c r="D19" s="180"/>
      <c r="E19" s="181"/>
      <c r="F19" s="182"/>
      <c r="G19" s="183"/>
      <c r="H19" s="180"/>
      <c r="I19" s="181"/>
      <c r="J19" s="182"/>
      <c r="K19" s="183"/>
      <c r="L19" s="180"/>
      <c r="M19" s="181"/>
      <c r="N19" s="182"/>
      <c r="O19" s="183"/>
      <c r="P19" s="180"/>
      <c r="Q19" s="181"/>
      <c r="R19" s="184"/>
      <c r="S19" s="183"/>
      <c r="T19" s="180"/>
      <c r="U19" s="181"/>
      <c r="V19" s="182"/>
      <c r="W19" s="183"/>
      <c r="X19" s="180"/>
      <c r="Y19" s="181"/>
      <c r="Z19" s="184"/>
      <c r="AA19" s="166"/>
      <c r="AB19" s="166"/>
      <c r="AC19" s="185"/>
      <c r="AD19" s="185"/>
      <c r="AE19" s="185"/>
      <c r="AF19" s="185"/>
      <c r="AG19" s="185"/>
      <c r="AH19" s="185"/>
      <c r="AI19" s="185"/>
      <c r="AJ19" s="185"/>
    </row>
    <row r="20" spans="1:38" ht="54.95" customHeight="1">
      <c r="A20" s="13"/>
      <c r="B20" s="178" t="s">
        <v>104</v>
      </c>
      <c r="C20" s="179"/>
      <c r="D20" s="180"/>
      <c r="E20" s="181"/>
      <c r="F20" s="182"/>
      <c r="G20" s="183"/>
      <c r="H20" s="180"/>
      <c r="I20" s="181" t="s">
        <v>122</v>
      </c>
      <c r="J20" s="182"/>
      <c r="K20" s="183"/>
      <c r="L20" s="180"/>
      <c r="M20" s="181"/>
      <c r="N20" s="182"/>
      <c r="O20" s="183"/>
      <c r="P20" s="180"/>
      <c r="Q20" s="181"/>
      <c r="R20" s="184"/>
      <c r="S20" s="183"/>
      <c r="T20" s="180"/>
      <c r="U20" s="181"/>
      <c r="V20" s="182"/>
      <c r="W20" s="183"/>
      <c r="X20" s="180"/>
      <c r="Y20" s="181"/>
      <c r="Z20" s="184"/>
      <c r="AA20" s="166"/>
      <c r="AB20" s="166"/>
      <c r="AC20" s="185"/>
      <c r="AD20" s="185"/>
      <c r="AE20" s="185"/>
      <c r="AF20" s="185"/>
      <c r="AG20" s="185"/>
      <c r="AH20" s="185"/>
      <c r="AI20" s="185"/>
      <c r="AJ20" s="185"/>
    </row>
    <row r="21" spans="1:38" ht="54.95" customHeight="1" thickBot="1">
      <c r="A21" s="93">
        <v>9</v>
      </c>
      <c r="B21" s="178" t="s">
        <v>105</v>
      </c>
      <c r="C21" s="179"/>
      <c r="D21" s="180"/>
      <c r="E21" s="181"/>
      <c r="F21" s="182"/>
      <c r="G21" s="183"/>
      <c r="H21" s="180"/>
      <c r="I21" s="181"/>
      <c r="J21" s="182"/>
      <c r="K21" s="183"/>
      <c r="L21" s="180"/>
      <c r="M21" s="181"/>
      <c r="N21" s="182"/>
      <c r="O21" s="183"/>
      <c r="P21" s="180">
        <v>1</v>
      </c>
      <c r="Q21" s="181"/>
      <c r="R21" s="184"/>
      <c r="S21" s="183"/>
      <c r="T21" s="180"/>
      <c r="U21" s="181"/>
      <c r="V21" s="182"/>
      <c r="W21" s="183">
        <v>1</v>
      </c>
      <c r="X21" s="180"/>
      <c r="Y21" s="181"/>
      <c r="Z21" s="184"/>
      <c r="AA21" s="166"/>
      <c r="AB21" s="166"/>
      <c r="AC21" s="185"/>
      <c r="AD21" s="185"/>
      <c r="AE21" s="185"/>
      <c r="AF21" s="185"/>
      <c r="AG21" s="185"/>
      <c r="AH21" s="185"/>
      <c r="AI21" s="185"/>
      <c r="AJ21" s="185"/>
    </row>
    <row r="22" spans="1:38" ht="54.95" hidden="1" customHeight="1" thickTop="1">
      <c r="A22" s="177">
        <v>9</v>
      </c>
      <c r="B22" s="178" t="s">
        <v>106</v>
      </c>
      <c r="C22" s="179"/>
      <c r="D22" s="180"/>
      <c r="E22" s="181"/>
      <c r="F22" s="182"/>
      <c r="G22" s="183"/>
      <c r="H22" s="180"/>
      <c r="I22" s="181"/>
      <c r="J22" s="182"/>
      <c r="K22" s="183"/>
      <c r="L22" s="180"/>
      <c r="M22" s="181"/>
      <c r="N22" s="182"/>
      <c r="O22" s="183"/>
      <c r="P22" s="180"/>
      <c r="Q22" s="181"/>
      <c r="R22" s="184"/>
      <c r="S22" s="183"/>
      <c r="T22" s="180"/>
      <c r="U22" s="181"/>
      <c r="V22" s="182"/>
      <c r="W22" s="183"/>
      <c r="X22" s="180"/>
      <c r="Y22" s="181"/>
      <c r="Z22" s="184"/>
      <c r="AA22" s="166"/>
      <c r="AB22" s="166"/>
      <c r="AC22" s="185"/>
      <c r="AD22" s="185"/>
      <c r="AE22" s="185"/>
      <c r="AF22" s="185"/>
      <c r="AG22" s="185"/>
      <c r="AH22" s="185"/>
      <c r="AI22" s="185"/>
      <c r="AJ22" s="185"/>
    </row>
    <row r="23" spans="1:38" ht="54.95" hidden="1" customHeight="1" thickBot="1">
      <c r="A23" s="186"/>
      <c r="B23" s="187" t="s">
        <v>107</v>
      </c>
      <c r="C23" s="188"/>
      <c r="D23" s="189"/>
      <c r="E23" s="190"/>
      <c r="F23" s="191"/>
      <c r="G23" s="192"/>
      <c r="H23" s="189"/>
      <c r="I23" s="190"/>
      <c r="J23" s="191"/>
      <c r="K23" s="192"/>
      <c r="L23" s="189"/>
      <c r="M23" s="190"/>
      <c r="N23" s="191"/>
      <c r="O23" s="192"/>
      <c r="P23" s="189"/>
      <c r="Q23" s="190"/>
      <c r="R23" s="193"/>
      <c r="S23" s="192"/>
      <c r="T23" s="189"/>
      <c r="U23" s="190"/>
      <c r="V23" s="191"/>
      <c r="W23" s="192"/>
      <c r="X23" s="189"/>
      <c r="Y23" s="190"/>
      <c r="Z23" s="193"/>
      <c r="AA23" s="166"/>
      <c r="AB23" s="166"/>
      <c r="AC23" s="185"/>
      <c r="AD23" s="185"/>
      <c r="AE23" s="185"/>
      <c r="AF23" s="185"/>
      <c r="AG23" s="185"/>
      <c r="AH23" s="185"/>
      <c r="AI23" s="185"/>
      <c r="AJ23" s="185"/>
    </row>
    <row r="24" spans="1:38" ht="54.95" customHeight="1" thickTop="1" thickBot="1">
      <c r="A24" s="194"/>
      <c r="B24" s="19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85"/>
      <c r="AD24" s="185"/>
      <c r="AE24" s="185"/>
      <c r="AF24" s="185"/>
      <c r="AG24" s="185"/>
      <c r="AH24" s="185"/>
      <c r="AI24" s="185"/>
      <c r="AJ24" s="185"/>
    </row>
    <row r="25" spans="1:38" ht="52.5" customHeight="1" thickBot="1">
      <c r="A25" s="195" t="s">
        <v>0</v>
      </c>
      <c r="B25" s="196" t="str">
        <f>B1</f>
        <v>Amancy Giratoire de la Coriandre- RD903 et 1203</v>
      </c>
      <c r="C25" s="197"/>
      <c r="D25" s="197"/>
      <c r="E25" s="197"/>
      <c r="F25" s="198"/>
      <c r="G25" s="198"/>
      <c r="H25" s="197"/>
      <c r="I25" s="197"/>
      <c r="J25" s="198"/>
      <c r="K25" s="198"/>
      <c r="L25" s="199"/>
      <c r="M25" s="156" t="s">
        <v>90</v>
      </c>
      <c r="N25" s="200" t="str">
        <f>N1</f>
        <v>mardi 16 juin 2020</v>
      </c>
      <c r="O25" s="197"/>
      <c r="P25" s="197"/>
      <c r="Q25" s="197"/>
      <c r="R25" s="197"/>
      <c r="S25" s="197"/>
      <c r="T25" s="197"/>
      <c r="U25" s="197"/>
      <c r="V25" s="201"/>
      <c r="W25" s="202"/>
      <c r="X25" s="202"/>
      <c r="Y25" s="202"/>
      <c r="Z25" s="203"/>
      <c r="AA25" s="204" t="s">
        <v>0</v>
      </c>
      <c r="AB25" s="196" t="str">
        <f>B25</f>
        <v>Amancy Giratoire de la Coriandre- RD903 et 1203</v>
      </c>
      <c r="AC25" s="197"/>
      <c r="AD25" s="197"/>
      <c r="AE25" s="197"/>
      <c r="AF25" s="199"/>
      <c r="AG25" s="205" t="s">
        <v>1</v>
      </c>
      <c r="AH25" s="196" t="str">
        <f>N25</f>
        <v>mardi 16 juin 2020</v>
      </c>
      <c r="AI25" s="197"/>
      <c r="AJ25" s="197"/>
      <c r="AK25" s="201"/>
      <c r="AL25" s="206"/>
    </row>
    <row r="26" spans="1:38" ht="52.5" customHeight="1" thickBot="1">
      <c r="A26" s="162" t="s">
        <v>2</v>
      </c>
      <c r="B26" s="163"/>
      <c r="C26" s="163"/>
      <c r="D26" s="163"/>
      <c r="E26" s="163"/>
      <c r="F26" s="163"/>
      <c r="G26" s="196" t="str">
        <f>G2</f>
        <v>Yannick ROGUET</v>
      </c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201"/>
      <c r="W26" s="163"/>
      <c r="X26" s="163"/>
      <c r="Y26" s="163"/>
      <c r="Z26" s="163"/>
      <c r="AA26" s="162" t="s">
        <v>2</v>
      </c>
      <c r="AB26" s="163"/>
      <c r="AC26" s="163"/>
      <c r="AD26" s="163"/>
      <c r="AE26" s="196" t="str">
        <f>G26</f>
        <v>Yannick ROGUET</v>
      </c>
      <c r="AF26" s="197"/>
      <c r="AG26" s="197"/>
      <c r="AH26" s="197"/>
      <c r="AI26" s="197"/>
      <c r="AJ26" s="197"/>
      <c r="AK26" s="201"/>
      <c r="AL26" s="207"/>
    </row>
    <row r="27" spans="1:38" ht="52.5" customHeight="1" thickBot="1">
      <c r="A27" s="162" t="s">
        <v>3</v>
      </c>
      <c r="B27" s="163"/>
      <c r="C27" s="196" t="str">
        <f>C3</f>
        <v>Beau temps, mais frais</v>
      </c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201"/>
      <c r="W27" s="163"/>
      <c r="X27" s="163"/>
      <c r="Y27" s="163"/>
      <c r="Z27" s="164"/>
      <c r="AA27" s="162" t="s">
        <v>3</v>
      </c>
      <c r="AB27" s="163"/>
      <c r="AC27" s="196" t="str">
        <f>C27</f>
        <v>Beau temps, mais frais</v>
      </c>
      <c r="AD27" s="197"/>
      <c r="AE27" s="197"/>
      <c r="AF27" s="197"/>
      <c r="AG27" s="197"/>
      <c r="AH27" s="197"/>
      <c r="AI27" s="197"/>
      <c r="AJ27" s="197"/>
      <c r="AK27" s="201"/>
      <c r="AL27" s="208"/>
    </row>
    <row r="28" spans="1:38" ht="52.5" customHeight="1" thickBot="1">
      <c r="A28" s="162" t="s">
        <v>18</v>
      </c>
      <c r="B28" s="163"/>
      <c r="C28" s="196" t="str">
        <f>C4</f>
        <v>Pour la destintation des cyclistes, se référer au SCAN de la grille utilisée sur le terrain</v>
      </c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201"/>
      <c r="W28" s="163"/>
      <c r="X28" s="163"/>
      <c r="Y28" s="163"/>
      <c r="Z28" s="164"/>
      <c r="AA28" s="162" t="s">
        <v>18</v>
      </c>
      <c r="AB28" s="163"/>
      <c r="AC28" s="196" t="str">
        <f>C28</f>
        <v>Pour la destintation des cyclistes, se référer au SCAN de la grille utilisée sur le terrain</v>
      </c>
      <c r="AD28" s="197"/>
      <c r="AE28" s="197"/>
      <c r="AF28" s="197"/>
      <c r="AG28" s="197"/>
      <c r="AH28" s="197"/>
      <c r="AI28" s="197"/>
      <c r="AJ28" s="197"/>
      <c r="AK28" s="201"/>
      <c r="AL28" s="208"/>
    </row>
    <row r="29" spans="1:38" ht="25.5" customHeight="1">
      <c r="A29" s="165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4"/>
      <c r="S29" s="163"/>
      <c r="T29" s="163"/>
      <c r="U29" s="163"/>
      <c r="V29" s="163"/>
      <c r="W29" s="163"/>
      <c r="X29" s="163"/>
      <c r="Y29" s="163"/>
      <c r="Z29" s="164"/>
      <c r="AA29" s="165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207"/>
    </row>
    <row r="30" spans="1:38" ht="25.5" customHeight="1">
      <c r="A30" s="165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4"/>
      <c r="S30" s="163"/>
      <c r="T30" s="163"/>
      <c r="U30" s="163"/>
      <c r="V30" s="163"/>
      <c r="W30" s="163"/>
      <c r="X30" s="163"/>
      <c r="Y30" s="163"/>
      <c r="Z30" s="164"/>
      <c r="AA30" s="165"/>
      <c r="AB30" s="163"/>
      <c r="AC30" s="163"/>
      <c r="AD30" s="163"/>
      <c r="AE30" s="163"/>
      <c r="AF30" s="163"/>
      <c r="AG30" s="163"/>
      <c r="AH30" s="163"/>
      <c r="AI30" s="163"/>
      <c r="AJ30" s="163"/>
      <c r="AK30" s="164"/>
      <c r="AL30" s="209"/>
    </row>
    <row r="31" spans="1:38" ht="25.5" customHeight="1" thickBot="1">
      <c r="A31" s="165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4"/>
      <c r="S31" s="163"/>
      <c r="T31" s="163"/>
      <c r="U31" s="163"/>
      <c r="V31" s="163"/>
      <c r="W31" s="163"/>
      <c r="X31" s="163"/>
      <c r="Y31" s="163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209"/>
    </row>
    <row r="32" spans="1:38" ht="32.25" customHeight="1" thickTop="1">
      <c r="A32" s="162"/>
      <c r="B32" s="163"/>
      <c r="C32" s="480"/>
      <c r="D32" s="481"/>
      <c r="E32" s="481"/>
      <c r="F32" s="481"/>
      <c r="G32" s="481"/>
      <c r="H32" s="481"/>
      <c r="I32" s="481"/>
      <c r="J32" s="481"/>
      <c r="K32" s="481"/>
      <c r="L32" s="481"/>
      <c r="M32" s="481"/>
      <c r="N32" s="481"/>
      <c r="O32" s="481"/>
      <c r="P32" s="481"/>
      <c r="Q32" s="481"/>
      <c r="R32" s="481"/>
      <c r="S32" s="481"/>
      <c r="T32" s="481"/>
      <c r="U32" s="481"/>
      <c r="V32" s="481"/>
      <c r="W32" s="481"/>
      <c r="X32" s="481"/>
      <c r="Y32" s="481"/>
      <c r="Z32" s="482"/>
      <c r="AA32" s="162"/>
      <c r="AB32" s="163"/>
      <c r="AC32" s="483" t="s">
        <v>13</v>
      </c>
      <c r="AD32" s="465" t="s">
        <v>15</v>
      </c>
      <c r="AE32" s="465" t="s">
        <v>16</v>
      </c>
      <c r="AF32" s="465" t="s">
        <v>17</v>
      </c>
      <c r="AG32" s="465"/>
      <c r="AH32" s="465"/>
      <c r="AI32" s="465"/>
      <c r="AJ32" s="468"/>
      <c r="AK32" s="469"/>
      <c r="AL32" s="470"/>
    </row>
    <row r="33" spans="1:39" ht="22.7" customHeight="1">
      <c r="A33" s="162"/>
      <c r="B33" s="163"/>
      <c r="C33" s="477" t="str">
        <f>C9</f>
        <v>D'Intermarché</v>
      </c>
      <c r="D33" s="478"/>
      <c r="E33" s="478"/>
      <c r="F33" s="478"/>
      <c r="G33" s="477" t="str">
        <f t="shared" ref="G33" si="0">G9</f>
        <v>de ZA</v>
      </c>
      <c r="H33" s="478"/>
      <c r="I33" s="478"/>
      <c r="J33" s="478"/>
      <c r="K33" s="477" t="str">
        <f t="shared" ref="K33" si="1">K9</f>
        <v>de Bigaille</v>
      </c>
      <c r="L33" s="478"/>
      <c r="M33" s="478"/>
      <c r="N33" s="478"/>
      <c r="O33" s="477" t="str">
        <f t="shared" ref="O33" si="2">O9</f>
        <v>d'Annecy</v>
      </c>
      <c r="P33" s="478"/>
      <c r="Q33" s="478"/>
      <c r="R33" s="478"/>
      <c r="S33" s="477" t="str">
        <f t="shared" ref="S33" si="3">S9</f>
        <v>de Véto</v>
      </c>
      <c r="T33" s="478"/>
      <c r="U33" s="478"/>
      <c r="V33" s="478"/>
      <c r="W33" s="477" t="str">
        <f t="shared" ref="W33" si="4">W9</f>
        <v>de Collège</v>
      </c>
      <c r="X33" s="478"/>
      <c r="Y33" s="478"/>
      <c r="Z33" s="479"/>
      <c r="AA33" s="162"/>
      <c r="AB33" s="163"/>
      <c r="AC33" s="484"/>
      <c r="AD33" s="466"/>
      <c r="AE33" s="466"/>
      <c r="AF33" s="466"/>
      <c r="AG33" s="466"/>
      <c r="AH33" s="466"/>
      <c r="AI33" s="466"/>
      <c r="AJ33" s="471"/>
      <c r="AK33" s="472"/>
      <c r="AL33" s="473"/>
    </row>
    <row r="34" spans="1:39" ht="18.600000000000001" customHeight="1" thickBot="1">
      <c r="A34" s="210"/>
      <c r="B34" s="163"/>
      <c r="C34" s="457" t="s">
        <v>5</v>
      </c>
      <c r="D34" s="458"/>
      <c r="E34" s="461" t="s">
        <v>6</v>
      </c>
      <c r="F34" s="462"/>
      <c r="G34" s="463" t="s">
        <v>5</v>
      </c>
      <c r="H34" s="458"/>
      <c r="I34" s="461" t="s">
        <v>6</v>
      </c>
      <c r="J34" s="462"/>
      <c r="K34" s="463" t="s">
        <v>5</v>
      </c>
      <c r="L34" s="458"/>
      <c r="M34" s="461" t="s">
        <v>6</v>
      </c>
      <c r="N34" s="462"/>
      <c r="O34" s="463" t="s">
        <v>5</v>
      </c>
      <c r="P34" s="458"/>
      <c r="Q34" s="461" t="s">
        <v>6</v>
      </c>
      <c r="R34" s="464"/>
      <c r="S34" s="463" t="s">
        <v>5</v>
      </c>
      <c r="T34" s="458"/>
      <c r="U34" s="461" t="s">
        <v>6</v>
      </c>
      <c r="V34" s="462"/>
      <c r="W34" s="463" t="s">
        <v>5</v>
      </c>
      <c r="X34" s="458"/>
      <c r="Y34" s="485" t="s">
        <v>6</v>
      </c>
      <c r="Z34" s="486"/>
      <c r="AA34" s="210"/>
      <c r="AB34" s="163"/>
      <c r="AC34" s="484"/>
      <c r="AD34" s="466"/>
      <c r="AE34" s="466"/>
      <c r="AF34" s="466"/>
      <c r="AG34" s="466"/>
      <c r="AH34" s="466"/>
      <c r="AI34" s="466"/>
      <c r="AJ34" s="471"/>
      <c r="AK34" s="472"/>
      <c r="AL34" s="473"/>
    </row>
    <row r="35" spans="1:39" ht="21" thickTop="1">
      <c r="A35" s="453" t="s">
        <v>14</v>
      </c>
      <c r="B35" s="454"/>
      <c r="C35" s="170" t="s">
        <v>9</v>
      </c>
      <c r="D35" s="171" t="s">
        <v>10</v>
      </c>
      <c r="E35" s="172" t="s">
        <v>9</v>
      </c>
      <c r="F35" s="173" t="s">
        <v>10</v>
      </c>
      <c r="G35" s="174" t="s">
        <v>9</v>
      </c>
      <c r="H35" s="171" t="s">
        <v>10</v>
      </c>
      <c r="I35" s="172" t="s">
        <v>9</v>
      </c>
      <c r="J35" s="173" t="s">
        <v>10</v>
      </c>
      <c r="K35" s="174" t="s">
        <v>9</v>
      </c>
      <c r="L35" s="171" t="s">
        <v>10</v>
      </c>
      <c r="M35" s="172" t="s">
        <v>9</v>
      </c>
      <c r="N35" s="173" t="s">
        <v>10</v>
      </c>
      <c r="O35" s="174" t="s">
        <v>9</v>
      </c>
      <c r="P35" s="171" t="s">
        <v>10</v>
      </c>
      <c r="Q35" s="172" t="s">
        <v>9</v>
      </c>
      <c r="R35" s="175" t="s">
        <v>10</v>
      </c>
      <c r="S35" s="174" t="s">
        <v>9</v>
      </c>
      <c r="T35" s="171" t="s">
        <v>10</v>
      </c>
      <c r="U35" s="172" t="s">
        <v>9</v>
      </c>
      <c r="V35" s="173" t="s">
        <v>10</v>
      </c>
      <c r="W35" s="174" t="s">
        <v>9</v>
      </c>
      <c r="X35" s="171" t="s">
        <v>10</v>
      </c>
      <c r="Y35" s="172" t="s">
        <v>9</v>
      </c>
      <c r="Z35" s="175" t="s">
        <v>10</v>
      </c>
      <c r="AA35" s="455" t="s">
        <v>14</v>
      </c>
      <c r="AB35" s="456"/>
      <c r="AC35" s="484"/>
      <c r="AD35" s="467"/>
      <c r="AE35" s="467"/>
      <c r="AF35" s="467"/>
      <c r="AG35" s="467"/>
      <c r="AH35" s="467"/>
      <c r="AI35" s="467"/>
      <c r="AJ35" s="474"/>
      <c r="AK35" s="475"/>
      <c r="AL35" s="476"/>
    </row>
    <row r="36" spans="1:39" ht="54.95" customHeight="1">
      <c r="A36" s="375" t="s">
        <v>175</v>
      </c>
      <c r="B36" s="376"/>
      <c r="C36" s="211">
        <f>SUM(C12:C15)</f>
        <v>0</v>
      </c>
      <c r="D36" s="212">
        <f t="shared" ref="D36:Z36" si="5">SUM(D12:D15)</f>
        <v>0</v>
      </c>
      <c r="E36" s="213">
        <f t="shared" si="5"/>
        <v>0</v>
      </c>
      <c r="F36" s="214">
        <f t="shared" si="5"/>
        <v>0</v>
      </c>
      <c r="G36" s="215">
        <f t="shared" si="5"/>
        <v>1</v>
      </c>
      <c r="H36" s="212">
        <f t="shared" si="5"/>
        <v>0</v>
      </c>
      <c r="I36" s="213">
        <f t="shared" si="5"/>
        <v>0</v>
      </c>
      <c r="J36" s="214">
        <f t="shared" si="5"/>
        <v>0</v>
      </c>
      <c r="K36" s="215">
        <f t="shared" si="5"/>
        <v>0</v>
      </c>
      <c r="L36" s="212">
        <f t="shared" si="5"/>
        <v>0</v>
      </c>
      <c r="M36" s="213">
        <f t="shared" si="5"/>
        <v>0</v>
      </c>
      <c r="N36" s="214">
        <f t="shared" si="5"/>
        <v>0</v>
      </c>
      <c r="O36" s="215">
        <f t="shared" si="5"/>
        <v>0</v>
      </c>
      <c r="P36" s="212">
        <f t="shared" si="5"/>
        <v>0</v>
      </c>
      <c r="Q36" s="213">
        <f t="shared" si="5"/>
        <v>0</v>
      </c>
      <c r="R36" s="216">
        <f t="shared" si="5"/>
        <v>0</v>
      </c>
      <c r="S36" s="215">
        <f t="shared" si="5"/>
        <v>0</v>
      </c>
      <c r="T36" s="212">
        <f t="shared" si="5"/>
        <v>0</v>
      </c>
      <c r="U36" s="213">
        <f t="shared" si="5"/>
        <v>0</v>
      </c>
      <c r="V36" s="214">
        <f t="shared" si="5"/>
        <v>0</v>
      </c>
      <c r="W36" s="215">
        <f t="shared" si="5"/>
        <v>0</v>
      </c>
      <c r="X36" s="212">
        <f t="shared" si="5"/>
        <v>0</v>
      </c>
      <c r="Y36" s="213">
        <f t="shared" si="5"/>
        <v>0</v>
      </c>
      <c r="Z36" s="216">
        <f t="shared" si="5"/>
        <v>0</v>
      </c>
      <c r="AA36" s="375" t="str">
        <f>A36</f>
        <v>6:30 à 7:00</v>
      </c>
      <c r="AB36" s="376"/>
      <c r="AC36" s="217">
        <f>SUM(C36:Z36)</f>
        <v>1</v>
      </c>
      <c r="AD36" s="129">
        <f>IF(AC36=0,0,AD48/AC36)</f>
        <v>1</v>
      </c>
      <c r="AE36" s="129">
        <f>IF(AC36=0,0,AE48/AC36)</f>
        <v>0</v>
      </c>
      <c r="AF36" s="129">
        <f>IF(AE48=0,0,AF48/AE48)</f>
        <v>0</v>
      </c>
      <c r="AG36" s="218"/>
      <c r="AH36" s="219"/>
      <c r="AI36" s="219"/>
      <c r="AJ36" s="220"/>
      <c r="AK36" s="459"/>
      <c r="AL36" s="460"/>
    </row>
    <row r="37" spans="1:39" ht="54.95" customHeight="1">
      <c r="A37" s="377" t="s">
        <v>46</v>
      </c>
      <c r="B37" s="378"/>
      <c r="C37" s="221">
        <f>SUM(C14:C17)</f>
        <v>0</v>
      </c>
      <c r="D37" s="222">
        <f t="shared" ref="D37:Z37" si="6">SUM(D14:D17)</f>
        <v>1</v>
      </c>
      <c r="E37" s="223">
        <f t="shared" si="6"/>
        <v>0</v>
      </c>
      <c r="F37" s="224">
        <f t="shared" si="6"/>
        <v>0</v>
      </c>
      <c r="G37" s="225">
        <f t="shared" si="6"/>
        <v>1</v>
      </c>
      <c r="H37" s="222">
        <f t="shared" si="6"/>
        <v>0</v>
      </c>
      <c r="I37" s="223">
        <f t="shared" si="6"/>
        <v>0</v>
      </c>
      <c r="J37" s="224">
        <f t="shared" si="6"/>
        <v>0</v>
      </c>
      <c r="K37" s="225">
        <f t="shared" si="6"/>
        <v>0</v>
      </c>
      <c r="L37" s="222">
        <f t="shared" si="6"/>
        <v>0</v>
      </c>
      <c r="M37" s="223">
        <f t="shared" si="6"/>
        <v>0</v>
      </c>
      <c r="N37" s="224">
        <f t="shared" si="6"/>
        <v>0</v>
      </c>
      <c r="O37" s="225">
        <f t="shared" si="6"/>
        <v>0</v>
      </c>
      <c r="P37" s="222">
        <f t="shared" si="6"/>
        <v>0</v>
      </c>
      <c r="Q37" s="223">
        <f t="shared" si="6"/>
        <v>0</v>
      </c>
      <c r="R37" s="226">
        <f t="shared" si="6"/>
        <v>0</v>
      </c>
      <c r="S37" s="225">
        <f t="shared" si="6"/>
        <v>0</v>
      </c>
      <c r="T37" s="222">
        <f t="shared" si="6"/>
        <v>0</v>
      </c>
      <c r="U37" s="223">
        <f t="shared" si="6"/>
        <v>0</v>
      </c>
      <c r="V37" s="224">
        <f t="shared" si="6"/>
        <v>0</v>
      </c>
      <c r="W37" s="225">
        <f t="shared" si="6"/>
        <v>0</v>
      </c>
      <c r="X37" s="222">
        <f t="shared" si="6"/>
        <v>0</v>
      </c>
      <c r="Y37" s="223">
        <f t="shared" si="6"/>
        <v>0</v>
      </c>
      <c r="Z37" s="226">
        <f t="shared" si="6"/>
        <v>0</v>
      </c>
      <c r="AA37" s="375" t="str">
        <f t="shared" ref="AA37:AA39" si="7">A37</f>
        <v>7:00 à 8:00</v>
      </c>
      <c r="AB37" s="376"/>
      <c r="AC37" s="227">
        <f>SUM(C37:Z37)</f>
        <v>2</v>
      </c>
      <c r="AD37" s="132">
        <f t="shared" ref="AD37:AD42" si="8">IF(AC37=0,0,AD49/AC37)</f>
        <v>0.5</v>
      </c>
      <c r="AE37" s="132">
        <f t="shared" ref="AE37:AE42" si="9">IF(AC37=0,0,AE49/AC37)</f>
        <v>0</v>
      </c>
      <c r="AF37" s="132">
        <f t="shared" ref="AF37:AF42" si="10">IF(AE49=0,0,AF49/AE49)</f>
        <v>0</v>
      </c>
      <c r="AG37" s="228"/>
      <c r="AH37" s="229"/>
      <c r="AI37" s="229"/>
      <c r="AJ37" s="230"/>
      <c r="AK37" s="445"/>
      <c r="AL37" s="446"/>
    </row>
    <row r="38" spans="1:39" ht="54.95" customHeight="1">
      <c r="A38" s="377" t="s">
        <v>47</v>
      </c>
      <c r="B38" s="378"/>
      <c r="C38" s="221">
        <f>SUM(C16:C19)</f>
        <v>0</v>
      </c>
      <c r="D38" s="222">
        <f t="shared" ref="D38:Z38" si="11">SUM(D16:D19)</f>
        <v>1</v>
      </c>
      <c r="E38" s="223">
        <f t="shared" si="11"/>
        <v>0</v>
      </c>
      <c r="F38" s="224">
        <f t="shared" si="11"/>
        <v>0</v>
      </c>
      <c r="G38" s="225">
        <f t="shared" si="11"/>
        <v>0</v>
      </c>
      <c r="H38" s="222">
        <f t="shared" si="11"/>
        <v>0</v>
      </c>
      <c r="I38" s="223">
        <f t="shared" si="11"/>
        <v>0</v>
      </c>
      <c r="J38" s="224">
        <f t="shared" si="11"/>
        <v>0</v>
      </c>
      <c r="K38" s="225">
        <f t="shared" si="11"/>
        <v>0</v>
      </c>
      <c r="L38" s="222">
        <f t="shared" si="11"/>
        <v>0</v>
      </c>
      <c r="M38" s="223">
        <f t="shared" si="11"/>
        <v>0</v>
      </c>
      <c r="N38" s="224">
        <f t="shared" si="11"/>
        <v>0</v>
      </c>
      <c r="O38" s="225">
        <f t="shared" si="11"/>
        <v>0</v>
      </c>
      <c r="P38" s="222">
        <f t="shared" si="11"/>
        <v>0</v>
      </c>
      <c r="Q38" s="223">
        <f t="shared" si="11"/>
        <v>0</v>
      </c>
      <c r="R38" s="226">
        <f t="shared" si="11"/>
        <v>0</v>
      </c>
      <c r="S38" s="225">
        <f t="shared" si="11"/>
        <v>0</v>
      </c>
      <c r="T38" s="222">
        <f t="shared" si="11"/>
        <v>0</v>
      </c>
      <c r="U38" s="223">
        <f t="shared" si="11"/>
        <v>0</v>
      </c>
      <c r="V38" s="224">
        <f t="shared" si="11"/>
        <v>0</v>
      </c>
      <c r="W38" s="225">
        <f t="shared" si="11"/>
        <v>0</v>
      </c>
      <c r="X38" s="222">
        <f t="shared" si="11"/>
        <v>0</v>
      </c>
      <c r="Y38" s="223">
        <f t="shared" si="11"/>
        <v>0</v>
      </c>
      <c r="Z38" s="226">
        <f t="shared" si="11"/>
        <v>0</v>
      </c>
      <c r="AA38" s="375" t="str">
        <f t="shared" si="7"/>
        <v>7:30 à 8:30</v>
      </c>
      <c r="AB38" s="376"/>
      <c r="AC38" s="227">
        <f>SUM(C38:Z38)</f>
        <v>1</v>
      </c>
      <c r="AD38" s="132">
        <f t="shared" si="8"/>
        <v>0</v>
      </c>
      <c r="AE38" s="132">
        <f t="shared" si="9"/>
        <v>0</v>
      </c>
      <c r="AF38" s="132">
        <f t="shared" si="10"/>
        <v>0</v>
      </c>
      <c r="AG38" s="228"/>
      <c r="AH38" s="229"/>
      <c r="AI38" s="229"/>
      <c r="AJ38" s="230"/>
      <c r="AK38" s="445"/>
      <c r="AL38" s="446"/>
    </row>
    <row r="39" spans="1:39" ht="54.95" customHeight="1">
      <c r="A39" s="377" t="s">
        <v>48</v>
      </c>
      <c r="B39" s="378"/>
      <c r="C39" s="221">
        <f>SUM(C18:C21)</f>
        <v>0</v>
      </c>
      <c r="D39" s="222">
        <f t="shared" ref="D39:Z39" si="12">SUM(D18:D21)</f>
        <v>0</v>
      </c>
      <c r="E39" s="223">
        <f t="shared" si="12"/>
        <v>0</v>
      </c>
      <c r="F39" s="224">
        <f t="shared" si="12"/>
        <v>0</v>
      </c>
      <c r="G39" s="225">
        <f t="shared" si="12"/>
        <v>0</v>
      </c>
      <c r="H39" s="222">
        <f t="shared" si="12"/>
        <v>0</v>
      </c>
      <c r="I39" s="223">
        <f t="shared" si="12"/>
        <v>0</v>
      </c>
      <c r="J39" s="224">
        <f t="shared" si="12"/>
        <v>0</v>
      </c>
      <c r="K39" s="225">
        <f t="shared" si="12"/>
        <v>0</v>
      </c>
      <c r="L39" s="222">
        <f t="shared" si="12"/>
        <v>0</v>
      </c>
      <c r="M39" s="223">
        <f t="shared" si="12"/>
        <v>0</v>
      </c>
      <c r="N39" s="224">
        <f t="shared" si="12"/>
        <v>0</v>
      </c>
      <c r="O39" s="225">
        <f t="shared" si="12"/>
        <v>0</v>
      </c>
      <c r="P39" s="222">
        <f t="shared" si="12"/>
        <v>1</v>
      </c>
      <c r="Q39" s="223">
        <f t="shared" si="12"/>
        <v>0</v>
      </c>
      <c r="R39" s="226">
        <f t="shared" si="12"/>
        <v>0</v>
      </c>
      <c r="S39" s="225">
        <f t="shared" si="12"/>
        <v>0</v>
      </c>
      <c r="T39" s="222">
        <f t="shared" si="12"/>
        <v>0</v>
      </c>
      <c r="U39" s="223">
        <f t="shared" si="12"/>
        <v>0</v>
      </c>
      <c r="V39" s="224">
        <f t="shared" si="12"/>
        <v>0</v>
      </c>
      <c r="W39" s="225">
        <f t="shared" si="12"/>
        <v>1</v>
      </c>
      <c r="X39" s="222">
        <f t="shared" si="12"/>
        <v>0</v>
      </c>
      <c r="Y39" s="223">
        <f t="shared" si="12"/>
        <v>0</v>
      </c>
      <c r="Z39" s="226">
        <f t="shared" si="12"/>
        <v>0</v>
      </c>
      <c r="AA39" s="375" t="str">
        <f t="shared" si="7"/>
        <v>8:00 à 9:00</v>
      </c>
      <c r="AB39" s="376"/>
      <c r="AC39" s="227">
        <f>SUM(C39:Z39)</f>
        <v>2</v>
      </c>
      <c r="AD39" s="132">
        <f t="shared" si="8"/>
        <v>0.5</v>
      </c>
      <c r="AE39" s="132">
        <f t="shared" si="9"/>
        <v>0</v>
      </c>
      <c r="AF39" s="132">
        <f t="shared" si="10"/>
        <v>0</v>
      </c>
      <c r="AG39" s="228"/>
      <c r="AH39" s="229"/>
      <c r="AI39" s="229"/>
      <c r="AJ39" s="230"/>
      <c r="AK39" s="445"/>
      <c r="AL39" s="446"/>
    </row>
    <row r="40" spans="1:39" ht="54.95" customHeight="1">
      <c r="A40" s="447" t="s">
        <v>19</v>
      </c>
      <c r="B40" s="448"/>
      <c r="C40" s="231">
        <f>SUM(C20:C23)</f>
        <v>0</v>
      </c>
      <c r="D40" s="232">
        <f t="shared" ref="D40:Z40" si="13">SUM(D20:D23)</f>
        <v>0</v>
      </c>
      <c r="E40" s="233">
        <f t="shared" si="13"/>
        <v>0</v>
      </c>
      <c r="F40" s="234">
        <f t="shared" si="13"/>
        <v>0</v>
      </c>
      <c r="G40" s="235">
        <f t="shared" si="13"/>
        <v>0</v>
      </c>
      <c r="H40" s="232">
        <f t="shared" si="13"/>
        <v>0</v>
      </c>
      <c r="I40" s="233">
        <f t="shared" si="13"/>
        <v>0</v>
      </c>
      <c r="J40" s="234">
        <f t="shared" si="13"/>
        <v>0</v>
      </c>
      <c r="K40" s="235">
        <f t="shared" si="13"/>
        <v>0</v>
      </c>
      <c r="L40" s="232">
        <f t="shared" si="13"/>
        <v>0</v>
      </c>
      <c r="M40" s="233">
        <f t="shared" si="13"/>
        <v>0</v>
      </c>
      <c r="N40" s="234">
        <f t="shared" si="13"/>
        <v>0</v>
      </c>
      <c r="O40" s="235">
        <f t="shared" si="13"/>
        <v>0</v>
      </c>
      <c r="P40" s="232">
        <f t="shared" si="13"/>
        <v>1</v>
      </c>
      <c r="Q40" s="233">
        <f t="shared" si="13"/>
        <v>0</v>
      </c>
      <c r="R40" s="236">
        <f t="shared" si="13"/>
        <v>0</v>
      </c>
      <c r="S40" s="235">
        <f t="shared" si="13"/>
        <v>0</v>
      </c>
      <c r="T40" s="232">
        <f t="shared" si="13"/>
        <v>0</v>
      </c>
      <c r="U40" s="233">
        <f t="shared" si="13"/>
        <v>0</v>
      </c>
      <c r="V40" s="234">
        <f t="shared" si="13"/>
        <v>0</v>
      </c>
      <c r="W40" s="235">
        <f t="shared" si="13"/>
        <v>1</v>
      </c>
      <c r="X40" s="232">
        <f t="shared" si="13"/>
        <v>0</v>
      </c>
      <c r="Y40" s="233">
        <f t="shared" si="13"/>
        <v>0</v>
      </c>
      <c r="Z40" s="236">
        <f t="shared" si="13"/>
        <v>0</v>
      </c>
      <c r="AA40" s="449" t="s">
        <v>19</v>
      </c>
      <c r="AB40" s="450"/>
      <c r="AC40" s="237">
        <f>SUM(C40:Z40)</f>
        <v>2</v>
      </c>
      <c r="AD40" s="133">
        <f t="shared" si="8"/>
        <v>0.5</v>
      </c>
      <c r="AE40" s="133">
        <f t="shared" si="9"/>
        <v>0</v>
      </c>
      <c r="AF40" s="133">
        <f t="shared" si="10"/>
        <v>0</v>
      </c>
      <c r="AG40" s="238"/>
      <c r="AH40" s="239"/>
      <c r="AI40" s="239"/>
      <c r="AJ40" s="240"/>
      <c r="AK40" s="451"/>
      <c r="AL40" s="452"/>
    </row>
    <row r="41" spans="1:39" ht="54.95" customHeight="1">
      <c r="A41" s="432" t="s">
        <v>13</v>
      </c>
      <c r="B41" s="433"/>
      <c r="C41" s="241">
        <f>SUM(C12:C23)</f>
        <v>0</v>
      </c>
      <c r="D41" s="242">
        <f t="shared" ref="D41:Z41" si="14">SUM(D12:D23)</f>
        <v>1</v>
      </c>
      <c r="E41" s="243">
        <f t="shared" si="14"/>
        <v>0</v>
      </c>
      <c r="F41" s="244">
        <f t="shared" si="14"/>
        <v>0</v>
      </c>
      <c r="G41" s="245">
        <f t="shared" si="14"/>
        <v>1</v>
      </c>
      <c r="H41" s="242">
        <f t="shared" si="14"/>
        <v>0</v>
      </c>
      <c r="I41" s="243">
        <f t="shared" si="14"/>
        <v>0</v>
      </c>
      <c r="J41" s="244">
        <f t="shared" si="14"/>
        <v>0</v>
      </c>
      <c r="K41" s="245">
        <f t="shared" si="14"/>
        <v>0</v>
      </c>
      <c r="L41" s="242">
        <f t="shared" si="14"/>
        <v>0</v>
      </c>
      <c r="M41" s="243">
        <f t="shared" si="14"/>
        <v>0</v>
      </c>
      <c r="N41" s="244">
        <f t="shared" si="14"/>
        <v>0</v>
      </c>
      <c r="O41" s="245">
        <f t="shared" si="14"/>
        <v>0</v>
      </c>
      <c r="P41" s="242">
        <f t="shared" si="14"/>
        <v>1</v>
      </c>
      <c r="Q41" s="243">
        <f t="shared" si="14"/>
        <v>0</v>
      </c>
      <c r="R41" s="246">
        <f t="shared" si="14"/>
        <v>0</v>
      </c>
      <c r="S41" s="245">
        <f t="shared" si="14"/>
        <v>0</v>
      </c>
      <c r="T41" s="242">
        <f t="shared" si="14"/>
        <v>0</v>
      </c>
      <c r="U41" s="243">
        <f t="shared" si="14"/>
        <v>0</v>
      </c>
      <c r="V41" s="244">
        <f t="shared" si="14"/>
        <v>0</v>
      </c>
      <c r="W41" s="245">
        <f t="shared" si="14"/>
        <v>1</v>
      </c>
      <c r="X41" s="242">
        <f t="shared" si="14"/>
        <v>0</v>
      </c>
      <c r="Y41" s="243">
        <f t="shared" si="14"/>
        <v>0</v>
      </c>
      <c r="Z41" s="246">
        <f t="shared" si="14"/>
        <v>0</v>
      </c>
      <c r="AA41" s="434" t="s">
        <v>13</v>
      </c>
      <c r="AB41" s="435"/>
      <c r="AC41" s="331">
        <f t="shared" ref="AC41:AC42" si="15">SUM(C41:Z41)</f>
        <v>4</v>
      </c>
      <c r="AD41" s="332">
        <f t="shared" si="8"/>
        <v>0.5</v>
      </c>
      <c r="AE41" s="332">
        <f t="shared" si="9"/>
        <v>0</v>
      </c>
      <c r="AF41" s="332">
        <f t="shared" si="10"/>
        <v>0</v>
      </c>
      <c r="AG41" s="247"/>
      <c r="AH41" s="248"/>
      <c r="AI41" s="248"/>
      <c r="AJ41" s="436" t="s">
        <v>123</v>
      </c>
      <c r="AK41" s="437"/>
      <c r="AL41" s="438"/>
    </row>
    <row r="42" spans="1:39" ht="54.95" customHeight="1" thickBot="1">
      <c r="A42" s="439" t="str">
        <f>IF($AC$36=MAX($AC$36:$AC$40),A36,IF($AC$37=MAX($AC$36:$AC$40),A37,IF($AC$38=MAX($AC$36:$AC$40),A38,IF($AC$39=MAX($AC$36:$AC$40),A39,A40))))</f>
        <v>7:00 à 8:00</v>
      </c>
      <c r="B42" s="440"/>
      <c r="C42" s="249">
        <f>IF($AC$36=MAX($AC$36:$AC$40),C36,IF($AC$37=MAX($AC$36:$AC$40),C37,IF($AC$38=MAX($AC$36:$AC$40),C38,IF($AC$39=MAX($AC$36:$AC$40),C39,C40))))</f>
        <v>0</v>
      </c>
      <c r="D42" s="250">
        <f t="shared" ref="D42:Z42" si="16">IF($AC$36=MAX($AC$36:$AC$40),D36,IF($AC$37=MAX($AC$36:$AC$40),D37,IF($AC$38=MAX($AC$36:$AC$40),D38,IF($AC$39=MAX($AC$36:$AC$40),D39,D40))))</f>
        <v>1</v>
      </c>
      <c r="E42" s="251">
        <f t="shared" si="16"/>
        <v>0</v>
      </c>
      <c r="F42" s="252">
        <f t="shared" si="16"/>
        <v>0</v>
      </c>
      <c r="G42" s="253">
        <f t="shared" si="16"/>
        <v>1</v>
      </c>
      <c r="H42" s="250">
        <f t="shared" si="16"/>
        <v>0</v>
      </c>
      <c r="I42" s="251">
        <f t="shared" si="16"/>
        <v>0</v>
      </c>
      <c r="J42" s="252">
        <f t="shared" si="16"/>
        <v>0</v>
      </c>
      <c r="K42" s="253">
        <f t="shared" si="16"/>
        <v>0</v>
      </c>
      <c r="L42" s="250">
        <f t="shared" si="16"/>
        <v>0</v>
      </c>
      <c r="M42" s="251">
        <f t="shared" si="16"/>
        <v>0</v>
      </c>
      <c r="N42" s="252">
        <f t="shared" si="16"/>
        <v>0</v>
      </c>
      <c r="O42" s="253">
        <f t="shared" si="16"/>
        <v>0</v>
      </c>
      <c r="P42" s="250">
        <f t="shared" si="16"/>
        <v>0</v>
      </c>
      <c r="Q42" s="251">
        <f t="shared" si="16"/>
        <v>0</v>
      </c>
      <c r="R42" s="254">
        <f t="shared" si="16"/>
        <v>0</v>
      </c>
      <c r="S42" s="253">
        <f t="shared" si="16"/>
        <v>0</v>
      </c>
      <c r="T42" s="250">
        <f t="shared" si="16"/>
        <v>0</v>
      </c>
      <c r="U42" s="251">
        <f t="shared" si="16"/>
        <v>0</v>
      </c>
      <c r="V42" s="252">
        <f t="shared" si="16"/>
        <v>0</v>
      </c>
      <c r="W42" s="253">
        <f t="shared" si="16"/>
        <v>0</v>
      </c>
      <c r="X42" s="250">
        <f t="shared" si="16"/>
        <v>0</v>
      </c>
      <c r="Y42" s="251">
        <f t="shared" si="16"/>
        <v>0</v>
      </c>
      <c r="Z42" s="254">
        <f t="shared" si="16"/>
        <v>0</v>
      </c>
      <c r="AA42" s="441" t="str">
        <f>A42</f>
        <v>7:00 à 8:00</v>
      </c>
      <c r="AB42" s="442"/>
      <c r="AC42" s="255">
        <f t="shared" si="15"/>
        <v>2</v>
      </c>
      <c r="AD42" s="136">
        <f t="shared" si="8"/>
        <v>0.5</v>
      </c>
      <c r="AE42" s="136">
        <f t="shared" si="9"/>
        <v>0</v>
      </c>
      <c r="AF42" s="136">
        <f t="shared" si="10"/>
        <v>0</v>
      </c>
      <c r="AG42" s="256"/>
      <c r="AH42" s="257"/>
      <c r="AI42" s="257"/>
      <c r="AJ42" s="258"/>
      <c r="AK42" s="443"/>
      <c r="AL42" s="444"/>
    </row>
    <row r="43" spans="1:39" ht="12.75" customHeight="1" thickTop="1" thickBot="1">
      <c r="A43" s="259"/>
      <c r="B43" s="260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59"/>
      <c r="T43" s="260"/>
      <c r="U43" s="260"/>
      <c r="V43" s="260"/>
      <c r="W43" s="260"/>
      <c r="X43" s="260"/>
      <c r="Y43" s="260"/>
      <c r="Z43" s="260"/>
      <c r="AA43" s="261"/>
      <c r="AB43" s="261"/>
      <c r="AC43" s="260"/>
      <c r="AD43" s="260"/>
      <c r="AE43" s="259"/>
      <c r="AF43" s="260"/>
      <c r="AG43" s="260"/>
      <c r="AH43" s="260"/>
      <c r="AI43" s="260"/>
      <c r="AJ43" s="261"/>
      <c r="AK43" s="261"/>
      <c r="AL43" s="262"/>
      <c r="AM43" s="262"/>
    </row>
    <row r="44" spans="1:39" ht="32.25" customHeight="1" thickTop="1">
      <c r="A44" s="263"/>
      <c r="B44" s="261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3"/>
      <c r="AB44" s="261"/>
      <c r="AC44" s="265"/>
      <c r="AD44" s="429" t="s">
        <v>108</v>
      </c>
      <c r="AE44" s="429" t="s">
        <v>109</v>
      </c>
      <c r="AF44" s="429" t="s">
        <v>110</v>
      </c>
      <c r="AG44" s="429"/>
      <c r="AH44" s="429"/>
      <c r="AI44" s="429"/>
      <c r="AJ44" s="266"/>
      <c r="AK44" s="267"/>
      <c r="AL44" s="267"/>
      <c r="AM44" s="262"/>
    </row>
    <row r="45" spans="1:39" ht="22.7" customHeight="1">
      <c r="A45" s="263"/>
      <c r="B45" s="261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3"/>
      <c r="AB45" s="261"/>
      <c r="AC45" s="265"/>
      <c r="AD45" s="430"/>
      <c r="AE45" s="430"/>
      <c r="AF45" s="430"/>
      <c r="AG45" s="430"/>
      <c r="AH45" s="430"/>
      <c r="AI45" s="430"/>
      <c r="AJ45" s="266"/>
      <c r="AK45" s="267"/>
      <c r="AL45" s="267"/>
      <c r="AM45" s="262"/>
    </row>
    <row r="46" spans="1:39" ht="18.600000000000001" customHeight="1">
      <c r="A46" s="263"/>
      <c r="B46" s="261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3"/>
      <c r="AB46" s="261"/>
      <c r="AC46" s="265"/>
      <c r="AD46" s="430"/>
      <c r="AE46" s="430"/>
      <c r="AF46" s="430"/>
      <c r="AG46" s="430"/>
      <c r="AH46" s="430"/>
      <c r="AI46" s="430"/>
      <c r="AJ46" s="266"/>
      <c r="AK46" s="267"/>
      <c r="AL46" s="267"/>
      <c r="AM46" s="262"/>
    </row>
    <row r="47" spans="1:39" ht="20.25">
      <c r="A47" s="270"/>
      <c r="B47" s="270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0"/>
      <c r="AB47" s="270"/>
      <c r="AC47" s="265"/>
      <c r="AD47" s="431"/>
      <c r="AE47" s="431"/>
      <c r="AF47" s="431"/>
      <c r="AG47" s="431"/>
      <c r="AH47" s="431"/>
      <c r="AI47" s="431"/>
      <c r="AJ47" s="266"/>
      <c r="AK47" s="267"/>
      <c r="AL47" s="267"/>
      <c r="AM47" s="262"/>
    </row>
    <row r="48" spans="1:39" ht="54.95" customHeight="1">
      <c r="A48" s="270"/>
      <c r="B48" s="270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  <c r="AA48" s="489" t="str">
        <f>AA36</f>
        <v>6:30 à 7:00</v>
      </c>
      <c r="AB48" s="490"/>
      <c r="AC48" s="273"/>
      <c r="AD48" s="146">
        <f>(C36+E36+G36+I36+K36+M36+O36+Q36+S36+U36+W36+Y36)</f>
        <v>1</v>
      </c>
      <c r="AE48" s="146">
        <f>(E36+F36+I36+J36+M36+N36+Q36+R36+U36+V36+Y36+Z36)</f>
        <v>0</v>
      </c>
      <c r="AF48" s="146">
        <f>(E36+I36+M36+Q36+U36+Y36)</f>
        <v>0</v>
      </c>
      <c r="AG48" s="146"/>
      <c r="AH48" s="146"/>
      <c r="AI48" s="146"/>
      <c r="AJ48" s="274"/>
      <c r="AK48" s="275"/>
      <c r="AL48" s="275"/>
      <c r="AM48" s="262"/>
    </row>
    <row r="49" spans="1:43" ht="54.95" customHeight="1">
      <c r="A49" s="270"/>
      <c r="B49" s="270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  <c r="AA49" s="489" t="str">
        <f t="shared" ref="AA49:AA51" si="17">AA37</f>
        <v>7:00 à 8:00</v>
      </c>
      <c r="AB49" s="490"/>
      <c r="AC49" s="273"/>
      <c r="AD49" s="147">
        <f t="shared" ref="AD49:AD54" si="18">(C37+E37+G37+I37+K37+M37+O37+Q37+S37+U37+W37+Y37)</f>
        <v>1</v>
      </c>
      <c r="AE49" s="147">
        <f t="shared" ref="AE49:AE54" si="19">(E37+F37+I37+J37+M37+N37+Q37+R37+U37+V37+Y37+Z37)</f>
        <v>0</v>
      </c>
      <c r="AF49" s="147">
        <f t="shared" ref="AF49:AF54" si="20">(E37+I37+M37+Q37+U37+Y37)</f>
        <v>0</v>
      </c>
      <c r="AG49" s="147"/>
      <c r="AH49" s="147"/>
      <c r="AI49" s="147"/>
      <c r="AJ49" s="274"/>
      <c r="AK49" s="275"/>
      <c r="AL49" s="275"/>
      <c r="AM49" s="262"/>
    </row>
    <row r="50" spans="1:43" ht="54.95" customHeight="1">
      <c r="A50" s="270"/>
      <c r="B50" s="270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  <c r="AA50" s="489" t="str">
        <f t="shared" si="17"/>
        <v>7:30 à 8:30</v>
      </c>
      <c r="AB50" s="490"/>
      <c r="AC50" s="273"/>
      <c r="AD50" s="147">
        <f t="shared" si="18"/>
        <v>0</v>
      </c>
      <c r="AE50" s="147">
        <f t="shared" si="19"/>
        <v>0</v>
      </c>
      <c r="AF50" s="147">
        <f t="shared" si="20"/>
        <v>0</v>
      </c>
      <c r="AG50" s="147"/>
      <c r="AH50" s="147"/>
      <c r="AI50" s="147"/>
      <c r="AJ50" s="274"/>
      <c r="AK50" s="275"/>
      <c r="AL50" s="275"/>
      <c r="AM50" s="262"/>
    </row>
    <row r="51" spans="1:43" ht="54.95" customHeight="1">
      <c r="A51" s="270"/>
      <c r="B51" s="270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489" t="str">
        <f t="shared" si="17"/>
        <v>8:00 à 9:00</v>
      </c>
      <c r="AB51" s="490"/>
      <c r="AC51" s="273"/>
      <c r="AD51" s="147">
        <f t="shared" si="18"/>
        <v>1</v>
      </c>
      <c r="AE51" s="147">
        <f t="shared" si="19"/>
        <v>0</v>
      </c>
      <c r="AF51" s="147">
        <f t="shared" si="20"/>
        <v>0</v>
      </c>
      <c r="AG51" s="147"/>
      <c r="AH51" s="147"/>
      <c r="AI51" s="147"/>
      <c r="AJ51" s="274"/>
      <c r="AK51" s="275"/>
      <c r="AL51" s="275"/>
      <c r="AM51" s="262"/>
    </row>
    <row r="52" spans="1:43" ht="54.95" customHeight="1">
      <c r="A52" s="270"/>
      <c r="B52" s="270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449" t="s">
        <v>19</v>
      </c>
      <c r="AB52" s="450"/>
      <c r="AC52" s="273"/>
      <c r="AD52" s="148">
        <f t="shared" si="18"/>
        <v>1</v>
      </c>
      <c r="AE52" s="148">
        <f t="shared" si="19"/>
        <v>0</v>
      </c>
      <c r="AF52" s="148">
        <f t="shared" si="20"/>
        <v>0</v>
      </c>
      <c r="AG52" s="148"/>
      <c r="AH52" s="148"/>
      <c r="AI52" s="148"/>
      <c r="AJ52" s="274"/>
      <c r="AK52" s="275"/>
      <c r="AL52" s="275"/>
      <c r="AM52" s="262"/>
    </row>
    <row r="53" spans="1:43" ht="54.95" customHeight="1">
      <c r="A53" s="270"/>
      <c r="B53" s="270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487" t="s">
        <v>13</v>
      </c>
      <c r="AB53" s="488"/>
      <c r="AC53" s="336"/>
      <c r="AD53" s="337">
        <f t="shared" si="18"/>
        <v>2</v>
      </c>
      <c r="AE53" s="337">
        <f t="shared" si="19"/>
        <v>0</v>
      </c>
      <c r="AF53" s="337">
        <f t="shared" si="20"/>
        <v>0</v>
      </c>
      <c r="AG53" s="149"/>
      <c r="AH53" s="149"/>
      <c r="AI53" s="149"/>
      <c r="AJ53" s="274"/>
      <c r="AK53" s="275"/>
      <c r="AL53" s="275"/>
      <c r="AM53" s="262"/>
    </row>
    <row r="54" spans="1:43" ht="54.95" customHeight="1" thickBot="1">
      <c r="A54" s="270"/>
      <c r="B54" s="270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441" t="str">
        <f>AA42</f>
        <v>7:00 à 8:00</v>
      </c>
      <c r="AB54" s="442"/>
      <c r="AC54" s="273"/>
      <c r="AD54" s="150">
        <f t="shared" si="18"/>
        <v>1</v>
      </c>
      <c r="AE54" s="150">
        <f t="shared" si="19"/>
        <v>0</v>
      </c>
      <c r="AF54" s="150">
        <f t="shared" si="20"/>
        <v>0</v>
      </c>
      <c r="AG54" s="150"/>
      <c r="AH54" s="150"/>
      <c r="AI54" s="150"/>
      <c r="AJ54" s="274"/>
      <c r="AK54" s="275"/>
      <c r="AL54" s="275"/>
      <c r="AM54" s="262"/>
    </row>
    <row r="55" spans="1:43" ht="21" thickTop="1">
      <c r="A55" s="276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6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6"/>
      <c r="AF55" s="277"/>
      <c r="AG55" s="277"/>
      <c r="AH55" s="277"/>
      <c r="AI55" s="277"/>
      <c r="AJ55" s="277"/>
      <c r="AK55" s="277"/>
    </row>
    <row r="56" spans="1:43" ht="20.25">
      <c r="A56" s="276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6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6"/>
      <c r="AF56" s="277"/>
      <c r="AG56" s="277"/>
      <c r="AH56" s="277"/>
      <c r="AI56" s="277"/>
      <c r="AJ56" s="277"/>
      <c r="AK56" s="277"/>
    </row>
    <row r="57" spans="1:43" ht="20.25">
      <c r="A57" s="276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6"/>
      <c r="AD57" s="277"/>
      <c r="AE57" s="277"/>
      <c r="AF57" s="277"/>
      <c r="AG57" s="277"/>
      <c r="AH57" s="277"/>
      <c r="AI57" s="277"/>
      <c r="AJ57" s="277"/>
      <c r="AK57" s="277"/>
      <c r="AL57" s="276"/>
      <c r="AM57" s="277"/>
      <c r="AN57" s="277"/>
      <c r="AO57" s="277"/>
      <c r="AP57" s="277"/>
      <c r="AQ57" s="277"/>
    </row>
    <row r="58" spans="1:43" ht="20.25">
      <c r="A58" s="276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6"/>
      <c r="AD58" s="277"/>
      <c r="AE58" s="277"/>
      <c r="AF58" s="277"/>
      <c r="AG58" s="277"/>
      <c r="AH58" s="277"/>
      <c r="AI58" s="277"/>
      <c r="AJ58" s="277"/>
      <c r="AK58" s="277"/>
      <c r="AL58" s="276"/>
      <c r="AM58" s="277"/>
      <c r="AN58" s="277"/>
      <c r="AO58" s="277"/>
      <c r="AP58" s="277"/>
      <c r="AQ58" s="277"/>
    </row>
    <row r="59" spans="1:43" ht="20.25">
      <c r="A59" s="276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6"/>
      <c r="AD59" s="277"/>
      <c r="AE59" s="277"/>
      <c r="AF59" s="277"/>
      <c r="AG59" s="277"/>
      <c r="AH59" s="277"/>
      <c r="AI59" s="277"/>
      <c r="AJ59" s="277"/>
      <c r="AK59" s="277"/>
      <c r="AL59" s="276"/>
      <c r="AM59" s="277"/>
      <c r="AN59" s="277"/>
      <c r="AO59" s="277"/>
      <c r="AP59" s="277"/>
      <c r="AQ59" s="277"/>
    </row>
    <row r="60" spans="1:43" ht="20.25">
      <c r="A60" s="276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6"/>
      <c r="AD60" s="277"/>
      <c r="AE60" s="277"/>
      <c r="AF60" s="277"/>
      <c r="AG60" s="277"/>
      <c r="AH60" s="277"/>
      <c r="AI60" s="277"/>
      <c r="AJ60" s="277"/>
      <c r="AK60" s="277"/>
      <c r="AL60" s="276"/>
      <c r="AM60" s="277"/>
      <c r="AN60" s="277"/>
      <c r="AO60" s="277"/>
      <c r="AP60" s="277"/>
      <c r="AQ60" s="277"/>
    </row>
    <row r="61" spans="1:43" ht="20.25">
      <c r="A61" s="276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6"/>
      <c r="AD61" s="277"/>
      <c r="AE61" s="277"/>
      <c r="AF61" s="277"/>
      <c r="AG61" s="277"/>
      <c r="AH61" s="277"/>
      <c r="AI61" s="277"/>
      <c r="AJ61" s="277"/>
      <c r="AK61" s="277"/>
      <c r="AL61" s="276"/>
      <c r="AM61" s="277"/>
      <c r="AN61" s="277"/>
      <c r="AO61" s="277"/>
      <c r="AP61" s="277"/>
      <c r="AQ61" s="277"/>
    </row>
    <row r="62" spans="1:43" ht="20.25">
      <c r="A62" s="276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6"/>
      <c r="AD62" s="277"/>
      <c r="AE62" s="277"/>
      <c r="AF62" s="277"/>
      <c r="AG62" s="277"/>
      <c r="AH62" s="277"/>
      <c r="AI62" s="277"/>
      <c r="AJ62" s="277"/>
      <c r="AK62" s="277"/>
      <c r="AL62" s="276"/>
      <c r="AM62" s="277"/>
      <c r="AN62" s="277"/>
      <c r="AO62" s="277"/>
      <c r="AP62" s="277"/>
      <c r="AQ62" s="277"/>
    </row>
    <row r="63" spans="1:43" ht="20.25">
      <c r="F63" s="277"/>
      <c r="G63" s="277"/>
      <c r="H63" s="277"/>
      <c r="I63" s="277"/>
      <c r="J63" s="277"/>
      <c r="K63" s="277"/>
      <c r="L63" s="277"/>
      <c r="M63" s="277"/>
      <c r="S63" s="277"/>
      <c r="T63" s="277"/>
      <c r="U63" s="277"/>
    </row>
    <row r="64" spans="1:43" ht="20.25">
      <c r="F64" s="277"/>
      <c r="G64" s="277"/>
      <c r="H64" s="277"/>
      <c r="I64" s="277"/>
      <c r="J64" s="277"/>
      <c r="K64" s="277"/>
      <c r="L64" s="277"/>
      <c r="M64" s="277"/>
      <c r="S64" s="277"/>
      <c r="T64" s="277"/>
      <c r="U64" s="277"/>
    </row>
  </sheetData>
  <mergeCells count="82">
    <mergeCell ref="AA53:AB53"/>
    <mergeCell ref="AA54:AB54"/>
    <mergeCell ref="AA48:AB48"/>
    <mergeCell ref="AA49:AB49"/>
    <mergeCell ref="AA50:AB50"/>
    <mergeCell ref="AA51:AB51"/>
    <mergeCell ref="AA52:AB52"/>
    <mergeCell ref="C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G32:AG35"/>
    <mergeCell ref="E34:F34"/>
    <mergeCell ref="G34:H34"/>
    <mergeCell ref="I34:J34"/>
    <mergeCell ref="K34:L34"/>
    <mergeCell ref="C33:F33"/>
    <mergeCell ref="G33:J33"/>
    <mergeCell ref="K33:N33"/>
    <mergeCell ref="O33:R33"/>
    <mergeCell ref="S33:V33"/>
    <mergeCell ref="Y34:Z34"/>
    <mergeCell ref="AK36:AL36"/>
    <mergeCell ref="M34:N34"/>
    <mergeCell ref="O34:P34"/>
    <mergeCell ref="Q34:R34"/>
    <mergeCell ref="S34:T34"/>
    <mergeCell ref="U34:V34"/>
    <mergeCell ref="W34:X34"/>
    <mergeCell ref="AH32:AH35"/>
    <mergeCell ref="AI32:AI35"/>
    <mergeCell ref="AJ32:AL35"/>
    <mergeCell ref="W33:Z33"/>
    <mergeCell ref="C32:Z32"/>
    <mergeCell ref="AC32:AC35"/>
    <mergeCell ref="AD32:AD35"/>
    <mergeCell ref="AE32:AE35"/>
    <mergeCell ref="AF32:AF35"/>
    <mergeCell ref="A35:B35"/>
    <mergeCell ref="AA35:AB35"/>
    <mergeCell ref="A36:B36"/>
    <mergeCell ref="AA36:AB36"/>
    <mergeCell ref="C34:D34"/>
    <mergeCell ref="A37:B37"/>
    <mergeCell ref="AA37:AB37"/>
    <mergeCell ref="AK37:AL37"/>
    <mergeCell ref="A38:B38"/>
    <mergeCell ref="AA38:AB38"/>
    <mergeCell ref="AK38:AL38"/>
    <mergeCell ref="A39:B39"/>
    <mergeCell ref="AA39:AB39"/>
    <mergeCell ref="AK39:AL39"/>
    <mergeCell ref="A40:B40"/>
    <mergeCell ref="AA40:AB40"/>
    <mergeCell ref="AK40:AL40"/>
    <mergeCell ref="AI44:AI47"/>
    <mergeCell ref="A41:B41"/>
    <mergeCell ref="AA41:AB41"/>
    <mergeCell ref="AJ41:AL41"/>
    <mergeCell ref="A42:B42"/>
    <mergeCell ref="AA42:AB42"/>
    <mergeCell ref="AK42:AL42"/>
    <mergeCell ref="AD44:AD47"/>
    <mergeCell ref="AE44:AE47"/>
    <mergeCell ref="AF44:AF47"/>
    <mergeCell ref="AG44:AG47"/>
    <mergeCell ref="AH44:AH4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0829-9113-4C31-9175-36AA1C8B5585}">
  <sheetPr>
    <tabColor theme="1" tint="4.9989318521683403E-2"/>
  </sheetPr>
  <dimension ref="A1:K17"/>
  <sheetViews>
    <sheetView tabSelected="1" workbookViewId="0">
      <selection activeCell="A18" sqref="A18"/>
    </sheetView>
  </sheetViews>
  <sheetFormatPr baseColWidth="10" defaultRowHeight="14.25"/>
  <cols>
    <col min="1" max="1" width="42.375" style="8" customWidth="1"/>
    <col min="2" max="3" width="7.625" style="345" customWidth="1"/>
    <col min="4" max="4" width="9.125" style="280" customWidth="1"/>
    <col min="5" max="5" width="8.75" style="2" customWidth="1"/>
    <col min="6" max="6" width="13.625" style="2" customWidth="1"/>
    <col min="7" max="7" width="10.125" style="2" customWidth="1"/>
    <col min="8" max="8" width="7.625" style="2" customWidth="1"/>
    <col min="9" max="9" width="8.375" style="280" customWidth="1"/>
    <col min="10" max="10" width="7.625" style="2" customWidth="1"/>
    <col min="11" max="11" width="8.375" style="280" customWidth="1"/>
    <col min="12" max="16384" width="11" style="8"/>
  </cols>
  <sheetData>
    <row r="1" spans="1:11" ht="20.25">
      <c r="A1" s="279" t="s">
        <v>126</v>
      </c>
    </row>
    <row r="2" spans="1:11" ht="21" thickBot="1">
      <c r="A2" s="279"/>
    </row>
    <row r="3" spans="1:11" s="282" customFormat="1" ht="19.5" customHeight="1" thickTop="1" thickBot="1">
      <c r="A3" s="281" t="s">
        <v>162</v>
      </c>
      <c r="B3" s="491" t="s">
        <v>127</v>
      </c>
      <c r="C3" s="492"/>
      <c r="D3" s="493" t="s">
        <v>180</v>
      </c>
      <c r="E3" s="494" t="s">
        <v>128</v>
      </c>
      <c r="F3" s="495"/>
      <c r="G3" s="338" t="s">
        <v>133</v>
      </c>
      <c r="H3" s="494" t="s">
        <v>129</v>
      </c>
      <c r="I3" s="495"/>
      <c r="J3" s="494" t="s">
        <v>130</v>
      </c>
      <c r="K3" s="495"/>
    </row>
    <row r="4" spans="1:11" s="282" customFormat="1" ht="16.5" thickTop="1" thickBot="1">
      <c r="A4" s="333" t="s">
        <v>168</v>
      </c>
      <c r="B4" s="346" t="s">
        <v>131</v>
      </c>
      <c r="C4" s="347" t="s">
        <v>132</v>
      </c>
      <c r="D4" s="493"/>
      <c r="E4" s="285" t="s">
        <v>133</v>
      </c>
      <c r="F4" s="284" t="s">
        <v>7</v>
      </c>
      <c r="G4" s="339" t="s">
        <v>189</v>
      </c>
      <c r="H4" s="286" t="s">
        <v>134</v>
      </c>
      <c r="I4" s="287" t="s">
        <v>133</v>
      </c>
      <c r="J4" s="286" t="s">
        <v>134</v>
      </c>
      <c r="K4" s="287" t="s">
        <v>133</v>
      </c>
    </row>
    <row r="5" spans="1:11" ht="18.75" customHeight="1" thickTop="1">
      <c r="A5" s="288" t="str">
        <f>'LA RO BIOCOOP'!B1</f>
        <v>La Roche Face Biocoop</v>
      </c>
      <c r="B5" s="348" t="s">
        <v>135</v>
      </c>
      <c r="C5" s="349" t="s">
        <v>136</v>
      </c>
      <c r="D5" s="289">
        <f>'LA RO BIOCOOP'!AO39</f>
        <v>31</v>
      </c>
      <c r="E5" s="290">
        <f>'LA RO BIOCOOP'!AO40</f>
        <v>23</v>
      </c>
      <c r="F5" s="290" t="str">
        <f>'LA RO BIOCOOP'!AM40</f>
        <v>7:30 à 8:30</v>
      </c>
      <c r="G5" s="355">
        <f>'LA RO BIOCOOP'!AO38</f>
        <v>21</v>
      </c>
      <c r="H5" s="291">
        <f>'LA RO BIOCOOP'!AP49</f>
        <v>0.32258064516129031</v>
      </c>
      <c r="I5" s="292">
        <f>'LA RO BIOCOOP'!AP39</f>
        <v>10</v>
      </c>
      <c r="J5" s="291">
        <f>'LA RO BIOCOOP'!AQ49</f>
        <v>0.32258064516129031</v>
      </c>
      <c r="K5" s="292">
        <f>IF($D5=0,"-",$D5*J5)</f>
        <v>10</v>
      </c>
    </row>
    <row r="6" spans="1:11" ht="18.75" customHeight="1">
      <c r="A6" s="293" t="str">
        <f>'LA RO POSTE'!B1</f>
        <v>La Roche Rond-Point La Poste</v>
      </c>
      <c r="B6" s="350" t="s">
        <v>135</v>
      </c>
      <c r="C6" s="351" t="s">
        <v>136</v>
      </c>
      <c r="D6" s="294">
        <f>'LA RO POSTE'!BU40</f>
        <v>25</v>
      </c>
      <c r="E6" s="294">
        <f>'LA RO POSTE'!BU41</f>
        <v>13</v>
      </c>
      <c r="F6" s="294" t="str">
        <f>'LA RO POSTE'!BS41</f>
        <v>7:30 à 8:30</v>
      </c>
      <c r="G6" s="356">
        <f>'LA RO POSTE'!BU39</f>
        <v>10</v>
      </c>
      <c r="H6" s="295">
        <f>'LA RO POSTE'!BV50</f>
        <v>0.48</v>
      </c>
      <c r="I6" s="296">
        <f>'LA RO POSTE'!BV40</f>
        <v>12</v>
      </c>
      <c r="J6" s="295">
        <f>'LA RO POSTE'!BW50</f>
        <v>0.36</v>
      </c>
      <c r="K6" s="296">
        <f>'LA RO POSTE'!BW40</f>
        <v>9</v>
      </c>
    </row>
    <row r="7" spans="1:11" ht="18.75" customHeight="1">
      <c r="A7" s="293" t="str">
        <f>'LA RO ENILV'!B1</f>
        <v>La Roche Rond-Point ENILV</v>
      </c>
      <c r="B7" s="350" t="s">
        <v>135</v>
      </c>
      <c r="C7" s="351" t="s">
        <v>136</v>
      </c>
      <c r="D7" s="294">
        <f>'LA RO ENILV'!BA40</f>
        <v>18</v>
      </c>
      <c r="E7" s="294">
        <f>'LA RO ENILV'!BA41</f>
        <v>10</v>
      </c>
      <c r="F7" s="294" t="str">
        <f>'LA RO ENILV'!AY41</f>
        <v>8:00 à 9:00</v>
      </c>
      <c r="G7" s="356">
        <f>'LA RO ENILV'!BA39</f>
        <v>10</v>
      </c>
      <c r="H7" s="295">
        <f>'LA RO ENILV'!BB50</f>
        <v>0.5</v>
      </c>
      <c r="I7" s="296">
        <f>'LA RO ENILV'!BB40</f>
        <v>9</v>
      </c>
      <c r="J7" s="295">
        <f>'LA RO ENILV'!BC50</f>
        <v>0.16666666666666666</v>
      </c>
      <c r="K7" s="296">
        <f>'LA RO ENILV'!BC40</f>
        <v>3</v>
      </c>
    </row>
    <row r="8" spans="1:11" ht="18.75" customHeight="1">
      <c r="A8" s="293" t="str">
        <f>'AR PAPETERI'!B1</f>
        <v>Arenthon La Papeterie RD19/TNA</v>
      </c>
      <c r="B8" s="350" t="s">
        <v>135</v>
      </c>
      <c r="C8" s="351" t="s">
        <v>136</v>
      </c>
      <c r="D8" s="294">
        <f>'AR PAPETERI'!AO39</f>
        <v>14</v>
      </c>
      <c r="E8" s="294">
        <f>'AR PAPETERI'!AO40</f>
        <v>9</v>
      </c>
      <c r="F8" s="294" t="str">
        <f>'AR PAPETERI'!AM40</f>
        <v>8:00 à 9:00</v>
      </c>
      <c r="G8" s="356">
        <f>'AR PAPETERI'!AO38</f>
        <v>9</v>
      </c>
      <c r="H8" s="295">
        <f>'AR PAPETERI'!AP49</f>
        <v>7.1428571428571425E-2</v>
      </c>
      <c r="I8" s="296">
        <f>'AR PAPETERI'!AP39</f>
        <v>1</v>
      </c>
      <c r="J8" s="295">
        <f>'AR PAPETERI'!AQ49</f>
        <v>7.1428571428571425E-2</v>
      </c>
      <c r="K8" s="296">
        <f>'AR PAPETERI'!AQ39</f>
        <v>1</v>
      </c>
    </row>
    <row r="9" spans="1:11" ht="18.75" customHeight="1">
      <c r="A9" s="293" t="str">
        <f>'SCIEN BELCOMBE'!B1</f>
        <v>Scientrier Carrefour Pont de Bellecombe</v>
      </c>
      <c r="B9" s="350" t="s">
        <v>135</v>
      </c>
      <c r="C9" s="351" t="s">
        <v>136</v>
      </c>
      <c r="D9" s="294">
        <f>'SCIEN BELCOMBE'!AC38</f>
        <v>6</v>
      </c>
      <c r="E9" s="294">
        <f>'SCIEN BELCOMBE'!AC39</f>
        <v>5</v>
      </c>
      <c r="F9" s="294" t="str">
        <f>'SCIEN BELCOMBE'!AA39</f>
        <v>7:30 à 8:30</v>
      </c>
      <c r="G9" s="356">
        <f>'SCIEN BELCOMBE'!AC37</f>
        <v>1</v>
      </c>
      <c r="H9" s="295">
        <f>'SCIEN BELCOMBE'!AD48</f>
        <v>0</v>
      </c>
      <c r="I9" s="296">
        <f>'SCIEN BELCOMBE'!AD38</f>
        <v>0</v>
      </c>
      <c r="J9" s="295">
        <f>'SCIEN BELCOMBE'!AE38</f>
        <v>0</v>
      </c>
      <c r="K9" s="296">
        <f>'SCIEN BELCOMBE'!AF38</f>
        <v>0</v>
      </c>
    </row>
    <row r="10" spans="1:11" ht="18.75" customHeight="1">
      <c r="A10" s="293" t="str">
        <f>'ST PI BORNE DESSY'!B1</f>
        <v>St Pierre Franchissement du Borne Dessy</v>
      </c>
      <c r="B10" s="350" t="s">
        <v>135</v>
      </c>
      <c r="C10" s="351" t="s">
        <v>136</v>
      </c>
      <c r="D10" s="294">
        <f>'ST PI BORNE DESSY'!AC38</f>
        <v>24</v>
      </c>
      <c r="E10" s="294">
        <f>'ST PI BORNE DESSY'!AC39</f>
        <v>16</v>
      </c>
      <c r="F10" s="294" t="str">
        <f>'ST PI BORNE DESSY'!AA39</f>
        <v>8:00 à 9:00</v>
      </c>
      <c r="G10" s="356">
        <f>'ST PI BORNE DESSY'!AC37</f>
        <v>16</v>
      </c>
      <c r="H10" s="295">
        <f>'ST PI BORNE DESSY'!AD48</f>
        <v>4.1666666666666664E-2</v>
      </c>
      <c r="I10" s="296">
        <f>'ST PI BORNE DESSY'!AD38</f>
        <v>1</v>
      </c>
      <c r="J10" s="295">
        <f>'ST PI BORNE DESSY'!AE48</f>
        <v>0.20833333333333334</v>
      </c>
      <c r="K10" s="296">
        <f>'ST PI BORNE DESSY'!AE38</f>
        <v>5</v>
      </c>
    </row>
    <row r="11" spans="1:11" ht="18.75" customHeight="1">
      <c r="A11" s="293" t="str">
        <f>'BO BORNE TUCINGE'!B1</f>
        <v>Bonneville Franchissement du Borne Tucinge</v>
      </c>
      <c r="B11" s="350" t="s">
        <v>135</v>
      </c>
      <c r="C11" s="351" t="s">
        <v>136</v>
      </c>
      <c r="D11" s="294">
        <f>'BO BORNE TUCINGE'!M38</f>
        <v>29</v>
      </c>
      <c r="E11" s="294">
        <f>'BO BORNE TUCINGE'!M39</f>
        <v>21</v>
      </c>
      <c r="F11" s="294" t="str">
        <f>'BO BORNE TUCINGE'!K39</f>
        <v>8:00 à 9:00</v>
      </c>
      <c r="G11" s="356">
        <f>'BO BORNE TUCINGE'!M37</f>
        <v>21</v>
      </c>
      <c r="H11" s="295">
        <f>'BO BORNE TUCINGE'!N48</f>
        <v>0</v>
      </c>
      <c r="I11" s="296">
        <f>'BO BORNE TUCINGE'!N38</f>
        <v>0</v>
      </c>
      <c r="J11" s="295">
        <f>'BO BORNE TUCINGE'!O48</f>
        <v>0.41379310344827586</v>
      </c>
      <c r="K11" s="296">
        <f>'BO BORNE TUCINGE'!O38</f>
        <v>12</v>
      </c>
    </row>
    <row r="12" spans="1:11" ht="18.75" customHeight="1">
      <c r="A12" s="293" t="str">
        <f>'ST PI BORNE RD1203'!B1</f>
        <v>St Pierre Pont sur le Borne Principal - RD 1203</v>
      </c>
      <c r="B12" s="350" t="s">
        <v>135</v>
      </c>
      <c r="C12" s="351" t="s">
        <v>136</v>
      </c>
      <c r="D12" s="294">
        <f>'ST PI BORNE RD1203'!BM54</f>
        <v>27</v>
      </c>
      <c r="E12" s="294">
        <f>'ST PI BORNE RD1203'!BM55</f>
        <v>17</v>
      </c>
      <c r="F12" s="294" t="str">
        <f>'ST PI BORNE RD1203'!BK55</f>
        <v>8:00 à 9:00</v>
      </c>
      <c r="G12" s="356">
        <f>'ST PI BORNE RD1203'!BM53</f>
        <v>17</v>
      </c>
      <c r="H12" s="295">
        <f>'ST PI BORNE RD1203'!BN64</f>
        <v>0.25925925925925924</v>
      </c>
      <c r="I12" s="296">
        <f>'ST PI BORNE RD1203'!BN54</f>
        <v>7</v>
      </c>
      <c r="J12" s="295">
        <f>'ST PI BORNE RD1203'!BO64</f>
        <v>0.48148148148148145</v>
      </c>
      <c r="K12" s="296">
        <f>'ST PI BORNE RD1203'!BO54</f>
        <v>13</v>
      </c>
    </row>
    <row r="13" spans="1:11" ht="18.75" customHeight="1" thickBot="1">
      <c r="A13" s="293" t="str">
        <f>'AM CORIANDE'!B1</f>
        <v>Amancy Giratoire de la Coriandre- RD903 et 1203</v>
      </c>
      <c r="B13" s="350" t="s">
        <v>135</v>
      </c>
      <c r="C13" s="351" t="s">
        <v>136</v>
      </c>
      <c r="D13" s="294">
        <f>'AM CORIANDE'!AC41</f>
        <v>4</v>
      </c>
      <c r="E13" s="294">
        <f>'AM CORIANDE'!AC42</f>
        <v>2</v>
      </c>
      <c r="F13" s="294" t="s">
        <v>12</v>
      </c>
      <c r="G13" s="356">
        <f>'AM CORIANDE'!AC39</f>
        <v>2</v>
      </c>
      <c r="H13" s="295">
        <f>'AM CORIANDE'!AD41</f>
        <v>0.5</v>
      </c>
      <c r="I13" s="296">
        <f>'AM CORIANDE'!AD53</f>
        <v>2</v>
      </c>
      <c r="J13" s="295">
        <v>0</v>
      </c>
      <c r="K13" s="296">
        <v>0</v>
      </c>
    </row>
    <row r="14" spans="1:11" s="282" customFormat="1" ht="16.5" thickTop="1" thickBot="1">
      <c r="A14" s="283" t="s">
        <v>13</v>
      </c>
      <c r="B14" s="352"/>
      <c r="C14" s="353"/>
      <c r="D14" s="299">
        <f>SUM(D5:D13)</f>
        <v>178</v>
      </c>
      <c r="E14" s="300">
        <f>SUM(E5:E13)</f>
        <v>116</v>
      </c>
      <c r="F14" s="298" t="s">
        <v>11</v>
      </c>
      <c r="G14" s="357">
        <f>SUM(G5:G13)</f>
        <v>107</v>
      </c>
      <c r="H14" s="301">
        <f>I14/$D14</f>
        <v>0.23595505617977527</v>
      </c>
      <c r="I14" s="302">
        <f>SUM(I5:I13)</f>
        <v>42</v>
      </c>
      <c r="J14" s="301">
        <f>K14/$D14</f>
        <v>0.29775280898876405</v>
      </c>
      <c r="K14" s="302">
        <f>SUM(K5:K13)</f>
        <v>53</v>
      </c>
    </row>
    <row r="15" spans="1:11" ht="15" thickTop="1"/>
    <row r="16" spans="1:11" ht="20.100000000000001" customHeight="1">
      <c r="A16" s="8" t="s">
        <v>190</v>
      </c>
    </row>
    <row r="17" spans="1:3" s="297" customFormat="1" ht="20.100000000000001" customHeight="1">
      <c r="A17" s="8" t="s">
        <v>191</v>
      </c>
      <c r="B17" s="354"/>
      <c r="C17" s="354"/>
    </row>
  </sheetData>
  <mergeCells count="5">
    <mergeCell ref="B3:C3"/>
    <mergeCell ref="D3:D4"/>
    <mergeCell ref="E3:F3"/>
    <mergeCell ref="H3:I3"/>
    <mergeCell ref="J3:K3"/>
  </mergeCells>
  <pageMargins left="0.25" right="0.25" top="0.75" bottom="0.75" header="0.3" footer="0.3"/>
  <pageSetup paperSize="9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3</vt:i4>
      </vt:variant>
    </vt:vector>
  </HeadingPairs>
  <TitlesOfParts>
    <vt:vector size="13" baseType="lpstr">
      <vt:lpstr>LA RO BIOCOOP</vt:lpstr>
      <vt:lpstr>LA RO POSTE</vt:lpstr>
      <vt:lpstr>LA RO ENILV</vt:lpstr>
      <vt:lpstr>AR PAPETERI</vt:lpstr>
      <vt:lpstr>SCIEN BELCOMBE</vt:lpstr>
      <vt:lpstr>ST PI BORNE DESSY</vt:lpstr>
      <vt:lpstr>BO BORNE TUCINGE</vt:lpstr>
      <vt:lpstr>ST PI BORNE RD1203</vt:lpstr>
      <vt:lpstr>AM CORIANDE</vt:lpstr>
      <vt:lpstr>SYNTHESE</vt:lpstr>
      <vt:lpstr>'LA RO BIOCOOP'!Zone_d_impression</vt:lpstr>
      <vt:lpstr>'LA RO ENILV'!Zone_d_impression</vt:lpstr>
      <vt:lpstr>'LA RO POSTE'!Zone_d_impression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Trans Mis</cp:lastModifiedBy>
  <cp:revision>31</cp:revision>
  <cp:lastPrinted>2020-06-20T15:25:38Z</cp:lastPrinted>
  <dcterms:created xsi:type="dcterms:W3CDTF">2013-06-07T11:50:48Z</dcterms:created>
  <dcterms:modified xsi:type="dcterms:W3CDTF">2020-06-23T09:31:48Z</dcterms:modified>
</cp:coreProperties>
</file>