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8.xml.rels" ContentType="application/vnd.openxmlformats-package.relationships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media/image13.png" ContentType="image/png"/>
  <Override PartName="/xl/media/image14.png" ContentType="image/png"/>
  <Override PartName="/xl/media/image1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LA_RO_BIOCOOP" sheetId="1" state="visible" r:id="rId2"/>
    <sheet name="LA_RO_POSTE" sheetId="2" state="visible" r:id="rId3"/>
    <sheet name="LA_RO_SNCF" sheetId="3" state="visible" r:id="rId4"/>
    <sheet name="LA_RO_ENILV" sheetId="4" state="visible" r:id="rId5"/>
    <sheet name="LA RO ANDREV 24" sheetId="5" state="visible" r:id="rId6"/>
    <sheet name="ARENT_PAPETERIE" sheetId="6" state="visible" r:id="rId7"/>
    <sheet name="ST_PI_BORNE_DESSY" sheetId="7" state="visible" r:id="rId8"/>
    <sheet name="BO_BORNE_PRISON" sheetId="8" state="visible" r:id="rId9"/>
    <sheet name="ST_PI_BON BORNE_RD1203" sheetId="9" state="visible" r:id="rId10"/>
    <sheet name="ST_PI_M_BRICOLAGE" sheetId="10" state="visible" r:id="rId11"/>
    <sheet name="AYZE" sheetId="11" state="visible" r:id="rId12"/>
    <sheet name="tableau global" sheetId="12" state="visible" r:id="rId13"/>
  </sheets>
  <definedNames>
    <definedName function="false" hidden="false" localSheetId="5" name="_xlnm.Print_Area" vbProcedure="false">ARENT_PAPETERIE!$A$1:$Z$31</definedName>
    <definedName function="false" hidden="false" localSheetId="10" name="_xlnm.Print_Area" vbProcedure="false">AYZE!$A$1:$J$20</definedName>
    <definedName function="false" hidden="false" localSheetId="7" name="_xlnm.Print_Area" vbProcedure="false">BO_BORNE_PRISON!$A$1:$J$17</definedName>
    <definedName function="false" hidden="false" localSheetId="4" name="_xlnm.Print_Area" vbProcedure="false">'LA RO ANDREV 24'!$A$1:$R$32</definedName>
    <definedName function="false" hidden="false" localSheetId="0" name="_xlnm.Print_Area" vbProcedure="false">LA_RO_BIOCOOP!$A$1:$AL$22</definedName>
    <definedName function="false" hidden="false" localSheetId="3" name="_xlnm.Print_Area" vbProcedure="false">LA_RO_ENILV!$A$1:$AX$23</definedName>
    <definedName function="false" hidden="false" localSheetId="1" name="_xlnm.Print_Area" vbProcedure="false">LA_RO_POSTE!$A$1:$AP$36</definedName>
    <definedName function="false" hidden="false" localSheetId="2" name="_xlnm.Print_Area" vbProcedure="false">LA_RO_SNCF!$A$1:$AD$33</definedName>
    <definedName function="false" hidden="false" localSheetId="8" name="_xlnm.Print_Area" vbProcedure="false">'ST_PI_BON BORNE_RD1203'!$A$1:$V$40</definedName>
    <definedName function="false" hidden="false" localSheetId="6" name="_xlnm.Print_Area" vbProcedure="false">ST_PI_BORNE_DESSY!$A$1:$Z$22</definedName>
    <definedName function="false" hidden="false" localSheetId="9" name="_xlnm.Print_Area" vbProcedure="false">ST_PI_M_BRICOLAGE!$A$1:$R$31</definedName>
    <definedName function="false" hidden="false" localSheetId="0" name="Print_Area" vbProcedure="false">LA_RO_BIOCOOP!$A$1:$AL$22</definedName>
    <definedName function="false" hidden="false" localSheetId="1" name="Print_Area" vbProcedure="false">LA_RO_POSTE!$A$1:$BV$34</definedName>
    <definedName function="false" hidden="false" localSheetId="2" name="Print_Area" vbProcedure="false">LA_RO_SNCF!$A$1:$AD$33</definedName>
    <definedName function="false" hidden="false" localSheetId="4" name="Print_Area" vbProcedure="false">'LA RO ANDREV 24'!$A$1:$J$32</definedName>
    <definedName function="false" hidden="false" localSheetId="5" name="Print_Area" vbProcedure="false">ARENT_PAPETERIE!$A$1:$Z$31</definedName>
    <definedName function="false" hidden="false" localSheetId="6" name="Print_Area" vbProcedure="false">ST_PI_BORNE_DESSY!$A$1:$Z$22</definedName>
    <definedName function="false" hidden="false" localSheetId="7" name="Print_Area" vbProcedure="false">BO_BORNE_PRISON!$A$1:$J$17</definedName>
    <definedName function="false" hidden="false" localSheetId="8" name="Print_Area" vbProcedure="false">'ST_PI_BON BORNE_RD1203'!$A$1:$V$38,'ST_PI_BON BORNE_RD1203'!$A$42:$V$84</definedName>
    <definedName function="false" hidden="false" localSheetId="8" name="_xlnm.Print_Area" vbProcedure="false">'ST_PI_BON BORNE_RD1203'!$A$42:$V$81</definedName>
    <definedName function="false" hidden="false" localSheetId="9" name="Print_Area" vbProcedure="false">ST_PI_M_BRICOLAGE!$A$1:$R$27</definedName>
    <definedName function="false" hidden="false" localSheetId="9" name="_xlnm.Print_Area" vbProcedure="false">ST_PI_M_BRICOLAGE!$A$1:$S$31</definedName>
    <definedName function="false" hidden="false" localSheetId="10" name="Print_Area" vbProcedure="false">AYZE!$A$1:$J$20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<sst xmlns="http://schemas.openxmlformats.org/spreadsheetml/2006/main" count="1631" uniqueCount="200">
  <si>
    <t xml:space="preserve">Lieu :</t>
  </si>
  <si>
    <t xml:space="preserve">La Roche Face Biocoop</t>
  </si>
  <si>
    <t xml:space="preserve">Date :</t>
  </si>
  <si>
    <t xml:space="preserve">le jeudi 12 juin</t>
  </si>
  <si>
    <t xml:space="preserve">Nom des personnes participant au comptage :</t>
  </si>
  <si>
    <t xml:space="preserve">Philippe</t>
  </si>
  <si>
    <t xml:space="preserve">Météo :</t>
  </si>
  <si>
    <t xml:space="preserve">Remarques :</t>
  </si>
  <si>
    <t xml:space="preserve">PRINCIPE D’UTILISATION : pour chaque intervalle de temps, comptabiliser VAE/vélo dans la colonne H/F</t>
  </si>
  <si>
    <t xml:space="preserve">Rajouter aussi en bas de la feuille si déplacement vélo sur trottoir et/ou si enfant</t>
  </si>
  <si>
    <t xml:space="preserve">Comptabiliser en bas de la grille si 2 roues hors vélo qui ne sont pas cochés dans la grille (trottinette, skate, ets)</t>
  </si>
  <si>
    <t xml:space="preserve">De La Gare (Fg St Bernard) vers</t>
  </si>
  <si>
    <t xml:space="preserve">Du Pont du Foron vers</t>
  </si>
  <si>
    <t xml:space="preserve">Du Rd Point La Poste vers</t>
  </si>
  <si>
    <t xml:space="preserve">Rd Pt Poste</t>
  </si>
  <si>
    <t xml:space="preserve">Rue Perrine</t>
  </si>
  <si>
    <t xml:space="preserve">Pont du Foron</t>
  </si>
  <si>
    <t xml:space="preserve">La Gare</t>
  </si>
  <si>
    <t xml:space="preserve">H</t>
  </si>
  <si>
    <t xml:space="preserve">F</t>
  </si>
  <si>
    <t xml:space="preserve">la gare</t>
  </si>
  <si>
    <t xml:space="preserve">Période</t>
  </si>
  <si>
    <t xml:space="preserve">VAE</t>
  </si>
  <si>
    <t xml:space="preserve">vélo</t>
  </si>
  <si>
    <t xml:space="preserve">Sur 101</t>
  </si>
  <si>
    <t xml:space="preserve">dont Enfant</t>
  </si>
  <si>
    <t xml:space="preserve">Dont vélo sur trottoir</t>
  </si>
  <si>
    <t xml:space="preserve">dont Cyclo sportifs</t>
  </si>
  <si>
    <t xml:space="preserve">hors grille, plus 2 roues hors vélo (trottinette, skate...)</t>
  </si>
  <si>
    <t xml:space="preserve">TOTAL</t>
  </si>
  <si>
    <t xml:space="preserve">Nombre de VAE dans le total</t>
  </si>
  <si>
    <t xml:space="preserve">Nombre de femmes dans le total</t>
  </si>
  <si>
    <t xml:space="preserve">Nombre de VAE chez les femmes</t>
  </si>
  <si>
    <t xml:space="preserve">Cycles direc La Gare</t>
  </si>
  <si>
    <t xml:space="preserve">plus trotinette skate</t>
  </si>
  <si>
    <t xml:space="preserve">dont enfant</t>
  </si>
  <si>
    <t xml:space="preserve">vélo sur trottoir</t>
  </si>
  <si>
    <t xml:space="preserve">dont cyclo</t>
  </si>
  <si>
    <t xml:space="preserve">6:30 à 7:00</t>
  </si>
  <si>
    <t xml:space="preserve">7:00 à 7:30</t>
  </si>
  <si>
    <t xml:space="preserve">7:30 à 8:00</t>
  </si>
  <si>
    <t xml:space="preserve">8:00 à 8:30</t>
  </si>
  <si>
    <t xml:space="preserve">8:30 à 9:00</t>
  </si>
  <si>
    <t xml:space="preserve">H POINTE</t>
  </si>
  <si>
    <t xml:space="preserve">Total H pointe</t>
  </si>
  <si>
    <t xml:space="preserve">Part des VAE dans le total</t>
  </si>
  <si>
    <t xml:space="preserve">Part des femmes dans le total</t>
  </si>
  <si>
    <t xml:space="preserve">Part des VAE chez les femmes</t>
  </si>
  <si>
    <t xml:space="preserve">Rond Point La Poste</t>
  </si>
  <si>
    <t xml:space="preserve">Le mardi 10/06/2025</t>
  </si>
  <si>
    <t xml:space="preserve">Birgit</t>
  </si>
  <si>
    <t xml:space="preserve">De Bonneville vers</t>
  </si>
  <si>
    <t xml:space="preserve">De Grenette (contre-sens)</t>
  </si>
  <si>
    <t xml:space="preserve">De La Base(contre-sens)</t>
  </si>
  <si>
    <t xml:space="preserve">Grenette</t>
  </si>
  <si>
    <t xml:space="preserve">Orange</t>
  </si>
  <si>
    <t xml:space="preserve">La Base</t>
  </si>
  <si>
    <t xml:space="preserve">J Jaurès (contre sens)</t>
  </si>
  <si>
    <t xml:space="preserve">Bonneville</t>
  </si>
  <si>
    <t xml:space="preserve">Place Grenette</t>
  </si>
  <si>
    <t xml:space="preserve">00 – 15</t>
  </si>
  <si>
    <t xml:space="preserve">15 – 30</t>
  </si>
  <si>
    <t xml:space="preserve">De Orange vers</t>
  </si>
  <si>
    <t xml:space="preserve">De Jean Jaurès MJC vers</t>
  </si>
  <si>
    <t xml:space="preserve">x</t>
  </si>
  <si>
    <t xml:space="preserve">motos</t>
  </si>
  <si>
    <t xml:space="preserve">Idem 2024</t>
  </si>
  <si>
    <t xml:space="preserve">Remarque</t>
  </si>
  <si>
    <t xml:space="preserve">La Roche Gare/Passage à niveau</t>
  </si>
  <si>
    <t xml:space="preserve">2025 Fait avec appli </t>
  </si>
  <si>
    <t xml:space="preserve">Sylviane</t>
  </si>
  <si>
    <t xml:space="preserve">D’Eteaux vers</t>
  </si>
  <si>
    <t xml:space="preserve">De av Lucien Rannard vers</t>
  </si>
  <si>
    <t xml:space="preserve">Dr Roux vers</t>
  </si>
  <si>
    <t xml:space="preserve">Av L Rannard</t>
  </si>
  <si>
    <t xml:space="preserve">Av J Jaurès</t>
  </si>
  <si>
    <t xml:space="preserve">Gare/av Gare</t>
  </si>
  <si>
    <t xml:space="preserve">Eteaux</t>
  </si>
  <si>
    <t xml:space="preserve">Gare</t>
  </si>
  <si>
    <t xml:space="preserve">8h30</t>
  </si>
  <si>
    <t xml:space="preserve">De av J Jaurès vers</t>
  </si>
  <si>
    <t xml:space="preserve">De Gare et av Gare vers</t>
  </si>
  <si>
    <t xml:space="preserve">Av Gare vers</t>
  </si>
  <si>
    <t xml:space="preserve">en jaune, tableau global</t>
  </si>
  <si>
    <t xml:space="preserve">Cycles sur route de Reignier</t>
  </si>
  <si>
    <t xml:space="preserve">8:30 à 9h</t>
  </si>
  <si>
    <t xml:space="preserve"> + 58 % par rapport à 2024</t>
  </si>
  <si>
    <t xml:space="preserve">10 velo enfants, tous des garçons, 2 ados sur voirie sinon 8 primaires sur trottoir
Dont 1 qui a été déséquilibré et qui est allé sur la route</t>
  </si>
  <si>
    <t xml:space="preserve">3 vélos cargo tous femmes</t>
  </si>
  <si>
    <t xml:space="preserve">33 trottinettes</t>
  </si>
  <si>
    <t xml:space="preserve">16 vélos garés sur les arceaux pt comptages dont 1 avec remorque enfant et 1 avec siège enfant</t>
  </si>
  <si>
    <t xml:space="preserve">12 vélos dans la consigne fermée</t>
  </si>
  <si>
    <t xml:space="preserve">La Roche Rond-Point ENILV - St Renan</t>
  </si>
  <si>
    <t xml:space="preserve">Thierry</t>
  </si>
  <si>
    <t xml:space="preserve">Du centre (La Roche) vers</t>
  </si>
  <si>
    <t xml:space="preserve">D'Eteaux av Gambetta vers</t>
  </si>
  <si>
    <t xml:space="preserve">De Av Libération Enilv vers</t>
  </si>
  <si>
    <t xml:space="preserve">De Reignier vers</t>
  </si>
  <si>
    <t xml:space="preserve">Av Gambetta Eteaux</t>
  </si>
  <si>
    <t xml:space="preserve">Av Libération
Enilv</t>
  </si>
  <si>
    <t xml:space="preserve">Reignier</t>
  </si>
  <si>
    <t xml:space="preserve">La Roche</t>
  </si>
  <si>
    <t xml:space="preserve">Minute</t>
  </si>
  <si>
    <t xml:space="preserve">34 piétons plus 32 étudiants piétons en direction lycée</t>
  </si>
  <si>
    <t xml:space="preserve">et seulement 2 écoliers- 2 enfants comptés qui étaient sur le trottoir avec 1 parent</t>
  </si>
  <si>
    <t xml:space="preserve">2 des 3 femmes circulaient sur le trottoir !</t>
  </si>
  <si>
    <t xml:space="preserve">3 cyclosportifs</t>
  </si>
  <si>
    <t xml:space="preserve">voir heure de pointe</t>
  </si>
  <si>
    <t xml:space="preserve">La Roche Andrevetan</t>
  </si>
  <si>
    <t xml:space="preserve">Rue Patience/St Sixt</t>
  </si>
  <si>
    <t xml:space="preserve">De La Roche vers</t>
  </si>
  <si>
    <t xml:space="preserve">De St Pierre rue Patience vers</t>
  </si>
  <si>
    <t xml:space="preserve">St Pierre/ Rue Patience</t>
  </si>
  <si>
    <t xml:space="preserve">St Sixt</t>
  </si>
  <si>
    <t xml:space="preserve">De St Sixt vers</t>
  </si>
  <si>
    <t xml:space="preserve">Rue Patience</t>
  </si>
  <si>
    <t xml:space="preserve">Arenthon La Papeterie</t>
  </si>
  <si>
    <t xml:space="preserve">Bea</t>
  </si>
  <si>
    <t xml:space="preserve">Rajouter aussi en bas de la feuille si enfant</t>
  </si>
  <si>
    <t xml:space="preserve">De Arenthon vers</t>
  </si>
  <si>
    <t xml:space="preserve">TNA</t>
  </si>
  <si>
    <t xml:space="preserve">Rte Papeterie</t>
  </si>
  <si>
    <t xml:space="preserve">Arenthon</t>
  </si>
  <si>
    <t xml:space="preserve">De Rte Papeterie vers</t>
  </si>
  <si>
    <t xml:space="preserve">De TNA vers</t>
  </si>
  <si>
    <t xml:space="preserve">1 trottinette</t>
  </si>
  <si>
    <t xml:space="preserve">St Pierre Franchissement du Borne Dessy</t>
  </si>
  <si>
    <t xml:space="preserve">pas fait 2025, faute de benevole</t>
  </si>
  <si>
    <t xml:space="preserve">De Rte Gorges du Borne vers</t>
  </si>
  <si>
    <t xml:space="preserve">De Avenue des Digues vers</t>
  </si>
  <si>
    <t xml:space="preserve">De Avenue de Monaz vers</t>
  </si>
  <si>
    <t xml:space="preserve">Av des Digues</t>
  </si>
  <si>
    <t xml:space="preserve">Av Monaz</t>
  </si>
  <si>
    <t xml:space="preserve">Rte Gorges du Borne</t>
  </si>
  <si>
    <t xml:space="preserve">Cycles sur rte de Dessy</t>
  </si>
  <si>
    <t xml:space="preserve">Cycles sur rte des Digues</t>
  </si>
  <si>
    <t xml:space="preserve">Bonneville Franchissement du Borne Tucinge - Prison</t>
  </si>
  <si>
    <t xml:space="preserve">le jeudi 12 juin 2025</t>
  </si>
  <si>
    <t xml:space="preserve">Jocelyne</t>
  </si>
  <si>
    <t xml:space="preserve">fait aussi avec l’appli où il y a une erreur avec 2 VAE Femme en trop</t>
  </si>
  <si>
    <t xml:space="preserve">Pont du Borne</t>
  </si>
  <si>
    <t xml:space="preserve">2 filles 1 garçon, rajoutés sur l’appli</t>
  </si>
  <si>
    <t xml:space="preserve">Cycles en direction de Bonneville</t>
  </si>
  <si>
    <t xml:space="preserve">St Pierre Pont sur le Borne Principal - RD 1203</t>
  </si>
  <si>
    <t xml:space="preserve">Suard Christine et René</t>
  </si>
  <si>
    <t xml:space="preserve">côté Bonneville</t>
  </si>
  <si>
    <t xml:space="preserve">Principe d'utilisation pour chaque intervalle de temps, comptabiliser vélo ou VAE dans la colonne H ou F</t>
  </si>
  <si>
    <t xml:space="preserve">Et cocher bas de la grille si déplacement sur trottoir et/ou si enfant et/ou si 2 roues hors vélo (trott, skate…)</t>
  </si>
  <si>
    <t xml:space="preserve">De Stade vers</t>
  </si>
  <si>
    <t xml:space="preserve">Prison</t>
  </si>
  <si>
    <t xml:space="preserve">Tucinges</t>
  </si>
  <si>
    <t xml:space="preserve">Digues</t>
  </si>
  <si>
    <t xml:space="preserve">Stade</t>
  </si>
  <si>
    <t xml:space="preserve">De Prison vers</t>
  </si>
  <si>
    <t xml:space="preserve">côté La Roche</t>
  </si>
  <si>
    <t xml:space="preserve">De Toisinges vers</t>
  </si>
  <si>
    <t xml:space="preserve">De Digues vers</t>
  </si>
  <si>
    <t xml:space="preserve">ST PIERRE Mr BRICOLAGE</t>
  </si>
  <si>
    <t xml:space="preserve">simon</t>
  </si>
  <si>
    <t xml:space="preserve">PISTE CYCLABLE en continu</t>
  </si>
  <si>
    <t xml:space="preserve">JAMAIS sur PISTE CYCLABLE</t>
  </si>
  <si>
    <t xml:space="preserve">Vers La Roche</t>
  </si>
  <si>
    <t xml:space="preserve">Vers Bonnevile</t>
  </si>
  <si>
    <t xml:space="preserve">Direction La Roche</t>
  </si>
  <si>
    <t xml:space="preserve">Direction Bonneville</t>
  </si>
  <si>
    <t xml:space="preserve">PARTIELLEMENT sur PISTE CYCLABLE</t>
  </si>
  <si>
    <t xml:space="preserve">Depuis ou vers La  Roche</t>
  </si>
  <si>
    <t xml:space="preserve">Depuis ou vers Bonneville</t>
  </si>
  <si>
    <t xml:space="preserve">Depuis ou vers zone Jourdies</t>
  </si>
  <si>
    <t xml:space="preserve">Depuis ou vers St Pierre</t>
  </si>
  <si>
    <t xml:space="preserve">AYZE Piste cyclable </t>
  </si>
  <si>
    <t xml:space="preserve">sylviane</t>
  </si>
  <si>
    <t xml:space="preserve">APPLI</t>
  </si>
  <si>
    <t xml:space="preserve">AYZE piste cyclable</t>
  </si>
  <si>
    <t xml:space="preserve">Depuis Bonneville</t>
  </si>
  <si>
    <t xml:space="preserve">Depuis Marignier</t>
  </si>
  <si>
    <t xml:space="preserve">la moitié cyclo sportifs</t>
  </si>
  <si>
    <t xml:space="preserve">Nombre de bénévoles</t>
  </si>
  <si>
    <t xml:space="preserve">Postes de comptage</t>
  </si>
  <si>
    <t xml:space="preserve">Nombre de vélos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</si>
  <si>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</si>
  <si>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</si>
  <si>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</si>
  <si>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</si>
  <si>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 xml:space="preserve">total</t>
  </si>
  <si>
    <t xml:space="preserve">LA ROCHE_Carrefour Biocoop</t>
  </si>
  <si>
    <t xml:space="preserve">LA ROCHE_Giratoire La Poste</t>
  </si>
  <si>
    <t xml:space="preserve">LA ROCHE_Giratoire ENILV</t>
  </si>
  <si>
    <t xml:space="preserve">LA ROCHE_Gare Passage à niveau (new 2021)</t>
  </si>
  <si>
    <t xml:space="preserve">LA ROCHE Andrevetan/St Sixt</t>
  </si>
  <si>
    <t xml:space="preserve">TOTAL LA ROCHE</t>
  </si>
  <si>
    <t xml:space="preserve">ARENTHON_La Papeterie</t>
  </si>
  <si>
    <t xml:space="preserve">ST-PIERRE_Dessy</t>
  </si>
  <si>
    <t xml:space="preserve">ST-PIERRE_RD1203</t>
  </si>
  <si>
    <t xml:space="preserve">ST-PIERRE M. Bricolage</t>
  </si>
  <si>
    <t xml:space="preserve">TOTAL ST PIERRE</t>
  </si>
  <si>
    <t xml:space="preserve">BONNEVILLE_Prison</t>
  </si>
  <si>
    <t xml:space="preserve">AYZE Piste cyclable après piscine</t>
  </si>
  <si>
    <t xml:space="preserve">TOTAL CCFG</t>
  </si>
  <si>
    <t xml:space="preserve">Sous-total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</si>
</sst>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\ %"/>
    <numFmt numFmtId="166" formatCode="#,##0.00\ [$€-40C];[RED]\-#,##0.00\ [$€-40C]"/>
    <numFmt numFmtId="167" formatCode="dd/mm/yyyy"/>
    <numFmt numFmtId="168" formatCode="hh:mm"/>
    <numFmt numFmtId="169" formatCode="General"/>
    <numFmt numFmtId="170" formatCode="#,##0"/>
    <numFmt numFmtId="171" formatCode="dd/mm/yy"/>
    <numFmt numFmtId="172" formatCode="0"/>
    <numFmt numFmtId="173" formatCode="@"/>
  </numFmts>
  <fonts count="66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i val="true"/>
      <sz val="16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i val="true"/>
      <u val="single"/>
      <sz val="11"/>
      <color rgb="FF000000"/>
      <name val="Arial"/>
      <family val="2"/>
      <charset val="1"/>
    </font>
    <font>
      <b val="true"/>
      <sz val="16"/>
      <color rgb="FF000000"/>
      <name val="Ubuntu"/>
      <family val="0"/>
      <charset val="1"/>
    </font>
    <font>
      <b val="true"/>
      <sz val="20"/>
      <color rgb="FF000000"/>
      <name val="Ubuntu"/>
      <family val="0"/>
      <charset val="1"/>
    </font>
    <font>
      <sz val="16"/>
      <color rgb="FF000000"/>
      <name val="Ubuntu"/>
      <family val="0"/>
      <charset val="1"/>
    </font>
    <font>
      <b val="true"/>
      <sz val="22"/>
      <color rgb="FF000000"/>
      <name val="Ubuntu"/>
      <family val="0"/>
      <charset val="1"/>
    </font>
    <font>
      <b val="true"/>
      <sz val="26"/>
      <color rgb="FF000000"/>
      <name val="Ubuntu"/>
      <family val="0"/>
      <charset val="1"/>
    </font>
    <font>
      <b val="true"/>
      <sz val="18"/>
      <color rgb="FF000000"/>
      <name val="Ubuntu"/>
      <family val="0"/>
      <charset val="1"/>
    </font>
    <font>
      <b val="true"/>
      <sz val="24"/>
      <color rgb="FF000000"/>
      <name val="Ubuntu"/>
      <family val="0"/>
      <charset val="1"/>
    </font>
    <font>
      <b val="true"/>
      <sz val="11"/>
      <color rgb="FFC9211E"/>
      <name val="Arial"/>
      <family val="2"/>
      <charset val="1"/>
    </font>
    <font>
      <sz val="16"/>
      <color rgb="FFC9211E"/>
      <name val="Ubuntu"/>
      <family val="0"/>
      <charset val="1"/>
    </font>
    <font>
      <b val="true"/>
      <sz val="11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4"/>
      <color rgb="FF000000"/>
      <name val="Ubuntu"/>
      <family val="0"/>
      <charset val="1"/>
    </font>
    <font>
      <sz val="18"/>
      <color rgb="FF000000"/>
      <name val="Ubuntu"/>
      <family val="0"/>
      <charset val="1"/>
    </font>
    <font>
      <sz val="12"/>
      <color rgb="FF000000"/>
      <name val="Ubuntu"/>
      <family val="0"/>
      <charset val="1"/>
    </font>
    <font>
      <b val="true"/>
      <sz val="16"/>
      <color rgb="FF000000"/>
      <name val="Ubuntu"/>
      <family val="2"/>
      <charset val="1"/>
    </font>
    <font>
      <b val="true"/>
      <sz val="20"/>
      <color rgb="FF000000"/>
      <name val="Ubuntu"/>
      <family val="2"/>
      <charset val="1"/>
    </font>
    <font>
      <sz val="16"/>
      <color rgb="FF000000"/>
      <name val="Ubuntu"/>
      <family val="2"/>
      <charset val="1"/>
    </font>
    <font>
      <b val="true"/>
      <sz val="18"/>
      <color rgb="FF000000"/>
      <name val="Ubuntu"/>
      <family val="2"/>
      <charset val="1"/>
    </font>
    <font>
      <b val="true"/>
      <sz val="22"/>
      <color rgb="FF000000"/>
      <name val="Ubuntu"/>
      <family val="2"/>
      <charset val="1"/>
    </font>
    <font>
      <b val="true"/>
      <sz val="24"/>
      <color rgb="FF000000"/>
      <name val="Ubuntu"/>
      <family val="2"/>
      <charset val="1"/>
    </font>
    <font>
      <b val="true"/>
      <sz val="14"/>
      <color rgb="FF000000"/>
      <name val="Ubuntu"/>
      <family val="2"/>
      <charset val="1"/>
    </font>
    <font>
      <b val="true"/>
      <sz val="12"/>
      <color rgb="FF000000"/>
      <name val="Ubuntu"/>
      <family val="2"/>
      <charset val="1"/>
    </font>
    <font>
      <b val="true"/>
      <sz val="13"/>
      <color rgb="FF000000"/>
      <name val="Arial"/>
      <family val="2"/>
      <charset val="1"/>
    </font>
    <font>
      <sz val="18"/>
      <color rgb="FF000000"/>
      <name val="Ubuntu"/>
      <family val="2"/>
      <charset val="1"/>
    </font>
    <font>
      <sz val="24"/>
      <color rgb="FF000000"/>
      <name val="Ubuntu"/>
      <family val="0"/>
      <charset val="1"/>
    </font>
    <font>
      <b val="true"/>
      <sz val="16"/>
      <color rgb="FFC9211E"/>
      <name val="Ubuntu"/>
      <family val="0"/>
      <charset val="1"/>
    </font>
    <font>
      <sz val="16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rgb="FF000000"/>
      <name val="Ubuntu"/>
      <family val="0"/>
      <charset val="1"/>
    </font>
    <font>
      <b val="true"/>
      <sz val="21"/>
      <color rgb="FF000000"/>
      <name val="Ubuntu"/>
      <family val="0"/>
      <charset val="1"/>
    </font>
    <font>
      <b val="true"/>
      <sz val="14"/>
      <color rgb="FF000000"/>
      <name val="Calibri"/>
      <family val="2"/>
      <charset val="1"/>
    </font>
    <font>
      <b val="true"/>
      <sz val="13"/>
      <color rgb="FFC9211E"/>
      <name val="Arial"/>
      <family val="2"/>
      <charset val="1"/>
    </font>
    <font>
      <b val="true"/>
      <sz val="16"/>
      <color rgb="FFFF0000"/>
      <name val="Ubuntu"/>
      <family val="0"/>
      <charset val="1"/>
    </font>
    <font>
      <sz val="16"/>
      <color rgb="FFFF0000"/>
      <name val="Ubuntu"/>
      <family val="0"/>
      <charset val="1"/>
    </font>
    <font>
      <b val="true"/>
      <sz val="18"/>
      <color rgb="FFFF0000"/>
      <name val="Ubuntu"/>
      <family val="0"/>
      <charset val="1"/>
    </font>
    <font>
      <sz val="18"/>
      <color rgb="FFFF0000"/>
      <name val="Ubuntu"/>
      <family val="0"/>
      <charset val="1"/>
    </font>
    <font>
      <sz val="11"/>
      <color rgb="FFFF0000"/>
      <name val="Arial"/>
      <family val="2"/>
      <charset val="1"/>
    </font>
    <font>
      <b val="true"/>
      <sz val="22"/>
      <color rgb="FFC9211E"/>
      <name val="Ubuntu"/>
      <family val="0"/>
      <charset val="1"/>
    </font>
    <font>
      <b val="true"/>
      <sz val="14"/>
      <color rgb="FF000000"/>
      <name val="Arial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7F7F7F"/>
        <bgColor rgb="FF808080"/>
      </patternFill>
    </fill>
    <fill>
      <patternFill patternType="solid">
        <fgColor rgb="FF92D050"/>
        <bgColor rgb="FFBFBFBF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mediumDashed"/>
      <bottom style="thin"/>
      <diagonal/>
    </border>
    <border diagonalUp="false" diagonalDown="false">
      <left/>
      <right style="thin"/>
      <top style="mediumDashed"/>
      <bottom style="thin"/>
      <diagonal/>
    </border>
    <border diagonalUp="false" diagonalDown="false">
      <left style="thin"/>
      <right style="thin"/>
      <top style="mediumDashed"/>
      <bottom style="thin"/>
      <diagonal/>
    </border>
    <border diagonalUp="false" diagonalDown="false">
      <left style="thin"/>
      <right style="thin"/>
      <top style="thin"/>
      <bottom style="mediumDashed"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true" diagonalDown="true">
      <left style="thin"/>
      <right style="thin"/>
      <top style="thin"/>
      <bottom style="thin"/>
      <diagonal style="thin"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 style="thin"/>
      <right/>
      <top style="thin"/>
      <bottom style="mediumDashed"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thin"/>
      <top style="medium"/>
      <bottom style="medium"/>
      <diagonal/>
    </border>
    <border diagonalUp="false" diagonalDown="false">
      <left style="medium"/>
      <right style="dotted">
        <color rgb="FF7F7F7F"/>
      </right>
      <top/>
      <bottom/>
      <diagonal/>
    </border>
    <border diagonalUp="false" diagonalDown="false">
      <left style="medium"/>
      <right style="dotted">
        <color rgb="FF7F7F7F"/>
      </right>
      <top/>
      <bottom style="medium"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 style="medium"/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thin"/>
      <top style="dotted"/>
      <bottom style="dotted"/>
      <diagonal/>
    </border>
    <border diagonalUp="false" diagonalDown="false">
      <left style="thin"/>
      <right style="dotted">
        <color rgb="FF7F7F7F"/>
      </right>
      <top style="dotted"/>
      <bottom style="dotted"/>
      <diagonal/>
    </border>
    <border diagonalUp="true" diagonalDown="false">
      <left style="medium"/>
      <right style="dotted">
        <color rgb="FF7F7F7F"/>
      </right>
      <top style="dotted"/>
      <bottom style="dotted"/>
      <diagonal style="thin"/>
    </border>
    <border diagonalUp="true" diagonalDown="false">
      <left style="dotted">
        <color rgb="FF7F7F7F"/>
      </left>
      <right style="dotted">
        <color rgb="FF7F7F7F"/>
      </right>
      <top style="dotted"/>
      <bottom style="dotted"/>
      <diagonal style="thin"/>
    </border>
    <border diagonalUp="true" diagonalDown="false">
      <left style="dotted">
        <color rgb="FF7F7F7F"/>
      </left>
      <right style="thin"/>
      <top style="dotted"/>
      <bottom style="dotted"/>
      <diagonal style="thin"/>
    </border>
    <border diagonalUp="true" diagonalDown="false">
      <left style="thin"/>
      <right style="dotted">
        <color rgb="FF7F7F7F"/>
      </right>
      <top style="dotted"/>
      <bottom style="dotted"/>
      <diagonal style="thin"/>
    </border>
    <border diagonalUp="false" diagonalDown="false">
      <left style="dotted">
        <color rgb="FF7F7F7F"/>
      </left>
      <right style="thin"/>
      <top style="thin"/>
      <bottom style="thin"/>
      <diagonal/>
    </border>
    <border diagonalUp="false" diagonalDown="false">
      <left style="thin"/>
      <right style="dotted">
        <color rgb="FF7F7F7F"/>
      </right>
      <top style="thin"/>
      <bottom style="thin"/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9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2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2" borderId="9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9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9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0" xfId="6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1" fillId="0" borderId="17" xfId="6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48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9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0" xfId="4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9" borderId="0" xfId="4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48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9" borderId="0" xfId="48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35" fillId="9" borderId="0" xfId="4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4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9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10" borderId="1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9" borderId="0" xfId="4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0" borderId="2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2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9" borderId="0" xfId="4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0" xfId="4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0" borderId="4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4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0" xfId="4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4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0" xfId="48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0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0" borderId="0" xfId="4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48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10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6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5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7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8" xfId="4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0" borderId="4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2" fillId="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9" borderId="3" xfId="6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22" xfId="4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0" borderId="0" xfId="6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2" fillId="0" borderId="17" xfId="6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9" borderId="23" xfId="4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3" fillId="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6" fillId="12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6" fillId="12" borderId="3" xfId="6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9" xfId="4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9" xfId="4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3" fillId="9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4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4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3" xfId="4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9" borderId="3" xfId="6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48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3" fillId="9" borderId="3" xfId="4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0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9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1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4" fillId="1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9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9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9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0" borderId="0" xfId="6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31" fillId="0" borderId="18" xfId="6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47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47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4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9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9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4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0" xfId="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4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9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0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1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4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6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4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47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4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47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6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5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0" xfId="4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8" xfId="4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9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0" xfId="6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1" fillId="10" borderId="9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9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4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3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4" fillId="0" borderId="0" xfId="6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5" fillId="0" borderId="0" xfId="4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4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9" xfId="4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" xfId="4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0" xfId="49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31" fillId="0" borderId="18" xfId="4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4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3" fillId="1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4" fillId="9" borderId="3" xfId="6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14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4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14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8" fillId="14" borderId="3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8" fillId="14" borderId="38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8" fillId="1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4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15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0" fillId="9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15" borderId="44" xfId="6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15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5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0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0" fillId="15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0" fillId="9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3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3" fillId="9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3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15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0" fillId="9" borderId="4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15" borderId="48" xfId="6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0" fillId="9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3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3" fillId="0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0" fillId="9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Bad 8" xfId="28"/>
    <cellStyle name="Bad 9" xfId="29"/>
    <cellStyle name="Error 10" xfId="30"/>
    <cellStyle name="Error 9" xfId="31"/>
    <cellStyle name="Footnote 10" xfId="32"/>
    <cellStyle name="Footnote 13" xfId="33"/>
    <cellStyle name="Good 11" xfId="34"/>
    <cellStyle name="Good 14" xfId="35"/>
    <cellStyle name="Heading 1 13" xfId="36"/>
    <cellStyle name="Heading 1 16" xfId="37"/>
    <cellStyle name="Heading 12" xfId="38"/>
    <cellStyle name="Heading 15" xfId="39"/>
    <cellStyle name="Heading 2 14" xfId="40"/>
    <cellStyle name="Heading 2 17" xfId="41"/>
    <cellStyle name="Heading 3" xfId="42"/>
    <cellStyle name="Hyperlink 15" xfId="43"/>
    <cellStyle name="Hyperlink 18" xfId="44"/>
    <cellStyle name="Neutral 16" xfId="45"/>
    <cellStyle name="Neutral 19" xfId="46"/>
    <cellStyle name="Normal 2" xfId="47"/>
    <cellStyle name="Normal 3" xfId="48"/>
    <cellStyle name="Pourcentage 2" xfId="49"/>
    <cellStyle name="Result 17" xfId="50"/>
    <cellStyle name="Result 20" xfId="51"/>
    <cellStyle name="Result 4" xfId="52"/>
    <cellStyle name="Résultat2" xfId="53"/>
    <cellStyle name="Status 18" xfId="54"/>
    <cellStyle name="Status 21" xfId="55"/>
    <cellStyle name="Text 19" xfId="56"/>
    <cellStyle name="Text 22" xfId="57"/>
    <cellStyle name="Warning 20" xfId="58"/>
    <cellStyle name="Warning 23" xfId="59"/>
    <cellStyle name="Excel Built-in Percent 12" xfId="60"/>
    <cellStyle name="Excel Built-in Percent 1" xfId="61"/>
  </cellStyles>
  <dxfs count="1">
    <dxf>
      <font>
        <color rgb="FFF2F2F2"/>
      </font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0</xdr:colOff>
      <xdr:row>34</xdr:row>
      <xdr:rowOff>0</xdr:rowOff>
    </xdr:from>
    <xdr:to>
      <xdr:col>13</xdr:col>
      <xdr:colOff>96120</xdr:colOff>
      <xdr:row>40</xdr:row>
      <xdr:rowOff>691920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4189680" y="11294640"/>
          <a:ext cx="2467800" cy="4097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2008800</xdr:colOff>
      <xdr:row>7</xdr:row>
      <xdr:rowOff>372600</xdr:rowOff>
    </xdr:from>
    <xdr:to>
      <xdr:col>8</xdr:col>
      <xdr:colOff>586440</xdr:colOff>
      <xdr:row>14</xdr:row>
      <xdr:rowOff>365400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11886840" y="3215880"/>
          <a:ext cx="2602080" cy="481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10</xdr:col>
      <xdr:colOff>0</xdr:colOff>
      <xdr:row>9</xdr:row>
      <xdr:rowOff>0</xdr:rowOff>
    </xdr:from>
    <xdr:to>
      <xdr:col>13</xdr:col>
      <xdr:colOff>1204920</xdr:colOff>
      <xdr:row>19</xdr:row>
      <xdr:rowOff>393480</xdr:rowOff>
    </xdr:to>
    <xdr:pic>
      <xdr:nvPicPr>
        <xdr:cNvPr id="2" name="Image 3" descr=""/>
        <xdr:cNvPicPr/>
      </xdr:nvPicPr>
      <xdr:blipFill>
        <a:blip r:embed="rId1"/>
        <a:stretch/>
      </xdr:blipFill>
      <xdr:spPr>
        <a:xfrm>
          <a:off x="17927280" y="3765240"/>
          <a:ext cx="4435560" cy="6888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49"/>
  <sheetViews>
    <sheetView showFormulas="false" showGridLines="true" showRowColHeaders="true" showZeros="true" rightToLeft="false" tabSelected="false" showOutlineSymbols="true" defaultGridColor="true" view="normal" topLeftCell="K19" colorId="64" zoomScale="55" zoomScaleNormal="55" zoomScalePageLayoutView="100" workbookViewId="0">
      <selection pane="topLeft" activeCell="AO13" activeCellId="0" sqref="AO13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8.88"/>
    <col collapsed="false" customWidth="false" hidden="false" outlineLevel="0" max="2" min="2" style="1" width="11.25"/>
    <col collapsed="false" customWidth="true" hidden="false" outlineLevel="0" max="38" min="3" style="1" width="6.87"/>
    <col collapsed="false" customWidth="true" hidden="false" outlineLevel="0" max="39" min="39" style="2" width="16.13"/>
    <col collapsed="false" customWidth="true" hidden="false" outlineLevel="0" max="40" min="40" style="2" width="12.13"/>
    <col collapsed="false" customWidth="true" hidden="false" outlineLevel="0" max="48" min="41" style="2" width="26.39"/>
    <col collapsed="false" customWidth="true" hidden="false" outlineLevel="0" max="50" min="49" style="1" width="26.39"/>
    <col collapsed="false" customWidth="false" hidden="false" outlineLevel="0" max="1024" min="51" style="1" width="11.25"/>
  </cols>
  <sheetData>
    <row r="1" customFormat="false" ht="52.5" hidden="false" customHeight="true" outlineLevel="0" collapsed="false">
      <c r="A1" s="3" t="s">
        <v>0</v>
      </c>
      <c r="B1" s="4" t="s">
        <v>1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P1" s="6" t="s">
        <v>2</v>
      </c>
      <c r="Q1" s="5"/>
      <c r="R1" s="7" t="s">
        <v>3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2"/>
      <c r="AF1" s="2"/>
      <c r="AG1" s="5"/>
      <c r="AH1" s="5"/>
      <c r="AI1" s="2"/>
      <c r="AJ1" s="2"/>
      <c r="AK1" s="2"/>
      <c r="AL1" s="2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customFormat="false" ht="52.5" hidden="false" customHeight="true" outlineLevel="0" collapsed="false">
      <c r="A2" s="3" t="s">
        <v>4</v>
      </c>
      <c r="B2" s="5"/>
      <c r="C2" s="5"/>
      <c r="D2" s="5"/>
      <c r="E2" s="5"/>
      <c r="F2" s="2"/>
      <c r="G2" s="5"/>
      <c r="H2" s="5"/>
      <c r="I2" s="5"/>
      <c r="J2" s="5"/>
      <c r="K2" s="5"/>
      <c r="L2" s="5" t="s">
        <v>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5"/>
      <c r="AI2" s="2"/>
      <c r="AJ2" s="2"/>
      <c r="AK2" s="2"/>
      <c r="AL2" s="2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customFormat="false" ht="52.5" hidden="false" customHeight="true" outlineLevel="0" collapsed="false">
      <c r="A3" s="3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2"/>
      <c r="AJ3" s="2"/>
      <c r="AK3" s="2"/>
      <c r="AL3" s="2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customFormat="false" ht="19.5" hidden="false" customHeight="true" outlineLevel="0" collapsed="false">
      <c r="A4" s="10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customFormat="false" ht="35.1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2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6" customFormat="false" ht="35.1" hidden="false" customHeight="true" outlineLevel="0" collapsed="false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2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</row>
    <row r="7" customFormat="false" ht="35.1" hidden="false" customHeight="true" outlineLevel="0" collapsed="false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2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</row>
    <row r="8" customFormat="false" ht="16.9" hidden="false" customHeight="true" outlineLevel="0" collapsed="false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2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</row>
    <row r="9" customFormat="false" ht="32.25" hidden="false" customHeight="true" outlineLevel="0" collapsed="false">
      <c r="A9" s="14"/>
      <c r="B9" s="15"/>
      <c r="C9" s="16" t="s">
        <v>11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 t="s">
        <v>12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 t="s">
        <v>13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</row>
    <row r="10" customFormat="false" ht="22.7" hidden="false" customHeight="true" outlineLevel="0" collapsed="false">
      <c r="A10" s="14"/>
      <c r="B10" s="15"/>
      <c r="C10" s="17" t="s">
        <v>14</v>
      </c>
      <c r="D10" s="17"/>
      <c r="E10" s="17"/>
      <c r="F10" s="17"/>
      <c r="G10" s="17" t="s">
        <v>15</v>
      </c>
      <c r="H10" s="17"/>
      <c r="I10" s="17"/>
      <c r="J10" s="17"/>
      <c r="K10" s="17" t="s">
        <v>16</v>
      </c>
      <c r="L10" s="17"/>
      <c r="M10" s="17"/>
      <c r="N10" s="17"/>
      <c r="O10" s="17" t="s">
        <v>15</v>
      </c>
      <c r="P10" s="17"/>
      <c r="Q10" s="17"/>
      <c r="R10" s="17"/>
      <c r="S10" s="17" t="s">
        <v>14</v>
      </c>
      <c r="T10" s="17"/>
      <c r="U10" s="17"/>
      <c r="V10" s="17"/>
      <c r="W10" s="17" t="s">
        <v>17</v>
      </c>
      <c r="X10" s="17"/>
      <c r="Y10" s="17"/>
      <c r="Z10" s="17"/>
      <c r="AA10" s="17" t="s">
        <v>15</v>
      </c>
      <c r="AB10" s="17"/>
      <c r="AC10" s="17"/>
      <c r="AD10" s="17"/>
      <c r="AE10" s="17" t="s">
        <v>16</v>
      </c>
      <c r="AF10" s="17"/>
      <c r="AG10" s="17"/>
      <c r="AH10" s="17"/>
      <c r="AI10" s="17" t="s">
        <v>17</v>
      </c>
      <c r="AJ10" s="17"/>
      <c r="AK10" s="17"/>
      <c r="AL10" s="17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</row>
    <row r="11" customFormat="false" ht="18.6" hidden="false" customHeight="true" outlineLevel="0" collapsed="false">
      <c r="A11" s="14"/>
      <c r="B11" s="1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" t="s">
        <v>18</v>
      </c>
      <c r="AB11" s="18"/>
      <c r="AC11" s="18" t="s">
        <v>19</v>
      </c>
      <c r="AD11" s="18"/>
      <c r="AE11" s="18" t="s">
        <v>18</v>
      </c>
      <c r="AF11" s="18"/>
      <c r="AG11" s="18" t="s">
        <v>19</v>
      </c>
      <c r="AH11" s="18"/>
      <c r="AI11" s="18" t="s">
        <v>18</v>
      </c>
      <c r="AJ11" s="18"/>
      <c r="AK11" s="18" t="s">
        <v>19</v>
      </c>
      <c r="AL11" s="18"/>
      <c r="AM11" s="8"/>
      <c r="AN11" s="19" t="s">
        <v>20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customFormat="false" ht="19.7" hidden="false" customHeight="false" outlineLevel="0" collapsed="false">
      <c r="A12" s="20" t="s">
        <v>21</v>
      </c>
      <c r="B12" s="20"/>
      <c r="C12" s="21" t="s">
        <v>22</v>
      </c>
      <c r="D12" s="21" t="s">
        <v>23</v>
      </c>
      <c r="E12" s="21" t="s">
        <v>22</v>
      </c>
      <c r="F12" s="21" t="s">
        <v>23</v>
      </c>
      <c r="G12" s="21" t="s">
        <v>22</v>
      </c>
      <c r="H12" s="21" t="s">
        <v>23</v>
      </c>
      <c r="I12" s="21" t="s">
        <v>22</v>
      </c>
      <c r="J12" s="21" t="s">
        <v>23</v>
      </c>
      <c r="K12" s="21" t="s">
        <v>22</v>
      </c>
      <c r="L12" s="21" t="s">
        <v>23</v>
      </c>
      <c r="M12" s="21" t="s">
        <v>22</v>
      </c>
      <c r="N12" s="21" t="s">
        <v>23</v>
      </c>
      <c r="O12" s="21" t="s">
        <v>22</v>
      </c>
      <c r="P12" s="21" t="s">
        <v>23</v>
      </c>
      <c r="Q12" s="21" t="s">
        <v>22</v>
      </c>
      <c r="R12" s="21" t="s">
        <v>23</v>
      </c>
      <c r="S12" s="21" t="s">
        <v>22</v>
      </c>
      <c r="T12" s="21" t="s">
        <v>23</v>
      </c>
      <c r="U12" s="21" t="s">
        <v>22</v>
      </c>
      <c r="V12" s="21" t="s">
        <v>23</v>
      </c>
      <c r="W12" s="21" t="s">
        <v>22</v>
      </c>
      <c r="X12" s="21" t="s">
        <v>23</v>
      </c>
      <c r="Y12" s="21" t="s">
        <v>22</v>
      </c>
      <c r="Z12" s="21" t="s">
        <v>23</v>
      </c>
      <c r="AA12" s="21" t="s">
        <v>22</v>
      </c>
      <c r="AB12" s="21" t="s">
        <v>23</v>
      </c>
      <c r="AC12" s="21" t="s">
        <v>22</v>
      </c>
      <c r="AD12" s="21" t="s">
        <v>23</v>
      </c>
      <c r="AE12" s="21" t="s">
        <v>22</v>
      </c>
      <c r="AF12" s="21" t="s">
        <v>23</v>
      </c>
      <c r="AG12" s="21" t="s">
        <v>22</v>
      </c>
      <c r="AH12" s="21" t="s">
        <v>23</v>
      </c>
      <c r="AI12" s="21" t="s">
        <v>22</v>
      </c>
      <c r="AJ12" s="21" t="s">
        <v>23</v>
      </c>
      <c r="AK12" s="21" t="s">
        <v>22</v>
      </c>
      <c r="AL12" s="21" t="s">
        <v>23</v>
      </c>
      <c r="AM12" s="8"/>
      <c r="AN12" s="22" t="n">
        <v>60</v>
      </c>
      <c r="AO12" s="8" t="n">
        <f aca="false">AN12/101</f>
        <v>0.594059405940594</v>
      </c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customFormat="false" ht="87.85" hidden="false" customHeight="true" outlineLevel="0" collapsed="false">
      <c r="A13" s="23" t="n">
        <v>0.270833333333333</v>
      </c>
      <c r="B13" s="23" t="n">
        <v>0.291666666666667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 t="n">
        <v>1</v>
      </c>
      <c r="O13" s="25"/>
      <c r="P13" s="25"/>
      <c r="Q13" s="25"/>
      <c r="R13" s="25"/>
      <c r="S13" s="25" t="n">
        <v>3</v>
      </c>
      <c r="T13" s="25" t="n">
        <v>1</v>
      </c>
      <c r="U13" s="25"/>
      <c r="V13" s="25"/>
      <c r="W13" s="24" t="n">
        <v>1</v>
      </c>
      <c r="X13" s="24" t="n">
        <v>4</v>
      </c>
      <c r="Y13" s="24"/>
      <c r="Z13" s="24"/>
      <c r="AA13" s="25"/>
      <c r="AB13" s="25"/>
      <c r="AC13" s="25"/>
      <c r="AD13" s="25"/>
      <c r="AE13" s="25" t="n">
        <v>3</v>
      </c>
      <c r="AF13" s="25" t="n">
        <v>1</v>
      </c>
      <c r="AG13" s="25"/>
      <c r="AH13" s="25"/>
      <c r="AI13" s="24" t="n">
        <v>1</v>
      </c>
      <c r="AJ13" s="24" t="n">
        <v>1</v>
      </c>
      <c r="AK13" s="24"/>
      <c r="AL13" s="24"/>
      <c r="AM13" s="8" t="n">
        <f aca="false">SUM(C13:AL13)</f>
        <v>16</v>
      </c>
      <c r="AN13" s="26" t="s">
        <v>24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4" customFormat="false" ht="87.85" hidden="false" customHeight="true" outlineLevel="0" collapsed="false">
      <c r="A14" s="23" t="n">
        <v>0.291666666666667</v>
      </c>
      <c r="B14" s="23" t="n">
        <v>0.3125</v>
      </c>
      <c r="C14" s="24"/>
      <c r="D14" s="24"/>
      <c r="E14" s="24"/>
      <c r="F14" s="24"/>
      <c r="G14" s="24"/>
      <c r="H14" s="24"/>
      <c r="I14" s="24"/>
      <c r="J14" s="24"/>
      <c r="K14" s="24" t="n">
        <v>1</v>
      </c>
      <c r="L14" s="24" t="n">
        <v>1</v>
      </c>
      <c r="M14" s="24" t="n">
        <v>1</v>
      </c>
      <c r="N14" s="24"/>
      <c r="O14" s="25"/>
      <c r="P14" s="25"/>
      <c r="Q14" s="25"/>
      <c r="R14" s="25"/>
      <c r="S14" s="25"/>
      <c r="T14" s="25"/>
      <c r="U14" s="25" t="n">
        <v>1</v>
      </c>
      <c r="V14" s="25"/>
      <c r="W14" s="24" t="n">
        <v>2</v>
      </c>
      <c r="X14" s="24" t="n">
        <v>5</v>
      </c>
      <c r="Y14" s="24" t="n">
        <v>2</v>
      </c>
      <c r="Z14" s="24" t="n">
        <v>1</v>
      </c>
      <c r="AA14" s="25"/>
      <c r="AB14" s="25" t="n">
        <v>1</v>
      </c>
      <c r="AC14" s="25"/>
      <c r="AD14" s="25"/>
      <c r="AE14" s="25"/>
      <c r="AF14" s="25" t="n">
        <v>1</v>
      </c>
      <c r="AG14" s="25"/>
      <c r="AH14" s="25" t="n">
        <v>1</v>
      </c>
      <c r="AI14" s="24" t="n">
        <v>1</v>
      </c>
      <c r="AJ14" s="24"/>
      <c r="AK14" s="24"/>
      <c r="AL14" s="24" t="n">
        <v>1</v>
      </c>
      <c r="AM14" s="8" t="n">
        <f aca="false">SUM(C14:AL14)</f>
        <v>19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</row>
    <row r="15" customFormat="false" ht="87.85" hidden="false" customHeight="true" outlineLevel="0" collapsed="false">
      <c r="A15" s="23" t="n">
        <v>0.3125</v>
      </c>
      <c r="B15" s="23" t="n">
        <v>0.333333333333333</v>
      </c>
      <c r="C15" s="24"/>
      <c r="D15" s="24"/>
      <c r="E15" s="24"/>
      <c r="F15" s="24"/>
      <c r="G15" s="24"/>
      <c r="H15" s="24"/>
      <c r="I15" s="24"/>
      <c r="J15" s="24"/>
      <c r="K15" s="24"/>
      <c r="L15" s="24" t="n">
        <v>4</v>
      </c>
      <c r="M15" s="24"/>
      <c r="N15" s="24"/>
      <c r="O15" s="25"/>
      <c r="P15" s="25"/>
      <c r="Q15" s="25"/>
      <c r="R15" s="25"/>
      <c r="S15" s="25"/>
      <c r="T15" s="25" t="n">
        <v>2</v>
      </c>
      <c r="U15" s="25" t="n">
        <v>3</v>
      </c>
      <c r="V15" s="25" t="n">
        <v>2</v>
      </c>
      <c r="W15" s="24"/>
      <c r="X15" s="24"/>
      <c r="Y15" s="24" t="n">
        <v>4</v>
      </c>
      <c r="Z15" s="24"/>
      <c r="AA15" s="25"/>
      <c r="AB15" s="25"/>
      <c r="AC15" s="25"/>
      <c r="AD15" s="25"/>
      <c r="AE15" s="25" t="n">
        <v>1</v>
      </c>
      <c r="AF15" s="25"/>
      <c r="AG15" s="25"/>
      <c r="AH15" s="25"/>
      <c r="AI15" s="24" t="n">
        <v>1</v>
      </c>
      <c r="AJ15" s="24" t="n">
        <v>1</v>
      </c>
      <c r="AK15" s="24" t="n">
        <v>1</v>
      </c>
      <c r="AL15" s="24"/>
      <c r="AM15" s="8" t="n">
        <f aca="false">SUM(C15:AL15)</f>
        <v>19</v>
      </c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</row>
    <row r="16" customFormat="false" ht="87.85" hidden="false" customHeight="true" outlineLevel="0" collapsed="false">
      <c r="A16" s="23" t="n">
        <v>0.333333333333333</v>
      </c>
      <c r="B16" s="23" t="n">
        <v>0.354166666666667</v>
      </c>
      <c r="C16" s="24"/>
      <c r="D16" s="24" t="n">
        <v>1</v>
      </c>
      <c r="E16" s="24"/>
      <c r="F16" s="24"/>
      <c r="G16" s="24"/>
      <c r="H16" s="24"/>
      <c r="I16" s="24"/>
      <c r="J16" s="24"/>
      <c r="K16" s="24"/>
      <c r="L16" s="24" t="n">
        <v>5</v>
      </c>
      <c r="M16" s="24"/>
      <c r="N16" s="24" t="n">
        <v>1</v>
      </c>
      <c r="O16" s="25"/>
      <c r="P16" s="25"/>
      <c r="Q16" s="25"/>
      <c r="R16" s="25"/>
      <c r="S16" s="25" t="n">
        <v>2</v>
      </c>
      <c r="T16" s="25"/>
      <c r="U16" s="25" t="n">
        <v>2</v>
      </c>
      <c r="V16" s="25"/>
      <c r="W16" s="24" t="n">
        <v>1</v>
      </c>
      <c r="X16" s="24" t="n">
        <v>4</v>
      </c>
      <c r="Y16" s="24" t="n">
        <v>3</v>
      </c>
      <c r="Z16" s="24" t="n">
        <v>2</v>
      </c>
      <c r="AA16" s="25"/>
      <c r="AB16" s="25"/>
      <c r="AC16" s="25"/>
      <c r="AD16" s="25"/>
      <c r="AE16" s="25" t="n">
        <v>1</v>
      </c>
      <c r="AF16" s="25" t="n">
        <v>2</v>
      </c>
      <c r="AG16" s="25"/>
      <c r="AH16" s="25"/>
      <c r="AI16" s="24"/>
      <c r="AJ16" s="24" t="n">
        <v>4</v>
      </c>
      <c r="AK16" s="24"/>
      <c r="AL16" s="24" t="n">
        <v>1</v>
      </c>
      <c r="AM16" s="8" t="n">
        <f aca="false">SUM(C16:AL16)</f>
        <v>29</v>
      </c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</row>
    <row r="17" customFormat="false" ht="87.85" hidden="false" customHeight="true" outlineLevel="0" collapsed="false">
      <c r="A17" s="23" t="n">
        <v>0.354166666666667</v>
      </c>
      <c r="B17" s="23" t="n">
        <v>0.375</v>
      </c>
      <c r="C17" s="24"/>
      <c r="D17" s="24"/>
      <c r="E17" s="24"/>
      <c r="F17" s="24"/>
      <c r="G17" s="24"/>
      <c r="H17" s="24"/>
      <c r="I17" s="24"/>
      <c r="J17" s="24"/>
      <c r="K17" s="24" t="n">
        <v>1</v>
      </c>
      <c r="L17" s="24" t="n">
        <v>1</v>
      </c>
      <c r="M17" s="24" t="n">
        <v>1</v>
      </c>
      <c r="N17" s="24"/>
      <c r="O17" s="25"/>
      <c r="P17" s="25"/>
      <c r="Q17" s="25"/>
      <c r="R17" s="25"/>
      <c r="S17" s="25" t="n">
        <v>3</v>
      </c>
      <c r="T17" s="25" t="n">
        <v>2</v>
      </c>
      <c r="U17" s="25" t="n">
        <v>2</v>
      </c>
      <c r="V17" s="25" t="n">
        <v>1</v>
      </c>
      <c r="W17" s="24" t="n">
        <v>1</v>
      </c>
      <c r="X17" s="24" t="n">
        <v>1</v>
      </c>
      <c r="Y17" s="24"/>
      <c r="Z17" s="24"/>
      <c r="AA17" s="25" t="n">
        <v>2</v>
      </c>
      <c r="AB17" s="25" t="n">
        <v>1</v>
      </c>
      <c r="AC17" s="25"/>
      <c r="AD17" s="25"/>
      <c r="AE17" s="25" t="n">
        <v>1</v>
      </c>
      <c r="AF17" s="25"/>
      <c r="AG17" s="25"/>
      <c r="AH17" s="25"/>
      <c r="AI17" s="24"/>
      <c r="AJ17" s="24"/>
      <c r="AK17" s="24"/>
      <c r="AL17" s="24" t="n">
        <v>1</v>
      </c>
      <c r="AM17" s="8" t="n">
        <f aca="false">SUM(C17:AL17)</f>
        <v>18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customFormat="false" ht="7.5" hidden="false" customHeight="true" outlineLevel="0" collapsed="false">
      <c r="AM18" s="8" t="n">
        <f aca="false">SUM(C18:AL18)</f>
        <v>0</v>
      </c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="31" customFormat="true" ht="45.35" hidden="false" customHeight="true" outlineLevel="0" collapsed="false">
      <c r="A19" s="27"/>
      <c r="B19" s="28" t="s">
        <v>25</v>
      </c>
      <c r="C19" s="29"/>
      <c r="D19" s="29"/>
      <c r="E19" s="29"/>
      <c r="F19" s="30" t="n">
        <v>3</v>
      </c>
      <c r="G19" s="29"/>
      <c r="H19" s="29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s="31" customFormat="true" ht="45.35" hidden="false" customHeight="true" outlineLevel="0" collapsed="false">
      <c r="A20" s="27"/>
      <c r="B20" s="28" t="s">
        <v>26</v>
      </c>
      <c r="C20" s="29"/>
      <c r="D20" s="29"/>
      <c r="E20" s="29"/>
      <c r="F20" s="29"/>
      <c r="G20" s="29"/>
      <c r="H20" s="30" t="n">
        <v>12</v>
      </c>
      <c r="I20" s="27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s="31" customFormat="true" ht="45.35" hidden="false" customHeight="true" outlineLevel="0" collapsed="false">
      <c r="A21" s="27"/>
      <c r="B21" s="28" t="s">
        <v>27</v>
      </c>
      <c r="C21" s="29"/>
      <c r="D21" s="29"/>
      <c r="E21" s="29"/>
      <c r="F21" s="29"/>
      <c r="G21" s="29"/>
      <c r="H21" s="30" t="n">
        <v>9</v>
      </c>
      <c r="I21" s="27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="31" customFormat="true" ht="45.35" hidden="false" customHeight="true" outlineLevel="0" collapsed="false">
      <c r="A22" s="27"/>
      <c r="B22" s="28" t="s">
        <v>28</v>
      </c>
      <c r="C22" s="29"/>
      <c r="D22" s="29"/>
      <c r="E22" s="29"/>
      <c r="F22" s="29"/>
      <c r="G22" s="29"/>
      <c r="H22" s="29"/>
      <c r="I22" s="27"/>
      <c r="J22" s="29"/>
      <c r="K22" s="29"/>
      <c r="L22" s="29"/>
      <c r="M22" s="29"/>
      <c r="N22" s="29"/>
      <c r="O22" s="29"/>
      <c r="P22" s="29"/>
      <c r="Q22" s="29"/>
      <c r="R22" s="30" t="n">
        <v>16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customFormat="false" ht="54.95" hidden="false" customHeight="true" outlineLevel="0" collapsed="false">
      <c r="A23" s="32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</row>
    <row r="24" customFormat="false" ht="54.95" hidden="false" customHeight="true" outlineLevel="0" collapsed="false">
      <c r="A24" s="32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3"/>
      <c r="AX24" s="33"/>
    </row>
    <row r="25" customFormat="false" ht="25.5" hidden="false" customHeight="true" outlineLevel="0" collapsed="false">
      <c r="A25" s="3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36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6"/>
      <c r="AW25" s="36"/>
      <c r="AX25" s="36"/>
    </row>
    <row r="26" customFormat="false" ht="32.25" hidden="false" customHeight="true" outlineLevel="0" collapsed="false">
      <c r="A26" s="14"/>
      <c r="B26" s="15"/>
      <c r="C26" s="16" t="str">
        <f aca="false">C9</f>
        <v>De La Gare (Fg St Bernard) vers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 t="str">
        <f aca="false">O9</f>
        <v>Du Pont du Foron vers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 t="str">
        <f aca="false">AA9</f>
        <v>Du Rd Point La Poste vers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3"/>
      <c r="AN26" s="5"/>
      <c r="AO26" s="37" t="s">
        <v>29</v>
      </c>
      <c r="AP26" s="38" t="s">
        <v>30</v>
      </c>
      <c r="AQ26" s="39" t="s">
        <v>31</v>
      </c>
      <c r="AR26" s="39" t="s">
        <v>32</v>
      </c>
      <c r="AS26" s="39"/>
      <c r="AT26" s="39"/>
      <c r="AU26" s="39"/>
      <c r="AV26" s="39"/>
      <c r="AW26" s="39"/>
      <c r="AX26" s="40" t="s">
        <v>32</v>
      </c>
      <c r="AY26" s="41" t="s">
        <v>33</v>
      </c>
    </row>
    <row r="27" customFormat="false" ht="22.7" hidden="false" customHeight="true" outlineLevel="0" collapsed="false">
      <c r="A27" s="14"/>
      <c r="B27" s="15"/>
      <c r="C27" s="17" t="str">
        <f aca="false">C10</f>
        <v>Rd Pt Poste</v>
      </c>
      <c r="D27" s="17"/>
      <c r="E27" s="17"/>
      <c r="F27" s="17"/>
      <c r="G27" s="17" t="str">
        <f aca="false">G10</f>
        <v>Rue Perrine</v>
      </c>
      <c r="H27" s="17"/>
      <c r="I27" s="17"/>
      <c r="J27" s="17"/>
      <c r="K27" s="17" t="str">
        <f aca="false">K10</f>
        <v>Pont du Foron</v>
      </c>
      <c r="L27" s="17"/>
      <c r="M27" s="17"/>
      <c r="N27" s="17"/>
      <c r="O27" s="17" t="str">
        <f aca="false">O10</f>
        <v>Rue Perrine</v>
      </c>
      <c r="P27" s="17"/>
      <c r="Q27" s="17"/>
      <c r="R27" s="17"/>
      <c r="S27" s="17" t="str">
        <f aca="false">S10</f>
        <v>Rd Pt Poste</v>
      </c>
      <c r="T27" s="17"/>
      <c r="U27" s="17"/>
      <c r="V27" s="17"/>
      <c r="W27" s="17" t="str">
        <f aca="false">W10</f>
        <v>La Gare</v>
      </c>
      <c r="X27" s="17"/>
      <c r="Y27" s="17"/>
      <c r="Z27" s="17"/>
      <c r="AA27" s="17" t="str">
        <f aca="false">AA10</f>
        <v>Rue Perrine</v>
      </c>
      <c r="AB27" s="17"/>
      <c r="AC27" s="17"/>
      <c r="AD27" s="17"/>
      <c r="AE27" s="17" t="str">
        <f aca="false">AE10</f>
        <v>Pont du Foron</v>
      </c>
      <c r="AF27" s="17"/>
      <c r="AG27" s="17"/>
      <c r="AH27" s="17"/>
      <c r="AI27" s="17" t="str">
        <f aca="false">AI10</f>
        <v>La Gare</v>
      </c>
      <c r="AJ27" s="17"/>
      <c r="AK27" s="17"/>
      <c r="AL27" s="17"/>
      <c r="AM27" s="3"/>
      <c r="AN27" s="5"/>
      <c r="AO27" s="37"/>
      <c r="AP27" s="38"/>
      <c r="AQ27" s="39"/>
      <c r="AR27" s="39"/>
      <c r="AS27" s="39"/>
      <c r="AT27" s="39"/>
      <c r="AU27" s="39"/>
      <c r="AV27" s="39"/>
      <c r="AW27" s="39"/>
      <c r="AX27" s="40"/>
      <c r="AY27" s="41"/>
    </row>
    <row r="28" customFormat="false" ht="18.6" hidden="false" customHeight="true" outlineLevel="0" collapsed="false">
      <c r="A28" s="14"/>
      <c r="B28" s="15"/>
      <c r="C28" s="18" t="s">
        <v>18</v>
      </c>
      <c r="D28" s="18"/>
      <c r="E28" s="18" t="s">
        <v>19</v>
      </c>
      <c r="F28" s="18"/>
      <c r="G28" s="18" t="s">
        <v>18</v>
      </c>
      <c r="H28" s="18"/>
      <c r="I28" s="18" t="s">
        <v>19</v>
      </c>
      <c r="J28" s="18"/>
      <c r="K28" s="18" t="s">
        <v>18</v>
      </c>
      <c r="L28" s="18"/>
      <c r="M28" s="18" t="s">
        <v>19</v>
      </c>
      <c r="N28" s="18"/>
      <c r="O28" s="18" t="s">
        <v>18</v>
      </c>
      <c r="P28" s="18"/>
      <c r="Q28" s="18" t="s">
        <v>19</v>
      </c>
      <c r="R28" s="18"/>
      <c r="S28" s="18" t="s">
        <v>18</v>
      </c>
      <c r="T28" s="18"/>
      <c r="U28" s="18" t="s">
        <v>19</v>
      </c>
      <c r="V28" s="18"/>
      <c r="W28" s="18" t="s">
        <v>18</v>
      </c>
      <c r="X28" s="18"/>
      <c r="Y28" s="18" t="s">
        <v>19</v>
      </c>
      <c r="Z28" s="18"/>
      <c r="AA28" s="18" t="s">
        <v>18</v>
      </c>
      <c r="AB28" s="18"/>
      <c r="AC28" s="18" t="s">
        <v>19</v>
      </c>
      <c r="AD28" s="18"/>
      <c r="AE28" s="18" t="s">
        <v>18</v>
      </c>
      <c r="AF28" s="18"/>
      <c r="AG28" s="18" t="s">
        <v>19</v>
      </c>
      <c r="AH28" s="18"/>
      <c r="AI28" s="18" t="s">
        <v>18</v>
      </c>
      <c r="AJ28" s="18"/>
      <c r="AK28" s="18" t="s">
        <v>19</v>
      </c>
      <c r="AL28" s="18"/>
      <c r="AM28" s="42"/>
      <c r="AN28" s="5"/>
      <c r="AO28" s="37"/>
      <c r="AP28" s="38"/>
      <c r="AQ28" s="39"/>
      <c r="AR28" s="39"/>
      <c r="AS28" s="39"/>
      <c r="AT28" s="39"/>
      <c r="AU28" s="39"/>
      <c r="AV28" s="39"/>
      <c r="AW28" s="39"/>
      <c r="AX28" s="40"/>
      <c r="AY28" s="41"/>
    </row>
    <row r="29" customFormat="false" ht="40.5" hidden="false" customHeight="false" outlineLevel="0" collapsed="false">
      <c r="A29" s="20" t="s">
        <v>21</v>
      </c>
      <c r="B29" s="20"/>
      <c r="C29" s="21" t="s">
        <v>22</v>
      </c>
      <c r="D29" s="21" t="s">
        <v>23</v>
      </c>
      <c r="E29" s="21" t="s">
        <v>22</v>
      </c>
      <c r="F29" s="21" t="s">
        <v>23</v>
      </c>
      <c r="G29" s="21" t="s">
        <v>22</v>
      </c>
      <c r="H29" s="21" t="s">
        <v>23</v>
      </c>
      <c r="I29" s="21" t="s">
        <v>22</v>
      </c>
      <c r="J29" s="21" t="s">
        <v>23</v>
      </c>
      <c r="K29" s="21" t="s">
        <v>22</v>
      </c>
      <c r="L29" s="21" t="s">
        <v>23</v>
      </c>
      <c r="M29" s="21" t="s">
        <v>22</v>
      </c>
      <c r="N29" s="21" t="s">
        <v>23</v>
      </c>
      <c r="O29" s="21" t="s">
        <v>22</v>
      </c>
      <c r="P29" s="21" t="s">
        <v>23</v>
      </c>
      <c r="Q29" s="21" t="s">
        <v>22</v>
      </c>
      <c r="R29" s="21" t="s">
        <v>23</v>
      </c>
      <c r="S29" s="21" t="s">
        <v>22</v>
      </c>
      <c r="T29" s="21" t="s">
        <v>23</v>
      </c>
      <c r="U29" s="21" t="s">
        <v>22</v>
      </c>
      <c r="V29" s="21" t="s">
        <v>23</v>
      </c>
      <c r="W29" s="21" t="s">
        <v>22</v>
      </c>
      <c r="X29" s="21" t="s">
        <v>23</v>
      </c>
      <c r="Y29" s="21" t="s">
        <v>22</v>
      </c>
      <c r="Z29" s="21" t="s">
        <v>23</v>
      </c>
      <c r="AA29" s="21" t="s">
        <v>22</v>
      </c>
      <c r="AB29" s="21" t="s">
        <v>23</v>
      </c>
      <c r="AC29" s="21" t="s">
        <v>22</v>
      </c>
      <c r="AD29" s="21" t="s">
        <v>23</v>
      </c>
      <c r="AE29" s="21" t="s">
        <v>22</v>
      </c>
      <c r="AF29" s="21" t="s">
        <v>23</v>
      </c>
      <c r="AG29" s="21" t="s">
        <v>22</v>
      </c>
      <c r="AH29" s="21" t="s">
        <v>23</v>
      </c>
      <c r="AI29" s="21" t="s">
        <v>22</v>
      </c>
      <c r="AJ29" s="21" t="s">
        <v>23</v>
      </c>
      <c r="AK29" s="21" t="s">
        <v>22</v>
      </c>
      <c r="AL29" s="21" t="s">
        <v>23</v>
      </c>
      <c r="AM29" s="43" t="s">
        <v>21</v>
      </c>
      <c r="AN29" s="43"/>
      <c r="AO29" s="37"/>
      <c r="AP29" s="38"/>
      <c r="AQ29" s="39"/>
      <c r="AR29" s="39"/>
      <c r="AS29" s="44" t="s">
        <v>34</v>
      </c>
      <c r="AT29" s="44" t="s">
        <v>35</v>
      </c>
      <c r="AU29" s="44" t="s">
        <v>36</v>
      </c>
      <c r="AV29" s="44" t="s">
        <v>37</v>
      </c>
      <c r="AW29" s="39"/>
      <c r="AX29" s="40"/>
      <c r="AY29" s="41"/>
    </row>
    <row r="30" s="1" customFormat="true" ht="54.95" hidden="false" customHeight="true" outlineLevel="0" collapsed="false">
      <c r="A30" s="20" t="s">
        <v>38</v>
      </c>
      <c r="B30" s="20"/>
      <c r="C30" s="25" t="n">
        <f aca="false">+C13</f>
        <v>0</v>
      </c>
      <c r="D30" s="25" t="n">
        <f aca="false">+D13</f>
        <v>0</v>
      </c>
      <c r="E30" s="25" t="n">
        <f aca="false">+E13</f>
        <v>0</v>
      </c>
      <c r="F30" s="25" t="n">
        <f aca="false">+F13</f>
        <v>0</v>
      </c>
      <c r="G30" s="25" t="n">
        <f aca="false">+G13</f>
        <v>0</v>
      </c>
      <c r="H30" s="25" t="n">
        <f aca="false">+H13</f>
        <v>0</v>
      </c>
      <c r="I30" s="25" t="n">
        <f aca="false">+I13</f>
        <v>0</v>
      </c>
      <c r="J30" s="25" t="n">
        <f aca="false">+J13</f>
        <v>0</v>
      </c>
      <c r="K30" s="25" t="n">
        <f aca="false">+K13</f>
        <v>0</v>
      </c>
      <c r="L30" s="25" t="n">
        <f aca="false">+L13</f>
        <v>0</v>
      </c>
      <c r="M30" s="25" t="n">
        <f aca="false">+M13</f>
        <v>0</v>
      </c>
      <c r="N30" s="25" t="n">
        <f aca="false">+N13</f>
        <v>1</v>
      </c>
      <c r="O30" s="25" t="n">
        <f aca="false">+O13</f>
        <v>0</v>
      </c>
      <c r="P30" s="25" t="n">
        <f aca="false">+P13</f>
        <v>0</v>
      </c>
      <c r="Q30" s="25" t="n">
        <f aca="false">+Q13</f>
        <v>0</v>
      </c>
      <c r="R30" s="25" t="n">
        <f aca="false">+R13</f>
        <v>0</v>
      </c>
      <c r="S30" s="25" t="n">
        <f aca="false">+S13</f>
        <v>3</v>
      </c>
      <c r="T30" s="25" t="n">
        <f aca="false">+T13</f>
        <v>1</v>
      </c>
      <c r="U30" s="25" t="n">
        <f aca="false">+U13</f>
        <v>0</v>
      </c>
      <c r="V30" s="25" t="n">
        <f aca="false">+V13</f>
        <v>0</v>
      </c>
      <c r="W30" s="25" t="n">
        <f aca="false">+W13</f>
        <v>1</v>
      </c>
      <c r="X30" s="25" t="n">
        <f aca="false">+X13</f>
        <v>4</v>
      </c>
      <c r="Y30" s="25" t="n">
        <f aca="false">+Y13</f>
        <v>0</v>
      </c>
      <c r="Z30" s="25" t="n">
        <f aca="false">+Z13</f>
        <v>0</v>
      </c>
      <c r="AA30" s="25" t="n">
        <f aca="false">+AA13</f>
        <v>0</v>
      </c>
      <c r="AB30" s="25" t="n">
        <f aca="false">+AB13</f>
        <v>0</v>
      </c>
      <c r="AC30" s="25" t="n">
        <f aca="false">+AC13</f>
        <v>0</v>
      </c>
      <c r="AD30" s="25" t="n">
        <f aca="false">+AD13</f>
        <v>0</v>
      </c>
      <c r="AE30" s="25" t="n">
        <f aca="false">+AE13</f>
        <v>3</v>
      </c>
      <c r="AF30" s="25" t="n">
        <f aca="false">+AF13</f>
        <v>1</v>
      </c>
      <c r="AG30" s="25" t="n">
        <f aca="false">+AG13</f>
        <v>0</v>
      </c>
      <c r="AH30" s="25" t="n">
        <f aca="false">+AH13</f>
        <v>0</v>
      </c>
      <c r="AI30" s="25" t="n">
        <f aca="false">+AI13</f>
        <v>1</v>
      </c>
      <c r="AJ30" s="25" t="n">
        <f aca="false">+AJ13</f>
        <v>1</v>
      </c>
      <c r="AK30" s="25" t="n">
        <f aca="false">+AK13</f>
        <v>0</v>
      </c>
      <c r="AL30" s="25" t="n">
        <f aca="false">+AL13</f>
        <v>0</v>
      </c>
      <c r="AM30" s="20" t="s">
        <v>38</v>
      </c>
      <c r="AN30" s="20"/>
      <c r="AO30" s="45" t="n">
        <f aca="false">SUM(C30:AL30)</f>
        <v>16</v>
      </c>
      <c r="AP30" s="46" t="n">
        <f aca="false">C30+E30+G30+I30+K30+M30+O30+Q30+S30+U30+W30+Y30+AA30+AC30+AE30+AG30+AI30+AK30</f>
        <v>8</v>
      </c>
      <c r="AQ30" s="46" t="n">
        <f aca="false">E30+F30+I30+J30+M30+N30+Q30+R30+U30+V30+Y30+Z30+AC30+AD30+AG30+AH30+AK30+AL30</f>
        <v>1</v>
      </c>
      <c r="AR30" s="46" t="n">
        <f aca="false">E30+I30+M30+Q30+U30+Y30+AC30+AG30+AK30</f>
        <v>0</v>
      </c>
      <c r="AW30" s="46"/>
      <c r="AX30" s="46" t="n">
        <f aca="false">E30+I30+M30+Q30+U30+Y30+AC30+AG30+AK30</f>
        <v>0</v>
      </c>
      <c r="AY30" s="46" t="n">
        <f aca="false">SUM(C30:N30)+SUM(W30:Z30)+SUM(AI30:AL30)</f>
        <v>8</v>
      </c>
    </row>
    <row r="31" s="1" customFormat="true" ht="54.95" hidden="false" customHeight="true" outlineLevel="0" collapsed="false">
      <c r="A31" s="20" t="s">
        <v>39</v>
      </c>
      <c r="B31" s="20"/>
      <c r="C31" s="25" t="n">
        <f aca="false">+C14</f>
        <v>0</v>
      </c>
      <c r="D31" s="25" t="n">
        <f aca="false">+D14</f>
        <v>0</v>
      </c>
      <c r="E31" s="25" t="n">
        <f aca="false">+E14</f>
        <v>0</v>
      </c>
      <c r="F31" s="25" t="n">
        <f aca="false">+F14</f>
        <v>0</v>
      </c>
      <c r="G31" s="25" t="n">
        <f aca="false">+G14</f>
        <v>0</v>
      </c>
      <c r="H31" s="25" t="n">
        <f aca="false">+H14</f>
        <v>0</v>
      </c>
      <c r="I31" s="25" t="n">
        <f aca="false">+I14</f>
        <v>0</v>
      </c>
      <c r="J31" s="25" t="n">
        <f aca="false">+J14</f>
        <v>0</v>
      </c>
      <c r="K31" s="25" t="n">
        <f aca="false">+K14</f>
        <v>1</v>
      </c>
      <c r="L31" s="25" t="n">
        <f aca="false">+L14</f>
        <v>1</v>
      </c>
      <c r="M31" s="25" t="n">
        <f aca="false">+M14</f>
        <v>1</v>
      </c>
      <c r="N31" s="25" t="n">
        <f aca="false">+N14</f>
        <v>0</v>
      </c>
      <c r="O31" s="25" t="n">
        <f aca="false">+O14</f>
        <v>0</v>
      </c>
      <c r="P31" s="25" t="n">
        <f aca="false">+P14</f>
        <v>0</v>
      </c>
      <c r="Q31" s="25" t="n">
        <f aca="false">+Q14</f>
        <v>0</v>
      </c>
      <c r="R31" s="25" t="n">
        <f aca="false">+R14</f>
        <v>0</v>
      </c>
      <c r="S31" s="25" t="n">
        <f aca="false">+S14</f>
        <v>0</v>
      </c>
      <c r="T31" s="25" t="n">
        <f aca="false">+T14</f>
        <v>0</v>
      </c>
      <c r="U31" s="25" t="n">
        <f aca="false">+U14</f>
        <v>1</v>
      </c>
      <c r="V31" s="25" t="n">
        <f aca="false">+V14</f>
        <v>0</v>
      </c>
      <c r="W31" s="25" t="n">
        <f aca="false">+W14</f>
        <v>2</v>
      </c>
      <c r="X31" s="25" t="n">
        <f aca="false">+X14</f>
        <v>5</v>
      </c>
      <c r="Y31" s="25" t="n">
        <f aca="false">+Y14</f>
        <v>2</v>
      </c>
      <c r="Z31" s="25" t="n">
        <f aca="false">+Z14</f>
        <v>1</v>
      </c>
      <c r="AA31" s="25" t="n">
        <f aca="false">+AA14</f>
        <v>0</v>
      </c>
      <c r="AB31" s="25" t="n">
        <f aca="false">+AB14</f>
        <v>1</v>
      </c>
      <c r="AC31" s="25" t="n">
        <f aca="false">+AC14</f>
        <v>0</v>
      </c>
      <c r="AD31" s="25" t="n">
        <f aca="false">+AD14</f>
        <v>0</v>
      </c>
      <c r="AE31" s="25" t="n">
        <f aca="false">+AE14</f>
        <v>0</v>
      </c>
      <c r="AF31" s="25" t="n">
        <f aca="false">+AF14</f>
        <v>1</v>
      </c>
      <c r="AG31" s="25" t="n">
        <f aca="false">+AG14</f>
        <v>0</v>
      </c>
      <c r="AH31" s="25" t="n">
        <f aca="false">+AH14</f>
        <v>1</v>
      </c>
      <c r="AI31" s="25" t="n">
        <f aca="false">+AI14</f>
        <v>1</v>
      </c>
      <c r="AJ31" s="25" t="n">
        <f aca="false">+AJ14</f>
        <v>0</v>
      </c>
      <c r="AK31" s="25" t="n">
        <f aca="false">+AK14</f>
        <v>0</v>
      </c>
      <c r="AL31" s="25" t="n">
        <f aca="false">+AL14</f>
        <v>1</v>
      </c>
      <c r="AM31" s="20" t="s">
        <v>39</v>
      </c>
      <c r="AN31" s="20"/>
      <c r="AO31" s="45" t="n">
        <f aca="false">SUM(C31:AL31)</f>
        <v>19</v>
      </c>
      <c r="AP31" s="46" t="n">
        <f aca="false">C31+E31+G31+I31+K31+M31+O31+Q31+S31+U31+W31+Y31+AA31+AC31+AE31+AG31+AI31+AK31</f>
        <v>8</v>
      </c>
      <c r="AQ31" s="46" t="n">
        <f aca="false">E31+F31+I31+J31+M31+N31+Q31+R31+U31+V31+Y31+Z31+AC31+AD31+AG31+AH31+AK31+AL31</f>
        <v>7</v>
      </c>
      <c r="AR31" s="46" t="n">
        <f aca="false">E31+I31+M31+Q31+U31+Y31+AC31+AG31+AK31</f>
        <v>4</v>
      </c>
      <c r="AW31" s="46"/>
      <c r="AX31" s="46" t="n">
        <f aca="false">E31+I31+M31+Q31+U31+Y31+AC31+AG31+AK31</f>
        <v>4</v>
      </c>
      <c r="AY31" s="46" t="n">
        <f aca="false">SUM(C31:N31)+SUM(W31:Z31)+SUM(AI31:AL31)</f>
        <v>15</v>
      </c>
    </row>
    <row r="32" s="1" customFormat="true" ht="54.95" hidden="false" customHeight="true" outlineLevel="0" collapsed="false">
      <c r="A32" s="20" t="s">
        <v>40</v>
      </c>
      <c r="B32" s="20"/>
      <c r="C32" s="25" t="n">
        <f aca="false">+C15</f>
        <v>0</v>
      </c>
      <c r="D32" s="25" t="n">
        <f aca="false">+D15</f>
        <v>0</v>
      </c>
      <c r="E32" s="25" t="n">
        <f aca="false">+E15</f>
        <v>0</v>
      </c>
      <c r="F32" s="25" t="n">
        <f aca="false">+F15</f>
        <v>0</v>
      </c>
      <c r="G32" s="25" t="n">
        <f aca="false">+G15</f>
        <v>0</v>
      </c>
      <c r="H32" s="25" t="n">
        <f aca="false">+H15</f>
        <v>0</v>
      </c>
      <c r="I32" s="25" t="n">
        <f aca="false">+I15</f>
        <v>0</v>
      </c>
      <c r="J32" s="25" t="n">
        <f aca="false">+J15</f>
        <v>0</v>
      </c>
      <c r="K32" s="25" t="n">
        <f aca="false">+K15</f>
        <v>0</v>
      </c>
      <c r="L32" s="25" t="n">
        <f aca="false">+L15</f>
        <v>4</v>
      </c>
      <c r="M32" s="25" t="n">
        <f aca="false">+M15</f>
        <v>0</v>
      </c>
      <c r="N32" s="25" t="n">
        <f aca="false">+N15</f>
        <v>0</v>
      </c>
      <c r="O32" s="25" t="n">
        <f aca="false">+O15</f>
        <v>0</v>
      </c>
      <c r="P32" s="25" t="n">
        <f aca="false">+P15</f>
        <v>0</v>
      </c>
      <c r="Q32" s="25" t="n">
        <f aca="false">+Q15</f>
        <v>0</v>
      </c>
      <c r="R32" s="25" t="n">
        <f aca="false">+R15</f>
        <v>0</v>
      </c>
      <c r="S32" s="25" t="n">
        <f aca="false">+S15</f>
        <v>0</v>
      </c>
      <c r="T32" s="25" t="n">
        <f aca="false">+T15</f>
        <v>2</v>
      </c>
      <c r="U32" s="25" t="n">
        <f aca="false">+U15</f>
        <v>3</v>
      </c>
      <c r="V32" s="25" t="n">
        <f aca="false">+V15</f>
        <v>2</v>
      </c>
      <c r="W32" s="25" t="n">
        <f aca="false">+W15</f>
        <v>0</v>
      </c>
      <c r="X32" s="25" t="n">
        <f aca="false">+X15</f>
        <v>0</v>
      </c>
      <c r="Y32" s="25" t="n">
        <f aca="false">+Y15</f>
        <v>4</v>
      </c>
      <c r="Z32" s="25" t="n">
        <f aca="false">+Z15</f>
        <v>0</v>
      </c>
      <c r="AA32" s="25" t="n">
        <f aca="false">+AA15</f>
        <v>0</v>
      </c>
      <c r="AB32" s="25" t="n">
        <f aca="false">+AB15</f>
        <v>0</v>
      </c>
      <c r="AC32" s="25" t="n">
        <f aca="false">+AC15</f>
        <v>0</v>
      </c>
      <c r="AD32" s="25" t="n">
        <f aca="false">+AD15</f>
        <v>0</v>
      </c>
      <c r="AE32" s="25" t="n">
        <f aca="false">+AE15</f>
        <v>1</v>
      </c>
      <c r="AF32" s="25" t="n">
        <f aca="false">+AF15</f>
        <v>0</v>
      </c>
      <c r="AG32" s="25" t="n">
        <f aca="false">+AG15</f>
        <v>0</v>
      </c>
      <c r="AH32" s="25" t="n">
        <f aca="false">+AH15</f>
        <v>0</v>
      </c>
      <c r="AI32" s="25" t="n">
        <f aca="false">+AI15</f>
        <v>1</v>
      </c>
      <c r="AJ32" s="25" t="n">
        <f aca="false">+AJ15</f>
        <v>1</v>
      </c>
      <c r="AK32" s="25" t="n">
        <f aca="false">+AK15</f>
        <v>1</v>
      </c>
      <c r="AL32" s="25" t="n">
        <f aca="false">+AL15</f>
        <v>0</v>
      </c>
      <c r="AM32" s="20" t="s">
        <v>40</v>
      </c>
      <c r="AN32" s="20"/>
      <c r="AO32" s="45" t="n">
        <f aca="false">SUM(C32:AL32)</f>
        <v>19</v>
      </c>
      <c r="AP32" s="46" t="n">
        <f aca="false">C32+E32+G32+I32+K32+M32+O32+Q32+S32+U32+W32+Y32+AA32+AC32+AE32+AG32+AI32+AK32</f>
        <v>10</v>
      </c>
      <c r="AQ32" s="46" t="n">
        <f aca="false">E32+F32+I32+J32+M32+N32+Q32+R32+U32+V32+Y32+Z32+AC32+AD32+AG32+AH32+AK32+AL32</f>
        <v>10</v>
      </c>
      <c r="AR32" s="46" t="n">
        <f aca="false">E32+I32+M32+Q32+U32+Y32+AC32+AG32+AK32</f>
        <v>8</v>
      </c>
      <c r="AW32" s="46"/>
      <c r="AX32" s="46" t="n">
        <f aca="false">E32+I32+M32+Q32+U32+Y32+AC32+AG32+AK32</f>
        <v>8</v>
      </c>
      <c r="AY32" s="46" t="n">
        <f aca="false">SUM(C32:N32)+SUM(W32:Z32)+SUM(AI32:AL32)</f>
        <v>11</v>
      </c>
    </row>
    <row r="33" s="1" customFormat="true" ht="54.95" hidden="false" customHeight="true" outlineLevel="0" collapsed="false">
      <c r="A33" s="20" t="s">
        <v>41</v>
      </c>
      <c r="B33" s="20"/>
      <c r="C33" s="25" t="n">
        <f aca="false">+C16</f>
        <v>0</v>
      </c>
      <c r="D33" s="25" t="n">
        <f aca="false">+D16</f>
        <v>1</v>
      </c>
      <c r="E33" s="25" t="n">
        <f aca="false">+E16</f>
        <v>0</v>
      </c>
      <c r="F33" s="25" t="n">
        <f aca="false">+F16</f>
        <v>0</v>
      </c>
      <c r="G33" s="25" t="n">
        <f aca="false">+G16</f>
        <v>0</v>
      </c>
      <c r="H33" s="25" t="n">
        <f aca="false">+H16</f>
        <v>0</v>
      </c>
      <c r="I33" s="25" t="n">
        <f aca="false">+I16</f>
        <v>0</v>
      </c>
      <c r="J33" s="25" t="n">
        <f aca="false">+J16</f>
        <v>0</v>
      </c>
      <c r="K33" s="25" t="n">
        <f aca="false">+K16</f>
        <v>0</v>
      </c>
      <c r="L33" s="25" t="n">
        <f aca="false">+L16</f>
        <v>5</v>
      </c>
      <c r="M33" s="25" t="n">
        <f aca="false">+M16</f>
        <v>0</v>
      </c>
      <c r="N33" s="25" t="n">
        <f aca="false">+N16</f>
        <v>1</v>
      </c>
      <c r="O33" s="25" t="n">
        <f aca="false">+O16</f>
        <v>0</v>
      </c>
      <c r="P33" s="25" t="n">
        <f aca="false">+P16</f>
        <v>0</v>
      </c>
      <c r="Q33" s="25" t="n">
        <f aca="false">+Q16</f>
        <v>0</v>
      </c>
      <c r="R33" s="25" t="n">
        <f aca="false">+R16</f>
        <v>0</v>
      </c>
      <c r="S33" s="25" t="n">
        <f aca="false">+S16</f>
        <v>2</v>
      </c>
      <c r="T33" s="25" t="n">
        <f aca="false">+T16</f>
        <v>0</v>
      </c>
      <c r="U33" s="25" t="n">
        <f aca="false">+U16</f>
        <v>2</v>
      </c>
      <c r="V33" s="25" t="n">
        <f aca="false">+V16</f>
        <v>0</v>
      </c>
      <c r="W33" s="25" t="n">
        <f aca="false">+W16</f>
        <v>1</v>
      </c>
      <c r="X33" s="25" t="n">
        <f aca="false">+X16</f>
        <v>4</v>
      </c>
      <c r="Y33" s="25" t="n">
        <f aca="false">+Y16</f>
        <v>3</v>
      </c>
      <c r="Z33" s="25" t="n">
        <f aca="false">+Z16</f>
        <v>2</v>
      </c>
      <c r="AA33" s="25" t="n">
        <f aca="false">+AA16</f>
        <v>0</v>
      </c>
      <c r="AB33" s="25" t="n">
        <f aca="false">+AB16</f>
        <v>0</v>
      </c>
      <c r="AC33" s="25" t="n">
        <f aca="false">+AC16</f>
        <v>0</v>
      </c>
      <c r="AD33" s="25" t="n">
        <f aca="false">+AD16</f>
        <v>0</v>
      </c>
      <c r="AE33" s="25" t="n">
        <f aca="false">+AE16</f>
        <v>1</v>
      </c>
      <c r="AF33" s="25" t="n">
        <f aca="false">+AF16</f>
        <v>2</v>
      </c>
      <c r="AG33" s="25" t="n">
        <f aca="false">+AG16</f>
        <v>0</v>
      </c>
      <c r="AH33" s="25" t="n">
        <f aca="false">+AH16</f>
        <v>0</v>
      </c>
      <c r="AI33" s="25" t="n">
        <f aca="false">+AI16</f>
        <v>0</v>
      </c>
      <c r="AJ33" s="25" t="n">
        <f aca="false">+AJ16</f>
        <v>4</v>
      </c>
      <c r="AK33" s="25" t="n">
        <f aca="false">+AK16</f>
        <v>0</v>
      </c>
      <c r="AL33" s="25" t="n">
        <f aca="false">+AL16</f>
        <v>1</v>
      </c>
      <c r="AM33" s="20" t="s">
        <v>41</v>
      </c>
      <c r="AN33" s="20"/>
      <c r="AO33" s="45" t="n">
        <f aca="false">SUM(C33:AL33)</f>
        <v>29</v>
      </c>
      <c r="AP33" s="46" t="n">
        <f aca="false">C33+E33+G33+I33+K33+M33+O33+Q33+S33+U33+W33+Y33+AA33+AC33+AE33+AG33+AI33+AK33</f>
        <v>9</v>
      </c>
      <c r="AQ33" s="46" t="n">
        <f aca="false">E33+F33+I33+J33+M33+N33+Q33+R33+U33+V33+Y33+Z33+AC33+AD33+AG33+AH33+AK33+AL33</f>
        <v>9</v>
      </c>
      <c r="AR33" s="46" t="n">
        <f aca="false">E33+I33+M33+Q33+U33+Y33+AC33+AG33+AK33</f>
        <v>5</v>
      </c>
      <c r="AW33" s="46"/>
      <c r="AX33" s="46" t="n">
        <f aca="false">E33+I33+M33+Q33+U33+Y33+AC33+AG33+AK33</f>
        <v>5</v>
      </c>
      <c r="AY33" s="46" t="n">
        <f aca="false">SUM(C33:N33)+SUM(W33:Z33)+SUM(AI33:AL33)</f>
        <v>22</v>
      </c>
    </row>
    <row r="34" s="1" customFormat="true" ht="54.95" hidden="false" customHeight="true" outlineLevel="0" collapsed="false">
      <c r="A34" s="20" t="s">
        <v>42</v>
      </c>
      <c r="B34" s="20"/>
      <c r="C34" s="25" t="n">
        <f aca="false">+C17</f>
        <v>0</v>
      </c>
      <c r="D34" s="25" t="n">
        <f aca="false">+D17</f>
        <v>0</v>
      </c>
      <c r="E34" s="25" t="n">
        <f aca="false">+E17</f>
        <v>0</v>
      </c>
      <c r="F34" s="25" t="n">
        <f aca="false">+F17</f>
        <v>0</v>
      </c>
      <c r="G34" s="25" t="n">
        <f aca="false">+G17</f>
        <v>0</v>
      </c>
      <c r="H34" s="25" t="n">
        <f aca="false">+H17</f>
        <v>0</v>
      </c>
      <c r="I34" s="25" t="n">
        <f aca="false">+I17</f>
        <v>0</v>
      </c>
      <c r="J34" s="25" t="n">
        <f aca="false">+J17</f>
        <v>0</v>
      </c>
      <c r="K34" s="25" t="n">
        <f aca="false">+K17</f>
        <v>1</v>
      </c>
      <c r="L34" s="25" t="n">
        <f aca="false">+L17</f>
        <v>1</v>
      </c>
      <c r="M34" s="25" t="n">
        <f aca="false">+M17</f>
        <v>1</v>
      </c>
      <c r="N34" s="25" t="n">
        <f aca="false">+N17</f>
        <v>0</v>
      </c>
      <c r="O34" s="25" t="n">
        <f aca="false">+O17</f>
        <v>0</v>
      </c>
      <c r="P34" s="25" t="n">
        <f aca="false">+P17</f>
        <v>0</v>
      </c>
      <c r="Q34" s="25" t="n">
        <f aca="false">+Q17</f>
        <v>0</v>
      </c>
      <c r="R34" s="25" t="n">
        <f aca="false">+R17</f>
        <v>0</v>
      </c>
      <c r="S34" s="25" t="n">
        <f aca="false">+S17</f>
        <v>3</v>
      </c>
      <c r="T34" s="25" t="n">
        <f aca="false">+T17</f>
        <v>2</v>
      </c>
      <c r="U34" s="25" t="n">
        <f aca="false">+U17</f>
        <v>2</v>
      </c>
      <c r="V34" s="25" t="n">
        <f aca="false">+V17</f>
        <v>1</v>
      </c>
      <c r="W34" s="25" t="n">
        <f aca="false">+W17</f>
        <v>1</v>
      </c>
      <c r="X34" s="25" t="n">
        <f aca="false">+X17</f>
        <v>1</v>
      </c>
      <c r="Y34" s="25" t="n">
        <f aca="false">+Y17</f>
        <v>0</v>
      </c>
      <c r="Z34" s="25" t="n">
        <f aca="false">+Z17</f>
        <v>0</v>
      </c>
      <c r="AA34" s="25" t="n">
        <f aca="false">+AA17</f>
        <v>2</v>
      </c>
      <c r="AB34" s="25" t="n">
        <f aca="false">+AB17</f>
        <v>1</v>
      </c>
      <c r="AC34" s="25" t="n">
        <f aca="false">+AC17</f>
        <v>0</v>
      </c>
      <c r="AD34" s="25" t="n">
        <f aca="false">+AD17</f>
        <v>0</v>
      </c>
      <c r="AE34" s="25" t="n">
        <f aca="false">+AE17</f>
        <v>1</v>
      </c>
      <c r="AF34" s="25" t="n">
        <f aca="false">+AF17</f>
        <v>0</v>
      </c>
      <c r="AG34" s="25" t="n">
        <f aca="false">+AG17</f>
        <v>0</v>
      </c>
      <c r="AH34" s="25" t="n">
        <f aca="false">+AH17</f>
        <v>0</v>
      </c>
      <c r="AI34" s="25" t="n">
        <f aca="false">+AI17</f>
        <v>0</v>
      </c>
      <c r="AJ34" s="25" t="n">
        <f aca="false">+AJ17</f>
        <v>0</v>
      </c>
      <c r="AK34" s="25" t="n">
        <f aca="false">+AK17</f>
        <v>0</v>
      </c>
      <c r="AL34" s="25" t="n">
        <f aca="false">+AL17</f>
        <v>1</v>
      </c>
      <c r="AM34" s="20" t="s">
        <v>42</v>
      </c>
      <c r="AN34" s="20"/>
      <c r="AO34" s="45" t="n">
        <f aca="false">SUM(C34:AL34)</f>
        <v>18</v>
      </c>
      <c r="AP34" s="46" t="n">
        <f aca="false">C34+E34+G34+I34+K34+M34+O34+Q34+S34+U34+W34+Y34+AA34+AC34+AE34+AG34+AI34+AK34</f>
        <v>11</v>
      </c>
      <c r="AQ34" s="46" t="n">
        <f aca="false">E34+F34+I34+J34+M34+N34+Q34+R34+U34+V34+Y34+Z34+AC34+AD34+AG34+AH34+AK34+AL34</f>
        <v>5</v>
      </c>
      <c r="AR34" s="46" t="n">
        <f aca="false">E34+I34+M34+Q34+U34+Y34+AC34+AG34+AK34</f>
        <v>3</v>
      </c>
      <c r="AW34" s="46"/>
      <c r="AX34" s="46" t="n">
        <f aca="false">E34+I34+M34+Q34+U34+Y34+AC34+AG34+AK34</f>
        <v>3</v>
      </c>
      <c r="AY34" s="46" t="n">
        <f aca="false">SUM(C34:N34)+SUM(W34:Z34)+SUM(AI34:AL34)</f>
        <v>6</v>
      </c>
    </row>
    <row r="35" customFormat="false" ht="54.95" hidden="false" customHeight="true" outlineLevel="0" collapsed="false">
      <c r="A35" s="20" t="s">
        <v>29</v>
      </c>
      <c r="B35" s="20"/>
      <c r="C35" s="25" t="n">
        <f aca="false">+C18</f>
        <v>0</v>
      </c>
      <c r="D35" s="25" t="n">
        <f aca="false">+D18</f>
        <v>0</v>
      </c>
      <c r="E35" s="25" t="n">
        <f aca="false">+E18</f>
        <v>0</v>
      </c>
      <c r="F35" s="25" t="n">
        <f aca="false">+F18</f>
        <v>0</v>
      </c>
      <c r="G35" s="25" t="n">
        <f aca="false">+G18</f>
        <v>0</v>
      </c>
      <c r="H35" s="25" t="n">
        <f aca="false">+H18</f>
        <v>0</v>
      </c>
      <c r="I35" s="25" t="n">
        <f aca="false">+I18</f>
        <v>0</v>
      </c>
      <c r="J35" s="25" t="n">
        <f aca="false">+J18</f>
        <v>0</v>
      </c>
      <c r="K35" s="25" t="n">
        <f aca="false">+K18</f>
        <v>0</v>
      </c>
      <c r="L35" s="25" t="n">
        <f aca="false">+L18</f>
        <v>0</v>
      </c>
      <c r="M35" s="25" t="n">
        <f aca="false">+M18</f>
        <v>0</v>
      </c>
      <c r="N35" s="25" t="n">
        <f aca="false">+N18</f>
        <v>0</v>
      </c>
      <c r="O35" s="25" t="n">
        <f aca="false">+O18</f>
        <v>0</v>
      </c>
      <c r="P35" s="25" t="n">
        <f aca="false">+P18</f>
        <v>0</v>
      </c>
      <c r="Q35" s="25" t="n">
        <f aca="false">+Q18</f>
        <v>0</v>
      </c>
      <c r="R35" s="25" t="n">
        <f aca="false">+R18</f>
        <v>0</v>
      </c>
      <c r="S35" s="25" t="n">
        <f aca="false">+S18</f>
        <v>0</v>
      </c>
      <c r="T35" s="25" t="n">
        <f aca="false">+T18</f>
        <v>0</v>
      </c>
      <c r="U35" s="25" t="n">
        <f aca="false">+U18</f>
        <v>0</v>
      </c>
      <c r="V35" s="25" t="n">
        <f aca="false">+V18</f>
        <v>0</v>
      </c>
      <c r="W35" s="25" t="n">
        <f aca="false">+W18</f>
        <v>0</v>
      </c>
      <c r="X35" s="25" t="n">
        <f aca="false">+X18</f>
        <v>0</v>
      </c>
      <c r="Y35" s="25" t="n">
        <f aca="false">+Y18</f>
        <v>0</v>
      </c>
      <c r="Z35" s="25" t="n">
        <f aca="false">+Z18</f>
        <v>0</v>
      </c>
      <c r="AA35" s="25" t="n">
        <f aca="false">+AA18</f>
        <v>0</v>
      </c>
      <c r="AB35" s="25" t="n">
        <f aca="false">+AB18</f>
        <v>0</v>
      </c>
      <c r="AC35" s="25" t="n">
        <f aca="false">+AC18</f>
        <v>0</v>
      </c>
      <c r="AD35" s="25" t="n">
        <f aca="false">+AD18</f>
        <v>0</v>
      </c>
      <c r="AE35" s="25" t="n">
        <f aca="false">+AE18</f>
        <v>0</v>
      </c>
      <c r="AF35" s="25" t="n">
        <f aca="false">+AF18</f>
        <v>0</v>
      </c>
      <c r="AG35" s="25" t="n">
        <f aca="false">+AG18</f>
        <v>0</v>
      </c>
      <c r="AH35" s="25" t="n">
        <f aca="false">+AH18</f>
        <v>0</v>
      </c>
      <c r="AI35" s="25" t="n">
        <f aca="false">+AI18</f>
        <v>0</v>
      </c>
      <c r="AJ35" s="25" t="n">
        <f aca="false">+AJ18</f>
        <v>0</v>
      </c>
      <c r="AK35" s="25" t="n">
        <f aca="false">+AK18</f>
        <v>0</v>
      </c>
      <c r="AL35" s="25" t="n">
        <f aca="false">+AL18</f>
        <v>0</v>
      </c>
      <c r="AM35" s="47" t="s">
        <v>29</v>
      </c>
      <c r="AN35" s="47"/>
      <c r="AO35" s="48" t="n">
        <f aca="false">SUM(AO30:AO34)</f>
        <v>101</v>
      </c>
      <c r="AP35" s="48" t="n">
        <f aca="false">SUM(AP30:AP34)</f>
        <v>46</v>
      </c>
      <c r="AQ35" s="48" t="n">
        <f aca="false">SUM(AQ30:AQ34)</f>
        <v>32</v>
      </c>
      <c r="AR35" s="49" t="n">
        <f aca="false">SUM(AR30:AR34)</f>
        <v>20</v>
      </c>
      <c r="AS35" s="50" t="n">
        <f aca="false">A22</f>
        <v>0</v>
      </c>
      <c r="AT35" s="51" t="n">
        <f aca="false">A19</f>
        <v>0</v>
      </c>
      <c r="AU35" s="51" t="n">
        <f aca="false">A20</f>
        <v>0</v>
      </c>
      <c r="AV35" s="51" t="n">
        <f aca="false">A21</f>
        <v>0</v>
      </c>
      <c r="AW35" s="45"/>
      <c r="AX35" s="52" t="n">
        <f aca="false">E35+I35+M35+Q35+U35+Y35+AC35+AG35+AK35</f>
        <v>0</v>
      </c>
      <c r="AY35" s="52" t="n">
        <f aca="false">SUM(C35:N35)+SUM(W35:Z35)+SUM(AI35:AL35)</f>
        <v>0</v>
      </c>
    </row>
    <row r="36" customFormat="false" ht="54.95" hidden="false" customHeight="true" outlineLevel="0" collapsed="false">
      <c r="A36" s="53"/>
      <c r="B36" s="53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5" t="s">
        <v>43</v>
      </c>
      <c r="AM36" s="56" t="s">
        <v>40</v>
      </c>
      <c r="AN36" s="57"/>
      <c r="AO36" s="58" t="n">
        <v>18</v>
      </c>
      <c r="AP36" s="58"/>
      <c r="AQ36" s="58"/>
      <c r="AR36" s="58"/>
      <c r="AS36" s="59"/>
      <c r="AT36" s="60"/>
      <c r="AU36" s="59"/>
      <c r="AV36" s="59"/>
      <c r="AW36" s="61"/>
      <c r="AX36" s="62"/>
      <c r="AY36" s="62"/>
    </row>
    <row r="37" customFormat="false" ht="54.95" hidden="false" customHeight="true" outlineLevel="0" collapsed="false">
      <c r="A37" s="53"/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5" t="s">
        <v>43</v>
      </c>
      <c r="AM37" s="63" t="s">
        <v>41</v>
      </c>
      <c r="AN37" s="64"/>
      <c r="AO37" s="65" t="n">
        <v>17</v>
      </c>
      <c r="AP37" s="65"/>
      <c r="AQ37" s="65"/>
      <c r="AR37" s="65"/>
      <c r="AS37" s="59"/>
      <c r="AT37" s="60"/>
      <c r="AU37" s="59"/>
      <c r="AV37" s="59"/>
      <c r="AW37" s="61"/>
      <c r="AX37" s="62"/>
      <c r="AY37" s="62"/>
    </row>
    <row r="38" customFormat="false" ht="54.95" hidden="false" customHeight="true" outlineLevel="0" collapsed="false">
      <c r="A38" s="53"/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5"/>
      <c r="AM38" s="66" t="s">
        <v>44</v>
      </c>
      <c r="AN38" s="66"/>
      <c r="AO38" s="67" t="n">
        <f aca="false">SUM(AO36:AO37)</f>
        <v>35</v>
      </c>
      <c r="AP38" s="68"/>
      <c r="AQ38" s="68"/>
      <c r="AR38" s="68"/>
      <c r="AS38" s="59"/>
      <c r="AT38" s="60"/>
      <c r="AU38" s="59"/>
      <c r="AV38" s="59"/>
      <c r="AW38" s="61"/>
      <c r="AX38" s="62"/>
      <c r="AY38" s="62"/>
    </row>
    <row r="39" customFormat="false" ht="54.75" hidden="false" customHeight="true" outlineLevel="0" collapsed="false">
      <c r="A39" s="69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69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55"/>
      <c r="AM39" s="71" t="str">
        <f aca="false">IF(AO30=MAX($AO$30:$AO$35),AM30,IF(AO31=MAX($AO$30:$AO$35),AM31,IF(AO32=MAX($AO$30:$AO$35),AM32,IF(AO33=MAX($AO$30:$AO$35),AM33,IF(AO34=MAX($AO$30:$AO$35),AM34,AM33)))))</f>
        <v>8:00 à 8:30</v>
      </c>
      <c r="AN39" s="71"/>
      <c r="AO39" s="21" t="n">
        <f aca="false">IF(AQ30=MAX($AO$30:$AO$35),AO30,IF(AQ31=MAX($AO$30:$AO$35),AO31,IF(AQ32=MAX($AO$30:$AO$35),AO32,IF(AQ33=MAX($AO$30:$AO$35),AO33,IF(AQ34=MAX($AO$30:$AO$35),AO34,AO33)))))</f>
        <v>29</v>
      </c>
      <c r="AP39" s="21" t="n">
        <f aca="false">IF(AT30=MAX($AO$30:$AO$35),AP30,IF(AT31=MAX($AO$30:$AO$35),AP31,IF(AT32=MAX($AO$30:$AO$35),AP32,IF(AT33=MAX($AO$30:$AO$35),AP33,IF(AT34=MAX($AO$30:$AO$35),AP34,AP33)))))</f>
        <v>9</v>
      </c>
      <c r="AQ39" s="21" t="n">
        <f aca="false">IF(AU30=MAX($AO$30:$AO$35),AQ30,IF(AU31=MAX($AO$30:$AO$35),AQ31,IF(AU32=MAX($AO$30:$AO$35),AQ32,IF(AU33=MAX($AO$30:$AO$35),AQ33,IF(AU34=MAX($AO$30:$AO$35),AQ34,AQ33)))))</f>
        <v>9</v>
      </c>
      <c r="AR39" s="21" t="n">
        <f aca="false">IF(AV30=MAX($AO$30:$AO$35),AR30,IF(AV31=MAX($AO$30:$AO$35),AR31,IF(AV32=MAX($AO$30:$AO$35),AR32,IF(AV33=MAX($AO$30:$AO$35),AR33,IF(AV34=MAX($AO$30:$AO$35),AR34,AR33)))))</f>
        <v>5</v>
      </c>
      <c r="AS39" s="70"/>
      <c r="AU39" s="70"/>
      <c r="AV39" s="70"/>
      <c r="AW39" s="70"/>
      <c r="AX39" s="70"/>
      <c r="AY39" s="70"/>
      <c r="AZ39" s="70"/>
    </row>
    <row r="40" customFormat="false" ht="20.25" hidden="false" customHeight="true" outlineLevel="0" collapsed="false">
      <c r="AL40" s="72"/>
      <c r="AM40" s="14"/>
      <c r="AN40" s="15"/>
      <c r="AO40" s="73" t="s">
        <v>29</v>
      </c>
      <c r="AP40" s="74" t="s">
        <v>45</v>
      </c>
      <c r="AQ40" s="74" t="s">
        <v>46</v>
      </c>
      <c r="AR40" s="74" t="s">
        <v>47</v>
      </c>
    </row>
    <row r="41" customFormat="false" ht="20.25" hidden="false" customHeight="false" outlineLevel="0" collapsed="false">
      <c r="AL41" s="72"/>
      <c r="AM41" s="14"/>
      <c r="AN41" s="15"/>
      <c r="AO41" s="73"/>
      <c r="AP41" s="74"/>
      <c r="AQ41" s="74"/>
      <c r="AR41" s="74"/>
    </row>
    <row r="42" customFormat="false" ht="20.25" hidden="false" customHeight="false" outlineLevel="0" collapsed="false">
      <c r="AL42" s="72"/>
      <c r="AM42" s="75"/>
      <c r="AN42" s="15"/>
      <c r="AO42" s="73"/>
      <c r="AP42" s="74"/>
      <c r="AQ42" s="74"/>
      <c r="AR42" s="74"/>
    </row>
    <row r="43" customFormat="false" ht="20.25" hidden="false" customHeight="false" outlineLevel="0" collapsed="false">
      <c r="AL43" s="72"/>
      <c r="AM43" s="20" t="s">
        <v>21</v>
      </c>
      <c r="AN43" s="20"/>
      <c r="AO43" s="73"/>
      <c r="AP43" s="74"/>
      <c r="AQ43" s="74"/>
      <c r="AR43" s="74"/>
    </row>
    <row r="44" customFormat="false" ht="23.25" hidden="false" customHeight="false" outlineLevel="0" collapsed="false">
      <c r="AL44" s="72"/>
      <c r="AM44" s="20" t="str">
        <f aca="false">AM30</f>
        <v>6:30 à 7:00</v>
      </c>
      <c r="AN44" s="20"/>
      <c r="AO44" s="76"/>
      <c r="AP44" s="77" t="n">
        <f aca="false">IF(AP31=0,0,AP31/AO31)</f>
        <v>0.421052631578947</v>
      </c>
      <c r="AQ44" s="77" t="n">
        <f aca="false">IF(AQ31=0,0,AQ31/AO31)</f>
        <v>0.368421052631579</v>
      </c>
      <c r="AR44" s="77" t="n">
        <f aca="false">IF(AT31=0,0,AT31/AP31)</f>
        <v>0</v>
      </c>
    </row>
    <row r="45" customFormat="false" ht="23.25" hidden="false" customHeight="false" outlineLevel="0" collapsed="false">
      <c r="AL45" s="72"/>
      <c r="AM45" s="20" t="str">
        <f aca="false">AM31</f>
        <v>7:00 à 7:30</v>
      </c>
      <c r="AN45" s="20"/>
      <c r="AO45" s="76"/>
      <c r="AP45" s="77" t="n">
        <f aca="false">IF(AP31=0,0,AP31/AO31)</f>
        <v>0.421052631578947</v>
      </c>
      <c r="AQ45" s="77" t="n">
        <f aca="false">IF(AQ31=0,0,AQ31/AO31)</f>
        <v>0.368421052631579</v>
      </c>
      <c r="AR45" s="77" t="n">
        <f aca="false">IF(AT31=0,0,AT31/AP31)</f>
        <v>0</v>
      </c>
    </row>
    <row r="46" customFormat="false" ht="23.25" hidden="false" customHeight="false" outlineLevel="0" collapsed="false">
      <c r="AM46" s="20" t="str">
        <f aca="false">AM32</f>
        <v>7:30 à 8:00</v>
      </c>
      <c r="AN46" s="20"/>
      <c r="AO46" s="76"/>
      <c r="AP46" s="77" t="n">
        <f aca="false">IF(AP32=0,0,AP32/AO32)</f>
        <v>0.526315789473684</v>
      </c>
      <c r="AQ46" s="77" t="n">
        <f aca="false">IF(AQ32=0,0,AQ32/AO32)</f>
        <v>0.526315789473684</v>
      </c>
      <c r="AR46" s="77" t="n">
        <f aca="false">IF(AT32=0,0,AT32/AP32)</f>
        <v>0</v>
      </c>
    </row>
    <row r="47" customFormat="false" ht="23.25" hidden="false" customHeight="false" outlineLevel="0" collapsed="false">
      <c r="AM47" s="20" t="str">
        <f aca="false">AM33</f>
        <v>8:00 à 8:30</v>
      </c>
      <c r="AN47" s="20"/>
      <c r="AO47" s="76"/>
      <c r="AP47" s="77" t="n">
        <f aca="false">IF(AP33=0,0,AP33/AO33)</f>
        <v>0.310344827586207</v>
      </c>
      <c r="AQ47" s="77" t="n">
        <f aca="false">IF(AQ33=0,0,AQ33/AO33)</f>
        <v>0.310344827586207</v>
      </c>
      <c r="AR47" s="77" t="n">
        <f aca="false">IF(AT33=0,0,AT33/AP33)</f>
        <v>0</v>
      </c>
    </row>
    <row r="48" customFormat="false" ht="23.25" hidden="false" customHeight="false" outlineLevel="0" collapsed="false">
      <c r="AM48" s="78" t="s">
        <v>29</v>
      </c>
      <c r="AN48" s="78"/>
      <c r="AO48" s="79"/>
      <c r="AP48" s="77" t="n">
        <f aca="false">IF(AP35=0,0,AP35/AO35)</f>
        <v>0.455445544554455</v>
      </c>
      <c r="AQ48" s="77" t="n">
        <f aca="false">IF(AQ35=0,0,AQ35/AO35)</f>
        <v>0.316831683168317</v>
      </c>
      <c r="AR48" s="77" t="n">
        <f aca="false">IF(AT35=0,0,AT35/AP35)</f>
        <v>0</v>
      </c>
    </row>
    <row r="49" customFormat="false" ht="20.25" hidden="false" customHeight="false" outlineLevel="0" collapsed="false">
      <c r="AM49" s="20" t="str">
        <f aca="false">AM39</f>
        <v>8:00 à 8:30</v>
      </c>
      <c r="AN49" s="20"/>
      <c r="AO49" s="43"/>
      <c r="AP49" s="80" t="e">
        <f aca="false">AP39/$AC$44</f>
        <v>#DIV/0!</v>
      </c>
      <c r="AQ49" s="80" t="e">
        <f aca="false">AQ39/$AC$44</f>
        <v>#DIV/0!</v>
      </c>
      <c r="AR49" s="80" t="e">
        <f aca="false">AT39/$AC$44</f>
        <v>#DIV/0!</v>
      </c>
    </row>
  </sheetData>
  <mergeCells count="94">
    <mergeCell ref="C9:N9"/>
    <mergeCell ref="O9:Z9"/>
    <mergeCell ref="AA9:AL9"/>
    <mergeCell ref="C10:F10"/>
    <mergeCell ref="G10:J10"/>
    <mergeCell ref="K10:N10"/>
    <mergeCell ref="O10:R10"/>
    <mergeCell ref="S10:V10"/>
    <mergeCell ref="W10:Z10"/>
    <mergeCell ref="AA10:AD10"/>
    <mergeCell ref="AE10:AH10"/>
    <mergeCell ref="AI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12:B12"/>
    <mergeCell ref="C26:N26"/>
    <mergeCell ref="O26:Z26"/>
    <mergeCell ref="AA26:AL26"/>
    <mergeCell ref="AO26:AO29"/>
    <mergeCell ref="AP26:AP29"/>
    <mergeCell ref="AQ26:AQ29"/>
    <mergeCell ref="AR26:AR29"/>
    <mergeCell ref="AX26:AX29"/>
    <mergeCell ref="AY26:AY29"/>
    <mergeCell ref="C27:F27"/>
    <mergeCell ref="G27:J27"/>
    <mergeCell ref="K27:N27"/>
    <mergeCell ref="O27:R27"/>
    <mergeCell ref="S27:V27"/>
    <mergeCell ref="W27:Z27"/>
    <mergeCell ref="AA27:AD27"/>
    <mergeCell ref="AE27:AH27"/>
    <mergeCell ref="AI27:AL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29:B29"/>
    <mergeCell ref="AM29:AN29"/>
    <mergeCell ref="A30:B30"/>
    <mergeCell ref="AM30:AN30"/>
    <mergeCell ref="A31:B31"/>
    <mergeCell ref="AM31:AN31"/>
    <mergeCell ref="A32:B32"/>
    <mergeCell ref="AM32:AN32"/>
    <mergeCell ref="A33:B33"/>
    <mergeCell ref="AM33:AN33"/>
    <mergeCell ref="A34:B34"/>
    <mergeCell ref="AM34:AN34"/>
    <mergeCell ref="A35:B35"/>
    <mergeCell ref="AM35:AN35"/>
    <mergeCell ref="AM38:AN38"/>
    <mergeCell ref="AM39:AN39"/>
    <mergeCell ref="AO40:AO43"/>
    <mergeCell ref="AP40:AP43"/>
    <mergeCell ref="AQ40:AQ43"/>
    <mergeCell ref="AR40:AR43"/>
    <mergeCell ref="AM43:AN43"/>
    <mergeCell ref="AM44:AN44"/>
    <mergeCell ref="AM45:AN45"/>
    <mergeCell ref="AM46:AN46"/>
    <mergeCell ref="AM47:AN47"/>
    <mergeCell ref="AM48:AN48"/>
    <mergeCell ref="AM49:AN49"/>
  </mergeCells>
  <printOptions headings="false" gridLines="false" gridLinesSet="true" horizontalCentered="false" verticalCentered="false"/>
  <pageMargins left="0.39375" right="0.39375" top="0.551388888888889" bottom="0.551388888888889" header="0.511805555555555" footer="0.511805555555555"/>
  <pageSetup paperSize="9" scale="46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colBreaks count="1" manualBreakCount="1">
    <brk id="3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6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Q1" activeCellId="0" sqref="Q1"/>
    </sheetView>
  </sheetViews>
  <sheetFormatPr defaultColWidth="11.23828125" defaultRowHeight="14.25" zeroHeight="false" outlineLevelRow="0" outlineLevelCol="0"/>
  <cols>
    <col collapsed="false" customWidth="true" hidden="false" outlineLevel="0" max="2" min="1" style="1" width="14.75"/>
    <col collapsed="false" customWidth="true" hidden="false" outlineLevel="0" max="33" min="3" style="1" width="9.61"/>
    <col collapsed="false" customWidth="true" hidden="false" outlineLevel="0" max="34" min="34" style="1" width="12.02"/>
    <col collapsed="false" customWidth="true" hidden="false" outlineLevel="0" max="38" min="35" style="1" width="14.62"/>
    <col collapsed="false" customWidth="true" hidden="false" outlineLevel="0" max="42" min="39" style="1" width="9.61"/>
    <col collapsed="false" customWidth="true" hidden="false" outlineLevel="0" max="74" min="43" style="1" width="4.87"/>
    <col collapsed="false" customWidth="false" hidden="false" outlineLevel="0" max="77" min="75" style="1" width="11.25"/>
    <col collapsed="false" customWidth="true" hidden="false" outlineLevel="0" max="81" min="78" style="1" width="17.12"/>
    <col collapsed="false" customWidth="false" hidden="false" outlineLevel="0" max="1024" min="82" style="1" width="11.25"/>
  </cols>
  <sheetData>
    <row r="1" customFormat="false" ht="52.5" hidden="false" customHeight="true" outlineLevel="0" collapsed="false">
      <c r="A1" s="3"/>
      <c r="B1" s="4" t="s">
        <v>48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81" t="s">
        <v>49</v>
      </c>
      <c r="R1" s="5"/>
      <c r="S1" s="5"/>
      <c r="T1" s="5"/>
      <c r="U1" s="5"/>
      <c r="V1" s="5"/>
      <c r="W1" s="5"/>
      <c r="X1" s="5"/>
      <c r="Y1" s="6"/>
      <c r="Z1" s="5"/>
      <c r="AA1" s="5"/>
      <c r="AB1" s="5"/>
      <c r="AC1" s="5"/>
      <c r="AD1" s="5"/>
      <c r="AE1" s="2"/>
      <c r="AF1" s="2"/>
      <c r="AG1" s="5"/>
      <c r="AH1" s="2"/>
      <c r="AI1" s="5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customFormat="false" ht="52.5" hidden="false" customHeight="true" outlineLevel="0" collapsed="false">
      <c r="A2" s="3" t="s">
        <v>4</v>
      </c>
      <c r="B2" s="5"/>
      <c r="C2" s="5"/>
      <c r="D2" s="5"/>
      <c r="E2" s="5"/>
      <c r="F2" s="2"/>
      <c r="G2" s="5"/>
      <c r="H2" s="5" t="s">
        <v>50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2"/>
      <c r="AF2" s="5"/>
      <c r="AG2" s="5"/>
      <c r="AH2" s="2"/>
      <c r="AI2" s="5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customFormat="false" ht="52.5" hidden="false" customHeight="true" outlineLevel="0" collapsed="false">
      <c r="A3" s="3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9"/>
      <c r="Z3" s="5"/>
      <c r="AA3" s="5"/>
      <c r="AB3" s="5"/>
      <c r="AC3" s="5"/>
      <c r="AD3" s="5"/>
      <c r="AE3" s="5"/>
      <c r="AF3" s="5"/>
      <c r="AG3" s="5"/>
      <c r="AH3" s="2"/>
      <c r="AI3" s="5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25.5" hidden="false" customHeight="true" outlineLevel="0" collapsed="false"/>
    <row r="5" s="2" customFormat="true" ht="35.1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="2" customFormat="true" ht="35.1" hidden="false" customHeight="true" outlineLevel="0" collapsed="false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="2" customFormat="true" ht="35.1" hidden="false" customHeight="true" outlineLevel="0" collapsed="false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="2" customFormat="true" ht="16.9" hidden="false" customHeight="true" outlineLevel="0" collapsed="false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="2" customFormat="true" ht="60.2" hidden="false" customHeight="true" outlineLevel="0" collapsed="false">
      <c r="A9" s="3"/>
      <c r="B9" s="5"/>
      <c r="C9" s="82" t="s">
        <v>51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52</v>
      </c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 t="s">
        <v>53</v>
      </c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</row>
    <row r="10" customFormat="false" ht="56.65" hidden="false" customHeight="true" outlineLevel="0" collapsed="false">
      <c r="A10" s="3"/>
      <c r="B10" s="5"/>
      <c r="C10" s="17" t="s">
        <v>54</v>
      </c>
      <c r="D10" s="17"/>
      <c r="E10" s="17"/>
      <c r="F10" s="17"/>
      <c r="G10" s="17" t="s">
        <v>55</v>
      </c>
      <c r="H10" s="17"/>
      <c r="I10" s="17"/>
      <c r="J10" s="17"/>
      <c r="K10" s="17" t="s">
        <v>56</v>
      </c>
      <c r="L10" s="17"/>
      <c r="M10" s="17"/>
      <c r="N10" s="17"/>
      <c r="O10" s="17" t="s">
        <v>57</v>
      </c>
      <c r="P10" s="17"/>
      <c r="Q10" s="17"/>
      <c r="R10" s="17"/>
      <c r="S10" s="17" t="s">
        <v>55</v>
      </c>
      <c r="T10" s="17"/>
      <c r="U10" s="17"/>
      <c r="V10" s="17"/>
      <c r="W10" s="17" t="s">
        <v>56</v>
      </c>
      <c r="X10" s="17"/>
      <c r="Y10" s="17"/>
      <c r="Z10" s="17"/>
      <c r="AA10" s="17" t="s">
        <v>58</v>
      </c>
      <c r="AB10" s="17"/>
      <c r="AC10" s="17"/>
      <c r="AD10" s="17"/>
      <c r="AE10" s="17" t="s">
        <v>58</v>
      </c>
      <c r="AF10" s="17"/>
      <c r="AG10" s="17"/>
      <c r="AH10" s="17"/>
      <c r="AI10" s="17"/>
      <c r="AJ10" s="17" t="s">
        <v>55</v>
      </c>
      <c r="AK10" s="17"/>
      <c r="AL10" s="17"/>
      <c r="AM10" s="17" t="s">
        <v>59</v>
      </c>
      <c r="AN10" s="17"/>
      <c r="AO10" s="17"/>
      <c r="AP10" s="17"/>
    </row>
    <row r="11" customFormat="false" ht="18.6" hidden="false" customHeight="true" outlineLevel="0" collapsed="false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8" t="s">
        <v>18</v>
      </c>
      <c r="AB11" s="18"/>
      <c r="AC11" s="18" t="s">
        <v>19</v>
      </c>
      <c r="AD11" s="18"/>
      <c r="AE11" s="85" t="s">
        <v>18</v>
      </c>
      <c r="AF11" s="86"/>
      <c r="AG11" s="85" t="s">
        <v>19</v>
      </c>
      <c r="AH11" s="85" t="s">
        <v>19</v>
      </c>
      <c r="AI11" s="86"/>
      <c r="AJ11" s="85" t="s">
        <v>18</v>
      </c>
      <c r="AK11" s="86"/>
      <c r="AL11" s="86"/>
      <c r="AM11" s="85" t="s">
        <v>18</v>
      </c>
      <c r="AN11" s="86"/>
      <c r="AO11" s="85" t="s">
        <v>19</v>
      </c>
      <c r="AP11" s="86"/>
    </row>
    <row r="12" customFormat="false" ht="20.25" hidden="false" customHeight="false" outlineLevel="0" collapsed="false">
      <c r="A12" s="43" t="s">
        <v>21</v>
      </c>
      <c r="B12" s="43"/>
      <c r="C12" s="87" t="s">
        <v>22</v>
      </c>
      <c r="D12" s="87" t="s">
        <v>23</v>
      </c>
      <c r="E12" s="87" t="s">
        <v>22</v>
      </c>
      <c r="F12" s="87" t="s">
        <v>23</v>
      </c>
      <c r="G12" s="87" t="s">
        <v>22</v>
      </c>
      <c r="H12" s="87" t="s">
        <v>23</v>
      </c>
      <c r="I12" s="87" t="s">
        <v>22</v>
      </c>
      <c r="J12" s="87" t="s">
        <v>23</v>
      </c>
      <c r="K12" s="87" t="s">
        <v>22</v>
      </c>
      <c r="L12" s="87" t="s">
        <v>23</v>
      </c>
      <c r="M12" s="87" t="s">
        <v>22</v>
      </c>
      <c r="N12" s="87" t="s">
        <v>23</v>
      </c>
      <c r="O12" s="87" t="s">
        <v>22</v>
      </c>
      <c r="P12" s="87" t="s">
        <v>23</v>
      </c>
      <c r="Q12" s="87" t="s">
        <v>22</v>
      </c>
      <c r="R12" s="87" t="s">
        <v>23</v>
      </c>
      <c r="S12" s="87" t="s">
        <v>22</v>
      </c>
      <c r="T12" s="87" t="s">
        <v>23</v>
      </c>
      <c r="U12" s="87" t="s">
        <v>22</v>
      </c>
      <c r="V12" s="87" t="s">
        <v>23</v>
      </c>
      <c r="W12" s="87" t="s">
        <v>22</v>
      </c>
      <c r="X12" s="87" t="s">
        <v>23</v>
      </c>
      <c r="Y12" s="87" t="s">
        <v>22</v>
      </c>
      <c r="Z12" s="87" t="s">
        <v>23</v>
      </c>
      <c r="AA12" s="87" t="s">
        <v>22</v>
      </c>
      <c r="AB12" s="87" t="s">
        <v>23</v>
      </c>
      <c r="AC12" s="87" t="s">
        <v>22</v>
      </c>
      <c r="AD12" s="87" t="s">
        <v>23</v>
      </c>
      <c r="AE12" s="87" t="s">
        <v>22</v>
      </c>
      <c r="AF12" s="87" t="s">
        <v>23</v>
      </c>
      <c r="AG12" s="87" t="s">
        <v>22</v>
      </c>
      <c r="AH12" s="87" t="s">
        <v>22</v>
      </c>
      <c r="AI12" s="87" t="s">
        <v>23</v>
      </c>
      <c r="AJ12" s="87" t="s">
        <v>22</v>
      </c>
      <c r="AK12" s="87" t="s">
        <v>23</v>
      </c>
      <c r="AL12" s="87" t="s">
        <v>23</v>
      </c>
      <c r="AM12" s="87" t="s">
        <v>22</v>
      </c>
      <c r="AN12" s="87" t="s">
        <v>23</v>
      </c>
      <c r="AO12" s="87" t="s">
        <v>22</v>
      </c>
      <c r="AP12" s="87" t="s">
        <v>23</v>
      </c>
    </row>
    <row r="13" customFormat="false" ht="76.55" hidden="false" customHeight="true" outlineLevel="0" collapsed="false">
      <c r="A13" s="88" t="n">
        <v>0.270833333333333</v>
      </c>
      <c r="B13" s="88" t="n">
        <v>0.291666666666667</v>
      </c>
      <c r="C13" s="25"/>
      <c r="D13" s="25"/>
      <c r="E13" s="25"/>
      <c r="F13" s="25"/>
      <c r="G13" s="25"/>
      <c r="H13" s="25"/>
      <c r="I13" s="25" t="n">
        <v>1</v>
      </c>
      <c r="J13" s="25"/>
      <c r="K13" s="25"/>
      <c r="L13" s="25"/>
      <c r="M13" s="25"/>
      <c r="N13" s="25"/>
      <c r="O13" s="25"/>
      <c r="P13" s="25" t="n">
        <v>1</v>
      </c>
      <c r="Q13" s="25"/>
      <c r="R13" s="89"/>
      <c r="S13" s="90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89"/>
      <c r="AE13" s="90"/>
      <c r="AF13" s="25"/>
      <c r="AG13" s="25"/>
      <c r="AH13" s="91"/>
      <c r="AI13" s="25"/>
      <c r="AJ13" s="25"/>
      <c r="AK13" s="25"/>
      <c r="AL13" s="91"/>
      <c r="AM13" s="25"/>
      <c r="AN13" s="25"/>
      <c r="AO13" s="25"/>
      <c r="AP13" s="25"/>
    </row>
    <row r="14" customFormat="false" ht="76.55" hidden="false" customHeight="true" outlineLevel="0" collapsed="false">
      <c r="A14" s="88" t="n">
        <v>0.291666666666667</v>
      </c>
      <c r="B14" s="88" t="n">
        <v>0.3125</v>
      </c>
      <c r="C14" s="25"/>
      <c r="D14" s="25"/>
      <c r="E14" s="25"/>
      <c r="F14" s="25"/>
      <c r="G14" s="25"/>
      <c r="H14" s="25"/>
      <c r="I14" s="25" t="n">
        <v>1</v>
      </c>
      <c r="J14" s="25"/>
      <c r="K14" s="25"/>
      <c r="L14" s="25"/>
      <c r="M14" s="25"/>
      <c r="N14" s="25"/>
      <c r="O14" s="25"/>
      <c r="P14" s="25"/>
      <c r="Q14" s="25"/>
      <c r="R14" s="89"/>
      <c r="S14" s="90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89"/>
      <c r="AE14" s="90"/>
      <c r="AF14" s="25"/>
      <c r="AG14" s="25"/>
      <c r="AH14" s="91"/>
      <c r="AI14" s="25"/>
      <c r="AJ14" s="25"/>
      <c r="AK14" s="25"/>
      <c r="AL14" s="91"/>
      <c r="AM14" s="25"/>
      <c r="AN14" s="25"/>
      <c r="AO14" s="25"/>
      <c r="AP14" s="25"/>
    </row>
    <row r="15" customFormat="false" ht="76.55" hidden="false" customHeight="true" outlineLevel="0" collapsed="false">
      <c r="A15" s="88" t="n">
        <v>0.3125</v>
      </c>
      <c r="B15" s="88" t="n">
        <v>0.333333333333333</v>
      </c>
      <c r="C15" s="25"/>
      <c r="D15" s="25"/>
      <c r="E15" s="25"/>
      <c r="F15" s="25"/>
      <c r="G15" s="25" t="n">
        <v>2</v>
      </c>
      <c r="H15" s="25"/>
      <c r="I15" s="25" t="n">
        <v>1</v>
      </c>
      <c r="J15" s="25"/>
      <c r="K15" s="25"/>
      <c r="L15" s="25" t="n">
        <v>1</v>
      </c>
      <c r="M15" s="25"/>
      <c r="N15" s="25"/>
      <c r="O15" s="25"/>
      <c r="P15" s="25"/>
      <c r="Q15" s="25"/>
      <c r="R15" s="89"/>
      <c r="S15" s="90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89"/>
      <c r="AE15" s="90"/>
      <c r="AF15" s="25"/>
      <c r="AG15" s="25"/>
      <c r="AH15" s="91"/>
      <c r="AI15" s="25"/>
      <c r="AJ15" s="25"/>
      <c r="AK15" s="25"/>
      <c r="AL15" s="91"/>
      <c r="AM15" s="25"/>
      <c r="AN15" s="25"/>
      <c r="AO15" s="25"/>
      <c r="AP15" s="25"/>
    </row>
    <row r="16" customFormat="false" ht="76.55" hidden="false" customHeight="true" outlineLevel="0" collapsed="false">
      <c r="A16" s="88" t="n">
        <v>0.333333333333333</v>
      </c>
      <c r="B16" s="88" t="n">
        <v>0.354166666666667</v>
      </c>
      <c r="C16" s="25"/>
      <c r="D16" s="25" t="n">
        <v>1</v>
      </c>
      <c r="E16" s="25"/>
      <c r="F16" s="25"/>
      <c r="G16" s="25" t="n">
        <v>1</v>
      </c>
      <c r="H16" s="25" t="n">
        <v>2</v>
      </c>
      <c r="I16" s="25"/>
      <c r="J16" s="25"/>
      <c r="K16" s="25"/>
      <c r="L16" s="25"/>
      <c r="M16" s="25" t="n">
        <v>1</v>
      </c>
      <c r="N16" s="25"/>
      <c r="O16" s="25"/>
      <c r="P16" s="25"/>
      <c r="Q16" s="25"/>
      <c r="R16" s="89"/>
      <c r="S16" s="90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89"/>
      <c r="AE16" s="90"/>
      <c r="AF16" s="25" t="n">
        <v>1</v>
      </c>
      <c r="AG16" s="25"/>
      <c r="AH16" s="91"/>
      <c r="AI16" s="25"/>
      <c r="AJ16" s="25"/>
      <c r="AK16" s="25"/>
      <c r="AL16" s="91"/>
      <c r="AM16" s="25"/>
      <c r="AN16" s="25"/>
      <c r="AO16" s="25"/>
      <c r="AP16" s="25"/>
    </row>
    <row r="17" customFormat="false" ht="76.55" hidden="false" customHeight="true" outlineLevel="0" collapsed="false">
      <c r="A17" s="88" t="n">
        <v>0.354166666666667</v>
      </c>
      <c r="B17" s="88" t="n">
        <v>0.375</v>
      </c>
      <c r="C17" s="25"/>
      <c r="D17" s="25"/>
      <c r="E17" s="25"/>
      <c r="F17" s="25"/>
      <c r="G17" s="25" t="n">
        <v>2</v>
      </c>
      <c r="H17" s="25" t="n">
        <v>1</v>
      </c>
      <c r="I17" s="25" t="n">
        <v>1</v>
      </c>
      <c r="J17" s="25"/>
      <c r="K17" s="25"/>
      <c r="L17" s="25"/>
      <c r="M17" s="25"/>
      <c r="N17" s="25"/>
      <c r="O17" s="25"/>
      <c r="P17" s="25"/>
      <c r="Q17" s="25"/>
      <c r="R17" s="89"/>
      <c r="S17" s="90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89"/>
      <c r="AE17" s="90"/>
      <c r="AF17" s="25"/>
      <c r="AG17" s="25"/>
      <c r="AH17" s="91"/>
      <c r="AI17" s="25"/>
      <c r="AJ17" s="25"/>
      <c r="AK17" s="25" t="n">
        <v>1</v>
      </c>
      <c r="AL17" s="91"/>
      <c r="AM17" s="25"/>
      <c r="AN17" s="25"/>
      <c r="AO17" s="25"/>
      <c r="AP17" s="25"/>
    </row>
    <row r="18" customFormat="false" ht="54.95" hidden="true" customHeight="true" outlineLevel="0" collapsed="false">
      <c r="A18" s="20" t="n">
        <v>9</v>
      </c>
      <c r="B18" s="20" t="s">
        <v>60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25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</row>
    <row r="19" customFormat="false" ht="54.95" hidden="true" customHeight="true" outlineLevel="0" collapsed="false">
      <c r="A19" s="20"/>
      <c r="B19" s="20" t="s">
        <v>61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25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</row>
    <row r="20" customFormat="false" ht="12.75" hidden="false" customHeight="true" outlineLevel="0" collapsed="false">
      <c r="AL20" s="25"/>
    </row>
    <row r="21" s="2" customFormat="true" ht="60.2" hidden="false" customHeight="true" outlineLevel="0" collapsed="false">
      <c r="A21" s="3"/>
      <c r="B21" s="5"/>
      <c r="C21" s="94" t="s">
        <v>62</v>
      </c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 t="s">
        <v>63</v>
      </c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</row>
    <row r="22" customFormat="false" ht="56.65" hidden="false" customHeight="true" outlineLevel="0" collapsed="false">
      <c r="A22" s="3"/>
      <c r="B22" s="5"/>
      <c r="C22" s="17" t="s">
        <v>56</v>
      </c>
      <c r="D22" s="17"/>
      <c r="E22" s="17"/>
      <c r="F22" s="17"/>
      <c r="G22" s="17" t="s">
        <v>58</v>
      </c>
      <c r="H22" s="17"/>
      <c r="I22" s="17"/>
      <c r="J22" s="17"/>
      <c r="K22" s="17" t="s">
        <v>54</v>
      </c>
      <c r="L22" s="17"/>
      <c r="M22" s="17"/>
      <c r="N22" s="17"/>
      <c r="O22" s="17" t="s">
        <v>55</v>
      </c>
      <c r="P22" s="17"/>
      <c r="Q22" s="17"/>
      <c r="R22" s="17"/>
      <c r="S22" s="17" t="s">
        <v>54</v>
      </c>
      <c r="T22" s="17"/>
      <c r="U22" s="17"/>
      <c r="V22" s="17"/>
      <c r="W22" s="17" t="s">
        <v>58</v>
      </c>
      <c r="X22" s="17"/>
      <c r="Y22" s="17"/>
      <c r="Z22" s="17"/>
      <c r="AA22" s="17" t="s">
        <v>56</v>
      </c>
      <c r="AB22" s="17"/>
      <c r="AC22" s="17"/>
      <c r="AD22" s="17"/>
    </row>
    <row r="23" customFormat="false" ht="18.6" hidden="false" customHeight="true" outlineLevel="0" collapsed="false">
      <c r="A23" s="3"/>
      <c r="B23" s="5"/>
      <c r="C23" s="18" t="s">
        <v>18</v>
      </c>
      <c r="D23" s="18"/>
      <c r="E23" s="18" t="s">
        <v>19</v>
      </c>
      <c r="F23" s="18"/>
      <c r="G23" s="18" t="s">
        <v>18</v>
      </c>
      <c r="H23" s="18"/>
      <c r="I23" s="18" t="s">
        <v>19</v>
      </c>
      <c r="J23" s="18"/>
      <c r="K23" s="18" t="s">
        <v>18</v>
      </c>
      <c r="L23" s="18"/>
      <c r="M23" s="18" t="s">
        <v>19</v>
      </c>
      <c r="N23" s="18"/>
      <c r="O23" s="18" t="s">
        <v>18</v>
      </c>
      <c r="P23" s="18"/>
      <c r="Q23" s="18" t="s">
        <v>19</v>
      </c>
      <c r="R23" s="18"/>
      <c r="S23" s="18" t="s">
        <v>18</v>
      </c>
      <c r="T23" s="18"/>
      <c r="U23" s="18" t="s">
        <v>19</v>
      </c>
      <c r="V23" s="18"/>
      <c r="W23" s="18" t="s">
        <v>18</v>
      </c>
      <c r="X23" s="18"/>
      <c r="Y23" s="18" t="s">
        <v>19</v>
      </c>
      <c r="Z23" s="18"/>
      <c r="AA23" s="18" t="s">
        <v>18</v>
      </c>
      <c r="AB23" s="18"/>
      <c r="AC23" s="18" t="s">
        <v>19</v>
      </c>
      <c r="AD23" s="18"/>
    </row>
    <row r="24" customFormat="false" ht="20.25" hidden="false" customHeight="false" outlineLevel="0" collapsed="false">
      <c r="A24" s="43" t="s">
        <v>21</v>
      </c>
      <c r="B24" s="43"/>
      <c r="C24" s="87" t="s">
        <v>22</v>
      </c>
      <c r="D24" s="87" t="s">
        <v>23</v>
      </c>
      <c r="E24" s="87" t="s">
        <v>22</v>
      </c>
      <c r="F24" s="87" t="s">
        <v>23</v>
      </c>
      <c r="G24" s="87" t="s">
        <v>22</v>
      </c>
      <c r="H24" s="87" t="s">
        <v>23</v>
      </c>
      <c r="I24" s="87" t="s">
        <v>22</v>
      </c>
      <c r="J24" s="87" t="s">
        <v>23</v>
      </c>
      <c r="K24" s="87" t="s">
        <v>22</v>
      </c>
      <c r="L24" s="87" t="s">
        <v>23</v>
      </c>
      <c r="M24" s="87" t="s">
        <v>22</v>
      </c>
      <c r="N24" s="87" t="s">
        <v>23</v>
      </c>
      <c r="O24" s="87" t="s">
        <v>22</v>
      </c>
      <c r="P24" s="87" t="s">
        <v>23</v>
      </c>
      <c r="Q24" s="87" t="s">
        <v>22</v>
      </c>
      <c r="R24" s="87" t="s">
        <v>23</v>
      </c>
      <c r="S24" s="87" t="s">
        <v>22</v>
      </c>
      <c r="T24" s="87" t="s">
        <v>23</v>
      </c>
      <c r="U24" s="87" t="s">
        <v>22</v>
      </c>
      <c r="V24" s="87" t="s">
        <v>23</v>
      </c>
      <c r="W24" s="87" t="s">
        <v>22</v>
      </c>
      <c r="X24" s="87" t="s">
        <v>23</v>
      </c>
      <c r="Y24" s="87" t="s">
        <v>22</v>
      </c>
      <c r="Z24" s="87" t="s">
        <v>23</v>
      </c>
      <c r="AA24" s="87" t="s">
        <v>22</v>
      </c>
      <c r="AB24" s="87" t="s">
        <v>23</v>
      </c>
      <c r="AC24" s="87" t="s">
        <v>22</v>
      </c>
      <c r="AD24" s="87" t="s">
        <v>23</v>
      </c>
    </row>
    <row r="25" customFormat="false" ht="76.55" hidden="false" customHeight="true" outlineLevel="0" collapsed="false">
      <c r="A25" s="88" t="n">
        <v>0.270833333333333</v>
      </c>
      <c r="B25" s="88" t="n">
        <v>0.291666666666667</v>
      </c>
      <c r="C25" s="25"/>
      <c r="D25" s="25"/>
      <c r="E25" s="25"/>
      <c r="F25" s="25"/>
      <c r="G25" s="25"/>
      <c r="H25" s="25"/>
      <c r="I25" s="25"/>
      <c r="J25" s="25" t="n">
        <v>1</v>
      </c>
      <c r="K25" s="25"/>
      <c r="L25" s="25"/>
      <c r="M25" s="25"/>
      <c r="N25" s="89"/>
      <c r="O25" s="90" t="n">
        <v>1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customFormat="false" ht="76.55" hidden="false" customHeight="true" outlineLevel="0" collapsed="false">
      <c r="A26" s="88" t="n">
        <v>0.291666666666667</v>
      </c>
      <c r="B26" s="88" t="n">
        <v>0.3125</v>
      </c>
      <c r="C26" s="25"/>
      <c r="D26" s="25"/>
      <c r="E26" s="25"/>
      <c r="F26" s="25"/>
      <c r="G26" s="25" t="n">
        <v>1</v>
      </c>
      <c r="H26" s="25"/>
      <c r="I26" s="25"/>
      <c r="J26" s="25" t="n">
        <v>1</v>
      </c>
      <c r="K26" s="25"/>
      <c r="L26" s="25"/>
      <c r="M26" s="25"/>
      <c r="N26" s="89"/>
      <c r="O26" s="90"/>
      <c r="P26" s="25"/>
      <c r="Q26" s="25"/>
      <c r="R26" s="25"/>
      <c r="S26" s="25"/>
      <c r="T26" s="25"/>
      <c r="U26" s="25"/>
      <c r="V26" s="25"/>
      <c r="W26" s="25" t="n">
        <v>1</v>
      </c>
      <c r="X26" s="25" t="n">
        <v>2</v>
      </c>
      <c r="Y26" s="25"/>
      <c r="Z26" s="25"/>
      <c r="AA26" s="25"/>
      <c r="AB26" s="25"/>
      <c r="AC26" s="25"/>
      <c r="AD26" s="25"/>
    </row>
    <row r="27" customFormat="false" ht="76.55" hidden="false" customHeight="true" outlineLevel="0" collapsed="false">
      <c r="A27" s="88" t="n">
        <v>0.3125</v>
      </c>
      <c r="B27" s="88" t="n">
        <v>0.333333333333333</v>
      </c>
      <c r="C27" s="25"/>
      <c r="D27" s="25"/>
      <c r="E27" s="25"/>
      <c r="F27" s="25"/>
      <c r="G27" s="25" t="n">
        <v>3</v>
      </c>
      <c r="H27" s="25" t="n">
        <v>3</v>
      </c>
      <c r="I27" s="25" t="n">
        <v>1</v>
      </c>
      <c r="J27" s="25"/>
      <c r="K27" s="25"/>
      <c r="L27" s="25" t="n">
        <v>1</v>
      </c>
      <c r="M27" s="25"/>
      <c r="N27" s="89"/>
      <c r="O27" s="90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customFormat="false" ht="76.55" hidden="false" customHeight="true" outlineLevel="0" collapsed="false">
      <c r="A28" s="88" t="n">
        <v>0.333333333333333</v>
      </c>
      <c r="B28" s="88" t="n">
        <v>0.354166666666667</v>
      </c>
      <c r="C28" s="25"/>
      <c r="D28" s="25" t="n">
        <v>1</v>
      </c>
      <c r="E28" s="25"/>
      <c r="F28" s="25"/>
      <c r="G28" s="25" t="n">
        <v>1</v>
      </c>
      <c r="H28" s="25" t="n">
        <v>1</v>
      </c>
      <c r="I28" s="25"/>
      <c r="J28" s="25"/>
      <c r="K28" s="25"/>
      <c r="L28" s="25"/>
      <c r="M28" s="25"/>
      <c r="N28" s="89"/>
      <c r="O28" s="90" t="n">
        <v>1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 t="n">
        <v>1</v>
      </c>
      <c r="AD28" s="25"/>
    </row>
    <row r="29" customFormat="false" ht="76.55" hidden="false" customHeight="true" outlineLevel="0" collapsed="false">
      <c r="A29" s="88" t="n">
        <v>0.354166666666667</v>
      </c>
      <c r="B29" s="88" t="n">
        <v>0.375</v>
      </c>
      <c r="C29" s="25"/>
      <c r="D29" s="25" t="n">
        <v>2</v>
      </c>
      <c r="E29" s="25"/>
      <c r="F29" s="25" t="n">
        <v>2</v>
      </c>
      <c r="G29" s="25"/>
      <c r="H29" s="25" t="n">
        <v>1</v>
      </c>
      <c r="I29" s="25"/>
      <c r="J29" s="25"/>
      <c r="K29" s="25"/>
      <c r="L29" s="25"/>
      <c r="M29" s="25"/>
      <c r="N29" s="89"/>
      <c r="O29" s="90"/>
      <c r="P29" s="25" t="n">
        <v>1</v>
      </c>
      <c r="Q29" s="25"/>
      <c r="R29" s="25"/>
      <c r="S29" s="25" t="n">
        <v>1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P29" s="1" t="s">
        <v>64</v>
      </c>
    </row>
    <row r="30" customFormat="false" ht="54.95" hidden="true" customHeight="true" outlineLevel="0" collapsed="false">
      <c r="A30" s="20" t="n">
        <v>9</v>
      </c>
      <c r="B30" s="20" t="s">
        <v>60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</row>
    <row r="31" customFormat="false" ht="54.95" hidden="true" customHeight="true" outlineLevel="0" collapsed="false">
      <c r="A31" s="20"/>
      <c r="B31" s="20" t="s">
        <v>61</v>
      </c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</row>
    <row r="32" customFormat="false" ht="12.75" hidden="false" customHeight="true" outlineLevel="0" collapsed="false"/>
    <row r="33" s="31" customFormat="true" ht="39.75" hidden="false" customHeight="true" outlineLevel="0" collapsed="false">
      <c r="A33" s="27"/>
      <c r="B33" s="28" t="s">
        <v>25</v>
      </c>
      <c r="C33" s="29"/>
      <c r="D33" s="29"/>
      <c r="E33" s="29"/>
      <c r="F33" s="27" t="n">
        <v>3</v>
      </c>
      <c r="G33" s="29"/>
      <c r="H33" s="29"/>
      <c r="I33" s="27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 s="31" customFormat="true" ht="39.75" hidden="false" customHeight="true" outlineLevel="0" collapsed="false">
      <c r="A34" s="27"/>
      <c r="B34" s="28" t="s">
        <v>26</v>
      </c>
      <c r="C34" s="29"/>
      <c r="D34" s="29"/>
      <c r="E34" s="29"/>
      <c r="F34" s="27" t="n">
        <v>2</v>
      </c>
      <c r="G34" s="29"/>
      <c r="H34" s="29"/>
      <c r="I34" s="27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 s="31" customFormat="true" ht="39.75" hidden="false" customHeight="true" outlineLevel="0" collapsed="false">
      <c r="A35" s="27"/>
      <c r="B35" s="28" t="s">
        <v>27</v>
      </c>
      <c r="C35" s="29"/>
      <c r="D35" s="29"/>
      <c r="E35" s="29"/>
      <c r="F35" s="27" t="n">
        <v>1</v>
      </c>
      <c r="G35" s="29"/>
      <c r="H35" s="29"/>
      <c r="I35" s="27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 s="31" customFormat="true" ht="39.75" hidden="false" customHeight="true" outlineLevel="0" collapsed="false">
      <c r="A36" s="27"/>
      <c r="B36" s="28" t="s">
        <v>28</v>
      </c>
      <c r="C36" s="29"/>
      <c r="D36" s="29"/>
      <c r="E36" s="29"/>
      <c r="F36" s="29"/>
      <c r="G36" s="29"/>
      <c r="H36" s="29"/>
      <c r="I36" s="27"/>
      <c r="J36" s="29"/>
      <c r="K36" s="29"/>
      <c r="L36" s="29"/>
      <c r="M36" s="29"/>
      <c r="N36" s="27" t="n">
        <v>12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72"/>
      <c r="AJ36" s="72"/>
      <c r="AK36" s="72"/>
      <c r="AL36" s="29"/>
      <c r="AM36" s="29"/>
      <c r="AN36" s="29"/>
      <c r="AO36" s="29"/>
      <c r="AP36" s="29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 s="2" customFormat="true" ht="25.5" hidden="false" customHeight="true" outlineLevel="0" collapsed="false">
      <c r="A37" s="96"/>
      <c r="B37" s="28" t="s">
        <v>65</v>
      </c>
      <c r="C37" s="28" t="n">
        <v>54</v>
      </c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8"/>
      <c r="AB37" s="99"/>
      <c r="AC37" s="73" t="s">
        <v>29</v>
      </c>
      <c r="AD37" s="44" t="s">
        <v>30</v>
      </c>
      <c r="AE37" s="44" t="s">
        <v>31</v>
      </c>
      <c r="AF37" s="44" t="s">
        <v>32</v>
      </c>
      <c r="AG37" s="41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</row>
    <row r="38" customFormat="false" ht="18.6" hidden="false" customHeight="true" outlineLevel="0" collapsed="false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14"/>
      <c r="AB38" s="15"/>
      <c r="AC38" s="73"/>
      <c r="AD38" s="44"/>
      <c r="AE38" s="44"/>
      <c r="AF38" s="44"/>
      <c r="AG38" s="41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</row>
    <row r="39" customFormat="false" ht="20.25" hidden="false" customHeight="true" outlineLevel="0" collapsed="false">
      <c r="A39" s="14"/>
      <c r="B39" s="15"/>
      <c r="C39" s="18" t="s">
        <v>18</v>
      </c>
      <c r="D39" s="18"/>
      <c r="E39" s="18" t="s">
        <v>19</v>
      </c>
      <c r="F39" s="18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5"/>
      <c r="AB39" s="15"/>
      <c r="AC39" s="73"/>
      <c r="AD39" s="44"/>
      <c r="AE39" s="44"/>
      <c r="AF39" s="44"/>
      <c r="AG39" s="41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</row>
    <row r="40" customFormat="false" ht="54.95" hidden="false" customHeight="true" outlineLevel="0" collapsed="false">
      <c r="A40" s="20" t="s">
        <v>21</v>
      </c>
      <c r="B40" s="20"/>
      <c r="C40" s="21" t="s">
        <v>22</v>
      </c>
      <c r="D40" s="21" t="s">
        <v>23</v>
      </c>
      <c r="E40" s="21" t="s">
        <v>22</v>
      </c>
      <c r="F40" s="21" t="s">
        <v>23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20" t="s">
        <v>21</v>
      </c>
      <c r="AB40" s="20"/>
      <c r="AC40" s="73"/>
      <c r="AD40" s="44"/>
      <c r="AE40" s="44"/>
      <c r="AF40" s="44"/>
      <c r="AG40" s="41"/>
      <c r="AH40" s="44" t="s">
        <v>34</v>
      </c>
      <c r="AI40" s="44" t="s">
        <v>35</v>
      </c>
      <c r="AJ40" s="44" t="s">
        <v>36</v>
      </c>
      <c r="AK40" s="44" t="s">
        <v>37</v>
      </c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</row>
    <row r="41" customFormat="false" ht="54.95" hidden="false" customHeight="true" outlineLevel="0" collapsed="false">
      <c r="A41" s="20" t="s">
        <v>38</v>
      </c>
      <c r="B41" s="20"/>
      <c r="C41" s="25" t="n">
        <f aca="false">C13+G13+K13+O13+S13+W13+AA13+AE13+AJ13+AM13+C25+G25+K25+O25+S25+W25+AA25</f>
        <v>1</v>
      </c>
      <c r="D41" s="25" t="n">
        <f aca="false">D13+H13+L13+P13+T13+X13+AB13+AF13+AK13+AN13+D25+H25+L25+P25+T25+X25+AB25</f>
        <v>1</v>
      </c>
      <c r="E41" s="25" t="n">
        <f aca="false">E13+I13+M13+Q13+U13+Y13+AC13+AG13+AH13+AO13+E25+I25+M25+Q25+U25+Y25+AC25</f>
        <v>1</v>
      </c>
      <c r="F41" s="25" t="n">
        <f aca="false">F13+J13+N13+R13+V13+Z13+AD13+AI13+AL16+AP13+F25+J25+N25+R25+V25+Z25+AD25</f>
        <v>1</v>
      </c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20" t="s">
        <v>38</v>
      </c>
      <c r="AB41" s="20"/>
      <c r="AC41" s="100" t="n">
        <f aca="false">SUM(C41:F41)</f>
        <v>4</v>
      </c>
      <c r="AD41" s="46" t="n">
        <f aca="false">C41+E41</f>
        <v>2</v>
      </c>
      <c r="AE41" s="46" t="n">
        <f aca="false">E41+F41</f>
        <v>2</v>
      </c>
      <c r="AF41" s="46" t="n">
        <f aca="false">E41</f>
        <v>1</v>
      </c>
      <c r="AG41" s="46"/>
      <c r="AH41" s="72"/>
      <c r="AI41" s="101"/>
      <c r="AJ41" s="102"/>
      <c r="AK41" s="10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</row>
    <row r="42" customFormat="false" ht="54.95" hidden="false" customHeight="true" outlineLevel="0" collapsed="false">
      <c r="A42" s="20" t="s">
        <v>39</v>
      </c>
      <c r="B42" s="20"/>
      <c r="C42" s="25" t="n">
        <f aca="false">C14+G14+K14+O14+S14+W14+AA14+AE14+AJ14+AM14+C26+G26+K26+O26+S26+W26+AA26</f>
        <v>2</v>
      </c>
      <c r="D42" s="25" t="n">
        <f aca="false">D14+H14+L14+P14+T14+X14+AB14+AF14+AK14+AN14+D26+H26+L26+P26+T26+X26+AB26</f>
        <v>2</v>
      </c>
      <c r="E42" s="25" t="n">
        <f aca="false">E14+I14+M14+Q14+U14+Y14+AC14+AG14+AH14+AO14+E26+I26+M26+Q26+U26+Y26+AC26</f>
        <v>1</v>
      </c>
      <c r="F42" s="25" t="n">
        <f aca="false">F14+J14+N14+R14+V14+Z14+AD14+AI14+AL17+AP14+F26+J26+N26+R26+V26+Z26+AD26</f>
        <v>1</v>
      </c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20" t="s">
        <v>39</v>
      </c>
      <c r="AB42" s="20"/>
      <c r="AC42" s="100" t="n">
        <f aca="false">SUM(C42:F42)</f>
        <v>6</v>
      </c>
      <c r="AD42" s="46" t="n">
        <f aca="false">C42+E42</f>
        <v>3</v>
      </c>
      <c r="AE42" s="46" t="n">
        <f aca="false">E42+F42</f>
        <v>2</v>
      </c>
      <c r="AF42" s="46" t="n">
        <f aca="false">E42</f>
        <v>1</v>
      </c>
      <c r="AG42" s="46"/>
      <c r="AH42" s="72"/>
      <c r="AI42" s="101"/>
      <c r="AJ42" s="102"/>
      <c r="AK42" s="10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</row>
    <row r="43" customFormat="false" ht="54.95" hidden="false" customHeight="true" outlineLevel="0" collapsed="false">
      <c r="A43" s="20" t="s">
        <v>40</v>
      </c>
      <c r="B43" s="20"/>
      <c r="C43" s="25" t="n">
        <f aca="false">C15+G15+K15+O15+S15+W15+AA15+AE15+AJ15+AM15+C27+G27+K27+O27+S27+W27+AA27</f>
        <v>5</v>
      </c>
      <c r="D43" s="25" t="n">
        <f aca="false">D15+H15+L15+P15+T15+X15+AB15+AF15+AK15+AN15+D27+H27+L27+P27+T27+X27+AB27</f>
        <v>5</v>
      </c>
      <c r="E43" s="25" t="n">
        <f aca="false">E15+I15+M15+Q15+U15+Y15+AC15+AG15+AH15+AO15+E27+I27+M27+Q27+U27+Y27+AC27</f>
        <v>2</v>
      </c>
      <c r="F43" s="25" t="n">
        <f aca="false">F15+J15+N15+R15+V15+Z15+AD15+AI15+AL18+AP15+F27+J27+N27+R27+V27+Z27+AD27</f>
        <v>0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20" t="s">
        <v>40</v>
      </c>
      <c r="AB43" s="20"/>
      <c r="AC43" s="100" t="n">
        <f aca="false">SUM(C43:F43)</f>
        <v>12</v>
      </c>
      <c r="AD43" s="46" t="n">
        <f aca="false">C43+E43</f>
        <v>7</v>
      </c>
      <c r="AE43" s="46" t="n">
        <f aca="false">E43+F43</f>
        <v>2</v>
      </c>
      <c r="AF43" s="46" t="n">
        <f aca="false">E43</f>
        <v>2</v>
      </c>
      <c r="AG43" s="46"/>
      <c r="AH43" s="72"/>
      <c r="AI43" s="101"/>
      <c r="AJ43" s="102"/>
      <c r="AK43" s="10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</row>
    <row r="44" customFormat="false" ht="54.95" hidden="false" customHeight="true" outlineLevel="0" collapsed="false">
      <c r="A44" s="20" t="s">
        <v>41</v>
      </c>
      <c r="B44" s="20"/>
      <c r="C44" s="25" t="n">
        <f aca="false">C16+G16+K16+O16+S16+W16+AA16+AE16+AJ16+AM16+C28+G28+K28+O28+S28+W28+AA28</f>
        <v>3</v>
      </c>
      <c r="D44" s="25" t="n">
        <f aca="false">D16+H16+L16+P16+T16+X16+AB16+AF16+AK16+AN16+D28+H28+L28+P28+T28+X28+AB28</f>
        <v>6</v>
      </c>
      <c r="E44" s="25" t="n">
        <f aca="false">E16+I16+M16+Q16+U16+Y16+AC16+AG16+AH16+AO16+E28+I28+M28+Q28+U28+Y28+AC28</f>
        <v>2</v>
      </c>
      <c r="F44" s="25" t="n">
        <f aca="false">F16+J16+N16+R16+V16+Z16+AD16+AI16+AL19+AP16+F28+J28+N28+R28+V28+Z28+AD28</f>
        <v>0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20" t="s">
        <v>41</v>
      </c>
      <c r="AB44" s="20"/>
      <c r="AC44" s="100" t="n">
        <f aca="false">SUM(C44:F44)</f>
        <v>11</v>
      </c>
      <c r="AD44" s="46" t="n">
        <f aca="false">C44+E44</f>
        <v>5</v>
      </c>
      <c r="AE44" s="46" t="n">
        <f aca="false">E44+F44</f>
        <v>2</v>
      </c>
      <c r="AF44" s="46" t="n">
        <f aca="false">E44</f>
        <v>2</v>
      </c>
      <c r="AG44" s="46"/>
      <c r="AH44" s="72"/>
      <c r="AI44" s="103"/>
      <c r="AJ44" s="102"/>
      <c r="AK44" s="10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</row>
    <row r="45" customFormat="false" ht="54.95" hidden="false" customHeight="true" outlineLevel="0" collapsed="false">
      <c r="A45" s="20" t="s">
        <v>42</v>
      </c>
      <c r="B45" s="20"/>
      <c r="C45" s="25" t="n">
        <f aca="false">C17+G17+K17+O17+S17+W17+AA17+AE17+AJ17+AM17+C29+G29+K29+O29+S29+W29+AA29</f>
        <v>3</v>
      </c>
      <c r="D45" s="25" t="n">
        <f aca="false">D17+H17+L17+P17+T17+X17+AB17+AF17+AK17+AN17+D29+H29+L29+P29+T29+X29+AB29</f>
        <v>6</v>
      </c>
      <c r="E45" s="25" t="n">
        <f aca="false">E17+I17+M17+Q17+U17+Y17+AC17+AG17+AH17+AO17+E29+I29+M29+Q29+U29+Y29+AC29</f>
        <v>1</v>
      </c>
      <c r="F45" s="25" t="n">
        <f aca="false">F17+J17+N17+R17+V17+Z17+AD17+AI17+AK17+AP17+F29+J29+N29+R29+V29+Z29+AD29</f>
        <v>3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20" t="s">
        <v>42</v>
      </c>
      <c r="AB45" s="20"/>
      <c r="AC45" s="100" t="n">
        <f aca="false">SUM(C45:F45)</f>
        <v>13</v>
      </c>
      <c r="AD45" s="46" t="n">
        <f aca="false">C45+E45</f>
        <v>4</v>
      </c>
      <c r="AE45" s="46" t="n">
        <f aca="false">E45+F45</f>
        <v>4</v>
      </c>
      <c r="AF45" s="46" t="n">
        <f aca="false">E45</f>
        <v>1</v>
      </c>
      <c r="AG45" s="46"/>
      <c r="AH45" s="72"/>
      <c r="AI45" s="104"/>
      <c r="AJ45" s="102"/>
      <c r="AK45" s="10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</row>
    <row r="46" customFormat="false" ht="53.25" hidden="false" customHeight="true" outlineLevel="0" collapsed="false">
      <c r="A46" s="20" t="s">
        <v>29</v>
      </c>
      <c r="B46" s="20"/>
      <c r="C46" s="105" t="n">
        <f aca="false">SUM(C41:C45)</f>
        <v>14</v>
      </c>
      <c r="D46" s="105" t="n">
        <f aca="false">SUM(D41:D45)</f>
        <v>20</v>
      </c>
      <c r="E46" s="105" t="n">
        <f aca="false">SUM(E41:E45)</f>
        <v>7</v>
      </c>
      <c r="F46" s="105" t="n">
        <f aca="false">SUM(F41:F45)</f>
        <v>5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 t="s">
        <v>66</v>
      </c>
      <c r="Y46" s="72"/>
      <c r="Z46" s="106"/>
      <c r="AA46" s="107" t="s">
        <v>29</v>
      </c>
      <c r="AB46" s="107"/>
      <c r="AC46" s="50" t="n">
        <f aca="false">SUM(AC41:AC45)</f>
        <v>46</v>
      </c>
      <c r="AD46" s="108" t="n">
        <f aca="false">SUM(AD41:AD45)</f>
        <v>21</v>
      </c>
      <c r="AE46" s="108" t="n">
        <f aca="false">SUM(AE41:AE45)</f>
        <v>12</v>
      </c>
      <c r="AF46" s="109" t="n">
        <f aca="false">SUM(AF41:AF45)</f>
        <v>7</v>
      </c>
      <c r="AG46" s="52"/>
      <c r="AH46" s="50" t="n">
        <f aca="false">A36</f>
        <v>0</v>
      </c>
      <c r="AI46" s="51" t="n">
        <f aca="false">A33</f>
        <v>0</v>
      </c>
      <c r="AJ46" s="51" t="n">
        <f aca="false">A34</f>
        <v>0</v>
      </c>
      <c r="AK46" s="51" t="n">
        <f aca="false">A35</f>
        <v>0</v>
      </c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</row>
    <row r="47" customFormat="false" ht="53.25" hidden="false" customHeight="true" outlineLevel="0" collapsed="false">
      <c r="A47" s="53"/>
      <c r="B47" s="53"/>
      <c r="C47" s="110"/>
      <c r="D47" s="110"/>
      <c r="E47" s="110"/>
      <c r="F47" s="110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55" t="s">
        <v>43</v>
      </c>
      <c r="AA47" s="56" t="s">
        <v>41</v>
      </c>
      <c r="AB47" s="57"/>
      <c r="AC47" s="58" t="n">
        <v>9</v>
      </c>
      <c r="AD47" s="58"/>
      <c r="AE47" s="58"/>
      <c r="AF47" s="58"/>
      <c r="AG47" s="52"/>
      <c r="AH47" s="60"/>
      <c r="AI47" s="111"/>
      <c r="AJ47" s="60"/>
      <c r="AK47" s="60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</row>
    <row r="48" customFormat="false" ht="53.25" hidden="false" customHeight="true" outlineLevel="0" collapsed="false">
      <c r="A48" s="53"/>
      <c r="B48" s="53"/>
      <c r="C48" s="110"/>
      <c r="D48" s="110"/>
      <c r="E48" s="110"/>
      <c r="F48" s="110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55" t="s">
        <v>43</v>
      </c>
      <c r="AA48" s="63" t="s">
        <v>42</v>
      </c>
      <c r="AB48" s="64"/>
      <c r="AC48" s="65" t="n">
        <v>14</v>
      </c>
      <c r="AD48" s="65"/>
      <c r="AE48" s="65"/>
      <c r="AF48" s="65"/>
      <c r="AG48" s="52"/>
      <c r="AH48" s="60"/>
      <c r="AI48" s="111"/>
      <c r="AJ48" s="60"/>
      <c r="AK48" s="60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</row>
    <row r="49" customFormat="false" ht="53.25" hidden="false" customHeight="true" outlineLevel="0" collapsed="false">
      <c r="A49" s="53"/>
      <c r="B49" s="53"/>
      <c r="C49" s="110"/>
      <c r="D49" s="110"/>
      <c r="E49" s="110"/>
      <c r="F49" s="110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55"/>
      <c r="AA49" s="66" t="s">
        <v>44</v>
      </c>
      <c r="AB49" s="66"/>
      <c r="AC49" s="67" t="n">
        <f aca="false">SUM(AC47:AC48)</f>
        <v>23</v>
      </c>
      <c r="AD49" s="68"/>
      <c r="AE49" s="68"/>
      <c r="AF49" s="68"/>
      <c r="AG49" s="52"/>
      <c r="AH49" s="60"/>
      <c r="AI49" s="111"/>
      <c r="AJ49" s="60"/>
      <c r="AK49" s="60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</row>
    <row r="50" customFormat="false" ht="72.75" hidden="false" customHeight="true" outlineLevel="0" collapsed="false">
      <c r="A50" s="69"/>
      <c r="B50" s="70"/>
      <c r="C50" s="70"/>
      <c r="D50" s="70"/>
      <c r="E50" s="70"/>
      <c r="F50" s="70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106" t="s">
        <v>43</v>
      </c>
      <c r="AA50" s="20" t="str">
        <f aca="false">IF($AC$37=MAX($AC$37:$AC$41),AA41,IF($AC$38=MAX($AC$37:$AC$41),AA42,IF($AC$39=MAX($AC$37:$AC$41),AA43,IF($AC$40=MAX($AC$37:$AC$41),AA44,IF($AC$41=MAX($AC$37:$AC$41),AA45,AA44)))))</f>
        <v>8:30 à 9:00</v>
      </c>
      <c r="AB50" s="20"/>
      <c r="AC50" s="43" t="n">
        <f aca="false">IF($AC$37=MAX($AC$37:$AC$41),AC41,IF($AC$38=MAX($AC$37:$AC$41),AC42,IF($AC$39=MAX($AC$37:$AC$41),AC43,IF($AC$40=MAX($AC$37:$AC$41),AC44,IF($AC$41=MAX($AC$37:$AC$41),AC45,AC44)))))</f>
        <v>13</v>
      </c>
      <c r="AD50" s="43" t="n">
        <f aca="false">IF($AC$37=MAX($AC$37:$AC$41),AD41,IF($AC$38=MAX($AC$37:$AC$41),AD42,IF($AC$39=MAX($AC$37:$AC$41),AD43,IF($AC$40=MAX($AC$37:$AC$41),AD44,IF($AC$41=MAX($AC$37:$AC$41),AD45,AD44)))))</f>
        <v>4</v>
      </c>
      <c r="AE50" s="43" t="n">
        <f aca="false">IF($AC$37=MAX($AC$37:$AC$41),AE41,IF($AC$38=MAX($AC$37:$AC$41),AE42,IF($AC$39=MAX($AC$37:$AC$41),AE43,IF($AC$40=MAX($AC$37:$AC$41),AE44,IF($AC$41=MAX($AC$37:$AC$41),AE45,AE44)))))</f>
        <v>4</v>
      </c>
      <c r="AF50" s="43" t="n">
        <f aca="false">IF($AC$37=MAX($AC$37:$AC$41),AF41,IF($AC$38=MAX($AC$37:$AC$41),AF42,IF($AC$39=MAX($AC$37:$AC$41),AF43,IF($AC$40=MAX($AC$37:$AC$41),AF44,IF($AC$41=MAX($AC$37:$AC$41),AF45,AF44)))))</f>
        <v>1</v>
      </c>
      <c r="AG50" s="43"/>
      <c r="AH50" s="72"/>
      <c r="AI50" s="103"/>
      <c r="AJ50" s="102"/>
      <c r="AK50" s="10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</row>
    <row r="51" customFormat="false" ht="23.25" hidden="false" customHeight="false" outlineLevel="0" collapsed="false">
      <c r="A51" s="11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AA51" s="113"/>
      <c r="AB51" s="113"/>
      <c r="AC51" s="43"/>
      <c r="AD51" s="43"/>
      <c r="AE51" s="43"/>
      <c r="AF51" s="43"/>
      <c r="AG51" s="43"/>
      <c r="AH51" s="72"/>
      <c r="AI51" s="103"/>
      <c r="AJ51" s="102"/>
      <c r="AK51" s="44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</row>
    <row r="52" customFormat="false" ht="23.25" hidden="false" customHeight="true" outlineLevel="0" collapsed="false">
      <c r="A52" s="11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14"/>
      <c r="AB52" s="15"/>
      <c r="AC52" s="73" t="s">
        <v>29</v>
      </c>
      <c r="AD52" s="74" t="s">
        <v>45</v>
      </c>
      <c r="AE52" s="74" t="s">
        <v>46</v>
      </c>
      <c r="AF52" s="74" t="s">
        <v>47</v>
      </c>
      <c r="AG52" s="74" t="n">
        <f aca="false">AG37</f>
        <v>0</v>
      </c>
      <c r="AH52" s="72"/>
      <c r="AI52" s="103"/>
      <c r="AJ52" s="102"/>
      <c r="AK52" s="44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</row>
    <row r="53" customFormat="false" ht="40.5" hidden="false" customHeight="true" outlineLevel="0" collapsed="false">
      <c r="A53" s="11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14"/>
      <c r="AB53" s="15"/>
      <c r="AC53" s="73"/>
      <c r="AD53" s="74"/>
      <c r="AE53" s="74"/>
      <c r="AF53" s="74"/>
      <c r="AG53" s="74"/>
      <c r="AH53" s="72"/>
      <c r="AI53" s="44" t="s">
        <v>67</v>
      </c>
      <c r="AJ53" s="44"/>
      <c r="AK53" s="44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</row>
    <row r="54" customFormat="false" ht="20.25" hidden="false" customHeight="false" outlineLevel="0" collapsed="false">
      <c r="A54" s="11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5"/>
      <c r="AB54" s="15"/>
      <c r="AC54" s="73"/>
      <c r="AD54" s="74"/>
      <c r="AE54" s="74"/>
      <c r="AF54" s="74"/>
      <c r="AG54" s="74"/>
      <c r="AH54" s="72"/>
      <c r="AI54" s="44"/>
      <c r="AJ54" s="44"/>
      <c r="AK54" s="44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</row>
    <row r="55" customFormat="false" ht="45" hidden="false" customHeight="true" outlineLevel="0" collapsed="false">
      <c r="A55" s="11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20" t="s">
        <v>21</v>
      </c>
      <c r="AB55" s="20"/>
      <c r="AC55" s="73"/>
      <c r="AD55" s="74"/>
      <c r="AE55" s="74"/>
      <c r="AF55" s="74"/>
      <c r="AG55" s="74"/>
      <c r="AH55" s="72"/>
      <c r="AI55" s="44"/>
      <c r="AJ55" s="44"/>
      <c r="AK55" s="44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</row>
    <row r="56" customFormat="false" ht="45" hidden="false" customHeight="true" outlineLevel="0" collapsed="false">
      <c r="A56" s="11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20" t="str">
        <f aca="false">AA41</f>
        <v>6:30 à 7:00</v>
      </c>
      <c r="AB56" s="20"/>
      <c r="AC56" s="76"/>
      <c r="AD56" s="77" t="n">
        <f aca="false">IF(AD41=0,0,AD41/AC41)</f>
        <v>0.5</v>
      </c>
      <c r="AE56" s="77" t="n">
        <f aca="false">IF(AE41=0,0,AE41/AC41)</f>
        <v>0.5</v>
      </c>
      <c r="AF56" s="77" t="n">
        <f aca="false">IF(AF41=0,0,AF41/AD41)</f>
        <v>0.5</v>
      </c>
      <c r="AG56" s="77" t="n">
        <f aca="false">IF(AG41=0,0,AG41/AC41)</f>
        <v>0</v>
      </c>
      <c r="AH56" s="72"/>
      <c r="AI56" s="44"/>
      <c r="AJ56" s="44"/>
      <c r="AK56" s="10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</row>
    <row r="57" customFormat="false" ht="45" hidden="false" customHeight="true" outlineLevel="0" collapsed="false">
      <c r="A57" s="11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20" t="str">
        <f aca="false">AA42</f>
        <v>7:00 à 7:30</v>
      </c>
      <c r="AB57" s="20"/>
      <c r="AC57" s="76"/>
      <c r="AD57" s="77" t="n">
        <f aca="false">IF(AD43=0,0,AD43/AC43)</f>
        <v>0.583333333333333</v>
      </c>
      <c r="AE57" s="77" t="n">
        <f aca="false">IF(AE43=0,0,AE43/AC43)</f>
        <v>0.166666666666667</v>
      </c>
      <c r="AF57" s="77" t="n">
        <f aca="false">IF(AF43=0,0,AF43/AD43)</f>
        <v>0.285714285714286</v>
      </c>
      <c r="AG57" s="77" t="n">
        <f aca="false">IF(AG43=0,0,AG43/AC43)</f>
        <v>0</v>
      </c>
      <c r="AH57" s="72"/>
      <c r="AI57" s="103"/>
      <c r="AJ57" s="102"/>
      <c r="AK57" s="10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</row>
    <row r="58" customFormat="false" ht="45" hidden="false" customHeight="true" outlineLevel="0" collapsed="false">
      <c r="A58" s="11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20" t="str">
        <f aca="false">AA43</f>
        <v>7:30 à 8:00</v>
      </c>
      <c r="AB58" s="20"/>
      <c r="AC58" s="76"/>
      <c r="AD58" s="77" t="n">
        <f aca="false">IF(AD43=0,0,AD43/AC43)</f>
        <v>0.583333333333333</v>
      </c>
      <c r="AE58" s="77" t="n">
        <f aca="false">IF(AE43=0,0,AE43/AC43)</f>
        <v>0.166666666666667</v>
      </c>
      <c r="AF58" s="77" t="n">
        <f aca="false">IF(AF43=0,0,AF43/AD43)</f>
        <v>0.285714285714286</v>
      </c>
      <c r="AG58" s="77" t="n">
        <f aca="false">IF(AG43=0,0,AG43/AC43)</f>
        <v>0</v>
      </c>
      <c r="AH58" s="72"/>
      <c r="AI58" s="103"/>
      <c r="AJ58" s="102"/>
      <c r="AK58" s="10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</row>
    <row r="59" customFormat="false" ht="45" hidden="false" customHeight="true" outlineLevel="0" collapsed="false">
      <c r="A59" s="11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20" t="str">
        <f aca="false">AA44</f>
        <v>8:00 à 8:30</v>
      </c>
      <c r="AB59" s="20"/>
      <c r="AC59" s="76"/>
      <c r="AD59" s="77" t="n">
        <f aca="false">IF(AD44=0,0,AD44/AC44)</f>
        <v>0.454545454545455</v>
      </c>
      <c r="AE59" s="77" t="n">
        <f aca="false">IF(AE44=0,0,AE44/AC44)</f>
        <v>0.181818181818182</v>
      </c>
      <c r="AF59" s="77" t="n">
        <f aca="false">IF(AF44=0,0,AF44/AD44)</f>
        <v>0.4</v>
      </c>
      <c r="AG59" s="77" t="n">
        <f aca="false">IF(AG44=0,0,AG44/AC44)</f>
        <v>0</v>
      </c>
      <c r="AH59" s="72"/>
      <c r="AI59" s="103"/>
      <c r="AJ59" s="102"/>
      <c r="AK59" s="10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</row>
    <row r="60" customFormat="false" ht="45" hidden="false" customHeight="true" outlineLevel="0" collapsed="false"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20" t="str">
        <f aca="false">AA45</f>
        <v>8:30 à 9:00</v>
      </c>
      <c r="AB60" s="20"/>
      <c r="AC60" s="76"/>
      <c r="AD60" s="77" t="n">
        <f aca="false">IF(AD45=0,0,AD45/AC45)</f>
        <v>0.307692307692308</v>
      </c>
      <c r="AE60" s="77" t="n">
        <f aca="false">IF(AE45=0,0,AE45/AC45)</f>
        <v>0.307692307692308</v>
      </c>
      <c r="AF60" s="77" t="n">
        <f aca="false">IF(AF45=0,0,AF45/AD45)</f>
        <v>0.25</v>
      </c>
      <c r="AG60" s="77" t="n">
        <f aca="false">IF(AG45=0,0,AG45/AC45)</f>
        <v>0</v>
      </c>
      <c r="AH60" s="72"/>
      <c r="AI60" s="103"/>
      <c r="AJ60" s="102"/>
      <c r="AK60" s="10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</row>
    <row r="61" customFormat="false" ht="45" hidden="false" customHeight="true" outlineLevel="0" collapsed="false"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8" t="s">
        <v>29</v>
      </c>
      <c r="AB61" s="78"/>
      <c r="AC61" s="79"/>
      <c r="AD61" s="77" t="n">
        <f aca="false">IF(AD46=0,0,AD46/AC46)</f>
        <v>0.456521739130435</v>
      </c>
      <c r="AE61" s="77" t="n">
        <f aca="false">IF(AE46=0,0,AE46/AC46)</f>
        <v>0.260869565217391</v>
      </c>
      <c r="AF61" s="77" t="n">
        <f aca="false">IF(AF46=0,0,AF46/AD46)</f>
        <v>0.333333333333333</v>
      </c>
      <c r="AG61" s="77" t="n">
        <f aca="false">IF(AG46=0,0,AG46/AC46)</f>
        <v>0</v>
      </c>
      <c r="AH61" s="72"/>
      <c r="AI61" s="103"/>
      <c r="AJ61" s="102"/>
      <c r="AK61" s="10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</row>
    <row r="62" customFormat="false" ht="23.25" hidden="false" customHeight="false" outlineLevel="0" collapsed="false"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20" t="str">
        <f aca="false">AA50</f>
        <v>8:30 à 9:00</v>
      </c>
      <c r="AB62" s="20"/>
      <c r="AC62" s="43"/>
      <c r="AD62" s="80" t="n">
        <f aca="false">AD50/$AC$44</f>
        <v>0.363636363636364</v>
      </c>
      <c r="AE62" s="80" t="n">
        <f aca="false">AE50/$AC$44</f>
        <v>0.363636363636364</v>
      </c>
      <c r="AF62" s="80" t="n">
        <f aca="false">AF50/$AC$44</f>
        <v>0.0909090909090909</v>
      </c>
      <c r="AG62" s="80" t="n">
        <f aca="false">AG50/$AC$44</f>
        <v>0</v>
      </c>
      <c r="AH62" s="72"/>
      <c r="AI62" s="103"/>
      <c r="AJ62" s="102"/>
      <c r="AK62" s="10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</row>
    <row r="63" customFormat="false" ht="23.25" hidden="false" customHeight="false" outlineLevel="0" collapsed="false"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103"/>
      <c r="AJ63" s="10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</row>
    <row r="64" customFormat="false" ht="20.25" hidden="false" customHeight="false" outlineLevel="0" collapsed="false"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</row>
    <row r="65" customFormat="false" ht="20.25" hidden="false" customHeight="false" outlineLevel="0" collapsed="false"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</row>
    <row r="66" customFormat="false" ht="20.25" hidden="false" customHeight="false" outlineLevel="0" collapsed="false"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customFormat="false" ht="20.25" hidden="false" customHeight="false" outlineLevel="0" collapsed="false"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</sheetData>
  <mergeCells count="84">
    <mergeCell ref="C9:R9"/>
    <mergeCell ref="S9:AD9"/>
    <mergeCell ref="AE9:AP9"/>
    <mergeCell ref="C10:F10"/>
    <mergeCell ref="G10:J10"/>
    <mergeCell ref="K10:N10"/>
    <mergeCell ref="O10:R10"/>
    <mergeCell ref="S10:V10"/>
    <mergeCell ref="W10:Z10"/>
    <mergeCell ref="AA10:AD10"/>
    <mergeCell ref="AE10:AI10"/>
    <mergeCell ref="AJ10:AL10"/>
    <mergeCell ref="AM10:AP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B12"/>
    <mergeCell ref="C21:N21"/>
    <mergeCell ref="O21:AD21"/>
    <mergeCell ref="C22:F22"/>
    <mergeCell ref="G22:J22"/>
    <mergeCell ref="K22:N22"/>
    <mergeCell ref="O22:R22"/>
    <mergeCell ref="S22:V22"/>
    <mergeCell ref="W22:Z22"/>
    <mergeCell ref="AA22:AD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B24"/>
    <mergeCell ref="AC37:AC40"/>
    <mergeCell ref="AD37:AD40"/>
    <mergeCell ref="AE37:AE40"/>
    <mergeCell ref="AF37:AF40"/>
    <mergeCell ref="C39:D39"/>
    <mergeCell ref="E39:F39"/>
    <mergeCell ref="A40:B40"/>
    <mergeCell ref="AA40:AB40"/>
    <mergeCell ref="A41:B41"/>
    <mergeCell ref="AA41:AB41"/>
    <mergeCell ref="A42:B42"/>
    <mergeCell ref="AA42:AB42"/>
    <mergeCell ref="A43:B43"/>
    <mergeCell ref="AA43:AB43"/>
    <mergeCell ref="A44:B44"/>
    <mergeCell ref="AA44:AB44"/>
    <mergeCell ref="A45:B45"/>
    <mergeCell ref="AA45:AB45"/>
    <mergeCell ref="A46:B46"/>
    <mergeCell ref="AA46:AB46"/>
    <mergeCell ref="AA49:AB49"/>
    <mergeCell ref="AA50:AB50"/>
    <mergeCell ref="AC52:AC55"/>
    <mergeCell ref="AD52:AD55"/>
    <mergeCell ref="AA55:AB55"/>
    <mergeCell ref="AA56:AB56"/>
    <mergeCell ref="AA57:AB57"/>
    <mergeCell ref="AA58:AB58"/>
    <mergeCell ref="AA59:AB59"/>
    <mergeCell ref="AA60:AB60"/>
    <mergeCell ref="AA61:AB61"/>
    <mergeCell ref="AA62:AB62"/>
  </mergeCells>
  <printOptions headings="false" gridLines="false" gridLinesSet="true" horizontalCentered="false" verticalCentered="false"/>
  <pageMargins left="0.196527777777778" right="0.196527777777778" top="0.629861111111111" bottom="0.629861111111111" header="0.511805555555555" footer="0.511805555555555"/>
  <pageSetup paperSize="9" scale="100" fitToWidth="1" fitToHeight="0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colBreaks count="1" manualBreakCount="1">
    <brk id="7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K4" activeCellId="0" sqref="K4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8.74"/>
    <col collapsed="false" customWidth="true" hidden="false" outlineLevel="0" max="30" min="3" style="1" width="6.13"/>
    <col collapsed="false" customWidth="true" hidden="false" outlineLevel="0" max="31" min="31" style="1" width="8.88"/>
    <col collapsed="false" customWidth="true" hidden="false" outlineLevel="0" max="32" min="32" style="1" width="14.37"/>
    <col collapsed="false" customWidth="true" hidden="false" outlineLevel="0" max="37" min="33" style="1" width="21.38"/>
    <col collapsed="false" customWidth="true" hidden="false" outlineLevel="0" max="41" min="38" style="1" width="15.62"/>
    <col collapsed="false" customWidth="false" hidden="false" outlineLevel="0" max="1003" min="42" style="1" width="11.25"/>
    <col collapsed="false" customWidth="true" hidden="false" outlineLevel="0" max="1004" min="1004" style="1" width="11.13"/>
    <col collapsed="false" customWidth="true" hidden="false" outlineLevel="0" max="1024" min="1005" style="0" width="10.5"/>
  </cols>
  <sheetData>
    <row r="1" customFormat="false" ht="52.5" hidden="false" customHeight="true" outlineLevel="0" collapsed="false">
      <c r="A1" s="112"/>
      <c r="B1" s="114" t="s">
        <v>68</v>
      </c>
      <c r="C1" s="72"/>
      <c r="D1" s="72"/>
      <c r="E1" s="72"/>
      <c r="G1" s="72"/>
      <c r="H1" s="72"/>
      <c r="I1" s="72"/>
      <c r="J1" s="72"/>
      <c r="O1" s="115" t="s">
        <v>2</v>
      </c>
      <c r="P1" s="116"/>
      <c r="Q1" s="116"/>
      <c r="R1" s="72"/>
      <c r="S1" s="117" t="s">
        <v>69</v>
      </c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</row>
    <row r="2" customFormat="false" ht="52.5" hidden="false" customHeight="true" outlineLevel="0" collapsed="false">
      <c r="A2" s="112" t="s">
        <v>4</v>
      </c>
      <c r="B2" s="72"/>
      <c r="C2" s="72"/>
      <c r="D2" s="72"/>
      <c r="E2" s="72"/>
      <c r="G2" s="72"/>
      <c r="H2" s="72"/>
      <c r="I2" s="72"/>
      <c r="J2" s="72"/>
      <c r="K2" s="72"/>
      <c r="L2" s="72"/>
      <c r="M2" s="72" t="s">
        <v>70</v>
      </c>
      <c r="N2" s="72"/>
      <c r="O2" s="72"/>
      <c r="P2" s="72"/>
      <c r="Q2" s="72"/>
      <c r="R2" s="72"/>
      <c r="S2" s="81" t="s">
        <v>49</v>
      </c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 customFormat="false" ht="52.5" hidden="false" customHeight="true" outlineLevel="0" collapsed="false">
      <c r="A3" s="112" t="s">
        <v>6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9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customFormat="false" ht="52.5" hidden="false" customHeight="true" outlineLevel="0" collapsed="false">
      <c r="A4" s="112" t="s">
        <v>7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</row>
    <row r="5" customFormat="false" ht="25.5" hidden="false" customHeight="true" outlineLevel="0" collapsed="false">
      <c r="A5" s="118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AA5" s="72"/>
      <c r="AB5" s="72"/>
      <c r="AC5" s="72"/>
    </row>
    <row r="6" customFormat="false" ht="35.1" hidden="false" customHeight="true" outlineLevel="0" collapsed="false">
      <c r="A6" s="3" t="s">
        <v>8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AA6" s="72"/>
      <c r="AB6" s="72"/>
      <c r="AC6" s="72"/>
    </row>
    <row r="7" customFormat="false" ht="35.1" hidden="false" customHeight="true" outlineLevel="0" collapsed="false">
      <c r="A7" s="3" t="s">
        <v>9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AA7" s="72"/>
      <c r="AB7" s="72"/>
      <c r="AC7" s="72"/>
    </row>
    <row r="8" customFormat="false" ht="35.1" hidden="false" customHeight="true" outlineLevel="0" collapsed="false">
      <c r="A8" s="3" t="s">
        <v>10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AA8" s="72"/>
      <c r="AB8" s="72"/>
      <c r="AC8" s="72"/>
    </row>
    <row r="9" customFormat="false" ht="25.5" hidden="false" customHeight="true" outlineLevel="0" collapsed="false">
      <c r="A9" s="118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AA9" s="72"/>
      <c r="AB9" s="72"/>
      <c r="AC9" s="72"/>
    </row>
    <row r="10" customFormat="false" ht="32.25" hidden="false" customHeight="true" outlineLevel="0" collapsed="false">
      <c r="A10" s="3"/>
      <c r="B10" s="5"/>
      <c r="C10" s="16" t="s">
        <v>71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 t="s">
        <v>72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19" t="s">
        <v>73</v>
      </c>
      <c r="AB10" s="119"/>
      <c r="AC10" s="119"/>
      <c r="AD10" s="119"/>
    </row>
    <row r="11" customFormat="false" ht="51.2" hidden="false" customHeight="true" outlineLevel="0" collapsed="false">
      <c r="A11" s="3"/>
      <c r="B11" s="5"/>
      <c r="C11" s="17" t="s">
        <v>74</v>
      </c>
      <c r="D11" s="17"/>
      <c r="E11" s="17"/>
      <c r="F11" s="17"/>
      <c r="G11" s="17" t="s">
        <v>75</v>
      </c>
      <c r="H11" s="17"/>
      <c r="I11" s="17"/>
      <c r="J11" s="17"/>
      <c r="K11" s="17" t="s">
        <v>76</v>
      </c>
      <c r="L11" s="17"/>
      <c r="M11" s="17"/>
      <c r="N11" s="17"/>
      <c r="O11" s="17" t="s">
        <v>75</v>
      </c>
      <c r="P11" s="17"/>
      <c r="Q11" s="17"/>
      <c r="R11" s="17"/>
      <c r="S11" s="17" t="s">
        <v>76</v>
      </c>
      <c r="T11" s="17"/>
      <c r="U11" s="17"/>
      <c r="V11" s="17"/>
      <c r="W11" s="17" t="s">
        <v>77</v>
      </c>
      <c r="X11" s="17"/>
      <c r="Y11" s="17"/>
      <c r="Z11" s="17"/>
      <c r="AA11" s="17" t="s">
        <v>78</v>
      </c>
      <c r="AB11" s="17"/>
      <c r="AC11" s="17"/>
      <c r="AD11" s="17"/>
    </row>
    <row r="12" customFormat="false" ht="18.6" hidden="false" customHeight="true" outlineLevel="0" collapsed="false">
      <c r="A12" s="3"/>
      <c r="B12" s="5"/>
      <c r="C12" s="18" t="s">
        <v>18</v>
      </c>
      <c r="D12" s="18"/>
      <c r="E12" s="18" t="s">
        <v>19</v>
      </c>
      <c r="F12" s="18"/>
      <c r="G12" s="18" t="s">
        <v>18</v>
      </c>
      <c r="H12" s="18"/>
      <c r="I12" s="18" t="s">
        <v>19</v>
      </c>
      <c r="J12" s="18"/>
      <c r="K12" s="18" t="s">
        <v>18</v>
      </c>
      <c r="L12" s="18"/>
      <c r="M12" s="18" t="s">
        <v>19</v>
      </c>
      <c r="N12" s="18"/>
      <c r="O12" s="18" t="s">
        <v>18</v>
      </c>
      <c r="P12" s="18"/>
      <c r="Q12" s="18" t="s">
        <v>19</v>
      </c>
      <c r="R12" s="18"/>
      <c r="S12" s="18" t="s">
        <v>18</v>
      </c>
      <c r="T12" s="18"/>
      <c r="U12" s="18" t="s">
        <v>19</v>
      </c>
      <c r="V12" s="18"/>
      <c r="W12" s="18" t="s">
        <v>18</v>
      </c>
      <c r="X12" s="18"/>
      <c r="Y12" s="18" t="s">
        <v>19</v>
      </c>
      <c r="Z12" s="18"/>
      <c r="AA12" s="18" t="s">
        <v>18</v>
      </c>
      <c r="AB12" s="18"/>
      <c r="AC12" s="18" t="s">
        <v>19</v>
      </c>
      <c r="AD12" s="18"/>
    </row>
    <row r="13" customFormat="false" ht="20.25" hidden="false" customHeight="false" outlineLevel="0" collapsed="false">
      <c r="A13" s="20" t="s">
        <v>21</v>
      </c>
      <c r="B13" s="20"/>
      <c r="C13" s="120" t="s">
        <v>22</v>
      </c>
      <c r="D13" s="120" t="s">
        <v>23</v>
      </c>
      <c r="E13" s="120" t="s">
        <v>22</v>
      </c>
      <c r="F13" s="120" t="s">
        <v>23</v>
      </c>
      <c r="G13" s="120" t="s">
        <v>22</v>
      </c>
      <c r="H13" s="120" t="s">
        <v>23</v>
      </c>
      <c r="I13" s="120" t="s">
        <v>22</v>
      </c>
      <c r="J13" s="120" t="s">
        <v>23</v>
      </c>
      <c r="K13" s="120" t="s">
        <v>22</v>
      </c>
      <c r="L13" s="120" t="s">
        <v>23</v>
      </c>
      <c r="M13" s="120" t="s">
        <v>22</v>
      </c>
      <c r="N13" s="120" t="s">
        <v>23</v>
      </c>
      <c r="O13" s="120" t="s">
        <v>22</v>
      </c>
      <c r="P13" s="120" t="s">
        <v>23</v>
      </c>
      <c r="Q13" s="120" t="s">
        <v>22</v>
      </c>
      <c r="R13" s="120" t="s">
        <v>23</v>
      </c>
      <c r="S13" s="120" t="s">
        <v>22</v>
      </c>
      <c r="T13" s="120" t="s">
        <v>23</v>
      </c>
      <c r="U13" s="120" t="s">
        <v>22</v>
      </c>
      <c r="V13" s="120" t="s">
        <v>23</v>
      </c>
      <c r="W13" s="120" t="s">
        <v>22</v>
      </c>
      <c r="X13" s="120" t="s">
        <v>23</v>
      </c>
      <c r="Y13" s="120" t="s">
        <v>22</v>
      </c>
      <c r="Z13" s="120" t="s">
        <v>23</v>
      </c>
      <c r="AA13" s="120" t="s">
        <v>22</v>
      </c>
      <c r="AB13" s="120" t="s">
        <v>23</v>
      </c>
      <c r="AC13" s="120" t="s">
        <v>22</v>
      </c>
      <c r="AD13" s="120" t="s">
        <v>23</v>
      </c>
    </row>
    <row r="14" customFormat="false" ht="69.95" hidden="false" customHeight="true" outlineLevel="0" collapsed="false">
      <c r="A14" s="23" t="n">
        <v>0.270833333333333</v>
      </c>
      <c r="B14" s="121" t="n">
        <v>0.291666666666667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customFormat="false" ht="69.95" hidden="false" customHeight="true" outlineLevel="0" collapsed="false">
      <c r="A15" s="23" t="n">
        <v>0.291666666666667</v>
      </c>
      <c r="B15" s="121" t="n">
        <v>0.3125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customFormat="false" ht="69.95" hidden="false" customHeight="true" outlineLevel="0" collapsed="false">
      <c r="A16" s="23" t="n">
        <v>0.3125</v>
      </c>
      <c r="B16" s="121" t="n">
        <v>0.333333333333333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customFormat="false" ht="69.95" hidden="false" customHeight="true" outlineLevel="0" collapsed="false">
      <c r="A17" s="23" t="n">
        <v>0.333333333333333</v>
      </c>
      <c r="B17" s="121" t="n">
        <v>0.354166666666667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customFormat="false" ht="69.95" hidden="false" customHeight="true" outlineLevel="0" collapsed="false">
      <c r="A18" s="23" t="s">
        <v>79</v>
      </c>
      <c r="B18" s="121" t="n">
        <v>0.375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customFormat="false" ht="25.5" hidden="false" customHeight="true" outlineLevel="0" collapsed="false">
      <c r="A19" s="118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AA19" s="72"/>
      <c r="AB19" s="72"/>
      <c r="AC19" s="72"/>
    </row>
    <row r="20" customFormat="false" ht="32.25" hidden="true" customHeight="true" outlineLevel="0" collapsed="false">
      <c r="A20" s="3"/>
      <c r="B20" s="5"/>
      <c r="C20" s="16" t="s">
        <v>80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 t="s">
        <v>81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19" t="s">
        <v>82</v>
      </c>
      <c r="AB20" s="119"/>
      <c r="AC20" s="119"/>
      <c r="AD20" s="119"/>
    </row>
    <row r="21" customFormat="false" ht="51.2" hidden="true" customHeight="true" outlineLevel="0" collapsed="false">
      <c r="A21" s="3"/>
      <c r="B21" s="5"/>
      <c r="C21" s="17" t="s">
        <v>76</v>
      </c>
      <c r="D21" s="17"/>
      <c r="E21" s="17"/>
      <c r="F21" s="17"/>
      <c r="G21" s="17" t="s">
        <v>77</v>
      </c>
      <c r="H21" s="17"/>
      <c r="I21" s="17"/>
      <c r="J21" s="17"/>
      <c r="K21" s="17" t="s">
        <v>74</v>
      </c>
      <c r="L21" s="17"/>
      <c r="M21" s="17"/>
      <c r="N21" s="17"/>
      <c r="O21" s="17" t="s">
        <v>77</v>
      </c>
      <c r="P21" s="17"/>
      <c r="Q21" s="17"/>
      <c r="R21" s="17"/>
      <c r="S21" s="17" t="s">
        <v>74</v>
      </c>
      <c r="T21" s="17"/>
      <c r="U21" s="17"/>
      <c r="V21" s="17"/>
      <c r="W21" s="17" t="s">
        <v>75</v>
      </c>
      <c r="X21" s="17"/>
      <c r="Y21" s="17"/>
      <c r="Z21" s="17"/>
      <c r="AA21" s="17" t="s">
        <v>78</v>
      </c>
      <c r="AB21" s="17"/>
      <c r="AC21" s="17"/>
      <c r="AD21" s="17"/>
    </row>
    <row r="22" customFormat="false" ht="18.6" hidden="true" customHeight="true" outlineLevel="0" collapsed="false">
      <c r="A22" s="3"/>
      <c r="B22" s="5"/>
      <c r="C22" s="18" t="s">
        <v>18</v>
      </c>
      <c r="D22" s="18"/>
      <c r="E22" s="18" t="s">
        <v>19</v>
      </c>
      <c r="F22" s="18"/>
      <c r="G22" s="18" t="s">
        <v>18</v>
      </c>
      <c r="H22" s="18"/>
      <c r="I22" s="18" t="s">
        <v>19</v>
      </c>
      <c r="J22" s="18"/>
      <c r="K22" s="18" t="s">
        <v>18</v>
      </c>
      <c r="L22" s="18"/>
      <c r="M22" s="18" t="s">
        <v>19</v>
      </c>
      <c r="N22" s="18"/>
      <c r="O22" s="18" t="s">
        <v>18</v>
      </c>
      <c r="P22" s="18"/>
      <c r="Q22" s="18" t="s">
        <v>19</v>
      </c>
      <c r="R22" s="18"/>
      <c r="S22" s="18" t="s">
        <v>18</v>
      </c>
      <c r="T22" s="18"/>
      <c r="U22" s="18" t="s">
        <v>19</v>
      </c>
      <c r="V22" s="18"/>
      <c r="W22" s="18" t="s">
        <v>18</v>
      </c>
      <c r="X22" s="18"/>
      <c r="Y22" s="18" t="s">
        <v>19</v>
      </c>
      <c r="Z22" s="18"/>
      <c r="AA22" s="18" t="s">
        <v>18</v>
      </c>
      <c r="AB22" s="18"/>
      <c r="AC22" s="18" t="s">
        <v>19</v>
      </c>
      <c r="AD22" s="18"/>
    </row>
    <row r="23" customFormat="false" ht="20.25" hidden="true" customHeight="false" outlineLevel="0" collapsed="false">
      <c r="A23" s="20" t="s">
        <v>21</v>
      </c>
      <c r="B23" s="20"/>
      <c r="C23" s="120" t="s">
        <v>22</v>
      </c>
      <c r="D23" s="120" t="s">
        <v>23</v>
      </c>
      <c r="E23" s="120" t="s">
        <v>22</v>
      </c>
      <c r="F23" s="120" t="s">
        <v>23</v>
      </c>
      <c r="G23" s="120" t="s">
        <v>22</v>
      </c>
      <c r="H23" s="120" t="s">
        <v>23</v>
      </c>
      <c r="I23" s="120" t="s">
        <v>22</v>
      </c>
      <c r="J23" s="120" t="s">
        <v>23</v>
      </c>
      <c r="K23" s="120" t="s">
        <v>22</v>
      </c>
      <c r="L23" s="120" t="s">
        <v>23</v>
      </c>
      <c r="M23" s="120" t="s">
        <v>22</v>
      </c>
      <c r="N23" s="120" t="s">
        <v>23</v>
      </c>
      <c r="O23" s="120" t="s">
        <v>22</v>
      </c>
      <c r="P23" s="120" t="s">
        <v>23</v>
      </c>
      <c r="Q23" s="120" t="s">
        <v>22</v>
      </c>
      <c r="R23" s="120" t="s">
        <v>23</v>
      </c>
      <c r="S23" s="120" t="s">
        <v>22</v>
      </c>
      <c r="T23" s="120" t="s">
        <v>23</v>
      </c>
      <c r="U23" s="120" t="s">
        <v>22</v>
      </c>
      <c r="V23" s="120" t="s">
        <v>23</v>
      </c>
      <c r="W23" s="120" t="s">
        <v>22</v>
      </c>
      <c r="X23" s="120" t="s">
        <v>23</v>
      </c>
      <c r="Y23" s="120" t="s">
        <v>22</v>
      </c>
      <c r="Z23" s="120" t="s">
        <v>23</v>
      </c>
      <c r="AA23" s="120" t="s">
        <v>22</v>
      </c>
      <c r="AB23" s="120" t="s">
        <v>23</v>
      </c>
      <c r="AC23" s="120" t="s">
        <v>22</v>
      </c>
      <c r="AD23" s="120" t="s">
        <v>23</v>
      </c>
    </row>
    <row r="24" customFormat="false" ht="69.95" hidden="true" customHeight="true" outlineLevel="0" collapsed="false">
      <c r="A24" s="23" t="n">
        <v>0.270833333333333</v>
      </c>
      <c r="B24" s="121" t="n">
        <v>0.291666666666667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customFormat="false" ht="69.95" hidden="true" customHeight="true" outlineLevel="0" collapsed="false">
      <c r="A25" s="23" t="n">
        <v>0.291666666666667</v>
      </c>
      <c r="B25" s="121" t="n">
        <v>0.3125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customFormat="false" ht="69.95" hidden="true" customHeight="true" outlineLevel="0" collapsed="false">
      <c r="A26" s="23" t="n">
        <v>0.3125</v>
      </c>
      <c r="B26" s="121" t="n">
        <v>0.333333333333333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customFormat="false" ht="69.95" hidden="true" customHeight="true" outlineLevel="0" collapsed="false">
      <c r="A27" s="23" t="n">
        <v>0.333333333333333</v>
      </c>
      <c r="B27" s="121" t="n">
        <v>0.354166666666667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customFormat="false" ht="69.95" hidden="true" customHeight="true" outlineLevel="0" collapsed="false">
      <c r="A28" s="23" t="s">
        <v>79</v>
      </c>
      <c r="B28" s="121" t="n">
        <v>0.375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customFormat="false" ht="18" hidden="true" customHeight="true" outlineLevel="0" collapsed="false">
      <c r="A29" s="122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M29" s="33"/>
      <c r="AN29" s="33"/>
      <c r="AO29" s="33"/>
    </row>
    <row r="30" s="31" customFormat="true" ht="39.75" hidden="true" customHeight="true" outlineLevel="0" collapsed="false">
      <c r="A30" s="27"/>
      <c r="B30" s="28" t="s">
        <v>25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7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="31" customFormat="true" ht="39.75" hidden="true" customHeight="true" outlineLevel="0" collapsed="false">
      <c r="A31" s="27"/>
      <c r="B31" s="28" t="s">
        <v>26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7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="31" customFormat="true" ht="39.75" hidden="true" customHeight="true" outlineLevel="0" collapsed="false">
      <c r="A32" s="27"/>
      <c r="B32" s="28" t="s">
        <v>27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7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="31" customFormat="true" ht="39.75" hidden="true" customHeight="true" outlineLevel="0" collapsed="false">
      <c r="A33" s="27"/>
      <c r="B33" s="28" t="s">
        <v>28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7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="2" customFormat="true" ht="25.5" hidden="false" customHeight="true" outlineLevel="0" collapsed="false">
      <c r="A34" s="12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A34" s="5"/>
      <c r="AB34" s="5"/>
      <c r="AC34" s="5"/>
      <c r="AG34" s="124" t="s">
        <v>83</v>
      </c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</row>
    <row r="35" customFormat="false" ht="32.25" hidden="false" customHeight="true" outlineLevel="0" collapsed="false">
      <c r="A35" s="1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4"/>
      <c r="AF35" s="15"/>
      <c r="AG35" s="73" t="s">
        <v>29</v>
      </c>
      <c r="AH35" s="44" t="s">
        <v>30</v>
      </c>
      <c r="AI35" s="40" t="s">
        <v>31</v>
      </c>
      <c r="AJ35" s="40" t="s">
        <v>32</v>
      </c>
      <c r="AK35" s="41" t="s">
        <v>84</v>
      </c>
      <c r="AL35" s="72"/>
      <c r="AM35" s="72"/>
      <c r="AN35" s="72"/>
      <c r="AO35" s="72"/>
    </row>
    <row r="36" customFormat="false" ht="46.7" hidden="false" customHeight="true" outlineLevel="0" collapsed="false">
      <c r="A36" s="1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4"/>
      <c r="AF36" s="15"/>
      <c r="AG36" s="73"/>
      <c r="AH36" s="44"/>
      <c r="AI36" s="40"/>
      <c r="AJ36" s="40"/>
      <c r="AK36" s="41"/>
      <c r="AL36" s="72"/>
      <c r="AM36" s="72"/>
      <c r="AN36" s="72"/>
      <c r="AO36" s="72"/>
    </row>
    <row r="37" customFormat="false" ht="18.6" hidden="false" customHeight="true" outlineLevel="0" collapsed="false">
      <c r="A37" s="14"/>
      <c r="B37" s="15"/>
      <c r="C37" s="18" t="s">
        <v>18</v>
      </c>
      <c r="D37" s="18"/>
      <c r="E37" s="18" t="s">
        <v>19</v>
      </c>
      <c r="F37" s="1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75"/>
      <c r="AF37" s="15"/>
      <c r="AG37" s="73"/>
      <c r="AH37" s="44"/>
      <c r="AI37" s="40"/>
      <c r="AJ37" s="40"/>
      <c r="AK37" s="41"/>
      <c r="AL37" s="72"/>
      <c r="AM37" s="72"/>
      <c r="AN37" s="72"/>
      <c r="AO37" s="72"/>
    </row>
    <row r="38" customFormat="false" ht="60.75" hidden="false" customHeight="false" outlineLevel="0" collapsed="false">
      <c r="A38" s="20" t="s">
        <v>21</v>
      </c>
      <c r="B38" s="20"/>
      <c r="C38" s="21" t="s">
        <v>22</v>
      </c>
      <c r="D38" s="21" t="s">
        <v>23</v>
      </c>
      <c r="E38" s="21" t="s">
        <v>22</v>
      </c>
      <c r="F38" s="21" t="s">
        <v>23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20" t="s">
        <v>21</v>
      </c>
      <c r="AF38" s="20"/>
      <c r="AG38" s="73"/>
      <c r="AH38" s="44"/>
      <c r="AI38" s="40"/>
      <c r="AJ38" s="40"/>
      <c r="AK38" s="41"/>
      <c r="AL38" s="44" t="s">
        <v>34</v>
      </c>
      <c r="AM38" s="44" t="s">
        <v>35</v>
      </c>
      <c r="AN38" s="44" t="s">
        <v>36</v>
      </c>
      <c r="AO38" s="44" t="s">
        <v>37</v>
      </c>
    </row>
    <row r="39" customFormat="false" ht="54.95" hidden="false" customHeight="true" outlineLevel="0" collapsed="false">
      <c r="A39" s="20" t="s">
        <v>38</v>
      </c>
      <c r="B39" s="20"/>
      <c r="C39" s="25" t="n">
        <f aca="false">C14+G14+K14+O14+S14+AA14+C24+G24+K24+O24+S24+AA24+W14+W24</f>
        <v>0</v>
      </c>
      <c r="D39" s="25" t="n">
        <f aca="false">D14+H14+L14+P14+T14+AB14+D24+H24+L24+P24+T24+AB24+X24+X14</f>
        <v>0</v>
      </c>
      <c r="E39" s="25" t="n">
        <f aca="false">E14+I14+M14+Q14+U14+AC14+E24+I24+M24+Q24+U24+AC24+Y24+Y14</f>
        <v>0</v>
      </c>
      <c r="F39" s="25" t="n">
        <f aca="false">F14+J14+N14+R14+V14+AD14+F24+J24+N24+R24+V24+AD24+Z24+Z14</f>
        <v>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20" t="str">
        <f aca="false">A39</f>
        <v>6:30 à 7:00</v>
      </c>
      <c r="AF39" s="20"/>
      <c r="AG39" s="79" t="n">
        <f aca="false">SUM(C39:AD39)</f>
        <v>0</v>
      </c>
      <c r="AH39" s="46" t="n">
        <f aca="false">C39+E39</f>
        <v>0</v>
      </c>
      <c r="AI39" s="46" t="n">
        <f aca="false">E39+F39</f>
        <v>0</v>
      </c>
      <c r="AJ39" s="46" t="n">
        <f aca="false">E39</f>
        <v>0</v>
      </c>
      <c r="AK39" s="46"/>
      <c r="AL39" s="72"/>
      <c r="AM39" s="101"/>
      <c r="AN39" s="102"/>
      <c r="AO39" s="102"/>
    </row>
    <row r="40" customFormat="false" ht="54.95" hidden="false" customHeight="true" outlineLevel="0" collapsed="false">
      <c r="A40" s="20" t="s">
        <v>39</v>
      </c>
      <c r="B40" s="20"/>
      <c r="C40" s="25" t="n">
        <f aca="false">C15+G15+K15+O15+S15+AA15+C25+G25+K25+O25+S25+AA25+W15+W25</f>
        <v>0</v>
      </c>
      <c r="D40" s="25" t="n">
        <f aca="false">D15+H15+L15+P15+T15+AB15+D25+H25+L25+P25+T25+AB25+X25+X15</f>
        <v>0</v>
      </c>
      <c r="E40" s="25" t="n">
        <f aca="false">E15+I15+M15+Q15+U15+AC15+E25+I25+M25+Q25+U25+AC25+Y25+Y15</f>
        <v>0</v>
      </c>
      <c r="F40" s="25" t="n">
        <f aca="false">F15+J15+N15+R15+V15+AD15+F25+J25+N25+R25+V25+AD25+Z25+Z15</f>
        <v>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20" t="str">
        <f aca="false">A40</f>
        <v>7:00 à 7:30</v>
      </c>
      <c r="AF40" s="20"/>
      <c r="AG40" s="79" t="n">
        <f aca="false">SUM(C40:AD40)</f>
        <v>0</v>
      </c>
      <c r="AH40" s="46" t="n">
        <f aca="false">C40+E40</f>
        <v>0</v>
      </c>
      <c r="AI40" s="46" t="n">
        <f aca="false">E40+F40</f>
        <v>0</v>
      </c>
      <c r="AJ40" s="46" t="n">
        <f aca="false">E40</f>
        <v>0</v>
      </c>
      <c r="AK40" s="46"/>
      <c r="AL40" s="72"/>
      <c r="AM40" s="101"/>
      <c r="AN40" s="102"/>
      <c r="AO40" s="102"/>
    </row>
    <row r="41" customFormat="false" ht="54.95" hidden="false" customHeight="true" outlineLevel="0" collapsed="false">
      <c r="A41" s="20" t="s">
        <v>40</v>
      </c>
      <c r="B41" s="20"/>
      <c r="C41" s="25" t="n">
        <f aca="false">C16+G16+K16+O16+S16+AA16+C26+G26+K26+O26+S26+AA26+W16+W26</f>
        <v>0</v>
      </c>
      <c r="D41" s="25" t="n">
        <f aca="false">D16+H16+L16+P16+T16+AB16+D26+H26+L26+P26+T26+AB26+X26+X16</f>
        <v>0</v>
      </c>
      <c r="E41" s="25" t="n">
        <f aca="false">E16+I16+M16+Q16+U16+AC16+E26+I26+M26+Q26+U26+AC26+Y26+Y16</f>
        <v>0</v>
      </c>
      <c r="F41" s="25" t="n">
        <f aca="false">F16+J16+N16+R16+V16+AD16+F26+J26+N26+R26+V26+AD26+Z26+Z16</f>
        <v>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20" t="str">
        <f aca="false">A41</f>
        <v>7:30 à 8:00</v>
      </c>
      <c r="AF41" s="20"/>
      <c r="AG41" s="79" t="n">
        <f aca="false">SUM(C41:AD41)</f>
        <v>0</v>
      </c>
      <c r="AH41" s="46" t="n">
        <f aca="false">C41+E41</f>
        <v>0</v>
      </c>
      <c r="AI41" s="46" t="n">
        <f aca="false">E41+F41</f>
        <v>0</v>
      </c>
      <c r="AJ41" s="46" t="n">
        <f aca="false">E41</f>
        <v>0</v>
      </c>
      <c r="AK41" s="46"/>
      <c r="AL41" s="72"/>
      <c r="AM41" s="101"/>
      <c r="AN41" s="102"/>
      <c r="AO41" s="102"/>
    </row>
    <row r="42" customFormat="false" ht="54.95" hidden="false" customHeight="true" outlineLevel="0" collapsed="false">
      <c r="A42" s="20" t="s">
        <v>41</v>
      </c>
      <c r="B42" s="20"/>
      <c r="C42" s="25" t="n">
        <f aca="false">C17+G17+K17+O17+S17+AA17+C27+G27+K27+O27+S27+AA27+W17+W27</f>
        <v>0</v>
      </c>
      <c r="D42" s="25" t="n">
        <f aca="false">D17+H17+L17+P17+T17+AB17+D27+H27+L27+P27+T27+AB27+X27+X17</f>
        <v>0</v>
      </c>
      <c r="E42" s="25" t="n">
        <f aca="false">E17+I17+M17+Q17+U17+AC17+E27+I27+M27+Q27+U27+AC27+Y27+Y17</f>
        <v>0</v>
      </c>
      <c r="F42" s="25" t="n">
        <f aca="false">F17+J17+N17+R17+V17+AD17+F27+J27+N27+R27+V27+AD27+Z27+Z17</f>
        <v>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20" t="str">
        <f aca="false">A42</f>
        <v>8:00 à 8:30</v>
      </c>
      <c r="AF42" s="20"/>
      <c r="AG42" s="79" t="n">
        <f aca="false">SUM(C42:AD42)</f>
        <v>0</v>
      </c>
      <c r="AH42" s="46" t="n">
        <f aca="false">C42+E42</f>
        <v>0</v>
      </c>
      <c r="AI42" s="46" t="n">
        <f aca="false">E42+F42</f>
        <v>0</v>
      </c>
      <c r="AJ42" s="46" t="n">
        <f aca="false">E42</f>
        <v>0</v>
      </c>
      <c r="AK42" s="46"/>
      <c r="AL42" s="72"/>
      <c r="AM42" s="103"/>
      <c r="AN42" s="102"/>
      <c r="AO42" s="102"/>
    </row>
    <row r="43" customFormat="false" ht="54.95" hidden="false" customHeight="true" outlineLevel="0" collapsed="false">
      <c r="A43" s="20" t="s">
        <v>85</v>
      </c>
      <c r="B43" s="20"/>
      <c r="C43" s="25" t="n">
        <f aca="false">C18+G18+K18+O18+S18+AA18+C28+G28+K28+O28+S28+AA28+W18+W28</f>
        <v>0</v>
      </c>
      <c r="D43" s="25" t="n">
        <f aca="false">D18+H18+L18+P18+T18+AB18+D28+H28+L28+P28+T28+AB28+X28+X18</f>
        <v>0</v>
      </c>
      <c r="E43" s="25" t="n">
        <f aca="false">E18+I18+M18+Q18+U18+AC18+E28+I28+M28+Q28+U28+AC28+Y28+Y18</f>
        <v>0</v>
      </c>
      <c r="F43" s="25" t="n">
        <f aca="false">F18+J18+N18+R18+V18+AD18+F28+J28+N28+R28+V28+AD28+Z28+Z18</f>
        <v>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20" t="str">
        <f aca="false">A43</f>
        <v>8:30 à 9h</v>
      </c>
      <c r="AF43" s="20"/>
      <c r="AG43" s="79" t="n">
        <f aca="false">SUM(C43:AD43)</f>
        <v>0</v>
      </c>
      <c r="AH43" s="46" t="n">
        <f aca="false">C43+E43</f>
        <v>0</v>
      </c>
      <c r="AI43" s="46" t="n">
        <f aca="false">E43+F43</f>
        <v>0</v>
      </c>
      <c r="AJ43" s="46" t="n">
        <f aca="false">E43</f>
        <v>0</v>
      </c>
      <c r="AK43" s="46"/>
      <c r="AL43" s="72"/>
      <c r="AM43" s="104"/>
      <c r="AN43" s="102"/>
      <c r="AO43" s="102"/>
    </row>
    <row r="44" customFormat="false" ht="54.95" hidden="false" customHeight="true" outlineLevel="0" collapsed="false">
      <c r="A44" s="20" t="s">
        <v>29</v>
      </c>
      <c r="B44" s="20"/>
      <c r="C44" s="105" t="n">
        <v>14</v>
      </c>
      <c r="D44" s="105" t="n">
        <v>39</v>
      </c>
      <c r="E44" s="105" t="n">
        <v>16</v>
      </c>
      <c r="F44" s="105" t="n">
        <v>7</v>
      </c>
      <c r="G44" s="125" t="n">
        <f aca="false">SUM(C44:F44)</f>
        <v>76</v>
      </c>
      <c r="H44" s="8"/>
      <c r="I44" s="126"/>
      <c r="J44" s="126" t="s">
        <v>86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107" t="s">
        <v>29</v>
      </c>
      <c r="AF44" s="107"/>
      <c r="AG44" s="50" t="n">
        <f aca="false">SUM(AG39:AG43)</f>
        <v>0</v>
      </c>
      <c r="AH44" s="50" t="n">
        <f aca="false">SUM(AH39:AH43)</f>
        <v>0</v>
      </c>
      <c r="AI44" s="50" t="n">
        <f aca="false">SUM(AI39:AI43)</f>
        <v>0</v>
      </c>
      <c r="AJ44" s="51" t="n">
        <f aca="false">SUM(AJ39:AJ43)</f>
        <v>0</v>
      </c>
      <c r="AK44" s="51" t="n">
        <f aca="false">SUM(AK39:AK43)</f>
        <v>0</v>
      </c>
      <c r="AL44" s="50" t="n">
        <f aca="false">A33</f>
        <v>0</v>
      </c>
      <c r="AM44" s="51" t="n">
        <f aca="false">A30</f>
        <v>0</v>
      </c>
      <c r="AN44" s="51" t="n">
        <f aca="false">A31</f>
        <v>0</v>
      </c>
      <c r="AO44" s="51" t="n">
        <f aca="false">A32</f>
        <v>0</v>
      </c>
    </row>
    <row r="45" customFormat="false" ht="54.95" hidden="false" customHeight="true" outlineLevel="0" collapsed="false">
      <c r="A45" s="127"/>
      <c r="B45" s="127"/>
      <c r="C45" s="127"/>
      <c r="D45" s="127"/>
      <c r="E45" s="127"/>
      <c r="F45" s="127"/>
      <c r="G45" s="0"/>
      <c r="H45" s="0"/>
      <c r="I45" s="128" t="s">
        <v>87</v>
      </c>
      <c r="J45" s="12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29"/>
      <c r="AA45" s="8"/>
      <c r="AB45" s="8"/>
      <c r="AC45" s="8"/>
      <c r="AD45" s="55"/>
      <c r="AE45" s="0"/>
      <c r="AF45" s="56" t="s">
        <v>39</v>
      </c>
      <c r="AG45" s="58" t="n">
        <v>18</v>
      </c>
      <c r="AH45" s="58"/>
      <c r="AI45" s="58"/>
      <c r="AJ45" s="58"/>
      <c r="AK45" s="56"/>
      <c r="AL45" s="60"/>
      <c r="AM45" s="111"/>
      <c r="AN45" s="60"/>
      <c r="AO45" s="60"/>
    </row>
    <row r="46" customFormat="false" ht="54.95" hidden="false" customHeight="true" outlineLevel="0" collapsed="false">
      <c r="A46" s="127"/>
      <c r="B46" s="127"/>
      <c r="C46" s="127"/>
      <c r="D46" s="127"/>
      <c r="E46" s="127"/>
      <c r="F46" s="127"/>
      <c r="G46" s="0"/>
      <c r="H46" s="0"/>
      <c r="I46" s="126" t="s">
        <v>88</v>
      </c>
      <c r="J46" s="12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29"/>
      <c r="AA46" s="8"/>
      <c r="AB46" s="8"/>
      <c r="AC46" s="8"/>
      <c r="AD46" s="55"/>
      <c r="AE46" s="0"/>
      <c r="AF46" s="63" t="s">
        <v>40</v>
      </c>
      <c r="AG46" s="65" t="n">
        <v>14</v>
      </c>
      <c r="AH46" s="65"/>
      <c r="AI46" s="65"/>
      <c r="AJ46" s="65"/>
      <c r="AK46" s="63"/>
      <c r="AL46" s="60"/>
      <c r="AM46" s="111"/>
      <c r="AN46" s="60"/>
      <c r="AO46" s="60"/>
    </row>
    <row r="47" customFormat="false" ht="54.95" hidden="false" customHeight="true" outlineLevel="0" collapsed="false">
      <c r="A47" s="127"/>
      <c r="B47" s="127"/>
      <c r="C47" s="127"/>
      <c r="D47" s="127"/>
      <c r="E47" s="127"/>
      <c r="F47" s="127"/>
      <c r="G47" s="0"/>
      <c r="H47" s="0"/>
      <c r="I47" s="126" t="s">
        <v>89</v>
      </c>
      <c r="J47" s="12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29"/>
      <c r="AA47" s="8"/>
      <c r="AB47" s="8"/>
      <c r="AC47" s="8"/>
      <c r="AD47" s="55"/>
      <c r="AE47" s="66" t="s">
        <v>44</v>
      </c>
      <c r="AF47" s="66"/>
      <c r="AG47" s="67" t="n">
        <f aca="false">SUM(AG45:AG46)</f>
        <v>32</v>
      </c>
      <c r="AH47" s="68"/>
      <c r="AI47" s="68"/>
      <c r="AJ47" s="68"/>
      <c r="AK47" s="130"/>
      <c r="AL47" s="60"/>
      <c r="AM47" s="111"/>
      <c r="AN47" s="60"/>
      <c r="AO47" s="60"/>
    </row>
    <row r="48" customFormat="false" ht="42.75" hidden="false" customHeight="true" outlineLevel="0" collapsed="false">
      <c r="A48" s="69"/>
      <c r="B48" s="70"/>
      <c r="C48" s="70"/>
      <c r="D48" s="70"/>
      <c r="E48" s="70"/>
      <c r="F48" s="70"/>
      <c r="G48" s="70"/>
      <c r="H48" s="70"/>
      <c r="I48" s="126" t="s">
        <v>90</v>
      </c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9"/>
      <c r="AA48" s="126"/>
      <c r="AB48" s="70"/>
      <c r="AC48" s="70"/>
      <c r="AD48" s="55"/>
      <c r="AE48" s="20" t="str">
        <f aca="false">IF($AG$39=MAX($AG$39:$AG$43),AE39,IF($AG$40=MAX($AG$39:$AG$43),AE40,IF($AG$41=MAX($AG$39:$AG$43),AE41,IF($AG$42=MAX($AG$39:$AG$43),AE42,IF($AG$43=MAX($AG$39:$AG$43),AE43,AE42)))))</f>
        <v>6:30 à 7:00</v>
      </c>
      <c r="AF48" s="20"/>
      <c r="AG48" s="43" t="n">
        <f aca="false">IF($AG$39=MAX($AG$39:$AG$43),AG39,IF($AG$40=MAX($AG$39:$AG$43),AG40,IF($AG$41=MAX($AG$39:$AG$43),AG41,IF($AG$42=MAX($AG$39:$AG$43),AG42,IF($AG$43=MAX($AG$39:$AG$43),AG43,AG42)))))</f>
        <v>0</v>
      </c>
      <c r="AH48" s="43" t="n">
        <f aca="false">IF($AG$39=MAX($AG$39:$AG$43),AH39,IF($AG$40=MAX($AG$39:$AG$43),AH40,IF($AG$41=MAX($AG$39:$AG$43),AH41,IF($AG$42=MAX($AG$39:$AG$43),AH42,IF($AG$43=MAX($AG$39:$AG$43),AH43,AH42)))))</f>
        <v>0</v>
      </c>
      <c r="AI48" s="43" t="n">
        <f aca="false">IF($AG$39=MAX($AG$39:$AG$43),AI39,IF($AG$40=MAX($AG$39:$AG$43),AI40,IF($AG$41=MAX($AG$39:$AG$43),AI41,IF($AG$42=MAX($AG$39:$AG$43),AI42,IF($AG$43=MAX($AG$39:$AG$43),AI43,AI42)))))</f>
        <v>0</v>
      </c>
      <c r="AJ48" s="43" t="n">
        <f aca="false">IF($AG$39=MAX($AG$39:$AG$43),AJ39,IF($AG$40=MAX($AG$39:$AG$43),AJ40,IF($AG$41=MAX($AG$39:$AG$43),AJ41,IF($AG$42=MAX($AG$39:$AG$43),AJ42,IF($AG$43=MAX($AG$39:$AG$43),AJ43,AJ42)))))</f>
        <v>0</v>
      </c>
      <c r="AK48" s="43" t="n">
        <f aca="false">IF($AG$39=MAX($AG$39:$AG$43),AK39,IF($AG$40=MAX($AG$39:$AG$43),AK40,IF($AG$41=MAX($AG$39:$AG$43),AK41,IF($AG$42=MAX($AG$39:$AG$43),AK42,IF($AG$43=MAX($AG$39:$AG$43),AK43,AK42)))))</f>
        <v>0</v>
      </c>
      <c r="AM48" s="103"/>
      <c r="AN48" s="102"/>
      <c r="AO48" s="102"/>
    </row>
    <row r="49" customFormat="false" ht="20.25" hidden="false" customHeight="true" outlineLevel="0" collapsed="false">
      <c r="A49" s="112"/>
      <c r="B49" s="72"/>
      <c r="C49" s="72"/>
      <c r="D49" s="72"/>
      <c r="E49" s="72"/>
      <c r="F49" s="72"/>
      <c r="G49" s="72"/>
      <c r="H49" s="72"/>
      <c r="I49" s="72" t="s">
        <v>91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14"/>
      <c r="AF49" s="15"/>
      <c r="AG49" s="73" t="s">
        <v>29</v>
      </c>
      <c r="AH49" s="74" t="s">
        <v>45</v>
      </c>
      <c r="AI49" s="74" t="s">
        <v>46</v>
      </c>
      <c r="AJ49" s="74" t="s">
        <v>47</v>
      </c>
      <c r="AK49" s="74" t="str">
        <f aca="false">AK35</f>
        <v>Cycles sur route de Reignier</v>
      </c>
      <c r="AM49" s="44" t="s">
        <v>67</v>
      </c>
      <c r="AN49" s="44"/>
      <c r="AO49" s="44"/>
    </row>
    <row r="50" customFormat="false" ht="20.25" hidden="false" customHeight="false" outlineLevel="0" collapsed="false">
      <c r="A50" s="11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14"/>
      <c r="AF50" s="15"/>
      <c r="AG50" s="73"/>
      <c r="AH50" s="74"/>
      <c r="AI50" s="74"/>
      <c r="AJ50" s="74"/>
      <c r="AK50" s="74"/>
      <c r="AL50" s="72"/>
      <c r="AM50" s="44"/>
      <c r="AN50" s="44"/>
      <c r="AO50" s="44"/>
    </row>
    <row r="51" customFormat="false" ht="20.25" hidden="false" customHeight="false" outlineLevel="0" collapsed="false">
      <c r="A51" s="11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5"/>
      <c r="AF51" s="15"/>
      <c r="AG51" s="73"/>
      <c r="AH51" s="74"/>
      <c r="AI51" s="74"/>
      <c r="AJ51" s="74"/>
      <c r="AK51" s="74"/>
      <c r="AL51" s="72"/>
      <c r="AM51" s="44"/>
      <c r="AN51" s="44"/>
      <c r="AO51" s="44"/>
    </row>
    <row r="52" customFormat="false" ht="20.25" hidden="false" customHeight="false" outlineLevel="0" collapsed="false">
      <c r="A52" s="11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20" t="s">
        <v>21</v>
      </c>
      <c r="AF52" s="20"/>
      <c r="AG52" s="73"/>
      <c r="AH52" s="74"/>
      <c r="AI52" s="74"/>
      <c r="AJ52" s="74"/>
      <c r="AK52" s="74"/>
      <c r="AL52" s="72"/>
      <c r="AM52" s="44"/>
      <c r="AN52" s="44"/>
      <c r="AO52" s="44"/>
    </row>
    <row r="53" customFormat="false" ht="35.1" hidden="false" customHeight="true" outlineLevel="0" collapsed="false">
      <c r="A53" s="11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20" t="str">
        <f aca="false">AE39</f>
        <v>6:30 à 7:00</v>
      </c>
      <c r="AF53" s="20"/>
      <c r="AG53" s="76"/>
      <c r="AH53" s="77" t="n">
        <f aca="false">IF(AH39=0,0,AH39/AG39)</f>
        <v>0</v>
      </c>
      <c r="AI53" s="77" t="n">
        <f aca="false">IF(AI39=0,0,AI39/AG39)</f>
        <v>0</v>
      </c>
      <c r="AJ53" s="77" t="n">
        <f aca="false">IF(AJ39=0,0,AJ39/AH39)</f>
        <v>0</v>
      </c>
      <c r="AK53" s="77" t="n">
        <f aca="false">IF(AK39=0,0,AK39/AG39)</f>
        <v>0</v>
      </c>
      <c r="AL53" s="72"/>
      <c r="AM53" s="103"/>
      <c r="AN53" s="102"/>
      <c r="AO53" s="102"/>
    </row>
    <row r="54" customFormat="false" ht="35.1" hidden="false" customHeight="true" outlineLevel="0" collapsed="false">
      <c r="A54" s="11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20" t="str">
        <f aca="false">AE40</f>
        <v>7:00 à 7:30</v>
      </c>
      <c r="AF54" s="20"/>
      <c r="AG54" s="76"/>
      <c r="AH54" s="77" t="n">
        <f aca="false">IF(AH41=0,0,AH41/AG41)</f>
        <v>0</v>
      </c>
      <c r="AI54" s="77" t="n">
        <f aca="false">IF(AI41=0,0,AI41/AG41)</f>
        <v>0</v>
      </c>
      <c r="AJ54" s="77" t="n">
        <f aca="false">IF(AJ41=0,0,AJ41/AH41)</f>
        <v>0</v>
      </c>
      <c r="AK54" s="77" t="n">
        <f aca="false">IF(AK41=0,0,AK41/AG41)</f>
        <v>0</v>
      </c>
      <c r="AL54" s="72"/>
      <c r="AM54" s="103"/>
      <c r="AN54" s="102"/>
      <c r="AO54" s="102"/>
    </row>
    <row r="55" customFormat="false" ht="35.1" hidden="false" customHeight="true" outlineLevel="0" collapsed="false">
      <c r="A55" s="11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20" t="str">
        <f aca="false">AE41</f>
        <v>7:30 à 8:00</v>
      </c>
      <c r="AF55" s="20"/>
      <c r="AG55" s="76"/>
      <c r="AH55" s="77" t="n">
        <f aca="false">IF(AH41=0,0,AH41/AG41)</f>
        <v>0</v>
      </c>
      <c r="AI55" s="77" t="n">
        <f aca="false">IF(AI41=0,0,AI41/AG41)</f>
        <v>0</v>
      </c>
      <c r="AJ55" s="77" t="n">
        <f aca="false">IF(AJ41=0,0,AJ41/AH41)</f>
        <v>0</v>
      </c>
      <c r="AK55" s="77" t="n">
        <f aca="false">IF(AK41=0,0,AK41/AG41)</f>
        <v>0</v>
      </c>
      <c r="AL55" s="72"/>
      <c r="AM55" s="103"/>
      <c r="AN55" s="102"/>
      <c r="AO55" s="102"/>
    </row>
    <row r="56" customFormat="false" ht="35.1" hidden="false" customHeight="true" outlineLevel="0" collapsed="false">
      <c r="A56" s="11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20" t="str">
        <f aca="false">AE42</f>
        <v>8:00 à 8:30</v>
      </c>
      <c r="AF56" s="20"/>
      <c r="AG56" s="76"/>
      <c r="AH56" s="77" t="n">
        <f aca="false">IF(AH42=0,0,AH42/AG42)</f>
        <v>0</v>
      </c>
      <c r="AI56" s="77" t="n">
        <f aca="false">IF(AI42=0,0,AI42/AG42)</f>
        <v>0</v>
      </c>
      <c r="AJ56" s="77" t="n">
        <f aca="false">IF(AJ42=0,0,AJ42/AH42)</f>
        <v>0</v>
      </c>
      <c r="AK56" s="77" t="n">
        <f aca="false">IF(AK42=0,0,AK42/AG42)</f>
        <v>0</v>
      </c>
      <c r="AL56" s="72"/>
      <c r="AM56" s="103"/>
      <c r="AN56" s="102"/>
      <c r="AO56" s="102"/>
    </row>
    <row r="57" customFormat="false" ht="35.1" hidden="false" customHeight="true" outlineLevel="0" collapsed="false">
      <c r="F57" s="72"/>
      <c r="K57" s="72"/>
      <c r="L57" s="72"/>
      <c r="M57" s="72"/>
      <c r="N57" s="72"/>
      <c r="O57" s="72"/>
      <c r="P57" s="72"/>
      <c r="Q57" s="72"/>
      <c r="AE57" s="20" t="str">
        <f aca="false">AE43</f>
        <v>8:30 à 9h</v>
      </c>
      <c r="AF57" s="20"/>
      <c r="AG57" s="76"/>
      <c r="AH57" s="77" t="n">
        <f aca="false">IF(AH43=0,0,AH43/AG43)</f>
        <v>0</v>
      </c>
      <c r="AI57" s="77" t="n">
        <f aca="false">IF(AI43=0,0,AI43/AG43)</f>
        <v>0</v>
      </c>
      <c r="AJ57" s="77" t="n">
        <f aca="false">IF(AJ43=0,0,AJ43/AH43)</f>
        <v>0</v>
      </c>
      <c r="AK57" s="77" t="n">
        <f aca="false">IF(AK43=0,0,AK43/AG43)</f>
        <v>0</v>
      </c>
      <c r="AM57" s="103"/>
      <c r="AN57" s="102"/>
      <c r="AO57" s="102"/>
    </row>
    <row r="58" customFormat="false" ht="35.1" hidden="false" customHeight="true" outlineLevel="0" collapsed="false">
      <c r="F58" s="72"/>
      <c r="K58" s="72"/>
      <c r="L58" s="72"/>
      <c r="M58" s="72"/>
      <c r="N58" s="72"/>
      <c r="O58" s="72"/>
      <c r="P58" s="72"/>
      <c r="Q58" s="72"/>
      <c r="AE58" s="78" t="s">
        <v>29</v>
      </c>
      <c r="AF58" s="78"/>
      <c r="AG58" s="79"/>
      <c r="AH58" s="77" t="n">
        <f aca="false">IF(AH44=0,0,AH44/AG44)</f>
        <v>0</v>
      </c>
      <c r="AI58" s="77" t="n">
        <f aca="false">IF(AI44=0,0,AI44/AG44)</f>
        <v>0</v>
      </c>
      <c r="AJ58" s="77" t="n">
        <f aca="false">IF(AJ44=0,0,AJ44/AH44)</f>
        <v>0</v>
      </c>
      <c r="AK58" s="77" t="n">
        <f aca="false">IF(AK44=0,0,AK44/AG44)</f>
        <v>0</v>
      </c>
      <c r="AM58" s="103"/>
      <c r="AN58" s="102"/>
      <c r="AO58" s="102"/>
    </row>
    <row r="59" customFormat="false" ht="35.1" hidden="false" customHeight="true" outlineLevel="0" collapsed="false">
      <c r="AE59" s="20" t="str">
        <f aca="false">AE48</f>
        <v>6:30 à 7:00</v>
      </c>
      <c r="AF59" s="20"/>
      <c r="AG59" s="43"/>
      <c r="AH59" s="80" t="e">
        <f aca="false">AH48/$AG$48</f>
        <v>#DIV/0!</v>
      </c>
      <c r="AI59" s="80" t="e">
        <f aca="false">AI48/$AG$48</f>
        <v>#DIV/0!</v>
      </c>
      <c r="AJ59" s="80" t="e">
        <f aca="false">AJ48/$AG$48</f>
        <v>#DIV/0!</v>
      </c>
      <c r="AK59" s="80" t="e">
        <f aca="false">AK48/$AG$48</f>
        <v>#DIV/0!</v>
      </c>
      <c r="AM59" s="103"/>
      <c r="AN59" s="102"/>
      <c r="AO59" s="102"/>
    </row>
  </sheetData>
  <mergeCells count="87">
    <mergeCell ref="C10:N10"/>
    <mergeCell ref="O10:Z10"/>
    <mergeCell ref="AA10:AD10"/>
    <mergeCell ref="C11:F11"/>
    <mergeCell ref="G11:J11"/>
    <mergeCell ref="K11:N11"/>
    <mergeCell ref="O11:R11"/>
    <mergeCell ref="S11:V11"/>
    <mergeCell ref="W11:Z11"/>
    <mergeCell ref="AA11:AD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B13"/>
    <mergeCell ref="C20:N20"/>
    <mergeCell ref="O20:Z20"/>
    <mergeCell ref="AA20:AD20"/>
    <mergeCell ref="C21:F21"/>
    <mergeCell ref="G21:J21"/>
    <mergeCell ref="K21:N21"/>
    <mergeCell ref="O21:R21"/>
    <mergeCell ref="S21:V21"/>
    <mergeCell ref="W21:Z21"/>
    <mergeCell ref="AA21:AD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B23"/>
    <mergeCell ref="AG35:AG38"/>
    <mergeCell ref="AH35:AH38"/>
    <mergeCell ref="AI35:AI38"/>
    <mergeCell ref="AJ35:AJ38"/>
    <mergeCell ref="AK35:AK38"/>
    <mergeCell ref="C37:D37"/>
    <mergeCell ref="E37:F37"/>
    <mergeCell ref="A38:B38"/>
    <mergeCell ref="AE38:AF38"/>
    <mergeCell ref="A39:B39"/>
    <mergeCell ref="AE39:AF39"/>
    <mergeCell ref="A40:B40"/>
    <mergeCell ref="AE40:AF40"/>
    <mergeCell ref="A41:B41"/>
    <mergeCell ref="AE41:AF41"/>
    <mergeCell ref="A42:B42"/>
    <mergeCell ref="AE42:AF42"/>
    <mergeCell ref="A43:B43"/>
    <mergeCell ref="AE43:AF43"/>
    <mergeCell ref="A44:B44"/>
    <mergeCell ref="AE44:AF44"/>
    <mergeCell ref="AE47:AF47"/>
    <mergeCell ref="AE48:AF48"/>
    <mergeCell ref="AG49:AG52"/>
    <mergeCell ref="AH49:AH52"/>
    <mergeCell ref="AI49:AI52"/>
    <mergeCell ref="AJ49:AJ52"/>
    <mergeCell ref="AK49:AK52"/>
    <mergeCell ref="AM49:AO52"/>
    <mergeCell ref="AE52:AF52"/>
    <mergeCell ref="AE53:AF53"/>
    <mergeCell ref="AE54:AF54"/>
    <mergeCell ref="AE55:AF55"/>
    <mergeCell ref="AE56:AF56"/>
    <mergeCell ref="AE57:AF57"/>
    <mergeCell ref="AE58:AF58"/>
    <mergeCell ref="AE59:AF59"/>
  </mergeCells>
  <printOptions headings="false" gridLines="false" gridLinesSet="true" horizontalCentered="false" verticalCentered="false"/>
  <pageMargins left="0.196527777777778" right="0.196527777777778" top="0.984027777777778" bottom="0.984027777777778" header="0.511805555555555" footer="0.511805555555555"/>
  <pageSetup paperSize="9" scale="100" fitToWidth="0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colBreaks count="1" manualBreakCount="1">
    <brk id="30" man="true" max="65535" min="0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H104857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N21" activeCellId="0" sqref="AN21"/>
    </sheetView>
  </sheetViews>
  <sheetFormatPr defaultColWidth="11.125" defaultRowHeight="14.25" zeroHeight="false" outlineLevelRow="0" outlineLevelCol="0"/>
  <cols>
    <col collapsed="false" customWidth="true" hidden="false" outlineLevel="0" max="2" min="1" style="131" width="11.62"/>
    <col collapsed="false" customWidth="true" hidden="false" outlineLevel="0" max="50" min="3" style="131" width="5.62"/>
    <col collapsed="false" customWidth="true" hidden="false" outlineLevel="0" max="51" min="51" style="131" width="8.74"/>
    <col collapsed="false" customWidth="true" hidden="false" outlineLevel="0" max="52" min="52" style="131" width="14.13"/>
    <col collapsed="false" customWidth="true" hidden="false" outlineLevel="0" max="57" min="53" style="131" width="21"/>
    <col collapsed="false" customWidth="true" hidden="false" outlineLevel="0" max="60" min="58" style="131" width="36.12"/>
    <col collapsed="false" customWidth="true" hidden="false" outlineLevel="0" max="61" min="61" style="131" width="10.75"/>
    <col collapsed="false" customWidth="false" hidden="false" outlineLevel="0" max="1023" min="62" style="131" width="11.13"/>
    <col collapsed="false" customWidth="true" hidden="false" outlineLevel="0" max="1024" min="1024" style="131" width="11"/>
  </cols>
  <sheetData>
    <row r="1" s="138" customFormat="true" ht="52.5" hidden="false" customHeight="true" outlineLevel="0" collapsed="false">
      <c r="A1" s="132"/>
      <c r="B1" s="133" t="s">
        <v>92</v>
      </c>
      <c r="C1" s="134"/>
      <c r="D1" s="134"/>
      <c r="E1" s="134"/>
      <c r="F1" s="135"/>
      <c r="G1" s="134"/>
      <c r="H1" s="134"/>
      <c r="I1" s="134"/>
      <c r="J1" s="134"/>
      <c r="K1" s="135"/>
      <c r="L1" s="135"/>
      <c r="M1" s="135"/>
      <c r="N1" s="135"/>
      <c r="O1" s="136" t="s">
        <v>2</v>
      </c>
      <c r="P1" s="137"/>
      <c r="Q1" s="134"/>
      <c r="R1" s="81" t="s">
        <v>49</v>
      </c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</row>
    <row r="2" s="138" customFormat="true" ht="52.5" hidden="false" customHeight="true" outlineLevel="0" collapsed="false">
      <c r="A2" s="132" t="s">
        <v>4</v>
      </c>
      <c r="B2" s="134"/>
      <c r="C2" s="134"/>
      <c r="D2" s="134"/>
      <c r="E2" s="134"/>
      <c r="F2" s="135"/>
      <c r="G2" s="134"/>
      <c r="H2" s="134"/>
      <c r="I2" s="134"/>
      <c r="J2" s="134"/>
      <c r="K2" s="134"/>
      <c r="L2" s="134"/>
      <c r="M2" s="134" t="s">
        <v>93</v>
      </c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</row>
    <row r="3" s="138" customFormat="true" ht="52.5" hidden="false" customHeight="true" outlineLevel="0" collapsed="false">
      <c r="A3" s="132" t="s">
        <v>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</row>
    <row r="4" s="138" customFormat="true" ht="52.5" hidden="false" customHeight="true" outlineLevel="0" collapsed="false">
      <c r="A4" s="132" t="s">
        <v>7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</row>
    <row r="5" s="138" customFormat="true" ht="25.5" hidden="false" customHeight="true" outlineLevel="0" collapsed="false">
      <c r="A5" s="139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5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</row>
    <row r="6" s="138" customFormat="true" ht="25.5" hidden="false" customHeight="true" outlineLevel="0" collapsed="false">
      <c r="A6" s="140" t="s">
        <v>8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5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5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</row>
    <row r="7" s="138" customFormat="true" ht="25.5" hidden="false" customHeight="true" outlineLevel="0" collapsed="false">
      <c r="A7" s="140" t="s">
        <v>9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5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5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</row>
    <row r="8" s="138" customFormat="true" ht="25.5" hidden="false" customHeight="true" outlineLevel="0" collapsed="false">
      <c r="A8" s="140" t="s">
        <v>10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5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5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</row>
    <row r="9" s="138" customFormat="true" ht="25.5" hidden="false" customHeight="true" outlineLevel="0" collapsed="false">
      <c r="A9" s="139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5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5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</row>
    <row r="10" s="138" customFormat="true" ht="32.25" hidden="false" customHeight="true" outlineLevel="0" collapsed="false">
      <c r="A10" s="132"/>
      <c r="B10" s="134"/>
      <c r="C10" s="141" t="s">
        <v>94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 t="s">
        <v>95</v>
      </c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 t="s">
        <v>96</v>
      </c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 t="s">
        <v>97</v>
      </c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</row>
    <row r="11" s="138" customFormat="true" ht="51.2" hidden="false" customHeight="true" outlineLevel="0" collapsed="false">
      <c r="A11" s="132"/>
      <c r="B11" s="134"/>
      <c r="C11" s="143" t="s">
        <v>98</v>
      </c>
      <c r="D11" s="143"/>
      <c r="E11" s="143"/>
      <c r="F11" s="143"/>
      <c r="G11" s="144" t="s">
        <v>99</v>
      </c>
      <c r="H11" s="144"/>
      <c r="I11" s="144"/>
      <c r="J11" s="144"/>
      <c r="K11" s="143" t="s">
        <v>100</v>
      </c>
      <c r="L11" s="143"/>
      <c r="M11" s="143"/>
      <c r="N11" s="143"/>
      <c r="O11" s="144" t="s">
        <v>99</v>
      </c>
      <c r="P11" s="144"/>
      <c r="Q11" s="144"/>
      <c r="R11" s="144"/>
      <c r="S11" s="143" t="s">
        <v>100</v>
      </c>
      <c r="T11" s="143"/>
      <c r="U11" s="143"/>
      <c r="V11" s="143"/>
      <c r="W11" s="143" t="s">
        <v>101</v>
      </c>
      <c r="X11" s="143"/>
      <c r="Y11" s="143"/>
      <c r="Z11" s="143"/>
      <c r="AA11" s="143" t="s">
        <v>100</v>
      </c>
      <c r="AB11" s="143"/>
      <c r="AC11" s="143"/>
      <c r="AD11" s="143"/>
      <c r="AE11" s="143" t="s">
        <v>101</v>
      </c>
      <c r="AF11" s="143"/>
      <c r="AG11" s="143"/>
      <c r="AH11" s="143"/>
      <c r="AI11" s="143" t="s">
        <v>98</v>
      </c>
      <c r="AJ11" s="143"/>
      <c r="AK11" s="143"/>
      <c r="AL11" s="143"/>
      <c r="AM11" s="143" t="s">
        <v>101</v>
      </c>
      <c r="AN11" s="143"/>
      <c r="AO11" s="143"/>
      <c r="AP11" s="143"/>
      <c r="AQ11" s="143" t="s">
        <v>98</v>
      </c>
      <c r="AR11" s="143"/>
      <c r="AS11" s="143"/>
      <c r="AT11" s="143"/>
      <c r="AU11" s="144" t="s">
        <v>99</v>
      </c>
      <c r="AV11" s="144"/>
      <c r="AW11" s="144"/>
      <c r="AX11" s="144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</row>
    <row r="12" s="138" customFormat="true" ht="18.6" hidden="false" customHeight="true" outlineLevel="0" collapsed="false">
      <c r="A12" s="132"/>
      <c r="B12" s="134"/>
      <c r="C12" s="144" t="s">
        <v>18</v>
      </c>
      <c r="D12" s="144"/>
      <c r="E12" s="144" t="s">
        <v>19</v>
      </c>
      <c r="F12" s="144"/>
      <c r="G12" s="144" t="s">
        <v>18</v>
      </c>
      <c r="H12" s="144"/>
      <c r="I12" s="144" t="s">
        <v>19</v>
      </c>
      <c r="J12" s="144"/>
      <c r="K12" s="144" t="s">
        <v>18</v>
      </c>
      <c r="L12" s="144"/>
      <c r="M12" s="144" t="s">
        <v>19</v>
      </c>
      <c r="N12" s="144"/>
      <c r="O12" s="144" t="s">
        <v>18</v>
      </c>
      <c r="P12" s="144"/>
      <c r="Q12" s="144" t="s">
        <v>19</v>
      </c>
      <c r="R12" s="144"/>
      <c r="S12" s="144" t="s">
        <v>18</v>
      </c>
      <c r="T12" s="144"/>
      <c r="U12" s="144" t="s">
        <v>19</v>
      </c>
      <c r="V12" s="144"/>
      <c r="W12" s="144" t="s">
        <v>18</v>
      </c>
      <c r="X12" s="144"/>
      <c r="Y12" s="144" t="s">
        <v>19</v>
      </c>
      <c r="Z12" s="144"/>
      <c r="AA12" s="144" t="s">
        <v>18</v>
      </c>
      <c r="AB12" s="144"/>
      <c r="AC12" s="144" t="s">
        <v>19</v>
      </c>
      <c r="AD12" s="144"/>
      <c r="AE12" s="144" t="s">
        <v>18</v>
      </c>
      <c r="AF12" s="144"/>
      <c r="AG12" s="144" t="s">
        <v>19</v>
      </c>
      <c r="AH12" s="144"/>
      <c r="AI12" s="144" t="s">
        <v>18</v>
      </c>
      <c r="AJ12" s="144"/>
      <c r="AK12" s="144" t="s">
        <v>19</v>
      </c>
      <c r="AL12" s="144"/>
      <c r="AM12" s="144" t="s">
        <v>18</v>
      </c>
      <c r="AN12" s="144"/>
      <c r="AO12" s="144" t="s">
        <v>19</v>
      </c>
      <c r="AP12" s="144"/>
      <c r="AQ12" s="144" t="s">
        <v>18</v>
      </c>
      <c r="AR12" s="144"/>
      <c r="AS12" s="144" t="s">
        <v>19</v>
      </c>
      <c r="AT12" s="144"/>
      <c r="AU12" s="144" t="s">
        <v>18</v>
      </c>
      <c r="AV12" s="144"/>
      <c r="AW12" s="144" t="s">
        <v>19</v>
      </c>
      <c r="AX12" s="144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</row>
    <row r="13" s="138" customFormat="true" ht="19.7" hidden="false" customHeight="false" outlineLevel="0" collapsed="false">
      <c r="A13" s="147" t="s">
        <v>18</v>
      </c>
      <c r="B13" s="147" t="s">
        <v>102</v>
      </c>
      <c r="C13" s="148" t="s">
        <v>22</v>
      </c>
      <c r="D13" s="149" t="s">
        <v>23</v>
      </c>
      <c r="E13" s="148" t="s">
        <v>22</v>
      </c>
      <c r="F13" s="149" t="s">
        <v>23</v>
      </c>
      <c r="G13" s="148" t="s">
        <v>22</v>
      </c>
      <c r="H13" s="149" t="s">
        <v>23</v>
      </c>
      <c r="I13" s="148" t="s">
        <v>22</v>
      </c>
      <c r="J13" s="149" t="s">
        <v>23</v>
      </c>
      <c r="K13" s="148" t="s">
        <v>22</v>
      </c>
      <c r="L13" s="149" t="s">
        <v>23</v>
      </c>
      <c r="M13" s="148" t="s">
        <v>22</v>
      </c>
      <c r="N13" s="149" t="s">
        <v>23</v>
      </c>
      <c r="O13" s="148" t="s">
        <v>22</v>
      </c>
      <c r="P13" s="149" t="s">
        <v>23</v>
      </c>
      <c r="Q13" s="148" t="s">
        <v>22</v>
      </c>
      <c r="R13" s="149" t="s">
        <v>23</v>
      </c>
      <c r="S13" s="148" t="s">
        <v>22</v>
      </c>
      <c r="T13" s="149" t="s">
        <v>23</v>
      </c>
      <c r="U13" s="148" t="s">
        <v>22</v>
      </c>
      <c r="V13" s="149" t="s">
        <v>23</v>
      </c>
      <c r="W13" s="148" t="s">
        <v>22</v>
      </c>
      <c r="X13" s="149" t="s">
        <v>23</v>
      </c>
      <c r="Y13" s="148" t="s">
        <v>22</v>
      </c>
      <c r="Z13" s="149" t="s">
        <v>23</v>
      </c>
      <c r="AA13" s="148" t="s">
        <v>22</v>
      </c>
      <c r="AB13" s="149" t="s">
        <v>23</v>
      </c>
      <c r="AC13" s="148" t="s">
        <v>22</v>
      </c>
      <c r="AD13" s="149" t="s">
        <v>23</v>
      </c>
      <c r="AE13" s="148" t="s">
        <v>22</v>
      </c>
      <c r="AF13" s="149" t="s">
        <v>23</v>
      </c>
      <c r="AG13" s="148" t="s">
        <v>22</v>
      </c>
      <c r="AH13" s="149" t="s">
        <v>23</v>
      </c>
      <c r="AI13" s="148" t="s">
        <v>22</v>
      </c>
      <c r="AJ13" s="149" t="s">
        <v>23</v>
      </c>
      <c r="AK13" s="148" t="s">
        <v>22</v>
      </c>
      <c r="AL13" s="149" t="s">
        <v>23</v>
      </c>
      <c r="AM13" s="148" t="s">
        <v>22</v>
      </c>
      <c r="AN13" s="149" t="s">
        <v>23</v>
      </c>
      <c r="AO13" s="148" t="s">
        <v>22</v>
      </c>
      <c r="AP13" s="149" t="s">
        <v>23</v>
      </c>
      <c r="AQ13" s="148" t="s">
        <v>22</v>
      </c>
      <c r="AR13" s="149" t="s">
        <v>23</v>
      </c>
      <c r="AS13" s="148" t="s">
        <v>22</v>
      </c>
      <c r="AT13" s="149" t="s">
        <v>23</v>
      </c>
      <c r="AU13" s="148" t="s">
        <v>22</v>
      </c>
      <c r="AV13" s="149" t="s">
        <v>23</v>
      </c>
      <c r="AW13" s="148" t="s">
        <v>22</v>
      </c>
      <c r="AX13" s="149" t="s">
        <v>23</v>
      </c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</row>
    <row r="14" customFormat="false" ht="84.75" hidden="false" customHeight="true" outlineLevel="0" collapsed="false">
      <c r="A14" s="88" t="n">
        <v>0.270833333333333</v>
      </c>
      <c r="B14" s="88" t="n">
        <v>0.291666666666667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 t="n">
        <v>1</v>
      </c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 t="n">
        <v>1</v>
      </c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</row>
    <row r="15" customFormat="false" ht="84.75" hidden="false" customHeight="true" outlineLevel="0" collapsed="false">
      <c r="A15" s="88" t="n">
        <v>0.291666666666667</v>
      </c>
      <c r="B15" s="88" t="n">
        <v>0.3125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 t="n">
        <v>2</v>
      </c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 t="n">
        <v>1</v>
      </c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</row>
    <row r="16" customFormat="false" ht="84.75" hidden="false" customHeight="true" outlineLevel="0" collapsed="false">
      <c r="A16" s="88" t="n">
        <v>0.3125</v>
      </c>
      <c r="B16" s="88" t="n">
        <v>0.333333333333333</v>
      </c>
      <c r="C16" s="151"/>
      <c r="D16" s="151"/>
      <c r="E16" s="151"/>
      <c r="F16" s="151"/>
      <c r="G16" s="151" t="n">
        <v>1</v>
      </c>
      <c r="H16" s="151"/>
      <c r="I16" s="151" t="n">
        <v>2</v>
      </c>
      <c r="J16" s="151"/>
      <c r="K16" s="151"/>
      <c r="L16" s="151" t="n">
        <v>1</v>
      </c>
      <c r="M16" s="151" t="n">
        <v>1</v>
      </c>
      <c r="N16" s="151" t="n">
        <v>1</v>
      </c>
      <c r="O16" s="151" t="n">
        <v>1</v>
      </c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 t="n">
        <v>2</v>
      </c>
      <c r="AC16" s="151"/>
      <c r="AD16" s="151"/>
      <c r="AE16" s="151"/>
      <c r="AF16" s="151"/>
      <c r="AG16" s="151"/>
      <c r="AH16" s="151"/>
      <c r="AI16" s="151" t="n">
        <v>1</v>
      </c>
      <c r="AJ16" s="151"/>
      <c r="AK16" s="151"/>
      <c r="AL16" s="151"/>
      <c r="AM16" s="151"/>
      <c r="AN16" s="151" t="n">
        <v>1</v>
      </c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</row>
    <row r="17" customFormat="false" ht="84.75" hidden="false" customHeight="true" outlineLevel="0" collapsed="false">
      <c r="A17" s="88" t="n">
        <v>0.333333333333333</v>
      </c>
      <c r="B17" s="88" t="n">
        <v>0.354166666666667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 t="n">
        <v>1</v>
      </c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 t="n">
        <v>1</v>
      </c>
      <c r="AJ17" s="151" t="n">
        <v>1</v>
      </c>
      <c r="AK17" s="151"/>
      <c r="AL17" s="151"/>
      <c r="AM17" s="151" t="n">
        <v>1</v>
      </c>
      <c r="AN17" s="151"/>
      <c r="AO17" s="151"/>
      <c r="AP17" s="151"/>
      <c r="AQ17" s="151"/>
      <c r="AR17" s="151"/>
      <c r="AS17" s="151"/>
      <c r="AT17" s="151"/>
      <c r="AU17" s="151"/>
      <c r="AV17" s="151" t="n">
        <v>2</v>
      </c>
      <c r="AW17" s="151"/>
      <c r="AX17" s="151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</row>
    <row r="18" customFormat="false" ht="84.75" hidden="false" customHeight="true" outlineLevel="0" collapsed="false">
      <c r="A18" s="88" t="n">
        <v>0.354166666666667</v>
      </c>
      <c r="B18" s="88" t="n">
        <v>0.375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 t="n">
        <v>1</v>
      </c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 t="n">
        <v>1</v>
      </c>
      <c r="X18" s="151"/>
      <c r="Y18" s="151"/>
      <c r="Z18" s="151"/>
      <c r="AA18" s="151"/>
      <c r="AB18" s="151" t="n">
        <v>1</v>
      </c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</row>
    <row r="19" customFormat="false" ht="10.5" hidden="false" customHeight="true" outlineLevel="0" collapsed="false">
      <c r="A19" s="153"/>
      <c r="B19" s="150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</row>
    <row r="20" s="31" customFormat="true" ht="53.85" hidden="false" customHeight="true" outlineLevel="0" collapsed="false">
      <c r="A20" s="27"/>
      <c r="B20" s="28" t="s">
        <v>25</v>
      </c>
      <c r="C20" s="29"/>
      <c r="D20" s="29"/>
      <c r="E20" s="29"/>
      <c r="F20" s="29"/>
      <c r="G20" s="154" t="n">
        <v>7</v>
      </c>
      <c r="H20" s="29"/>
      <c r="I20" s="29"/>
      <c r="J20" s="29"/>
      <c r="K20" s="29"/>
      <c r="L20" s="29"/>
      <c r="M20" s="155"/>
      <c r="N20" s="29"/>
      <c r="O20" s="29"/>
      <c r="P20" s="29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29"/>
      <c r="AR20" s="29"/>
      <c r="AS20" s="29"/>
      <c r="AT20" s="29"/>
      <c r="AU20" s="29"/>
      <c r="AV20" s="29"/>
      <c r="AW20" s="29"/>
      <c r="AX20" s="157"/>
      <c r="AMC20" s="1"/>
      <c r="AMD20" s="1"/>
      <c r="AME20" s="1"/>
      <c r="AMF20" s="1"/>
      <c r="AMG20" s="1"/>
      <c r="AMH20" s="1"/>
    </row>
    <row r="21" s="31" customFormat="true" ht="53.85" hidden="false" customHeight="true" outlineLevel="0" collapsed="false">
      <c r="A21" s="27"/>
      <c r="B21" s="28" t="s">
        <v>36</v>
      </c>
      <c r="C21" s="29"/>
      <c r="D21" s="29"/>
      <c r="E21" s="29"/>
      <c r="F21" s="29"/>
      <c r="G21" s="154" t="n">
        <v>7</v>
      </c>
      <c r="H21" s="29"/>
      <c r="I21" s="29"/>
      <c r="J21" s="29"/>
      <c r="K21" s="29"/>
      <c r="L21" s="29"/>
      <c r="M21" s="155"/>
      <c r="N21" s="29"/>
      <c r="O21" s="29"/>
      <c r="P21" s="29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29"/>
      <c r="AR21" s="29"/>
      <c r="AS21" s="29"/>
      <c r="AT21" s="29"/>
      <c r="AU21" s="29"/>
      <c r="AV21" s="29"/>
      <c r="AW21" s="29"/>
      <c r="AX21" s="157"/>
      <c r="AMC21" s="1"/>
      <c r="AMD21" s="1"/>
      <c r="AME21" s="1"/>
      <c r="AMF21" s="1"/>
      <c r="AMG21" s="1"/>
      <c r="AMH21" s="1"/>
    </row>
    <row r="22" s="31" customFormat="true" ht="42.5" hidden="false" customHeight="true" outlineLevel="0" collapsed="false">
      <c r="A22" s="27"/>
      <c r="B22" s="28" t="s">
        <v>27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55"/>
      <c r="N22" s="29"/>
      <c r="O22" s="29"/>
      <c r="P22" s="29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29"/>
      <c r="AR22" s="29"/>
      <c r="AS22" s="29"/>
      <c r="AT22" s="29"/>
      <c r="AU22" s="29"/>
      <c r="AV22" s="29"/>
      <c r="AW22" s="29"/>
      <c r="AX22" s="157"/>
      <c r="AMC22" s="1"/>
      <c r="AMD22" s="1"/>
      <c r="AME22" s="1"/>
      <c r="AMF22" s="1"/>
      <c r="AMG22" s="1"/>
      <c r="AMH22" s="1"/>
    </row>
    <row r="23" s="31" customFormat="true" ht="42.5" hidden="false" customHeight="true" outlineLevel="0" collapsed="false">
      <c r="A23" s="27"/>
      <c r="B23" s="28" t="s">
        <v>28</v>
      </c>
      <c r="C23" s="29"/>
      <c r="D23" s="29"/>
      <c r="E23" s="29"/>
      <c r="F23" s="158"/>
      <c r="G23" s="29"/>
      <c r="H23" s="29"/>
      <c r="I23" s="29"/>
      <c r="J23" s="29"/>
      <c r="K23" s="29"/>
      <c r="L23" s="29"/>
      <c r="M23" s="155"/>
      <c r="N23" s="29"/>
      <c r="O23" s="29"/>
      <c r="P23" s="29"/>
      <c r="Q23" s="156"/>
      <c r="R23" s="156"/>
      <c r="S23" s="156"/>
      <c r="T23" s="156"/>
      <c r="U23" s="156"/>
      <c r="V23" s="154" t="n">
        <v>2</v>
      </c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29"/>
      <c r="AR23" s="29"/>
      <c r="AS23" s="29"/>
      <c r="AT23" s="29"/>
      <c r="AU23" s="29"/>
      <c r="AV23" s="29"/>
      <c r="AW23" s="29"/>
      <c r="AX23" s="157"/>
      <c r="AMC23" s="1"/>
      <c r="AMD23" s="1"/>
      <c r="AME23" s="1"/>
      <c r="AMF23" s="1"/>
      <c r="AMG23" s="1"/>
      <c r="AMH23" s="1"/>
    </row>
    <row r="24" customFormat="false" ht="25.5" hidden="false" customHeight="true" outlineLevel="0" collapsed="false">
      <c r="A24" s="159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1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1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1"/>
      <c r="BT24" s="134"/>
    </row>
    <row r="25" customFormat="false" ht="25.5" hidden="false" customHeight="true" outlineLevel="0" collapsed="false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1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1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1"/>
      <c r="BT25" s="134"/>
    </row>
    <row r="26" customFormat="false" ht="25.5" hidden="false" customHeight="true" outlineLevel="0" collapsed="false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1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1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1"/>
      <c r="BT26" s="134"/>
    </row>
    <row r="27" customFormat="false" ht="25.5" hidden="false" customHeight="true" outlineLevel="0" collapsed="false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1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1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1"/>
      <c r="BT27" s="134"/>
    </row>
    <row r="28" customFormat="false" ht="25.5" hidden="false" customHeight="true" outlineLevel="0" collapsed="false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1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1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1"/>
      <c r="BT28" s="134"/>
    </row>
    <row r="29" customFormat="false" ht="25.5" hidden="false" customHeight="true" outlineLevel="0" collapsed="false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1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1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1"/>
      <c r="BT29" s="134"/>
    </row>
    <row r="30" customFormat="false" ht="25.5" hidden="false" customHeight="true" outlineLevel="0" collapsed="false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1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1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</row>
    <row r="31" customFormat="false" ht="32.25" hidden="false" customHeight="true" outlineLevel="0" collapsed="false">
      <c r="A31" s="162"/>
      <c r="B31" s="160"/>
      <c r="C31" s="141" t="str">
        <f aca="false">C10</f>
        <v>Du centre (La Roche) vers</v>
      </c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 t="str">
        <f aca="false">O10</f>
        <v>D'Eteaux av Gambetta vers</v>
      </c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 t="str">
        <f aca="false">AA10</f>
        <v>De Av Libération Enilv vers</v>
      </c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 t="str">
        <f aca="false">AM10</f>
        <v>De Reignier vers</v>
      </c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62"/>
      <c r="AZ31" s="160"/>
      <c r="BA31" s="163" t="s">
        <v>29</v>
      </c>
      <c r="BB31" s="164" t="s">
        <v>30</v>
      </c>
      <c r="BC31" s="165" t="s">
        <v>31</v>
      </c>
      <c r="BD31" s="165" t="s">
        <v>32</v>
      </c>
      <c r="BE31" s="166" t="s">
        <v>84</v>
      </c>
      <c r="BF31" s="164" t="s">
        <v>67</v>
      </c>
      <c r="BG31" s="164"/>
      <c r="BH31" s="164"/>
    </row>
    <row r="32" customFormat="false" ht="46.7" hidden="false" customHeight="true" outlineLevel="0" collapsed="false">
      <c r="A32" s="162"/>
      <c r="B32" s="160"/>
      <c r="C32" s="143" t="str">
        <f aca="false">C11</f>
        <v>Av Gambetta Eteaux</v>
      </c>
      <c r="D32" s="143"/>
      <c r="E32" s="143"/>
      <c r="F32" s="143"/>
      <c r="G32" s="143" t="str">
        <f aca="false">G11</f>
        <v>Av Libération
Enilv</v>
      </c>
      <c r="H32" s="143"/>
      <c r="I32" s="143"/>
      <c r="J32" s="143"/>
      <c r="K32" s="143" t="str">
        <f aca="false">K11</f>
        <v>Reignier</v>
      </c>
      <c r="L32" s="143"/>
      <c r="M32" s="143"/>
      <c r="N32" s="143"/>
      <c r="O32" s="143" t="str">
        <f aca="false">O11</f>
        <v>Av Libération
Enilv</v>
      </c>
      <c r="P32" s="143"/>
      <c r="Q32" s="143"/>
      <c r="R32" s="143"/>
      <c r="S32" s="143" t="str">
        <f aca="false">S11</f>
        <v>Reignier</v>
      </c>
      <c r="T32" s="143"/>
      <c r="U32" s="143"/>
      <c r="V32" s="143"/>
      <c r="W32" s="143" t="str">
        <f aca="false">W11</f>
        <v>La Roche</v>
      </c>
      <c r="X32" s="143"/>
      <c r="Y32" s="143"/>
      <c r="Z32" s="143"/>
      <c r="AA32" s="143" t="str">
        <f aca="false">AA11</f>
        <v>Reignier</v>
      </c>
      <c r="AB32" s="143"/>
      <c r="AC32" s="143"/>
      <c r="AD32" s="143"/>
      <c r="AE32" s="143" t="str">
        <f aca="false">AE11</f>
        <v>La Roche</v>
      </c>
      <c r="AF32" s="143"/>
      <c r="AG32" s="143"/>
      <c r="AH32" s="143"/>
      <c r="AI32" s="143" t="str">
        <f aca="false">AI11</f>
        <v>Av Gambetta Eteaux</v>
      </c>
      <c r="AJ32" s="143"/>
      <c r="AK32" s="143"/>
      <c r="AL32" s="143"/>
      <c r="AM32" s="143" t="str">
        <f aca="false">AM11</f>
        <v>La Roche</v>
      </c>
      <c r="AN32" s="143"/>
      <c r="AO32" s="143"/>
      <c r="AP32" s="143"/>
      <c r="AQ32" s="143" t="str">
        <f aca="false">AQ11</f>
        <v>Av Gambetta Eteaux</v>
      </c>
      <c r="AR32" s="143"/>
      <c r="AS32" s="143"/>
      <c r="AT32" s="143"/>
      <c r="AU32" s="143" t="str">
        <f aca="false">AU11</f>
        <v>Av Libération
Enilv</v>
      </c>
      <c r="AV32" s="143"/>
      <c r="AW32" s="143"/>
      <c r="AX32" s="143"/>
      <c r="AY32" s="162"/>
      <c r="AZ32" s="160"/>
      <c r="BA32" s="163"/>
      <c r="BB32" s="164"/>
      <c r="BC32" s="165"/>
      <c r="BD32" s="165"/>
      <c r="BE32" s="166"/>
      <c r="BF32" s="164"/>
      <c r="BG32" s="164"/>
      <c r="BH32" s="164"/>
    </row>
    <row r="33" customFormat="false" ht="18.6" hidden="false" customHeight="true" outlineLevel="0" collapsed="false">
      <c r="A33" s="162"/>
      <c r="B33" s="160"/>
      <c r="C33" s="144" t="s">
        <v>18</v>
      </c>
      <c r="D33" s="144"/>
      <c r="E33" s="144" t="s">
        <v>19</v>
      </c>
      <c r="F33" s="144"/>
      <c r="G33" s="144" t="s">
        <v>18</v>
      </c>
      <c r="H33" s="144"/>
      <c r="I33" s="144" t="s">
        <v>19</v>
      </c>
      <c r="J33" s="144"/>
      <c r="K33" s="144" t="s">
        <v>18</v>
      </c>
      <c r="L33" s="144"/>
      <c r="M33" s="144" t="s">
        <v>19</v>
      </c>
      <c r="N33" s="144"/>
      <c r="O33" s="144" t="s">
        <v>18</v>
      </c>
      <c r="P33" s="144"/>
      <c r="Q33" s="144" t="s">
        <v>19</v>
      </c>
      <c r="R33" s="144"/>
      <c r="S33" s="144" t="s">
        <v>18</v>
      </c>
      <c r="T33" s="144"/>
      <c r="U33" s="144" t="s">
        <v>19</v>
      </c>
      <c r="V33" s="144"/>
      <c r="W33" s="144" t="s">
        <v>18</v>
      </c>
      <c r="X33" s="144"/>
      <c r="Y33" s="144" t="s">
        <v>19</v>
      </c>
      <c r="Z33" s="144"/>
      <c r="AA33" s="144" t="s">
        <v>18</v>
      </c>
      <c r="AB33" s="144"/>
      <c r="AC33" s="144" t="s">
        <v>19</v>
      </c>
      <c r="AD33" s="144"/>
      <c r="AE33" s="144" t="s">
        <v>18</v>
      </c>
      <c r="AF33" s="144"/>
      <c r="AG33" s="144" t="s">
        <v>19</v>
      </c>
      <c r="AH33" s="144"/>
      <c r="AI33" s="144" t="s">
        <v>18</v>
      </c>
      <c r="AJ33" s="144"/>
      <c r="AK33" s="144" t="s">
        <v>19</v>
      </c>
      <c r="AL33" s="144"/>
      <c r="AM33" s="144" t="s">
        <v>18</v>
      </c>
      <c r="AN33" s="144"/>
      <c r="AO33" s="144" t="s">
        <v>19</v>
      </c>
      <c r="AP33" s="144"/>
      <c r="AQ33" s="144" t="s">
        <v>18</v>
      </c>
      <c r="AR33" s="144"/>
      <c r="AS33" s="144" t="s">
        <v>19</v>
      </c>
      <c r="AT33" s="144"/>
      <c r="AU33" s="144" t="s">
        <v>18</v>
      </c>
      <c r="AV33" s="144"/>
      <c r="AW33" s="144" t="s">
        <v>19</v>
      </c>
      <c r="AX33" s="144"/>
      <c r="AY33" s="167"/>
      <c r="AZ33" s="160"/>
      <c r="BA33" s="163"/>
      <c r="BB33" s="164"/>
      <c r="BC33" s="165"/>
      <c r="BD33" s="165"/>
      <c r="BE33" s="166"/>
      <c r="BF33" s="164"/>
      <c r="BG33" s="164"/>
      <c r="BH33" s="164"/>
    </row>
    <row r="34" customFormat="false" ht="20.25" hidden="false" customHeight="false" outlineLevel="0" collapsed="false">
      <c r="A34" s="147" t="s">
        <v>21</v>
      </c>
      <c r="B34" s="147"/>
      <c r="C34" s="168" t="s">
        <v>22</v>
      </c>
      <c r="D34" s="168" t="s">
        <v>23</v>
      </c>
      <c r="E34" s="168" t="s">
        <v>22</v>
      </c>
      <c r="F34" s="168" t="s">
        <v>23</v>
      </c>
      <c r="G34" s="168" t="s">
        <v>22</v>
      </c>
      <c r="H34" s="168" t="s">
        <v>23</v>
      </c>
      <c r="I34" s="168" t="s">
        <v>22</v>
      </c>
      <c r="J34" s="168" t="s">
        <v>23</v>
      </c>
      <c r="K34" s="168" t="s">
        <v>22</v>
      </c>
      <c r="L34" s="168" t="s">
        <v>23</v>
      </c>
      <c r="M34" s="168" t="s">
        <v>22</v>
      </c>
      <c r="N34" s="168" t="s">
        <v>23</v>
      </c>
      <c r="O34" s="168" t="s">
        <v>22</v>
      </c>
      <c r="P34" s="168" t="s">
        <v>23</v>
      </c>
      <c r="Q34" s="168" t="s">
        <v>22</v>
      </c>
      <c r="R34" s="168" t="s">
        <v>23</v>
      </c>
      <c r="S34" s="168" t="s">
        <v>22</v>
      </c>
      <c r="T34" s="168" t="s">
        <v>23</v>
      </c>
      <c r="U34" s="168" t="s">
        <v>22</v>
      </c>
      <c r="V34" s="168" t="s">
        <v>23</v>
      </c>
      <c r="W34" s="168" t="s">
        <v>22</v>
      </c>
      <c r="X34" s="168" t="s">
        <v>23</v>
      </c>
      <c r="Y34" s="168" t="s">
        <v>22</v>
      </c>
      <c r="Z34" s="168" t="s">
        <v>23</v>
      </c>
      <c r="AA34" s="168" t="s">
        <v>22</v>
      </c>
      <c r="AB34" s="168" t="s">
        <v>23</v>
      </c>
      <c r="AC34" s="168" t="s">
        <v>22</v>
      </c>
      <c r="AD34" s="168" t="s">
        <v>23</v>
      </c>
      <c r="AE34" s="168" t="s">
        <v>22</v>
      </c>
      <c r="AF34" s="168" t="s">
        <v>23</v>
      </c>
      <c r="AG34" s="168" t="s">
        <v>22</v>
      </c>
      <c r="AH34" s="168" t="s">
        <v>23</v>
      </c>
      <c r="AI34" s="168" t="s">
        <v>22</v>
      </c>
      <c r="AJ34" s="168" t="s">
        <v>23</v>
      </c>
      <c r="AK34" s="168" t="s">
        <v>22</v>
      </c>
      <c r="AL34" s="168" t="s">
        <v>23</v>
      </c>
      <c r="AM34" s="168" t="s">
        <v>22</v>
      </c>
      <c r="AN34" s="168" t="s">
        <v>23</v>
      </c>
      <c r="AO34" s="168" t="s">
        <v>22</v>
      </c>
      <c r="AP34" s="168" t="s">
        <v>23</v>
      </c>
      <c r="AQ34" s="168" t="s">
        <v>22</v>
      </c>
      <c r="AR34" s="168" t="s">
        <v>23</v>
      </c>
      <c r="AS34" s="168" t="s">
        <v>22</v>
      </c>
      <c r="AT34" s="168" t="s">
        <v>23</v>
      </c>
      <c r="AU34" s="168" t="s">
        <v>22</v>
      </c>
      <c r="AV34" s="168" t="s">
        <v>23</v>
      </c>
      <c r="AW34" s="168" t="s">
        <v>22</v>
      </c>
      <c r="AX34" s="168" t="s">
        <v>23</v>
      </c>
      <c r="AY34" s="147" t="s">
        <v>21</v>
      </c>
      <c r="AZ34" s="147"/>
      <c r="BA34" s="163"/>
      <c r="BB34" s="164"/>
      <c r="BC34" s="165"/>
      <c r="BD34" s="165"/>
      <c r="BE34" s="166"/>
      <c r="BF34" s="164"/>
      <c r="BG34" s="164"/>
      <c r="BH34" s="164"/>
    </row>
    <row r="35" customFormat="false" ht="54.95" hidden="false" customHeight="true" outlineLevel="0" collapsed="false">
      <c r="A35" s="147" t="s">
        <v>38</v>
      </c>
      <c r="B35" s="147"/>
      <c r="C35" s="151" t="n">
        <f aca="false">C14</f>
        <v>0</v>
      </c>
      <c r="D35" s="151" t="n">
        <f aca="false">D14</f>
        <v>0</v>
      </c>
      <c r="E35" s="151" t="n">
        <f aca="false">E14</f>
        <v>0</v>
      </c>
      <c r="F35" s="151" t="n">
        <f aca="false">F14</f>
        <v>0</v>
      </c>
      <c r="G35" s="151" t="n">
        <f aca="false">G14</f>
        <v>0</v>
      </c>
      <c r="H35" s="151" t="n">
        <f aca="false">H14</f>
        <v>0</v>
      </c>
      <c r="I35" s="151" t="n">
        <f aca="false">I14</f>
        <v>0</v>
      </c>
      <c r="J35" s="151" t="n">
        <f aca="false">J14</f>
        <v>0</v>
      </c>
      <c r="K35" s="151" t="n">
        <f aca="false">K14</f>
        <v>0</v>
      </c>
      <c r="L35" s="151" t="n">
        <f aca="false">L14</f>
        <v>1</v>
      </c>
      <c r="M35" s="151" t="n">
        <f aca="false">M14</f>
        <v>0</v>
      </c>
      <c r="N35" s="151" t="n">
        <f aca="false">N14</f>
        <v>0</v>
      </c>
      <c r="O35" s="151" t="n">
        <f aca="false">O14</f>
        <v>0</v>
      </c>
      <c r="P35" s="151" t="n">
        <f aca="false">P14</f>
        <v>0</v>
      </c>
      <c r="Q35" s="151" t="n">
        <f aca="false">Q14</f>
        <v>0</v>
      </c>
      <c r="R35" s="151" t="n">
        <f aca="false">R14</f>
        <v>0</v>
      </c>
      <c r="S35" s="151" t="n">
        <f aca="false">S14</f>
        <v>0</v>
      </c>
      <c r="T35" s="151" t="n">
        <f aca="false">T14</f>
        <v>0</v>
      </c>
      <c r="U35" s="151" t="n">
        <f aca="false">U14</f>
        <v>0</v>
      </c>
      <c r="V35" s="151" t="n">
        <f aca="false">V14</f>
        <v>0</v>
      </c>
      <c r="W35" s="151" t="n">
        <f aca="false">W14</f>
        <v>0</v>
      </c>
      <c r="X35" s="151" t="n">
        <f aca="false">X14</f>
        <v>0</v>
      </c>
      <c r="Y35" s="151" t="n">
        <f aca="false">Y14</f>
        <v>0</v>
      </c>
      <c r="Z35" s="151" t="n">
        <f aca="false">Z14</f>
        <v>0</v>
      </c>
      <c r="AA35" s="151" t="n">
        <f aca="false">AA14</f>
        <v>0</v>
      </c>
      <c r="AB35" s="151" t="n">
        <f aca="false">AB14</f>
        <v>1</v>
      </c>
      <c r="AC35" s="151" t="n">
        <f aca="false">AC14</f>
        <v>0</v>
      </c>
      <c r="AD35" s="151" t="n">
        <f aca="false">AD14</f>
        <v>0</v>
      </c>
      <c r="AE35" s="151" t="n">
        <f aca="false">AE14</f>
        <v>0</v>
      </c>
      <c r="AF35" s="151" t="n">
        <f aca="false">AF14</f>
        <v>0</v>
      </c>
      <c r="AG35" s="151" t="n">
        <f aca="false">AG14</f>
        <v>0</v>
      </c>
      <c r="AH35" s="151" t="n">
        <f aca="false">AH14</f>
        <v>0</v>
      </c>
      <c r="AI35" s="151" t="n">
        <f aca="false">AI14</f>
        <v>0</v>
      </c>
      <c r="AJ35" s="151" t="n">
        <f aca="false">AJ14</f>
        <v>0</v>
      </c>
      <c r="AK35" s="151" t="n">
        <f aca="false">AK14</f>
        <v>0</v>
      </c>
      <c r="AL35" s="151" t="n">
        <f aca="false">AL14</f>
        <v>0</v>
      </c>
      <c r="AM35" s="151" t="n">
        <f aca="false">AM14</f>
        <v>0</v>
      </c>
      <c r="AN35" s="151" t="n">
        <f aca="false">AN14</f>
        <v>0</v>
      </c>
      <c r="AO35" s="151" t="n">
        <f aca="false">AO14</f>
        <v>0</v>
      </c>
      <c r="AP35" s="151" t="n">
        <f aca="false">AP14</f>
        <v>0</v>
      </c>
      <c r="AQ35" s="151" t="n">
        <f aca="false">AQ14</f>
        <v>0</v>
      </c>
      <c r="AR35" s="151" t="n">
        <f aca="false">AR14</f>
        <v>0</v>
      </c>
      <c r="AS35" s="151" t="n">
        <f aca="false">AS14</f>
        <v>0</v>
      </c>
      <c r="AT35" s="151" t="n">
        <f aca="false">AT14</f>
        <v>0</v>
      </c>
      <c r="AU35" s="151" t="n">
        <f aca="false">AU14</f>
        <v>0</v>
      </c>
      <c r="AV35" s="151" t="n">
        <f aca="false">AV14</f>
        <v>0</v>
      </c>
      <c r="AW35" s="151" t="n">
        <f aca="false">AW14</f>
        <v>0</v>
      </c>
      <c r="AX35" s="151" t="n">
        <f aca="false">AX14</f>
        <v>0</v>
      </c>
      <c r="AY35" s="147" t="str">
        <f aca="false">A35</f>
        <v>6:30 à 7:00</v>
      </c>
      <c r="AZ35" s="147"/>
      <c r="BA35" s="169" t="n">
        <f aca="false">SUM(C35:AX35)</f>
        <v>2</v>
      </c>
      <c r="BB35" s="170" t="n">
        <f aca="false">C35+E35+G35+I35+K35+M35+O35+Q35+S35+U35+W35+Y35+AA35+AC35+AE35+AG35+AI35+AK35+AM35+AO35+AQ35+AS35+AU35+AW35</f>
        <v>0</v>
      </c>
      <c r="BC35" s="170" t="n">
        <f aca="false">E35+F35+I35+J35+M35+N35+Q35+R35+U35+V35+Y35+Z35+AC35+AD35+AG35+AH35+AK35+AL35+AO35+AP35+AS35+AT35+AW35+AX35</f>
        <v>0</v>
      </c>
      <c r="BD35" s="170" t="n">
        <f aca="false">E35+I35+M35+Q35+U35+Y35+AC35+AG35+AK35+AO35+AS35+AW35</f>
        <v>0</v>
      </c>
      <c r="BE35" s="170" t="n">
        <f aca="false">SUM(K35:N35)+SUM(S35:V35)+SUM(AA35:AD35)+SUM(AM35:AX35)</f>
        <v>2</v>
      </c>
      <c r="BF35" s="171" t="s">
        <v>103</v>
      </c>
      <c r="BG35" s="172"/>
      <c r="BH35" s="172"/>
    </row>
    <row r="36" customFormat="false" ht="54.95" hidden="false" customHeight="true" outlineLevel="0" collapsed="false">
      <c r="A36" s="147" t="s">
        <v>39</v>
      </c>
      <c r="B36" s="147"/>
      <c r="C36" s="151" t="n">
        <f aca="false">C15</f>
        <v>0</v>
      </c>
      <c r="D36" s="151" t="n">
        <f aca="false">D15</f>
        <v>0</v>
      </c>
      <c r="E36" s="151" t="n">
        <f aca="false">E15</f>
        <v>0</v>
      </c>
      <c r="F36" s="151" t="n">
        <f aca="false">F15</f>
        <v>0</v>
      </c>
      <c r="G36" s="151" t="n">
        <f aca="false">G15</f>
        <v>0</v>
      </c>
      <c r="H36" s="151" t="n">
        <f aca="false">H15</f>
        <v>0</v>
      </c>
      <c r="I36" s="151" t="n">
        <f aca="false">I15</f>
        <v>0</v>
      </c>
      <c r="J36" s="151" t="n">
        <f aca="false">J15</f>
        <v>0</v>
      </c>
      <c r="K36" s="151" t="n">
        <f aca="false">K15</f>
        <v>0</v>
      </c>
      <c r="L36" s="151" t="n">
        <f aca="false">L15</f>
        <v>2</v>
      </c>
      <c r="M36" s="151" t="n">
        <f aca="false">M15</f>
        <v>0</v>
      </c>
      <c r="N36" s="151" t="n">
        <f aca="false">N15</f>
        <v>0</v>
      </c>
      <c r="O36" s="151" t="n">
        <f aca="false">O15</f>
        <v>0</v>
      </c>
      <c r="P36" s="151" t="n">
        <f aca="false">P15</f>
        <v>0</v>
      </c>
      <c r="Q36" s="151" t="n">
        <f aca="false">Q15</f>
        <v>0</v>
      </c>
      <c r="R36" s="151" t="n">
        <f aca="false">R15</f>
        <v>0</v>
      </c>
      <c r="S36" s="151" t="n">
        <f aca="false">S15</f>
        <v>0</v>
      </c>
      <c r="T36" s="151" t="n">
        <f aca="false">T15</f>
        <v>0</v>
      </c>
      <c r="U36" s="151" t="n">
        <f aca="false">U15</f>
        <v>0</v>
      </c>
      <c r="V36" s="151" t="n">
        <f aca="false">V15</f>
        <v>0</v>
      </c>
      <c r="W36" s="151" t="n">
        <f aca="false">W15</f>
        <v>0</v>
      </c>
      <c r="X36" s="151" t="n">
        <f aca="false">X15</f>
        <v>0</v>
      </c>
      <c r="Y36" s="151" t="n">
        <f aca="false">Y15</f>
        <v>0</v>
      </c>
      <c r="Z36" s="151" t="n">
        <f aca="false">Z15</f>
        <v>0</v>
      </c>
      <c r="AA36" s="151" t="n">
        <f aca="false">AA15</f>
        <v>0</v>
      </c>
      <c r="AB36" s="151" t="n">
        <f aca="false">AB15</f>
        <v>0</v>
      </c>
      <c r="AC36" s="151" t="n">
        <f aca="false">AC15</f>
        <v>0</v>
      </c>
      <c r="AD36" s="151" t="n">
        <f aca="false">AD15</f>
        <v>0</v>
      </c>
      <c r="AE36" s="151" t="n">
        <f aca="false">AE15</f>
        <v>0</v>
      </c>
      <c r="AF36" s="151" t="n">
        <f aca="false">AF15</f>
        <v>1</v>
      </c>
      <c r="AG36" s="151" t="n">
        <f aca="false">AG15</f>
        <v>0</v>
      </c>
      <c r="AH36" s="151" t="n">
        <f aca="false">AH15</f>
        <v>0</v>
      </c>
      <c r="AI36" s="151" t="n">
        <f aca="false">AI15</f>
        <v>0</v>
      </c>
      <c r="AJ36" s="151" t="n">
        <f aca="false">AJ15</f>
        <v>0</v>
      </c>
      <c r="AK36" s="151" t="n">
        <f aca="false">AK15</f>
        <v>0</v>
      </c>
      <c r="AL36" s="151" t="n">
        <f aca="false">AL15</f>
        <v>0</v>
      </c>
      <c r="AM36" s="151" t="n">
        <f aca="false">AM15</f>
        <v>0</v>
      </c>
      <c r="AN36" s="151" t="n">
        <f aca="false">AN15</f>
        <v>0</v>
      </c>
      <c r="AO36" s="151" t="n">
        <f aca="false">AO15</f>
        <v>0</v>
      </c>
      <c r="AP36" s="151" t="n">
        <f aca="false">AP15</f>
        <v>0</v>
      </c>
      <c r="AQ36" s="151" t="n">
        <f aca="false">AQ15</f>
        <v>0</v>
      </c>
      <c r="AR36" s="151" t="n">
        <f aca="false">AR15</f>
        <v>0</v>
      </c>
      <c r="AS36" s="151" t="n">
        <f aca="false">AS15</f>
        <v>0</v>
      </c>
      <c r="AT36" s="151" t="n">
        <f aca="false">AT15</f>
        <v>0</v>
      </c>
      <c r="AU36" s="151" t="n">
        <f aca="false">AU15</f>
        <v>0</v>
      </c>
      <c r="AV36" s="151" t="n">
        <f aca="false">AV15</f>
        <v>0</v>
      </c>
      <c r="AW36" s="151" t="n">
        <f aca="false">AW15</f>
        <v>0</v>
      </c>
      <c r="AX36" s="151" t="n">
        <f aca="false">AX15</f>
        <v>0</v>
      </c>
      <c r="AY36" s="147" t="str">
        <f aca="false">A36</f>
        <v>7:00 à 7:30</v>
      </c>
      <c r="AZ36" s="147"/>
      <c r="BA36" s="169" t="n">
        <f aca="false">SUM(C36:AX36)</f>
        <v>3</v>
      </c>
      <c r="BB36" s="170" t="n">
        <f aca="false">C36+E36+G36+I36+K36+M36+O36+Q36+S36+U36+W36+Y36+AA36+AC36+AE36+AG36+AI36+AK36+AM36+AO36+AQ36+AS36+AU36+AW36</f>
        <v>0</v>
      </c>
      <c r="BC36" s="170" t="n">
        <f aca="false">E36+F36+I36+J36+M36+N36+Q36+R36+U36+V36+Y36+Z36+AC36+AD36+AG36+AH36+AK36+AL36+AO36+AP36+AS36+AT36+AW36+AX36</f>
        <v>0</v>
      </c>
      <c r="BD36" s="170" t="n">
        <f aca="false">E36+I36+M36+Q36+U36+Y36+AC36+AG36+AK36+AO36+AS36+AW36</f>
        <v>0</v>
      </c>
      <c r="BE36" s="170" t="n">
        <f aca="false">SUM(K36:N36)+SUM(S36:V36)+SUM(AA36:AD36)+SUM(AM36:AX36)</f>
        <v>2</v>
      </c>
      <c r="BF36" s="171" t="s">
        <v>104</v>
      </c>
      <c r="BG36" s="172"/>
      <c r="BH36" s="172"/>
    </row>
    <row r="37" customFormat="false" ht="54.95" hidden="false" customHeight="true" outlineLevel="0" collapsed="false">
      <c r="A37" s="147" t="s">
        <v>40</v>
      </c>
      <c r="B37" s="147"/>
      <c r="C37" s="151" t="n">
        <f aca="false">C16</f>
        <v>0</v>
      </c>
      <c r="D37" s="151" t="n">
        <f aca="false">D16</f>
        <v>0</v>
      </c>
      <c r="E37" s="151" t="n">
        <f aca="false">E16</f>
        <v>0</v>
      </c>
      <c r="F37" s="151" t="n">
        <f aca="false">F16</f>
        <v>0</v>
      </c>
      <c r="G37" s="151" t="n">
        <f aca="false">G16</f>
        <v>1</v>
      </c>
      <c r="H37" s="151" t="n">
        <f aca="false">H16</f>
        <v>0</v>
      </c>
      <c r="I37" s="151" t="n">
        <f aca="false">I16</f>
        <v>2</v>
      </c>
      <c r="J37" s="151" t="n">
        <f aca="false">J16</f>
        <v>0</v>
      </c>
      <c r="K37" s="151" t="n">
        <f aca="false">K16</f>
        <v>0</v>
      </c>
      <c r="L37" s="151" t="n">
        <f aca="false">L16</f>
        <v>1</v>
      </c>
      <c r="M37" s="151" t="n">
        <f aca="false">M16</f>
        <v>1</v>
      </c>
      <c r="N37" s="151" t="n">
        <f aca="false">N16</f>
        <v>1</v>
      </c>
      <c r="O37" s="151" t="n">
        <f aca="false">O16</f>
        <v>1</v>
      </c>
      <c r="P37" s="151" t="n">
        <f aca="false">P16</f>
        <v>0</v>
      </c>
      <c r="Q37" s="151" t="n">
        <f aca="false">Q16</f>
        <v>0</v>
      </c>
      <c r="R37" s="151" t="n">
        <f aca="false">R16</f>
        <v>0</v>
      </c>
      <c r="S37" s="151" t="n">
        <f aca="false">S16</f>
        <v>0</v>
      </c>
      <c r="T37" s="151" t="n">
        <f aca="false">T16</f>
        <v>0</v>
      </c>
      <c r="U37" s="151" t="n">
        <f aca="false">U16</f>
        <v>0</v>
      </c>
      <c r="V37" s="151" t="n">
        <f aca="false">V16</f>
        <v>0</v>
      </c>
      <c r="W37" s="151" t="n">
        <f aca="false">W16</f>
        <v>0</v>
      </c>
      <c r="X37" s="151" t="n">
        <f aca="false">X16</f>
        <v>0</v>
      </c>
      <c r="Y37" s="151" t="n">
        <f aca="false">Y16</f>
        <v>0</v>
      </c>
      <c r="Z37" s="151" t="n">
        <f aca="false">Z16</f>
        <v>0</v>
      </c>
      <c r="AA37" s="151" t="n">
        <f aca="false">AA16</f>
        <v>0</v>
      </c>
      <c r="AB37" s="151" t="n">
        <f aca="false">AB16</f>
        <v>2</v>
      </c>
      <c r="AC37" s="151" t="n">
        <f aca="false">AC16</f>
        <v>0</v>
      </c>
      <c r="AD37" s="151" t="n">
        <f aca="false">AD16</f>
        <v>0</v>
      </c>
      <c r="AE37" s="151" t="n">
        <f aca="false">AE16</f>
        <v>0</v>
      </c>
      <c r="AF37" s="151" t="n">
        <f aca="false">AF16</f>
        <v>0</v>
      </c>
      <c r="AG37" s="151" t="n">
        <f aca="false">AG16</f>
        <v>0</v>
      </c>
      <c r="AH37" s="151" t="n">
        <f aca="false">AH16</f>
        <v>0</v>
      </c>
      <c r="AI37" s="151" t="n">
        <f aca="false">AI16</f>
        <v>1</v>
      </c>
      <c r="AJ37" s="151" t="n">
        <f aca="false">AJ16</f>
        <v>0</v>
      </c>
      <c r="AK37" s="151" t="n">
        <f aca="false">AK16</f>
        <v>0</v>
      </c>
      <c r="AL37" s="151" t="n">
        <f aca="false">AL16</f>
        <v>0</v>
      </c>
      <c r="AM37" s="151" t="n">
        <f aca="false">AM16</f>
        <v>0</v>
      </c>
      <c r="AN37" s="151" t="n">
        <f aca="false">AN16</f>
        <v>1</v>
      </c>
      <c r="AO37" s="151" t="n">
        <f aca="false">AO16</f>
        <v>0</v>
      </c>
      <c r="AP37" s="151" t="n">
        <f aca="false">AP16</f>
        <v>0</v>
      </c>
      <c r="AQ37" s="151" t="n">
        <f aca="false">AQ16</f>
        <v>0</v>
      </c>
      <c r="AR37" s="151" t="n">
        <f aca="false">AR16</f>
        <v>0</v>
      </c>
      <c r="AS37" s="151" t="n">
        <f aca="false">AS16</f>
        <v>0</v>
      </c>
      <c r="AT37" s="151" t="n">
        <f aca="false">AT16</f>
        <v>0</v>
      </c>
      <c r="AU37" s="151" t="n">
        <f aca="false">AU16</f>
        <v>0</v>
      </c>
      <c r="AV37" s="151" t="n">
        <f aca="false">AV16</f>
        <v>0</v>
      </c>
      <c r="AW37" s="151" t="n">
        <f aca="false">AW16</f>
        <v>0</v>
      </c>
      <c r="AX37" s="151" t="n">
        <f aca="false">AX16</f>
        <v>0</v>
      </c>
      <c r="AY37" s="147" t="str">
        <f aca="false">A37</f>
        <v>7:30 à 8:00</v>
      </c>
      <c r="AZ37" s="147"/>
      <c r="BA37" s="169" t="n">
        <f aca="false">SUM(C37:AX37)</f>
        <v>11</v>
      </c>
      <c r="BB37" s="170" t="n">
        <f aca="false">C37+E37+G37+I37+K37+M37+O37+Q37+S37+U37+W37+Y37+AA37+AC37+AE37+AG37+AI37+AK37+AM37+AO37+AQ37+AS37+AU37+AW37</f>
        <v>6</v>
      </c>
      <c r="BC37" s="170" t="n">
        <f aca="false">E37+F37+I37+J37+M37+N37+Q37+R37+U37+V37+Y37+Z37+AC37+AD37+AG37+AH37+AK37+AL37+AO37+AP37+AS37+AT37+AW37+AX37</f>
        <v>4</v>
      </c>
      <c r="BD37" s="170" t="n">
        <f aca="false">E37+I37+M37+Q37+U37+Y37+AC37+AG37+AK37+AO37+AS37+AW37</f>
        <v>3</v>
      </c>
      <c r="BE37" s="170" t="n">
        <f aca="false">SUM(K37:N37)+SUM(S37:V37)+SUM(AA37:AD37)+SUM(AM37:AX37)</f>
        <v>6</v>
      </c>
      <c r="BF37" s="171" t="s">
        <v>104</v>
      </c>
      <c r="BG37" s="172"/>
      <c r="BH37" s="172"/>
    </row>
    <row r="38" customFormat="false" ht="54.95" hidden="false" customHeight="true" outlineLevel="0" collapsed="false">
      <c r="A38" s="147" t="s">
        <v>41</v>
      </c>
      <c r="B38" s="147"/>
      <c r="C38" s="151" t="n">
        <f aca="false">C17</f>
        <v>0</v>
      </c>
      <c r="D38" s="151" t="n">
        <f aca="false">D17</f>
        <v>0</v>
      </c>
      <c r="E38" s="151" t="n">
        <f aca="false">E17</f>
        <v>0</v>
      </c>
      <c r="F38" s="151" t="n">
        <f aca="false">F17</f>
        <v>0</v>
      </c>
      <c r="G38" s="151" t="n">
        <f aca="false">G17</f>
        <v>0</v>
      </c>
      <c r="H38" s="151" t="n">
        <f aca="false">H17</f>
        <v>0</v>
      </c>
      <c r="I38" s="151" t="n">
        <f aca="false">I17</f>
        <v>0</v>
      </c>
      <c r="J38" s="151" t="n">
        <f aca="false">J17</f>
        <v>0</v>
      </c>
      <c r="K38" s="151" t="n">
        <f aca="false">K17</f>
        <v>0</v>
      </c>
      <c r="L38" s="151" t="n">
        <f aca="false">L17</f>
        <v>0</v>
      </c>
      <c r="M38" s="151" t="n">
        <f aca="false">M17</f>
        <v>0</v>
      </c>
      <c r="N38" s="151" t="n">
        <f aca="false">N17</f>
        <v>1</v>
      </c>
      <c r="O38" s="151" t="n">
        <f aca="false">O17</f>
        <v>0</v>
      </c>
      <c r="P38" s="151" t="n">
        <f aca="false">P17</f>
        <v>0</v>
      </c>
      <c r="Q38" s="151" t="n">
        <f aca="false">Q17</f>
        <v>0</v>
      </c>
      <c r="R38" s="151" t="n">
        <f aca="false">R17</f>
        <v>0</v>
      </c>
      <c r="S38" s="151" t="n">
        <f aca="false">S17</f>
        <v>0</v>
      </c>
      <c r="T38" s="151" t="n">
        <f aca="false">T17</f>
        <v>0</v>
      </c>
      <c r="U38" s="151" t="n">
        <f aca="false">U17</f>
        <v>0</v>
      </c>
      <c r="V38" s="151" t="n">
        <f aca="false">V17</f>
        <v>0</v>
      </c>
      <c r="W38" s="151" t="n">
        <f aca="false">W17</f>
        <v>0</v>
      </c>
      <c r="X38" s="151" t="n">
        <f aca="false">X17</f>
        <v>0</v>
      </c>
      <c r="Y38" s="151" t="n">
        <f aca="false">Y17</f>
        <v>0</v>
      </c>
      <c r="Z38" s="151" t="n">
        <f aca="false">Z17</f>
        <v>0</v>
      </c>
      <c r="AA38" s="151" t="n">
        <f aca="false">AA17</f>
        <v>0</v>
      </c>
      <c r="AB38" s="151" t="n">
        <f aca="false">AB17</f>
        <v>0</v>
      </c>
      <c r="AC38" s="151" t="n">
        <f aca="false">AC17</f>
        <v>0</v>
      </c>
      <c r="AD38" s="151" t="n">
        <f aca="false">AD17</f>
        <v>0</v>
      </c>
      <c r="AE38" s="151" t="n">
        <f aca="false">AE17</f>
        <v>0</v>
      </c>
      <c r="AF38" s="151" t="n">
        <f aca="false">AF17</f>
        <v>0</v>
      </c>
      <c r="AG38" s="151" t="n">
        <f aca="false">AG17</f>
        <v>0</v>
      </c>
      <c r="AH38" s="151" t="n">
        <f aca="false">AH17</f>
        <v>0</v>
      </c>
      <c r="AI38" s="151" t="n">
        <f aca="false">AI17</f>
        <v>1</v>
      </c>
      <c r="AJ38" s="151" t="n">
        <f aca="false">AJ17</f>
        <v>1</v>
      </c>
      <c r="AK38" s="151" t="n">
        <f aca="false">AK17</f>
        <v>0</v>
      </c>
      <c r="AL38" s="151" t="n">
        <f aca="false">AL17</f>
        <v>0</v>
      </c>
      <c r="AM38" s="151" t="n">
        <f aca="false">AM17</f>
        <v>1</v>
      </c>
      <c r="AN38" s="151" t="n">
        <f aca="false">AN17</f>
        <v>0</v>
      </c>
      <c r="AO38" s="151" t="n">
        <f aca="false">AO17</f>
        <v>0</v>
      </c>
      <c r="AP38" s="151" t="n">
        <f aca="false">AP17</f>
        <v>0</v>
      </c>
      <c r="AQ38" s="151" t="n">
        <f aca="false">AQ17</f>
        <v>0</v>
      </c>
      <c r="AR38" s="151" t="n">
        <f aca="false">AR17</f>
        <v>0</v>
      </c>
      <c r="AS38" s="151" t="n">
        <f aca="false">AS17</f>
        <v>0</v>
      </c>
      <c r="AT38" s="151" t="n">
        <f aca="false">AT17</f>
        <v>0</v>
      </c>
      <c r="AU38" s="151" t="n">
        <f aca="false">AU17</f>
        <v>0</v>
      </c>
      <c r="AV38" s="151" t="n">
        <f aca="false">AV17</f>
        <v>2</v>
      </c>
      <c r="AW38" s="151" t="n">
        <f aca="false">AW17</f>
        <v>0</v>
      </c>
      <c r="AX38" s="151" t="n">
        <f aca="false">AX17</f>
        <v>0</v>
      </c>
      <c r="AY38" s="147" t="str">
        <f aca="false">A38</f>
        <v>8:00 à 8:30</v>
      </c>
      <c r="AZ38" s="147"/>
      <c r="BA38" s="169" t="n">
        <f aca="false">SUM(C38:AX38)</f>
        <v>6</v>
      </c>
      <c r="BB38" s="170" t="n">
        <f aca="false">C38+E38+G38+I38+K38+M38+O38+Q38+S38+U38+W38+Y38+AA38+AC38+AE38+AG38+AI38+AK38+AM38+AO38+AQ38+AS38+AU38+AW38</f>
        <v>2</v>
      </c>
      <c r="BC38" s="170" t="n">
        <f aca="false">E38+F38+I38+J38+M38+N38+Q38+R38+U38+V38+Y38+Z38+AC38+AD38+AG38+AH38+AK38+AL38+AO38+AP38+AS38+AT38+AW38+AX38</f>
        <v>1</v>
      </c>
      <c r="BD38" s="170" t="n">
        <f aca="false">E38+I38+M38+Q38+U38+Y38+AC38+AG38+AK38+AO38+AS38+AW38</f>
        <v>0</v>
      </c>
      <c r="BE38" s="170" t="n">
        <f aca="false">SUM(K38:N38)+SUM(S38:V38)+SUM(AA38:AD38)+SUM(AM38:AX38)</f>
        <v>4</v>
      </c>
      <c r="BF38" s="173" t="s">
        <v>105</v>
      </c>
      <c r="BG38" s="172"/>
      <c r="BH38" s="172"/>
    </row>
    <row r="39" customFormat="false" ht="54.95" hidden="false" customHeight="true" outlineLevel="0" collapsed="false">
      <c r="A39" s="147" t="s">
        <v>42</v>
      </c>
      <c r="B39" s="147"/>
      <c r="C39" s="151" t="n">
        <f aca="false">C18</f>
        <v>0</v>
      </c>
      <c r="D39" s="151" t="n">
        <f aca="false">D18</f>
        <v>0</v>
      </c>
      <c r="E39" s="151" t="n">
        <f aca="false">E18</f>
        <v>0</v>
      </c>
      <c r="F39" s="151" t="n">
        <f aca="false">F18</f>
        <v>0</v>
      </c>
      <c r="G39" s="151" t="n">
        <f aca="false">G18</f>
        <v>0</v>
      </c>
      <c r="H39" s="151" t="n">
        <f aca="false">H18</f>
        <v>0</v>
      </c>
      <c r="I39" s="151" t="n">
        <f aca="false">I18</f>
        <v>0</v>
      </c>
      <c r="J39" s="151" t="n">
        <f aca="false">J18</f>
        <v>0</v>
      </c>
      <c r="K39" s="151" t="n">
        <f aca="false">K18</f>
        <v>0</v>
      </c>
      <c r="L39" s="151" t="n">
        <f aca="false">L18</f>
        <v>1</v>
      </c>
      <c r="M39" s="151" t="n">
        <f aca="false">M18</f>
        <v>0</v>
      </c>
      <c r="N39" s="151" t="n">
        <f aca="false">N18</f>
        <v>0</v>
      </c>
      <c r="O39" s="151" t="n">
        <f aca="false">O18</f>
        <v>0</v>
      </c>
      <c r="P39" s="151" t="n">
        <f aca="false">P18</f>
        <v>0</v>
      </c>
      <c r="Q39" s="151" t="n">
        <f aca="false">Q18</f>
        <v>0</v>
      </c>
      <c r="R39" s="151" t="n">
        <f aca="false">R18</f>
        <v>0</v>
      </c>
      <c r="S39" s="151" t="n">
        <f aca="false">S18</f>
        <v>0</v>
      </c>
      <c r="T39" s="151" t="n">
        <f aca="false">T18</f>
        <v>0</v>
      </c>
      <c r="U39" s="151" t="n">
        <f aca="false">U18</f>
        <v>0</v>
      </c>
      <c r="V39" s="151" t="n">
        <f aca="false">V18</f>
        <v>0</v>
      </c>
      <c r="W39" s="151" t="n">
        <f aca="false">W18</f>
        <v>1</v>
      </c>
      <c r="X39" s="151" t="n">
        <f aca="false">X18</f>
        <v>0</v>
      </c>
      <c r="Y39" s="151" t="n">
        <f aca="false">Y18</f>
        <v>0</v>
      </c>
      <c r="Z39" s="151" t="n">
        <f aca="false">Z18</f>
        <v>0</v>
      </c>
      <c r="AA39" s="151" t="n">
        <f aca="false">AA18</f>
        <v>0</v>
      </c>
      <c r="AB39" s="151" t="n">
        <f aca="false">AB18</f>
        <v>1</v>
      </c>
      <c r="AC39" s="151" t="n">
        <f aca="false">AC18</f>
        <v>0</v>
      </c>
      <c r="AD39" s="151" t="n">
        <f aca="false">AD18</f>
        <v>0</v>
      </c>
      <c r="AE39" s="151" t="n">
        <f aca="false">AE18</f>
        <v>0</v>
      </c>
      <c r="AF39" s="151" t="n">
        <f aca="false">AF18</f>
        <v>0</v>
      </c>
      <c r="AG39" s="151" t="n">
        <f aca="false">AG18</f>
        <v>0</v>
      </c>
      <c r="AH39" s="151" t="n">
        <f aca="false">AH18</f>
        <v>0</v>
      </c>
      <c r="AI39" s="151" t="n">
        <f aca="false">AI18</f>
        <v>0</v>
      </c>
      <c r="AJ39" s="151" t="n">
        <f aca="false">AJ18</f>
        <v>0</v>
      </c>
      <c r="AK39" s="151" t="n">
        <f aca="false">AK18</f>
        <v>0</v>
      </c>
      <c r="AL39" s="151" t="n">
        <f aca="false">AL18</f>
        <v>0</v>
      </c>
      <c r="AM39" s="151" t="n">
        <f aca="false">AM18</f>
        <v>0</v>
      </c>
      <c r="AN39" s="151" t="n">
        <f aca="false">AN18</f>
        <v>0</v>
      </c>
      <c r="AO39" s="151" t="n">
        <f aca="false">AO18</f>
        <v>0</v>
      </c>
      <c r="AP39" s="151" t="n">
        <f aca="false">AP18</f>
        <v>0</v>
      </c>
      <c r="AQ39" s="151" t="n">
        <f aca="false">AQ18</f>
        <v>0</v>
      </c>
      <c r="AR39" s="151" t="n">
        <f aca="false">AR18</f>
        <v>0</v>
      </c>
      <c r="AS39" s="151" t="n">
        <f aca="false">AS18</f>
        <v>0</v>
      </c>
      <c r="AT39" s="151" t="n">
        <f aca="false">AT18</f>
        <v>0</v>
      </c>
      <c r="AU39" s="151" t="n">
        <f aca="false">AU18</f>
        <v>0</v>
      </c>
      <c r="AV39" s="151" t="n">
        <f aca="false">AV18</f>
        <v>0</v>
      </c>
      <c r="AW39" s="151" t="n">
        <f aca="false">AW18</f>
        <v>0</v>
      </c>
      <c r="AX39" s="151" t="n">
        <f aca="false">AX18</f>
        <v>0</v>
      </c>
      <c r="AY39" s="147" t="str">
        <f aca="false">A39</f>
        <v>8:30 à 9:00</v>
      </c>
      <c r="AZ39" s="147"/>
      <c r="BA39" s="169" t="n">
        <f aca="false">SUM(C39:AX39)</f>
        <v>3</v>
      </c>
      <c r="BB39" s="170" t="n">
        <f aca="false">C39+E39+G39+I39+K39+M39+O39+Q39+S39+U39+W39+Y39+AA39+AC39+AE39+AG39+AI39+AK39+AM39+AO39+AQ39+AS39+AU39+AW39</f>
        <v>1</v>
      </c>
      <c r="BC39" s="170" t="n">
        <f aca="false">E39+F39+I39+J39+M39+N39+Q39+R39+U39+V39+Y39+Z39+AC39+AD39+AG39+AH39+AK39+AL39+AO39+AP39+AS39+AT39+AW39+AX39</f>
        <v>0</v>
      </c>
      <c r="BD39" s="170" t="n">
        <f aca="false">E39+I39+M39+Q39+U39+Y39+AC39+AG39+AK39+AO39+AS39+AW39</f>
        <v>0</v>
      </c>
      <c r="BE39" s="170" t="n">
        <f aca="false">SUM(K39:N39)+SUM(S39:V39)+SUM(AA39:AD39)+SUM(AM39:AX39)</f>
        <v>2</v>
      </c>
      <c r="BF39" s="174" t="s">
        <v>106</v>
      </c>
      <c r="BG39" s="172"/>
      <c r="BH39" s="172"/>
    </row>
    <row r="40" customFormat="false" ht="54.95" hidden="false" customHeight="true" outlineLevel="0" collapsed="false">
      <c r="A40" s="147" t="s">
        <v>29</v>
      </c>
      <c r="B40" s="147"/>
      <c r="C40" s="175" t="n">
        <f aca="false">SUM(C14:C18)</f>
        <v>0</v>
      </c>
      <c r="D40" s="175" t="n">
        <f aca="false">SUM(D14:D18)</f>
        <v>0</v>
      </c>
      <c r="E40" s="175" t="n">
        <f aca="false">SUM(E14:E18)</f>
        <v>0</v>
      </c>
      <c r="F40" s="175" t="n">
        <f aca="false">SUM(F14:F18)</f>
        <v>0</v>
      </c>
      <c r="G40" s="175" t="n">
        <f aca="false">SUM(G14:G18)</f>
        <v>1</v>
      </c>
      <c r="H40" s="175" t="n">
        <f aca="false">SUM(H14:H18)</f>
        <v>0</v>
      </c>
      <c r="I40" s="175" t="n">
        <f aca="false">SUM(I14:I18)</f>
        <v>2</v>
      </c>
      <c r="J40" s="175" t="n">
        <f aca="false">SUM(J14:J18)</f>
        <v>0</v>
      </c>
      <c r="K40" s="175" t="n">
        <f aca="false">SUM(K14:K18)</f>
        <v>0</v>
      </c>
      <c r="L40" s="175" t="n">
        <f aca="false">SUM(L14:L18)</f>
        <v>5</v>
      </c>
      <c r="M40" s="175" t="n">
        <f aca="false">SUM(M14:M18)</f>
        <v>1</v>
      </c>
      <c r="N40" s="175" t="n">
        <f aca="false">SUM(N14:N18)</f>
        <v>2</v>
      </c>
      <c r="O40" s="175" t="n">
        <f aca="false">SUM(O14:O18)</f>
        <v>1</v>
      </c>
      <c r="P40" s="175" t="n">
        <f aca="false">SUM(P14:P18)</f>
        <v>0</v>
      </c>
      <c r="Q40" s="175" t="n">
        <f aca="false">SUM(Q14:Q18)</f>
        <v>0</v>
      </c>
      <c r="R40" s="175" t="n">
        <f aca="false">SUM(R14:R18)</f>
        <v>0</v>
      </c>
      <c r="S40" s="175" t="n">
        <f aca="false">SUM(S14:S18)</f>
        <v>0</v>
      </c>
      <c r="T40" s="175" t="n">
        <f aca="false">SUM(T14:T18)</f>
        <v>0</v>
      </c>
      <c r="U40" s="175" t="n">
        <f aca="false">SUM(U14:U18)</f>
        <v>0</v>
      </c>
      <c r="V40" s="175" t="n">
        <f aca="false">SUM(V14:V18)</f>
        <v>0</v>
      </c>
      <c r="W40" s="175" t="n">
        <f aca="false">SUM(W14:W18)</f>
        <v>1</v>
      </c>
      <c r="X40" s="175" t="n">
        <f aca="false">SUM(X14:X18)</f>
        <v>0</v>
      </c>
      <c r="Y40" s="175" t="n">
        <f aca="false">SUM(Y14:Y18)</f>
        <v>0</v>
      </c>
      <c r="Z40" s="175" t="n">
        <f aca="false">SUM(Z14:Z18)</f>
        <v>0</v>
      </c>
      <c r="AA40" s="175" t="n">
        <f aca="false">SUM(AA14:AA18)</f>
        <v>0</v>
      </c>
      <c r="AB40" s="175" t="n">
        <f aca="false">SUM(AB14:AB18)</f>
        <v>4</v>
      </c>
      <c r="AC40" s="175" t="n">
        <f aca="false">SUM(AC14:AC18)</f>
        <v>0</v>
      </c>
      <c r="AD40" s="175" t="n">
        <f aca="false">SUM(AD14:AD18)</f>
        <v>0</v>
      </c>
      <c r="AE40" s="175" t="n">
        <f aca="false">SUM(AE14:AE18)</f>
        <v>0</v>
      </c>
      <c r="AF40" s="175" t="n">
        <f aca="false">SUM(AF14:AF18)</f>
        <v>1</v>
      </c>
      <c r="AG40" s="175" t="n">
        <f aca="false">SUM(AG14:AG18)</f>
        <v>0</v>
      </c>
      <c r="AH40" s="175" t="n">
        <f aca="false">SUM(AH14:AH18)</f>
        <v>0</v>
      </c>
      <c r="AI40" s="175" t="n">
        <f aca="false">SUM(AI14:AI18)</f>
        <v>2</v>
      </c>
      <c r="AJ40" s="175" t="n">
        <f aca="false">SUM(AJ14:AJ18)</f>
        <v>1</v>
      </c>
      <c r="AK40" s="175" t="n">
        <f aca="false">SUM(AK14:AK18)</f>
        <v>0</v>
      </c>
      <c r="AL40" s="175" t="n">
        <f aca="false">SUM(AL14:AL18)</f>
        <v>0</v>
      </c>
      <c r="AM40" s="175" t="n">
        <f aca="false">SUM(AM14:AM18)</f>
        <v>1</v>
      </c>
      <c r="AN40" s="175" t="n">
        <f aca="false">SUM(AN14:AN18)</f>
        <v>1</v>
      </c>
      <c r="AO40" s="175" t="n">
        <f aca="false">SUM(AO14:AO18)</f>
        <v>0</v>
      </c>
      <c r="AP40" s="175" t="n">
        <f aca="false">SUM(AP14:AP18)</f>
        <v>0</v>
      </c>
      <c r="AQ40" s="175" t="n">
        <f aca="false">SUM(AQ14:AQ18)</f>
        <v>0</v>
      </c>
      <c r="AR40" s="175" t="n">
        <f aca="false">SUM(AR14:AR18)</f>
        <v>0</v>
      </c>
      <c r="AS40" s="175" t="n">
        <f aca="false">SUM(AS14:AS18)</f>
        <v>0</v>
      </c>
      <c r="AT40" s="175" t="n">
        <f aca="false">SUM(AT14:AT18)</f>
        <v>0</v>
      </c>
      <c r="AU40" s="175" t="n">
        <f aca="false">SUM(AU14:AU18)</f>
        <v>0</v>
      </c>
      <c r="AV40" s="175" t="n">
        <f aca="false">SUM(AV14:AV18)</f>
        <v>2</v>
      </c>
      <c r="AW40" s="175" t="n">
        <f aca="false">SUM(AW14:AW18)</f>
        <v>0</v>
      </c>
      <c r="AX40" s="175" t="n">
        <f aca="false">SUM(AX14:AX18)</f>
        <v>0</v>
      </c>
      <c r="AY40" s="176" t="s">
        <v>29</v>
      </c>
      <c r="AZ40" s="176"/>
      <c r="BA40" s="177" t="n">
        <f aca="false">SUM(C40:AX40)</f>
        <v>25</v>
      </c>
      <c r="BB40" s="178" t="n">
        <f aca="false">C40+E40+G40+I40+K40+M40+O40+Q40+S40+U40+W40+Y40+AA40+AC40+AE40+AG40+AI40+AK40+AM40+AO40+AQ40+AS40+AU40+AW40</f>
        <v>9</v>
      </c>
      <c r="BC40" s="178" t="n">
        <f aca="false">E40+F40+I40+J40+M40+N40+Q40+R40+U40+V40+Y40+Z40+AC40+AD40+AG40+AH40+AK40+AL40+AO40+AP40+AS40+AT40+AW40+AX40</f>
        <v>5</v>
      </c>
      <c r="BD40" s="178" t="n">
        <f aca="false">E40+I40+M40+Q40+U40+Y40+AC40+AG40+AK40+AO40+AS40+AW40</f>
        <v>3</v>
      </c>
      <c r="BE40" s="178" t="n">
        <f aca="false">SUM(K40:N40)+SUM(S40:V40)+SUM(AA40:AD40)+SUM(AM40:AX40)</f>
        <v>16</v>
      </c>
      <c r="BF40" s="173"/>
      <c r="BG40" s="172"/>
      <c r="BH40" s="172"/>
    </row>
    <row r="41" customFormat="false" ht="42.75" hidden="false" customHeight="true" outlineLevel="0" collapsed="false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79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79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47" t="str">
        <f aca="false">IF($BA$35=MAX($BA$35:$BA$39),AY35,IF($BA$36=MAX($BA$35:$BA$39),AY36,IF($BA$37=MAX($BA$35:$BA$39),AY37,IF($BA$38=MAX($BA$35:$BA$39),AY38,IF($BA$39=MAX($BA$35:$BA$39),AY39,AY38)))))</f>
        <v>7:30 à 8:00</v>
      </c>
      <c r="AZ41" s="147"/>
      <c r="BA41" s="181" t="n">
        <f aca="false">IF($BA$35=MAX($BA$35:$BA$39),BA35,IF($BA$36=MAX($BA$35:$BA$39),BA36,IF($BA$37=MAX($BA$35:$BA$39),BA37,IF($BA$38=MAX($BA$35:$BA$39),BA38,IF($BA$39=MAX($BA$35:$BA$39),BA39,BA38)))))</f>
        <v>11</v>
      </c>
      <c r="BB41" s="181" t="n">
        <f aca="false">IF($BA$35=MAX($BA$35:$BA$39),BB35,IF($BA$36=MAX($BA$35:$BA$39),BB36,IF($BA$37=MAX($BA$35:$BA$39),BB37,IF($BA$38=MAX($BA$35:$BA$39),BB38,IF($BA$39=MAX($BA$35:$BA$39),BB39,BB38)))))</f>
        <v>6</v>
      </c>
      <c r="BC41" s="181" t="n">
        <f aca="false">IF($BA$35=MAX($BA$35:$BA$39),BC35,IF($BA$36=MAX($BA$35:$BA$39),BC36,IF($BA$37=MAX($BA$35:$BA$39),BC37,IF($BA$38=MAX($BA$35:$BA$39),BC38,IF($BA$39=MAX($BA$35:$BA$39),BC39,BC38)))))</f>
        <v>4</v>
      </c>
      <c r="BD41" s="181" t="n">
        <f aca="false">IF($BA$35=MAX($BA$35:$BA$39),BD35,IF($BA$36=MAX($BA$35:$BA$39),BD36,IF($BA$37=MAX($BA$35:$BA$39),BD37,IF($BA$38=MAX($BA$35:$BA$39),BD38,IF($BA$39=MAX($BA$35:$BA$39),BD39,BD38)))))</f>
        <v>3</v>
      </c>
      <c r="BE41" s="181" t="n">
        <f aca="false">IF($BA$35=MAX($BA$35:$BA$39),BE35,IF($BA$36=MAX($BA$35:$BA$39),BE36,IF($BA$37=MAX($BA$35:$BA$39),BE37,IF($BA$38=MAX($BA$35:$BA$39),BE38,IF($BA$39=MAX($BA$35:$BA$39),BE39,BE38)))))</f>
        <v>6</v>
      </c>
      <c r="BF41" s="173"/>
      <c r="BG41" s="172"/>
      <c r="BH41" s="172"/>
    </row>
    <row r="42" customFormat="false" ht="20.25" hidden="false" customHeight="true" outlineLevel="0" collapsed="false">
      <c r="A42" s="182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2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2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62"/>
      <c r="AZ42" s="160"/>
      <c r="BA42" s="163" t="s">
        <v>29</v>
      </c>
      <c r="BB42" s="184" t="s">
        <v>45</v>
      </c>
      <c r="BC42" s="184" t="s">
        <v>46</v>
      </c>
      <c r="BD42" s="184" t="s">
        <v>47</v>
      </c>
      <c r="BE42" s="184" t="str">
        <f aca="false">BE31</f>
        <v>Cycles sur route de Reignier</v>
      </c>
      <c r="BF42" s="164" t="s">
        <v>67</v>
      </c>
      <c r="BG42" s="164"/>
      <c r="BH42" s="164"/>
    </row>
    <row r="43" customFormat="false" ht="20.25" hidden="false" customHeight="false" outlineLevel="0" collapsed="false">
      <c r="A43" s="182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62"/>
      <c r="AZ43" s="160"/>
      <c r="BA43" s="163"/>
      <c r="BB43" s="184"/>
      <c r="BC43" s="184"/>
      <c r="BD43" s="184"/>
      <c r="BE43" s="184"/>
      <c r="BF43" s="164"/>
      <c r="BG43" s="164"/>
      <c r="BH43" s="164"/>
      <c r="BI43" s="183"/>
    </row>
    <row r="44" customFormat="false" ht="20.25" hidden="false" customHeight="false" outlineLevel="0" collapsed="false">
      <c r="A44" s="182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67"/>
      <c r="AZ44" s="160"/>
      <c r="BA44" s="163"/>
      <c r="BB44" s="184"/>
      <c r="BC44" s="184"/>
      <c r="BD44" s="184"/>
      <c r="BE44" s="184"/>
      <c r="BF44" s="164"/>
      <c r="BG44" s="164"/>
      <c r="BH44" s="164"/>
      <c r="BI44" s="183"/>
    </row>
    <row r="45" customFormat="false" ht="20.25" hidden="false" customHeight="false" outlineLevel="0" collapsed="false">
      <c r="A45" s="182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47" t="s">
        <v>21</v>
      </c>
      <c r="AZ45" s="147"/>
      <c r="BA45" s="163"/>
      <c r="BB45" s="184"/>
      <c r="BC45" s="184"/>
      <c r="BD45" s="184"/>
      <c r="BE45" s="184"/>
      <c r="BF45" s="164"/>
      <c r="BG45" s="164"/>
      <c r="BH45" s="164"/>
      <c r="BI45" s="183"/>
    </row>
    <row r="46" customFormat="false" ht="35.1" hidden="false" customHeight="true" outlineLevel="0" collapsed="false">
      <c r="A46" s="182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47" t="str">
        <f aca="false">AY35</f>
        <v>6:30 à 7:00</v>
      </c>
      <c r="AZ46" s="147"/>
      <c r="BA46" s="185"/>
      <c r="BB46" s="186" t="n">
        <f aca="false">IF(BB35=0,0,BB35/BA35)</f>
        <v>0</v>
      </c>
      <c r="BC46" s="186" t="n">
        <f aca="false">IF(BC35=0,0,BC35/BA35)</f>
        <v>0</v>
      </c>
      <c r="BD46" s="186" t="n">
        <f aca="false">IF(BD35=0,0,BD35/BB35)</f>
        <v>0</v>
      </c>
      <c r="BE46" s="186" t="n">
        <f aca="false">IF(BE35=0,0,BE35/BA35)</f>
        <v>1</v>
      </c>
      <c r="BF46" s="173"/>
      <c r="BG46" s="172"/>
      <c r="BH46" s="172"/>
      <c r="BI46" s="183"/>
    </row>
    <row r="47" customFormat="false" ht="35.1" hidden="false" customHeight="true" outlineLevel="0" collapsed="false">
      <c r="A47" s="182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47" t="str">
        <f aca="false">AY36</f>
        <v>7:00 à 7:30</v>
      </c>
      <c r="AZ47" s="147"/>
      <c r="BA47" s="185"/>
      <c r="BB47" s="186" t="n">
        <f aca="false">IF(BB37=0,0,BB37/BA37)</f>
        <v>0.545454545454545</v>
      </c>
      <c r="BC47" s="186" t="n">
        <f aca="false">IF(BC37=0,0,BC37/BA37)</f>
        <v>0.363636363636364</v>
      </c>
      <c r="BD47" s="186" t="n">
        <f aca="false">IF(BD37=0,0,BD37/BB37)</f>
        <v>0.5</v>
      </c>
      <c r="BE47" s="186" t="n">
        <f aca="false">IF(BE37=0,0,BE37/BA37)</f>
        <v>0.545454545454545</v>
      </c>
      <c r="BF47" s="173"/>
      <c r="BG47" s="172"/>
      <c r="BH47" s="172"/>
      <c r="BI47" s="183"/>
    </row>
    <row r="48" customFormat="false" ht="35.1" hidden="false" customHeight="true" outlineLevel="0" collapsed="false">
      <c r="A48" s="182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47" t="str">
        <f aca="false">AY37</f>
        <v>7:30 à 8:00</v>
      </c>
      <c r="AZ48" s="147"/>
      <c r="BA48" s="185"/>
      <c r="BB48" s="186" t="n">
        <f aca="false">IF(BB37=0,0,BB37/BA37)</f>
        <v>0.545454545454545</v>
      </c>
      <c r="BC48" s="186" t="n">
        <f aca="false">IF(BC37=0,0,BC37/BA37)</f>
        <v>0.363636363636364</v>
      </c>
      <c r="BD48" s="186" t="n">
        <f aca="false">IF(BD37=0,0,BD37/BB37)</f>
        <v>0.5</v>
      </c>
      <c r="BE48" s="186" t="n">
        <f aca="false">IF(BE37=0,0,BE37/BA37)</f>
        <v>0.545454545454545</v>
      </c>
      <c r="BF48" s="173"/>
      <c r="BG48" s="172"/>
      <c r="BH48" s="172"/>
      <c r="BI48" s="183"/>
    </row>
    <row r="49" customFormat="false" ht="35.1" hidden="false" customHeight="true" outlineLevel="0" collapsed="false">
      <c r="A49" s="182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47" t="str">
        <f aca="false">AY38</f>
        <v>8:00 à 8:30</v>
      </c>
      <c r="AZ49" s="147"/>
      <c r="BA49" s="185"/>
      <c r="BB49" s="186" t="n">
        <f aca="false">IF(BB38=0,0,BB38/BA38)</f>
        <v>0.333333333333333</v>
      </c>
      <c r="BC49" s="186" t="n">
        <f aca="false">IF(BC38=0,0,BC38/BA38)</f>
        <v>0.166666666666667</v>
      </c>
      <c r="BD49" s="186" t="n">
        <f aca="false">IF(BD38=0,0,BD38/BB38)</f>
        <v>0</v>
      </c>
      <c r="BE49" s="186" t="n">
        <f aca="false">IF(BE38=0,0,BE38/BA38)</f>
        <v>0.666666666666667</v>
      </c>
      <c r="BF49" s="173"/>
      <c r="BG49" s="172"/>
      <c r="BH49" s="172"/>
      <c r="BI49" s="183"/>
    </row>
    <row r="50" customFormat="false" ht="35.1" hidden="false" customHeight="true" outlineLevel="0" collapsed="false">
      <c r="F50" s="183"/>
      <c r="K50" s="183"/>
      <c r="L50" s="183"/>
      <c r="M50" s="183"/>
      <c r="N50" s="183"/>
      <c r="O50" s="183"/>
      <c r="P50" s="183"/>
      <c r="Q50" s="183"/>
      <c r="AA50" s="183"/>
      <c r="AB50" s="183"/>
      <c r="AC50" s="183"/>
      <c r="AM50" s="183"/>
      <c r="AN50" s="183"/>
      <c r="AO50" s="183"/>
      <c r="AY50" s="147" t="str">
        <f aca="false">AY39</f>
        <v>8:30 à 9:00</v>
      </c>
      <c r="AZ50" s="147"/>
      <c r="BA50" s="185"/>
      <c r="BB50" s="186" t="n">
        <f aca="false">IF(BB39=0,0,BB39/BA39)</f>
        <v>0.333333333333333</v>
      </c>
      <c r="BC50" s="186" t="n">
        <f aca="false">IF(BC39=0,0,BC39/BA39)</f>
        <v>0</v>
      </c>
      <c r="BD50" s="186" t="n">
        <f aca="false">IF(BD39=0,0,BD39/BB39)</f>
        <v>0</v>
      </c>
      <c r="BE50" s="186" t="n">
        <f aca="false">IF(BE39=0,0,BE39/BA39)</f>
        <v>0.666666666666667</v>
      </c>
      <c r="BF50" s="173"/>
      <c r="BG50" s="172"/>
      <c r="BH50" s="172"/>
    </row>
    <row r="51" customFormat="false" ht="35.1" hidden="false" customHeight="true" outlineLevel="0" collapsed="false">
      <c r="F51" s="183"/>
      <c r="K51" s="183"/>
      <c r="L51" s="183"/>
      <c r="M51" s="183"/>
      <c r="N51" s="183"/>
      <c r="O51" s="183"/>
      <c r="P51" s="183"/>
      <c r="Q51" s="183"/>
      <c r="AA51" s="183"/>
      <c r="AB51" s="183"/>
      <c r="AC51" s="183"/>
      <c r="AM51" s="183"/>
      <c r="AN51" s="183"/>
      <c r="AO51" s="183"/>
      <c r="AY51" s="187" t="s">
        <v>29</v>
      </c>
      <c r="AZ51" s="187"/>
      <c r="BA51" s="169"/>
      <c r="BB51" s="186" t="n">
        <f aca="false">IF(BB40=0,0,BB40/BA40)</f>
        <v>0.36</v>
      </c>
      <c r="BC51" s="186" t="n">
        <f aca="false">IF(BC40=0,0,BC40/BA40)</f>
        <v>0.2</v>
      </c>
      <c r="BD51" s="186" t="n">
        <f aca="false">IF(BD40=0,0,BD40/BB40)</f>
        <v>0.333333333333333</v>
      </c>
      <c r="BE51" s="186" t="n">
        <f aca="false">IF(BE40=0,0,BE40/BA40)</f>
        <v>0.64</v>
      </c>
      <c r="BF51" s="173"/>
      <c r="BG51" s="172"/>
      <c r="BH51" s="172"/>
    </row>
    <row r="52" customFormat="false" ht="35.1" hidden="false" customHeight="true" outlineLevel="0" collapsed="false">
      <c r="AV52" s="188" t="s">
        <v>107</v>
      </c>
      <c r="AY52" s="147" t="str">
        <f aca="false">AY41</f>
        <v>7:30 à 8:00</v>
      </c>
      <c r="AZ52" s="147"/>
      <c r="BA52" s="181"/>
      <c r="BB52" s="189" t="n">
        <f aca="false">BB41/$BA$41</f>
        <v>0.545454545454545</v>
      </c>
      <c r="BC52" s="189" t="n">
        <f aca="false">BC41/$BA$41</f>
        <v>0.363636363636364</v>
      </c>
      <c r="BD52" s="189" t="n">
        <f aca="false">BD41/$BA$41</f>
        <v>0.272727272727273</v>
      </c>
      <c r="BE52" s="189" t="n">
        <f aca="false">BE41/$BA$41</f>
        <v>0.545454545454545</v>
      </c>
      <c r="BF52" s="173"/>
      <c r="BG52" s="172"/>
      <c r="BH52" s="172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5">
    <mergeCell ref="C10:N10"/>
    <mergeCell ref="O10:Z10"/>
    <mergeCell ref="AA10:AL10"/>
    <mergeCell ref="AM10:AX10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C31:N31"/>
    <mergeCell ref="O31:Z31"/>
    <mergeCell ref="AA31:AL31"/>
    <mergeCell ref="AM31:AX31"/>
    <mergeCell ref="BA31:BA34"/>
    <mergeCell ref="BB31:BB34"/>
    <mergeCell ref="BC31:BC34"/>
    <mergeCell ref="BD31:BD34"/>
    <mergeCell ref="BE31:BE34"/>
    <mergeCell ref="BF31:BH34"/>
    <mergeCell ref="C32:F32"/>
    <mergeCell ref="G32:J32"/>
    <mergeCell ref="K32:N32"/>
    <mergeCell ref="O32:R32"/>
    <mergeCell ref="S32:V32"/>
    <mergeCell ref="W32:Z32"/>
    <mergeCell ref="AA32:AD32"/>
    <mergeCell ref="AE32:AH32"/>
    <mergeCell ref="AI32:AL32"/>
    <mergeCell ref="AM32:AP32"/>
    <mergeCell ref="AQ32:AT32"/>
    <mergeCell ref="AU32:AX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34:B34"/>
    <mergeCell ref="AY34:AZ34"/>
    <mergeCell ref="A35:B35"/>
    <mergeCell ref="AY35:AZ35"/>
    <mergeCell ref="A36:B36"/>
    <mergeCell ref="AY36:AZ36"/>
    <mergeCell ref="A37:B37"/>
    <mergeCell ref="AY37:AZ37"/>
    <mergeCell ref="A38:B38"/>
    <mergeCell ref="AY38:AZ38"/>
    <mergeCell ref="A39:B39"/>
    <mergeCell ref="AY39:AZ39"/>
    <mergeCell ref="A40:B40"/>
    <mergeCell ref="AY40:AZ40"/>
    <mergeCell ref="AY41:AZ41"/>
    <mergeCell ref="BA42:BA45"/>
    <mergeCell ref="BB42:BB45"/>
    <mergeCell ref="BC42:BC45"/>
    <mergeCell ref="BD42:BD45"/>
    <mergeCell ref="BE42:BE45"/>
    <mergeCell ref="BF42:BH45"/>
    <mergeCell ref="AY45:AZ45"/>
    <mergeCell ref="AY46:AZ46"/>
    <mergeCell ref="AY47:AZ47"/>
    <mergeCell ref="AY48:AZ48"/>
    <mergeCell ref="AY49:AZ49"/>
    <mergeCell ref="AY50:AZ50"/>
    <mergeCell ref="AY51:AZ51"/>
    <mergeCell ref="AY52:AZ52"/>
  </mergeCells>
  <printOptions headings="false" gridLines="false" gridLinesSet="true" horizontalCentered="false" verticalCentered="false"/>
  <pageMargins left="0.196527777777778" right="0.196527777777778" top="0.590277777777778" bottom="0.590277777777778" header="0.511805555555555" footer="0.511805555555555"/>
  <pageSetup paperSize="9" scale="45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H5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I39" activeCellId="0" sqref="I39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9.88"/>
    <col collapsed="false" customWidth="false" hidden="false" outlineLevel="0" max="2" min="2" style="1" width="11.25"/>
    <col collapsed="false" customWidth="true" hidden="false" outlineLevel="0" max="18" min="3" style="1" width="15.62"/>
    <col collapsed="false" customWidth="false" hidden="false" outlineLevel="0" max="1015" min="19" style="1" width="11.25"/>
    <col collapsed="false" customWidth="true" hidden="false" outlineLevel="0" max="1016" min="1016" style="1" width="11.13"/>
    <col collapsed="false" customWidth="true" hidden="false" outlineLevel="0" max="1024" min="1017" style="0" width="10.5"/>
  </cols>
  <sheetData>
    <row r="1" s="2" customFormat="true" ht="52.5" hidden="false" customHeight="true" outlineLevel="0" collapsed="false">
      <c r="A1" s="3"/>
      <c r="B1" s="4" t="s">
        <v>108</v>
      </c>
      <c r="C1" s="5"/>
      <c r="D1" s="5"/>
      <c r="E1" s="4" t="s">
        <v>109</v>
      </c>
      <c r="G1" s="1"/>
      <c r="H1" s="81"/>
      <c r="I1" s="5"/>
      <c r="J1" s="5"/>
      <c r="K1" s="3" t="s">
        <v>2</v>
      </c>
      <c r="L1" s="2" t="s">
        <v>3</v>
      </c>
      <c r="O1" s="8"/>
      <c r="P1" s="5"/>
      <c r="Q1" s="5"/>
      <c r="R1" s="5"/>
      <c r="S1" s="5"/>
      <c r="T1" s="5"/>
      <c r="U1" s="5"/>
      <c r="V1" s="5"/>
      <c r="Y1" s="5"/>
      <c r="Z1" s="5"/>
      <c r="ALZ1" s="8"/>
      <c r="AMA1" s="8"/>
      <c r="AMB1" s="8"/>
    </row>
    <row r="2" s="2" customFormat="true" ht="52.5" hidden="false" customHeight="true" outlineLevel="0" collapsed="false">
      <c r="A2" s="3" t="s">
        <v>4</v>
      </c>
      <c r="B2" s="5"/>
      <c r="C2" s="5"/>
      <c r="D2" s="5"/>
      <c r="E2" s="5"/>
      <c r="G2" s="1" t="s">
        <v>50</v>
      </c>
      <c r="H2" s="5"/>
      <c r="I2" s="5"/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X2" s="5"/>
      <c r="Y2" s="5"/>
      <c r="Z2" s="5"/>
      <c r="ALZ2" s="8"/>
      <c r="AMA2" s="8"/>
      <c r="AMB2" s="8"/>
    </row>
    <row r="3" s="2" customFormat="true" ht="20.25" hidden="false" customHeight="true" outlineLevel="0" collapsed="false">
      <c r="A3" s="3" t="s">
        <v>6</v>
      </c>
      <c r="B3" s="5"/>
      <c r="C3" s="5"/>
      <c r="D3" s="5"/>
      <c r="E3" s="5"/>
      <c r="F3" s="5"/>
      <c r="G3" s="1"/>
      <c r="H3" s="5"/>
      <c r="I3" s="5"/>
      <c r="J3" s="5"/>
      <c r="K3" s="9" t="s">
        <v>7</v>
      </c>
      <c r="L3" s="5"/>
      <c r="M3" s="5"/>
      <c r="N3" s="5"/>
      <c r="O3" s="5"/>
      <c r="P3" s="8"/>
      <c r="Q3" s="5"/>
      <c r="R3" s="5"/>
      <c r="S3" s="5"/>
      <c r="T3" s="5"/>
      <c r="U3" s="5"/>
      <c r="V3" s="5"/>
      <c r="W3" s="5"/>
      <c r="X3" s="5"/>
      <c r="Y3" s="5"/>
      <c r="Z3" s="5"/>
      <c r="ALZ3" s="8"/>
      <c r="AMA3" s="8"/>
      <c r="AMB3" s="8"/>
    </row>
    <row r="4" s="8" customFormat="true" ht="4.5" hidden="false" customHeight="true" outlineLevel="0" collapsed="false"/>
    <row r="5" s="2" customFormat="true" ht="35.1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MB5" s="8"/>
    </row>
    <row r="6" s="2" customFormat="true" ht="35.1" hidden="false" customHeight="true" outlineLevel="0" collapsed="false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MB6" s="8"/>
    </row>
    <row r="7" s="2" customFormat="true" ht="35.1" hidden="false" customHeight="true" outlineLevel="0" collapsed="false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MB7" s="8"/>
    </row>
    <row r="8" customFormat="false" ht="25.5" hidden="false" customHeight="true" outlineLevel="0" collapsed="false">
      <c r="A8" s="118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="2" customFormat="true" ht="32.25" hidden="false" customHeight="true" outlineLevel="0" collapsed="false">
      <c r="A9" s="3"/>
      <c r="B9" s="5"/>
      <c r="C9" s="16" t="s">
        <v>110</v>
      </c>
      <c r="D9" s="16"/>
      <c r="E9" s="16"/>
      <c r="F9" s="16"/>
      <c r="G9" s="16"/>
      <c r="H9" s="16"/>
      <c r="I9" s="16"/>
      <c r="J9" s="16"/>
      <c r="K9" s="16" t="s">
        <v>111</v>
      </c>
      <c r="L9" s="16"/>
      <c r="M9" s="16"/>
      <c r="N9" s="16"/>
      <c r="O9" s="16"/>
      <c r="P9" s="16"/>
      <c r="Q9" s="16"/>
      <c r="R9" s="16"/>
      <c r="S9" s="190"/>
      <c r="T9" s="190"/>
      <c r="U9" s="190"/>
      <c r="V9" s="190"/>
      <c r="W9" s="190"/>
      <c r="X9" s="190"/>
      <c r="Y9" s="190"/>
      <c r="Z9" s="190"/>
      <c r="AMB9" s="8"/>
    </row>
    <row r="10" s="2" customFormat="true" ht="22.7" hidden="false" customHeight="true" outlineLevel="0" collapsed="false">
      <c r="A10" s="3"/>
      <c r="B10" s="5"/>
      <c r="C10" s="17" t="s">
        <v>112</v>
      </c>
      <c r="D10" s="17"/>
      <c r="E10" s="17"/>
      <c r="F10" s="17"/>
      <c r="G10" s="17" t="s">
        <v>113</v>
      </c>
      <c r="H10" s="17"/>
      <c r="I10" s="17"/>
      <c r="J10" s="17"/>
      <c r="K10" s="17" t="s">
        <v>101</v>
      </c>
      <c r="L10" s="17"/>
      <c r="M10" s="17"/>
      <c r="N10" s="17"/>
      <c r="O10" s="17" t="s">
        <v>113</v>
      </c>
      <c r="P10" s="17"/>
      <c r="Q10" s="17"/>
      <c r="R10" s="17"/>
      <c r="S10" s="191"/>
      <c r="T10" s="191"/>
      <c r="U10" s="191"/>
      <c r="V10" s="191"/>
      <c r="W10" s="191"/>
      <c r="X10" s="191"/>
      <c r="Y10" s="191"/>
      <c r="Z10" s="191"/>
      <c r="AMB10" s="8"/>
    </row>
    <row r="11" s="2" customFormat="true" ht="18.6" hidden="false" customHeight="true" outlineLevel="0" collapsed="false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92"/>
      <c r="T11" s="192"/>
      <c r="U11" s="192"/>
      <c r="V11" s="192"/>
      <c r="W11" s="192"/>
      <c r="X11" s="192"/>
      <c r="Y11" s="192"/>
      <c r="Z11" s="192"/>
      <c r="AMB11" s="8"/>
    </row>
    <row r="12" s="2" customFormat="true" ht="20.25" hidden="false" customHeight="false" outlineLevel="0" collapsed="false">
      <c r="A12" s="20" t="s">
        <v>21</v>
      </c>
      <c r="B12" s="20"/>
      <c r="C12" s="21" t="s">
        <v>22</v>
      </c>
      <c r="D12" s="21" t="s">
        <v>23</v>
      </c>
      <c r="E12" s="21" t="s">
        <v>22</v>
      </c>
      <c r="F12" s="21" t="s">
        <v>23</v>
      </c>
      <c r="G12" s="21" t="s">
        <v>22</v>
      </c>
      <c r="H12" s="21" t="s">
        <v>23</v>
      </c>
      <c r="I12" s="21" t="s">
        <v>22</v>
      </c>
      <c r="J12" s="21" t="s">
        <v>23</v>
      </c>
      <c r="K12" s="21" t="s">
        <v>22</v>
      </c>
      <c r="L12" s="21" t="s">
        <v>23</v>
      </c>
      <c r="M12" s="21" t="s">
        <v>22</v>
      </c>
      <c r="N12" s="21" t="s">
        <v>23</v>
      </c>
      <c r="O12" s="21" t="s">
        <v>22</v>
      </c>
      <c r="P12" s="21" t="s">
        <v>23</v>
      </c>
      <c r="Q12" s="21" t="s">
        <v>22</v>
      </c>
      <c r="R12" s="21" t="s">
        <v>23</v>
      </c>
      <c r="S12" s="32"/>
      <c r="T12" s="32"/>
      <c r="U12" s="32"/>
      <c r="V12" s="32"/>
      <c r="W12" s="32"/>
      <c r="X12" s="32"/>
      <c r="Y12" s="32"/>
      <c r="Z12" s="32"/>
      <c r="AMB12" s="8"/>
    </row>
    <row r="13" customFormat="false" ht="69.75" hidden="false" customHeight="true" outlineLevel="0" collapsed="false">
      <c r="A13" s="88" t="n">
        <v>0.270833333333333</v>
      </c>
      <c r="B13" s="88" t="n">
        <v>0.291666666666667</v>
      </c>
      <c r="C13" s="25"/>
      <c r="D13" s="25"/>
      <c r="E13" s="25" t="n">
        <v>1</v>
      </c>
      <c r="F13" s="25"/>
      <c r="G13" s="25" t="n">
        <v>1</v>
      </c>
      <c r="H13" s="25"/>
      <c r="I13" s="25"/>
      <c r="J13" s="25"/>
      <c r="K13" s="25"/>
      <c r="L13" s="25" t="n">
        <v>1</v>
      </c>
      <c r="M13" s="25"/>
      <c r="N13" s="25"/>
      <c r="O13" s="25"/>
      <c r="P13" s="25"/>
      <c r="Q13" s="25"/>
      <c r="R13" s="25"/>
      <c r="S13" s="33" t="n">
        <f aca="false">SUM(C13:R13)</f>
        <v>3</v>
      </c>
      <c r="T13" s="33"/>
      <c r="U13" s="33"/>
      <c r="V13" s="33"/>
      <c r="W13" s="33"/>
      <c r="X13" s="33"/>
      <c r="Y13" s="33"/>
      <c r="Z13" s="33"/>
    </row>
    <row r="14" customFormat="false" ht="69.95" hidden="false" customHeight="true" outlineLevel="0" collapsed="false">
      <c r="A14" s="88" t="n">
        <v>0.291666666666667</v>
      </c>
      <c r="B14" s="88" t="n">
        <v>0.3125</v>
      </c>
      <c r="C14" s="25" t="n">
        <v>2</v>
      </c>
      <c r="D14" s="25" t="n">
        <v>1</v>
      </c>
      <c r="E14" s="25" t="n">
        <v>1</v>
      </c>
      <c r="F14" s="25"/>
      <c r="G14" s="25"/>
      <c r="H14" s="25"/>
      <c r="I14" s="25"/>
      <c r="J14" s="25"/>
      <c r="K14" s="25"/>
      <c r="L14" s="25" t="n">
        <v>2</v>
      </c>
      <c r="M14" s="25"/>
      <c r="N14" s="25"/>
      <c r="O14" s="25"/>
      <c r="P14" s="25"/>
      <c r="Q14" s="25" t="n">
        <v>1</v>
      </c>
      <c r="R14" s="25"/>
      <c r="S14" s="33" t="n">
        <f aca="false">SUM(C14:R14)</f>
        <v>7</v>
      </c>
      <c r="T14" s="33"/>
      <c r="U14" s="33"/>
      <c r="V14" s="33"/>
      <c r="W14" s="33"/>
      <c r="X14" s="33"/>
      <c r="Y14" s="33"/>
      <c r="Z14" s="33"/>
    </row>
    <row r="15" customFormat="false" ht="69.95" hidden="false" customHeight="true" outlineLevel="0" collapsed="false">
      <c r="A15" s="88" t="n">
        <v>0.3125</v>
      </c>
      <c r="B15" s="88" t="n">
        <v>0.333333333333333</v>
      </c>
      <c r="C15" s="25"/>
      <c r="D15" s="25"/>
      <c r="E15" s="25"/>
      <c r="F15" s="25"/>
      <c r="G15" s="25" t="n">
        <v>1</v>
      </c>
      <c r="H15" s="25"/>
      <c r="I15" s="25"/>
      <c r="J15" s="25"/>
      <c r="K15" s="25" t="n">
        <v>1</v>
      </c>
      <c r="L15" s="25"/>
      <c r="M15" s="25" t="n">
        <v>1</v>
      </c>
      <c r="N15" s="25"/>
      <c r="O15" s="25"/>
      <c r="P15" s="25"/>
      <c r="Q15" s="25"/>
      <c r="R15" s="25"/>
      <c r="S15" s="33" t="n">
        <f aca="false">SUM(C15:R15)</f>
        <v>3</v>
      </c>
      <c r="T15" s="33"/>
      <c r="U15" s="33"/>
      <c r="V15" s="33"/>
      <c r="W15" s="33"/>
      <c r="X15" s="33"/>
      <c r="Y15" s="33"/>
      <c r="Z15" s="33"/>
    </row>
    <row r="16" customFormat="false" ht="69.95" hidden="false" customHeight="true" outlineLevel="0" collapsed="false">
      <c r="A16" s="88" t="n">
        <v>0.333333333333333</v>
      </c>
      <c r="B16" s="88" t="n">
        <v>0.354166666666667</v>
      </c>
      <c r="C16" s="25" t="n">
        <v>1</v>
      </c>
      <c r="D16" s="25" t="n">
        <v>1</v>
      </c>
      <c r="E16" s="25"/>
      <c r="F16" s="25" t="n">
        <v>1</v>
      </c>
      <c r="G16" s="25"/>
      <c r="H16" s="25"/>
      <c r="I16" s="25"/>
      <c r="J16" s="25"/>
      <c r="K16" s="25" t="n">
        <v>1</v>
      </c>
      <c r="L16" s="25" t="n">
        <v>1</v>
      </c>
      <c r="M16" s="25" t="n">
        <v>1</v>
      </c>
      <c r="N16" s="25"/>
      <c r="O16" s="25"/>
      <c r="P16" s="25"/>
      <c r="Q16" s="25"/>
      <c r="R16" s="25"/>
      <c r="S16" s="33" t="n">
        <f aca="false">SUM(C16:R16)</f>
        <v>6</v>
      </c>
      <c r="T16" s="33"/>
      <c r="U16" s="33"/>
      <c r="V16" s="33"/>
      <c r="W16" s="33"/>
      <c r="X16" s="33"/>
      <c r="Y16" s="33"/>
      <c r="Z16" s="33"/>
    </row>
    <row r="17" customFormat="false" ht="69.95" hidden="false" customHeight="true" outlineLevel="0" collapsed="false">
      <c r="A17" s="88" t="n">
        <v>0.354166666666667</v>
      </c>
      <c r="B17" s="88" t="n">
        <v>0.375</v>
      </c>
      <c r="C17" s="25"/>
      <c r="D17" s="25" t="n">
        <v>2</v>
      </c>
      <c r="E17" s="25" t="n">
        <v>1</v>
      </c>
      <c r="F17" s="25" t="n">
        <v>1</v>
      </c>
      <c r="G17" s="25"/>
      <c r="H17" s="25"/>
      <c r="I17" s="25"/>
      <c r="J17" s="25" t="n">
        <v>1</v>
      </c>
      <c r="K17" s="25" t="n">
        <v>1</v>
      </c>
      <c r="L17" s="25" t="n">
        <v>1</v>
      </c>
      <c r="M17" s="25"/>
      <c r="N17" s="25"/>
      <c r="O17" s="25"/>
      <c r="P17" s="25"/>
      <c r="Q17" s="25"/>
      <c r="R17" s="25"/>
      <c r="S17" s="33" t="n">
        <f aca="false">SUM(C17:R17)</f>
        <v>7</v>
      </c>
      <c r="T17" s="33"/>
      <c r="U17" s="33"/>
      <c r="V17" s="33"/>
      <c r="W17" s="33"/>
      <c r="X17" s="33"/>
      <c r="Y17" s="33"/>
      <c r="Z17" s="33"/>
    </row>
    <row r="18" customFormat="false" ht="12" hidden="false" customHeight="true" outlineLevel="0" collapsed="false">
      <c r="A18" s="32"/>
      <c r="B18" s="32"/>
      <c r="C18" s="33"/>
      <c r="D18" s="33"/>
      <c r="E18" s="33"/>
      <c r="F18" s="33"/>
      <c r="G18" s="33"/>
      <c r="H18" s="33"/>
      <c r="I18" s="33"/>
      <c r="J18" s="33"/>
    </row>
    <row r="19" s="2" customFormat="true" ht="32.25" hidden="false" customHeight="true" outlineLevel="0" collapsed="false">
      <c r="A19" s="3"/>
      <c r="B19" s="5"/>
      <c r="C19" s="16" t="s">
        <v>114</v>
      </c>
      <c r="D19" s="16"/>
      <c r="E19" s="16"/>
      <c r="F19" s="16"/>
      <c r="G19" s="16"/>
      <c r="H19" s="16"/>
      <c r="I19" s="16"/>
      <c r="J19" s="1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MB19" s="8"/>
    </row>
    <row r="20" s="2" customFormat="true" ht="22.7" hidden="false" customHeight="true" outlineLevel="0" collapsed="false">
      <c r="A20" s="3"/>
      <c r="B20" s="5"/>
      <c r="C20" s="17" t="s">
        <v>115</v>
      </c>
      <c r="D20" s="17"/>
      <c r="E20" s="17"/>
      <c r="F20" s="17"/>
      <c r="G20" s="17" t="s">
        <v>101</v>
      </c>
      <c r="H20" s="17"/>
      <c r="I20" s="17"/>
      <c r="J20" s="17"/>
      <c r="K20" s="190"/>
      <c r="L20" s="190"/>
      <c r="M20" s="190"/>
      <c r="N20" s="190"/>
      <c r="O20" s="190"/>
      <c r="P20" s="190"/>
      <c r="Q20" s="190"/>
      <c r="R20" s="190"/>
      <c r="S20" s="191"/>
      <c r="T20" s="191"/>
      <c r="U20" s="191"/>
      <c r="V20" s="191"/>
      <c r="W20" s="191"/>
      <c r="X20" s="191"/>
      <c r="Y20" s="191"/>
      <c r="Z20" s="191"/>
      <c r="AMB20" s="8"/>
    </row>
    <row r="21" s="2" customFormat="true" ht="18.6" hidden="false" customHeight="true" outlineLevel="0" collapsed="false">
      <c r="A21" s="3"/>
      <c r="B21" s="5"/>
      <c r="C21" s="18" t="s">
        <v>18</v>
      </c>
      <c r="D21" s="18"/>
      <c r="E21" s="18" t="s">
        <v>19</v>
      </c>
      <c r="F21" s="18"/>
      <c r="G21" s="18" t="s">
        <v>18</v>
      </c>
      <c r="H21" s="18"/>
      <c r="I21" s="18" t="s">
        <v>19</v>
      </c>
      <c r="J21" s="18"/>
      <c r="K21" s="190"/>
      <c r="L21" s="190"/>
      <c r="M21" s="190"/>
      <c r="N21" s="190"/>
      <c r="O21" s="190"/>
      <c r="P21" s="190"/>
      <c r="Q21" s="190"/>
      <c r="R21" s="190"/>
      <c r="S21" s="192"/>
      <c r="T21" s="192"/>
      <c r="U21" s="192"/>
      <c r="V21" s="192"/>
      <c r="W21" s="192"/>
      <c r="X21" s="192"/>
      <c r="Y21" s="192"/>
      <c r="Z21" s="192"/>
      <c r="AMB21" s="8"/>
    </row>
    <row r="22" s="2" customFormat="true" ht="30" hidden="false" customHeight="false" outlineLevel="0" collapsed="false">
      <c r="A22" s="20" t="s">
        <v>21</v>
      </c>
      <c r="B22" s="20"/>
      <c r="C22" s="21" t="s">
        <v>22</v>
      </c>
      <c r="D22" s="21" t="s">
        <v>23</v>
      </c>
      <c r="E22" s="21" t="s">
        <v>22</v>
      </c>
      <c r="F22" s="21" t="s">
        <v>23</v>
      </c>
      <c r="G22" s="21" t="s">
        <v>22</v>
      </c>
      <c r="H22" s="21" t="s">
        <v>23</v>
      </c>
      <c r="I22" s="21" t="s">
        <v>22</v>
      </c>
      <c r="J22" s="21" t="s">
        <v>23</v>
      </c>
      <c r="K22" s="190"/>
      <c r="L22" s="190"/>
      <c r="M22" s="190"/>
      <c r="N22" s="190"/>
      <c r="O22" s="190"/>
      <c r="P22" s="190"/>
      <c r="Q22" s="190"/>
      <c r="R22" s="190"/>
      <c r="S22" s="32"/>
      <c r="T22" s="32"/>
      <c r="U22" s="32"/>
      <c r="V22" s="32"/>
      <c r="W22" s="32"/>
      <c r="X22" s="32"/>
      <c r="Y22" s="32"/>
      <c r="Z22" s="32"/>
      <c r="AMB22" s="8"/>
    </row>
    <row r="23" customFormat="false" ht="69.95" hidden="false" customHeight="true" outlineLevel="0" collapsed="false">
      <c r="A23" s="88" t="n">
        <v>0.270833333333333</v>
      </c>
      <c r="B23" s="88" t="n">
        <v>0.291666666666667</v>
      </c>
      <c r="C23" s="25"/>
      <c r="D23" s="25"/>
      <c r="E23" s="25" t="n">
        <v>1</v>
      </c>
      <c r="F23" s="25"/>
      <c r="G23" s="25" t="n">
        <v>1</v>
      </c>
      <c r="H23" s="25"/>
      <c r="I23" s="25"/>
      <c r="J23" s="25"/>
      <c r="K23" s="33" t="n">
        <f aca="false">SUM(C23:J23)</f>
        <v>2</v>
      </c>
      <c r="L23" s="190"/>
      <c r="M23" s="193"/>
      <c r="N23" s="190"/>
      <c r="O23" s="190"/>
      <c r="P23" s="190"/>
      <c r="Q23" s="190"/>
      <c r="R23" s="190"/>
      <c r="S23" s="33"/>
      <c r="T23" s="33"/>
      <c r="U23" s="33"/>
      <c r="V23" s="33"/>
      <c r="W23" s="33"/>
      <c r="X23" s="33"/>
      <c r="Y23" s="33"/>
      <c r="Z23" s="33"/>
    </row>
    <row r="24" customFormat="false" ht="69.95" hidden="false" customHeight="true" outlineLevel="0" collapsed="false">
      <c r="A24" s="88" t="n">
        <v>0.291666666666667</v>
      </c>
      <c r="B24" s="88" t="n">
        <v>0.3125</v>
      </c>
      <c r="C24" s="25" t="n">
        <v>1</v>
      </c>
      <c r="D24" s="25" t="n">
        <v>1</v>
      </c>
      <c r="E24" s="25"/>
      <c r="F24" s="25"/>
      <c r="G24" s="25" t="n">
        <v>3</v>
      </c>
      <c r="H24" s="25" t="n">
        <v>1</v>
      </c>
      <c r="I24" s="25"/>
      <c r="J24" s="25"/>
      <c r="K24" s="33" t="n">
        <f aca="false">SUM(C24:J24)</f>
        <v>6</v>
      </c>
      <c r="L24" s="190"/>
      <c r="M24" s="193"/>
      <c r="N24" s="190"/>
      <c r="O24" s="190"/>
      <c r="P24" s="190"/>
      <c r="Q24" s="190"/>
      <c r="R24" s="190"/>
      <c r="S24" s="33"/>
      <c r="T24" s="33"/>
      <c r="U24" s="33"/>
      <c r="V24" s="33"/>
      <c r="W24" s="33"/>
      <c r="X24" s="33"/>
      <c r="Y24" s="33"/>
      <c r="Z24" s="33"/>
    </row>
    <row r="25" customFormat="false" ht="69.95" hidden="false" customHeight="true" outlineLevel="0" collapsed="false">
      <c r="A25" s="88" t="n">
        <v>0.3125</v>
      </c>
      <c r="B25" s="88" t="n">
        <v>0.333333333333333</v>
      </c>
      <c r="C25" s="25"/>
      <c r="D25" s="25"/>
      <c r="E25" s="25"/>
      <c r="F25" s="25"/>
      <c r="G25" s="25"/>
      <c r="H25" s="25"/>
      <c r="I25" s="25"/>
      <c r="J25" s="25"/>
      <c r="K25" s="33" t="n">
        <f aca="false">SUM(C25:J25)</f>
        <v>0</v>
      </c>
      <c r="L25" s="190"/>
      <c r="M25" s="193"/>
      <c r="N25" s="190"/>
      <c r="O25" s="190"/>
      <c r="P25" s="190"/>
      <c r="Q25" s="190"/>
      <c r="R25" s="190"/>
      <c r="S25" s="33"/>
      <c r="T25" s="33"/>
      <c r="U25" s="33"/>
      <c r="V25" s="33"/>
      <c r="W25" s="33"/>
      <c r="X25" s="33"/>
      <c r="Y25" s="33"/>
      <c r="Z25" s="33"/>
    </row>
    <row r="26" customFormat="false" ht="69.95" hidden="false" customHeight="true" outlineLevel="0" collapsed="false">
      <c r="A26" s="88" t="n">
        <v>0.333333333333333</v>
      </c>
      <c r="B26" s="88" t="n">
        <v>0.354166666666667</v>
      </c>
      <c r="C26" s="25"/>
      <c r="D26" s="25"/>
      <c r="E26" s="25" t="n">
        <v>1</v>
      </c>
      <c r="F26" s="25"/>
      <c r="G26" s="25" t="n">
        <v>1</v>
      </c>
      <c r="H26" s="25" t="n">
        <v>1</v>
      </c>
      <c r="I26" s="25" t="n">
        <v>1</v>
      </c>
      <c r="J26" s="25" t="n">
        <v>1</v>
      </c>
      <c r="K26" s="33" t="n">
        <f aca="false">SUM(C26:J26)</f>
        <v>5</v>
      </c>
      <c r="L26" s="190"/>
      <c r="N26" s="190"/>
      <c r="O26" s="190"/>
      <c r="P26" s="190"/>
      <c r="Q26" s="190"/>
      <c r="R26" s="190"/>
      <c r="S26" s="33"/>
      <c r="T26" s="33"/>
      <c r="U26" s="33"/>
      <c r="V26" s="33"/>
      <c r="W26" s="33"/>
      <c r="X26" s="33"/>
      <c r="Y26" s="33"/>
      <c r="Z26" s="33"/>
    </row>
    <row r="27" customFormat="false" ht="69.95" hidden="false" customHeight="true" outlineLevel="0" collapsed="false">
      <c r="A27" s="88" t="n">
        <v>0.354166666666667</v>
      </c>
      <c r="B27" s="88" t="n">
        <v>0.375</v>
      </c>
      <c r="C27" s="25"/>
      <c r="D27" s="25"/>
      <c r="E27" s="25" t="n">
        <v>1</v>
      </c>
      <c r="F27" s="25" t="n">
        <v>1</v>
      </c>
      <c r="G27" s="25"/>
      <c r="H27" s="25"/>
      <c r="I27" s="25"/>
      <c r="J27" s="25"/>
      <c r="K27" s="33" t="n">
        <f aca="false">SUM(C27:J27)</f>
        <v>2</v>
      </c>
      <c r="L27" s="190"/>
      <c r="M27" s="193"/>
      <c r="N27" s="190"/>
      <c r="O27" s="190"/>
      <c r="P27" s="190"/>
      <c r="Q27" s="190"/>
      <c r="R27" s="190"/>
      <c r="S27" s="33"/>
      <c r="T27" s="33"/>
      <c r="U27" s="33"/>
      <c r="V27" s="33"/>
      <c r="W27" s="33"/>
      <c r="X27" s="33"/>
      <c r="Y27" s="33"/>
      <c r="Z27" s="33"/>
    </row>
    <row r="28" customFormat="false" ht="12" hidden="false" customHeight="true" outlineLevel="0" collapsed="false">
      <c r="A28" s="32"/>
      <c r="B28" s="32"/>
      <c r="C28" s="33"/>
      <c r="D28" s="33"/>
      <c r="E28" s="33"/>
      <c r="F28" s="33"/>
      <c r="G28" s="33"/>
      <c r="H28" s="33"/>
      <c r="I28" s="33"/>
      <c r="J28" s="33"/>
    </row>
    <row r="29" s="31" customFormat="true" ht="34" hidden="false" customHeight="true" outlineLevel="0" collapsed="false">
      <c r="A29" s="27"/>
      <c r="B29" s="28" t="s">
        <v>25</v>
      </c>
      <c r="C29" s="29"/>
      <c r="D29" s="29"/>
      <c r="E29" s="30" t="n">
        <v>1</v>
      </c>
      <c r="F29" s="29"/>
      <c r="G29" s="29"/>
      <c r="H29" s="29"/>
      <c r="I29" s="29"/>
      <c r="J29" s="29"/>
      <c r="K29" s="29"/>
      <c r="L29" s="29"/>
      <c r="M29" s="155"/>
      <c r="N29" s="29"/>
      <c r="O29" s="29"/>
      <c r="P29" s="15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MC29" s="1"/>
      <c r="AMD29" s="1"/>
      <c r="AME29" s="1"/>
      <c r="AMF29" s="1"/>
      <c r="AMG29" s="1"/>
      <c r="AMH29" s="1"/>
    </row>
    <row r="30" s="31" customFormat="true" ht="34" hidden="false" customHeight="true" outlineLevel="0" collapsed="false">
      <c r="A30" s="27"/>
      <c r="B30" s="28" t="s">
        <v>36</v>
      </c>
      <c r="C30" s="29"/>
      <c r="D30" s="29"/>
      <c r="E30" s="30"/>
      <c r="F30" s="29"/>
      <c r="G30" s="29"/>
      <c r="H30" s="29"/>
      <c r="I30" s="29"/>
      <c r="J30" s="29"/>
      <c r="K30" s="29"/>
      <c r="L30" s="29"/>
      <c r="M30" s="155"/>
      <c r="N30" s="29"/>
      <c r="O30" s="29"/>
      <c r="P30" s="15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MC30" s="1"/>
      <c r="AMD30" s="1"/>
      <c r="AME30" s="1"/>
      <c r="AMF30" s="1"/>
      <c r="AMG30" s="1"/>
      <c r="AMH30" s="1"/>
    </row>
    <row r="31" s="31" customFormat="true" ht="34" hidden="false" customHeight="true" outlineLevel="0" collapsed="false">
      <c r="A31" s="27"/>
      <c r="B31" s="28" t="s">
        <v>27</v>
      </c>
      <c r="C31" s="29"/>
      <c r="D31" s="29"/>
      <c r="E31" s="30" t="n">
        <v>7</v>
      </c>
      <c r="F31" s="29"/>
      <c r="G31" s="29"/>
      <c r="H31" s="29"/>
      <c r="I31" s="29"/>
      <c r="J31" s="29"/>
      <c r="K31" s="29"/>
      <c r="L31" s="29"/>
      <c r="M31" s="155"/>
      <c r="N31" s="29"/>
      <c r="O31" s="29"/>
      <c r="P31" s="15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MC31" s="1"/>
      <c r="AMD31" s="1"/>
      <c r="AME31" s="1"/>
      <c r="AMF31" s="1"/>
      <c r="AMG31" s="1"/>
      <c r="AMH31" s="1"/>
    </row>
    <row r="32" s="31" customFormat="true" ht="34" hidden="false" customHeight="true" outlineLevel="0" collapsed="false">
      <c r="A32" s="27"/>
      <c r="B32" s="28" t="s">
        <v>28</v>
      </c>
      <c r="C32" s="29"/>
      <c r="D32" s="29"/>
      <c r="E32" s="29"/>
      <c r="F32" s="158"/>
      <c r="G32" s="29"/>
      <c r="H32" s="29"/>
      <c r="I32" s="29"/>
      <c r="J32" s="30" t="n">
        <v>2</v>
      </c>
      <c r="K32" s="29"/>
      <c r="L32" s="29"/>
      <c r="M32" s="155"/>
      <c r="N32" s="29"/>
      <c r="O32" s="29"/>
      <c r="P32" s="15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MC32" s="1"/>
      <c r="AMD32" s="1"/>
      <c r="AME32" s="1"/>
      <c r="AMF32" s="1"/>
      <c r="AMG32" s="1"/>
      <c r="AMH32" s="1"/>
    </row>
    <row r="33" customFormat="false" ht="20.25" hidden="false" customHeight="false" outlineLevel="0" collapsed="false">
      <c r="A33" s="123"/>
      <c r="B33" s="5"/>
      <c r="C33" s="5"/>
      <c r="D33" s="5"/>
      <c r="E33" s="5"/>
      <c r="F33" s="5"/>
      <c r="G33" s="5"/>
      <c r="H33" s="5"/>
      <c r="I33" s="5"/>
      <c r="J33" s="5"/>
      <c r="M33" s="124" t="s">
        <v>83</v>
      </c>
    </row>
    <row r="34" customFormat="false" ht="20.25" hidden="false" customHeight="true" outlineLevel="0" collapsed="false">
      <c r="K34" s="14"/>
      <c r="L34" s="15"/>
      <c r="M34" s="73" t="s">
        <v>29</v>
      </c>
      <c r="N34" s="44" t="s">
        <v>30</v>
      </c>
      <c r="O34" s="40" t="s">
        <v>31</v>
      </c>
      <c r="P34" s="40" t="s">
        <v>32</v>
      </c>
      <c r="Q34" s="41"/>
      <c r="R34" s="74" t="s">
        <v>35</v>
      </c>
      <c r="S34" s="74" t="s">
        <v>36</v>
      </c>
      <c r="T34" s="74" t="s">
        <v>37</v>
      </c>
      <c r="U34" s="74" t="s">
        <v>34</v>
      </c>
    </row>
    <row r="35" customFormat="false" ht="20.25" hidden="false" customHeight="false" outlineLevel="0" collapsed="false">
      <c r="K35" s="14"/>
      <c r="L35" s="15"/>
      <c r="M35" s="73"/>
      <c r="N35" s="44"/>
      <c r="O35" s="40"/>
      <c r="P35" s="40"/>
      <c r="Q35" s="41"/>
      <c r="R35" s="74"/>
      <c r="S35" s="74"/>
      <c r="T35" s="74"/>
      <c r="U35" s="74"/>
    </row>
    <row r="36" customFormat="false" ht="20.25" hidden="false" customHeight="true" outlineLevel="0" collapsed="false">
      <c r="A36" s="14"/>
      <c r="B36" s="15"/>
      <c r="C36" s="18" t="s">
        <v>18</v>
      </c>
      <c r="D36" s="18"/>
      <c r="E36" s="18" t="s">
        <v>19</v>
      </c>
      <c r="F36" s="18"/>
      <c r="K36" s="75"/>
      <c r="L36" s="15"/>
      <c r="M36" s="73"/>
      <c r="N36" s="44"/>
      <c r="O36" s="40"/>
      <c r="P36" s="40"/>
      <c r="Q36" s="41"/>
      <c r="R36" s="74"/>
      <c r="S36" s="74"/>
      <c r="T36" s="74"/>
      <c r="U36" s="74"/>
    </row>
    <row r="37" customFormat="false" ht="21" hidden="false" customHeight="true" outlineLevel="0" collapsed="false">
      <c r="A37" s="20" t="s">
        <v>21</v>
      </c>
      <c r="B37" s="20"/>
      <c r="C37" s="21" t="s">
        <v>22</v>
      </c>
      <c r="D37" s="21" t="s">
        <v>23</v>
      </c>
      <c r="E37" s="21" t="s">
        <v>22</v>
      </c>
      <c r="F37" s="21" t="s">
        <v>23</v>
      </c>
      <c r="K37" s="20" t="s">
        <v>21</v>
      </c>
      <c r="L37" s="20"/>
      <c r="M37" s="73"/>
      <c r="N37" s="44"/>
      <c r="O37" s="40"/>
      <c r="P37" s="40"/>
      <c r="Q37" s="41"/>
      <c r="R37" s="74"/>
      <c r="S37" s="74"/>
      <c r="T37" s="74"/>
      <c r="U37" s="74"/>
    </row>
    <row r="38" customFormat="false" ht="35.1" hidden="false" customHeight="true" outlineLevel="0" collapsed="false">
      <c r="A38" s="20" t="s">
        <v>38</v>
      </c>
      <c r="B38" s="20"/>
      <c r="C38" s="25" t="n">
        <f aca="false">C13+G13+K13+O13+C23+G23</f>
        <v>2</v>
      </c>
      <c r="D38" s="25" t="n">
        <f aca="false">D13+H13+L13+P13+D23+H23</f>
        <v>1</v>
      </c>
      <c r="E38" s="25" t="n">
        <f aca="false">E13+I13+M13+Q13+E23+I23</f>
        <v>2</v>
      </c>
      <c r="F38" s="25" t="n">
        <f aca="false">F13+J13+N13+R13+F23+J23</f>
        <v>0</v>
      </c>
      <c r="K38" s="20" t="str">
        <f aca="false">A38</f>
        <v>6:30 à 7:00</v>
      </c>
      <c r="L38" s="20"/>
      <c r="M38" s="76" t="n">
        <f aca="false">SUM(C38:J38)</f>
        <v>5</v>
      </c>
      <c r="N38" s="46" t="n">
        <f aca="false">C38+E38</f>
        <v>4</v>
      </c>
      <c r="O38" s="46" t="n">
        <f aca="false">E38+F38</f>
        <v>2</v>
      </c>
      <c r="P38" s="46" t="n">
        <f aca="false">E38</f>
        <v>2</v>
      </c>
      <c r="Q38" s="46" t="n">
        <f aca="false">SUM(G38:J38)</f>
        <v>0</v>
      </c>
      <c r="R38" s="194"/>
      <c r="S38" s="102"/>
      <c r="T38" s="102"/>
      <c r="U38" s="72"/>
    </row>
    <row r="39" customFormat="false" ht="35.1" hidden="false" customHeight="true" outlineLevel="0" collapsed="false">
      <c r="A39" s="20" t="s">
        <v>39</v>
      </c>
      <c r="B39" s="20"/>
      <c r="C39" s="25" t="n">
        <f aca="false">C14+G14+K14+O14+C24+G24</f>
        <v>6</v>
      </c>
      <c r="D39" s="25" t="n">
        <f aca="false">D14+H14+L14+P14+D24+H24</f>
        <v>5</v>
      </c>
      <c r="E39" s="25" t="n">
        <f aca="false">E14+I14+M14+Q14+E24+I24</f>
        <v>2</v>
      </c>
      <c r="F39" s="25" t="n">
        <f aca="false">F14+J14+N14+R14+F24+J24</f>
        <v>0</v>
      </c>
      <c r="K39" s="20" t="str">
        <f aca="false">A39</f>
        <v>7:00 à 7:30</v>
      </c>
      <c r="L39" s="20"/>
      <c r="M39" s="76" t="n">
        <f aca="false">SUM(C39:J39)</f>
        <v>13</v>
      </c>
      <c r="N39" s="46" t="n">
        <f aca="false">C39+E39</f>
        <v>8</v>
      </c>
      <c r="O39" s="46" t="n">
        <f aca="false">E39+F39</f>
        <v>2</v>
      </c>
      <c r="P39" s="46" t="n">
        <f aca="false">E39</f>
        <v>2</v>
      </c>
      <c r="Q39" s="46" t="n">
        <f aca="false">SUM(G39:J39)</f>
        <v>0</v>
      </c>
      <c r="R39" s="101"/>
      <c r="S39" s="102"/>
      <c r="T39" s="102"/>
      <c r="U39" s="72"/>
    </row>
    <row r="40" customFormat="false" ht="35.1" hidden="false" customHeight="true" outlineLevel="0" collapsed="false">
      <c r="A40" s="20" t="s">
        <v>40</v>
      </c>
      <c r="B40" s="20"/>
      <c r="C40" s="25" t="n">
        <f aca="false">C15+G15+K15+O15+C25+G25</f>
        <v>2</v>
      </c>
      <c r="D40" s="25" t="n">
        <f aca="false">D15+H15+L15+P15+D25+H25</f>
        <v>0</v>
      </c>
      <c r="E40" s="25" t="n">
        <f aca="false">E15+I15+M15+Q15+E25+I25</f>
        <v>1</v>
      </c>
      <c r="F40" s="25" t="n">
        <f aca="false">F15+J15+N15+R15+F25+J25</f>
        <v>0</v>
      </c>
      <c r="K40" s="20" t="str">
        <f aca="false">A40</f>
        <v>7:30 à 8:00</v>
      </c>
      <c r="L40" s="20"/>
      <c r="M40" s="76" t="n">
        <f aca="false">SUM(C40:J40)</f>
        <v>3</v>
      </c>
      <c r="N40" s="46" t="n">
        <f aca="false">C40+E40</f>
        <v>3</v>
      </c>
      <c r="O40" s="46" t="n">
        <f aca="false">E40+F40</f>
        <v>1</v>
      </c>
      <c r="P40" s="46" t="n">
        <f aca="false">E40</f>
        <v>1</v>
      </c>
      <c r="Q40" s="46" t="n">
        <f aca="false">SUM(G40:J40)</f>
        <v>0</v>
      </c>
      <c r="R40" s="101"/>
      <c r="S40" s="102"/>
      <c r="T40" s="102"/>
      <c r="U40" s="72"/>
    </row>
    <row r="41" customFormat="false" ht="35.1" hidden="false" customHeight="true" outlineLevel="0" collapsed="false">
      <c r="A41" s="20" t="s">
        <v>41</v>
      </c>
      <c r="B41" s="20"/>
      <c r="C41" s="25" t="n">
        <f aca="false">C16+G16+K16+O16+C26+G26</f>
        <v>3</v>
      </c>
      <c r="D41" s="25" t="n">
        <f aca="false">D16+H16+L16+P16+D26+H26</f>
        <v>3</v>
      </c>
      <c r="E41" s="25" t="n">
        <f aca="false">E16+I16+M16+Q16+E26+I26</f>
        <v>3</v>
      </c>
      <c r="F41" s="25" t="n">
        <f aca="false">F16+J16+N16+R16+F26+J26</f>
        <v>2</v>
      </c>
      <c r="K41" s="20" t="str">
        <f aca="false">A41</f>
        <v>8:00 à 8:30</v>
      </c>
      <c r="L41" s="20"/>
      <c r="M41" s="76" t="n">
        <f aca="false">SUM(C41:J41)</f>
        <v>11</v>
      </c>
      <c r="N41" s="46" t="n">
        <f aca="false">C41+E41</f>
        <v>6</v>
      </c>
      <c r="O41" s="46" t="n">
        <f aca="false">E41+F41</f>
        <v>5</v>
      </c>
      <c r="P41" s="46" t="n">
        <f aca="false">E41</f>
        <v>3</v>
      </c>
      <c r="Q41" s="46" t="n">
        <f aca="false">SUM(G41:J41)</f>
        <v>0</v>
      </c>
      <c r="R41" s="103"/>
      <c r="S41" s="102"/>
      <c r="T41" s="102"/>
      <c r="U41" s="72"/>
    </row>
    <row r="42" customFormat="false" ht="35.1" hidden="false" customHeight="true" outlineLevel="0" collapsed="false">
      <c r="A42" s="20" t="s">
        <v>42</v>
      </c>
      <c r="B42" s="20"/>
      <c r="C42" s="25" t="n">
        <f aca="false">C17+G17+K17+O17+C27+G27</f>
        <v>1</v>
      </c>
      <c r="D42" s="25" t="n">
        <f aca="false">D17+H17+L17+P17+D27+H27</f>
        <v>3</v>
      </c>
      <c r="E42" s="25" t="n">
        <f aca="false">E17+I17+M17+Q17+E27+I27</f>
        <v>2</v>
      </c>
      <c r="F42" s="25" t="n">
        <f aca="false">F17+J17+N17+R17+F27+J27</f>
        <v>3</v>
      </c>
      <c r="K42" s="20" t="str">
        <f aca="false">A42</f>
        <v>8:30 à 9:00</v>
      </c>
      <c r="L42" s="20"/>
      <c r="M42" s="76" t="n">
        <f aca="false">SUM(C42:J42)</f>
        <v>9</v>
      </c>
      <c r="N42" s="46" t="n">
        <f aca="false">C42+E42</f>
        <v>3</v>
      </c>
      <c r="O42" s="46" t="n">
        <f aca="false">E42+F42</f>
        <v>5</v>
      </c>
      <c r="P42" s="46" t="n">
        <f aca="false">E42</f>
        <v>2</v>
      </c>
      <c r="Q42" s="46" t="n">
        <f aca="false">SUM(G42:J42)</f>
        <v>0</v>
      </c>
      <c r="R42" s="104"/>
      <c r="S42" s="102"/>
      <c r="T42" s="102"/>
      <c r="U42" s="72"/>
    </row>
    <row r="43" customFormat="false" ht="35.1" hidden="false" customHeight="true" outlineLevel="0" collapsed="false">
      <c r="A43" s="20" t="s">
        <v>29</v>
      </c>
      <c r="B43" s="20"/>
      <c r="C43" s="105" t="n">
        <f aca="false">SUM(C38:C42)</f>
        <v>14</v>
      </c>
      <c r="D43" s="105" t="n">
        <f aca="false">SUM(D38:D42)</f>
        <v>12</v>
      </c>
      <c r="E43" s="105" t="n">
        <f aca="false">SUM(E38:E42)</f>
        <v>10</v>
      </c>
      <c r="F43" s="105" t="n">
        <f aca="false">SUM(F38:F42)</f>
        <v>5</v>
      </c>
      <c r="K43" s="107" t="s">
        <v>29</v>
      </c>
      <c r="L43" s="107"/>
      <c r="M43" s="51" t="n">
        <f aca="false">SUM(C43:J43)</f>
        <v>41</v>
      </c>
      <c r="N43" s="52" t="n">
        <f aca="false">N42+N41+N40+N39+N38</f>
        <v>24</v>
      </c>
      <c r="O43" s="52" t="n">
        <f aca="false">O42+O41+O40+O39+O38</f>
        <v>15</v>
      </c>
      <c r="P43" s="52" t="n">
        <f aca="false">P42+P41+P40+P39+P38</f>
        <v>10</v>
      </c>
      <c r="Q43" s="52" t="n">
        <f aca="false">Q42+Q40+Q38</f>
        <v>0</v>
      </c>
      <c r="R43" s="51" t="n">
        <f aca="false">A29</f>
        <v>0</v>
      </c>
      <c r="S43" s="51" t="n">
        <f aca="false">A30</f>
        <v>0</v>
      </c>
      <c r="T43" s="51" t="n">
        <f aca="false">A31</f>
        <v>0</v>
      </c>
      <c r="U43" s="51" t="n">
        <f aca="false">A32</f>
        <v>0</v>
      </c>
    </row>
    <row r="44" customFormat="false" ht="35.1" hidden="false" customHeight="true" outlineLevel="0" collapsed="false">
      <c r="A44" s="53"/>
      <c r="B44" s="53"/>
      <c r="C44" s="110"/>
      <c r="D44" s="110"/>
      <c r="E44" s="110"/>
      <c r="F44" s="110"/>
      <c r="K44" s="56"/>
      <c r="L44" s="57"/>
      <c r="M44" s="58"/>
      <c r="N44" s="58"/>
      <c r="O44" s="58"/>
      <c r="P44" s="58"/>
      <c r="Q44" s="56"/>
      <c r="R44" s="111"/>
      <c r="S44" s="60"/>
      <c r="T44" s="60"/>
      <c r="U44" s="60"/>
    </row>
    <row r="45" customFormat="false" ht="35.1" hidden="false" customHeight="true" outlineLevel="0" collapsed="false">
      <c r="A45" s="53"/>
      <c r="B45" s="53"/>
      <c r="C45" s="110"/>
      <c r="D45" s="110"/>
      <c r="E45" s="110"/>
      <c r="F45" s="110"/>
      <c r="K45" s="63"/>
      <c r="L45" s="64"/>
      <c r="M45" s="65"/>
      <c r="N45" s="65"/>
      <c r="O45" s="65"/>
      <c r="P45" s="65"/>
      <c r="Q45" s="63"/>
      <c r="R45" s="111"/>
      <c r="S45" s="60"/>
      <c r="T45" s="60"/>
      <c r="U45" s="60"/>
    </row>
    <row r="46" customFormat="false" ht="35.1" hidden="false" customHeight="true" outlineLevel="0" collapsed="false">
      <c r="A46" s="53"/>
      <c r="B46" s="53"/>
      <c r="C46" s="110"/>
      <c r="D46" s="110"/>
      <c r="E46" s="110"/>
      <c r="F46" s="110"/>
      <c r="K46" s="66"/>
      <c r="L46" s="66"/>
      <c r="M46" s="68"/>
      <c r="N46" s="68"/>
      <c r="O46" s="68"/>
      <c r="P46" s="68"/>
      <c r="Q46" s="130"/>
      <c r="R46" s="111"/>
      <c r="S46" s="60"/>
      <c r="T46" s="60"/>
      <c r="U46" s="60"/>
    </row>
    <row r="47" customFormat="false" ht="35.1" hidden="false" customHeight="true" outlineLevel="0" collapsed="false">
      <c r="A47" s="69"/>
      <c r="B47" s="70"/>
      <c r="C47" s="70"/>
      <c r="D47" s="70"/>
      <c r="E47" s="70"/>
      <c r="F47" s="70"/>
      <c r="G47" s="70"/>
      <c r="H47" s="70"/>
      <c r="I47" s="70"/>
      <c r="J47" s="55" t="s">
        <v>43</v>
      </c>
      <c r="K47" s="20" t="str">
        <f aca="false">IF($M$42=MAX($M$38:$M$42),K42,IF($M$41=MAX($M$38:$M$42),K41,IF($M$40=MAX($M$38:$M$42),K40,IF($M$39=MAX($M$38:$M$42),K39,IF($M$38=MAX($M$38:$M$42),K38,K42)))))</f>
        <v>7:00 à 7:30</v>
      </c>
      <c r="L47" s="20"/>
      <c r="M47" s="43" t="n">
        <f aca="false">IF($M$42=MAX($M$38:$M$42),M42,IF($M$41=MAX($M$38:$M$42),M41,IF($M$40=MAX($M$38:$M$42),M40,IF($M$39=MAX($M$38:$M$42),M39,IF($M$38=MAX($M$38:$M$42),M38,M42)))))</f>
        <v>13</v>
      </c>
      <c r="N47" s="195" t="n">
        <f aca="false">IF($M$42=MAX($M$38:$M$42),N42,IF($M$41=MAX($M$38:$M$42),N41,IF($M$40=MAX($M$38:$M$42),N40,IF($M$39=MAX($M$38:$M$42),N39,IF($M$38=MAX($M$38:$M$42),N38,N42)))))</f>
        <v>8</v>
      </c>
      <c r="O47" s="195" t="n">
        <f aca="false">IF($M$42=MAX($M$38:$M$42),O42,IF($M$41=MAX($M$38:$M$42),O41,IF($M$40=MAX($M$38:$M$42),O40,IF($M$39=MAX($M$38:$M$42),O39,IF($M$38=MAX($M$38:$M$42),O38,O42)))))</f>
        <v>2</v>
      </c>
      <c r="P47" s="195" t="n">
        <f aca="false">IF($M$42=MAX($M$38:$M$42),P42,IF($M$41=MAX($M$38:$M$42),P41,IF($M$40=MAX($M$38:$M$42),P40,IF($M$39=MAX($M$38:$M$42),P39,IF($M$38=MAX($M$38:$M$42),P38,P42)))))</f>
        <v>2</v>
      </c>
      <c r="Q47" s="195" t="n">
        <f aca="false">IF($M$42=MAX($M$38:$M$42),Q42,IF($M$41=MAX($M$38:$M$42),Q41,IF($M$40=MAX($M$38:$M$42),Q40,IF($M$39=MAX($M$38:$M$42),Q39,IF($M$38=MAX($M$38:$M$42),Q38,Q42)))))</f>
        <v>0</v>
      </c>
      <c r="R47" s="103"/>
    </row>
    <row r="48" customFormat="false" ht="24.95" hidden="false" customHeight="true" outlineLevel="0" collapsed="false">
      <c r="A48" s="112"/>
      <c r="B48" s="72"/>
      <c r="C48" s="72"/>
      <c r="D48" s="72"/>
      <c r="E48" s="72"/>
      <c r="F48" s="72"/>
      <c r="G48" s="72"/>
      <c r="H48" s="72"/>
      <c r="I48" s="72"/>
      <c r="J48" s="72"/>
      <c r="K48" s="14"/>
      <c r="L48" s="15"/>
      <c r="M48" s="73" t="s">
        <v>29</v>
      </c>
      <c r="N48" s="74" t="s">
        <v>45</v>
      </c>
      <c r="O48" s="74" t="s">
        <v>46</v>
      </c>
      <c r="P48" s="74" t="s">
        <v>47</v>
      </c>
      <c r="Q48" s="74" t="n">
        <f aca="false">Q34</f>
        <v>0</v>
      </c>
      <c r="R48" s="74" t="s">
        <v>67</v>
      </c>
    </row>
    <row r="49" customFormat="false" ht="24.95" hidden="false" customHeight="true" outlineLevel="0" collapsed="false">
      <c r="A49" s="112"/>
      <c r="B49" s="72"/>
      <c r="C49" s="72"/>
      <c r="D49" s="72"/>
      <c r="E49" s="72"/>
      <c r="F49" s="72"/>
      <c r="G49" s="72"/>
      <c r="H49" s="72"/>
      <c r="I49" s="72"/>
      <c r="J49" s="72"/>
      <c r="K49" s="14"/>
      <c r="L49" s="15"/>
      <c r="M49" s="73"/>
      <c r="N49" s="74"/>
      <c r="O49" s="74"/>
      <c r="P49" s="74"/>
      <c r="Q49" s="74"/>
      <c r="R49" s="74"/>
    </row>
    <row r="50" customFormat="false" ht="24.95" hidden="false" customHeight="true" outlineLevel="0" collapsed="false">
      <c r="A50" s="112"/>
      <c r="B50" s="72"/>
      <c r="C50" s="72"/>
      <c r="D50" s="72"/>
      <c r="E50" s="72"/>
      <c r="F50" s="72"/>
      <c r="G50" s="72"/>
      <c r="H50" s="72"/>
      <c r="I50" s="72"/>
      <c r="J50" s="72"/>
      <c r="K50" s="75"/>
      <c r="L50" s="15"/>
      <c r="M50" s="73"/>
      <c r="N50" s="74"/>
      <c r="O50" s="74"/>
      <c r="P50" s="74"/>
      <c r="Q50" s="74"/>
      <c r="R50" s="74"/>
    </row>
    <row r="51" customFormat="false" ht="35.1" hidden="false" customHeight="true" outlineLevel="0" collapsed="false">
      <c r="A51" s="112"/>
      <c r="B51" s="72"/>
      <c r="C51" s="72"/>
      <c r="D51" s="72"/>
      <c r="E51" s="72"/>
      <c r="F51" s="72"/>
      <c r="G51" s="72"/>
      <c r="H51" s="72"/>
      <c r="I51" s="72"/>
      <c r="J51" s="72"/>
      <c r="K51" s="20" t="s">
        <v>21</v>
      </c>
      <c r="L51" s="20"/>
      <c r="M51" s="73"/>
      <c r="N51" s="74"/>
      <c r="O51" s="74"/>
      <c r="P51" s="74"/>
      <c r="Q51" s="74"/>
      <c r="R51" s="74"/>
    </row>
    <row r="52" customFormat="false" ht="35.1" hidden="false" customHeight="true" outlineLevel="0" collapsed="false">
      <c r="A52" s="112"/>
      <c r="B52" s="72"/>
      <c r="C52" s="72"/>
      <c r="D52" s="72"/>
      <c r="E52" s="72"/>
      <c r="F52" s="72"/>
      <c r="G52" s="72"/>
      <c r="H52" s="72"/>
      <c r="I52" s="72"/>
      <c r="J52" s="72"/>
      <c r="K52" s="20" t="str">
        <f aca="false">K38</f>
        <v>6:30 à 7:00</v>
      </c>
      <c r="L52" s="20"/>
      <c r="M52" s="76"/>
      <c r="N52" s="77" t="n">
        <f aca="false">IF(N38=0,0,N38/M38)</f>
        <v>0.8</v>
      </c>
      <c r="O52" s="77" t="n">
        <f aca="false">IF(O38=0,0,O38/M38)</f>
        <v>0.4</v>
      </c>
      <c r="P52" s="77" t="n">
        <f aca="false">IF(P38=0,0,P38/N38)</f>
        <v>0.5</v>
      </c>
      <c r="Q52" s="77" t="n">
        <f aca="false">IF(Q38=0,0,Q38/M38)</f>
        <v>0</v>
      </c>
      <c r="R52" s="103"/>
    </row>
    <row r="53" customFormat="false" ht="35.1" hidden="false" customHeight="true" outlineLevel="0" collapsed="false">
      <c r="A53" s="112"/>
      <c r="B53" s="72"/>
      <c r="C53" s="72"/>
      <c r="D53" s="72"/>
      <c r="E53" s="72"/>
      <c r="F53" s="72"/>
      <c r="G53" s="72"/>
      <c r="H53" s="72"/>
      <c r="I53" s="72"/>
      <c r="J53" s="72"/>
      <c r="K53" s="20" t="str">
        <f aca="false">K39</f>
        <v>7:00 à 7:30</v>
      </c>
      <c r="L53" s="20"/>
      <c r="M53" s="76"/>
      <c r="N53" s="77" t="n">
        <f aca="false">IF(N40=0,0,N40/M40)</f>
        <v>1</v>
      </c>
      <c r="O53" s="77" t="n">
        <f aca="false">IF(O40=0,0,O40/M40)</f>
        <v>0.333333333333333</v>
      </c>
      <c r="P53" s="77" t="n">
        <f aca="false">IF(P40=0,0,P40/N40)</f>
        <v>0.333333333333333</v>
      </c>
      <c r="Q53" s="77" t="n">
        <f aca="false">IF(Q40=0,0,Q40/M40)</f>
        <v>0</v>
      </c>
      <c r="R53" s="103"/>
    </row>
    <row r="54" customFormat="false" ht="35.1" hidden="false" customHeight="true" outlineLevel="0" collapsed="false">
      <c r="A54" s="112"/>
      <c r="B54" s="72"/>
      <c r="C54" s="72"/>
      <c r="D54" s="72"/>
      <c r="E54" s="72"/>
      <c r="F54" s="72"/>
      <c r="G54" s="72"/>
      <c r="H54" s="72"/>
      <c r="I54" s="72"/>
      <c r="J54" s="72"/>
      <c r="K54" s="20" t="str">
        <f aca="false">K40</f>
        <v>7:30 à 8:00</v>
      </c>
      <c r="L54" s="20"/>
      <c r="M54" s="76"/>
      <c r="N54" s="77" t="n">
        <f aca="false">IF(N40=0,0,N40/M40)</f>
        <v>1</v>
      </c>
      <c r="O54" s="77" t="n">
        <f aca="false">IF(O40=0,0,O40/M40)</f>
        <v>0.333333333333333</v>
      </c>
      <c r="P54" s="77" t="n">
        <f aca="false">IF(P40=0,0,P40/N40)</f>
        <v>0.333333333333333</v>
      </c>
      <c r="Q54" s="77" t="n">
        <f aca="false">IF(Q40=0,0,Q40/M40)</f>
        <v>0</v>
      </c>
      <c r="R54" s="103"/>
    </row>
    <row r="55" customFormat="false" ht="35.1" hidden="false" customHeight="true" outlineLevel="0" collapsed="false">
      <c r="A55" s="112"/>
      <c r="B55" s="72"/>
      <c r="C55" s="72"/>
      <c r="D55" s="72"/>
      <c r="E55" s="72"/>
      <c r="F55" s="72"/>
      <c r="G55" s="72"/>
      <c r="H55" s="72"/>
      <c r="I55" s="72"/>
      <c r="J55" s="72"/>
      <c r="K55" s="20" t="str">
        <f aca="false">K41</f>
        <v>8:00 à 8:30</v>
      </c>
      <c r="L55" s="20"/>
      <c r="M55" s="76"/>
      <c r="N55" s="77" t="n">
        <f aca="false">IF(N41=0,0,N41/M41)</f>
        <v>0.545454545454545</v>
      </c>
      <c r="O55" s="77" t="n">
        <f aca="false">IF(O41=0,0,O41/M41)</f>
        <v>0.454545454545455</v>
      </c>
      <c r="P55" s="77" t="n">
        <f aca="false">IF(P41=0,0,P41/N41)</f>
        <v>0.5</v>
      </c>
      <c r="Q55" s="77" t="n">
        <f aca="false">IF(Q41=0,0,Q41/M41)</f>
        <v>0</v>
      </c>
      <c r="R55" s="103"/>
    </row>
    <row r="56" customFormat="false" ht="35.1" hidden="false" customHeight="true" outlineLevel="0" collapsed="false">
      <c r="F56" s="72"/>
      <c r="K56" s="20" t="str">
        <f aca="false">K42</f>
        <v>8:30 à 9:00</v>
      </c>
      <c r="L56" s="20"/>
      <c r="M56" s="76"/>
      <c r="N56" s="77" t="n">
        <f aca="false">IF(N42=0,0,N42/M42)</f>
        <v>0.333333333333333</v>
      </c>
      <c r="O56" s="77" t="n">
        <f aca="false">IF(O42=0,0,O42/M42)</f>
        <v>0.555555555555556</v>
      </c>
      <c r="P56" s="77" t="n">
        <f aca="false">IF(P42=0,0,P42/N42)</f>
        <v>0.666666666666667</v>
      </c>
      <c r="Q56" s="77" t="n">
        <f aca="false">IF(Q42=0,0,Q42/M42)</f>
        <v>0</v>
      </c>
      <c r="R56" s="103"/>
    </row>
    <row r="57" customFormat="false" ht="35.1" hidden="false" customHeight="true" outlineLevel="0" collapsed="false">
      <c r="F57" s="72"/>
      <c r="K57" s="20" t="s">
        <v>29</v>
      </c>
      <c r="L57" s="20"/>
      <c r="M57" s="196"/>
      <c r="N57" s="197" t="n">
        <f aca="false">IF(N43=0,0,N43/M43)</f>
        <v>0.585365853658537</v>
      </c>
      <c r="O57" s="197" t="n">
        <f aca="false">IF(O43=0,0,O43/M43)</f>
        <v>0.365853658536585</v>
      </c>
      <c r="P57" s="197" t="n">
        <f aca="false">IF(P43=0,0,P43/N43)</f>
        <v>0.416666666666667</v>
      </c>
      <c r="Q57" s="197" t="n">
        <f aca="false">IF(Q43=0,0,Q43/M43)</f>
        <v>0</v>
      </c>
      <c r="R57" s="103"/>
    </row>
    <row r="58" customFormat="false" ht="35.1" hidden="false" customHeight="true" outlineLevel="0" collapsed="false">
      <c r="K58" s="20" t="str">
        <f aca="false">K47</f>
        <v>7:00 à 7:30</v>
      </c>
      <c r="L58" s="20"/>
      <c r="M58" s="43" t="n">
        <f aca="false">IF($AO$59=MAX($AO$59:$AO$63),M52,IF($AO$60=MAX($AO$59:$AO$63),M54,IF($AO$61=MAX($AO$59:$AO$63),M55,IF($AO$62=MAX($AO$59:$AO$63),(M55),M56))))</f>
        <v>0</v>
      </c>
      <c r="N58" s="80" t="n">
        <f aca="false">IF($AO$59=MAX($AO$59:$AO$63),N52,IF($AO$60=MAX($AO$59:$AO$63),N54,IF($AO$61=MAX($AO$59:$AO$63),N55,IF($AO$62=MAX($AO$59:$AO$63),(N55),N56))))</f>
        <v>0.8</v>
      </c>
      <c r="O58" s="80" t="n">
        <f aca="false">O56</f>
        <v>0.555555555555556</v>
      </c>
      <c r="P58" s="80" t="n">
        <f aca="false">IF($AO$59=MAX($AO$59:$AO$63),P52,IF($AO$60=MAX($AO$59:$AO$63),P54,IF($AO$61=MAX($AO$59:$AO$63),P55,IF($AO$62=MAX($AO$59:$AO$63),(P55),P56))))</f>
        <v>0.5</v>
      </c>
      <c r="Q58" s="80" t="n">
        <f aca="false">IF($AO$59=MAX($AO$59:$AO$63),Q52,IF($AO$60=MAX($AO$59:$AO$63),Q54,IF($AO$61=MAX($AO$59:$AO$63),Q55,IF($AO$62=MAX($AO$59:$AO$63),(Q55),Q56))))</f>
        <v>0</v>
      </c>
      <c r="R58" s="103"/>
    </row>
  </sheetData>
  <mergeCells count="63">
    <mergeCell ref="C9:J9"/>
    <mergeCell ref="K9:R9"/>
    <mergeCell ref="C10:F10"/>
    <mergeCell ref="G10:J10"/>
    <mergeCell ref="K10:N10"/>
    <mergeCell ref="O10:R10"/>
    <mergeCell ref="C11:D11"/>
    <mergeCell ref="E11:F11"/>
    <mergeCell ref="G11:H11"/>
    <mergeCell ref="I11:J11"/>
    <mergeCell ref="K11:L11"/>
    <mergeCell ref="M11:N11"/>
    <mergeCell ref="O11:P11"/>
    <mergeCell ref="Q11:R11"/>
    <mergeCell ref="A12:B12"/>
    <mergeCell ref="C19:J19"/>
    <mergeCell ref="C20:F20"/>
    <mergeCell ref="G20:J20"/>
    <mergeCell ref="C21:D21"/>
    <mergeCell ref="E21:F21"/>
    <mergeCell ref="G21:H21"/>
    <mergeCell ref="I21:J21"/>
    <mergeCell ref="A22:B22"/>
    <mergeCell ref="M34:M37"/>
    <mergeCell ref="N34:N37"/>
    <mergeCell ref="O34:O37"/>
    <mergeCell ref="P34:P37"/>
    <mergeCell ref="R34:R37"/>
    <mergeCell ref="S34:S37"/>
    <mergeCell ref="T34:T37"/>
    <mergeCell ref="U34:U37"/>
    <mergeCell ref="C36:D36"/>
    <mergeCell ref="E36:F36"/>
    <mergeCell ref="A37:B37"/>
    <mergeCell ref="K37:L37"/>
    <mergeCell ref="A38:B38"/>
    <mergeCell ref="K38:L38"/>
    <mergeCell ref="A39:B39"/>
    <mergeCell ref="K39:L39"/>
    <mergeCell ref="A40:B40"/>
    <mergeCell ref="K40:L40"/>
    <mergeCell ref="A41:B41"/>
    <mergeCell ref="K41:L41"/>
    <mergeCell ref="A42:B42"/>
    <mergeCell ref="K42:L42"/>
    <mergeCell ref="A43:B43"/>
    <mergeCell ref="K43:L43"/>
    <mergeCell ref="K46:L46"/>
    <mergeCell ref="K47:L47"/>
    <mergeCell ref="M48:M51"/>
    <mergeCell ref="N48:N51"/>
    <mergeCell ref="O48:O51"/>
    <mergeCell ref="P48:P51"/>
    <mergeCell ref="Q48:Q51"/>
    <mergeCell ref="R48:R51"/>
    <mergeCell ref="K51:L51"/>
    <mergeCell ref="K52:L52"/>
    <mergeCell ref="K53:L53"/>
    <mergeCell ref="K54:L54"/>
    <mergeCell ref="K55:L55"/>
    <mergeCell ref="K56:L56"/>
    <mergeCell ref="K57:L57"/>
    <mergeCell ref="K58:L58"/>
  </mergeCells>
  <printOptions headings="false" gridLines="false" gridLinesSet="true" horizontalCentered="false" verticalCentered="false"/>
  <pageMargins left="0.511805555555555" right="0.511805555555555" top="0.354166666666667" bottom="0.945138888888889" header="0.511805555555555" footer="0.511805555555555"/>
  <pageSetup paperSize="9" scale="3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3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31" colorId="64" zoomScale="55" zoomScaleNormal="55" zoomScalePageLayoutView="100" workbookViewId="0">
      <selection pane="topLeft" activeCell="G41" activeCellId="0" sqref="G41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13.75"/>
    <col collapsed="false" customWidth="true" hidden="false" outlineLevel="0" max="26" min="3" style="1" width="8.62"/>
    <col collapsed="false" customWidth="true" hidden="false" outlineLevel="0" max="27" min="27" style="1" width="8.88"/>
    <col collapsed="false" customWidth="true" hidden="false" outlineLevel="0" max="28" min="28" style="1" width="14.37"/>
    <col collapsed="false" customWidth="true" hidden="false" outlineLevel="0" max="32" min="29" style="1" width="21.38"/>
    <col collapsed="false" customWidth="true" hidden="false" outlineLevel="0" max="33" min="33" style="1" width="14.13"/>
    <col collapsed="false" customWidth="true" hidden="false" outlineLevel="0" max="36" min="34" style="1" width="15.62"/>
    <col collapsed="false" customWidth="false" hidden="false" outlineLevel="0" max="986" min="37" style="1" width="11.25"/>
    <col collapsed="false" customWidth="true" hidden="false" outlineLevel="0" max="987" min="987" style="1" width="11.13"/>
    <col collapsed="false" customWidth="true" hidden="false" outlineLevel="0" max="1024" min="988" style="0" width="10.5"/>
  </cols>
  <sheetData>
    <row r="1" s="8" customFormat="true" ht="52.5" hidden="false" customHeight="true" outlineLevel="0" collapsed="false">
      <c r="A1" s="3"/>
      <c r="B1" s="4" t="s">
        <v>116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198"/>
      <c r="Q1" s="81" t="s">
        <v>49</v>
      </c>
      <c r="R1" s="5"/>
      <c r="S1" s="5"/>
      <c r="T1" s="5"/>
      <c r="U1" s="5"/>
      <c r="V1" s="5"/>
      <c r="W1" s="5"/>
      <c r="X1" s="5"/>
      <c r="Y1" s="5"/>
      <c r="Z1" s="5"/>
      <c r="AA1" s="2"/>
      <c r="AB1" s="2"/>
      <c r="AC1" s="2"/>
      <c r="AD1" s="2"/>
      <c r="AE1" s="2"/>
      <c r="AF1" s="2"/>
    </row>
    <row r="2" s="8" customFormat="true" ht="52.5" hidden="false" customHeight="true" outlineLevel="0" collapsed="false">
      <c r="A2" s="3" t="s">
        <v>4</v>
      </c>
      <c r="B2" s="5"/>
      <c r="C2" s="5"/>
      <c r="D2" s="5"/>
      <c r="E2" s="5"/>
      <c r="F2" s="2"/>
      <c r="G2" s="5"/>
      <c r="H2" s="5"/>
      <c r="I2" s="5" t="s">
        <v>117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"/>
      <c r="AB2" s="2"/>
      <c r="AC2" s="2"/>
      <c r="AD2" s="2"/>
      <c r="AE2" s="2"/>
      <c r="AF2" s="2"/>
    </row>
    <row r="3" s="8" customFormat="true" ht="52.5" hidden="false" customHeight="true" outlineLevel="0" collapsed="false">
      <c r="A3" s="3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2"/>
      <c r="AB3" s="2"/>
      <c r="AC3" s="2"/>
      <c r="AD3" s="2"/>
      <c r="AE3" s="2"/>
      <c r="AF3" s="2"/>
    </row>
    <row r="4" s="8" customFormat="true" ht="25.5" hidden="false" customHeight="true" outlineLevel="0" collapsed="false">
      <c r="A4" s="1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2"/>
      <c r="AA4" s="2"/>
      <c r="AB4" s="2"/>
      <c r="AC4" s="2"/>
      <c r="AD4" s="2"/>
      <c r="AE4" s="2"/>
      <c r="AF4" s="2"/>
    </row>
    <row r="5" s="8" customFormat="true" ht="35.1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2"/>
      <c r="AB5" s="2"/>
      <c r="AC5" s="2"/>
      <c r="AD5" s="2"/>
      <c r="AE5" s="2"/>
      <c r="AF5" s="2"/>
    </row>
    <row r="6" s="8" customFormat="true" ht="35.1" hidden="false" customHeight="true" outlineLevel="0" collapsed="false">
      <c r="A6" s="11" t="s">
        <v>118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2"/>
      <c r="AB6" s="2"/>
      <c r="AC6" s="2"/>
      <c r="AD6" s="2"/>
      <c r="AE6" s="2"/>
      <c r="AF6" s="2"/>
    </row>
    <row r="7" s="8" customFormat="true" ht="35.1" hidden="false" customHeight="true" outlineLevel="0" collapsed="false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2"/>
      <c r="AB7" s="2"/>
      <c r="AC7" s="2"/>
      <c r="AD7" s="2"/>
      <c r="AE7" s="2"/>
      <c r="AF7" s="2"/>
    </row>
    <row r="8" s="8" customFormat="true" ht="25.5" hidden="false" customHeight="true" outlineLevel="0" collapsed="false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2"/>
      <c r="AA8" s="2"/>
      <c r="AB8" s="2"/>
      <c r="AC8" s="2"/>
      <c r="AD8" s="2"/>
      <c r="AE8" s="2"/>
      <c r="AF8" s="2"/>
    </row>
    <row r="9" s="8" customFormat="true" ht="32.25" hidden="false" customHeight="true" outlineLevel="0" collapsed="false">
      <c r="A9" s="3"/>
      <c r="B9" s="5"/>
      <c r="C9" s="199" t="s">
        <v>119</v>
      </c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 t="s">
        <v>51</v>
      </c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0"/>
      <c r="AB9" s="190"/>
      <c r="AC9" s="190"/>
      <c r="AD9" s="190"/>
      <c r="AE9" s="190"/>
      <c r="AF9" s="190"/>
    </row>
    <row r="10" s="8" customFormat="true" ht="51.2" hidden="false" customHeight="true" outlineLevel="0" collapsed="false">
      <c r="A10" s="3"/>
      <c r="B10" s="5"/>
      <c r="C10" s="17" t="s">
        <v>58</v>
      </c>
      <c r="D10" s="17"/>
      <c r="E10" s="17"/>
      <c r="F10" s="17"/>
      <c r="G10" s="17" t="s">
        <v>120</v>
      </c>
      <c r="H10" s="17"/>
      <c r="I10" s="17"/>
      <c r="J10" s="17"/>
      <c r="K10" s="17" t="s">
        <v>121</v>
      </c>
      <c r="L10" s="17"/>
      <c r="M10" s="17"/>
      <c r="N10" s="17"/>
      <c r="O10" s="17" t="s">
        <v>120</v>
      </c>
      <c r="P10" s="17"/>
      <c r="Q10" s="17"/>
      <c r="R10" s="17"/>
      <c r="S10" s="17" t="s">
        <v>122</v>
      </c>
      <c r="T10" s="17"/>
      <c r="U10" s="17"/>
      <c r="V10" s="17"/>
      <c r="W10" s="17" t="s">
        <v>121</v>
      </c>
      <c r="X10" s="17"/>
      <c r="Y10" s="17"/>
      <c r="Z10" s="17"/>
      <c r="AA10" s="191"/>
      <c r="AB10" s="191"/>
      <c r="AC10" s="191"/>
      <c r="AD10" s="191"/>
      <c r="AE10" s="191"/>
      <c r="AF10" s="191"/>
    </row>
    <row r="11" s="8" customFormat="true" ht="18.6" hidden="false" customHeight="true" outlineLevel="0" collapsed="false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92"/>
      <c r="AB11" s="192"/>
      <c r="AC11" s="192"/>
      <c r="AD11" s="192"/>
      <c r="AE11" s="192"/>
      <c r="AF11" s="192"/>
    </row>
    <row r="12" s="8" customFormat="true" ht="20.25" hidden="false" customHeight="false" outlineLevel="0" collapsed="false">
      <c r="A12" s="20" t="s">
        <v>21</v>
      </c>
      <c r="B12" s="20"/>
      <c r="C12" s="21" t="s">
        <v>22</v>
      </c>
      <c r="D12" s="21" t="s">
        <v>23</v>
      </c>
      <c r="E12" s="21" t="s">
        <v>22</v>
      </c>
      <c r="F12" s="21" t="s">
        <v>23</v>
      </c>
      <c r="G12" s="21" t="s">
        <v>22</v>
      </c>
      <c r="H12" s="21" t="s">
        <v>23</v>
      </c>
      <c r="I12" s="21" t="s">
        <v>22</v>
      </c>
      <c r="J12" s="21" t="s">
        <v>23</v>
      </c>
      <c r="K12" s="21" t="s">
        <v>22</v>
      </c>
      <c r="L12" s="21" t="s">
        <v>23</v>
      </c>
      <c r="M12" s="21" t="s">
        <v>22</v>
      </c>
      <c r="N12" s="21" t="s">
        <v>23</v>
      </c>
      <c r="O12" s="21" t="s">
        <v>22</v>
      </c>
      <c r="P12" s="21" t="s">
        <v>23</v>
      </c>
      <c r="Q12" s="21" t="s">
        <v>22</v>
      </c>
      <c r="R12" s="21" t="s">
        <v>23</v>
      </c>
      <c r="S12" s="21" t="s">
        <v>22</v>
      </c>
      <c r="T12" s="21" t="s">
        <v>23</v>
      </c>
      <c r="U12" s="21" t="s">
        <v>22</v>
      </c>
      <c r="V12" s="21" t="s">
        <v>23</v>
      </c>
      <c r="W12" s="21" t="s">
        <v>22</v>
      </c>
      <c r="X12" s="21" t="s">
        <v>23</v>
      </c>
      <c r="Y12" s="21" t="s">
        <v>22</v>
      </c>
      <c r="Z12" s="21" t="s">
        <v>23</v>
      </c>
      <c r="AA12" s="32"/>
      <c r="AB12" s="32"/>
      <c r="AC12" s="32"/>
      <c r="AD12" s="32"/>
      <c r="AE12" s="32"/>
      <c r="AF12" s="32"/>
    </row>
    <row r="13" customFormat="false" ht="75" hidden="false" customHeight="true" outlineLevel="0" collapsed="false">
      <c r="A13" s="88" t="n">
        <v>0.270833333333333</v>
      </c>
      <c r="B13" s="88" t="n">
        <v>0.291666666666667</v>
      </c>
      <c r="C13" s="25"/>
      <c r="D13" s="25" t="n">
        <v>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 t="n">
        <v>1</v>
      </c>
      <c r="U13" s="25"/>
      <c r="V13" s="25"/>
      <c r="W13" s="25"/>
      <c r="X13" s="25"/>
      <c r="Y13" s="25"/>
      <c r="Z13" s="25"/>
      <c r="AA13" s="33"/>
      <c r="AB13" s="33"/>
      <c r="AC13" s="33"/>
      <c r="AD13" s="33"/>
      <c r="AE13" s="33"/>
      <c r="AF13" s="33"/>
    </row>
    <row r="14" customFormat="false" ht="75" hidden="false" customHeight="true" outlineLevel="0" collapsed="false">
      <c r="A14" s="88" t="n">
        <v>0.291666666666667</v>
      </c>
      <c r="B14" s="88" t="n">
        <v>0.3125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33"/>
      <c r="AB14" s="33"/>
      <c r="AC14" s="33"/>
      <c r="AD14" s="33"/>
      <c r="AE14" s="33"/>
      <c r="AF14" s="33"/>
    </row>
    <row r="15" customFormat="false" ht="75" hidden="false" customHeight="true" outlineLevel="0" collapsed="false">
      <c r="A15" s="88" t="n">
        <v>0.3125</v>
      </c>
      <c r="B15" s="88" t="n">
        <v>0.333333333333333</v>
      </c>
      <c r="C15" s="25"/>
      <c r="D15" s="25"/>
      <c r="E15" s="25"/>
      <c r="F15" s="25"/>
      <c r="G15" s="25"/>
      <c r="H15" s="25"/>
      <c r="I15" s="25"/>
      <c r="J15" s="25" t="n">
        <v>1</v>
      </c>
      <c r="K15" s="25"/>
      <c r="L15" s="25"/>
      <c r="M15" s="25"/>
      <c r="N15" s="25"/>
      <c r="O15" s="25"/>
      <c r="P15" s="25"/>
      <c r="Q15" s="25"/>
      <c r="R15" s="25"/>
      <c r="S15" s="25" t="n">
        <v>1</v>
      </c>
      <c r="T15" s="25"/>
      <c r="U15" s="25"/>
      <c r="V15" s="25"/>
      <c r="W15" s="25"/>
      <c r="X15" s="25"/>
      <c r="Y15" s="25"/>
      <c r="Z15" s="25"/>
      <c r="AA15" s="33"/>
      <c r="AB15" s="33"/>
      <c r="AC15" s="33"/>
      <c r="AD15" s="33"/>
      <c r="AE15" s="33"/>
      <c r="AF15" s="33"/>
    </row>
    <row r="16" customFormat="false" ht="75" hidden="false" customHeight="true" outlineLevel="0" collapsed="false">
      <c r="A16" s="88" t="n">
        <v>0.333333333333333</v>
      </c>
      <c r="B16" s="88" t="n">
        <v>0.354166666666667</v>
      </c>
      <c r="C16" s="25" t="n">
        <v>1</v>
      </c>
      <c r="D16" s="25"/>
      <c r="E16" s="25"/>
      <c r="F16" s="25" t="n">
        <v>1</v>
      </c>
      <c r="G16" s="25"/>
      <c r="H16" s="25" t="n">
        <v>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33"/>
      <c r="AB16" s="33"/>
      <c r="AC16" s="33"/>
      <c r="AD16" s="33"/>
      <c r="AE16" s="33"/>
      <c r="AF16" s="33"/>
    </row>
    <row r="17" customFormat="false" ht="75" hidden="false" customHeight="true" outlineLevel="0" collapsed="false">
      <c r="A17" s="88" t="n">
        <v>0.354166666666667</v>
      </c>
      <c r="B17" s="88" t="n">
        <v>0.375</v>
      </c>
      <c r="C17" s="25"/>
      <c r="D17" s="25" t="n">
        <v>1</v>
      </c>
      <c r="E17" s="25"/>
      <c r="F17" s="25" t="n">
        <v>1</v>
      </c>
      <c r="G17" s="25"/>
      <c r="H17" s="25"/>
      <c r="I17" s="25"/>
      <c r="J17" s="25"/>
      <c r="K17" s="25"/>
      <c r="L17" s="25"/>
      <c r="M17" s="25" t="n">
        <v>1</v>
      </c>
      <c r="N17" s="25"/>
      <c r="O17" s="25"/>
      <c r="P17" s="25"/>
      <c r="Q17" s="25"/>
      <c r="R17" s="25"/>
      <c r="S17" s="25"/>
      <c r="T17" s="25"/>
      <c r="U17" s="25" t="n">
        <v>1</v>
      </c>
      <c r="V17" s="25" t="n">
        <v>1</v>
      </c>
      <c r="W17" s="25"/>
      <c r="X17" s="25"/>
      <c r="Y17" s="25"/>
      <c r="Z17" s="25"/>
      <c r="AA17" s="33"/>
      <c r="AB17" s="33"/>
      <c r="AC17" s="33"/>
      <c r="AD17" s="33"/>
      <c r="AE17" s="33"/>
      <c r="AF17" s="33"/>
    </row>
    <row r="18" customFormat="false" ht="18" hidden="false" customHeight="true" outlineLevel="0" collapsed="false">
      <c r="A18" s="12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="8" customFormat="true" ht="32.25" hidden="false" customHeight="true" outlineLevel="0" collapsed="false">
      <c r="A19" s="3"/>
      <c r="B19" s="5"/>
      <c r="C19" s="199" t="s">
        <v>123</v>
      </c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 t="s">
        <v>124</v>
      </c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0"/>
      <c r="AB19" s="190"/>
      <c r="AC19" s="190"/>
      <c r="AD19" s="190"/>
      <c r="AE19" s="190"/>
      <c r="AF19" s="190"/>
    </row>
    <row r="20" s="8" customFormat="true" ht="51.2" hidden="false" customHeight="true" outlineLevel="0" collapsed="false">
      <c r="A20" s="3"/>
      <c r="B20" s="5"/>
      <c r="C20" s="17" t="s">
        <v>122</v>
      </c>
      <c r="D20" s="17"/>
      <c r="E20" s="17"/>
      <c r="F20" s="17"/>
      <c r="G20" s="17" t="s">
        <v>120</v>
      </c>
      <c r="H20" s="17"/>
      <c r="I20" s="17"/>
      <c r="J20" s="17"/>
      <c r="K20" s="17" t="s">
        <v>58</v>
      </c>
      <c r="L20" s="17"/>
      <c r="M20" s="17"/>
      <c r="N20" s="17"/>
      <c r="O20" s="17" t="s">
        <v>58</v>
      </c>
      <c r="P20" s="17"/>
      <c r="Q20" s="17"/>
      <c r="R20" s="17"/>
      <c r="S20" s="17" t="s">
        <v>122</v>
      </c>
      <c r="T20" s="17"/>
      <c r="U20" s="17"/>
      <c r="V20" s="17"/>
      <c r="W20" s="17" t="s">
        <v>121</v>
      </c>
      <c r="X20" s="17"/>
      <c r="Y20" s="17"/>
      <c r="Z20" s="17"/>
      <c r="AA20" s="191"/>
      <c r="AB20" s="191"/>
      <c r="AC20" s="191"/>
      <c r="AD20" s="191"/>
      <c r="AE20" s="191"/>
      <c r="AF20" s="191"/>
    </row>
    <row r="21" s="8" customFormat="true" ht="18.6" hidden="false" customHeight="true" outlineLevel="0" collapsed="false">
      <c r="A21" s="3"/>
      <c r="B21" s="5"/>
      <c r="C21" s="18" t="s">
        <v>18</v>
      </c>
      <c r="D21" s="18"/>
      <c r="E21" s="18" t="s">
        <v>19</v>
      </c>
      <c r="F21" s="18"/>
      <c r="G21" s="18" t="s">
        <v>18</v>
      </c>
      <c r="H21" s="18"/>
      <c r="I21" s="18" t="s">
        <v>19</v>
      </c>
      <c r="J21" s="18"/>
      <c r="K21" s="18" t="s">
        <v>18</v>
      </c>
      <c r="L21" s="18"/>
      <c r="M21" s="18" t="s">
        <v>19</v>
      </c>
      <c r="N21" s="18"/>
      <c r="O21" s="18" t="s">
        <v>18</v>
      </c>
      <c r="P21" s="18"/>
      <c r="Q21" s="18" t="s">
        <v>19</v>
      </c>
      <c r="R21" s="18"/>
      <c r="S21" s="18" t="s">
        <v>18</v>
      </c>
      <c r="T21" s="18"/>
      <c r="U21" s="18" t="s">
        <v>19</v>
      </c>
      <c r="V21" s="18"/>
      <c r="W21" s="18" t="s">
        <v>18</v>
      </c>
      <c r="X21" s="18"/>
      <c r="Y21" s="18" t="s">
        <v>19</v>
      </c>
      <c r="Z21" s="18"/>
      <c r="AA21" s="192"/>
      <c r="AB21" s="192"/>
      <c r="AC21" s="192"/>
      <c r="AD21" s="192"/>
      <c r="AE21" s="192"/>
      <c r="AF21" s="192"/>
    </row>
    <row r="22" s="8" customFormat="true" ht="20.25" hidden="false" customHeight="false" outlineLevel="0" collapsed="false">
      <c r="A22" s="20" t="s">
        <v>21</v>
      </c>
      <c r="B22" s="20"/>
      <c r="C22" s="21" t="s">
        <v>22</v>
      </c>
      <c r="D22" s="21" t="s">
        <v>23</v>
      </c>
      <c r="E22" s="21" t="s">
        <v>22</v>
      </c>
      <c r="F22" s="21" t="s">
        <v>23</v>
      </c>
      <c r="G22" s="21" t="s">
        <v>22</v>
      </c>
      <c r="H22" s="21" t="s">
        <v>23</v>
      </c>
      <c r="I22" s="21" t="s">
        <v>22</v>
      </c>
      <c r="J22" s="21" t="s">
        <v>23</v>
      </c>
      <c r="K22" s="21" t="s">
        <v>22</v>
      </c>
      <c r="L22" s="21" t="s">
        <v>23</v>
      </c>
      <c r="M22" s="21" t="s">
        <v>22</v>
      </c>
      <c r="N22" s="21" t="s">
        <v>23</v>
      </c>
      <c r="O22" s="21" t="s">
        <v>22</v>
      </c>
      <c r="P22" s="21" t="s">
        <v>23</v>
      </c>
      <c r="Q22" s="21" t="s">
        <v>22</v>
      </c>
      <c r="R22" s="21" t="s">
        <v>23</v>
      </c>
      <c r="S22" s="21" t="s">
        <v>22</v>
      </c>
      <c r="T22" s="21" t="s">
        <v>23</v>
      </c>
      <c r="U22" s="21" t="s">
        <v>22</v>
      </c>
      <c r="V22" s="21" t="s">
        <v>23</v>
      </c>
      <c r="W22" s="21" t="s">
        <v>22</v>
      </c>
      <c r="X22" s="21" t="s">
        <v>23</v>
      </c>
      <c r="Y22" s="21" t="s">
        <v>22</v>
      </c>
      <c r="Z22" s="21" t="s">
        <v>23</v>
      </c>
      <c r="AA22" s="32"/>
      <c r="AB22" s="32"/>
      <c r="AC22" s="32"/>
      <c r="AD22" s="32"/>
      <c r="AE22" s="32"/>
      <c r="AF22" s="32"/>
    </row>
    <row r="23" customFormat="false" ht="75" hidden="false" customHeight="true" outlineLevel="0" collapsed="false">
      <c r="A23" s="88" t="n">
        <v>0.270833333333333</v>
      </c>
      <c r="B23" s="88" t="n">
        <v>0.291666666666667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33"/>
      <c r="AB23" s="33"/>
      <c r="AC23" s="33"/>
      <c r="AD23" s="33"/>
      <c r="AE23" s="33"/>
      <c r="AF23" s="33"/>
    </row>
    <row r="24" customFormat="false" ht="75" hidden="false" customHeight="true" outlineLevel="0" collapsed="false">
      <c r="A24" s="88" t="n">
        <v>0.291666666666667</v>
      </c>
      <c r="B24" s="88" t="n">
        <v>0.3125</v>
      </c>
      <c r="C24" s="25"/>
      <c r="D24" s="25"/>
      <c r="E24" s="25"/>
      <c r="F24" s="25"/>
      <c r="G24" s="25"/>
      <c r="H24" s="25"/>
      <c r="I24" s="25"/>
      <c r="J24" s="25" t="n">
        <v>1</v>
      </c>
      <c r="K24" s="25"/>
      <c r="L24" s="25"/>
      <c r="M24" s="25"/>
      <c r="N24" s="25"/>
      <c r="O24" s="25"/>
      <c r="P24" s="25"/>
      <c r="Q24" s="25"/>
      <c r="R24" s="25" t="n">
        <v>1</v>
      </c>
      <c r="S24" s="25"/>
      <c r="T24" s="25"/>
      <c r="U24" s="25"/>
      <c r="V24" s="25"/>
      <c r="W24" s="25"/>
      <c r="X24" s="25"/>
      <c r="Y24" s="25"/>
      <c r="Z24" s="25" t="n">
        <v>1</v>
      </c>
      <c r="AA24" s="33"/>
      <c r="AB24" s="33"/>
      <c r="AC24" s="33"/>
      <c r="AD24" s="33"/>
      <c r="AE24" s="33"/>
      <c r="AF24" s="33"/>
    </row>
    <row r="25" customFormat="false" ht="75" hidden="false" customHeight="true" outlineLevel="0" collapsed="false">
      <c r="A25" s="88" t="n">
        <v>0.3125</v>
      </c>
      <c r="B25" s="88" t="n">
        <v>0.333333333333333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33"/>
      <c r="AB25" s="33"/>
      <c r="AC25" s="33"/>
      <c r="AD25" s="33"/>
      <c r="AE25" s="33"/>
      <c r="AF25" s="33"/>
    </row>
    <row r="26" customFormat="false" ht="75" hidden="false" customHeight="true" outlineLevel="0" collapsed="false">
      <c r="A26" s="88" t="n">
        <v>0.333333333333333</v>
      </c>
      <c r="B26" s="88" t="n">
        <v>0.354166666666667</v>
      </c>
      <c r="C26" s="25"/>
      <c r="D26" s="25"/>
      <c r="E26" s="25"/>
      <c r="F26" s="25"/>
      <c r="G26" s="25"/>
      <c r="H26" s="25" t="n">
        <v>1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33"/>
      <c r="AB26" s="33"/>
      <c r="AC26" s="33"/>
      <c r="AD26" s="33"/>
      <c r="AE26" s="33"/>
      <c r="AF26" s="33"/>
    </row>
    <row r="27" customFormat="false" ht="75" hidden="false" customHeight="true" outlineLevel="0" collapsed="false">
      <c r="A27" s="88" t="n">
        <v>0.354166666666667</v>
      </c>
      <c r="B27" s="88" t="n">
        <v>0.375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 t="n">
        <v>1</v>
      </c>
      <c r="Y27" s="25"/>
      <c r="Z27" s="25"/>
      <c r="AA27" s="33"/>
      <c r="AB27" s="33"/>
      <c r="AC27" s="33"/>
      <c r="AD27" s="33"/>
      <c r="AE27" s="33"/>
      <c r="AF27" s="33"/>
    </row>
    <row r="28" customFormat="false" ht="18" hidden="false" customHeight="true" outlineLevel="0" collapsed="false">
      <c r="A28" s="12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="31" customFormat="true" ht="39.75" hidden="false" customHeight="true" outlineLevel="0" collapsed="false">
      <c r="A29" s="27"/>
      <c r="B29" s="28" t="s">
        <v>25</v>
      </c>
      <c r="C29" s="29"/>
      <c r="D29" s="29"/>
      <c r="E29" s="29"/>
      <c r="F29" s="29"/>
      <c r="G29" s="29"/>
      <c r="H29" s="29"/>
      <c r="I29" s="27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="31" customFormat="true" ht="39.75" hidden="false" customHeight="true" outlineLevel="0" collapsed="false">
      <c r="A30" s="27"/>
      <c r="B30" s="28" t="s">
        <v>27</v>
      </c>
      <c r="C30" s="29"/>
      <c r="D30" s="29"/>
      <c r="E30" s="29"/>
      <c r="F30" s="29"/>
      <c r="G30" s="29"/>
      <c r="H30" s="29"/>
      <c r="I30" s="27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="31" customFormat="true" ht="39.75" hidden="false" customHeight="true" outlineLevel="0" collapsed="false">
      <c r="A31" s="27"/>
      <c r="B31" s="28" t="s">
        <v>28</v>
      </c>
      <c r="C31" s="29"/>
      <c r="D31" s="29"/>
      <c r="E31" s="29"/>
      <c r="F31" s="29"/>
      <c r="G31" s="29"/>
      <c r="H31" s="29"/>
      <c r="I31" s="27"/>
      <c r="J31" s="29"/>
      <c r="K31" s="29"/>
      <c r="L31" s="29"/>
      <c r="M31" s="29"/>
      <c r="N31" s="29"/>
      <c r="O31" s="200" t="s">
        <v>125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="2" customFormat="true" ht="32.25" hidden="false" customHeight="true" outlineLevel="0" collapsed="false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8"/>
      <c r="AB32" s="8"/>
      <c r="AC32" s="8"/>
      <c r="AD32" s="8"/>
      <c r="AE32" s="8"/>
      <c r="AF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</row>
    <row r="33" customFormat="false" ht="30" hidden="false" customHeight="true" outlineLevel="0" collapsed="false">
      <c r="A33" s="190"/>
      <c r="B33" s="190"/>
      <c r="C33" s="18" t="s">
        <v>18</v>
      </c>
      <c r="D33" s="18"/>
      <c r="E33" s="18" t="s">
        <v>19</v>
      </c>
      <c r="F33" s="18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31"/>
      <c r="AB33" s="124" t="s">
        <v>83</v>
      </c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</row>
    <row r="34" customFormat="false" ht="71.25" hidden="false" customHeight="true" outlineLevel="0" collapsed="false">
      <c r="A34" s="20" t="s">
        <v>21</v>
      </c>
      <c r="B34" s="20"/>
      <c r="C34" s="21" t="s">
        <v>22</v>
      </c>
      <c r="D34" s="21" t="s">
        <v>23</v>
      </c>
      <c r="E34" s="21" t="s">
        <v>22</v>
      </c>
      <c r="F34" s="21" t="s">
        <v>23</v>
      </c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20" t="s">
        <v>21</v>
      </c>
      <c r="AB34" s="20"/>
      <c r="AC34" s="73" t="s">
        <v>29</v>
      </c>
      <c r="AD34" s="44" t="s">
        <v>30</v>
      </c>
      <c r="AE34" s="40" t="s">
        <v>31</v>
      </c>
      <c r="AF34" s="40" t="s">
        <v>32</v>
      </c>
      <c r="AG34" s="44" t="s">
        <v>34</v>
      </c>
      <c r="AH34" s="44" t="s">
        <v>35</v>
      </c>
      <c r="AI34" s="44" t="s">
        <v>36</v>
      </c>
      <c r="AJ34" s="44" t="s">
        <v>37</v>
      </c>
    </row>
    <row r="35" customFormat="false" ht="54.95" hidden="false" customHeight="true" outlineLevel="0" collapsed="false">
      <c r="A35" s="20" t="s">
        <v>38</v>
      </c>
      <c r="B35" s="20"/>
      <c r="C35" s="25" t="n">
        <f aca="false">C13+G13+K13+O13+S13+W13+C23+G23+K23+O23+S23+W23</f>
        <v>0</v>
      </c>
      <c r="D35" s="25" t="n">
        <f aca="false">D13+H13+L13+P13+T13+X13+D23+H23+L23+P23+T23+X23</f>
        <v>2</v>
      </c>
      <c r="E35" s="25" t="n">
        <f aca="false">E13+I13+M13+Q13+U13+Y13+E23+I23+M23+Q23+U23+Y23</f>
        <v>0</v>
      </c>
      <c r="F35" s="25" t="n">
        <f aca="false">F13+J13+N13+R13+V13+Z13+F23+J23+N23+R23+V23+Z23</f>
        <v>0</v>
      </c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20" t="str">
        <f aca="false">A35</f>
        <v>6:30 à 7:00</v>
      </c>
      <c r="AB35" s="20"/>
      <c r="AC35" s="79" t="n">
        <f aca="false">SUM(C35:Z35)</f>
        <v>2</v>
      </c>
      <c r="AD35" s="46" t="n">
        <f aca="false">C35+E35</f>
        <v>0</v>
      </c>
      <c r="AE35" s="46" t="n">
        <f aca="false">E35+F35</f>
        <v>0</v>
      </c>
      <c r="AF35" s="46" t="n">
        <f aca="false">E35</f>
        <v>0</v>
      </c>
    </row>
    <row r="36" customFormat="false" ht="54.95" hidden="false" customHeight="true" outlineLevel="0" collapsed="false">
      <c r="A36" s="20" t="s">
        <v>39</v>
      </c>
      <c r="B36" s="20"/>
      <c r="C36" s="25" t="n">
        <f aca="false">C14+G14+K14+O14+S14+W14+C24+G24+K24+O24+S24+W24</f>
        <v>0</v>
      </c>
      <c r="D36" s="25" t="n">
        <f aca="false">D14+H14+L14+P14+T14+X14+D24+H24+L24+P24+T24+X24</f>
        <v>0</v>
      </c>
      <c r="E36" s="25" t="n">
        <f aca="false">E14+I14+M14+Q14+U14+Y14+E24+I24+M24+Q24+U24+Y24</f>
        <v>0</v>
      </c>
      <c r="F36" s="25" t="n">
        <f aca="false">F14+J14+N14+R14+V14+Z14+F24+J24+N24+R24+V24+Z24</f>
        <v>3</v>
      </c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20" t="str">
        <f aca="false">A36</f>
        <v>7:00 à 7:30</v>
      </c>
      <c r="AB36" s="20"/>
      <c r="AC36" s="79" t="n">
        <f aca="false">SUM(C36:Z36)</f>
        <v>3</v>
      </c>
      <c r="AD36" s="46" t="n">
        <f aca="false">C36+E36</f>
        <v>0</v>
      </c>
      <c r="AE36" s="46" t="n">
        <f aca="false">E36+F36</f>
        <v>3</v>
      </c>
      <c r="AF36" s="46" t="n">
        <f aca="false">E36</f>
        <v>0</v>
      </c>
    </row>
    <row r="37" customFormat="false" ht="54.95" hidden="false" customHeight="true" outlineLevel="0" collapsed="false">
      <c r="A37" s="20" t="s">
        <v>40</v>
      </c>
      <c r="B37" s="20"/>
      <c r="C37" s="25" t="n">
        <f aca="false">C15+G15+K15+O15+S15+W15+C25+G25+K25+O25+S25+W25</f>
        <v>1</v>
      </c>
      <c r="D37" s="25" t="n">
        <f aca="false">D15+H15+L15+P15+T15+X15+D25+H25+L25+P25+T25+X25</f>
        <v>0</v>
      </c>
      <c r="E37" s="25" t="n">
        <f aca="false">E15+I15+M15+Q15+U15+Y15+E25+I25+M25+Q25+U25+Y25</f>
        <v>0</v>
      </c>
      <c r="F37" s="25" t="n">
        <f aca="false">F15+J15+N15+R15+V15+Z15+F25+J25+N25+R25+V25+Z25</f>
        <v>1</v>
      </c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20" t="str">
        <f aca="false">A37</f>
        <v>7:30 à 8:00</v>
      </c>
      <c r="AB37" s="20"/>
      <c r="AC37" s="79" t="n">
        <f aca="false">SUM(C37:Z37)</f>
        <v>2</v>
      </c>
      <c r="AD37" s="46" t="n">
        <f aca="false">C37+E37</f>
        <v>1</v>
      </c>
      <c r="AE37" s="46" t="n">
        <f aca="false">E37+F37</f>
        <v>1</v>
      </c>
      <c r="AF37" s="46" t="n">
        <f aca="false">E37</f>
        <v>0</v>
      </c>
    </row>
    <row r="38" customFormat="false" ht="54.95" hidden="false" customHeight="true" outlineLevel="0" collapsed="false">
      <c r="A38" s="20" t="s">
        <v>41</v>
      </c>
      <c r="B38" s="20"/>
      <c r="C38" s="25" t="n">
        <f aca="false">C16+G16+K16+O16+S16+W16+C26+G26+K26+O26+S26+W26</f>
        <v>1</v>
      </c>
      <c r="D38" s="25" t="n">
        <f aca="false">D16+H16+L16+P16+T16+X16+D26+H26+L26+P26+T26+X26</f>
        <v>2</v>
      </c>
      <c r="E38" s="25" t="n">
        <f aca="false">E16+I16+M16+Q16+U16+Y16+E26+I26+M26+Q26+U26+Y26</f>
        <v>0</v>
      </c>
      <c r="F38" s="25" t="n">
        <f aca="false">F16+J16+N16+R16+V16+Z16+F26+J26+N26+R26+V26+Z26</f>
        <v>1</v>
      </c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20" t="str">
        <f aca="false">A38</f>
        <v>8:00 à 8:30</v>
      </c>
      <c r="AB38" s="20"/>
      <c r="AC38" s="79" t="n">
        <f aca="false">SUM(C38:Z38)</f>
        <v>4</v>
      </c>
      <c r="AD38" s="46" t="n">
        <f aca="false">C38+E38</f>
        <v>1</v>
      </c>
      <c r="AE38" s="46" t="n">
        <f aca="false">E38+F38</f>
        <v>1</v>
      </c>
      <c r="AF38" s="46" t="n">
        <f aca="false">E38</f>
        <v>0</v>
      </c>
    </row>
    <row r="39" customFormat="false" ht="54.95" hidden="false" customHeight="true" outlineLevel="0" collapsed="false">
      <c r="A39" s="20" t="s">
        <v>42</v>
      </c>
      <c r="B39" s="20"/>
      <c r="C39" s="25" t="n">
        <f aca="false">C17+G17+K17+O17+S17+W17+C27+G27+K27+O27+S27+W27</f>
        <v>0</v>
      </c>
      <c r="D39" s="25" t="n">
        <f aca="false">D17+H17+L17+P17+T17+X17+D27+H27+L27+P27+T27+X27</f>
        <v>2</v>
      </c>
      <c r="E39" s="25" t="n">
        <f aca="false">E17+I17+M17+Q17+U17+Y17+E27+I27+M27+Q27+U27+Y27</f>
        <v>2</v>
      </c>
      <c r="F39" s="25" t="n">
        <f aca="false">F17+J17+N17+R17+V17+Z17+F27+J27+N27+R27+V27+Z27</f>
        <v>2</v>
      </c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20" t="s">
        <v>42</v>
      </c>
      <c r="AB39" s="20"/>
      <c r="AC39" s="79" t="n">
        <f aca="false">SUM(C39:Z39)</f>
        <v>6</v>
      </c>
      <c r="AD39" s="46" t="n">
        <f aca="false">C39+E39</f>
        <v>2</v>
      </c>
      <c r="AE39" s="46" t="n">
        <f aca="false">E39+F39</f>
        <v>4</v>
      </c>
      <c r="AF39" s="46" t="n">
        <f aca="false">E39</f>
        <v>2</v>
      </c>
    </row>
    <row r="40" customFormat="false" ht="42.75" hidden="false" customHeight="true" outlineLevel="0" collapsed="false">
      <c r="A40" s="20" t="s">
        <v>29</v>
      </c>
      <c r="B40" s="20"/>
      <c r="C40" s="105" t="n">
        <f aca="false">SUM(C35:C39)</f>
        <v>2</v>
      </c>
      <c r="D40" s="105" t="n">
        <f aca="false">SUM(D35:D39)</f>
        <v>6</v>
      </c>
      <c r="E40" s="105" t="n">
        <f aca="false">SUM(E35:E39)</f>
        <v>2</v>
      </c>
      <c r="F40" s="105" t="n">
        <f aca="false">SUM(F35:F39)</f>
        <v>7</v>
      </c>
      <c r="G40" s="70" t="n">
        <f aca="false">SUM(C40:F40)</f>
        <v>17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AA40" s="107" t="s">
        <v>29</v>
      </c>
      <c r="AB40" s="107"/>
      <c r="AC40" s="50" t="n">
        <f aca="false">SUM(AC35:AC39)</f>
        <v>17</v>
      </c>
      <c r="AD40" s="50" t="n">
        <f aca="false">SUM(AD35:AD39)</f>
        <v>4</v>
      </c>
      <c r="AE40" s="50" t="n">
        <f aca="false">SUM(AE35:AE39)</f>
        <v>9</v>
      </c>
      <c r="AF40" s="51" t="n">
        <f aca="false">SUM(AF35:AF39)</f>
        <v>2</v>
      </c>
      <c r="AG40" s="50" t="n">
        <v>1</v>
      </c>
      <c r="AH40" s="51" t="n">
        <v>1</v>
      </c>
      <c r="AI40" s="51" t="e">
        <f aca="false">#REF!</f>
        <v>#REF!</v>
      </c>
      <c r="AJ40" s="51" t="n">
        <v>3</v>
      </c>
    </row>
    <row r="41" customFormat="false" ht="42.75" hidden="false" customHeight="true" outlineLevel="0" collapsed="false">
      <c r="A41" s="113"/>
      <c r="B41" s="113"/>
      <c r="C41" s="127"/>
      <c r="D41" s="127"/>
      <c r="E41" s="127"/>
      <c r="F41" s="127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AA41" s="56" t="s">
        <v>39</v>
      </c>
      <c r="AB41" s="57"/>
      <c r="AC41" s="58" t="n">
        <v>6</v>
      </c>
      <c r="AD41" s="58"/>
      <c r="AE41" s="58"/>
      <c r="AF41" s="58"/>
      <c r="AG41" s="60"/>
      <c r="AH41" s="60"/>
      <c r="AI41" s="60"/>
      <c r="AJ41" s="60"/>
    </row>
    <row r="42" customFormat="false" ht="42.75" hidden="false" customHeight="true" outlineLevel="0" collapsed="false">
      <c r="A42" s="113"/>
      <c r="B42" s="113"/>
      <c r="C42" s="127"/>
      <c r="D42" s="127"/>
      <c r="E42" s="127"/>
      <c r="F42" s="127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AA42" s="63" t="s">
        <v>40</v>
      </c>
      <c r="AB42" s="64"/>
      <c r="AC42" s="65" t="n">
        <v>8</v>
      </c>
      <c r="AD42" s="65"/>
      <c r="AE42" s="65"/>
      <c r="AF42" s="65"/>
      <c r="AG42" s="60"/>
      <c r="AH42" s="60"/>
      <c r="AI42" s="60"/>
      <c r="AJ42" s="60"/>
    </row>
    <row r="43" customFormat="false" ht="42.75" hidden="false" customHeight="true" outlineLevel="0" collapsed="false">
      <c r="A43" s="113"/>
      <c r="B43" s="113"/>
      <c r="C43" s="127"/>
      <c r="D43" s="127"/>
      <c r="E43" s="127"/>
      <c r="F43" s="127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AA43" s="66" t="s">
        <v>44</v>
      </c>
      <c r="AB43" s="66"/>
      <c r="AC43" s="67" t="n">
        <f aca="false">SUM(AC41:AC42)</f>
        <v>14</v>
      </c>
      <c r="AD43" s="68"/>
      <c r="AE43" s="68"/>
      <c r="AF43" s="68"/>
      <c r="AG43" s="60"/>
      <c r="AH43" s="60"/>
      <c r="AI43" s="60"/>
      <c r="AJ43" s="60"/>
    </row>
    <row r="44" customFormat="false" ht="66.75" hidden="false" customHeight="true" outlineLevel="0" collapsed="false">
      <c r="A44" s="11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55" t="s">
        <v>43</v>
      </c>
      <c r="AA44" s="20" t="str">
        <f aca="false">IF($AC$36=MAX($AC$35:$AC$39),AA36,IF($AC$37=MAX($AC$35:$AC$39),AA37,IF($AC$38=MAX($AC$35:$AC$39),AA38,IF($AC$39=MAX($AC$35:$AC$39),AA39,IF($AC$35=MAX($AC$35:$AC$39),AA35,AA38)))))</f>
        <v>8:30 à 9:00</v>
      </c>
      <c r="AB44" s="20"/>
      <c r="AC44" s="43" t="n">
        <f aca="false">IF($AC$36=MAX($AC$35:$AC$39),AC36,IF($AC$37=MAX($AC$35:$AC$39),AC37,IF($AC$38=MAX($AC$35:$AC$39),AC38,IF($AC$39=MAX($AC$35:$AC$39),AC39,IF($AC$40=MAX($AC$35:$AC$39),AC40,AC38)))))</f>
        <v>6</v>
      </c>
      <c r="AD44" s="43" t="n">
        <f aca="false">IF($AC$36=MAX($AC$35:$AC$39),AD36,IF($AC$37=MAX($AC$35:$AC$39),AD37,IF($AC$38=MAX($AC$35:$AC$39),AD38,IF($AC$39=MAX($AC$35:$AC$39),AD39,IF($AC$40=MAX($AC$35:$AC$39),AD40,AD38)))))</f>
        <v>2</v>
      </c>
      <c r="AE44" s="43" t="n">
        <f aca="false">IF($AC$36=MAX($AC$35:$AC$39),AE36,IF($AC$37=MAX($AC$35:$AC$39),AE37,IF($AC$38=MAX($AC$35:$AC$39),AE38,IF($AC$39=MAX($AC$35:$AC$39),AE39,IF($AC$40=MAX($AC$35:$AC$39),AE40,AE38)))))</f>
        <v>4</v>
      </c>
      <c r="AF44" s="43" t="n">
        <f aca="false">IF($AC$36=MAX($AC$35:$AC$39),AF36,IF($AC$37=MAX($AC$35:$AC$39),AF37,IF($AC$38=MAX($AC$35:$AC$39),AF38,IF($AC$39=MAX($AC$35:$AC$39),AF39,IF($AC$40=MAX($AC$35:$AC$39),AF40,AF38)))))</f>
        <v>2</v>
      </c>
    </row>
    <row r="45" customFormat="false" ht="20.25" hidden="false" customHeight="true" outlineLevel="0" collapsed="false">
      <c r="A45" s="11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14"/>
      <c r="AB45" s="15"/>
      <c r="AC45" s="73" t="s">
        <v>29</v>
      </c>
      <c r="AD45" s="74" t="s">
        <v>45</v>
      </c>
      <c r="AE45" s="74" t="s">
        <v>46</v>
      </c>
      <c r="AF45" s="74" t="s">
        <v>47</v>
      </c>
    </row>
    <row r="46" customFormat="false" ht="20.25" hidden="false" customHeight="false" outlineLevel="0" collapsed="false">
      <c r="A46" s="11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14"/>
      <c r="AB46" s="15"/>
      <c r="AC46" s="73"/>
      <c r="AD46" s="74"/>
      <c r="AE46" s="74"/>
      <c r="AF46" s="74"/>
    </row>
    <row r="47" customFormat="false" ht="20.25" hidden="false" customHeight="false" outlineLevel="0" collapsed="false">
      <c r="A47" s="11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5"/>
      <c r="AB47" s="15"/>
      <c r="AC47" s="73"/>
      <c r="AD47" s="74"/>
      <c r="AE47" s="74"/>
      <c r="AF47" s="74"/>
    </row>
    <row r="48" customFormat="false" ht="35.1" hidden="false" customHeight="true" outlineLevel="0" collapsed="false">
      <c r="A48" s="11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20" t="s">
        <v>21</v>
      </c>
      <c r="AB48" s="20"/>
      <c r="AC48" s="73"/>
      <c r="AD48" s="74"/>
      <c r="AE48" s="74"/>
      <c r="AF48" s="74"/>
    </row>
    <row r="49" customFormat="false" ht="35.1" hidden="false" customHeight="true" outlineLevel="0" collapsed="false">
      <c r="A49" s="11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20" t="str">
        <f aca="false">AA35</f>
        <v>6:30 à 7:00</v>
      </c>
      <c r="AB49" s="20"/>
      <c r="AC49" s="76"/>
      <c r="AD49" s="77" t="n">
        <f aca="false">IF(AD36=0,0,AD36/AC36)</f>
        <v>0</v>
      </c>
      <c r="AE49" s="77" t="n">
        <f aca="false">IF(AE36=0,0,AE36/AC36)</f>
        <v>1</v>
      </c>
      <c r="AF49" s="77" t="n">
        <f aca="false">IF(AF36=0,0,AF36/AD36)</f>
        <v>0</v>
      </c>
    </row>
    <row r="50" customFormat="false" ht="35.1" hidden="false" customHeight="true" outlineLevel="0" collapsed="false">
      <c r="A50" s="11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20" t="str">
        <f aca="false">AA36</f>
        <v>7:00 à 7:30</v>
      </c>
      <c r="AB50" s="20"/>
      <c r="AC50" s="76"/>
      <c r="AD50" s="77" t="n">
        <f aca="false">IF(AD36=0,0,AD36/AC36)</f>
        <v>0</v>
      </c>
      <c r="AE50" s="77" t="n">
        <f aca="false">IF(AE36=0,0,AE36/AC36)</f>
        <v>1</v>
      </c>
      <c r="AF50" s="77" t="n">
        <f aca="false">IF(AF36=0,0,AF36/AD36)</f>
        <v>0</v>
      </c>
    </row>
    <row r="51" customFormat="false" ht="35.1" hidden="false" customHeight="true" outlineLevel="0" collapsed="false">
      <c r="F51" s="72"/>
      <c r="K51" s="72"/>
      <c r="L51" s="72"/>
      <c r="M51" s="72"/>
      <c r="N51" s="72"/>
      <c r="O51" s="72"/>
      <c r="P51" s="72"/>
      <c r="Q51" s="72"/>
      <c r="AA51" s="20" t="str">
        <f aca="false">AA37</f>
        <v>7:30 à 8:00</v>
      </c>
      <c r="AB51" s="20"/>
      <c r="AC51" s="76"/>
      <c r="AD51" s="77" t="n">
        <f aca="false">IF(AD37=0,0,AD37/AC37)</f>
        <v>0.5</v>
      </c>
      <c r="AE51" s="77" t="n">
        <f aca="false">IF(AE37=0,0,AE37/AC37)</f>
        <v>0.5</v>
      </c>
      <c r="AF51" s="77" t="n">
        <f aca="false">IF(AF37=0,0,AF37/AD37)</f>
        <v>0</v>
      </c>
    </row>
    <row r="52" customFormat="false" ht="35.1" hidden="false" customHeight="true" outlineLevel="0" collapsed="false">
      <c r="F52" s="72"/>
      <c r="K52" s="72"/>
      <c r="L52" s="72"/>
      <c r="M52" s="72"/>
      <c r="N52" s="72"/>
      <c r="O52" s="72"/>
      <c r="P52" s="72"/>
      <c r="Q52" s="72"/>
      <c r="AA52" s="20" t="str">
        <f aca="false">AA38</f>
        <v>8:00 à 8:30</v>
      </c>
      <c r="AB52" s="20"/>
      <c r="AC52" s="76"/>
      <c r="AD52" s="77" t="n">
        <f aca="false">IF(AD38=0,0,AD38/AC38)</f>
        <v>0.25</v>
      </c>
      <c r="AE52" s="77" t="n">
        <f aca="false">IF(AE38=0,0,AE38/AC38)</f>
        <v>0.25</v>
      </c>
      <c r="AF52" s="77" t="n">
        <f aca="false">IF(AF38=0,0,AF38/AD38)</f>
        <v>0</v>
      </c>
    </row>
    <row r="53" customFormat="false" ht="35.1" hidden="false" customHeight="true" outlineLevel="0" collapsed="false">
      <c r="AA53" s="78" t="s">
        <v>29</v>
      </c>
      <c r="AB53" s="78"/>
      <c r="AC53" s="79"/>
      <c r="AD53" s="77" t="n">
        <f aca="false">IF(AD40=0,0,AD40/AC40)</f>
        <v>0.235294117647059</v>
      </c>
      <c r="AE53" s="77" t="n">
        <f aca="false">IF(AE40=0,0,AE40/AC40)</f>
        <v>0.529411764705882</v>
      </c>
      <c r="AF53" s="77" t="n">
        <f aca="false">IF(AF40=0,0,AF40/AD40)</f>
        <v>0.5</v>
      </c>
    </row>
    <row r="54" customFormat="false" ht="36.75" hidden="false" customHeight="true" outlineLevel="0" collapsed="false">
      <c r="AA54" s="20" t="str">
        <f aca="false">AA44</f>
        <v>8:30 à 9:00</v>
      </c>
      <c r="AB54" s="20"/>
      <c r="AC54" s="43"/>
      <c r="AD54" s="80" t="n">
        <f aca="false">AD44/$AC$44</f>
        <v>0.333333333333333</v>
      </c>
      <c r="AE54" s="80" t="n">
        <f aca="false">AE44/$AC$44</f>
        <v>0.666666666666667</v>
      </c>
      <c r="AF54" s="80" t="n">
        <f aca="false">AF44/$AC$44</f>
        <v>0.333333333333333</v>
      </c>
    </row>
    <row r="1048576" customFormat="false" ht="12.8" hidden="false" customHeight="false" outlineLevel="0" collapsed="false"/>
  </sheetData>
  <mergeCells count="71">
    <mergeCell ref="C9:N9"/>
    <mergeCell ref="O9:Z9"/>
    <mergeCell ref="C10:F10"/>
    <mergeCell ref="G10:J10"/>
    <mergeCell ref="K10:N10"/>
    <mergeCell ref="O10:R10"/>
    <mergeCell ref="S10:V10"/>
    <mergeCell ref="W10:Z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B12"/>
    <mergeCell ref="C19:N19"/>
    <mergeCell ref="O19:Z19"/>
    <mergeCell ref="C20:F20"/>
    <mergeCell ref="G20:J20"/>
    <mergeCell ref="K20:N20"/>
    <mergeCell ref="O20:R20"/>
    <mergeCell ref="S20:V20"/>
    <mergeCell ref="W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22:B22"/>
    <mergeCell ref="C33:D33"/>
    <mergeCell ref="E33:F33"/>
    <mergeCell ref="A34:B34"/>
    <mergeCell ref="AA34:AB34"/>
    <mergeCell ref="A35:B35"/>
    <mergeCell ref="AA35:AB35"/>
    <mergeCell ref="A36:B36"/>
    <mergeCell ref="AA36:AB36"/>
    <mergeCell ref="A37:B37"/>
    <mergeCell ref="AA37:AB37"/>
    <mergeCell ref="A38:B38"/>
    <mergeCell ref="AA38:AB38"/>
    <mergeCell ref="A39:B39"/>
    <mergeCell ref="AA39:AB39"/>
    <mergeCell ref="A40:B40"/>
    <mergeCell ref="AA40:AB40"/>
    <mergeCell ref="AA43:AB43"/>
    <mergeCell ref="AA44:AB44"/>
    <mergeCell ref="AC45:AC48"/>
    <mergeCell ref="AD45:AD48"/>
    <mergeCell ref="AE45:AE48"/>
    <mergeCell ref="AF45:AF48"/>
    <mergeCell ref="AA48:AB48"/>
    <mergeCell ref="AA49:AB49"/>
    <mergeCell ref="AA50:AB50"/>
    <mergeCell ref="AA51:AB51"/>
    <mergeCell ref="AA52:AB52"/>
    <mergeCell ref="AA53:AB53"/>
    <mergeCell ref="AA54:AB54"/>
  </mergeCells>
  <printOptions headings="false" gridLines="false" gridLinesSet="true" horizontalCentered="false" verticalCentered="false"/>
  <pageMargins left="0.196527777777778" right="0.196527777777778" top="1.18125" bottom="1.18125" header="0.511805555555555" footer="0.511805555555555"/>
  <pageSetup paperSize="9" scale="100" fitToWidth="1" fitToHeight="0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J3" activeCellId="0" sqref="J3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9.69"/>
    <col collapsed="false" customWidth="false" hidden="false" outlineLevel="0" max="2" min="2" style="1" width="11.25"/>
    <col collapsed="false" customWidth="true" hidden="false" outlineLevel="0" max="28" min="3" style="1" width="9.88"/>
    <col collapsed="false" customWidth="true" hidden="false" outlineLevel="0" max="32" min="29" style="1" width="17.12"/>
    <col collapsed="false" customWidth="true" hidden="false" outlineLevel="0" max="36" min="33" style="1" width="10.87"/>
    <col collapsed="false" customWidth="true" hidden="false" outlineLevel="0" max="38" min="37" style="1" width="17.12"/>
    <col collapsed="false" customWidth="true" hidden="false" outlineLevel="0" max="39" min="39" style="1" width="10.87"/>
    <col collapsed="false" customWidth="false" hidden="false" outlineLevel="0" max="1024" min="40" style="1" width="11.25"/>
  </cols>
  <sheetData>
    <row r="1" s="2" customFormat="true" ht="52.5" hidden="false" customHeight="true" outlineLevel="0" collapsed="false">
      <c r="A1" s="3"/>
      <c r="B1" s="4" t="s">
        <v>126</v>
      </c>
      <c r="C1" s="5"/>
      <c r="D1" s="5"/>
      <c r="E1" s="5"/>
      <c r="G1" s="5"/>
      <c r="H1" s="5"/>
      <c r="I1" s="5"/>
      <c r="J1" s="5"/>
      <c r="O1" s="6" t="s">
        <v>2</v>
      </c>
      <c r="P1" s="81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K1" s="5"/>
      <c r="AL1" s="5"/>
      <c r="AMI1" s="8"/>
      <c r="AMJ1" s="8"/>
    </row>
    <row r="2" s="2" customFormat="true" ht="52.5" hidden="false" customHeight="true" outlineLevel="0" collapsed="false">
      <c r="A2" s="3" t="s">
        <v>4</v>
      </c>
      <c r="B2" s="5"/>
      <c r="C2" s="5"/>
      <c r="D2" s="5"/>
      <c r="E2" s="5"/>
      <c r="G2" s="5"/>
      <c r="H2" s="5"/>
      <c r="I2" s="201" t="s">
        <v>127</v>
      </c>
      <c r="J2" s="5"/>
      <c r="K2" s="5"/>
      <c r="L2" s="5"/>
      <c r="M2" s="5"/>
      <c r="N2" s="5"/>
      <c r="O2" s="5"/>
      <c r="P2" s="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5"/>
      <c r="AK2" s="5"/>
      <c r="AL2" s="5"/>
      <c r="AMI2" s="8"/>
      <c r="AMJ2" s="8"/>
    </row>
    <row r="3" s="2" customFormat="true" ht="52.5" hidden="false" customHeight="true" outlineLevel="0" collapsed="false">
      <c r="A3" s="3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K3" s="5"/>
      <c r="AL3" s="5"/>
      <c r="AMI3" s="8"/>
      <c r="AMJ3" s="8"/>
    </row>
    <row r="4" s="8" customFormat="true" ht="25.5" hidden="false" customHeight="true" outlineLevel="0" collapsed="false"/>
    <row r="5" s="8" customFormat="true" ht="35.1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2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="8" customFormat="true" ht="35.1" hidden="false" customHeight="true" outlineLevel="0" collapsed="false">
      <c r="A6" s="11" t="s">
        <v>118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2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="8" customFormat="true" ht="35.1" hidden="false" customHeight="true" outlineLevel="0" collapsed="false">
      <c r="A7" s="11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2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2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="2" customFormat="true" ht="16.9" hidden="false" customHeight="true" outlineLevel="0" collapsed="false">
      <c r="A8" s="1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="2" customFormat="true" ht="32.25" hidden="false" customHeight="true" outlineLevel="0" collapsed="false">
      <c r="A9" s="3"/>
      <c r="B9" s="5"/>
      <c r="C9" s="16" t="s">
        <v>128</v>
      </c>
      <c r="D9" s="16"/>
      <c r="E9" s="16"/>
      <c r="F9" s="16"/>
      <c r="G9" s="16"/>
      <c r="H9" s="16"/>
      <c r="I9" s="16"/>
      <c r="J9" s="16"/>
      <c r="K9" s="16" t="s">
        <v>129</v>
      </c>
      <c r="L9" s="16"/>
      <c r="M9" s="16"/>
      <c r="N9" s="16"/>
      <c r="O9" s="16"/>
      <c r="P9" s="16"/>
      <c r="Q9" s="16"/>
      <c r="R9" s="16"/>
      <c r="S9" s="16" t="s">
        <v>130</v>
      </c>
      <c r="T9" s="16"/>
      <c r="U9" s="16"/>
      <c r="V9" s="16"/>
      <c r="W9" s="16"/>
      <c r="X9" s="16"/>
      <c r="Y9" s="16"/>
      <c r="Z9" s="16"/>
      <c r="AA9" s="190"/>
      <c r="AB9" s="190"/>
      <c r="AC9" s="190"/>
      <c r="AD9" s="190"/>
      <c r="AE9" s="190"/>
      <c r="AF9" s="190"/>
      <c r="AK9" s="190"/>
      <c r="AL9" s="190"/>
    </row>
    <row r="10" s="2" customFormat="true" ht="22.7" hidden="false" customHeight="true" outlineLevel="0" collapsed="false">
      <c r="A10" s="3"/>
      <c r="B10" s="5"/>
      <c r="C10" s="17" t="s">
        <v>131</v>
      </c>
      <c r="D10" s="17"/>
      <c r="E10" s="17"/>
      <c r="F10" s="17"/>
      <c r="G10" s="17" t="s">
        <v>132</v>
      </c>
      <c r="H10" s="17"/>
      <c r="I10" s="17"/>
      <c r="J10" s="17"/>
      <c r="K10" s="17" t="s">
        <v>132</v>
      </c>
      <c r="L10" s="17"/>
      <c r="M10" s="17"/>
      <c r="N10" s="17"/>
      <c r="O10" s="17" t="s">
        <v>133</v>
      </c>
      <c r="P10" s="17"/>
      <c r="Q10" s="17"/>
      <c r="R10" s="17"/>
      <c r="S10" s="17" t="s">
        <v>133</v>
      </c>
      <c r="T10" s="17"/>
      <c r="U10" s="17"/>
      <c r="V10" s="17"/>
      <c r="W10" s="17" t="s">
        <v>131</v>
      </c>
      <c r="X10" s="17"/>
      <c r="Y10" s="17"/>
      <c r="Z10" s="17"/>
      <c r="AA10" s="191"/>
      <c r="AB10" s="191"/>
      <c r="AC10" s="191"/>
      <c r="AD10" s="191"/>
      <c r="AE10" s="191"/>
      <c r="AF10" s="191"/>
      <c r="AK10" s="191"/>
      <c r="AL10" s="191"/>
    </row>
    <row r="11" s="2" customFormat="true" ht="18.6" hidden="false" customHeight="true" outlineLevel="0" collapsed="false">
      <c r="A11" s="3"/>
      <c r="B11" s="5"/>
      <c r="C11" s="18" t="s">
        <v>18</v>
      </c>
      <c r="D11" s="18"/>
      <c r="E11" s="18" t="s">
        <v>19</v>
      </c>
      <c r="F11" s="18"/>
      <c r="G11" s="18" t="s">
        <v>18</v>
      </c>
      <c r="H11" s="18"/>
      <c r="I11" s="18" t="s">
        <v>19</v>
      </c>
      <c r="J11" s="18"/>
      <c r="K11" s="18" t="s">
        <v>18</v>
      </c>
      <c r="L11" s="18"/>
      <c r="M11" s="18" t="s">
        <v>19</v>
      </c>
      <c r="N11" s="18"/>
      <c r="O11" s="18" t="s">
        <v>18</v>
      </c>
      <c r="P11" s="18"/>
      <c r="Q11" s="18" t="s">
        <v>19</v>
      </c>
      <c r="R11" s="18"/>
      <c r="S11" s="18" t="s">
        <v>18</v>
      </c>
      <c r="T11" s="18"/>
      <c r="U11" s="18" t="s">
        <v>19</v>
      </c>
      <c r="V11" s="18"/>
      <c r="W11" s="18" t="s">
        <v>18</v>
      </c>
      <c r="X11" s="18"/>
      <c r="Y11" s="18" t="s">
        <v>19</v>
      </c>
      <c r="Z11" s="18"/>
      <c r="AA11" s="192"/>
      <c r="AB11" s="192"/>
      <c r="AC11" s="192"/>
      <c r="AD11" s="192"/>
      <c r="AE11" s="192"/>
      <c r="AF11" s="192"/>
      <c r="AK11" s="192"/>
      <c r="AL11" s="192"/>
    </row>
    <row r="12" s="2" customFormat="true" ht="20.25" hidden="false" customHeight="false" outlineLevel="0" collapsed="false">
      <c r="A12" s="20" t="s">
        <v>21</v>
      </c>
      <c r="B12" s="20"/>
      <c r="C12" s="21" t="s">
        <v>22</v>
      </c>
      <c r="D12" s="21" t="s">
        <v>23</v>
      </c>
      <c r="E12" s="21" t="s">
        <v>22</v>
      </c>
      <c r="F12" s="21" t="s">
        <v>23</v>
      </c>
      <c r="G12" s="21" t="s">
        <v>22</v>
      </c>
      <c r="H12" s="21" t="s">
        <v>23</v>
      </c>
      <c r="I12" s="21" t="s">
        <v>22</v>
      </c>
      <c r="J12" s="21" t="s">
        <v>23</v>
      </c>
      <c r="K12" s="21" t="s">
        <v>22</v>
      </c>
      <c r="L12" s="21" t="s">
        <v>23</v>
      </c>
      <c r="M12" s="21" t="s">
        <v>22</v>
      </c>
      <c r="N12" s="21" t="s">
        <v>23</v>
      </c>
      <c r="O12" s="21" t="s">
        <v>22</v>
      </c>
      <c r="P12" s="21" t="s">
        <v>23</v>
      </c>
      <c r="Q12" s="21" t="s">
        <v>22</v>
      </c>
      <c r="R12" s="21" t="s">
        <v>23</v>
      </c>
      <c r="S12" s="21" t="s">
        <v>22</v>
      </c>
      <c r="T12" s="21" t="s">
        <v>23</v>
      </c>
      <c r="U12" s="21" t="s">
        <v>22</v>
      </c>
      <c r="V12" s="21" t="s">
        <v>23</v>
      </c>
      <c r="W12" s="21" t="s">
        <v>22</v>
      </c>
      <c r="X12" s="21" t="s">
        <v>23</v>
      </c>
      <c r="Y12" s="21" t="s">
        <v>22</v>
      </c>
      <c r="Z12" s="21" t="s">
        <v>23</v>
      </c>
      <c r="AA12" s="32"/>
      <c r="AB12" s="32"/>
      <c r="AC12" s="32"/>
      <c r="AD12" s="32"/>
      <c r="AE12" s="32"/>
      <c r="AF12" s="32"/>
      <c r="AK12" s="32"/>
      <c r="AL12" s="32"/>
    </row>
    <row r="13" customFormat="false" ht="80.1" hidden="false" customHeight="true" outlineLevel="0" collapsed="false">
      <c r="A13" s="88" t="n">
        <v>0.270833333333333</v>
      </c>
      <c r="B13" s="88" t="n">
        <v>0.291666666666667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33"/>
      <c r="AB13" s="33"/>
      <c r="AC13" s="33"/>
      <c r="AD13" s="33"/>
      <c r="AE13" s="33"/>
      <c r="AF13" s="33"/>
      <c r="AK13" s="33"/>
      <c r="AL13" s="33"/>
    </row>
    <row r="14" customFormat="false" ht="80.1" hidden="false" customHeight="true" outlineLevel="0" collapsed="false">
      <c r="A14" s="88" t="n">
        <v>0.291666666666667</v>
      </c>
      <c r="B14" s="88" t="n">
        <v>0.3125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33"/>
      <c r="AB14" s="33"/>
      <c r="AC14" s="33"/>
      <c r="AD14" s="33"/>
      <c r="AE14" s="33"/>
      <c r="AF14" s="33"/>
      <c r="AK14" s="33"/>
      <c r="AL14" s="33"/>
    </row>
    <row r="15" customFormat="false" ht="80.1" hidden="false" customHeight="true" outlineLevel="0" collapsed="false">
      <c r="A15" s="88" t="n">
        <v>0.3125</v>
      </c>
      <c r="B15" s="88" t="n">
        <v>0.333333333333333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33"/>
      <c r="AB15" s="33"/>
      <c r="AC15" s="33"/>
      <c r="AD15" s="33"/>
      <c r="AE15" s="33"/>
      <c r="AF15" s="33"/>
      <c r="AK15" s="33"/>
      <c r="AL15" s="33"/>
    </row>
    <row r="16" customFormat="false" ht="80.1" hidden="false" customHeight="true" outlineLevel="0" collapsed="false">
      <c r="A16" s="88" t="n">
        <v>0.333333333333333</v>
      </c>
      <c r="B16" s="88" t="n">
        <v>0.354166666666667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33"/>
      <c r="AB16" s="33"/>
      <c r="AC16" s="33"/>
      <c r="AD16" s="33"/>
      <c r="AE16" s="33"/>
      <c r="AF16" s="33"/>
      <c r="AK16" s="33"/>
      <c r="AL16" s="33"/>
    </row>
    <row r="17" customFormat="false" ht="80.1" hidden="false" customHeight="true" outlineLevel="0" collapsed="false">
      <c r="A17" s="88" t="n">
        <v>0.354166666666667</v>
      </c>
      <c r="B17" s="88" t="n">
        <v>0.375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33"/>
      <c r="AB17" s="33"/>
      <c r="AC17" s="33"/>
      <c r="AD17" s="33"/>
      <c r="AE17" s="33"/>
      <c r="AF17" s="33"/>
      <c r="AK17" s="33"/>
      <c r="AL17" s="33"/>
    </row>
    <row r="18" customFormat="false" ht="13.15" hidden="false" customHeight="true" outlineLevel="0" collapsed="false"/>
    <row r="19" s="31" customFormat="true" ht="36.85" hidden="false" customHeight="true" outlineLevel="0" collapsed="false">
      <c r="A19" s="27"/>
      <c r="B19" s="28" t="s">
        <v>25</v>
      </c>
      <c r="C19" s="29"/>
      <c r="D19" s="29"/>
      <c r="E19" s="29"/>
      <c r="F19" s="29"/>
      <c r="G19" s="29"/>
      <c r="H19" s="29"/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="31" customFormat="true" ht="36.85" hidden="false" customHeight="true" outlineLevel="0" collapsed="false">
      <c r="A20" s="27"/>
      <c r="B20" s="28" t="s">
        <v>36</v>
      </c>
      <c r="C20" s="29"/>
      <c r="D20" s="29"/>
      <c r="E20" s="29"/>
      <c r="F20" s="29"/>
      <c r="G20" s="29"/>
      <c r="H20" s="29"/>
      <c r="I20" s="27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="31" customFormat="true" ht="36.85" hidden="false" customHeight="true" outlineLevel="0" collapsed="false">
      <c r="A21" s="27"/>
      <c r="B21" s="28" t="s">
        <v>27</v>
      </c>
      <c r="C21" s="29"/>
      <c r="D21" s="29"/>
      <c r="E21" s="29"/>
      <c r="F21" s="29"/>
      <c r="G21" s="29"/>
      <c r="H21" s="29"/>
      <c r="I21" s="27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="31" customFormat="true" ht="36.85" hidden="false" customHeight="true" outlineLevel="0" collapsed="false">
      <c r="A22" s="27"/>
      <c r="B22" s="28" t="s">
        <v>28</v>
      </c>
      <c r="C22" s="29"/>
      <c r="D22" s="29"/>
      <c r="E22" s="29"/>
      <c r="F22" s="29"/>
      <c r="G22" s="29"/>
      <c r="H22" s="29"/>
      <c r="I22" s="27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="2" customFormat="true" ht="25.5" hidden="false" customHeight="true" outlineLevel="0" collapsed="false">
      <c r="A23" s="12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202"/>
      <c r="AB23" s="5"/>
      <c r="AC23" s="5"/>
      <c r="AD23" s="5"/>
      <c r="AE23" s="5"/>
      <c r="AF23" s="5"/>
      <c r="AK23" s="5"/>
      <c r="AL23" s="5"/>
    </row>
    <row r="24" s="2" customFormat="true" ht="25.5" hidden="false" customHeight="true" outlineLevel="0" collapsed="false">
      <c r="A24" s="12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202"/>
      <c r="AB24" s="5"/>
      <c r="AC24" s="124" t="s">
        <v>83</v>
      </c>
      <c r="AD24" s="5"/>
      <c r="AE24" s="5"/>
      <c r="AF24" s="5"/>
      <c r="AK24" s="5"/>
      <c r="AL24" s="5"/>
    </row>
    <row r="25" customFormat="false" ht="32.25" hidden="false" customHeight="true" outlineLevel="0" collapsed="false">
      <c r="A25" s="14"/>
      <c r="B25" s="15"/>
      <c r="C25" s="16" t="str">
        <f aca="false">C9</f>
        <v>De Rte Gorges du Borne vers</v>
      </c>
      <c r="D25" s="16"/>
      <c r="E25" s="16"/>
      <c r="F25" s="16"/>
      <c r="G25" s="16"/>
      <c r="H25" s="16"/>
      <c r="I25" s="16"/>
      <c r="J25" s="16"/>
      <c r="K25" s="16" t="str">
        <f aca="false">K9</f>
        <v>De Avenue des Digues vers</v>
      </c>
      <c r="L25" s="16"/>
      <c r="M25" s="16"/>
      <c r="N25" s="16"/>
      <c r="O25" s="16"/>
      <c r="P25" s="16"/>
      <c r="Q25" s="16"/>
      <c r="R25" s="16"/>
      <c r="S25" s="16" t="str">
        <f aca="false">S9</f>
        <v>De Avenue de Monaz vers</v>
      </c>
      <c r="T25" s="16"/>
      <c r="U25" s="16"/>
      <c r="V25" s="16"/>
      <c r="W25" s="16"/>
      <c r="X25" s="16"/>
      <c r="Y25" s="16"/>
      <c r="Z25" s="16"/>
      <c r="AA25" s="14"/>
      <c r="AB25" s="15"/>
      <c r="AC25" s="73" t="s">
        <v>29</v>
      </c>
      <c r="AD25" s="44" t="s">
        <v>30</v>
      </c>
      <c r="AE25" s="40" t="s">
        <v>31</v>
      </c>
      <c r="AF25" s="40" t="s">
        <v>32</v>
      </c>
      <c r="AK25" s="41" t="s">
        <v>134</v>
      </c>
      <c r="AL25" s="74" t="s">
        <v>135</v>
      </c>
    </row>
    <row r="26" customFormat="false" ht="22.7" hidden="false" customHeight="true" outlineLevel="0" collapsed="false">
      <c r="A26" s="14"/>
      <c r="B26" s="15"/>
      <c r="C26" s="17" t="str">
        <f aca="false">C10</f>
        <v>Av des Digues</v>
      </c>
      <c r="D26" s="17"/>
      <c r="E26" s="17"/>
      <c r="F26" s="17"/>
      <c r="G26" s="17" t="str">
        <f aca="false">G10</f>
        <v>Av Monaz</v>
      </c>
      <c r="H26" s="17"/>
      <c r="I26" s="17"/>
      <c r="J26" s="17"/>
      <c r="K26" s="17" t="str">
        <f aca="false">K10</f>
        <v>Av Monaz</v>
      </c>
      <c r="L26" s="17"/>
      <c r="M26" s="17"/>
      <c r="N26" s="17"/>
      <c r="O26" s="17" t="str">
        <f aca="false">O10</f>
        <v>Rte Gorges du Borne</v>
      </c>
      <c r="P26" s="17"/>
      <c r="Q26" s="17"/>
      <c r="R26" s="17"/>
      <c r="S26" s="17" t="str">
        <f aca="false">S10</f>
        <v>Rte Gorges du Borne</v>
      </c>
      <c r="T26" s="17"/>
      <c r="U26" s="17"/>
      <c r="V26" s="17"/>
      <c r="W26" s="17" t="str">
        <f aca="false">W10</f>
        <v>Av des Digues</v>
      </c>
      <c r="X26" s="17"/>
      <c r="Y26" s="17"/>
      <c r="Z26" s="17"/>
      <c r="AA26" s="14"/>
      <c r="AB26" s="15"/>
      <c r="AC26" s="73"/>
      <c r="AD26" s="44"/>
      <c r="AE26" s="40"/>
      <c r="AF26" s="40"/>
      <c r="AK26" s="41"/>
      <c r="AL26" s="74"/>
    </row>
    <row r="27" customFormat="false" ht="18.6" hidden="false" customHeight="true" outlineLevel="0" collapsed="false">
      <c r="A27" s="14"/>
      <c r="B27" s="15"/>
      <c r="C27" s="18" t="s">
        <v>18</v>
      </c>
      <c r="D27" s="18"/>
      <c r="E27" s="18" t="s">
        <v>19</v>
      </c>
      <c r="F27" s="18"/>
      <c r="G27" s="18" t="s">
        <v>18</v>
      </c>
      <c r="H27" s="18"/>
      <c r="I27" s="18" t="s">
        <v>19</v>
      </c>
      <c r="J27" s="18"/>
      <c r="K27" s="18" t="s">
        <v>18</v>
      </c>
      <c r="L27" s="18"/>
      <c r="M27" s="18" t="s">
        <v>19</v>
      </c>
      <c r="N27" s="18"/>
      <c r="O27" s="18" t="s">
        <v>18</v>
      </c>
      <c r="P27" s="18"/>
      <c r="Q27" s="18" t="s">
        <v>19</v>
      </c>
      <c r="R27" s="18"/>
      <c r="S27" s="18" t="s">
        <v>18</v>
      </c>
      <c r="T27" s="18"/>
      <c r="U27" s="18" t="s">
        <v>19</v>
      </c>
      <c r="V27" s="18"/>
      <c r="W27" s="18" t="s">
        <v>18</v>
      </c>
      <c r="X27" s="18"/>
      <c r="Y27" s="18" t="s">
        <v>19</v>
      </c>
      <c r="Z27" s="18"/>
      <c r="AA27" s="75"/>
      <c r="AB27" s="15"/>
      <c r="AC27" s="73"/>
      <c r="AD27" s="44"/>
      <c r="AE27" s="40"/>
      <c r="AF27" s="40"/>
      <c r="AK27" s="41"/>
      <c r="AL27" s="74"/>
    </row>
    <row r="28" customFormat="false" ht="81" hidden="false" customHeight="false" outlineLevel="0" collapsed="false">
      <c r="A28" s="20" t="s">
        <v>21</v>
      </c>
      <c r="B28" s="20"/>
      <c r="C28" s="21" t="s">
        <v>22</v>
      </c>
      <c r="D28" s="21" t="s">
        <v>23</v>
      </c>
      <c r="E28" s="21" t="s">
        <v>22</v>
      </c>
      <c r="F28" s="21" t="s">
        <v>23</v>
      </c>
      <c r="G28" s="21" t="s">
        <v>22</v>
      </c>
      <c r="H28" s="21" t="s">
        <v>23</v>
      </c>
      <c r="I28" s="21" t="s">
        <v>22</v>
      </c>
      <c r="J28" s="21" t="s">
        <v>23</v>
      </c>
      <c r="K28" s="21" t="s">
        <v>22</v>
      </c>
      <c r="L28" s="21" t="s">
        <v>23</v>
      </c>
      <c r="M28" s="21" t="s">
        <v>22</v>
      </c>
      <c r="N28" s="21" t="s">
        <v>23</v>
      </c>
      <c r="O28" s="21" t="s">
        <v>22</v>
      </c>
      <c r="P28" s="21" t="s">
        <v>23</v>
      </c>
      <c r="Q28" s="21" t="s">
        <v>22</v>
      </c>
      <c r="R28" s="21" t="s">
        <v>23</v>
      </c>
      <c r="S28" s="21" t="s">
        <v>22</v>
      </c>
      <c r="T28" s="21" t="s">
        <v>23</v>
      </c>
      <c r="U28" s="21" t="s">
        <v>22</v>
      </c>
      <c r="V28" s="21" t="s">
        <v>23</v>
      </c>
      <c r="W28" s="21" t="s">
        <v>22</v>
      </c>
      <c r="X28" s="21" t="s">
        <v>23</v>
      </c>
      <c r="Y28" s="21" t="s">
        <v>22</v>
      </c>
      <c r="Z28" s="21" t="s">
        <v>23</v>
      </c>
      <c r="AA28" s="20" t="s">
        <v>21</v>
      </c>
      <c r="AB28" s="20"/>
      <c r="AC28" s="73"/>
      <c r="AD28" s="44"/>
      <c r="AE28" s="40"/>
      <c r="AF28" s="40"/>
      <c r="AG28" s="44" t="s">
        <v>34</v>
      </c>
      <c r="AH28" s="44" t="s">
        <v>35</v>
      </c>
      <c r="AI28" s="44" t="s">
        <v>36</v>
      </c>
      <c r="AJ28" s="44" t="s">
        <v>37</v>
      </c>
      <c r="AK28" s="41"/>
      <c r="AL28" s="74"/>
    </row>
    <row r="29" customFormat="false" ht="54.95" hidden="false" customHeight="true" outlineLevel="0" collapsed="false">
      <c r="A29" s="20" t="s">
        <v>38</v>
      </c>
      <c r="B29" s="20"/>
      <c r="C29" s="25" t="n">
        <f aca="false">C13</f>
        <v>0</v>
      </c>
      <c r="D29" s="25" t="n">
        <f aca="false">D13</f>
        <v>0</v>
      </c>
      <c r="E29" s="25" t="n">
        <f aca="false">E13</f>
        <v>0</v>
      </c>
      <c r="F29" s="25" t="n">
        <f aca="false">F13</f>
        <v>0</v>
      </c>
      <c r="G29" s="25" t="n">
        <f aca="false">G13</f>
        <v>0</v>
      </c>
      <c r="H29" s="25" t="n">
        <f aca="false">H13</f>
        <v>0</v>
      </c>
      <c r="I29" s="25" t="n">
        <f aca="false">I13</f>
        <v>0</v>
      </c>
      <c r="J29" s="25" t="n">
        <f aca="false">J13</f>
        <v>0</v>
      </c>
      <c r="K29" s="25" t="n">
        <f aca="false">K13</f>
        <v>0</v>
      </c>
      <c r="L29" s="25" t="n">
        <f aca="false">L13</f>
        <v>0</v>
      </c>
      <c r="M29" s="25" t="n">
        <f aca="false">M13</f>
        <v>0</v>
      </c>
      <c r="N29" s="25" t="n">
        <f aca="false">N13</f>
        <v>0</v>
      </c>
      <c r="O29" s="25" t="n">
        <f aca="false">O13</f>
        <v>0</v>
      </c>
      <c r="P29" s="25" t="n">
        <f aca="false">P13</f>
        <v>0</v>
      </c>
      <c r="Q29" s="25" t="n">
        <f aca="false">Q13</f>
        <v>0</v>
      </c>
      <c r="R29" s="25" t="n">
        <f aca="false">R13</f>
        <v>0</v>
      </c>
      <c r="S29" s="25" t="n">
        <f aca="false">S13</f>
        <v>0</v>
      </c>
      <c r="T29" s="25" t="n">
        <f aca="false">T13</f>
        <v>0</v>
      </c>
      <c r="U29" s="25" t="n">
        <f aca="false">U13</f>
        <v>0</v>
      </c>
      <c r="V29" s="25" t="n">
        <f aca="false">V13</f>
        <v>0</v>
      </c>
      <c r="W29" s="25" t="n">
        <f aca="false">W13</f>
        <v>0</v>
      </c>
      <c r="X29" s="25" t="n">
        <f aca="false">X13</f>
        <v>0</v>
      </c>
      <c r="Y29" s="25" t="n">
        <f aca="false">Y13</f>
        <v>0</v>
      </c>
      <c r="Z29" s="25" t="n">
        <f aca="false">Z13</f>
        <v>0</v>
      </c>
      <c r="AA29" s="20" t="str">
        <f aca="false">A29</f>
        <v>6:30 à 7:00</v>
      </c>
      <c r="AB29" s="20"/>
      <c r="AC29" s="203" t="n">
        <f aca="false">SUM(C29:Z29)</f>
        <v>0</v>
      </c>
      <c r="AD29" s="46" t="n">
        <f aca="false">C29+E29+G29+I29+K29+M29+O29+Q29+S29+U29+W29+Y29</f>
        <v>0</v>
      </c>
      <c r="AE29" s="46" t="n">
        <f aca="false">E29+F29+I29+J29+M29+N29+Q29+R29+U29+V29+Y29+Z29</f>
        <v>0</v>
      </c>
      <c r="AF29" s="46" t="n">
        <f aca="false">E29+I29+M29+Q29+U29+Y29</f>
        <v>0</v>
      </c>
      <c r="AK29" s="46" t="n">
        <f aca="false">SUM(G29:N29)+SUM(S29:Z29)</f>
        <v>0</v>
      </c>
      <c r="AL29" s="46" t="n">
        <f aca="false">SUM(C29:F29)+SUM(W29:Z29)+SUM(K29:R29)</f>
        <v>0</v>
      </c>
    </row>
    <row r="30" customFormat="false" ht="54.95" hidden="false" customHeight="true" outlineLevel="0" collapsed="false">
      <c r="A30" s="20" t="s">
        <v>39</v>
      </c>
      <c r="B30" s="20"/>
      <c r="C30" s="25" t="n">
        <f aca="false">C14</f>
        <v>0</v>
      </c>
      <c r="D30" s="25" t="n">
        <f aca="false">D14</f>
        <v>0</v>
      </c>
      <c r="E30" s="25" t="n">
        <f aca="false">E14</f>
        <v>0</v>
      </c>
      <c r="F30" s="25" t="n">
        <f aca="false">F14</f>
        <v>0</v>
      </c>
      <c r="G30" s="25" t="n">
        <f aca="false">G14</f>
        <v>0</v>
      </c>
      <c r="H30" s="25" t="n">
        <f aca="false">H14</f>
        <v>0</v>
      </c>
      <c r="I30" s="25" t="n">
        <f aca="false">I14</f>
        <v>0</v>
      </c>
      <c r="J30" s="25" t="n">
        <f aca="false">J14</f>
        <v>0</v>
      </c>
      <c r="K30" s="25" t="n">
        <f aca="false">K14</f>
        <v>0</v>
      </c>
      <c r="L30" s="25" t="n">
        <f aca="false">L14</f>
        <v>0</v>
      </c>
      <c r="M30" s="25" t="n">
        <f aca="false">M14</f>
        <v>0</v>
      </c>
      <c r="N30" s="25" t="n">
        <f aca="false">N14</f>
        <v>0</v>
      </c>
      <c r="O30" s="25" t="n">
        <f aca="false">O14</f>
        <v>0</v>
      </c>
      <c r="P30" s="25" t="n">
        <f aca="false">P14</f>
        <v>0</v>
      </c>
      <c r="Q30" s="25" t="n">
        <f aca="false">Q14</f>
        <v>0</v>
      </c>
      <c r="R30" s="25" t="n">
        <f aca="false">R14</f>
        <v>0</v>
      </c>
      <c r="S30" s="25" t="n">
        <f aca="false">S14</f>
        <v>0</v>
      </c>
      <c r="T30" s="25" t="n">
        <f aca="false">T14</f>
        <v>0</v>
      </c>
      <c r="U30" s="25" t="n">
        <f aca="false">U14</f>
        <v>0</v>
      </c>
      <c r="V30" s="25" t="n">
        <f aca="false">V14</f>
        <v>0</v>
      </c>
      <c r="W30" s="25" t="n">
        <f aca="false">W14</f>
        <v>0</v>
      </c>
      <c r="X30" s="25" t="n">
        <f aca="false">X14</f>
        <v>0</v>
      </c>
      <c r="Y30" s="25" t="n">
        <f aca="false">Y14</f>
        <v>0</v>
      </c>
      <c r="Z30" s="25" t="n">
        <f aca="false">Z14</f>
        <v>0</v>
      </c>
      <c r="AA30" s="20" t="str">
        <f aca="false">A30</f>
        <v>7:00 à 7:30</v>
      </c>
      <c r="AB30" s="20"/>
      <c r="AC30" s="203" t="n">
        <f aca="false">SUM(C30:Z30)</f>
        <v>0</v>
      </c>
      <c r="AD30" s="46" t="n">
        <f aca="false">C30+E30+G30+I30+K30+M30+O30+Q30+S30+U30+W30+Y30</f>
        <v>0</v>
      </c>
      <c r="AE30" s="46" t="n">
        <f aca="false">E30+F30+I30+J30+M30+N30+Q30+R30+U30+V30+Y30+Z30</f>
        <v>0</v>
      </c>
      <c r="AF30" s="46" t="n">
        <f aca="false">E30+I30+M30+Q30+U30+Y30</f>
        <v>0</v>
      </c>
      <c r="AK30" s="46" t="n">
        <f aca="false">SUM(G30:N30)+SUM(S30:Z30)</f>
        <v>0</v>
      </c>
      <c r="AL30" s="46" t="n">
        <f aca="false">SUM(C30:F30)+SUM(W30:Z30)+SUM(K30:R30)</f>
        <v>0</v>
      </c>
    </row>
    <row r="31" customFormat="false" ht="54.95" hidden="false" customHeight="true" outlineLevel="0" collapsed="false">
      <c r="A31" s="20" t="s">
        <v>40</v>
      </c>
      <c r="B31" s="20"/>
      <c r="C31" s="25" t="n">
        <f aca="false">C15</f>
        <v>0</v>
      </c>
      <c r="D31" s="25" t="n">
        <f aca="false">D15</f>
        <v>0</v>
      </c>
      <c r="E31" s="25" t="n">
        <f aca="false">E15</f>
        <v>0</v>
      </c>
      <c r="F31" s="25" t="n">
        <f aca="false">F15</f>
        <v>0</v>
      </c>
      <c r="G31" s="25" t="n">
        <f aca="false">G15</f>
        <v>0</v>
      </c>
      <c r="H31" s="25" t="n">
        <f aca="false">H15</f>
        <v>0</v>
      </c>
      <c r="I31" s="25" t="n">
        <f aca="false">I15</f>
        <v>0</v>
      </c>
      <c r="J31" s="25" t="n">
        <f aca="false">J15</f>
        <v>0</v>
      </c>
      <c r="K31" s="25" t="n">
        <f aca="false">K15</f>
        <v>0</v>
      </c>
      <c r="L31" s="25" t="n">
        <f aca="false">L15</f>
        <v>0</v>
      </c>
      <c r="M31" s="25" t="n">
        <f aca="false">M15</f>
        <v>0</v>
      </c>
      <c r="N31" s="25" t="n">
        <f aca="false">N15</f>
        <v>0</v>
      </c>
      <c r="O31" s="25" t="n">
        <f aca="false">O15</f>
        <v>0</v>
      </c>
      <c r="P31" s="25" t="n">
        <f aca="false">P15</f>
        <v>0</v>
      </c>
      <c r="Q31" s="25" t="n">
        <f aca="false">Q15</f>
        <v>0</v>
      </c>
      <c r="R31" s="25" t="n">
        <f aca="false">R15</f>
        <v>0</v>
      </c>
      <c r="S31" s="25" t="n">
        <f aca="false">S15</f>
        <v>0</v>
      </c>
      <c r="T31" s="25" t="n">
        <f aca="false">T15</f>
        <v>0</v>
      </c>
      <c r="U31" s="25" t="n">
        <f aca="false">U15</f>
        <v>0</v>
      </c>
      <c r="V31" s="25" t="n">
        <f aca="false">V15</f>
        <v>0</v>
      </c>
      <c r="W31" s="25" t="n">
        <f aca="false">W15</f>
        <v>0</v>
      </c>
      <c r="X31" s="25" t="n">
        <f aca="false">X15</f>
        <v>0</v>
      </c>
      <c r="Y31" s="25" t="n">
        <f aca="false">Y15</f>
        <v>0</v>
      </c>
      <c r="Z31" s="25" t="n">
        <f aca="false">Z15</f>
        <v>0</v>
      </c>
      <c r="AA31" s="20" t="str">
        <f aca="false">A31</f>
        <v>7:30 à 8:00</v>
      </c>
      <c r="AB31" s="20"/>
      <c r="AC31" s="203" t="n">
        <f aca="false">SUM(C31:Z31)</f>
        <v>0</v>
      </c>
      <c r="AD31" s="46" t="n">
        <f aca="false">C31+E31+G31+I31+K31+M31+O31+Q31+S31+U31+W31+Y31</f>
        <v>0</v>
      </c>
      <c r="AE31" s="46" t="n">
        <f aca="false">E31+F31+I31+J31+M31+N31+Q31+R31+U31+V31+Y31+Z31</f>
        <v>0</v>
      </c>
      <c r="AF31" s="46" t="n">
        <f aca="false">E31+I31+M31+Q31+U31+Y31</f>
        <v>0</v>
      </c>
      <c r="AK31" s="46" t="n">
        <f aca="false">SUM(G31:N31)+SUM(S31:Z31)</f>
        <v>0</v>
      </c>
      <c r="AL31" s="46" t="n">
        <f aca="false">SUM(C31:F31)+SUM(W31:Z31)+SUM(K31:R31)</f>
        <v>0</v>
      </c>
    </row>
    <row r="32" customFormat="false" ht="54.95" hidden="false" customHeight="true" outlineLevel="0" collapsed="false">
      <c r="A32" s="20" t="s">
        <v>41</v>
      </c>
      <c r="B32" s="20"/>
      <c r="C32" s="25" t="n">
        <f aca="false">C16</f>
        <v>0</v>
      </c>
      <c r="D32" s="25" t="n">
        <f aca="false">D16</f>
        <v>0</v>
      </c>
      <c r="E32" s="25" t="n">
        <f aca="false">E16</f>
        <v>0</v>
      </c>
      <c r="F32" s="25" t="n">
        <f aca="false">F16</f>
        <v>0</v>
      </c>
      <c r="G32" s="25" t="n">
        <f aca="false">G16</f>
        <v>0</v>
      </c>
      <c r="H32" s="25" t="n">
        <f aca="false">H16</f>
        <v>0</v>
      </c>
      <c r="I32" s="25" t="n">
        <f aca="false">I16</f>
        <v>0</v>
      </c>
      <c r="J32" s="25" t="n">
        <f aca="false">J16</f>
        <v>0</v>
      </c>
      <c r="K32" s="25" t="n">
        <f aca="false">K16</f>
        <v>0</v>
      </c>
      <c r="L32" s="25" t="n">
        <f aca="false">L16</f>
        <v>0</v>
      </c>
      <c r="M32" s="25" t="n">
        <f aca="false">M16</f>
        <v>0</v>
      </c>
      <c r="N32" s="25" t="n">
        <f aca="false">N16</f>
        <v>0</v>
      </c>
      <c r="O32" s="25" t="n">
        <f aca="false">O16</f>
        <v>0</v>
      </c>
      <c r="P32" s="25" t="n">
        <f aca="false">P16</f>
        <v>0</v>
      </c>
      <c r="Q32" s="25" t="n">
        <f aca="false">Q16</f>
        <v>0</v>
      </c>
      <c r="R32" s="25" t="n">
        <f aca="false">R16</f>
        <v>0</v>
      </c>
      <c r="S32" s="25" t="n">
        <f aca="false">S16</f>
        <v>0</v>
      </c>
      <c r="T32" s="25" t="n">
        <f aca="false">T16</f>
        <v>0</v>
      </c>
      <c r="U32" s="25" t="n">
        <f aca="false">U16</f>
        <v>0</v>
      </c>
      <c r="V32" s="25" t="n">
        <f aca="false">V16</f>
        <v>0</v>
      </c>
      <c r="W32" s="25" t="n">
        <f aca="false">W16</f>
        <v>0</v>
      </c>
      <c r="X32" s="25" t="n">
        <f aca="false">X16</f>
        <v>0</v>
      </c>
      <c r="Y32" s="25" t="n">
        <f aca="false">Y16</f>
        <v>0</v>
      </c>
      <c r="Z32" s="25" t="n">
        <f aca="false">Z16</f>
        <v>0</v>
      </c>
      <c r="AA32" s="20" t="str">
        <f aca="false">A32</f>
        <v>8:00 à 8:30</v>
      </c>
      <c r="AB32" s="20"/>
      <c r="AC32" s="203" t="n">
        <f aca="false">SUM(C32:Z32)</f>
        <v>0</v>
      </c>
      <c r="AD32" s="46" t="n">
        <f aca="false">C32+E32+G32+I32+K32+M32+O32+Q32+S32+U32+W32+Y32</f>
        <v>0</v>
      </c>
      <c r="AE32" s="46" t="n">
        <f aca="false">E32+F32+I32+J32+M32+N32+Q32+R32+U32+V32+Y32+Z32</f>
        <v>0</v>
      </c>
      <c r="AF32" s="46" t="n">
        <f aca="false">E32+I32+M32+Q32+U32+Y32</f>
        <v>0</v>
      </c>
      <c r="AK32" s="46" t="n">
        <f aca="false">SUM(G32:N32)+SUM(S32:Z32)</f>
        <v>0</v>
      </c>
      <c r="AL32" s="46" t="n">
        <f aca="false">SUM(C32:F32)+SUM(W32:Z32)+SUM(K32:R32)</f>
        <v>0</v>
      </c>
    </row>
    <row r="33" customFormat="false" ht="54.95" hidden="false" customHeight="true" outlineLevel="0" collapsed="false">
      <c r="A33" s="20" t="s">
        <v>42</v>
      </c>
      <c r="B33" s="20"/>
      <c r="C33" s="25" t="n">
        <f aca="false">C17</f>
        <v>0</v>
      </c>
      <c r="D33" s="25" t="n">
        <f aca="false">D17</f>
        <v>0</v>
      </c>
      <c r="E33" s="25" t="n">
        <f aca="false">E17</f>
        <v>0</v>
      </c>
      <c r="F33" s="25" t="n">
        <f aca="false">F17</f>
        <v>0</v>
      </c>
      <c r="G33" s="25" t="n">
        <f aca="false">G17</f>
        <v>0</v>
      </c>
      <c r="H33" s="25" t="n">
        <f aca="false">H17</f>
        <v>0</v>
      </c>
      <c r="I33" s="25" t="n">
        <f aca="false">I17</f>
        <v>0</v>
      </c>
      <c r="J33" s="25" t="n">
        <f aca="false">J17</f>
        <v>0</v>
      </c>
      <c r="K33" s="25" t="n">
        <f aca="false">K17</f>
        <v>0</v>
      </c>
      <c r="L33" s="25" t="n">
        <f aca="false">L17</f>
        <v>0</v>
      </c>
      <c r="M33" s="25" t="n">
        <f aca="false">M17</f>
        <v>0</v>
      </c>
      <c r="N33" s="25" t="n">
        <f aca="false">N17</f>
        <v>0</v>
      </c>
      <c r="O33" s="25" t="n">
        <f aca="false">O17</f>
        <v>0</v>
      </c>
      <c r="P33" s="25" t="n">
        <f aca="false">P17</f>
        <v>0</v>
      </c>
      <c r="Q33" s="25" t="n">
        <f aca="false">Q17</f>
        <v>0</v>
      </c>
      <c r="R33" s="25" t="n">
        <f aca="false">R17</f>
        <v>0</v>
      </c>
      <c r="S33" s="25" t="n">
        <f aca="false">S17</f>
        <v>0</v>
      </c>
      <c r="T33" s="25" t="n">
        <f aca="false">T17</f>
        <v>0</v>
      </c>
      <c r="U33" s="25" t="n">
        <f aca="false">U17</f>
        <v>0</v>
      </c>
      <c r="V33" s="25" t="n">
        <f aca="false">V17</f>
        <v>0</v>
      </c>
      <c r="W33" s="25" t="n">
        <f aca="false">W17</f>
        <v>0</v>
      </c>
      <c r="X33" s="25" t="n">
        <f aca="false">X17</f>
        <v>0</v>
      </c>
      <c r="Y33" s="25" t="n">
        <f aca="false">Y17</f>
        <v>0</v>
      </c>
      <c r="Z33" s="25" t="n">
        <f aca="false">Z17</f>
        <v>0</v>
      </c>
      <c r="AA33" s="20" t="str">
        <f aca="false">A33</f>
        <v>8:30 à 9:00</v>
      </c>
      <c r="AB33" s="20"/>
      <c r="AC33" s="203" t="n">
        <f aca="false">SUM(C33:Z33)</f>
        <v>0</v>
      </c>
      <c r="AD33" s="46" t="n">
        <f aca="false">C33+E33+G33+I33+K33+M33+O33+Q33+S33+U33+W33+Y33</f>
        <v>0</v>
      </c>
      <c r="AE33" s="46" t="n">
        <f aca="false">E33+F33+I33+J33+M33+N33+Q33+R33+U33+V33+Y33+Z33</f>
        <v>0</v>
      </c>
      <c r="AF33" s="46" t="n">
        <f aca="false">E33+I33+M33+Q33+U33+Y33</f>
        <v>0</v>
      </c>
      <c r="AK33" s="46" t="n">
        <f aca="false">SUM(G33:N33)+SUM(S33:Z33)</f>
        <v>0</v>
      </c>
      <c r="AL33" s="46" t="n">
        <f aca="false">SUM(C33:F33)+SUM(W33:Z33)+SUM(K33:R33)</f>
        <v>0</v>
      </c>
    </row>
    <row r="34" customFormat="false" ht="54.95" hidden="false" customHeight="true" outlineLevel="0" collapsed="false">
      <c r="A34" s="20" t="s">
        <v>29</v>
      </c>
      <c r="B34" s="20"/>
      <c r="C34" s="105" t="n">
        <f aca="false">SUM(C13:C17)</f>
        <v>0</v>
      </c>
      <c r="D34" s="105" t="n">
        <f aca="false">SUM(D13:D17)</f>
        <v>0</v>
      </c>
      <c r="E34" s="105" t="n">
        <f aca="false">SUM(E13:E17)</f>
        <v>0</v>
      </c>
      <c r="F34" s="105" t="n">
        <f aca="false">SUM(F13:F17)</f>
        <v>0</v>
      </c>
      <c r="G34" s="105" t="n">
        <f aca="false">SUM(G13:G17)</f>
        <v>0</v>
      </c>
      <c r="H34" s="105" t="n">
        <f aca="false">SUM(H13:H17)</f>
        <v>0</v>
      </c>
      <c r="I34" s="105" t="n">
        <f aca="false">SUM(I13:I17)</f>
        <v>0</v>
      </c>
      <c r="J34" s="105" t="n">
        <f aca="false">SUM(J13:J17)</f>
        <v>0</v>
      </c>
      <c r="K34" s="105" t="n">
        <f aca="false">SUM(K13:K17)</f>
        <v>0</v>
      </c>
      <c r="L34" s="105" t="n">
        <f aca="false">SUM(L13:L17)</f>
        <v>0</v>
      </c>
      <c r="M34" s="105" t="n">
        <f aca="false">SUM(M13:M17)</f>
        <v>0</v>
      </c>
      <c r="N34" s="105" t="n">
        <f aca="false">SUM(N13:N17)</f>
        <v>0</v>
      </c>
      <c r="O34" s="105" t="n">
        <f aca="false">SUM(O13:O17)</f>
        <v>0</v>
      </c>
      <c r="P34" s="105" t="n">
        <f aca="false">SUM(P13:P17)</f>
        <v>0</v>
      </c>
      <c r="Q34" s="105" t="n">
        <f aca="false">SUM(Q13:Q17)</f>
        <v>0</v>
      </c>
      <c r="R34" s="105" t="n">
        <f aca="false">SUM(R13:R17)</f>
        <v>0</v>
      </c>
      <c r="S34" s="105" t="n">
        <f aca="false">SUM(S13:S17)</f>
        <v>0</v>
      </c>
      <c r="T34" s="105" t="n">
        <f aca="false">SUM(T13:T17)</f>
        <v>0</v>
      </c>
      <c r="U34" s="105" t="n">
        <f aca="false">SUM(U13:U17)</f>
        <v>0</v>
      </c>
      <c r="V34" s="105" t="n">
        <f aca="false">SUM(V13:V17)</f>
        <v>0</v>
      </c>
      <c r="W34" s="105" t="n">
        <f aca="false">SUM(W13:W17)</f>
        <v>0</v>
      </c>
      <c r="X34" s="105" t="n">
        <f aca="false">SUM(X13:X17)</f>
        <v>0</v>
      </c>
      <c r="Y34" s="105" t="n">
        <f aca="false">SUM(Y13:Y17)</f>
        <v>0</v>
      </c>
      <c r="Z34" s="105" t="n">
        <f aca="false">SUM(Z13:Z17)</f>
        <v>0</v>
      </c>
      <c r="AA34" s="107" t="s">
        <v>29</v>
      </c>
      <c r="AB34" s="107"/>
      <c r="AC34" s="50" t="n">
        <f aca="false">SUM(C34:Z34)</f>
        <v>0</v>
      </c>
      <c r="AD34" s="204" t="n">
        <f aca="false">AD29+AD30+AD31+AD32+AD33</f>
        <v>0</v>
      </c>
      <c r="AE34" s="204" t="n">
        <f aca="false">AE29+AE31+AE33</f>
        <v>0</v>
      </c>
      <c r="AF34" s="52" t="n">
        <f aca="false">AF29+AF31+AF33</f>
        <v>0</v>
      </c>
      <c r="AG34" s="205" t="n">
        <f aca="false">A22</f>
        <v>0</v>
      </c>
      <c r="AH34" s="206" t="n">
        <f aca="false">A19</f>
        <v>0</v>
      </c>
      <c r="AI34" s="206"/>
      <c r="AJ34" s="206" t="n">
        <f aca="false">A21</f>
        <v>0</v>
      </c>
      <c r="AK34" s="52" t="n">
        <f aca="false">AK29+AK31+AK33</f>
        <v>0</v>
      </c>
      <c r="AL34" s="52" t="n">
        <f aca="false">AL29+AL31+AL33</f>
        <v>0</v>
      </c>
    </row>
    <row r="35" customFormat="false" ht="54.95" hidden="false" customHeight="true" outlineLevel="0" collapsed="false">
      <c r="A35" s="53"/>
      <c r="B35" s="53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56" t="s">
        <v>39</v>
      </c>
      <c r="AB35" s="57"/>
      <c r="AC35" s="58" t="n">
        <v>8</v>
      </c>
      <c r="AD35" s="58"/>
      <c r="AE35" s="58"/>
      <c r="AF35" s="58"/>
      <c r="AG35" s="72"/>
      <c r="AH35" s="72"/>
      <c r="AI35" s="72"/>
      <c r="AJ35" s="72"/>
      <c r="AK35" s="52"/>
      <c r="AL35" s="52"/>
    </row>
    <row r="36" customFormat="false" ht="54.95" hidden="false" customHeight="true" outlineLevel="0" collapsed="false">
      <c r="A36" s="53"/>
      <c r="B36" s="53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63" t="s">
        <v>40</v>
      </c>
      <c r="AB36" s="64"/>
      <c r="AC36" s="65" t="n">
        <v>17</v>
      </c>
      <c r="AD36" s="65"/>
      <c r="AE36" s="65"/>
      <c r="AF36" s="65"/>
      <c r="AG36" s="72"/>
      <c r="AH36" s="72"/>
      <c r="AI36" s="72"/>
      <c r="AJ36" s="72"/>
      <c r="AK36" s="52"/>
      <c r="AL36" s="52"/>
    </row>
    <row r="37" customFormat="false" ht="54.95" hidden="false" customHeight="true" outlineLevel="0" collapsed="false">
      <c r="A37" s="53"/>
      <c r="B37" s="53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66" t="s">
        <v>44</v>
      </c>
      <c r="AB37" s="66"/>
      <c r="AC37" s="67" t="n">
        <f aca="false">SUM(AC35:AC36)</f>
        <v>25</v>
      </c>
      <c r="AD37" s="68"/>
      <c r="AE37" s="68"/>
      <c r="AF37" s="68"/>
      <c r="AG37" s="72"/>
      <c r="AH37" s="72"/>
      <c r="AI37" s="72"/>
      <c r="AJ37" s="72"/>
      <c r="AK37" s="52"/>
      <c r="AL37" s="52"/>
    </row>
    <row r="38" customFormat="false" ht="44.25" hidden="false" customHeight="true" outlineLevel="0" collapsed="false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69"/>
      <c r="T38" s="70"/>
      <c r="U38" s="70"/>
      <c r="V38" s="70"/>
      <c r="W38" s="70"/>
      <c r="X38" s="70"/>
      <c r="Y38" s="70"/>
      <c r="Z38" s="55" t="s">
        <v>43</v>
      </c>
      <c r="AA38" s="20" t="s">
        <v>39</v>
      </c>
      <c r="AB38" s="20"/>
      <c r="AC38" s="43" t="n">
        <f aca="false">IF($AC$33=MAX($AC$29:$AC$33),AC33,IF($AC$32=MAX($AC$29:$AC$33),AC32,IF($AC$31=MAX($AC$29:$AC$33),AC31,IF($AC$30=MAX($AC$29:$AC$33),AC30,IF($AC$29=MAX($AC$29:$AC$33),AC29)))))</f>
        <v>0</v>
      </c>
      <c r="AD38" s="195" t="n">
        <f aca="false">IF($AC$33=MAX($AC$29:$AC$33),AD33,IF($AC$32=MAX($AC$29:$AC$33),AD32,IF($AC$31=MAX($AC$29:$AC$33),AD31,IF($AC$30=MAX($AC$29:$AC$33),AD30,IF($AC$29=MAX($AC$29:$AC$33),AD29)))))</f>
        <v>0</v>
      </c>
      <c r="AE38" s="195" t="n">
        <f aca="false">IF($AC$33=MAX($AC$29:$AC$33),AE33,IF($AC$32=MAX($AC$29:$AC$33),AE32,IF($AC$31=MAX($AC$29:$AC$33),AE31,IF($AC$30=MAX($AC$29:$AC$33),AE30,IF($AC$29=MAX($AC$29:$AC$33),AE29)))))</f>
        <v>0</v>
      </c>
      <c r="AF38" s="195" t="n">
        <f aca="false">IF($AC$33=MAX($AC$29:$AC$33),AF33,IF($AC$32=MAX($AC$29:$AC$33),AF32,IF($AC$31=MAX($AC$29:$AC$33),AF31,IF($AC$30=MAX($AC$29:$AC$33),AF30,IF($AC$29=MAX($AC$29:$AC$33),AF29)))))</f>
        <v>0</v>
      </c>
      <c r="AG38" s="72"/>
      <c r="AH38" s="72"/>
      <c r="AI38" s="72"/>
      <c r="AJ38" s="72"/>
      <c r="AK38" s="195" t="n">
        <f aca="false">IF($AC$33=MAX($AC$29:$AC$33),AK33,IF($AC$32=MAX($AC$29:$AC$33),AK32,IF($AC$31=MAX($AC$29:$AC$33),AK31,IF($AC$30=MAX($AC$29:$AC$33),AK30,IF($AC$29=MAX($AC$29:$AC$33),AK29)))))</f>
        <v>0</v>
      </c>
      <c r="AL38" s="195" t="n">
        <f aca="false">IF($AC$33=MAX($AC$29:$AC$33),AL33,IF($AC$32=MAX($AC$29:$AC$33),AL32,IF($AC$31=MAX($AC$29:$AC$33),AL31,IF($AC$30=MAX($AC$29:$AC$33),AL30,IF($AC$29=MAX($AC$29:$AC$33),AL29)))))</f>
        <v>0</v>
      </c>
    </row>
    <row r="39" customFormat="false" ht="21" hidden="false" customHeight="true" outlineLevel="0" collapsed="false">
      <c r="A39" s="11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112"/>
      <c r="T39" s="72"/>
      <c r="U39" s="72"/>
      <c r="V39" s="72"/>
      <c r="W39" s="72"/>
      <c r="X39" s="72"/>
      <c r="Y39" s="72"/>
      <c r="Z39" s="72"/>
      <c r="AA39" s="14"/>
      <c r="AB39" s="15"/>
      <c r="AC39" s="73" t="s">
        <v>29</v>
      </c>
      <c r="AD39" s="74" t="s">
        <v>45</v>
      </c>
      <c r="AE39" s="74" t="s">
        <v>46</v>
      </c>
      <c r="AF39" s="74" t="s">
        <v>47</v>
      </c>
      <c r="AK39" s="74" t="str">
        <f aca="false">AK25</f>
        <v>Cycles sur rte de Dessy</v>
      </c>
      <c r="AL39" s="74" t="str">
        <f aca="false">AL25</f>
        <v>Cycles sur rte des Digues</v>
      </c>
    </row>
    <row r="40" customFormat="false" ht="20.25" hidden="false" customHeight="false" outlineLevel="0" collapsed="false">
      <c r="A40" s="11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14"/>
      <c r="AB40" s="15"/>
      <c r="AC40" s="73"/>
      <c r="AD40" s="74"/>
      <c r="AE40" s="74"/>
      <c r="AF40" s="74"/>
      <c r="AG40" s="72"/>
      <c r="AH40" s="72"/>
      <c r="AI40" s="72"/>
      <c r="AJ40" s="72"/>
      <c r="AK40" s="74"/>
      <c r="AL40" s="74"/>
      <c r="AM40" s="72"/>
    </row>
    <row r="41" customFormat="false" ht="20.25" hidden="false" customHeight="false" outlineLevel="0" collapsed="false">
      <c r="A41" s="11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5"/>
      <c r="AB41" s="15"/>
      <c r="AC41" s="73"/>
      <c r="AD41" s="74"/>
      <c r="AE41" s="74"/>
      <c r="AF41" s="74"/>
      <c r="AG41" s="72"/>
      <c r="AH41" s="72"/>
      <c r="AI41" s="72"/>
      <c r="AJ41" s="72"/>
      <c r="AK41" s="74"/>
      <c r="AL41" s="74"/>
      <c r="AM41" s="72"/>
    </row>
    <row r="42" customFormat="false" ht="20.25" hidden="false" customHeight="false" outlineLevel="0" collapsed="false">
      <c r="A42" s="11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20" t="s">
        <v>21</v>
      </c>
      <c r="AB42" s="20"/>
      <c r="AC42" s="73"/>
      <c r="AD42" s="74"/>
      <c r="AE42" s="74"/>
      <c r="AF42" s="74"/>
      <c r="AG42" s="72"/>
      <c r="AH42" s="72"/>
      <c r="AI42" s="72"/>
      <c r="AJ42" s="72"/>
      <c r="AK42" s="74"/>
      <c r="AL42" s="74"/>
      <c r="AM42" s="72"/>
    </row>
    <row r="43" customFormat="false" ht="35.1" hidden="false" customHeight="true" outlineLevel="0" collapsed="false">
      <c r="A43" s="11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20" t="str">
        <f aca="false">AA29</f>
        <v>6:30 à 7:00</v>
      </c>
      <c r="AB43" s="20"/>
      <c r="AC43" s="76"/>
      <c r="AD43" s="77" t="n">
        <f aca="false">IF(AD29=0,0,AD29/AC29)</f>
        <v>0</v>
      </c>
      <c r="AE43" s="77" t="n">
        <f aca="false">IF(AE29=0,0,AE29/AC29)</f>
        <v>0</v>
      </c>
      <c r="AF43" s="77" t="n">
        <f aca="false">IF(AF29=0,0,AF29/AD29)</f>
        <v>0</v>
      </c>
      <c r="AG43" s="72"/>
      <c r="AH43" s="72"/>
      <c r="AI43" s="72"/>
      <c r="AJ43" s="72"/>
      <c r="AK43" s="77" t="n">
        <f aca="false">IF(AK29=0,0,AK29/AC29)</f>
        <v>0</v>
      </c>
      <c r="AL43" s="77" t="n">
        <f aca="false">IF(AL29=0,0,AL29/AC29)</f>
        <v>0</v>
      </c>
      <c r="AM43" s="72"/>
    </row>
    <row r="44" customFormat="false" ht="35.1" hidden="false" customHeight="true" outlineLevel="0" collapsed="false">
      <c r="A44" s="11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20" t="str">
        <f aca="false">AA30</f>
        <v>7:00 à 7:30</v>
      </c>
      <c r="AB44" s="20"/>
      <c r="AC44" s="76"/>
      <c r="AD44" s="77" t="n">
        <f aca="false">IF(AD31=0,0,AD31/AC31)</f>
        <v>0</v>
      </c>
      <c r="AE44" s="77" t="n">
        <f aca="false">IF(AE31=0,0,AE31/AC31)</f>
        <v>0</v>
      </c>
      <c r="AF44" s="77" t="n">
        <f aca="false">IF(AF31=0,0,AF31/AD31)</f>
        <v>0</v>
      </c>
      <c r="AG44" s="72"/>
      <c r="AH44" s="72"/>
      <c r="AI44" s="72"/>
      <c r="AJ44" s="72"/>
      <c r="AK44" s="77" t="n">
        <f aca="false">IF(AK31=0,0,AK31/AC31)</f>
        <v>0</v>
      </c>
      <c r="AL44" s="77" t="n">
        <f aca="false">IF(AL31=0,0,AL31/AC31)</f>
        <v>0</v>
      </c>
      <c r="AM44" s="72"/>
    </row>
    <row r="45" customFormat="false" ht="35.1" hidden="false" customHeight="true" outlineLevel="0" collapsed="false">
      <c r="A45" s="11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20" t="str">
        <f aca="false">AA31</f>
        <v>7:30 à 8:00</v>
      </c>
      <c r="AB45" s="20"/>
      <c r="AC45" s="76"/>
      <c r="AD45" s="77" t="n">
        <f aca="false">IF(AD31=0,0,AD31/AC31)</f>
        <v>0</v>
      </c>
      <c r="AE45" s="77" t="n">
        <f aca="false">IF(AE31=0,0,AE31/AC31)</f>
        <v>0</v>
      </c>
      <c r="AF45" s="77" t="n">
        <f aca="false">IF(AF31=0,0,AF31/AD31)</f>
        <v>0</v>
      </c>
      <c r="AG45" s="72"/>
      <c r="AH45" s="72"/>
      <c r="AI45" s="72"/>
      <c r="AJ45" s="72"/>
      <c r="AK45" s="77" t="n">
        <f aca="false">IF(AK31=0,0,AK31/AC31)</f>
        <v>0</v>
      </c>
      <c r="AL45" s="77" t="n">
        <f aca="false">IF(AL31=0,0,AL31/AC31)</f>
        <v>0</v>
      </c>
      <c r="AM45" s="72"/>
    </row>
    <row r="46" customFormat="false" ht="35.1" hidden="false" customHeight="true" outlineLevel="0" collapsed="false">
      <c r="A46" s="11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20" t="str">
        <f aca="false">AA32</f>
        <v>8:00 à 8:30</v>
      </c>
      <c r="AB46" s="20"/>
      <c r="AC46" s="76"/>
      <c r="AD46" s="77" t="n">
        <f aca="false">IF(AD32=0,0,AD32/AC32)</f>
        <v>0</v>
      </c>
      <c r="AE46" s="77" t="n">
        <f aca="false">IF(AE32=0,0,AE32/AC32)</f>
        <v>0</v>
      </c>
      <c r="AF46" s="77" t="n">
        <f aca="false">IF(AF32=0,0,AF32/AD32)</f>
        <v>0</v>
      </c>
      <c r="AG46" s="72"/>
      <c r="AH46" s="72"/>
      <c r="AI46" s="72"/>
      <c r="AJ46" s="72"/>
      <c r="AK46" s="77" t="n">
        <f aca="false">IF(AK32=0,0,AK32/AC32)</f>
        <v>0</v>
      </c>
      <c r="AL46" s="77" t="n">
        <f aca="false">IF(AL32=0,0,AL32/AC32)</f>
        <v>0</v>
      </c>
      <c r="AM46" s="72"/>
    </row>
    <row r="47" customFormat="false" ht="35.1" hidden="false" customHeight="true" outlineLevel="0" collapsed="false">
      <c r="F47" s="72"/>
      <c r="K47" s="72"/>
      <c r="L47" s="72"/>
      <c r="M47" s="72"/>
      <c r="S47" s="72"/>
      <c r="T47" s="72"/>
      <c r="U47" s="72"/>
      <c r="AA47" s="20" t="str">
        <f aca="false">AA33</f>
        <v>8:30 à 9:00</v>
      </c>
      <c r="AB47" s="20"/>
      <c r="AC47" s="76"/>
      <c r="AD47" s="77" t="n">
        <f aca="false">IF(AD33=0,0,AD33/AC33)</f>
        <v>0</v>
      </c>
      <c r="AE47" s="77" t="n">
        <f aca="false">IF(AE33=0,0,AE33/AC33)</f>
        <v>0</v>
      </c>
      <c r="AF47" s="77" t="n">
        <f aca="false">IF(AF33=0,0,AF33/AD33)</f>
        <v>0</v>
      </c>
      <c r="AK47" s="77" t="n">
        <f aca="false">IF(AK33=0,0,AK33/AC33)</f>
        <v>0</v>
      </c>
      <c r="AL47" s="77" t="n">
        <f aca="false">IF(AL33=0,0,AL33/AC33)</f>
        <v>0</v>
      </c>
    </row>
    <row r="48" customFormat="false" ht="35.1" hidden="false" customHeight="true" outlineLevel="0" collapsed="false">
      <c r="F48" s="72"/>
      <c r="K48" s="72"/>
      <c r="L48" s="72"/>
      <c r="M48" s="72"/>
      <c r="S48" s="72"/>
      <c r="T48" s="72"/>
      <c r="U48" s="72"/>
      <c r="AA48" s="20" t="s">
        <v>29</v>
      </c>
      <c r="AB48" s="20"/>
      <c r="AC48" s="196"/>
      <c r="AD48" s="197" t="n">
        <f aca="false">IF(AD34=0,0,AD34/AC34)</f>
        <v>0</v>
      </c>
      <c r="AE48" s="197" t="n">
        <f aca="false">IF(AE34=0,0,AE34/AC34)</f>
        <v>0</v>
      </c>
      <c r="AF48" s="197" t="n">
        <f aca="false">IF(AF34=0,0,AF34/AD34)</f>
        <v>0</v>
      </c>
      <c r="AK48" s="197" t="n">
        <f aca="false">IF(AK34=0,0,AK34/AC34)</f>
        <v>0</v>
      </c>
      <c r="AL48" s="197" t="n">
        <f aca="false">IF(AL34=0,0,AL34/AC34)</f>
        <v>0</v>
      </c>
    </row>
    <row r="49" customFormat="false" ht="35.1" hidden="false" customHeight="true" outlineLevel="0" collapsed="false">
      <c r="AA49" s="20" t="str">
        <f aca="false">AA38</f>
        <v>7:00 à 7:30</v>
      </c>
      <c r="AB49" s="20"/>
      <c r="AC49" s="43" t="n">
        <f aca="false">IF($AX$48=MAX($AX$48:$AX$52),AC43,IF($AX$49=MAX($AX$48:$AX$52),AC45,IF($AX$50=MAX($AX$48:$AX$52),AC46,IF($AX$51=MAX($AX$48:$AX$52),(AC46),AC47))))</f>
        <v>0</v>
      </c>
      <c r="AD49" s="80" t="e">
        <f aca="false">AD38/AC38</f>
        <v>#DIV/0!</v>
      </c>
      <c r="AE49" s="80" t="e">
        <f aca="false">AE38/AC38</f>
        <v>#DIV/0!</v>
      </c>
      <c r="AF49" s="80" t="e">
        <f aca="false">AF38/AC38</f>
        <v>#DIV/0!</v>
      </c>
      <c r="AK49" s="80" t="e">
        <f aca="false">AK38/AC38</f>
        <v>#DIV/0!</v>
      </c>
      <c r="AL49" s="80" t="e">
        <f aca="false">AL38/AC38</f>
        <v>#DIV/0!</v>
      </c>
    </row>
    <row r="50" customFormat="false" ht="35.1" hidden="false" customHeight="true" outlineLevel="0" collapsed="false"/>
  </sheetData>
  <mergeCells count="79">
    <mergeCell ref="C9:J9"/>
    <mergeCell ref="K9:R9"/>
    <mergeCell ref="S9:Z9"/>
    <mergeCell ref="C10:F10"/>
    <mergeCell ref="G10:J10"/>
    <mergeCell ref="K10:N10"/>
    <mergeCell ref="O10:R10"/>
    <mergeCell ref="S10:V10"/>
    <mergeCell ref="W10:Z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B12"/>
    <mergeCell ref="C25:J25"/>
    <mergeCell ref="K25:R25"/>
    <mergeCell ref="S25:Z25"/>
    <mergeCell ref="AC25:AC28"/>
    <mergeCell ref="AD25:AD28"/>
    <mergeCell ref="AE25:AE28"/>
    <mergeCell ref="AF25:AF28"/>
    <mergeCell ref="AK25:AK28"/>
    <mergeCell ref="AL25:AL28"/>
    <mergeCell ref="C26:F26"/>
    <mergeCell ref="G26:J26"/>
    <mergeCell ref="K26:N26"/>
    <mergeCell ref="O26:R26"/>
    <mergeCell ref="S26:V26"/>
    <mergeCell ref="W26:Z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28:B28"/>
    <mergeCell ref="AA28:AB28"/>
    <mergeCell ref="A29:B29"/>
    <mergeCell ref="AA29:AB29"/>
    <mergeCell ref="A30:B30"/>
    <mergeCell ref="AA30:AB30"/>
    <mergeCell ref="A31:B31"/>
    <mergeCell ref="AA31:AB31"/>
    <mergeCell ref="A32:B32"/>
    <mergeCell ref="AA32:AB32"/>
    <mergeCell ref="A33:B33"/>
    <mergeCell ref="AA33:AB33"/>
    <mergeCell ref="A34:B34"/>
    <mergeCell ref="AA34:AB34"/>
    <mergeCell ref="AA37:AB37"/>
    <mergeCell ref="AA38:AB38"/>
    <mergeCell ref="AC39:AC42"/>
    <mergeCell ref="AD39:AD42"/>
    <mergeCell ref="AE39:AE42"/>
    <mergeCell ref="AF39:AF42"/>
    <mergeCell ref="AK39:AK42"/>
    <mergeCell ref="AL39:AL42"/>
    <mergeCell ref="AA42:AB42"/>
    <mergeCell ref="AA43:AB43"/>
    <mergeCell ref="AA44:AB44"/>
    <mergeCell ref="AA45:AB45"/>
    <mergeCell ref="AA46:AB46"/>
    <mergeCell ref="AA47:AB47"/>
    <mergeCell ref="AA48:AB48"/>
    <mergeCell ref="AA49:AB49"/>
  </mergeCells>
  <printOptions headings="false" gridLines="false" gridLinesSet="true" horizontalCentered="false" verticalCentered="false"/>
  <pageMargins left="0.196527777777778" right="0.196527777777778" top="0.747916666666667" bottom="0.944444444444444" header="0.511805555555555" footer="0.511805555555555"/>
  <pageSetup paperSize="9" scale="4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selection pane="topLeft" activeCell="H3" activeCellId="0" sqref="H3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12.38"/>
    <col collapsed="false" customWidth="false" hidden="false" outlineLevel="0" max="2" min="2" style="1" width="11.25"/>
    <col collapsed="false" customWidth="true" hidden="false" outlineLevel="0" max="10" min="3" style="1" width="26"/>
    <col collapsed="false" customWidth="true" hidden="false" outlineLevel="0" max="12" min="11" style="1" width="10.87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20"/>
    <col collapsed="false" customWidth="true" hidden="false" outlineLevel="0" max="16" min="16" style="1" width="21.5"/>
    <col collapsed="false" customWidth="true" hidden="false" outlineLevel="0" max="20" min="17" style="1" width="10.87"/>
    <col collapsed="false" customWidth="true" hidden="false" outlineLevel="0" max="21" min="21" style="1" width="24"/>
    <col collapsed="false" customWidth="false" hidden="false" outlineLevel="0" max="1019" min="22" style="1" width="11.25"/>
    <col collapsed="false" customWidth="true" hidden="false" outlineLevel="0" max="1020" min="1020" style="1" width="11.13"/>
    <col collapsed="false" customWidth="true" hidden="false" outlineLevel="0" max="1024" min="1021" style="0" width="10.5"/>
  </cols>
  <sheetData>
    <row r="1" s="2" customFormat="true" ht="52.5" hidden="false" customHeight="true" outlineLevel="0" collapsed="false">
      <c r="A1" s="3"/>
      <c r="B1" s="4" t="s">
        <v>136</v>
      </c>
      <c r="C1" s="5"/>
      <c r="D1" s="5"/>
      <c r="E1" s="5"/>
      <c r="G1" s="3" t="s">
        <v>2</v>
      </c>
      <c r="H1" s="81" t="s">
        <v>137</v>
      </c>
      <c r="I1" s="5"/>
      <c r="J1" s="5"/>
      <c r="O1" s="8"/>
      <c r="P1" s="5"/>
      <c r="U1" s="5"/>
      <c r="V1" s="5"/>
      <c r="W1" s="5"/>
      <c r="X1" s="5"/>
      <c r="Y1" s="5"/>
      <c r="Z1" s="5"/>
      <c r="AC1" s="5"/>
      <c r="AD1" s="5"/>
      <c r="AMD1" s="8"/>
      <c r="AME1" s="8"/>
      <c r="AMF1" s="8"/>
    </row>
    <row r="2" s="2" customFormat="true" ht="45" hidden="false" customHeight="true" outlineLevel="0" collapsed="false">
      <c r="A2" s="3" t="s">
        <v>4</v>
      </c>
      <c r="B2" s="5"/>
      <c r="C2" s="5"/>
      <c r="D2" s="5"/>
      <c r="E2" s="5" t="s">
        <v>138</v>
      </c>
      <c r="G2" s="5"/>
      <c r="H2" s="5"/>
      <c r="I2" s="5"/>
      <c r="J2" s="5"/>
      <c r="K2" s="5"/>
      <c r="L2" s="5"/>
      <c r="M2" s="5"/>
      <c r="N2" s="5"/>
      <c r="O2" s="5"/>
      <c r="P2" s="8"/>
      <c r="U2" s="5"/>
      <c r="V2" s="5"/>
      <c r="W2" s="5"/>
      <c r="X2" s="5"/>
      <c r="Y2" s="5"/>
      <c r="Z2" s="5"/>
      <c r="AB2" s="5"/>
      <c r="AC2" s="5"/>
      <c r="AD2" s="5"/>
      <c r="AMD2" s="8"/>
      <c r="AME2" s="8"/>
      <c r="AMF2" s="8"/>
    </row>
    <row r="3" s="2" customFormat="true" ht="20.25" hidden="false" customHeight="true" outlineLevel="0" collapsed="false">
      <c r="A3" s="3" t="s">
        <v>6</v>
      </c>
      <c r="B3" s="5"/>
      <c r="C3" s="5"/>
      <c r="D3" s="5"/>
      <c r="E3" s="5"/>
      <c r="F3" s="5"/>
      <c r="G3" s="9" t="s">
        <v>7</v>
      </c>
      <c r="H3" s="201" t="s">
        <v>139</v>
      </c>
      <c r="I3" s="5"/>
      <c r="J3" s="5"/>
      <c r="K3" s="5"/>
      <c r="L3" s="5"/>
      <c r="M3" s="5"/>
      <c r="N3" s="5"/>
      <c r="O3" s="5"/>
      <c r="P3" s="8"/>
      <c r="U3" s="5"/>
      <c r="V3" s="5"/>
      <c r="W3" s="5"/>
      <c r="X3" s="5"/>
      <c r="Y3" s="5"/>
      <c r="Z3" s="5"/>
      <c r="AA3" s="5"/>
      <c r="AB3" s="5"/>
      <c r="AC3" s="5"/>
      <c r="AD3" s="5"/>
      <c r="AMD3" s="8"/>
      <c r="AME3" s="8"/>
      <c r="AMF3" s="8"/>
    </row>
    <row r="4" s="8" customFormat="true" ht="4.5" hidden="false" customHeight="true" outlineLevel="0" collapsed="false"/>
    <row r="5" s="2" customFormat="true" ht="25.5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MF5" s="8"/>
    </row>
    <row r="6" s="2" customFormat="true" ht="25.5" hidden="false" customHeight="true" outlineLevel="0" collapsed="false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MF6" s="8"/>
    </row>
    <row r="7" s="2" customFormat="true" ht="50.65" hidden="false" customHeight="true" outlineLevel="0" collapsed="false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MF7" s="8"/>
    </row>
    <row r="8" s="2" customFormat="true" ht="30" hidden="false" customHeight="true" outlineLevel="0" collapsed="false">
      <c r="A8" s="3"/>
      <c r="B8" s="5"/>
      <c r="C8" s="199" t="s">
        <v>140</v>
      </c>
      <c r="D8" s="199"/>
      <c r="E8" s="199"/>
      <c r="F8" s="199"/>
      <c r="G8" s="1"/>
      <c r="H8" s="1"/>
      <c r="I8" s="1"/>
      <c r="J8" s="1"/>
      <c r="Q8" s="5"/>
      <c r="R8" s="5"/>
      <c r="S8" s="5"/>
      <c r="T8" s="5"/>
      <c r="AMG8" s="8"/>
      <c r="AMH8" s="8"/>
      <c r="AMI8" s="8"/>
      <c r="AMJ8" s="8"/>
    </row>
    <row r="9" customFormat="false" ht="35.1" hidden="false" customHeight="true" outlineLevel="0" collapsed="false">
      <c r="A9" s="3"/>
      <c r="B9" s="5"/>
      <c r="C9" s="207" t="s">
        <v>18</v>
      </c>
      <c r="D9" s="208" t="s">
        <v>18</v>
      </c>
      <c r="E9" s="207" t="s">
        <v>19</v>
      </c>
      <c r="F9" s="208" t="s">
        <v>19</v>
      </c>
      <c r="Q9" s="2"/>
      <c r="R9" s="2"/>
      <c r="S9" s="2"/>
      <c r="T9" s="2"/>
    </row>
    <row r="10" customFormat="false" ht="35.1" hidden="false" customHeight="true" outlineLevel="0" collapsed="false">
      <c r="A10" s="20" t="s">
        <v>21</v>
      </c>
      <c r="B10" s="20"/>
      <c r="C10" s="21" t="s">
        <v>22</v>
      </c>
      <c r="D10" s="21" t="s">
        <v>23</v>
      </c>
      <c r="E10" s="21" t="s">
        <v>22</v>
      </c>
      <c r="F10" s="21" t="s">
        <v>23</v>
      </c>
      <c r="Q10" s="2"/>
      <c r="R10" s="2"/>
      <c r="S10" s="2"/>
      <c r="T10" s="2"/>
    </row>
    <row r="11" customFormat="false" ht="69.95" hidden="false" customHeight="true" outlineLevel="0" collapsed="false">
      <c r="A11" s="88" t="n">
        <v>0.270833333333333</v>
      </c>
      <c r="B11" s="88" t="n">
        <v>0.291666666666667</v>
      </c>
      <c r="C11" s="25" t="n">
        <v>1</v>
      </c>
      <c r="D11" s="25"/>
      <c r="E11" s="25" t="n">
        <v>1</v>
      </c>
      <c r="F11" s="89"/>
      <c r="G11" s="209" t="n">
        <f aca="false">SUM(C11:F11)</f>
        <v>2</v>
      </c>
      <c r="Q11" s="2"/>
      <c r="R11" s="2"/>
      <c r="S11" s="2"/>
      <c r="T11" s="2"/>
    </row>
    <row r="12" customFormat="false" ht="69.95" hidden="false" customHeight="true" outlineLevel="0" collapsed="false">
      <c r="A12" s="88" t="n">
        <v>0.291666666666667</v>
      </c>
      <c r="B12" s="88" t="n">
        <v>0.3125</v>
      </c>
      <c r="C12" s="25"/>
      <c r="D12" s="25" t="n">
        <v>1</v>
      </c>
      <c r="E12" s="25" t="n">
        <v>1</v>
      </c>
      <c r="F12" s="89" t="n">
        <v>1</v>
      </c>
      <c r="G12" s="209" t="n">
        <f aca="false">SUM(C12:F12)</f>
        <v>3</v>
      </c>
    </row>
    <row r="13" customFormat="false" ht="69.95" hidden="false" customHeight="true" outlineLevel="0" collapsed="false">
      <c r="A13" s="88" t="n">
        <v>0.3125</v>
      </c>
      <c r="B13" s="88" t="n">
        <v>0.333333333333333</v>
      </c>
      <c r="C13" s="25" t="n">
        <v>1</v>
      </c>
      <c r="D13" s="25" t="n">
        <v>2</v>
      </c>
      <c r="E13" s="25"/>
      <c r="F13" s="89"/>
      <c r="G13" s="209" t="n">
        <f aca="false">SUM(C13:F13)</f>
        <v>3</v>
      </c>
    </row>
    <row r="14" customFormat="false" ht="69.95" hidden="false" customHeight="true" outlineLevel="0" collapsed="false">
      <c r="A14" s="88" t="n">
        <v>0.333333333333333</v>
      </c>
      <c r="B14" s="88" t="n">
        <v>0.354166666666667</v>
      </c>
      <c r="C14" s="25"/>
      <c r="D14" s="25" t="n">
        <v>6</v>
      </c>
      <c r="E14" s="25" t="n">
        <v>5</v>
      </c>
      <c r="F14" s="89" t="n">
        <v>5</v>
      </c>
      <c r="G14" s="209" t="n">
        <f aca="false">SUM(C14:F14)</f>
        <v>16</v>
      </c>
    </row>
    <row r="15" customFormat="false" ht="69.95" hidden="false" customHeight="true" outlineLevel="0" collapsed="false">
      <c r="A15" s="88" t="n">
        <v>0.354166666666667</v>
      </c>
      <c r="B15" s="88" t="n">
        <v>0.375</v>
      </c>
      <c r="C15" s="25"/>
      <c r="D15" s="25" t="n">
        <v>3</v>
      </c>
      <c r="E15" s="25" t="n">
        <v>1</v>
      </c>
      <c r="F15" s="89"/>
      <c r="G15" s="209" t="n">
        <f aca="false">SUM(C15:F15)</f>
        <v>4</v>
      </c>
      <c r="L15" s="210"/>
    </row>
    <row r="16" customFormat="false" ht="12" hidden="false" customHeight="true" outlineLevel="0" collapsed="false">
      <c r="A16" s="32"/>
      <c r="B16" s="32"/>
      <c r="C16" s="33"/>
      <c r="D16" s="33"/>
      <c r="E16" s="33"/>
      <c r="F16" s="33"/>
    </row>
    <row r="17" s="31" customFormat="true" ht="39.75" hidden="false" customHeight="true" outlineLevel="0" collapsed="false">
      <c r="A17" s="27"/>
      <c r="B17" s="28" t="s">
        <v>25</v>
      </c>
      <c r="C17" s="29"/>
      <c r="D17" s="211" t="n">
        <v>3</v>
      </c>
      <c r="E17" s="211" t="s">
        <v>141</v>
      </c>
      <c r="F17" s="29"/>
      <c r="G17" s="1" t="n">
        <f aca="false">SUM(G11:G16)</f>
        <v>28</v>
      </c>
      <c r="H17" s="1"/>
      <c r="I17" s="1"/>
      <c r="J17" s="1"/>
      <c r="K17" s="29"/>
      <c r="L17" s="29"/>
      <c r="M17" s="29"/>
      <c r="N17" s="29"/>
      <c r="O17" s="29"/>
      <c r="P17" s="29"/>
      <c r="Q17" s="1"/>
      <c r="R17" s="1"/>
      <c r="S17" s="1"/>
      <c r="T17" s="1"/>
      <c r="U17" s="29"/>
      <c r="V17" s="29"/>
    </row>
    <row r="18" customFormat="false" ht="39.75" hidden="false" customHeight="true" outlineLevel="0" collapsed="false">
      <c r="A18" s="123"/>
      <c r="B18" s="5"/>
      <c r="C18" s="5"/>
      <c r="D18" s="5"/>
      <c r="E18" s="5"/>
      <c r="F18" s="5"/>
      <c r="G18" s="5"/>
      <c r="H18" s="5"/>
      <c r="I18" s="5"/>
      <c r="J18" s="5"/>
      <c r="M18" s="124" t="s">
        <v>83</v>
      </c>
      <c r="Q18" s="31"/>
      <c r="R18" s="31"/>
      <c r="S18" s="31"/>
      <c r="T18" s="31"/>
    </row>
    <row r="19" customFormat="false" ht="30" hidden="false" customHeight="true" outlineLevel="0" collapsed="false">
      <c r="A19" s="14"/>
      <c r="B19" s="15"/>
      <c r="C19" s="212" t="str">
        <f aca="false">C8</f>
        <v>Pont du Borne</v>
      </c>
      <c r="D19" s="212"/>
      <c r="E19" s="212"/>
      <c r="F19" s="212"/>
      <c r="G19" s="212"/>
      <c r="H19" s="212"/>
      <c r="I19" s="212"/>
      <c r="J19" s="212"/>
      <c r="K19" s="20" t="s">
        <v>21</v>
      </c>
      <c r="L19" s="20"/>
      <c r="M19" s="213" t="s">
        <v>29</v>
      </c>
      <c r="N19" s="44" t="s">
        <v>30</v>
      </c>
      <c r="O19" s="40" t="s">
        <v>31</v>
      </c>
      <c r="P19" s="40" t="s">
        <v>32</v>
      </c>
      <c r="Q19" s="74" t="s">
        <v>34</v>
      </c>
      <c r="R19" s="74" t="s">
        <v>35</v>
      </c>
      <c r="S19" s="74" t="s">
        <v>36</v>
      </c>
      <c r="T19" s="74" t="s">
        <v>37</v>
      </c>
      <c r="U19" s="41" t="s">
        <v>142</v>
      </c>
    </row>
    <row r="20" customFormat="false" ht="22.05" hidden="false" customHeight="false" outlineLevel="0" collapsed="false">
      <c r="A20" s="14"/>
      <c r="B20" s="15"/>
      <c r="C20" s="17"/>
      <c r="D20" s="17"/>
      <c r="E20" s="17"/>
      <c r="F20" s="17"/>
      <c r="G20" s="214"/>
      <c r="H20" s="214"/>
      <c r="I20" s="214"/>
      <c r="J20" s="214"/>
      <c r="K20" s="20"/>
      <c r="L20" s="20"/>
      <c r="M20" s="213"/>
      <c r="N20" s="44"/>
      <c r="O20" s="40"/>
      <c r="P20" s="40"/>
      <c r="Q20" s="74"/>
      <c r="R20" s="74"/>
      <c r="S20" s="74"/>
      <c r="T20" s="74"/>
      <c r="U20" s="41"/>
    </row>
    <row r="21" customFormat="false" ht="20.25" hidden="false" customHeight="true" outlineLevel="0" collapsed="false">
      <c r="A21" s="14"/>
      <c r="B21" s="15"/>
      <c r="C21" s="18" t="s">
        <v>18</v>
      </c>
      <c r="D21" s="18"/>
      <c r="E21" s="18" t="s">
        <v>19</v>
      </c>
      <c r="F21" s="18"/>
      <c r="G21" s="18"/>
      <c r="H21" s="18"/>
      <c r="I21" s="85"/>
      <c r="J21" s="85"/>
      <c r="K21" s="20"/>
      <c r="L21" s="20"/>
      <c r="M21" s="213"/>
      <c r="N21" s="44"/>
      <c r="O21" s="40"/>
      <c r="P21" s="40"/>
      <c r="Q21" s="74"/>
      <c r="R21" s="74"/>
      <c r="S21" s="74"/>
      <c r="T21" s="74"/>
      <c r="U21" s="41"/>
    </row>
    <row r="22" customFormat="false" ht="21" hidden="false" customHeight="true" outlineLevel="0" collapsed="false">
      <c r="A22" s="20" t="s">
        <v>21</v>
      </c>
      <c r="B22" s="20"/>
      <c r="C22" s="21" t="s">
        <v>22</v>
      </c>
      <c r="D22" s="21" t="s">
        <v>23</v>
      </c>
      <c r="E22" s="21" t="s">
        <v>22</v>
      </c>
      <c r="F22" s="21" t="s">
        <v>23</v>
      </c>
      <c r="G22" s="21"/>
      <c r="H22" s="21"/>
      <c r="I22" s="21"/>
      <c r="J22" s="207"/>
      <c r="K22" s="20"/>
      <c r="L22" s="20"/>
      <c r="M22" s="213"/>
      <c r="N22" s="44"/>
      <c r="O22" s="40"/>
      <c r="P22" s="40"/>
      <c r="Q22" s="74"/>
      <c r="R22" s="74"/>
      <c r="S22" s="74"/>
      <c r="T22" s="74"/>
      <c r="U22" s="41"/>
    </row>
    <row r="23" customFormat="false" ht="35.1" hidden="false" customHeight="true" outlineLevel="0" collapsed="false">
      <c r="A23" s="20" t="s">
        <v>38</v>
      </c>
      <c r="B23" s="20"/>
      <c r="C23" s="25" t="n">
        <f aca="false">+C11</f>
        <v>1</v>
      </c>
      <c r="D23" s="25" t="n">
        <f aca="false">+D11</f>
        <v>0</v>
      </c>
      <c r="E23" s="25" t="n">
        <f aca="false">+E11</f>
        <v>1</v>
      </c>
      <c r="F23" s="25" t="n">
        <f aca="false">+F11</f>
        <v>0</v>
      </c>
      <c r="G23" s="25"/>
      <c r="H23" s="25"/>
      <c r="I23" s="25"/>
      <c r="J23" s="25"/>
      <c r="K23" s="71" t="str">
        <f aca="false">A23</f>
        <v>6:30 à 7:00</v>
      </c>
      <c r="L23" s="71"/>
      <c r="M23" s="45" t="n">
        <f aca="false">SUM(C23:J23)</f>
        <v>2</v>
      </c>
      <c r="N23" s="46" t="n">
        <f aca="false">C23+E23+G23+I23</f>
        <v>2</v>
      </c>
      <c r="O23" s="46" t="n">
        <f aca="false">E23+F23+I23+J23</f>
        <v>1</v>
      </c>
      <c r="P23" s="46" t="n">
        <f aca="false">E23+I23</f>
        <v>1</v>
      </c>
      <c r="U23" s="46" t="n">
        <f aca="false">SUM(G23:J23)</f>
        <v>0</v>
      </c>
    </row>
    <row r="24" customFormat="false" ht="35.1" hidden="false" customHeight="true" outlineLevel="0" collapsed="false">
      <c r="A24" s="20" t="s">
        <v>39</v>
      </c>
      <c r="B24" s="20"/>
      <c r="C24" s="25" t="n">
        <f aca="false">+C12</f>
        <v>0</v>
      </c>
      <c r="D24" s="25" t="n">
        <f aca="false">+D12</f>
        <v>1</v>
      </c>
      <c r="E24" s="25" t="n">
        <f aca="false">+E12</f>
        <v>1</v>
      </c>
      <c r="F24" s="25" t="n">
        <f aca="false">+F12</f>
        <v>1</v>
      </c>
      <c r="G24" s="25"/>
      <c r="H24" s="25"/>
      <c r="I24" s="25"/>
      <c r="J24" s="25"/>
      <c r="K24" s="20" t="str">
        <f aca="false">A24</f>
        <v>7:00 à 7:30</v>
      </c>
      <c r="L24" s="20"/>
      <c r="M24" s="45" t="n">
        <f aca="false">SUM(C24:J24)</f>
        <v>3</v>
      </c>
      <c r="N24" s="46" t="n">
        <f aca="false">C24+E24+G24+I24</f>
        <v>1</v>
      </c>
      <c r="O24" s="46" t="n">
        <f aca="false">E24+F24+I24+J24</f>
        <v>2</v>
      </c>
      <c r="P24" s="46" t="n">
        <f aca="false">E24+I24</f>
        <v>1</v>
      </c>
      <c r="U24" s="46" t="n">
        <f aca="false">SUM(G24:J24)</f>
        <v>0</v>
      </c>
    </row>
    <row r="25" customFormat="false" ht="35.1" hidden="false" customHeight="true" outlineLevel="0" collapsed="false">
      <c r="A25" s="20" t="s">
        <v>40</v>
      </c>
      <c r="B25" s="20"/>
      <c r="C25" s="25" t="n">
        <f aca="false">+C13</f>
        <v>1</v>
      </c>
      <c r="D25" s="25" t="n">
        <f aca="false">+D13</f>
        <v>2</v>
      </c>
      <c r="E25" s="25" t="n">
        <f aca="false">+E13</f>
        <v>0</v>
      </c>
      <c r="F25" s="25" t="n">
        <f aca="false">+F13</f>
        <v>0</v>
      </c>
      <c r="G25" s="25"/>
      <c r="H25" s="25"/>
      <c r="I25" s="25"/>
      <c r="J25" s="25"/>
      <c r="K25" s="20" t="str">
        <f aca="false">A25</f>
        <v>7:30 à 8:00</v>
      </c>
      <c r="L25" s="20"/>
      <c r="M25" s="45" t="n">
        <f aca="false">SUM(C25:J25)</f>
        <v>3</v>
      </c>
      <c r="N25" s="46" t="n">
        <f aca="false">C25+E25+G25+I25</f>
        <v>1</v>
      </c>
      <c r="O25" s="46" t="n">
        <f aca="false">E25+F25+I25+J25</f>
        <v>0</v>
      </c>
      <c r="P25" s="46" t="n">
        <f aca="false">E25+I25</f>
        <v>0</v>
      </c>
      <c r="U25" s="46" t="n">
        <f aca="false">SUM(G25:J25)</f>
        <v>0</v>
      </c>
    </row>
    <row r="26" customFormat="false" ht="35.1" hidden="false" customHeight="true" outlineLevel="0" collapsed="false">
      <c r="A26" s="20" t="s">
        <v>41</v>
      </c>
      <c r="B26" s="20"/>
      <c r="C26" s="25" t="n">
        <f aca="false">+C14</f>
        <v>0</v>
      </c>
      <c r="D26" s="25" t="n">
        <f aca="false">+D14</f>
        <v>6</v>
      </c>
      <c r="E26" s="25" t="n">
        <f aca="false">+E14</f>
        <v>5</v>
      </c>
      <c r="F26" s="25" t="n">
        <f aca="false">+F14</f>
        <v>5</v>
      </c>
      <c r="G26" s="25"/>
      <c r="H26" s="25"/>
      <c r="I26" s="25"/>
      <c r="J26" s="25"/>
      <c r="K26" s="20" t="str">
        <f aca="false">A26</f>
        <v>8:00 à 8:30</v>
      </c>
      <c r="L26" s="20"/>
      <c r="M26" s="45" t="n">
        <f aca="false">SUM(C26:J26)</f>
        <v>16</v>
      </c>
      <c r="N26" s="46" t="n">
        <f aca="false">C26+E26+G26+I26</f>
        <v>5</v>
      </c>
      <c r="O26" s="46" t="n">
        <f aca="false">E26+F26+I26+J26</f>
        <v>10</v>
      </c>
      <c r="P26" s="46" t="n">
        <f aca="false">E26+I26</f>
        <v>5</v>
      </c>
      <c r="U26" s="46" t="n">
        <f aca="false">SUM(G26:J26)</f>
        <v>0</v>
      </c>
    </row>
    <row r="27" customFormat="false" ht="35.1" hidden="false" customHeight="true" outlineLevel="0" collapsed="false">
      <c r="A27" s="20" t="s">
        <v>42</v>
      </c>
      <c r="B27" s="20"/>
      <c r="C27" s="25" t="n">
        <f aca="false">+C15</f>
        <v>0</v>
      </c>
      <c r="D27" s="25" t="n">
        <f aca="false">+D15</f>
        <v>3</v>
      </c>
      <c r="E27" s="25" t="n">
        <f aca="false">+E15</f>
        <v>1</v>
      </c>
      <c r="F27" s="25" t="n">
        <f aca="false">+F15</f>
        <v>0</v>
      </c>
      <c r="G27" s="25"/>
      <c r="H27" s="25"/>
      <c r="I27" s="25"/>
      <c r="J27" s="25"/>
      <c r="K27" s="20" t="str">
        <f aca="false">A27</f>
        <v>8:30 à 9:00</v>
      </c>
      <c r="L27" s="20"/>
      <c r="M27" s="45" t="n">
        <f aca="false">SUM(C27:J27)</f>
        <v>4</v>
      </c>
      <c r="N27" s="46" t="n">
        <f aca="false">C27+E27+G27+I27</f>
        <v>1</v>
      </c>
      <c r="O27" s="46" t="n">
        <f aca="false">E27+F27+I27+J27</f>
        <v>1</v>
      </c>
      <c r="P27" s="46" t="n">
        <f aca="false">E27+I27</f>
        <v>1</v>
      </c>
      <c r="U27" s="46" t="n">
        <f aca="false">SUM(G27:J27)</f>
        <v>0</v>
      </c>
    </row>
    <row r="28" customFormat="false" ht="35.1" hidden="false" customHeight="true" outlineLevel="0" collapsed="false">
      <c r="A28" s="20" t="s">
        <v>29</v>
      </c>
      <c r="B28" s="20"/>
      <c r="C28" s="105" t="n">
        <f aca="false">SUM(C11:C15)</f>
        <v>2</v>
      </c>
      <c r="D28" s="105" t="n">
        <f aca="false">SUM(D11:D15)</f>
        <v>12</v>
      </c>
      <c r="E28" s="105" t="n">
        <f aca="false">SUM(E11:E15)</f>
        <v>8</v>
      </c>
      <c r="F28" s="105" t="n">
        <f aca="false">SUM(F11:F15)</f>
        <v>6</v>
      </c>
      <c r="G28" s="105" t="n">
        <f aca="false">SUM(C28:F28)</f>
        <v>28</v>
      </c>
      <c r="H28" s="105"/>
      <c r="I28" s="105"/>
      <c r="J28" s="105"/>
      <c r="K28" s="107" t="s">
        <v>29</v>
      </c>
      <c r="L28" s="107"/>
      <c r="M28" s="50" t="n">
        <f aca="false">SUM(M23:M27)</f>
        <v>28</v>
      </c>
      <c r="N28" s="50" t="n">
        <f aca="false">SUM(N23:N27)</f>
        <v>10</v>
      </c>
      <c r="O28" s="50" t="n">
        <f aca="false">SUM(O23:O27)</f>
        <v>14</v>
      </c>
      <c r="P28" s="51" t="n">
        <f aca="false">SUM(P23:P27)</f>
        <v>8</v>
      </c>
      <c r="Q28" s="50" t="e">
        <f aca="false">#REF!</f>
        <v>#REF!</v>
      </c>
      <c r="R28" s="51" t="n">
        <f aca="false">A17</f>
        <v>0</v>
      </c>
      <c r="S28" s="51"/>
      <c r="T28" s="51" t="e">
        <f aca="false">#REF!</f>
        <v>#REF!</v>
      </c>
      <c r="U28" s="51" t="n">
        <f aca="false">SUM(U23:U27)</f>
        <v>0</v>
      </c>
    </row>
    <row r="29" customFormat="false" ht="35.1" hidden="false" customHeight="true" outlineLevel="0" collapsed="false">
      <c r="A29" s="53"/>
      <c r="B29" s="53"/>
      <c r="C29" s="110"/>
      <c r="D29" s="110"/>
      <c r="E29" s="110"/>
      <c r="F29" s="110"/>
      <c r="G29" s="110"/>
      <c r="H29" s="110"/>
      <c r="I29" s="110"/>
      <c r="J29" s="110"/>
      <c r="K29" s="56" t="s">
        <v>41</v>
      </c>
      <c r="L29" s="57"/>
      <c r="M29" s="58"/>
      <c r="N29" s="58"/>
      <c r="O29" s="58"/>
      <c r="P29" s="51"/>
      <c r="Q29" s="72"/>
      <c r="R29" s="72"/>
      <c r="S29" s="72"/>
      <c r="T29" s="72"/>
      <c r="U29" s="51"/>
    </row>
    <row r="30" customFormat="false" ht="35.1" hidden="false" customHeight="true" outlineLevel="0" collapsed="false">
      <c r="A30" s="53"/>
      <c r="B30" s="53"/>
      <c r="C30" s="110"/>
      <c r="D30" s="110"/>
      <c r="E30" s="110"/>
      <c r="F30" s="110"/>
      <c r="G30" s="110"/>
      <c r="H30" s="110"/>
      <c r="I30" s="110"/>
      <c r="J30" s="110"/>
      <c r="K30" s="63" t="s">
        <v>42</v>
      </c>
      <c r="L30" s="64"/>
      <c r="M30" s="65"/>
      <c r="N30" s="65"/>
      <c r="O30" s="65"/>
      <c r="P30" s="51"/>
      <c r="Q30" s="72"/>
      <c r="R30" s="72"/>
      <c r="S30" s="72"/>
      <c r="T30" s="72"/>
      <c r="U30" s="51"/>
    </row>
    <row r="31" customFormat="false" ht="35.1" hidden="false" customHeight="true" outlineLevel="0" collapsed="false">
      <c r="A31" s="53"/>
      <c r="B31" s="53"/>
      <c r="C31" s="110"/>
      <c r="D31" s="110"/>
      <c r="E31" s="110"/>
      <c r="F31" s="110"/>
      <c r="G31" s="110"/>
      <c r="H31" s="110"/>
      <c r="I31" s="110"/>
      <c r="J31" s="110"/>
      <c r="K31" s="66" t="s">
        <v>44</v>
      </c>
      <c r="L31" s="66"/>
      <c r="M31" s="67" t="n">
        <f aca="false">SUM(M29:M30)</f>
        <v>0</v>
      </c>
      <c r="N31" s="68"/>
      <c r="O31" s="68"/>
      <c r="P31" s="51"/>
      <c r="Q31" s="72"/>
      <c r="R31" s="72"/>
      <c r="S31" s="72"/>
      <c r="T31" s="72"/>
      <c r="U31" s="51"/>
    </row>
    <row r="32" customFormat="false" ht="35.1" hidden="false" customHeight="true" outlineLevel="0" collapsed="false">
      <c r="A32" s="69"/>
      <c r="B32" s="70"/>
      <c r="C32" s="70"/>
      <c r="D32" s="70"/>
      <c r="E32" s="70"/>
      <c r="F32" s="70"/>
      <c r="G32" s="70"/>
      <c r="H32" s="70"/>
      <c r="I32" s="70"/>
      <c r="J32" s="55" t="s">
        <v>43</v>
      </c>
      <c r="K32" s="20" t="str">
        <f aca="false">IF($M$27=MAX($M$23:$M$27),K27,IF($M$26=MAX($M$23:$M$27),K26,IF($M$25=MAX($M$23:$M$27),K25,IF($M$24=MAX($M$23:$M$27),K24,IF($M$23=MAX($M$23:$M$27),K23,K27)))))</f>
        <v>8:00 à 8:30</v>
      </c>
      <c r="L32" s="20"/>
      <c r="M32" s="215" t="n">
        <f aca="false">IF($M$27=MAX($M$23:$M$27),M27,IF($M$26=MAX($M$23:$M$27),M26,IF($M$25=MAX($M$23:$M$27),M25,IF($M$24=MAX($M$23:$M$27),M24,IF($M$23=MAX($M$23:$M$27),M23,M27)))))</f>
        <v>16</v>
      </c>
      <c r="N32" s="195" t="n">
        <f aca="false">IF($M$27=MAX($M$23:$M$27),N27,IF($M$26=MAX($M$23:$M$27),N26,IF($M$25=MAX($M$23:$M$27),N25,IF($M$24=MAX($M$23:$M$27),N24,IF($M$23=MAX($M$23:$M$27),N23,N27)))))</f>
        <v>5</v>
      </c>
      <c r="O32" s="195" t="n">
        <f aca="false">IF($M$27=MAX($M$23:$M$27),O27,IF($M$26=MAX($M$23:$M$27),O26,IF($M$25=MAX($M$23:$M$27),O25,IF($M$24=MAX($M$23:$M$27),O24,IF($M$23=MAX($M$23:$M$27),O23,O27)))))</f>
        <v>10</v>
      </c>
      <c r="P32" s="195" t="n">
        <f aca="false">IF($M$27=MAX($M$23:$M$27),P27,IF($M$26=MAX($M$23:$M$27),P26,IF($M$25=MAX($M$23:$M$27),P25,IF($M$24=MAX($M$23:$M$27),P24,IF($M$23=MAX($M$23:$M$27),P23,P27)))))</f>
        <v>5</v>
      </c>
      <c r="U32" s="195" t="n">
        <f aca="false">IF($M$27=MAX($M$23:$M$27),U27,IF($M$26=MAX($M$23:$M$27),U26,IF($M$25=MAX($M$23:$M$27),U25,IF($M$24=MAX($M$23:$M$27),U24,IF($M$23=MAX($M$23:$M$27),U23,U27)))))</f>
        <v>0</v>
      </c>
    </row>
    <row r="33" customFormat="false" ht="24.95" hidden="false" customHeight="true" outlineLevel="0" collapsed="false">
      <c r="A33" s="112"/>
      <c r="B33" s="72"/>
      <c r="C33" s="72"/>
      <c r="D33" s="72"/>
      <c r="E33" s="72"/>
      <c r="F33" s="72"/>
      <c r="G33" s="72"/>
      <c r="H33" s="72"/>
      <c r="I33" s="72"/>
      <c r="J33" s="72"/>
      <c r="K33" s="14"/>
      <c r="L33" s="15"/>
      <c r="M33" s="73" t="s">
        <v>29</v>
      </c>
      <c r="N33" s="74" t="s">
        <v>45</v>
      </c>
      <c r="O33" s="74" t="s">
        <v>46</v>
      </c>
      <c r="P33" s="74" t="s">
        <v>47</v>
      </c>
      <c r="U33" s="74" t="str">
        <f aca="false">U19</f>
        <v>Cycles en direction de Bonneville</v>
      </c>
    </row>
    <row r="34" customFormat="false" ht="24.95" hidden="false" customHeight="true" outlineLevel="0" collapsed="false">
      <c r="A34" s="112"/>
      <c r="B34" s="72"/>
      <c r="C34" s="72"/>
      <c r="D34" s="72"/>
      <c r="E34" s="72"/>
      <c r="F34" s="72"/>
      <c r="G34" s="72"/>
      <c r="H34" s="72"/>
      <c r="I34" s="72"/>
      <c r="J34" s="72"/>
      <c r="K34" s="14"/>
      <c r="L34" s="15"/>
      <c r="M34" s="73"/>
      <c r="N34" s="74"/>
      <c r="O34" s="74"/>
      <c r="P34" s="74"/>
      <c r="Q34" s="72"/>
      <c r="R34" s="72"/>
      <c r="S34" s="72"/>
      <c r="T34" s="72"/>
      <c r="U34" s="74"/>
    </row>
    <row r="35" customFormat="false" ht="24.95" hidden="false" customHeight="true" outlineLevel="0" collapsed="false">
      <c r="A35" s="112"/>
      <c r="B35" s="72"/>
      <c r="C35" s="72"/>
      <c r="D35" s="72"/>
      <c r="E35" s="72"/>
      <c r="F35" s="72"/>
      <c r="G35" s="72"/>
      <c r="H35" s="72"/>
      <c r="I35" s="72"/>
      <c r="J35" s="72"/>
      <c r="K35" s="75"/>
      <c r="L35" s="15"/>
      <c r="M35" s="73"/>
      <c r="N35" s="74"/>
      <c r="O35" s="74"/>
      <c r="P35" s="74"/>
      <c r="Q35" s="72"/>
      <c r="R35" s="72"/>
      <c r="S35" s="72"/>
      <c r="T35" s="72"/>
      <c r="U35" s="74"/>
    </row>
    <row r="36" customFormat="false" ht="35.1" hidden="false" customHeight="true" outlineLevel="0" collapsed="false">
      <c r="A36" s="112"/>
      <c r="B36" s="72"/>
      <c r="C36" s="72"/>
      <c r="D36" s="72"/>
      <c r="E36" s="72"/>
      <c r="F36" s="72"/>
      <c r="G36" s="72"/>
      <c r="H36" s="72"/>
      <c r="I36" s="72"/>
      <c r="J36" s="72"/>
      <c r="K36" s="20" t="s">
        <v>21</v>
      </c>
      <c r="L36" s="20"/>
      <c r="M36" s="73"/>
      <c r="N36" s="74"/>
      <c r="O36" s="74"/>
      <c r="P36" s="74"/>
      <c r="Q36" s="72"/>
      <c r="R36" s="72"/>
      <c r="S36" s="72"/>
      <c r="T36" s="72"/>
      <c r="U36" s="74"/>
    </row>
    <row r="37" customFormat="false" ht="35.1" hidden="false" customHeight="true" outlineLevel="0" collapsed="false">
      <c r="A37" s="112"/>
      <c r="B37" s="72"/>
      <c r="C37" s="72"/>
      <c r="D37" s="72"/>
      <c r="E37" s="72"/>
      <c r="F37" s="72"/>
      <c r="G37" s="72"/>
      <c r="H37" s="72"/>
      <c r="I37" s="72"/>
      <c r="J37" s="72"/>
      <c r="K37" s="20" t="str">
        <f aca="false">K23</f>
        <v>6:30 à 7:00</v>
      </c>
      <c r="L37" s="20"/>
      <c r="M37" s="76"/>
      <c r="N37" s="77" t="n">
        <f aca="false">IF(N23=0,0,N23/M23)</f>
        <v>1</v>
      </c>
      <c r="O37" s="77" t="n">
        <f aca="false">IF(O23=0,0,O23/M23)</f>
        <v>0.5</v>
      </c>
      <c r="P37" s="77" t="n">
        <f aca="false">IF(P23=0,0,P23/N23)</f>
        <v>0.5</v>
      </c>
      <c r="Q37" s="72"/>
      <c r="R37" s="72"/>
      <c r="S37" s="72"/>
      <c r="T37" s="72"/>
      <c r="U37" s="77" t="n">
        <f aca="false">IF(U23=0,0,U23/M23)</f>
        <v>0</v>
      </c>
    </row>
    <row r="38" customFormat="false" ht="35.1" hidden="false" customHeight="true" outlineLevel="0" collapsed="false">
      <c r="A38" s="112"/>
      <c r="B38" s="72"/>
      <c r="C38" s="72"/>
      <c r="D38" s="72"/>
      <c r="E38" s="72"/>
      <c r="F38" s="72"/>
      <c r="G38" s="72"/>
      <c r="H38" s="72"/>
      <c r="I38" s="72"/>
      <c r="J38" s="72"/>
      <c r="K38" s="20" t="str">
        <f aca="false">K24</f>
        <v>7:00 à 7:30</v>
      </c>
      <c r="L38" s="20"/>
      <c r="M38" s="76"/>
      <c r="N38" s="77" t="n">
        <f aca="false">IF(N25=0,0,N25/M25)</f>
        <v>0.333333333333333</v>
      </c>
      <c r="O38" s="77" t="n">
        <f aca="false">IF(O25=0,0,O25/M25)</f>
        <v>0</v>
      </c>
      <c r="P38" s="77" t="n">
        <f aca="false">IF(P25=0,0,P25/N25)</f>
        <v>0</v>
      </c>
      <c r="Q38" s="72"/>
      <c r="R38" s="72"/>
      <c r="S38" s="72"/>
      <c r="T38" s="72"/>
      <c r="U38" s="77" t="n">
        <f aca="false">IF(U25=0,0,U25/M25)</f>
        <v>0</v>
      </c>
    </row>
    <row r="39" customFormat="false" ht="35.1" hidden="false" customHeight="true" outlineLevel="0" collapsed="false">
      <c r="A39" s="112"/>
      <c r="B39" s="72"/>
      <c r="C39" s="72"/>
      <c r="D39" s="72"/>
      <c r="E39" s="72"/>
      <c r="F39" s="72"/>
      <c r="G39" s="72"/>
      <c r="H39" s="72"/>
      <c r="I39" s="72"/>
      <c r="J39" s="72"/>
      <c r="K39" s="20" t="str">
        <f aca="false">K25</f>
        <v>7:30 à 8:00</v>
      </c>
      <c r="L39" s="20"/>
      <c r="M39" s="76"/>
      <c r="N39" s="77" t="n">
        <f aca="false">IF(N25=0,0,N25/M25)</f>
        <v>0.333333333333333</v>
      </c>
      <c r="O39" s="77" t="n">
        <f aca="false">IF(O25=0,0,O25/M25)</f>
        <v>0</v>
      </c>
      <c r="P39" s="77" t="n">
        <f aca="false">IF(P25=0,0,P25/N25)</f>
        <v>0</v>
      </c>
      <c r="Q39" s="72"/>
      <c r="R39" s="72"/>
      <c r="S39" s="72"/>
      <c r="T39" s="72"/>
      <c r="U39" s="77" t="n">
        <f aca="false">IF(U25=0,0,U25/M25)</f>
        <v>0</v>
      </c>
    </row>
    <row r="40" customFormat="false" ht="35.1" hidden="false" customHeight="true" outlineLevel="0" collapsed="false">
      <c r="A40" s="112"/>
      <c r="B40" s="72"/>
      <c r="C40" s="72"/>
      <c r="D40" s="72"/>
      <c r="E40" s="72"/>
      <c r="F40" s="72"/>
      <c r="G40" s="72"/>
      <c r="H40" s="72"/>
      <c r="I40" s="72"/>
      <c r="J40" s="72"/>
      <c r="K40" s="20" t="str">
        <f aca="false">K26</f>
        <v>8:00 à 8:30</v>
      </c>
      <c r="L40" s="20"/>
      <c r="M40" s="76"/>
      <c r="N40" s="77" t="n">
        <f aca="false">IF(N26=0,0,N26/M26)</f>
        <v>0.3125</v>
      </c>
      <c r="O40" s="77" t="n">
        <f aca="false">IF(O26=0,0,O26/M26)</f>
        <v>0.625</v>
      </c>
      <c r="P40" s="77" t="n">
        <f aca="false">IF(P26=0,0,P26/N26)</f>
        <v>1</v>
      </c>
      <c r="Q40" s="72"/>
      <c r="R40" s="72"/>
      <c r="S40" s="72"/>
      <c r="T40" s="72"/>
      <c r="U40" s="77" t="n">
        <f aca="false">IF(U26=0,0,U26/M26)</f>
        <v>0</v>
      </c>
    </row>
    <row r="41" customFormat="false" ht="35.1" hidden="false" customHeight="true" outlineLevel="0" collapsed="false">
      <c r="F41" s="72"/>
      <c r="K41" s="20" t="str">
        <f aca="false">K27</f>
        <v>8:30 à 9:00</v>
      </c>
      <c r="L41" s="20"/>
      <c r="M41" s="76"/>
      <c r="N41" s="77" t="n">
        <f aca="false">IF(N27=0,0,N27/M27)</f>
        <v>0.25</v>
      </c>
      <c r="O41" s="77" t="n">
        <f aca="false">IF(O27=0,0,O27/M27)</f>
        <v>0.25</v>
      </c>
      <c r="P41" s="77" t="n">
        <f aca="false">IF(P27=0,0,P27/N27)</f>
        <v>1</v>
      </c>
      <c r="U41" s="77" t="n">
        <f aca="false">IF(U27=0,0,U27/M27)</f>
        <v>0</v>
      </c>
    </row>
    <row r="42" customFormat="false" ht="35.1" hidden="false" customHeight="true" outlineLevel="0" collapsed="false">
      <c r="F42" s="72"/>
      <c r="K42" s="20" t="s">
        <v>29</v>
      </c>
      <c r="L42" s="20"/>
      <c r="M42" s="196"/>
      <c r="N42" s="197" t="n">
        <f aca="false">IF(N28=0,0,N28/M28)</f>
        <v>0.357142857142857</v>
      </c>
      <c r="O42" s="197" t="n">
        <f aca="false">IF(O28=0,0,O28/M28)</f>
        <v>0.5</v>
      </c>
      <c r="P42" s="197" t="n">
        <f aca="false">IF(P28=0,0,P28/N28)</f>
        <v>0.8</v>
      </c>
      <c r="U42" s="197" t="n">
        <f aca="false">IF(U28=0,0,U28/M28)</f>
        <v>0</v>
      </c>
    </row>
    <row r="43" customFormat="false" ht="35.1" hidden="false" customHeight="true" outlineLevel="0" collapsed="false">
      <c r="K43" s="20" t="str">
        <f aca="false">K32</f>
        <v>8:00 à 8:30</v>
      </c>
      <c r="L43" s="20"/>
      <c r="M43" s="215" t="n">
        <f aca="false">IF($AS$44=MAX($AS$44:$AS$48),M37,IF($AS$45=MAX($AS$44:$AS$48),M39,IF($AS$46=MAX($AS$44:$AS$48),M40,IF($AS$47=MAX($AS$44:$AS$48),(M40),M41))))</f>
        <v>0</v>
      </c>
      <c r="N43" s="80" t="n">
        <f aca="false">IF($AS$44=MAX($AS$44:$AS$48),N37,IF($AS$45=MAX($AS$44:$AS$48),N39,IF($AS$46=MAX($AS$44:$AS$48),N40,IF($AS$47=MAX($AS$44:$AS$48),(N40),N41))))</f>
        <v>1</v>
      </c>
      <c r="O43" s="80" t="n">
        <f aca="false">O41</f>
        <v>0.25</v>
      </c>
      <c r="P43" s="80" t="n">
        <f aca="false">IF($AS$44=MAX($AS$44:$AS$48),P37,IF($AS$45=MAX($AS$44:$AS$48),P39,IF($AS$46=MAX($AS$44:$AS$48),P40,IF($AS$47=MAX($AS$44:$AS$48),(P40),P41))))</f>
        <v>0.5</v>
      </c>
      <c r="U43" s="80" t="n">
        <f aca="false">IF($AS$44=MAX($AS$44:$AS$48),U37,IF($AS$45=MAX($AS$44:$AS$48),U39,IF($AS$46=MAX($AS$44:$AS$48),U40,IF($AS$47=MAX($AS$44:$AS$48),(U40),U41))))</f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7">
    <mergeCell ref="C8:F8"/>
    <mergeCell ref="A10:B10"/>
    <mergeCell ref="C19:J19"/>
    <mergeCell ref="K19:L22"/>
    <mergeCell ref="M19:M22"/>
    <mergeCell ref="N19:N22"/>
    <mergeCell ref="O19:O22"/>
    <mergeCell ref="P19:P22"/>
    <mergeCell ref="Q19:Q22"/>
    <mergeCell ref="R19:R22"/>
    <mergeCell ref="S19:S22"/>
    <mergeCell ref="T19:T22"/>
    <mergeCell ref="U19:U22"/>
    <mergeCell ref="C20:F20"/>
    <mergeCell ref="G20:J20"/>
    <mergeCell ref="C21:D21"/>
    <mergeCell ref="E21:F21"/>
    <mergeCell ref="G21:H21"/>
    <mergeCell ref="I21:J21"/>
    <mergeCell ref="A22:B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K31:L31"/>
    <mergeCell ref="K32:L32"/>
    <mergeCell ref="M33:M36"/>
    <mergeCell ref="N33:N36"/>
    <mergeCell ref="O33:O36"/>
    <mergeCell ref="P33:P36"/>
    <mergeCell ref="U33:U36"/>
    <mergeCell ref="K36:L36"/>
    <mergeCell ref="K37:L37"/>
    <mergeCell ref="K38:L38"/>
    <mergeCell ref="K39:L39"/>
    <mergeCell ref="K40:L40"/>
    <mergeCell ref="K41:L41"/>
    <mergeCell ref="K42:L42"/>
    <mergeCell ref="K43:L43"/>
  </mergeCells>
  <printOptions headings="false" gridLines="false" gridLinesSet="true" horizontalCentered="false" verticalCentered="false"/>
  <pageMargins left="0.433333333333333" right="0.433333333333333" top="0.551388888888889" bottom="0.511805555555555" header="0.511805555555555" footer="0.51180555555555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21"/>
  <sheetViews>
    <sheetView showFormulas="false" showGridLines="true" showRowColHeaders="true" showZeros="true" rightToLeft="false" tabSelected="false" showOutlineSymbols="true" defaultGridColor="true" view="normal" topLeftCell="A87" colorId="64" zoomScale="55" zoomScaleNormal="55" zoomScalePageLayoutView="100" workbookViewId="0">
      <selection pane="topLeft" activeCell="J2" activeCellId="0" sqref="J2"/>
    </sheetView>
  </sheetViews>
  <sheetFormatPr defaultColWidth="11.23828125" defaultRowHeight="18" zeroHeight="false" outlineLevelRow="0" outlineLevelCol="0"/>
  <cols>
    <col collapsed="false" customWidth="true" hidden="false" outlineLevel="0" max="1" min="1" style="1" width="10.38"/>
    <col collapsed="false" customWidth="false" hidden="false" outlineLevel="0" max="2" min="2" style="1" width="11.25"/>
    <col collapsed="false" customWidth="true" hidden="false" outlineLevel="0" max="4" min="3" style="1" width="9.12"/>
    <col collapsed="false" customWidth="true" hidden="false" outlineLevel="0" max="5" min="5" style="1" width="9.61"/>
    <col collapsed="false" customWidth="true" hidden="false" outlineLevel="0" max="6" min="6" style="1" width="9.26"/>
    <col collapsed="false" customWidth="true" hidden="false" outlineLevel="0" max="21" min="7" style="1" width="9.61"/>
    <col collapsed="false" customWidth="true" hidden="false" outlineLevel="0" max="22" min="22" style="1" width="8"/>
    <col collapsed="false" customWidth="true" hidden="false" outlineLevel="0" max="23" min="23" style="216" width="13.13"/>
    <col collapsed="false" customWidth="true" hidden="false" outlineLevel="0" max="24" min="24" style="1" width="13.13"/>
    <col collapsed="false" customWidth="true" hidden="false" outlineLevel="0" max="25" min="25" style="1" width="17.12"/>
    <col collapsed="false" customWidth="true" hidden="false" outlineLevel="0" max="26" min="26" style="1" width="17.88"/>
    <col collapsed="false" customWidth="true" hidden="false" outlineLevel="0" max="27" min="27" style="1" width="23.62"/>
    <col collapsed="false" customWidth="true" hidden="false" outlineLevel="0" max="28" min="28" style="1" width="18.88"/>
    <col collapsed="false" customWidth="true" hidden="false" outlineLevel="0" max="30" min="29" style="1" width="13.13"/>
    <col collapsed="false" customWidth="true" hidden="false" outlineLevel="0" max="31" min="31" style="1" width="14.75"/>
    <col collapsed="false" customWidth="true" hidden="false" outlineLevel="0" max="38" min="32" style="1" width="13.13"/>
    <col collapsed="false" customWidth="true" hidden="false" outlineLevel="0" max="45" min="39" style="1" width="6.38"/>
    <col collapsed="false" customWidth="true" hidden="false" outlineLevel="0" max="46" min="46" style="1" width="9.38"/>
    <col collapsed="false" customWidth="true" hidden="false" outlineLevel="0" max="47" min="47" style="1" width="14.25"/>
    <col collapsed="false" customWidth="true" hidden="false" outlineLevel="0" max="48" min="48" style="1" width="14.13"/>
    <col collapsed="false" customWidth="true" hidden="false" outlineLevel="0" max="52" min="49" style="1" width="21.38"/>
    <col collapsed="false" customWidth="true" hidden="false" outlineLevel="0" max="54" min="53" style="1" width="19.13"/>
    <col collapsed="false" customWidth="true" hidden="false" outlineLevel="0" max="55" min="55" style="1" width="16.13"/>
    <col collapsed="false" customWidth="true" hidden="false" outlineLevel="0" max="59" min="56" style="1" width="17.5"/>
    <col collapsed="false" customWidth="true" hidden="false" outlineLevel="0" max="64" min="60" style="1" width="10.87"/>
    <col collapsed="false" customWidth="false" hidden="false" outlineLevel="0" max="981" min="65" style="1" width="11.25"/>
    <col collapsed="false" customWidth="true" hidden="false" outlineLevel="0" max="982" min="982" style="1" width="11.13"/>
    <col collapsed="false" customWidth="true" hidden="false" outlineLevel="0" max="1024" min="983" style="0" width="10.5"/>
  </cols>
  <sheetData>
    <row r="1" s="8" customFormat="true" ht="52.5" hidden="false" customHeight="true" outlineLevel="0" collapsed="false">
      <c r="A1" s="217"/>
      <c r="B1" s="11" t="s">
        <v>143</v>
      </c>
      <c r="C1" s="5"/>
      <c r="D1" s="5"/>
      <c r="E1" s="5"/>
      <c r="F1" s="2"/>
      <c r="G1" s="5"/>
      <c r="H1" s="5"/>
      <c r="I1" s="5"/>
      <c r="J1" s="5"/>
      <c r="K1" s="2"/>
      <c r="L1" s="2"/>
      <c r="M1" s="2"/>
      <c r="N1" s="2"/>
      <c r="O1" s="6" t="s">
        <v>2</v>
      </c>
      <c r="P1" s="5"/>
      <c r="Q1" s="81" t="s">
        <v>49</v>
      </c>
      <c r="R1" s="5"/>
      <c r="S1" s="2"/>
      <c r="T1" s="2"/>
      <c r="U1" s="2"/>
      <c r="V1" s="2"/>
      <c r="W1" s="218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2"/>
      <c r="AY1" s="2"/>
    </row>
    <row r="2" s="8" customFormat="true" ht="52.5" hidden="false" customHeight="true" outlineLevel="0" collapsed="false">
      <c r="A2" s="3" t="s">
        <v>4</v>
      </c>
      <c r="B2" s="5"/>
      <c r="C2" s="5"/>
      <c r="D2" s="5"/>
      <c r="E2" s="5"/>
      <c r="F2" s="2"/>
      <c r="G2" s="5"/>
      <c r="H2" s="5"/>
      <c r="I2" s="5" t="s">
        <v>144</v>
      </c>
      <c r="J2" s="5"/>
      <c r="K2" s="5"/>
      <c r="L2" s="0"/>
      <c r="M2" s="5"/>
      <c r="N2" s="9" t="s">
        <v>145</v>
      </c>
      <c r="O2" s="5"/>
      <c r="P2" s="5"/>
      <c r="Q2" s="5"/>
      <c r="R2" s="5"/>
      <c r="S2" s="5"/>
      <c r="T2" s="5"/>
      <c r="U2" s="5"/>
      <c r="V2" s="5"/>
      <c r="W2" s="218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2"/>
      <c r="AY2" s="2"/>
    </row>
    <row r="3" s="8" customFormat="true" ht="52.5" hidden="false" customHeight="true" outlineLevel="0" collapsed="false">
      <c r="A3" s="3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9" t="s">
        <v>7</v>
      </c>
      <c r="O3" s="5"/>
      <c r="Q3" s="5"/>
      <c r="R3" s="5"/>
      <c r="S3" s="5"/>
      <c r="T3" s="5"/>
      <c r="U3" s="5"/>
      <c r="V3" s="5"/>
      <c r="W3" s="219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="8" customFormat="true" ht="25.5" hidden="false" customHeight="true" outlineLevel="0" collapsed="false">
      <c r="W4" s="220"/>
    </row>
    <row r="5" s="8" customFormat="true" ht="25.5" hidden="false" customHeight="true" outlineLevel="0" collapsed="false">
      <c r="A5" s="221" t="s">
        <v>146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219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="8" customFormat="true" ht="50.65" hidden="false" customHeight="true" outlineLevel="0" collapsed="false">
      <c r="A6" s="221" t="s">
        <v>147</v>
      </c>
      <c r="B6" s="5"/>
      <c r="C6" s="5"/>
      <c r="D6" s="5"/>
      <c r="E6" s="5"/>
      <c r="F6" s="5"/>
      <c r="G6" s="1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219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="8" customFormat="true" ht="25.5" hidden="false" customHeight="true" outlineLevel="0" collapsed="false">
      <c r="A7" s="1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222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"/>
      <c r="AY7" s="2"/>
    </row>
    <row r="8" s="2" customFormat="true" ht="32.25" hidden="false" customHeight="true" outlineLevel="0" collapsed="false">
      <c r="A8" s="3"/>
      <c r="B8" s="5"/>
      <c r="C8" s="199" t="s">
        <v>148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219"/>
      <c r="AP8" s="34"/>
      <c r="AQ8" s="34"/>
      <c r="AS8" s="224"/>
      <c r="AT8" s="224"/>
      <c r="AU8" s="224"/>
      <c r="AV8" s="224"/>
      <c r="AW8" s="224"/>
      <c r="AX8" s="224"/>
      <c r="AY8" s="224"/>
    </row>
    <row r="9" s="1" customFormat="true" ht="22.7" hidden="false" customHeight="true" outlineLevel="0" collapsed="false">
      <c r="A9" s="3"/>
      <c r="B9" s="5"/>
      <c r="C9" s="17" t="s">
        <v>58</v>
      </c>
      <c r="D9" s="17"/>
      <c r="E9" s="17"/>
      <c r="F9" s="17"/>
      <c r="G9" s="17" t="s">
        <v>149</v>
      </c>
      <c r="H9" s="17"/>
      <c r="I9" s="17"/>
      <c r="J9" s="17"/>
      <c r="K9" s="17" t="s">
        <v>150</v>
      </c>
      <c r="L9" s="17"/>
      <c r="M9" s="17"/>
      <c r="N9" s="17"/>
      <c r="O9" s="17" t="s">
        <v>101</v>
      </c>
      <c r="P9" s="17"/>
      <c r="Q9" s="17"/>
      <c r="R9" s="17"/>
      <c r="S9" s="17" t="s">
        <v>151</v>
      </c>
      <c r="T9" s="17"/>
      <c r="U9" s="17"/>
      <c r="V9" s="17"/>
      <c r="W9" s="216"/>
      <c r="AP9" s="33"/>
      <c r="AQ9" s="33"/>
    </row>
    <row r="10" s="1" customFormat="true" ht="18.6" hidden="false" customHeight="true" outlineLevel="0" collapsed="false">
      <c r="A10" s="3"/>
      <c r="B10" s="5"/>
      <c r="C10" s="18" t="s">
        <v>18</v>
      </c>
      <c r="D10" s="18"/>
      <c r="E10" s="18" t="s">
        <v>19</v>
      </c>
      <c r="F10" s="18"/>
      <c r="G10" s="18" t="s">
        <v>18</v>
      </c>
      <c r="H10" s="18"/>
      <c r="I10" s="18" t="s">
        <v>19</v>
      </c>
      <c r="J10" s="18"/>
      <c r="K10" s="18" t="s">
        <v>18</v>
      </c>
      <c r="L10" s="18"/>
      <c r="M10" s="18" t="s">
        <v>19</v>
      </c>
      <c r="N10" s="18"/>
      <c r="O10" s="18" t="s">
        <v>18</v>
      </c>
      <c r="P10" s="18"/>
      <c r="Q10" s="18" t="s">
        <v>19</v>
      </c>
      <c r="R10" s="18"/>
      <c r="S10" s="18" t="s">
        <v>18</v>
      </c>
      <c r="T10" s="18"/>
      <c r="U10" s="18" t="s">
        <v>19</v>
      </c>
      <c r="V10" s="18"/>
      <c r="W10" s="216"/>
      <c r="AP10" s="33"/>
      <c r="AQ10" s="33"/>
    </row>
    <row r="11" s="1" customFormat="true" ht="20.25" hidden="false" customHeight="false" outlineLevel="0" collapsed="false">
      <c r="A11" s="20" t="s">
        <v>21</v>
      </c>
      <c r="B11" s="20"/>
      <c r="C11" s="225" t="s">
        <v>22</v>
      </c>
      <c r="D11" s="225" t="s">
        <v>23</v>
      </c>
      <c r="E11" s="225" t="s">
        <v>22</v>
      </c>
      <c r="F11" s="225" t="s">
        <v>23</v>
      </c>
      <c r="G11" s="225" t="s">
        <v>22</v>
      </c>
      <c r="H11" s="225" t="s">
        <v>23</v>
      </c>
      <c r="I11" s="225" t="s">
        <v>22</v>
      </c>
      <c r="J11" s="225" t="s">
        <v>23</v>
      </c>
      <c r="K11" s="225" t="s">
        <v>22</v>
      </c>
      <c r="L11" s="225" t="s">
        <v>23</v>
      </c>
      <c r="M11" s="225" t="s">
        <v>22</v>
      </c>
      <c r="N11" s="225" t="s">
        <v>23</v>
      </c>
      <c r="O11" s="225" t="s">
        <v>22</v>
      </c>
      <c r="P11" s="225" t="s">
        <v>23</v>
      </c>
      <c r="Q11" s="225" t="s">
        <v>22</v>
      </c>
      <c r="R11" s="225" t="s">
        <v>23</v>
      </c>
      <c r="S11" s="225" t="s">
        <v>22</v>
      </c>
      <c r="T11" s="225" t="s">
        <v>23</v>
      </c>
      <c r="U11" s="225" t="s">
        <v>22</v>
      </c>
      <c r="V11" s="225" t="s">
        <v>23</v>
      </c>
      <c r="W11" s="216"/>
      <c r="AP11" s="33"/>
      <c r="AQ11" s="33"/>
      <c r="AR11" s="226"/>
    </row>
    <row r="12" s="1" customFormat="true" ht="54.95" hidden="false" customHeight="true" outlineLevel="0" collapsed="false">
      <c r="A12" s="23" t="n">
        <v>0.270833333333333</v>
      </c>
      <c r="B12" s="23" t="n">
        <v>0.291666666666667</v>
      </c>
      <c r="C12" s="25"/>
      <c r="D12" s="25"/>
      <c r="E12" s="25"/>
      <c r="F12" s="227"/>
      <c r="G12" s="228"/>
      <c r="H12" s="25"/>
      <c r="I12" s="25"/>
      <c r="J12" s="227"/>
      <c r="K12" s="228"/>
      <c r="L12" s="25"/>
      <c r="M12" s="25"/>
      <c r="N12" s="227"/>
      <c r="O12" s="228"/>
      <c r="P12" s="25"/>
      <c r="Q12" s="25"/>
      <c r="R12" s="227"/>
      <c r="S12" s="228"/>
      <c r="T12" s="25"/>
      <c r="U12" s="25"/>
      <c r="V12" s="89"/>
      <c r="W12" s="216" t="n">
        <f aca="false">SUM(C12:V12)</f>
        <v>0</v>
      </c>
      <c r="AP12" s="33"/>
      <c r="AQ12" s="33"/>
      <c r="AR12" s="209"/>
      <c r="AS12" s="209"/>
      <c r="AT12" s="209"/>
      <c r="AU12" s="209"/>
      <c r="AV12" s="209"/>
      <c r="AW12" s="209"/>
      <c r="AX12" s="209"/>
      <c r="AY12" s="209"/>
    </row>
    <row r="13" s="1" customFormat="true" ht="54.95" hidden="false" customHeight="true" outlineLevel="0" collapsed="false">
      <c r="A13" s="23" t="n">
        <v>0.291666666666667</v>
      </c>
      <c r="B13" s="23" t="n">
        <v>0.3125</v>
      </c>
      <c r="C13" s="25"/>
      <c r="D13" s="25"/>
      <c r="E13" s="25"/>
      <c r="F13" s="227"/>
      <c r="G13" s="228"/>
      <c r="H13" s="25" t="n">
        <v>1</v>
      </c>
      <c r="I13" s="25"/>
      <c r="J13" s="227"/>
      <c r="K13" s="228"/>
      <c r="L13" s="25"/>
      <c r="M13" s="25"/>
      <c r="N13" s="227"/>
      <c r="O13" s="228" t="n">
        <v>1</v>
      </c>
      <c r="P13" s="25"/>
      <c r="Q13" s="25"/>
      <c r="R13" s="227"/>
      <c r="S13" s="228" t="n">
        <v>1</v>
      </c>
      <c r="T13" s="25"/>
      <c r="U13" s="25"/>
      <c r="V13" s="89"/>
      <c r="W13" s="216" t="n">
        <f aca="false">SUM(C13:V13)</f>
        <v>3</v>
      </c>
      <c r="AP13" s="33"/>
      <c r="AQ13" s="33"/>
      <c r="AR13" s="209"/>
      <c r="AS13" s="209"/>
      <c r="AT13" s="209"/>
      <c r="AU13" s="209"/>
      <c r="AV13" s="209"/>
      <c r="AW13" s="209"/>
      <c r="AX13" s="209"/>
      <c r="AY13" s="209"/>
    </row>
    <row r="14" s="1" customFormat="true" ht="54.95" hidden="false" customHeight="true" outlineLevel="0" collapsed="false">
      <c r="A14" s="23" t="n">
        <v>0.3125</v>
      </c>
      <c r="B14" s="23" t="n">
        <v>0.333333333333333</v>
      </c>
      <c r="C14" s="25"/>
      <c r="D14" s="25"/>
      <c r="E14" s="25" t="n">
        <v>1</v>
      </c>
      <c r="F14" s="227"/>
      <c r="G14" s="228"/>
      <c r="H14" s="25" t="n">
        <v>1</v>
      </c>
      <c r="I14" s="25"/>
      <c r="J14" s="227"/>
      <c r="K14" s="228"/>
      <c r="L14" s="25"/>
      <c r="M14" s="25"/>
      <c r="N14" s="227"/>
      <c r="O14" s="228" t="n">
        <v>1</v>
      </c>
      <c r="P14" s="25"/>
      <c r="Q14" s="25"/>
      <c r="R14" s="227"/>
      <c r="S14" s="228"/>
      <c r="T14" s="25" t="n">
        <v>1</v>
      </c>
      <c r="U14" s="25"/>
      <c r="V14" s="89"/>
      <c r="W14" s="216" t="n">
        <f aca="false">SUM(C14:V14)</f>
        <v>4</v>
      </c>
      <c r="AP14" s="33"/>
      <c r="AQ14" s="33"/>
      <c r="AR14" s="209"/>
      <c r="AS14" s="209"/>
      <c r="AT14" s="209"/>
      <c r="AU14" s="209"/>
      <c r="AV14" s="209"/>
      <c r="AW14" s="209"/>
      <c r="AX14" s="209"/>
      <c r="AY14" s="209"/>
    </row>
    <row r="15" s="1" customFormat="true" ht="54.95" hidden="false" customHeight="true" outlineLevel="0" collapsed="false">
      <c r="A15" s="23" t="n">
        <v>0.333333333333333</v>
      </c>
      <c r="B15" s="23" t="n">
        <v>0.354166666666667</v>
      </c>
      <c r="C15" s="25"/>
      <c r="D15" s="25"/>
      <c r="E15" s="25"/>
      <c r="F15" s="227"/>
      <c r="G15" s="228"/>
      <c r="H15" s="25"/>
      <c r="I15" s="25"/>
      <c r="J15" s="227"/>
      <c r="K15" s="228"/>
      <c r="L15" s="25"/>
      <c r="M15" s="25"/>
      <c r="N15" s="227"/>
      <c r="O15" s="228"/>
      <c r="P15" s="25"/>
      <c r="Q15" s="25"/>
      <c r="R15" s="227"/>
      <c r="S15" s="228"/>
      <c r="T15" s="25"/>
      <c r="U15" s="25"/>
      <c r="V15" s="89" t="n">
        <v>1</v>
      </c>
      <c r="W15" s="216" t="n">
        <f aca="false">SUM(C15:V15)</f>
        <v>1</v>
      </c>
      <c r="AP15" s="33"/>
      <c r="AQ15" s="33"/>
      <c r="AR15" s="209"/>
      <c r="AS15" s="209"/>
      <c r="AT15" s="209"/>
      <c r="AU15" s="209"/>
      <c r="AV15" s="209"/>
      <c r="AW15" s="209"/>
      <c r="AX15" s="209"/>
      <c r="AY15" s="209"/>
    </row>
    <row r="16" s="1" customFormat="true" ht="54.95" hidden="false" customHeight="true" outlineLevel="0" collapsed="false">
      <c r="A16" s="23" t="n">
        <v>0.354166666666667</v>
      </c>
      <c r="B16" s="23" t="n">
        <v>0.375</v>
      </c>
      <c r="C16" s="25"/>
      <c r="D16" s="25"/>
      <c r="E16" s="25"/>
      <c r="F16" s="227"/>
      <c r="G16" s="228"/>
      <c r="H16" s="25"/>
      <c r="I16" s="25"/>
      <c r="J16" s="227"/>
      <c r="K16" s="228"/>
      <c r="L16" s="25"/>
      <c r="M16" s="25"/>
      <c r="N16" s="227"/>
      <c r="O16" s="228"/>
      <c r="P16" s="25"/>
      <c r="Q16" s="25"/>
      <c r="R16" s="227"/>
      <c r="S16" s="228"/>
      <c r="T16" s="25"/>
      <c r="U16" s="25"/>
      <c r="V16" s="89"/>
      <c r="W16" s="216" t="n">
        <f aca="false">SUM(C16:V16)</f>
        <v>0</v>
      </c>
      <c r="AP16" s="33"/>
      <c r="AQ16" s="33"/>
      <c r="AR16" s="209"/>
      <c r="AS16" s="209"/>
      <c r="AT16" s="209"/>
      <c r="AU16" s="209"/>
      <c r="AV16" s="209"/>
      <c r="AW16" s="209"/>
      <c r="AX16" s="209"/>
      <c r="AY16" s="209"/>
    </row>
    <row r="17" s="1" customFormat="true" ht="10.95" hidden="false" customHeight="true" outlineLevel="0" collapsed="false">
      <c r="W17" s="216" t="n">
        <f aca="false">SUM(W12:W16)</f>
        <v>8</v>
      </c>
    </row>
    <row r="18" s="2" customFormat="true" ht="32.25" hidden="false" customHeight="true" outlineLevel="0" collapsed="false">
      <c r="A18" s="3"/>
      <c r="B18" s="5"/>
      <c r="C18" s="199" t="s">
        <v>51</v>
      </c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219"/>
      <c r="AP18" s="34"/>
      <c r="AQ18" s="34"/>
      <c r="AS18" s="224"/>
      <c r="AT18" s="224"/>
      <c r="AU18" s="224"/>
      <c r="AV18" s="224"/>
      <c r="AW18" s="224"/>
      <c r="AX18" s="224"/>
      <c r="AY18" s="224"/>
    </row>
    <row r="19" s="1" customFormat="true" ht="22.7" hidden="false" customHeight="true" outlineLevel="0" collapsed="false">
      <c r="A19" s="3"/>
      <c r="B19" s="5"/>
      <c r="C19" s="17" t="s">
        <v>149</v>
      </c>
      <c r="D19" s="17"/>
      <c r="E19" s="17"/>
      <c r="F19" s="17"/>
      <c r="G19" s="17" t="s">
        <v>150</v>
      </c>
      <c r="H19" s="17"/>
      <c r="I19" s="17"/>
      <c r="J19" s="17"/>
      <c r="K19" s="17" t="s">
        <v>101</v>
      </c>
      <c r="L19" s="17"/>
      <c r="M19" s="17"/>
      <c r="N19" s="17"/>
      <c r="O19" s="17" t="s">
        <v>151</v>
      </c>
      <c r="P19" s="17"/>
      <c r="Q19" s="17"/>
      <c r="R19" s="17"/>
      <c r="S19" s="17" t="s">
        <v>152</v>
      </c>
      <c r="T19" s="17"/>
      <c r="U19" s="17"/>
      <c r="V19" s="17"/>
      <c r="W19" s="216"/>
      <c r="AP19" s="33"/>
      <c r="AQ19" s="33"/>
    </row>
    <row r="20" s="1" customFormat="true" ht="18.6" hidden="false" customHeight="true" outlineLevel="0" collapsed="false">
      <c r="C20" s="18" t="s">
        <v>18</v>
      </c>
      <c r="D20" s="18"/>
      <c r="E20" s="18" t="s">
        <v>19</v>
      </c>
      <c r="F20" s="18"/>
      <c r="G20" s="18" t="s">
        <v>18</v>
      </c>
      <c r="H20" s="18"/>
      <c r="I20" s="18" t="s">
        <v>19</v>
      </c>
      <c r="J20" s="18"/>
      <c r="K20" s="18" t="s">
        <v>18</v>
      </c>
      <c r="L20" s="18"/>
      <c r="M20" s="18" t="s">
        <v>19</v>
      </c>
      <c r="N20" s="18"/>
      <c r="O20" s="18" t="s">
        <v>18</v>
      </c>
      <c r="P20" s="18"/>
      <c r="Q20" s="18" t="s">
        <v>19</v>
      </c>
      <c r="R20" s="18"/>
      <c r="S20" s="18" t="s">
        <v>18</v>
      </c>
      <c r="T20" s="18"/>
      <c r="U20" s="18" t="s">
        <v>19</v>
      </c>
      <c r="V20" s="18"/>
      <c r="W20" s="216"/>
      <c r="AP20" s="33"/>
      <c r="AQ20" s="33"/>
    </row>
    <row r="21" s="1" customFormat="true" ht="20.25" hidden="false" customHeight="false" outlineLevel="0" collapsed="false">
      <c r="A21" s="20" t="s">
        <v>21</v>
      </c>
      <c r="B21" s="20"/>
      <c r="C21" s="225" t="s">
        <v>22</v>
      </c>
      <c r="D21" s="225" t="s">
        <v>23</v>
      </c>
      <c r="E21" s="225" t="s">
        <v>22</v>
      </c>
      <c r="F21" s="225" t="s">
        <v>23</v>
      </c>
      <c r="G21" s="225" t="s">
        <v>22</v>
      </c>
      <c r="H21" s="225" t="s">
        <v>23</v>
      </c>
      <c r="I21" s="225" t="s">
        <v>22</v>
      </c>
      <c r="J21" s="225" t="s">
        <v>23</v>
      </c>
      <c r="K21" s="225" t="s">
        <v>22</v>
      </c>
      <c r="L21" s="225" t="s">
        <v>23</v>
      </c>
      <c r="M21" s="225" t="s">
        <v>22</v>
      </c>
      <c r="N21" s="225" t="s">
        <v>23</v>
      </c>
      <c r="O21" s="225" t="s">
        <v>22</v>
      </c>
      <c r="P21" s="225" t="s">
        <v>23</v>
      </c>
      <c r="Q21" s="225" t="s">
        <v>22</v>
      </c>
      <c r="R21" s="225" t="s">
        <v>23</v>
      </c>
      <c r="S21" s="225" t="s">
        <v>22</v>
      </c>
      <c r="T21" s="225" t="s">
        <v>23</v>
      </c>
      <c r="U21" s="225" t="s">
        <v>22</v>
      </c>
      <c r="V21" s="225" t="s">
        <v>23</v>
      </c>
      <c r="W21" s="216"/>
      <c r="AP21" s="33"/>
      <c r="AQ21" s="33"/>
      <c r="AR21" s="226"/>
    </row>
    <row r="22" s="1" customFormat="true" ht="54.95" hidden="false" customHeight="true" outlineLevel="0" collapsed="false">
      <c r="A22" s="23" t="n">
        <v>0.270833333333333</v>
      </c>
      <c r="B22" s="23" t="n">
        <v>0.291666666666667</v>
      </c>
      <c r="C22" s="25"/>
      <c r="D22" s="25"/>
      <c r="E22" s="25"/>
      <c r="F22" s="227"/>
      <c r="G22" s="228"/>
      <c r="H22" s="25" t="n">
        <v>1</v>
      </c>
      <c r="I22" s="25"/>
      <c r="J22" s="227"/>
      <c r="K22" s="228"/>
      <c r="L22" s="25" t="n">
        <v>1</v>
      </c>
      <c r="M22" s="25"/>
      <c r="N22" s="227"/>
      <c r="O22" s="228"/>
      <c r="P22" s="25" t="n">
        <v>1</v>
      </c>
      <c r="Q22" s="25"/>
      <c r="R22" s="227"/>
      <c r="S22" s="228"/>
      <c r="T22" s="25"/>
      <c r="U22" s="25"/>
      <c r="V22" s="89"/>
      <c r="W22" s="216" t="n">
        <f aca="false">SUM(C22:V22)</f>
        <v>3</v>
      </c>
      <c r="AP22" s="33"/>
      <c r="AQ22" s="33"/>
      <c r="AR22" s="209"/>
      <c r="AS22" s="209"/>
      <c r="AT22" s="209"/>
      <c r="AU22" s="209"/>
      <c r="AV22" s="209"/>
      <c r="AW22" s="209"/>
      <c r="AX22" s="209"/>
      <c r="AY22" s="209"/>
    </row>
    <row r="23" s="1" customFormat="true" ht="54.95" hidden="false" customHeight="true" outlineLevel="0" collapsed="false">
      <c r="A23" s="23" t="n">
        <v>0.291666666666667</v>
      </c>
      <c r="B23" s="23" t="n">
        <v>0.3125</v>
      </c>
      <c r="C23" s="25"/>
      <c r="D23" s="25"/>
      <c r="E23" s="25"/>
      <c r="F23" s="227"/>
      <c r="G23" s="228"/>
      <c r="H23" s="25"/>
      <c r="I23" s="25"/>
      <c r="J23" s="227"/>
      <c r="K23" s="228"/>
      <c r="L23" s="25" t="n">
        <v>1</v>
      </c>
      <c r="M23" s="25"/>
      <c r="N23" s="227"/>
      <c r="O23" s="228" t="n">
        <v>1</v>
      </c>
      <c r="P23" s="25"/>
      <c r="Q23" s="25"/>
      <c r="R23" s="227"/>
      <c r="S23" s="228"/>
      <c r="T23" s="25"/>
      <c r="U23" s="25"/>
      <c r="V23" s="89"/>
      <c r="W23" s="216" t="n">
        <f aca="false">SUM(C23:V23)</f>
        <v>2</v>
      </c>
      <c r="AP23" s="33"/>
      <c r="AQ23" s="33"/>
      <c r="AR23" s="209"/>
      <c r="AS23" s="209"/>
      <c r="AT23" s="209"/>
      <c r="AU23" s="209"/>
      <c r="AV23" s="209"/>
      <c r="AW23" s="209"/>
      <c r="AX23" s="209"/>
      <c r="AY23" s="209"/>
    </row>
    <row r="24" s="1" customFormat="true" ht="54.95" hidden="false" customHeight="true" outlineLevel="0" collapsed="false">
      <c r="A24" s="23" t="n">
        <v>0.3125</v>
      </c>
      <c r="B24" s="23" t="n">
        <v>0.333333333333333</v>
      </c>
      <c r="C24" s="25"/>
      <c r="D24" s="25"/>
      <c r="E24" s="25"/>
      <c r="F24" s="227"/>
      <c r="G24" s="228"/>
      <c r="H24" s="25"/>
      <c r="I24" s="25"/>
      <c r="J24" s="227"/>
      <c r="K24" s="228" t="n">
        <v>1</v>
      </c>
      <c r="L24" s="25"/>
      <c r="M24" s="25"/>
      <c r="N24" s="227"/>
      <c r="O24" s="228" t="n">
        <v>1</v>
      </c>
      <c r="P24" s="25"/>
      <c r="Q24" s="25"/>
      <c r="R24" s="227"/>
      <c r="S24" s="228"/>
      <c r="T24" s="25"/>
      <c r="U24" s="25"/>
      <c r="V24" s="89"/>
      <c r="W24" s="216" t="n">
        <f aca="false">SUM(C24:V24)</f>
        <v>2</v>
      </c>
      <c r="AP24" s="33"/>
      <c r="AQ24" s="33"/>
      <c r="AR24" s="209"/>
      <c r="AS24" s="209"/>
      <c r="AT24" s="209"/>
      <c r="AU24" s="209"/>
      <c r="AV24" s="209"/>
      <c r="AW24" s="209"/>
      <c r="AX24" s="209"/>
      <c r="AY24" s="209"/>
    </row>
    <row r="25" s="1" customFormat="true" ht="54.95" hidden="false" customHeight="true" outlineLevel="0" collapsed="false">
      <c r="A25" s="23" t="n">
        <v>0.333333333333333</v>
      </c>
      <c r="B25" s="23" t="n">
        <v>0.354166666666667</v>
      </c>
      <c r="C25" s="25"/>
      <c r="D25" s="25"/>
      <c r="E25" s="25"/>
      <c r="F25" s="227"/>
      <c r="G25" s="228"/>
      <c r="H25" s="25"/>
      <c r="I25" s="25"/>
      <c r="J25" s="227"/>
      <c r="K25" s="228"/>
      <c r="L25" s="25"/>
      <c r="M25" s="25"/>
      <c r="N25" s="227"/>
      <c r="O25" s="228"/>
      <c r="P25" s="25"/>
      <c r="Q25" s="25"/>
      <c r="R25" s="227"/>
      <c r="S25" s="228"/>
      <c r="T25" s="25"/>
      <c r="U25" s="25"/>
      <c r="V25" s="89"/>
      <c r="W25" s="216" t="n">
        <f aca="false">SUM(C25:V25)</f>
        <v>0</v>
      </c>
      <c r="AP25" s="33"/>
      <c r="AQ25" s="33"/>
      <c r="AR25" s="209"/>
      <c r="AS25" s="209"/>
      <c r="AT25" s="209"/>
      <c r="AU25" s="209"/>
      <c r="AV25" s="209"/>
      <c r="AW25" s="209"/>
      <c r="AX25" s="209"/>
      <c r="AY25" s="209"/>
    </row>
    <row r="26" s="1" customFormat="true" ht="54.95" hidden="false" customHeight="true" outlineLevel="0" collapsed="false">
      <c r="A26" s="23" t="n">
        <v>0.354166666666667</v>
      </c>
      <c r="B26" s="23" t="n">
        <v>0.375</v>
      </c>
      <c r="C26" s="25"/>
      <c r="D26" s="25"/>
      <c r="E26" s="25"/>
      <c r="F26" s="227"/>
      <c r="G26" s="228"/>
      <c r="H26" s="25"/>
      <c r="I26" s="25"/>
      <c r="J26" s="227"/>
      <c r="K26" s="228"/>
      <c r="L26" s="25"/>
      <c r="M26" s="25"/>
      <c r="N26" s="227"/>
      <c r="O26" s="228"/>
      <c r="P26" s="25"/>
      <c r="Q26" s="25"/>
      <c r="R26" s="227"/>
      <c r="S26" s="228"/>
      <c r="T26" s="25"/>
      <c r="U26" s="25"/>
      <c r="V26" s="89" t="n">
        <v>1</v>
      </c>
      <c r="W26" s="216" t="n">
        <f aca="false">SUM(C26:V26)</f>
        <v>1</v>
      </c>
      <c r="AP26" s="33"/>
      <c r="AQ26" s="33"/>
      <c r="AR26" s="209"/>
      <c r="AS26" s="209"/>
      <c r="AT26" s="209"/>
      <c r="AU26" s="209"/>
      <c r="AV26" s="209"/>
      <c r="AW26" s="209"/>
      <c r="AX26" s="209"/>
      <c r="AY26" s="209"/>
    </row>
    <row r="27" s="1" customFormat="true" ht="10.95" hidden="false" customHeight="true" outlineLevel="0" collapsed="false">
      <c r="W27" s="216" t="n">
        <f aca="false">SUM(W22:W26)</f>
        <v>8</v>
      </c>
    </row>
    <row r="28" s="2" customFormat="true" ht="32.25" hidden="false" customHeight="true" outlineLevel="0" collapsed="false">
      <c r="A28" s="3"/>
      <c r="B28" s="5"/>
      <c r="C28" s="199" t="s">
        <v>153</v>
      </c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219"/>
      <c r="AP28" s="34"/>
      <c r="AQ28" s="34"/>
      <c r="AS28" s="224"/>
      <c r="AT28" s="224"/>
      <c r="AU28" s="224"/>
      <c r="AV28" s="224"/>
      <c r="AW28" s="224"/>
      <c r="AX28" s="224"/>
      <c r="AY28" s="224"/>
    </row>
    <row r="29" s="1" customFormat="true" ht="22.7" hidden="false" customHeight="true" outlineLevel="0" collapsed="false">
      <c r="A29" s="3"/>
      <c r="B29" s="5"/>
      <c r="C29" s="17" t="s">
        <v>150</v>
      </c>
      <c r="D29" s="17"/>
      <c r="E29" s="17"/>
      <c r="F29" s="17"/>
      <c r="G29" s="17" t="s">
        <v>101</v>
      </c>
      <c r="H29" s="17"/>
      <c r="I29" s="17"/>
      <c r="J29" s="17"/>
      <c r="K29" s="17" t="s">
        <v>151</v>
      </c>
      <c r="L29" s="17"/>
      <c r="M29" s="17"/>
      <c r="N29" s="17"/>
      <c r="O29" s="17" t="s">
        <v>152</v>
      </c>
      <c r="P29" s="17"/>
      <c r="Q29" s="17"/>
      <c r="R29" s="17"/>
      <c r="S29" s="17" t="s">
        <v>58</v>
      </c>
      <c r="T29" s="17"/>
      <c r="U29" s="17"/>
      <c r="V29" s="17"/>
      <c r="W29" s="216"/>
      <c r="AP29" s="33"/>
      <c r="AQ29" s="33"/>
    </row>
    <row r="30" s="1" customFormat="true" ht="18.6" hidden="false" customHeight="true" outlineLevel="0" collapsed="false">
      <c r="A30" s="3"/>
      <c r="B30" s="5"/>
      <c r="C30" s="18" t="s">
        <v>18</v>
      </c>
      <c r="D30" s="18"/>
      <c r="E30" s="18" t="s">
        <v>19</v>
      </c>
      <c r="F30" s="18"/>
      <c r="G30" s="18" t="s">
        <v>18</v>
      </c>
      <c r="H30" s="18"/>
      <c r="I30" s="18" t="s">
        <v>19</v>
      </c>
      <c r="J30" s="18"/>
      <c r="K30" s="18" t="s">
        <v>18</v>
      </c>
      <c r="L30" s="18"/>
      <c r="M30" s="18" t="s">
        <v>19</v>
      </c>
      <c r="N30" s="18"/>
      <c r="O30" s="18" t="s">
        <v>18</v>
      </c>
      <c r="P30" s="18"/>
      <c r="Q30" s="18" t="s">
        <v>19</v>
      </c>
      <c r="R30" s="18"/>
      <c r="S30" s="18" t="s">
        <v>18</v>
      </c>
      <c r="T30" s="18"/>
      <c r="U30" s="18" t="s">
        <v>19</v>
      </c>
      <c r="V30" s="18"/>
      <c r="W30" s="216"/>
      <c r="AP30" s="33"/>
      <c r="AQ30" s="33"/>
    </row>
    <row r="31" s="1" customFormat="true" ht="20.25" hidden="false" customHeight="false" outlineLevel="0" collapsed="false">
      <c r="A31" s="20" t="s">
        <v>21</v>
      </c>
      <c r="B31" s="20"/>
      <c r="C31" s="225" t="s">
        <v>22</v>
      </c>
      <c r="D31" s="225" t="s">
        <v>23</v>
      </c>
      <c r="E31" s="225" t="s">
        <v>22</v>
      </c>
      <c r="F31" s="225" t="s">
        <v>23</v>
      </c>
      <c r="G31" s="225" t="s">
        <v>22</v>
      </c>
      <c r="H31" s="225" t="s">
        <v>23</v>
      </c>
      <c r="I31" s="225" t="s">
        <v>22</v>
      </c>
      <c r="J31" s="225" t="s">
        <v>23</v>
      </c>
      <c r="K31" s="225" t="s">
        <v>22</v>
      </c>
      <c r="L31" s="225" t="s">
        <v>23</v>
      </c>
      <c r="M31" s="225" t="s">
        <v>22</v>
      </c>
      <c r="N31" s="225" t="s">
        <v>23</v>
      </c>
      <c r="O31" s="225" t="s">
        <v>22</v>
      </c>
      <c r="P31" s="225" t="s">
        <v>23</v>
      </c>
      <c r="Q31" s="225" t="s">
        <v>22</v>
      </c>
      <c r="R31" s="225" t="s">
        <v>23</v>
      </c>
      <c r="S31" s="225" t="s">
        <v>22</v>
      </c>
      <c r="T31" s="225" t="s">
        <v>23</v>
      </c>
      <c r="U31" s="225" t="s">
        <v>22</v>
      </c>
      <c r="V31" s="225" t="s">
        <v>23</v>
      </c>
      <c r="W31" s="216"/>
      <c r="AP31" s="33"/>
      <c r="AQ31" s="33"/>
      <c r="AR31" s="226"/>
    </row>
    <row r="32" s="1" customFormat="true" ht="54.95" hidden="false" customHeight="true" outlineLevel="0" collapsed="false">
      <c r="A32" s="23" t="n">
        <v>0.270833333333333</v>
      </c>
      <c r="B32" s="23" t="n">
        <v>0.291666666666667</v>
      </c>
      <c r="C32" s="25"/>
      <c r="D32" s="25"/>
      <c r="E32" s="25"/>
      <c r="F32" s="227"/>
      <c r="G32" s="228"/>
      <c r="H32" s="25"/>
      <c r="I32" s="25"/>
      <c r="J32" s="227"/>
      <c r="K32" s="228"/>
      <c r="L32" s="25"/>
      <c r="M32" s="25"/>
      <c r="N32" s="227"/>
      <c r="O32" s="228"/>
      <c r="P32" s="25"/>
      <c r="Q32" s="25"/>
      <c r="R32" s="227"/>
      <c r="S32" s="228"/>
      <c r="T32" s="25"/>
      <c r="U32" s="25"/>
      <c r="V32" s="89"/>
      <c r="W32" s="216" t="n">
        <f aca="false">SUM(C32:V32)</f>
        <v>0</v>
      </c>
      <c r="AP32" s="33"/>
      <c r="AQ32" s="33"/>
      <c r="AR32" s="209"/>
      <c r="AS32" s="209"/>
      <c r="AT32" s="209"/>
      <c r="AU32" s="209"/>
      <c r="AV32" s="209"/>
      <c r="AW32" s="209"/>
      <c r="AX32" s="209"/>
      <c r="AY32" s="209"/>
    </row>
    <row r="33" s="1" customFormat="true" ht="54.95" hidden="false" customHeight="true" outlineLevel="0" collapsed="false">
      <c r="A33" s="23" t="n">
        <v>0.291666666666667</v>
      </c>
      <c r="B33" s="23" t="n">
        <v>0.3125</v>
      </c>
      <c r="C33" s="25"/>
      <c r="D33" s="25"/>
      <c r="E33" s="25"/>
      <c r="F33" s="227"/>
      <c r="G33" s="228"/>
      <c r="H33" s="25"/>
      <c r="I33" s="25"/>
      <c r="J33" s="227"/>
      <c r="K33" s="228" t="n">
        <v>2</v>
      </c>
      <c r="L33" s="25"/>
      <c r="M33" s="25"/>
      <c r="N33" s="227"/>
      <c r="O33" s="228"/>
      <c r="P33" s="25"/>
      <c r="Q33" s="25"/>
      <c r="R33" s="227"/>
      <c r="S33" s="228"/>
      <c r="T33" s="25"/>
      <c r="U33" s="25"/>
      <c r="V33" s="89"/>
      <c r="W33" s="216" t="n">
        <f aca="false">SUM(C33:V33)</f>
        <v>2</v>
      </c>
      <c r="AP33" s="33"/>
      <c r="AQ33" s="33"/>
      <c r="AR33" s="209"/>
      <c r="AS33" s="209"/>
      <c r="AT33" s="209"/>
      <c r="AU33" s="209"/>
      <c r="AV33" s="209"/>
      <c r="AW33" s="209"/>
      <c r="AX33" s="209"/>
      <c r="AY33" s="209"/>
    </row>
    <row r="34" s="1" customFormat="true" ht="54.95" hidden="false" customHeight="true" outlineLevel="0" collapsed="false">
      <c r="A34" s="23" t="n">
        <v>0.3125</v>
      </c>
      <c r="B34" s="23" t="n">
        <v>0.333333333333333</v>
      </c>
      <c r="C34" s="25"/>
      <c r="D34" s="25"/>
      <c r="E34" s="25"/>
      <c r="F34" s="227"/>
      <c r="G34" s="228"/>
      <c r="H34" s="25" t="n">
        <v>1</v>
      </c>
      <c r="I34" s="25"/>
      <c r="J34" s="227"/>
      <c r="K34" s="228"/>
      <c r="L34" s="25"/>
      <c r="M34" s="25"/>
      <c r="N34" s="227"/>
      <c r="O34" s="228"/>
      <c r="P34" s="25"/>
      <c r="Q34" s="25"/>
      <c r="R34" s="227"/>
      <c r="S34" s="228"/>
      <c r="T34" s="25"/>
      <c r="U34" s="25"/>
      <c r="V34" s="89"/>
      <c r="W34" s="216" t="n">
        <f aca="false">SUM(C34:V34)</f>
        <v>1</v>
      </c>
      <c r="AP34" s="33"/>
      <c r="AQ34" s="33"/>
      <c r="AR34" s="209"/>
      <c r="AS34" s="209"/>
      <c r="AT34" s="209"/>
      <c r="AU34" s="209"/>
      <c r="AV34" s="209"/>
      <c r="AW34" s="209"/>
      <c r="AX34" s="209"/>
      <c r="AY34" s="209"/>
    </row>
    <row r="35" s="1" customFormat="true" ht="54.95" hidden="false" customHeight="true" outlineLevel="0" collapsed="false">
      <c r="A35" s="23" t="n">
        <v>0.333333333333333</v>
      </c>
      <c r="B35" s="23" t="n">
        <v>0.354166666666667</v>
      </c>
      <c r="C35" s="25"/>
      <c r="D35" s="25"/>
      <c r="E35" s="25"/>
      <c r="F35" s="227"/>
      <c r="G35" s="228"/>
      <c r="H35" s="25"/>
      <c r="I35" s="25"/>
      <c r="J35" s="227"/>
      <c r="K35" s="228"/>
      <c r="L35" s="25"/>
      <c r="M35" s="25"/>
      <c r="N35" s="227"/>
      <c r="O35" s="228"/>
      <c r="P35" s="25"/>
      <c r="Q35" s="25"/>
      <c r="R35" s="227"/>
      <c r="S35" s="228"/>
      <c r="T35" s="25" t="n">
        <v>1</v>
      </c>
      <c r="U35" s="25"/>
      <c r="V35" s="89"/>
      <c r="W35" s="216" t="n">
        <f aca="false">SUM(C35:V35)</f>
        <v>1</v>
      </c>
      <c r="AP35" s="33"/>
      <c r="AQ35" s="33"/>
      <c r="AR35" s="209"/>
      <c r="AS35" s="209"/>
      <c r="AT35" s="209"/>
      <c r="AU35" s="209"/>
      <c r="AV35" s="209"/>
      <c r="AW35" s="209"/>
      <c r="AX35" s="209"/>
      <c r="AY35" s="209"/>
    </row>
    <row r="36" s="1" customFormat="true" ht="54.95" hidden="false" customHeight="true" outlineLevel="0" collapsed="false">
      <c r="A36" s="23" t="n">
        <v>0.354166666666667</v>
      </c>
      <c r="B36" s="23" t="n">
        <v>0.375</v>
      </c>
      <c r="C36" s="25"/>
      <c r="D36" s="25"/>
      <c r="E36" s="25"/>
      <c r="F36" s="227"/>
      <c r="G36" s="228"/>
      <c r="H36" s="25"/>
      <c r="I36" s="25"/>
      <c r="J36" s="227"/>
      <c r="K36" s="228"/>
      <c r="L36" s="25"/>
      <c r="M36" s="25"/>
      <c r="N36" s="227"/>
      <c r="O36" s="228"/>
      <c r="P36" s="25"/>
      <c r="Q36" s="25"/>
      <c r="R36" s="227"/>
      <c r="S36" s="228"/>
      <c r="T36" s="25"/>
      <c r="U36" s="25"/>
      <c r="V36" s="89"/>
      <c r="W36" s="216" t="n">
        <f aca="false">SUM(C36:V36)</f>
        <v>0</v>
      </c>
      <c r="AP36" s="33"/>
      <c r="AQ36" s="33"/>
      <c r="AR36" s="209"/>
      <c r="AS36" s="209"/>
      <c r="AT36" s="209"/>
      <c r="AU36" s="209"/>
      <c r="AV36" s="209"/>
      <c r="AW36" s="209"/>
      <c r="AX36" s="209"/>
      <c r="AY36" s="209"/>
    </row>
    <row r="37" s="31" customFormat="true" ht="36.55" hidden="false" customHeight="true" outlineLevel="0" collapsed="false">
      <c r="A37" s="27"/>
      <c r="B37" s="28" t="s">
        <v>25</v>
      </c>
      <c r="C37" s="29"/>
      <c r="D37" s="29"/>
      <c r="E37" s="29"/>
      <c r="F37" s="154" t="n">
        <v>1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16" t="n">
        <f aca="false">SUM(W32:W36)</f>
        <v>4</v>
      </c>
    </row>
    <row r="38" s="31" customFormat="true" ht="36.55" hidden="false" customHeight="true" outlineLevel="0" collapsed="false">
      <c r="A38" s="27"/>
      <c r="B38" s="28" t="s">
        <v>36</v>
      </c>
      <c r="C38" s="29"/>
      <c r="D38" s="29"/>
      <c r="E38" s="29"/>
      <c r="F38" s="154" t="n">
        <v>8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29"/>
    </row>
    <row r="39" s="31" customFormat="true" ht="36.55" hidden="false" customHeight="true" outlineLevel="0" collapsed="false">
      <c r="A39" s="27"/>
      <c r="B39" s="28" t="s">
        <v>27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29"/>
    </row>
    <row r="40" s="31" customFormat="true" ht="36.55" hidden="false" customHeight="true" outlineLevel="0" collapsed="false">
      <c r="A40" s="27"/>
      <c r="B40" s="28" t="s">
        <v>28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154" t="n">
        <v>5</v>
      </c>
      <c r="O40" s="29"/>
      <c r="P40" s="29"/>
      <c r="Q40" s="29"/>
      <c r="R40" s="29"/>
      <c r="S40" s="29"/>
      <c r="T40" s="29"/>
      <c r="U40" s="29"/>
      <c r="V40" s="29"/>
      <c r="W40" s="229"/>
    </row>
    <row r="41" s="1" customFormat="true" ht="24.95" hidden="false" customHeight="true" outlineLevel="0" collapsed="false">
      <c r="W41" s="216"/>
    </row>
    <row r="42" s="8" customFormat="true" ht="52.5" hidden="false" customHeight="true" outlineLevel="0" collapsed="false">
      <c r="A42" s="217"/>
      <c r="B42" s="11" t="s">
        <v>143</v>
      </c>
      <c r="C42" s="5"/>
      <c r="D42" s="5"/>
      <c r="E42" s="5"/>
      <c r="F42" s="2"/>
      <c r="G42" s="5"/>
      <c r="H42" s="5"/>
      <c r="I42" s="5"/>
      <c r="J42" s="5"/>
      <c r="K42" s="2"/>
      <c r="L42" s="2"/>
      <c r="M42" s="2"/>
      <c r="N42" s="2"/>
      <c r="O42" s="5"/>
      <c r="P42" s="5"/>
      <c r="Q42" s="5"/>
      <c r="R42" s="5"/>
      <c r="S42" s="2"/>
      <c r="T42" s="2"/>
      <c r="U42" s="2"/>
      <c r="V42" s="2"/>
      <c r="W42" s="218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2"/>
      <c r="AY42" s="2"/>
    </row>
    <row r="43" s="8" customFormat="true" ht="52.5" hidden="false" customHeight="true" outlineLevel="0" collapsed="false">
      <c r="A43" s="3" t="s">
        <v>4</v>
      </c>
      <c r="B43" s="5"/>
      <c r="C43" s="5"/>
      <c r="D43" s="5"/>
      <c r="E43" s="5"/>
      <c r="F43" s="2"/>
      <c r="G43" s="5"/>
      <c r="H43" s="5"/>
      <c r="I43" s="5"/>
      <c r="J43" s="5"/>
      <c r="K43" s="5"/>
      <c r="L43" s="9" t="s">
        <v>154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218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2"/>
      <c r="AY43" s="2"/>
    </row>
    <row r="44" s="8" customFormat="true" ht="52.5" hidden="false" customHeight="true" outlineLevel="0" collapsed="false">
      <c r="A44" s="3" t="s">
        <v>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9" t="s">
        <v>7</v>
      </c>
      <c r="Q44" s="5"/>
      <c r="R44" s="5"/>
      <c r="S44" s="5"/>
      <c r="T44" s="5"/>
      <c r="U44" s="5"/>
      <c r="V44" s="5"/>
      <c r="W44" s="219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="8" customFormat="true" ht="25.5" hidden="false" customHeight="true" outlineLevel="0" collapsed="false">
      <c r="W45" s="220"/>
    </row>
    <row r="46" s="8" customFormat="true" ht="25.5" hidden="false" customHeight="true" outlineLevel="0" collapsed="false">
      <c r="A46" s="221" t="s">
        <v>146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19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="8" customFormat="true" ht="50.65" hidden="false" customHeight="true" outlineLevel="0" collapsed="false">
      <c r="A47" s="221" t="s">
        <v>147</v>
      </c>
      <c r="B47" s="5"/>
      <c r="C47" s="5"/>
      <c r="D47" s="5"/>
      <c r="E47" s="5"/>
      <c r="F47" s="5"/>
      <c r="G47" s="1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219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="8" customFormat="true" ht="25.5" hidden="false" customHeight="true" outlineLevel="0" collapsed="false">
      <c r="A48" s="1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222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"/>
      <c r="AY48" s="2"/>
    </row>
    <row r="49" s="2" customFormat="true" ht="32.25" hidden="false" customHeight="true" outlineLevel="0" collapsed="false">
      <c r="A49" s="3"/>
      <c r="B49" s="5"/>
      <c r="C49" s="16" t="s">
        <v>155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219"/>
      <c r="AP49" s="34"/>
      <c r="AQ49" s="34"/>
      <c r="AS49" s="224"/>
      <c r="AT49" s="224"/>
      <c r="AU49" s="224"/>
      <c r="AV49" s="224"/>
      <c r="AW49" s="224"/>
      <c r="AX49" s="224"/>
      <c r="AY49" s="224"/>
    </row>
    <row r="50" s="1" customFormat="true" ht="22.7" hidden="false" customHeight="true" outlineLevel="0" collapsed="false">
      <c r="A50" s="3"/>
      <c r="B50" s="5"/>
      <c r="C50" s="17" t="s">
        <v>101</v>
      </c>
      <c r="D50" s="17"/>
      <c r="E50" s="17"/>
      <c r="F50" s="17"/>
      <c r="G50" s="17" t="s">
        <v>151</v>
      </c>
      <c r="H50" s="17"/>
      <c r="I50" s="17"/>
      <c r="J50" s="17"/>
      <c r="K50" s="17" t="s">
        <v>152</v>
      </c>
      <c r="L50" s="17"/>
      <c r="M50" s="17"/>
      <c r="N50" s="17"/>
      <c r="O50" s="17" t="s">
        <v>58</v>
      </c>
      <c r="P50" s="17"/>
      <c r="Q50" s="17"/>
      <c r="R50" s="17"/>
      <c r="S50" s="17" t="s">
        <v>149</v>
      </c>
      <c r="T50" s="17"/>
      <c r="U50" s="17"/>
      <c r="V50" s="17"/>
      <c r="W50" s="216"/>
      <c r="AP50" s="33"/>
      <c r="AQ50" s="33"/>
    </row>
    <row r="51" s="1" customFormat="true" ht="18.6" hidden="false" customHeight="true" outlineLevel="0" collapsed="false">
      <c r="A51" s="3"/>
      <c r="B51" s="5"/>
      <c r="C51" s="18" t="s">
        <v>18</v>
      </c>
      <c r="D51" s="18"/>
      <c r="E51" s="18" t="s">
        <v>19</v>
      </c>
      <c r="F51" s="18"/>
      <c r="G51" s="18" t="s">
        <v>18</v>
      </c>
      <c r="H51" s="18"/>
      <c r="I51" s="18" t="s">
        <v>19</v>
      </c>
      <c r="J51" s="18"/>
      <c r="K51" s="18" t="s">
        <v>18</v>
      </c>
      <c r="L51" s="18"/>
      <c r="M51" s="18" t="s">
        <v>19</v>
      </c>
      <c r="N51" s="18"/>
      <c r="O51" s="18" t="s">
        <v>18</v>
      </c>
      <c r="P51" s="18"/>
      <c r="Q51" s="18" t="s">
        <v>19</v>
      </c>
      <c r="R51" s="18"/>
      <c r="S51" s="18" t="s">
        <v>18</v>
      </c>
      <c r="T51" s="18"/>
      <c r="U51" s="18" t="s">
        <v>19</v>
      </c>
      <c r="V51" s="18"/>
      <c r="W51" s="216"/>
      <c r="AP51" s="33"/>
      <c r="AQ51" s="33"/>
    </row>
    <row r="52" s="1" customFormat="true" ht="20.25" hidden="false" customHeight="false" outlineLevel="0" collapsed="false">
      <c r="A52" s="20" t="s">
        <v>21</v>
      </c>
      <c r="B52" s="20"/>
      <c r="C52" s="225" t="s">
        <v>22</v>
      </c>
      <c r="D52" s="225" t="s">
        <v>23</v>
      </c>
      <c r="E52" s="225" t="s">
        <v>22</v>
      </c>
      <c r="F52" s="225" t="s">
        <v>23</v>
      </c>
      <c r="G52" s="225" t="s">
        <v>22</v>
      </c>
      <c r="H52" s="225" t="s">
        <v>23</v>
      </c>
      <c r="I52" s="225" t="s">
        <v>22</v>
      </c>
      <c r="J52" s="225" t="s">
        <v>23</v>
      </c>
      <c r="K52" s="225" t="s">
        <v>22</v>
      </c>
      <c r="L52" s="225" t="s">
        <v>23</v>
      </c>
      <c r="M52" s="225" t="s">
        <v>22</v>
      </c>
      <c r="N52" s="225" t="s">
        <v>23</v>
      </c>
      <c r="O52" s="225" t="s">
        <v>22</v>
      </c>
      <c r="P52" s="225" t="s">
        <v>23</v>
      </c>
      <c r="Q52" s="225" t="s">
        <v>22</v>
      </c>
      <c r="R52" s="225" t="s">
        <v>23</v>
      </c>
      <c r="S52" s="225" t="s">
        <v>22</v>
      </c>
      <c r="T52" s="225" t="s">
        <v>23</v>
      </c>
      <c r="U52" s="225" t="s">
        <v>22</v>
      </c>
      <c r="V52" s="225" t="s">
        <v>23</v>
      </c>
      <c r="W52" s="216"/>
      <c r="AP52" s="33"/>
      <c r="AQ52" s="33"/>
      <c r="AR52" s="226"/>
    </row>
    <row r="53" s="1" customFormat="true" ht="54.95" hidden="false" customHeight="true" outlineLevel="0" collapsed="false">
      <c r="A53" s="23" t="n">
        <v>0.270833333333333</v>
      </c>
      <c r="B53" s="23" t="n">
        <v>0.291666666666667</v>
      </c>
      <c r="C53" s="25"/>
      <c r="D53" s="25"/>
      <c r="E53" s="25"/>
      <c r="F53" s="227"/>
      <c r="G53" s="228"/>
      <c r="H53" s="25"/>
      <c r="I53" s="25"/>
      <c r="J53" s="227"/>
      <c r="K53" s="228"/>
      <c r="L53" s="25"/>
      <c r="M53" s="25"/>
      <c r="N53" s="227"/>
      <c r="O53" s="228"/>
      <c r="P53" s="25"/>
      <c r="Q53" s="25"/>
      <c r="R53" s="227"/>
      <c r="S53" s="228"/>
      <c r="T53" s="25"/>
      <c r="U53" s="25"/>
      <c r="V53" s="89"/>
      <c r="W53" s="216" t="n">
        <f aca="false">SUM(C53:V53)</f>
        <v>0</v>
      </c>
      <c r="AP53" s="33"/>
      <c r="AQ53" s="33"/>
      <c r="AR53" s="209"/>
      <c r="AS53" s="209"/>
      <c r="AT53" s="209"/>
      <c r="AU53" s="209"/>
      <c r="AV53" s="209"/>
      <c r="AW53" s="209"/>
      <c r="AX53" s="209"/>
      <c r="AY53" s="209"/>
    </row>
    <row r="54" s="1" customFormat="true" ht="54.95" hidden="false" customHeight="true" outlineLevel="0" collapsed="false">
      <c r="A54" s="23" t="n">
        <v>0.291666666666667</v>
      </c>
      <c r="B54" s="23" t="n">
        <v>0.3125</v>
      </c>
      <c r="C54" s="25"/>
      <c r="D54" s="25" t="n">
        <v>1</v>
      </c>
      <c r="E54" s="25"/>
      <c r="F54" s="227" t="n">
        <v>1</v>
      </c>
      <c r="G54" s="228"/>
      <c r="H54" s="25"/>
      <c r="I54" s="25"/>
      <c r="J54" s="227"/>
      <c r="K54" s="228"/>
      <c r="L54" s="25"/>
      <c r="M54" s="25"/>
      <c r="N54" s="227"/>
      <c r="O54" s="228"/>
      <c r="P54" s="25"/>
      <c r="Q54" s="25"/>
      <c r="R54" s="227"/>
      <c r="S54" s="228"/>
      <c r="T54" s="25"/>
      <c r="U54" s="25"/>
      <c r="V54" s="89"/>
      <c r="W54" s="216" t="n">
        <f aca="false">SUM(C54:V54)</f>
        <v>2</v>
      </c>
      <c r="AP54" s="33"/>
      <c r="AQ54" s="33"/>
      <c r="AR54" s="209"/>
      <c r="AS54" s="209"/>
      <c r="AT54" s="209"/>
      <c r="AU54" s="209"/>
      <c r="AV54" s="209"/>
      <c r="AW54" s="209"/>
      <c r="AX54" s="209"/>
      <c r="AY54" s="209"/>
    </row>
    <row r="55" s="1" customFormat="true" ht="54.95" hidden="false" customHeight="true" outlineLevel="0" collapsed="false">
      <c r="A55" s="23" t="n">
        <v>0.3125</v>
      </c>
      <c r="B55" s="23" t="n">
        <v>0.333333333333333</v>
      </c>
      <c r="C55" s="25"/>
      <c r="D55" s="25"/>
      <c r="E55" s="25"/>
      <c r="F55" s="227"/>
      <c r="G55" s="228"/>
      <c r="H55" s="25"/>
      <c r="I55" s="25"/>
      <c r="J55" s="227"/>
      <c r="K55" s="228"/>
      <c r="L55" s="25"/>
      <c r="M55" s="25"/>
      <c r="N55" s="227"/>
      <c r="O55" s="228"/>
      <c r="P55" s="25"/>
      <c r="Q55" s="25"/>
      <c r="R55" s="227"/>
      <c r="S55" s="228"/>
      <c r="T55" s="25"/>
      <c r="U55" s="25"/>
      <c r="V55" s="89"/>
      <c r="W55" s="216" t="n">
        <f aca="false">SUM(C55:V55)</f>
        <v>0</v>
      </c>
      <c r="AP55" s="33"/>
      <c r="AQ55" s="33"/>
      <c r="AR55" s="209"/>
      <c r="AS55" s="209"/>
      <c r="AT55" s="209"/>
      <c r="AU55" s="209"/>
      <c r="AV55" s="209"/>
      <c r="AW55" s="209"/>
      <c r="AX55" s="209"/>
      <c r="AY55" s="209"/>
    </row>
    <row r="56" s="1" customFormat="true" ht="54.95" hidden="false" customHeight="true" outlineLevel="0" collapsed="false">
      <c r="A56" s="23" t="n">
        <v>0.333333333333333</v>
      </c>
      <c r="B56" s="23" t="n">
        <v>0.354166666666667</v>
      </c>
      <c r="C56" s="25"/>
      <c r="D56" s="25"/>
      <c r="E56" s="25"/>
      <c r="F56" s="227"/>
      <c r="G56" s="228"/>
      <c r="H56" s="25"/>
      <c r="I56" s="25"/>
      <c r="J56" s="227"/>
      <c r="K56" s="228"/>
      <c r="L56" s="25"/>
      <c r="M56" s="25"/>
      <c r="N56" s="227"/>
      <c r="O56" s="228"/>
      <c r="P56" s="25"/>
      <c r="Q56" s="25"/>
      <c r="R56" s="227"/>
      <c r="S56" s="228"/>
      <c r="T56" s="25"/>
      <c r="U56" s="25"/>
      <c r="V56" s="89"/>
      <c r="W56" s="216" t="n">
        <f aca="false">SUM(C56:V56)</f>
        <v>0</v>
      </c>
      <c r="AP56" s="33"/>
      <c r="AQ56" s="33"/>
      <c r="AR56" s="209"/>
      <c r="AS56" s="209"/>
      <c r="AT56" s="209"/>
      <c r="AU56" s="209"/>
      <c r="AV56" s="209"/>
      <c r="AW56" s="209"/>
      <c r="AX56" s="209"/>
      <c r="AY56" s="209"/>
    </row>
    <row r="57" s="1" customFormat="true" ht="54.95" hidden="false" customHeight="true" outlineLevel="0" collapsed="false">
      <c r="A57" s="23" t="n">
        <v>0.354166666666667</v>
      </c>
      <c r="B57" s="23" t="n">
        <v>0.375</v>
      </c>
      <c r="C57" s="25"/>
      <c r="D57" s="25"/>
      <c r="E57" s="25"/>
      <c r="F57" s="227"/>
      <c r="G57" s="228"/>
      <c r="H57" s="25"/>
      <c r="I57" s="25"/>
      <c r="J57" s="227"/>
      <c r="K57" s="228"/>
      <c r="L57" s="25" t="n">
        <v>1</v>
      </c>
      <c r="M57" s="25"/>
      <c r="N57" s="227"/>
      <c r="O57" s="228"/>
      <c r="P57" s="25"/>
      <c r="Q57" s="25"/>
      <c r="R57" s="227"/>
      <c r="S57" s="228"/>
      <c r="T57" s="25"/>
      <c r="U57" s="25"/>
      <c r="V57" s="89"/>
      <c r="W57" s="216" t="n">
        <f aca="false">SUM(C57:V57)</f>
        <v>1</v>
      </c>
      <c r="AP57" s="33"/>
      <c r="AQ57" s="33"/>
      <c r="AR57" s="209"/>
      <c r="AS57" s="209"/>
      <c r="AT57" s="209"/>
      <c r="AU57" s="209"/>
      <c r="AV57" s="209"/>
      <c r="AW57" s="209"/>
      <c r="AX57" s="209"/>
      <c r="AY57" s="209"/>
    </row>
    <row r="58" s="1" customFormat="true" ht="10.95" hidden="false" customHeight="true" outlineLevel="0" collapsed="false">
      <c r="W58" s="216" t="n">
        <f aca="false">SUM(W53:W57)</f>
        <v>3</v>
      </c>
    </row>
    <row r="59" s="2" customFormat="true" ht="32.25" hidden="false" customHeight="true" outlineLevel="0" collapsed="false">
      <c r="A59" s="3"/>
      <c r="B59" s="5"/>
      <c r="C59" s="16" t="s">
        <v>110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219"/>
      <c r="AP59" s="34"/>
      <c r="AQ59" s="34"/>
      <c r="AS59" s="224"/>
      <c r="AT59" s="224"/>
      <c r="AU59" s="224"/>
      <c r="AV59" s="224"/>
      <c r="AW59" s="224"/>
      <c r="AX59" s="224"/>
      <c r="AY59" s="224"/>
    </row>
    <row r="60" s="1" customFormat="true" ht="22.7" hidden="false" customHeight="true" outlineLevel="0" collapsed="false">
      <c r="A60" s="3"/>
      <c r="B60" s="5"/>
      <c r="C60" s="17" t="s">
        <v>151</v>
      </c>
      <c r="D60" s="17"/>
      <c r="E60" s="17"/>
      <c r="F60" s="17"/>
      <c r="G60" s="17" t="s">
        <v>152</v>
      </c>
      <c r="H60" s="17"/>
      <c r="I60" s="17"/>
      <c r="J60" s="17"/>
      <c r="K60" s="17" t="s">
        <v>58</v>
      </c>
      <c r="L60" s="17"/>
      <c r="M60" s="17"/>
      <c r="N60" s="17"/>
      <c r="O60" s="17" t="s">
        <v>149</v>
      </c>
      <c r="P60" s="17"/>
      <c r="Q60" s="17"/>
      <c r="R60" s="17"/>
      <c r="S60" s="17" t="s">
        <v>150</v>
      </c>
      <c r="T60" s="17"/>
      <c r="U60" s="17"/>
      <c r="V60" s="17"/>
      <c r="W60" s="216"/>
      <c r="AP60" s="33"/>
      <c r="AQ60" s="33"/>
    </row>
    <row r="61" s="1" customFormat="true" ht="18.6" hidden="false" customHeight="true" outlineLevel="0" collapsed="false">
      <c r="C61" s="18" t="s">
        <v>18</v>
      </c>
      <c r="D61" s="18"/>
      <c r="E61" s="18" t="s">
        <v>19</v>
      </c>
      <c r="F61" s="18"/>
      <c r="G61" s="18" t="s">
        <v>18</v>
      </c>
      <c r="H61" s="18"/>
      <c r="I61" s="18" t="s">
        <v>19</v>
      </c>
      <c r="J61" s="18"/>
      <c r="K61" s="18" t="s">
        <v>18</v>
      </c>
      <c r="L61" s="18"/>
      <c r="M61" s="18" t="s">
        <v>19</v>
      </c>
      <c r="N61" s="18"/>
      <c r="O61" s="18" t="s">
        <v>18</v>
      </c>
      <c r="P61" s="18"/>
      <c r="Q61" s="18" t="s">
        <v>19</v>
      </c>
      <c r="R61" s="18"/>
      <c r="S61" s="18" t="s">
        <v>18</v>
      </c>
      <c r="T61" s="18"/>
      <c r="U61" s="18" t="s">
        <v>19</v>
      </c>
      <c r="V61" s="18"/>
      <c r="W61" s="216"/>
      <c r="AP61" s="33"/>
      <c r="AQ61" s="33"/>
    </row>
    <row r="62" s="1" customFormat="true" ht="20.25" hidden="false" customHeight="false" outlineLevel="0" collapsed="false">
      <c r="A62" s="20" t="s">
        <v>21</v>
      </c>
      <c r="B62" s="20"/>
      <c r="C62" s="225" t="s">
        <v>22</v>
      </c>
      <c r="D62" s="225" t="s">
        <v>23</v>
      </c>
      <c r="E62" s="225" t="s">
        <v>22</v>
      </c>
      <c r="F62" s="225" t="s">
        <v>23</v>
      </c>
      <c r="G62" s="225" t="s">
        <v>22</v>
      </c>
      <c r="H62" s="225" t="s">
        <v>23</v>
      </c>
      <c r="I62" s="225" t="s">
        <v>22</v>
      </c>
      <c r="J62" s="225" t="s">
        <v>23</v>
      </c>
      <c r="K62" s="225" t="s">
        <v>22</v>
      </c>
      <c r="L62" s="225" t="s">
        <v>23</v>
      </c>
      <c r="M62" s="225" t="s">
        <v>22</v>
      </c>
      <c r="N62" s="225" t="s">
        <v>23</v>
      </c>
      <c r="O62" s="225" t="s">
        <v>22</v>
      </c>
      <c r="P62" s="225" t="s">
        <v>23</v>
      </c>
      <c r="Q62" s="225" t="s">
        <v>22</v>
      </c>
      <c r="R62" s="225" t="s">
        <v>23</v>
      </c>
      <c r="S62" s="225" t="s">
        <v>22</v>
      </c>
      <c r="T62" s="225" t="s">
        <v>23</v>
      </c>
      <c r="U62" s="225" t="s">
        <v>22</v>
      </c>
      <c r="V62" s="225" t="s">
        <v>23</v>
      </c>
      <c r="W62" s="216"/>
      <c r="AP62" s="33"/>
      <c r="AQ62" s="33"/>
      <c r="AR62" s="226"/>
    </row>
    <row r="63" s="1" customFormat="true" ht="54.95" hidden="false" customHeight="true" outlineLevel="0" collapsed="false">
      <c r="A63" s="23" t="n">
        <v>0.270833333333333</v>
      </c>
      <c r="B63" s="23" t="n">
        <v>0.291666666666667</v>
      </c>
      <c r="C63" s="25"/>
      <c r="D63" s="25"/>
      <c r="E63" s="25"/>
      <c r="F63" s="227"/>
      <c r="G63" s="228"/>
      <c r="H63" s="25"/>
      <c r="I63" s="25"/>
      <c r="J63" s="227"/>
      <c r="K63" s="228"/>
      <c r="L63" s="25" t="n">
        <v>1</v>
      </c>
      <c r="M63" s="25"/>
      <c r="N63" s="227"/>
      <c r="O63" s="228"/>
      <c r="P63" s="25"/>
      <c r="Q63" s="25"/>
      <c r="R63" s="227"/>
      <c r="S63" s="228"/>
      <c r="T63" s="25"/>
      <c r="U63" s="25"/>
      <c r="V63" s="89"/>
      <c r="W63" s="216" t="n">
        <f aca="false">SUM(C63:V63)</f>
        <v>1</v>
      </c>
      <c r="AP63" s="33"/>
      <c r="AQ63" s="33"/>
      <c r="AR63" s="209"/>
      <c r="AS63" s="209"/>
      <c r="AT63" s="209"/>
      <c r="AU63" s="209"/>
      <c r="AV63" s="209"/>
      <c r="AW63" s="209"/>
      <c r="AX63" s="209"/>
      <c r="AY63" s="209"/>
    </row>
    <row r="64" s="1" customFormat="true" ht="54.95" hidden="false" customHeight="true" outlineLevel="0" collapsed="false">
      <c r="A64" s="23" t="n">
        <v>0.291666666666667</v>
      </c>
      <c r="B64" s="23" t="n">
        <v>0.3125</v>
      </c>
      <c r="C64" s="25"/>
      <c r="D64" s="25"/>
      <c r="E64" s="25"/>
      <c r="F64" s="227"/>
      <c r="G64" s="228"/>
      <c r="H64" s="25"/>
      <c r="I64" s="25"/>
      <c r="J64" s="227"/>
      <c r="K64" s="228"/>
      <c r="L64" s="25"/>
      <c r="M64" s="25"/>
      <c r="N64" s="227"/>
      <c r="O64" s="228"/>
      <c r="P64" s="25"/>
      <c r="Q64" s="25"/>
      <c r="R64" s="227" t="n">
        <v>1</v>
      </c>
      <c r="S64" s="228"/>
      <c r="T64" s="25"/>
      <c r="U64" s="25"/>
      <c r="V64" s="89"/>
      <c r="W64" s="216" t="n">
        <f aca="false">SUM(C64:V64)</f>
        <v>1</v>
      </c>
      <c r="AP64" s="33"/>
      <c r="AQ64" s="33"/>
      <c r="AR64" s="209"/>
      <c r="AS64" s="209"/>
      <c r="AT64" s="209"/>
      <c r="AU64" s="209"/>
      <c r="AV64" s="209"/>
      <c r="AW64" s="209"/>
      <c r="AX64" s="209"/>
      <c r="AY64" s="209"/>
    </row>
    <row r="65" s="1" customFormat="true" ht="54.95" hidden="false" customHeight="true" outlineLevel="0" collapsed="false">
      <c r="A65" s="23" t="n">
        <v>0.3125</v>
      </c>
      <c r="B65" s="23" t="n">
        <v>0.333333333333333</v>
      </c>
      <c r="C65" s="25"/>
      <c r="D65" s="25"/>
      <c r="E65" s="25"/>
      <c r="F65" s="227"/>
      <c r="G65" s="228"/>
      <c r="H65" s="25"/>
      <c r="I65" s="25"/>
      <c r="J65" s="227"/>
      <c r="K65" s="228"/>
      <c r="L65" s="25"/>
      <c r="M65" s="25"/>
      <c r="N65" s="227"/>
      <c r="O65" s="228"/>
      <c r="P65" s="25" t="n">
        <v>1</v>
      </c>
      <c r="Q65" s="25"/>
      <c r="R65" s="227"/>
      <c r="S65" s="228"/>
      <c r="T65" s="25"/>
      <c r="U65" s="25"/>
      <c r="V65" s="89"/>
      <c r="W65" s="216" t="n">
        <f aca="false">SUM(C65:V65)</f>
        <v>1</v>
      </c>
      <c r="AP65" s="33"/>
      <c r="AQ65" s="33"/>
      <c r="AR65" s="209"/>
      <c r="AS65" s="209"/>
      <c r="AT65" s="209"/>
      <c r="AU65" s="209"/>
      <c r="AV65" s="209"/>
      <c r="AW65" s="209"/>
      <c r="AX65" s="209"/>
      <c r="AY65" s="209"/>
    </row>
    <row r="66" s="1" customFormat="true" ht="54.95" hidden="false" customHeight="true" outlineLevel="0" collapsed="false">
      <c r="A66" s="23" t="n">
        <v>0.333333333333333</v>
      </c>
      <c r="B66" s="23" t="n">
        <v>0.354166666666667</v>
      </c>
      <c r="C66" s="25"/>
      <c r="D66" s="25"/>
      <c r="E66" s="25"/>
      <c r="F66" s="227"/>
      <c r="G66" s="228"/>
      <c r="H66" s="25"/>
      <c r="I66" s="25"/>
      <c r="J66" s="227"/>
      <c r="K66" s="228"/>
      <c r="L66" s="25"/>
      <c r="M66" s="25"/>
      <c r="N66" s="227"/>
      <c r="O66" s="228"/>
      <c r="P66" s="25"/>
      <c r="Q66" s="25"/>
      <c r="R66" s="227"/>
      <c r="S66" s="228"/>
      <c r="T66" s="25"/>
      <c r="U66" s="25"/>
      <c r="V66" s="89"/>
      <c r="W66" s="216" t="n">
        <f aca="false">SUM(C66:V66)</f>
        <v>0</v>
      </c>
      <c r="AP66" s="33"/>
      <c r="AQ66" s="33"/>
      <c r="AR66" s="209"/>
      <c r="AS66" s="209"/>
      <c r="AT66" s="209"/>
      <c r="AU66" s="209"/>
      <c r="AV66" s="209"/>
      <c r="AW66" s="209"/>
      <c r="AX66" s="209"/>
      <c r="AY66" s="209"/>
    </row>
    <row r="67" s="1" customFormat="true" ht="54.95" hidden="false" customHeight="true" outlineLevel="0" collapsed="false">
      <c r="A67" s="23" t="n">
        <v>0.354166666666667</v>
      </c>
      <c r="B67" s="23" t="n">
        <v>0.375</v>
      </c>
      <c r="C67" s="25"/>
      <c r="D67" s="25"/>
      <c r="E67" s="25"/>
      <c r="F67" s="227" t="n">
        <v>1</v>
      </c>
      <c r="G67" s="228"/>
      <c r="H67" s="25"/>
      <c r="I67" s="25"/>
      <c r="J67" s="227"/>
      <c r="K67" s="228"/>
      <c r="L67" s="25"/>
      <c r="M67" s="25"/>
      <c r="N67" s="227"/>
      <c r="O67" s="228"/>
      <c r="P67" s="25"/>
      <c r="Q67" s="25"/>
      <c r="R67" s="227"/>
      <c r="S67" s="228"/>
      <c r="T67" s="25"/>
      <c r="U67" s="25"/>
      <c r="V67" s="89"/>
      <c r="W67" s="216" t="n">
        <f aca="false">SUM(C67:V67)</f>
        <v>1</v>
      </c>
      <c r="AP67" s="33"/>
      <c r="AQ67" s="33"/>
      <c r="AR67" s="209"/>
      <c r="AS67" s="209"/>
      <c r="AT67" s="209"/>
      <c r="AU67" s="209"/>
      <c r="AV67" s="209"/>
      <c r="AW67" s="209"/>
      <c r="AX67" s="209"/>
      <c r="AY67" s="209"/>
    </row>
    <row r="68" s="1" customFormat="true" ht="10.95" hidden="false" customHeight="true" outlineLevel="0" collapsed="false">
      <c r="W68" s="216" t="n">
        <f aca="false">SUM(W63:W67)</f>
        <v>4</v>
      </c>
    </row>
    <row r="69" s="2" customFormat="true" ht="32.25" hidden="false" customHeight="true" outlineLevel="0" collapsed="false">
      <c r="A69" s="3"/>
      <c r="B69" s="5"/>
      <c r="C69" s="16" t="s">
        <v>156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219"/>
      <c r="AP69" s="34"/>
      <c r="AQ69" s="34"/>
      <c r="AS69" s="224"/>
      <c r="AT69" s="224"/>
      <c r="AU69" s="224"/>
      <c r="AV69" s="224"/>
      <c r="AW69" s="224"/>
      <c r="AX69" s="224"/>
      <c r="AY69" s="224"/>
    </row>
    <row r="70" s="1" customFormat="true" ht="22.7" hidden="false" customHeight="true" outlineLevel="0" collapsed="false">
      <c r="A70" s="3"/>
      <c r="B70" s="5"/>
      <c r="C70" s="17" t="s">
        <v>152</v>
      </c>
      <c r="D70" s="17"/>
      <c r="E70" s="17"/>
      <c r="F70" s="17"/>
      <c r="G70" s="17" t="s">
        <v>58</v>
      </c>
      <c r="H70" s="17"/>
      <c r="I70" s="17"/>
      <c r="J70" s="17"/>
      <c r="K70" s="17" t="s">
        <v>149</v>
      </c>
      <c r="L70" s="17"/>
      <c r="M70" s="17"/>
      <c r="N70" s="17"/>
      <c r="O70" s="17" t="s">
        <v>150</v>
      </c>
      <c r="P70" s="17"/>
      <c r="Q70" s="17"/>
      <c r="R70" s="17"/>
      <c r="S70" s="17" t="s">
        <v>101</v>
      </c>
      <c r="T70" s="17"/>
      <c r="U70" s="17"/>
      <c r="V70" s="17"/>
      <c r="W70" s="216"/>
      <c r="AP70" s="33"/>
      <c r="AQ70" s="33"/>
    </row>
    <row r="71" s="1" customFormat="true" ht="18.6" hidden="false" customHeight="true" outlineLevel="0" collapsed="false">
      <c r="A71" s="3"/>
      <c r="B71" s="5"/>
      <c r="C71" s="18" t="s">
        <v>18</v>
      </c>
      <c r="D71" s="18"/>
      <c r="E71" s="18" t="s">
        <v>19</v>
      </c>
      <c r="F71" s="18"/>
      <c r="G71" s="18" t="s">
        <v>18</v>
      </c>
      <c r="H71" s="18"/>
      <c r="I71" s="18" t="s">
        <v>19</v>
      </c>
      <c r="J71" s="18"/>
      <c r="K71" s="18" t="s">
        <v>18</v>
      </c>
      <c r="L71" s="18"/>
      <c r="M71" s="18" t="s">
        <v>19</v>
      </c>
      <c r="N71" s="18"/>
      <c r="O71" s="18" t="s">
        <v>18</v>
      </c>
      <c r="P71" s="18"/>
      <c r="Q71" s="18" t="s">
        <v>19</v>
      </c>
      <c r="R71" s="18"/>
      <c r="S71" s="18" t="s">
        <v>18</v>
      </c>
      <c r="T71" s="18"/>
      <c r="U71" s="18" t="s">
        <v>19</v>
      </c>
      <c r="V71" s="18"/>
      <c r="W71" s="216"/>
      <c r="AP71" s="33"/>
      <c r="AQ71" s="33"/>
    </row>
    <row r="72" s="1" customFormat="true" ht="20.25" hidden="false" customHeight="false" outlineLevel="0" collapsed="false">
      <c r="A72" s="20" t="s">
        <v>21</v>
      </c>
      <c r="B72" s="20"/>
      <c r="C72" s="225" t="s">
        <v>22</v>
      </c>
      <c r="D72" s="225" t="s">
        <v>23</v>
      </c>
      <c r="E72" s="225" t="s">
        <v>22</v>
      </c>
      <c r="F72" s="225" t="s">
        <v>23</v>
      </c>
      <c r="G72" s="225" t="s">
        <v>22</v>
      </c>
      <c r="H72" s="225" t="s">
        <v>23</v>
      </c>
      <c r="I72" s="225" t="s">
        <v>22</v>
      </c>
      <c r="J72" s="225" t="s">
        <v>23</v>
      </c>
      <c r="K72" s="225" t="s">
        <v>22</v>
      </c>
      <c r="L72" s="225" t="s">
        <v>23</v>
      </c>
      <c r="M72" s="225" t="s">
        <v>22</v>
      </c>
      <c r="N72" s="225" t="s">
        <v>23</v>
      </c>
      <c r="O72" s="225" t="s">
        <v>22</v>
      </c>
      <c r="P72" s="225" t="s">
        <v>23</v>
      </c>
      <c r="Q72" s="225" t="s">
        <v>22</v>
      </c>
      <c r="R72" s="225" t="s">
        <v>23</v>
      </c>
      <c r="S72" s="225" t="s">
        <v>22</v>
      </c>
      <c r="T72" s="225" t="s">
        <v>23</v>
      </c>
      <c r="U72" s="225" t="s">
        <v>22</v>
      </c>
      <c r="V72" s="225" t="s">
        <v>23</v>
      </c>
      <c r="W72" s="216"/>
      <c r="AP72" s="33"/>
      <c r="AQ72" s="33"/>
      <c r="AR72" s="226"/>
    </row>
    <row r="73" s="1" customFormat="true" ht="54.95" hidden="false" customHeight="true" outlineLevel="0" collapsed="false">
      <c r="A73" s="23" t="n">
        <v>0.270833333333333</v>
      </c>
      <c r="B73" s="23" t="n">
        <v>0.291666666666667</v>
      </c>
      <c r="C73" s="25"/>
      <c r="D73" s="25" t="n">
        <v>1</v>
      </c>
      <c r="E73" s="25"/>
      <c r="F73" s="227"/>
      <c r="G73" s="228" t="n">
        <v>2</v>
      </c>
      <c r="H73" s="25" t="n">
        <v>1</v>
      </c>
      <c r="I73" s="25" t="n">
        <v>2</v>
      </c>
      <c r="J73" s="227"/>
      <c r="K73" s="228"/>
      <c r="L73" s="25"/>
      <c r="M73" s="25"/>
      <c r="N73" s="227"/>
      <c r="O73" s="228"/>
      <c r="P73" s="25"/>
      <c r="Q73" s="25" t="n">
        <v>1</v>
      </c>
      <c r="R73" s="227"/>
      <c r="S73" s="228"/>
      <c r="T73" s="25"/>
      <c r="U73" s="25"/>
      <c r="V73" s="89"/>
      <c r="W73" s="216" t="n">
        <f aca="false">SUM(C73:V73)</f>
        <v>7</v>
      </c>
      <c r="AP73" s="33"/>
      <c r="AQ73" s="33"/>
      <c r="AR73" s="209"/>
      <c r="AS73" s="209"/>
      <c r="AT73" s="209"/>
      <c r="AU73" s="209"/>
      <c r="AV73" s="209"/>
      <c r="AW73" s="209"/>
      <c r="AX73" s="209"/>
      <c r="AY73" s="209"/>
    </row>
    <row r="74" s="1" customFormat="true" ht="54.95" hidden="false" customHeight="true" outlineLevel="0" collapsed="false">
      <c r="A74" s="23" t="n">
        <v>0.291666666666667</v>
      </c>
      <c r="B74" s="23" t="n">
        <v>0.3125</v>
      </c>
      <c r="C74" s="25" t="n">
        <v>1</v>
      </c>
      <c r="D74" s="25" t="n">
        <v>1</v>
      </c>
      <c r="E74" s="25"/>
      <c r="F74" s="227"/>
      <c r="G74" s="228"/>
      <c r="H74" s="25" t="n">
        <v>1</v>
      </c>
      <c r="I74" s="25"/>
      <c r="J74" s="227"/>
      <c r="K74" s="228"/>
      <c r="L74" s="25"/>
      <c r="M74" s="25"/>
      <c r="N74" s="227"/>
      <c r="O74" s="228"/>
      <c r="P74" s="25"/>
      <c r="Q74" s="25"/>
      <c r="R74" s="227" t="n">
        <v>1</v>
      </c>
      <c r="S74" s="228"/>
      <c r="T74" s="25"/>
      <c r="U74" s="25"/>
      <c r="V74" s="89"/>
      <c r="W74" s="216" t="n">
        <f aca="false">SUM(C74:V74)</f>
        <v>4</v>
      </c>
      <c r="AP74" s="33"/>
      <c r="AQ74" s="33"/>
      <c r="AR74" s="209"/>
      <c r="AS74" s="209"/>
      <c r="AT74" s="209"/>
      <c r="AU74" s="209"/>
      <c r="AV74" s="209"/>
      <c r="AW74" s="209"/>
      <c r="AX74" s="209"/>
      <c r="AY74" s="209"/>
    </row>
    <row r="75" s="1" customFormat="true" ht="54.95" hidden="false" customHeight="true" outlineLevel="0" collapsed="false">
      <c r="A75" s="23" t="n">
        <v>0.3125</v>
      </c>
      <c r="B75" s="23" t="n">
        <v>0.333333333333333</v>
      </c>
      <c r="C75" s="25"/>
      <c r="D75" s="25"/>
      <c r="E75" s="25"/>
      <c r="F75" s="227"/>
      <c r="G75" s="228"/>
      <c r="H75" s="25"/>
      <c r="I75" s="25"/>
      <c r="J75" s="227"/>
      <c r="K75" s="228"/>
      <c r="L75" s="25"/>
      <c r="M75" s="25"/>
      <c r="N75" s="227" t="n">
        <v>1</v>
      </c>
      <c r="O75" s="228"/>
      <c r="P75" s="25"/>
      <c r="Q75" s="25"/>
      <c r="R75" s="227"/>
      <c r="S75" s="228" t="n">
        <v>1</v>
      </c>
      <c r="T75" s="25"/>
      <c r="U75" s="25"/>
      <c r="V75" s="89"/>
      <c r="W75" s="216" t="n">
        <f aca="false">SUM(C75:V75)</f>
        <v>2</v>
      </c>
      <c r="AP75" s="33"/>
      <c r="AQ75" s="33"/>
      <c r="AR75" s="209"/>
      <c r="AS75" s="209"/>
      <c r="AT75" s="209"/>
      <c r="AU75" s="209"/>
      <c r="AV75" s="209"/>
      <c r="AW75" s="209"/>
      <c r="AX75" s="209"/>
      <c r="AY75" s="209"/>
    </row>
    <row r="76" s="1" customFormat="true" ht="54.95" hidden="false" customHeight="true" outlineLevel="0" collapsed="false">
      <c r="A76" s="23" t="n">
        <v>0.333333333333333</v>
      </c>
      <c r="B76" s="23" t="n">
        <v>0.354166666666667</v>
      </c>
      <c r="C76" s="25"/>
      <c r="D76" s="25"/>
      <c r="E76" s="25"/>
      <c r="F76" s="227"/>
      <c r="G76" s="228"/>
      <c r="H76" s="25" t="n">
        <v>1</v>
      </c>
      <c r="I76" s="25"/>
      <c r="J76" s="227"/>
      <c r="K76" s="228"/>
      <c r="L76" s="25"/>
      <c r="M76" s="25"/>
      <c r="N76" s="227"/>
      <c r="O76" s="228"/>
      <c r="P76" s="25"/>
      <c r="Q76" s="25"/>
      <c r="R76" s="227"/>
      <c r="S76" s="228"/>
      <c r="T76" s="25"/>
      <c r="U76" s="25"/>
      <c r="V76" s="89"/>
      <c r="W76" s="216" t="n">
        <f aca="false">SUM(C76:V76)</f>
        <v>1</v>
      </c>
      <c r="AP76" s="33"/>
      <c r="AQ76" s="33"/>
      <c r="AR76" s="209"/>
      <c r="AS76" s="209"/>
      <c r="AT76" s="209"/>
      <c r="AU76" s="209"/>
      <c r="AV76" s="209"/>
      <c r="AW76" s="209"/>
      <c r="AX76" s="209"/>
      <c r="AY76" s="209"/>
    </row>
    <row r="77" s="1" customFormat="true" ht="54.95" hidden="false" customHeight="true" outlineLevel="0" collapsed="false">
      <c r="A77" s="23" t="n">
        <v>0.354166666666667</v>
      </c>
      <c r="B77" s="23" t="n">
        <v>0.375</v>
      </c>
      <c r="C77" s="25"/>
      <c r="D77" s="25" t="n">
        <v>1</v>
      </c>
      <c r="E77" s="25"/>
      <c r="F77" s="227"/>
      <c r="G77" s="228"/>
      <c r="H77" s="25" t="n">
        <v>1</v>
      </c>
      <c r="I77" s="25"/>
      <c r="J77" s="227"/>
      <c r="K77" s="228"/>
      <c r="L77" s="25"/>
      <c r="M77" s="25"/>
      <c r="N77" s="227"/>
      <c r="O77" s="228"/>
      <c r="P77" s="25"/>
      <c r="Q77" s="25" t="n">
        <v>1</v>
      </c>
      <c r="R77" s="227"/>
      <c r="S77" s="228"/>
      <c r="T77" s="25"/>
      <c r="U77" s="25"/>
      <c r="V77" s="89"/>
      <c r="W77" s="216" t="n">
        <f aca="false">SUM(C77:V77)</f>
        <v>3</v>
      </c>
      <c r="AP77" s="33"/>
      <c r="AQ77" s="33"/>
      <c r="AR77" s="209"/>
      <c r="AS77" s="209"/>
      <c r="AT77" s="209"/>
      <c r="AU77" s="209"/>
      <c r="AV77" s="209"/>
      <c r="AW77" s="209"/>
      <c r="AX77" s="209"/>
      <c r="AY77" s="209"/>
    </row>
    <row r="78" s="31" customFormat="true" ht="36.55" hidden="false" customHeight="true" outlineLevel="0" collapsed="false">
      <c r="A78" s="27"/>
      <c r="B78" s="28" t="s">
        <v>25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16" t="n">
        <f aca="false">SUM(W73:W77)</f>
        <v>17</v>
      </c>
    </row>
    <row r="79" s="31" customFormat="true" ht="36.55" hidden="false" customHeight="true" outlineLevel="0" collapsed="false">
      <c r="A79" s="27"/>
      <c r="B79" s="28" t="s">
        <v>36</v>
      </c>
      <c r="C79" s="29"/>
      <c r="D79" s="29"/>
      <c r="E79" s="29"/>
      <c r="F79" s="230" t="n">
        <v>14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29"/>
    </row>
    <row r="80" s="31" customFormat="true" ht="36.55" hidden="false" customHeight="true" outlineLevel="0" collapsed="false">
      <c r="A80" s="27"/>
      <c r="B80" s="28" t="s">
        <v>27</v>
      </c>
      <c r="C80" s="29"/>
      <c r="D80" s="29"/>
      <c r="E80" s="29"/>
      <c r="F80" s="154" t="n">
        <v>2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29"/>
    </row>
    <row r="81" s="31" customFormat="true" ht="36.55" hidden="false" customHeight="true" outlineLevel="0" collapsed="false">
      <c r="A81" s="27"/>
      <c r="B81" s="28" t="s">
        <v>28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154" t="n">
        <v>5</v>
      </c>
      <c r="O81" s="29"/>
      <c r="P81" s="29"/>
      <c r="Q81" s="29"/>
      <c r="R81" s="29"/>
      <c r="S81" s="29"/>
      <c r="T81" s="29"/>
      <c r="U81" s="29"/>
      <c r="V81" s="29"/>
      <c r="W81" s="229"/>
      <c r="Y81" s="124" t="s">
        <v>83</v>
      </c>
    </row>
    <row r="82" customFormat="false" ht="54.95" hidden="true" customHeight="true" outlineLevel="0" collapsed="false">
      <c r="A82" s="20" t="n">
        <v>9</v>
      </c>
      <c r="B82" s="20" t="s">
        <v>60</v>
      </c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231"/>
      <c r="X82" s="33"/>
      <c r="Y82" s="209"/>
      <c r="Z82" s="209"/>
      <c r="AA82" s="209"/>
      <c r="AB82" s="209"/>
      <c r="AD82" s="209"/>
      <c r="AE82" s="209"/>
      <c r="AF82" s="209"/>
    </row>
    <row r="83" customFormat="false" ht="54.95" hidden="true" customHeight="true" outlineLevel="0" collapsed="false">
      <c r="A83" s="20"/>
      <c r="B83" s="20" t="s">
        <v>61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231"/>
      <c r="X83" s="33"/>
      <c r="Y83" s="209"/>
      <c r="Z83" s="209"/>
      <c r="AA83" s="209"/>
      <c r="AB83" s="209"/>
      <c r="AD83" s="209"/>
      <c r="AE83" s="209"/>
      <c r="AF83" s="209"/>
    </row>
    <row r="84" customFormat="false" ht="12.75" hidden="false" customHeight="true" outlineLevel="0" collapsed="false"/>
    <row r="85" s="2" customFormat="true" ht="32.2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23"/>
      <c r="X85" s="5"/>
      <c r="Y85" s="73" t="s">
        <v>29</v>
      </c>
      <c r="Z85" s="44" t="s">
        <v>30</v>
      </c>
      <c r="AA85" s="40" t="s">
        <v>31</v>
      </c>
      <c r="AB85" s="40" t="s">
        <v>32</v>
      </c>
      <c r="AC85" s="74" t="s">
        <v>34</v>
      </c>
      <c r="AD85" s="74" t="s">
        <v>35</v>
      </c>
      <c r="AE85" s="74" t="s">
        <v>36</v>
      </c>
      <c r="AF85" s="74" t="s">
        <v>37</v>
      </c>
      <c r="AG85" s="232"/>
      <c r="AH85" s="232"/>
      <c r="AI85" s="233"/>
      <c r="AKU85" s="8"/>
      <c r="AKV85" s="8"/>
      <c r="AKW85" s="8"/>
      <c r="AKX85" s="8"/>
      <c r="AKY85" s="8"/>
      <c r="AKZ85" s="8"/>
      <c r="ALA85" s="8"/>
      <c r="ALB85" s="8"/>
      <c r="ALC85" s="8"/>
      <c r="ALD85" s="8"/>
      <c r="ALE85" s="8"/>
      <c r="ALF85" s="8"/>
      <c r="ALG85" s="8"/>
      <c r="ALH85" s="8"/>
      <c r="ALI85" s="8"/>
      <c r="ALJ85" s="8"/>
      <c r="ALK85" s="8"/>
      <c r="ALL85" s="8"/>
      <c r="ALM85" s="8"/>
      <c r="ALN85" s="8"/>
      <c r="ALO85" s="8"/>
      <c r="ALP85" s="8"/>
      <c r="ALQ85" s="8"/>
      <c r="ALR85" s="8"/>
      <c r="ALS85" s="8"/>
      <c r="ALT85" s="8"/>
      <c r="ALU85" s="8"/>
      <c r="ALV85" s="8"/>
      <c r="ALW85" s="8"/>
      <c r="ALX85" s="8"/>
      <c r="ALY85" s="8"/>
      <c r="ALZ85" s="8"/>
      <c r="AMA85" s="8"/>
      <c r="AMB85" s="8"/>
      <c r="AMC85" s="8"/>
      <c r="AMD85" s="8"/>
      <c r="AME85" s="8"/>
      <c r="AMF85" s="8"/>
      <c r="AMG85" s="8"/>
      <c r="AMH85" s="8"/>
      <c r="AMI85" s="8"/>
      <c r="AMJ85" s="8"/>
    </row>
    <row r="86" customFormat="false" ht="22.7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35"/>
      <c r="X86" s="15"/>
      <c r="Y86" s="73"/>
      <c r="Z86" s="44"/>
      <c r="AA86" s="40"/>
      <c r="AB86" s="40"/>
      <c r="AC86" s="74"/>
      <c r="AD86" s="74"/>
      <c r="AE86" s="74"/>
      <c r="AF86" s="74"/>
      <c r="AG86" s="234"/>
      <c r="AH86" s="234"/>
      <c r="AI86" s="235"/>
    </row>
    <row r="87" customFormat="false" ht="18.6" hidden="false" customHeight="true" outlineLevel="0" collapsed="false">
      <c r="A87" s="190"/>
      <c r="B87" s="190"/>
      <c r="C87" s="18" t="s">
        <v>18</v>
      </c>
      <c r="D87" s="18"/>
      <c r="E87" s="18" t="s">
        <v>19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236"/>
      <c r="X87" s="15"/>
      <c r="Y87" s="73"/>
      <c r="Z87" s="44"/>
      <c r="AA87" s="40"/>
      <c r="AB87" s="40"/>
      <c r="AC87" s="74"/>
      <c r="AD87" s="74"/>
      <c r="AE87" s="74"/>
      <c r="AF87" s="74"/>
      <c r="AG87" s="234"/>
      <c r="AH87" s="234"/>
      <c r="AI87" s="235"/>
    </row>
    <row r="88" customFormat="false" ht="21" hidden="false" customHeight="true" outlineLevel="0" collapsed="false">
      <c r="A88" s="20" t="s">
        <v>21</v>
      </c>
      <c r="B88" s="20"/>
      <c r="C88" s="21" t="s">
        <v>22</v>
      </c>
      <c r="D88" s="21" t="s">
        <v>23</v>
      </c>
      <c r="E88" s="21" t="s">
        <v>22</v>
      </c>
      <c r="F88" s="21" t="s">
        <v>23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20" t="s">
        <v>21</v>
      </c>
      <c r="X88" s="20"/>
      <c r="Y88" s="73"/>
      <c r="Z88" s="44"/>
      <c r="AA88" s="40"/>
      <c r="AB88" s="40"/>
      <c r="AC88" s="74"/>
      <c r="AD88" s="74"/>
      <c r="AE88" s="74"/>
      <c r="AF88" s="74"/>
      <c r="AG88" s="237"/>
      <c r="AH88" s="237"/>
      <c r="AI88" s="238"/>
    </row>
    <row r="89" customFormat="false" ht="54.95" hidden="false" customHeight="true" outlineLevel="0" collapsed="false">
      <c r="A89" s="20" t="s">
        <v>38</v>
      </c>
      <c r="B89" s="20"/>
      <c r="C89" s="25" t="n">
        <f aca="false">C12+G12+K12+O12+S12+C22+G22+K22+O22+S22+C32+G32+K32+O32+S32+C53+G53+K53+O53+S53+C63+G63+K63+O63+S63+C73+G73+K73+O73+S73</f>
        <v>2</v>
      </c>
      <c r="D89" s="25" t="n">
        <f aca="false">D12+H12+L12+P12+T12+D22+H22+L22+P22+T22+D32+H32+L32+P32+T32+D53+H53+L53+P53+T53+D63+H63+L63+P63+T63+D73+H73+L73+P73+T73</f>
        <v>6</v>
      </c>
      <c r="E89" s="25" t="n">
        <f aca="false">E12+I12+M12+Q12+U12+E22+I22+M22+Q22+U22+E32+I32+M32+Q32+U32+E53+I53+M53+Q53+U53+E63+I63+M63+Q63+U63+E73+I73+M73+Q73+U73</f>
        <v>3</v>
      </c>
      <c r="F89" s="25" t="n">
        <f aca="false">F12+J12+N12+R12+V12+F22+J22+N22+R22+V22+F32+J32+N32+R32+V32+F53+J53+N53+R53+V53+F63+J63+N63+R63+V63+F73+J73+N73+R73+V73</f>
        <v>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20" t="str">
        <f aca="false">A89</f>
        <v>6:30 à 7:00</v>
      </c>
      <c r="X89" s="20"/>
      <c r="Y89" s="76" t="n">
        <f aca="false">SUM(C89:V89)+SUM(C103:V103)</f>
        <v>11</v>
      </c>
      <c r="Z89" s="46" t="n">
        <f aca="false">C89+E89</f>
        <v>5</v>
      </c>
      <c r="AA89" s="46" t="n">
        <f aca="false">E89+F89</f>
        <v>3</v>
      </c>
      <c r="AB89" s="46" t="n">
        <f aca="false">E89</f>
        <v>3</v>
      </c>
      <c r="AC89" s="239"/>
      <c r="AD89" s="103"/>
      <c r="AE89" s="102"/>
      <c r="AF89" s="102"/>
      <c r="AG89" s="239"/>
      <c r="AH89" s="239"/>
      <c r="AI89" s="240"/>
    </row>
    <row r="90" customFormat="false" ht="54.95" hidden="false" customHeight="true" outlineLevel="0" collapsed="false">
      <c r="A90" s="20" t="s">
        <v>39</v>
      </c>
      <c r="B90" s="20"/>
      <c r="C90" s="25" t="n">
        <f aca="false">C13+G13+K13+O13+S13+C23+G23+K23+O23+S23+C33+G33+K33+O33+S33+C54+G54+K54+O54+S54+C64+G64+K64+O64+S64+C74+G74+K74+O74+S74</f>
        <v>6</v>
      </c>
      <c r="D90" s="25" t="n">
        <f aca="false">D13+H13+L13+P13+T13+D23+H23+L23+P23+T23+D33+H33+L33+P33+T33+D54+H54+L54+P54+T54+D64+H64+L64+P64+T64+D74+H74+L74+P74+T74</f>
        <v>5</v>
      </c>
      <c r="E90" s="25" t="n">
        <f aca="false">E13+I13+M13+Q13+U13+E23+I23+M23+Q23+U23+E33+I33+M33+Q33+U33+E54+I54+M54+Q54+U54+E64+I64+M64+Q64+U64+E74+I74+M74+Q74+U74</f>
        <v>0</v>
      </c>
      <c r="F90" s="25" t="n">
        <f aca="false">F13+J13+N13+R13+V13+F23+J23+N23+R23+V23+F33+J33+N33+R33+V33+F54+J54+N54+R54+V54+F64+J64+N64+R64+V64+F74+J74+N74+R74+V74</f>
        <v>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20" t="str">
        <f aca="false">A90</f>
        <v>7:00 à 7:30</v>
      </c>
      <c r="X90" s="20"/>
      <c r="Y90" s="76" t="n">
        <f aca="false">SUM(C90:V90)+SUM(C103:V103)</f>
        <v>14</v>
      </c>
      <c r="Z90" s="46" t="n">
        <f aca="false">C90+E90</f>
        <v>6</v>
      </c>
      <c r="AA90" s="46" t="n">
        <f aca="false">E90+F90</f>
        <v>3</v>
      </c>
      <c r="AB90" s="46" t="n">
        <f aca="false">E90</f>
        <v>0</v>
      </c>
      <c r="AC90" s="239"/>
      <c r="AD90" s="103"/>
      <c r="AE90" s="102"/>
      <c r="AF90" s="102"/>
      <c r="AG90" s="239"/>
      <c r="AH90" s="239"/>
      <c r="AI90" s="240"/>
    </row>
    <row r="91" customFormat="false" ht="54.95" hidden="false" customHeight="true" outlineLevel="0" collapsed="false">
      <c r="A91" s="20" t="s">
        <v>40</v>
      </c>
      <c r="B91" s="20"/>
      <c r="C91" s="25" t="n">
        <f aca="false">C14+G14+K14+O14+S14+C24+G24+K24+O24+S24+C34+G34+K34+O34+S34+C55+G55+K55+O55+S55+C65+G65+K65+O65+S65+C75+G75+K75+O75+S75</f>
        <v>4</v>
      </c>
      <c r="D91" s="25" t="n">
        <f aca="false">D14+H14+L14+P14+T14+D24+H24+L24+P24+T24+D34+H34+L34+P34+T34+D55+H55+L55+P55+T55+D65+H65+L65+P65+T65+D75+H75+L75+P75+T75</f>
        <v>4</v>
      </c>
      <c r="E91" s="25" t="n">
        <f aca="false">E14+I14+M14+Q14+U14+E24+I24+M24+Q24+U24+E34+I34+M34+Q34+U34+E55+I55+M55+Q55+U55+E65+I65+M65+Q65+U65+E75+I75+M75+Q75+U75</f>
        <v>1</v>
      </c>
      <c r="F91" s="25" t="n">
        <f aca="false">F14+J14+N14+R14+V14+F24+J24+N24+R24+V24+F34+J34+N34+R34+V34+F55+J55+N55+R55+V55+F65+J65+N65+R65+V65+F75+J75+N75+R75+V75</f>
        <v>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20" t="str">
        <f aca="false">A91</f>
        <v>7:30 à 8:00</v>
      </c>
      <c r="X91" s="20"/>
      <c r="Y91" s="76" t="n">
        <f aca="false">SUM(C91:V91)+SUM(C105:V105)</f>
        <v>10</v>
      </c>
      <c r="Z91" s="46" t="n">
        <f aca="false">C91+E91</f>
        <v>5</v>
      </c>
      <c r="AA91" s="46" t="n">
        <f aca="false">E91+F91</f>
        <v>2</v>
      </c>
      <c r="AB91" s="46" t="n">
        <f aca="false">E91</f>
        <v>1</v>
      </c>
      <c r="AC91" s="239"/>
      <c r="AD91" s="103"/>
      <c r="AE91" s="102"/>
      <c r="AF91" s="102"/>
      <c r="AG91" s="239"/>
      <c r="AH91" s="239"/>
      <c r="AI91" s="240"/>
    </row>
    <row r="92" customFormat="false" ht="54.95" hidden="false" customHeight="true" outlineLevel="0" collapsed="false">
      <c r="A92" s="20" t="s">
        <v>41</v>
      </c>
      <c r="B92" s="20"/>
      <c r="C92" s="25" t="n">
        <f aca="false">C15+G15+K15+O15+S15+C25+G25+K25+O25+S25+C35+G35+K35+O35+S35+C56+G56+K56+O56+S56+C66+G66+K66+O66+S66+C76+G76+K76+O76+S76</f>
        <v>0</v>
      </c>
      <c r="D92" s="25" t="n">
        <f aca="false">D15+H15+L15+P15+T15+D25+H25+L25+P25+T25+D35+H35+L35+P35+T35+D56+H56+L56+P56+T56+D66+H66+L66+P66+T66+D76+H76+L76+P76+T76</f>
        <v>2</v>
      </c>
      <c r="E92" s="25" t="n">
        <f aca="false">E15+I15+M15+Q15+U15+E25+I25+M25+Q25+U25+E35+I35+M35+Q35+U35+E56+I56+M56+Q56+U56+E66+I66+M66+Q66+U66+E76+I76+M76+Q76+U76</f>
        <v>0</v>
      </c>
      <c r="F92" s="25" t="n">
        <f aca="false">F15+J15+N15+R15+V15+F25+J25+N25+R25+V25+F35+J35+N35+R35+V35+F56+J56+N56+R56+V56+F66+J66+N66+R66+V66+F76+J76+N76+R76+V76</f>
        <v>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20" t="str">
        <f aca="false">A92</f>
        <v>8:00 à 8:30</v>
      </c>
      <c r="X92" s="20"/>
      <c r="Y92" s="76" t="n">
        <f aca="false">SUM(C92:V92)+SUM(C106:V106)</f>
        <v>3</v>
      </c>
      <c r="Z92" s="46" t="n">
        <f aca="false">C92+E92</f>
        <v>0</v>
      </c>
      <c r="AA92" s="46" t="n">
        <f aca="false">E92+F92</f>
        <v>1</v>
      </c>
      <c r="AB92" s="46" t="n">
        <f aca="false">E92</f>
        <v>0</v>
      </c>
      <c r="AC92" s="239"/>
      <c r="AD92" s="103"/>
      <c r="AE92" s="102"/>
      <c r="AF92" s="102"/>
      <c r="AG92" s="239"/>
      <c r="AH92" s="239"/>
      <c r="AI92" s="240"/>
    </row>
    <row r="93" customFormat="false" ht="54.95" hidden="false" customHeight="true" outlineLevel="0" collapsed="false">
      <c r="A93" s="20" t="s">
        <v>42</v>
      </c>
      <c r="B93" s="20"/>
      <c r="C93" s="25" t="n">
        <f aca="false">C16+G16+K16+O16+S16+C26+G26+K26+O26+S26+C36+G36+K36+O36+S36+C57+G57+K57+O57+S57+C67+G67+K67+O67+S67+C77+G77+K77+O77+S77</f>
        <v>0</v>
      </c>
      <c r="D93" s="25" t="n">
        <f aca="false">D16+H16+L16+P16+T16+D26+H26+L26+P26+T26+D36+H36+L36+P36+T36+D57+H57+L57+P57+T57+D67+H67+L67+P67+T67+D77+H77+L77+P77+T77</f>
        <v>3</v>
      </c>
      <c r="E93" s="25" t="n">
        <f aca="false">E16+I16+M16+Q16+U16+E26+I26+M26+Q26+U26+E36+I36+M36+Q36+U36+E57+I57+M57+Q57+U57+E67+I67+M67+Q67+U67+E77+I77+M77+Q77+U77</f>
        <v>1</v>
      </c>
      <c r="F93" s="25" t="n">
        <f aca="false">F16+J16+N16+R16+V16+F26+J26+N26+R26+V26+F36+J36+N36+R36+V36+F57+J57+N57+R57+V57+F67+J67+N67+R67+V67+F77+J77+N77+R77+V77</f>
        <v>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20" t="str">
        <f aca="false">A93</f>
        <v>8:30 à 9:00</v>
      </c>
      <c r="X93" s="20"/>
      <c r="Y93" s="76" t="n">
        <f aca="false">SUM(C93:V93)+SUM(C107:V107)</f>
        <v>6</v>
      </c>
      <c r="Z93" s="46" t="n">
        <f aca="false">C93+E93</f>
        <v>1</v>
      </c>
      <c r="AA93" s="46" t="n">
        <f aca="false">E93+F93</f>
        <v>3</v>
      </c>
      <c r="AB93" s="46" t="n">
        <f aca="false">E93</f>
        <v>1</v>
      </c>
      <c r="AC93" s="239"/>
      <c r="AD93" s="103"/>
      <c r="AE93" s="102"/>
      <c r="AF93" s="102"/>
      <c r="AG93" s="239"/>
      <c r="AH93" s="239"/>
      <c r="AI93" s="240"/>
    </row>
    <row r="94" customFormat="false" ht="54.95" hidden="false" customHeight="true" outlineLevel="0" collapsed="false">
      <c r="A94" s="20" t="s">
        <v>29</v>
      </c>
      <c r="B94" s="20"/>
      <c r="C94" s="105" t="n">
        <f aca="false">SUM(C89:C93)</f>
        <v>12</v>
      </c>
      <c r="D94" s="105" t="n">
        <f aca="false">SUM(D89:D93)</f>
        <v>20</v>
      </c>
      <c r="E94" s="105" t="n">
        <f aca="false">SUM(E89:E93)</f>
        <v>5</v>
      </c>
      <c r="F94" s="105" t="n">
        <f aca="false">SUM(F89:F93)</f>
        <v>7</v>
      </c>
      <c r="G94" s="5" t="n">
        <f aca="false">SUM(C94:F94)</f>
        <v>44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107" t="s">
        <v>29</v>
      </c>
      <c r="X94" s="107"/>
      <c r="Y94" s="50" t="n">
        <f aca="false">SUM(Y89:Y93)</f>
        <v>44</v>
      </c>
      <c r="Z94" s="50" t="n">
        <f aca="false">SUM(Z89:Z93)</f>
        <v>17</v>
      </c>
      <c r="AA94" s="50" t="n">
        <f aca="false">SUM(AA89:AA93)</f>
        <v>12</v>
      </c>
      <c r="AB94" s="51" t="n">
        <f aca="false">SUM(AB89:AB93)</f>
        <v>5</v>
      </c>
      <c r="AC94" s="50" t="n">
        <f aca="false">A81+A40</f>
        <v>0</v>
      </c>
      <c r="AD94" s="51" t="n">
        <f aca="false">A78+A37</f>
        <v>0</v>
      </c>
      <c r="AE94" s="51" t="n">
        <f aca="false">A79+A38</f>
        <v>0</v>
      </c>
      <c r="AF94" s="51" t="n">
        <f aca="false">A80+A39</f>
        <v>0</v>
      </c>
      <c r="AG94" s="239"/>
      <c r="AH94" s="239"/>
      <c r="AI94" s="240"/>
    </row>
    <row r="95" customFormat="false" ht="54.95" hidden="false" customHeight="true" outlineLevel="0" collapsed="false">
      <c r="A95" s="113"/>
      <c r="B95" s="113"/>
      <c r="C95" s="127"/>
      <c r="D95" s="127"/>
      <c r="E95" s="127"/>
      <c r="F95" s="12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6" t="s">
        <v>39</v>
      </c>
      <c r="X95" s="57"/>
      <c r="Y95" s="58" t="n">
        <v>13</v>
      </c>
      <c r="Z95" s="58"/>
      <c r="AA95" s="58"/>
      <c r="AB95" s="58"/>
      <c r="AC95" s="239"/>
      <c r="AD95" s="239"/>
      <c r="AE95" s="239"/>
      <c r="AF95" s="239"/>
      <c r="AG95" s="239"/>
      <c r="AH95" s="239"/>
      <c r="AI95" s="240"/>
    </row>
    <row r="96" customFormat="false" ht="54.95" hidden="false" customHeight="true" outlineLevel="0" collapsed="false">
      <c r="A96" s="113"/>
      <c r="B96" s="113"/>
      <c r="C96" s="127"/>
      <c r="D96" s="127"/>
      <c r="E96" s="127"/>
      <c r="F96" s="12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63" t="s">
        <v>40</v>
      </c>
      <c r="X96" s="64"/>
      <c r="Y96" s="65" t="n">
        <v>18</v>
      </c>
      <c r="Z96" s="65"/>
      <c r="AA96" s="65"/>
      <c r="AB96" s="65"/>
      <c r="AC96" s="239"/>
      <c r="AD96" s="239"/>
      <c r="AE96" s="239"/>
      <c r="AF96" s="239"/>
      <c r="AG96" s="239"/>
      <c r="AH96" s="239"/>
      <c r="AI96" s="240"/>
    </row>
    <row r="97" customFormat="false" ht="54.95" hidden="false" customHeight="true" outlineLevel="0" collapsed="false">
      <c r="A97" s="113"/>
      <c r="B97" s="113"/>
      <c r="C97" s="127"/>
      <c r="D97" s="127"/>
      <c r="E97" s="127"/>
      <c r="F97" s="12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66" t="s">
        <v>44</v>
      </c>
      <c r="X97" s="66"/>
      <c r="Y97" s="67" t="n">
        <f aca="false">SUM(Y95:Y96)</f>
        <v>31</v>
      </c>
      <c r="Z97" s="68"/>
      <c r="AA97" s="68"/>
      <c r="AB97" s="68"/>
      <c r="AC97" s="239"/>
      <c r="AD97" s="239"/>
      <c r="AE97" s="239"/>
      <c r="AF97" s="239"/>
      <c r="AG97" s="239"/>
      <c r="AH97" s="239"/>
      <c r="AI97" s="240"/>
    </row>
    <row r="98" customFormat="false" ht="32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241" t="s">
        <v>43</v>
      </c>
      <c r="W98" s="20" t="str">
        <f aca="false">IF($Y$89=MAX($Y$89:$Y$93),W89,IF($Y$90=MAX($Y$89:$Y$93),W90,IF($Y$91=MAX($Y$89:$Y$93),W91,IF($Y$92=MAX($Y$89:$Y$93),W92,IF($Y$93=MAX($Y$89:$Y$93),A93)))))</f>
        <v>7:00 à 7:30</v>
      </c>
      <c r="X98" s="20"/>
      <c r="Y98" s="43" t="n">
        <f aca="false">IF($Y$89=MAX($Y$89:$Y$93),Y89,IF($Y$90=MAX($Y$89:$Y$93),Y90,IF($Y$91=MAX($Y$89:$Y$93),Y91,IF($Y$92=MAX($Y$89:$Y$93),Y92,IF($Y$93=MAX($Y$89:$Y$93),C93)))))</f>
        <v>14</v>
      </c>
      <c r="Z98" s="43" t="n">
        <f aca="false">IF($Y$89=MAX($Y$89:$Y$93),Z89,IF($Y$90=MAX($Y$89:$Y$93),Z90,IF($Y$91=MAX($Y$89:$Y$93),Z91,IF($Y$92=MAX($Y$89:$Y$93),Z92,IF($Y$93=MAX($Y$89:$Y$93),D93)))))</f>
        <v>6</v>
      </c>
      <c r="AA98" s="43" t="n">
        <f aca="false">IF($Y$89=MAX($Y$89:$Y$93),AA89,IF($Y$90=MAX($Y$89:$Y$93),AA90,IF($Y$91=MAX($Y$89:$Y$93),AA91,IF($Y$92=MAX($Y$89:$Y$93),AA92,IF($Y$93=MAX($Y$89:$Y$93),E93)))))</f>
        <v>3</v>
      </c>
      <c r="AB98" s="43" t="n">
        <f aca="false">IF($Y$89=MAX($Y$89:$Y$93),AB89,IF($Y$90=MAX($Y$89:$Y$93),AB90,IF($Y$91=MAX($Y$89:$Y$93),AB91,IF($Y$92=MAX($Y$89:$Y$93),AB92,IF($Y$93=MAX($Y$89:$Y$93),F93)))))</f>
        <v>0</v>
      </c>
      <c r="AC98" s="239"/>
      <c r="AD98" s="103"/>
      <c r="AE98" s="102"/>
      <c r="AF98" s="102"/>
      <c r="AG98" s="239"/>
      <c r="AH98" s="239"/>
      <c r="AI98" s="240"/>
    </row>
    <row r="99" customFormat="false" ht="22.7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35"/>
      <c r="X99" s="15"/>
      <c r="Y99" s="73" t="s">
        <v>29</v>
      </c>
      <c r="Z99" s="74" t="s">
        <v>45</v>
      </c>
      <c r="AA99" s="74" t="s">
        <v>46</v>
      </c>
      <c r="AB99" s="74" t="s">
        <v>47</v>
      </c>
      <c r="AC99" s="74"/>
      <c r="AD99" s="74" t="s">
        <v>67</v>
      </c>
      <c r="AE99" s="74"/>
      <c r="AF99" s="74"/>
      <c r="AG99" s="74"/>
      <c r="AH99" s="74"/>
      <c r="AI99" s="74"/>
    </row>
    <row r="100" customFormat="false" ht="18.6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35"/>
      <c r="X100" s="15"/>
      <c r="Y100" s="73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</row>
    <row r="101" customFormat="false" ht="20.2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236"/>
      <c r="X101" s="15"/>
      <c r="Y101" s="73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</row>
    <row r="102" customFormat="false" ht="54.9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20" t="s">
        <v>21</v>
      </c>
      <c r="X102" s="20"/>
      <c r="Y102" s="73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</row>
    <row r="103" customFormat="false" ht="54.9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20" t="n">
        <f aca="false">A103</f>
        <v>0</v>
      </c>
      <c r="X103" s="20"/>
      <c r="Y103" s="76"/>
      <c r="Z103" s="77" t="n">
        <f aca="false">IF(Z89=0,0,Z89/Y89)</f>
        <v>0.454545454545455</v>
      </c>
      <c r="AA103" s="77" t="n">
        <f aca="false">IF(AA89=0,0,AA89/Y89)</f>
        <v>0.272727272727273</v>
      </c>
      <c r="AB103" s="77" t="n">
        <f aca="false">IF(AB89=0,0,AB89/Z89)</f>
        <v>0.6</v>
      </c>
      <c r="AC103" s="239"/>
      <c r="AD103" s="103"/>
      <c r="AE103" s="102"/>
      <c r="AF103" s="102"/>
      <c r="AG103" s="239"/>
      <c r="AH103" s="239"/>
      <c r="AI103" s="240"/>
    </row>
    <row r="104" s="1" customFormat="true" ht="54.9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20" t="n">
        <f aca="false">A104</f>
        <v>0</v>
      </c>
      <c r="X104" s="20"/>
      <c r="Y104" s="76"/>
      <c r="Z104" s="77" t="n">
        <f aca="false">IF(Z90=0,0,Z90/Y90)</f>
        <v>0.428571428571429</v>
      </c>
      <c r="AA104" s="77" t="n">
        <f aca="false">IF(AA90=0,0,AA90/Y90)</f>
        <v>0.214285714285714</v>
      </c>
      <c r="AB104" s="77" t="n">
        <f aca="false">IF(AB90=0,0,AB90/Z90)</f>
        <v>0</v>
      </c>
      <c r="AC104" s="239"/>
      <c r="AD104" s="103"/>
      <c r="AE104" s="102"/>
      <c r="AF104" s="102"/>
      <c r="AG104" s="239"/>
      <c r="AH104" s="239"/>
      <c r="AI104" s="240"/>
    </row>
    <row r="105" s="1" customFormat="true" ht="54.9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20" t="n">
        <f aca="false">A105</f>
        <v>0</v>
      </c>
      <c r="X105" s="20"/>
      <c r="Y105" s="76"/>
      <c r="Z105" s="77" t="n">
        <f aca="false">IF(Z90=0,0,Z90/Y90)</f>
        <v>0.428571428571429</v>
      </c>
      <c r="AA105" s="77" t="n">
        <f aca="false">IF(AA90=0,0,AA90/Y90)</f>
        <v>0.214285714285714</v>
      </c>
      <c r="AB105" s="77" t="n">
        <f aca="false">IF(AB90=0,0,AB90/Z90)</f>
        <v>0</v>
      </c>
      <c r="AC105" s="239"/>
      <c r="AD105" s="103"/>
      <c r="AE105" s="102"/>
      <c r="AF105" s="102"/>
      <c r="AG105" s="239"/>
      <c r="AH105" s="239"/>
      <c r="AI105" s="240"/>
    </row>
    <row r="106" s="1" customFormat="true" ht="54.9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20" t="n">
        <f aca="false">A106</f>
        <v>0</v>
      </c>
      <c r="X106" s="20"/>
      <c r="Y106" s="76"/>
      <c r="Z106" s="77" t="n">
        <f aca="false">IF(Z91=0,0,Z91/Y91)</f>
        <v>0.5</v>
      </c>
      <c r="AA106" s="77" t="n">
        <f aca="false">IF(AA91=0,0,AA91/Y91)</f>
        <v>0.2</v>
      </c>
      <c r="AB106" s="77" t="n">
        <f aca="false">IF(AB91=0,0,AB91/Z91)</f>
        <v>0.2</v>
      </c>
      <c r="AC106" s="239"/>
      <c r="AD106" s="103"/>
      <c r="AE106" s="102"/>
      <c r="AF106" s="102"/>
      <c r="AG106" s="239"/>
      <c r="AH106" s="239"/>
      <c r="AI106" s="240"/>
    </row>
    <row r="107" s="1" customFormat="true" ht="54.9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20" t="n">
        <f aca="false">A107</f>
        <v>0</v>
      </c>
      <c r="X107" s="20"/>
      <c r="Y107" s="76"/>
      <c r="Z107" s="77" t="n">
        <f aca="false">IF(Z92=0,0,Z92/Y92)</f>
        <v>0</v>
      </c>
      <c r="AA107" s="77" t="n">
        <f aca="false">IF(AA92=0,0,AA92/Y92)</f>
        <v>0.333333333333333</v>
      </c>
      <c r="AB107" s="77" t="n">
        <f aca="false">IF(AB92=0,0,AB92/Z92)</f>
        <v>0</v>
      </c>
      <c r="AC107" s="239"/>
      <c r="AD107" s="103"/>
      <c r="AE107" s="102"/>
      <c r="AF107" s="102"/>
      <c r="AG107" s="239"/>
      <c r="AH107" s="239"/>
      <c r="AI107" s="240"/>
    </row>
    <row r="108" s="1" customFormat="true" ht="54.9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20" t="n">
        <f aca="false">A108</f>
        <v>0</v>
      </c>
      <c r="X108" s="20"/>
      <c r="Y108" s="76"/>
      <c r="Z108" s="77" t="n">
        <f aca="false">IF(Z93=0,0,Z93/Y93)</f>
        <v>0.166666666666667</v>
      </c>
      <c r="AA108" s="77" t="n">
        <f aca="false">IF(AA93=0,0,AA93/Y93)</f>
        <v>0.5</v>
      </c>
      <c r="AB108" s="77" t="n">
        <f aca="false">IF(AB93=0,0,AB93/Z93)</f>
        <v>1</v>
      </c>
      <c r="AC108" s="239"/>
      <c r="AD108" s="103"/>
      <c r="AE108" s="102"/>
      <c r="AF108" s="102"/>
      <c r="AG108" s="239"/>
      <c r="AH108" s="239"/>
      <c r="AI108" s="240"/>
    </row>
    <row r="109" s="1" customFormat="true" ht="54.9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20" t="str">
        <f aca="false">W98</f>
        <v>7:00 à 7:30</v>
      </c>
      <c r="X109" s="20"/>
      <c r="Y109" s="43" t="n">
        <f aca="false">IF($Y$89=MAX($Y$89:$Y$94),Y103,IF($Y$91=MAX($Y$89:$Y$94),Y106,IF($Y$92=MAX($Y$89:$Y$94),Y107,IF($Y$93=MAX($Y$89:$Y$94),(Y107),Y108))))</f>
        <v>0</v>
      </c>
      <c r="Z109" s="80" t="n">
        <f aca="false">Z98/$Y$98</f>
        <v>0.428571428571429</v>
      </c>
      <c r="AA109" s="80" t="n">
        <f aca="false">AA98/$Y$98</f>
        <v>0.214285714285714</v>
      </c>
      <c r="AB109" s="80" t="n">
        <f aca="false">AB98/$Y$98</f>
        <v>0</v>
      </c>
      <c r="AC109" s="239"/>
      <c r="AD109" s="103"/>
      <c r="AE109" s="102"/>
      <c r="AF109" s="102"/>
      <c r="AG109" s="239"/>
      <c r="AH109" s="239"/>
      <c r="AI109" s="240"/>
    </row>
    <row r="110" s="1" customFormat="true" ht="23.2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216"/>
      <c r="AC110" s="239"/>
      <c r="AD110" s="102"/>
      <c r="AE110" s="102"/>
      <c r="AF110" s="102"/>
      <c r="AG110" s="239"/>
      <c r="AH110" s="239"/>
      <c r="AI110" s="239"/>
    </row>
    <row r="111" customFormat="false" ht="20.2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customFormat="false" ht="20.2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customFormat="false" ht="20.2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customFormat="false" ht="20.2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="1" customFormat="true" ht="24.9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216"/>
    </row>
    <row r="116" s="1" customFormat="true" ht="24.9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216"/>
    </row>
    <row r="117" s="1" customFormat="true" ht="24.9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216"/>
    </row>
    <row r="118" s="1" customFormat="true" ht="24.95" hidden="false" customHeight="true" outlineLevel="0" collapsed="false">
      <c r="W118" s="216"/>
    </row>
    <row r="119" s="1" customFormat="true" ht="24.95" hidden="false" customHeight="true" outlineLevel="0" collapsed="false">
      <c r="W119" s="216"/>
    </row>
    <row r="120" s="1" customFormat="true" ht="24.95" hidden="false" customHeight="true" outlineLevel="0" collapsed="false">
      <c r="W120" s="216"/>
    </row>
    <row r="121" s="1" customFormat="true" ht="24.95" hidden="false" customHeight="true" outlineLevel="0" collapsed="false">
      <c r="W121" s="216"/>
    </row>
  </sheetData>
  <mergeCells count="136">
    <mergeCell ref="C8:V8"/>
    <mergeCell ref="C9:F9"/>
    <mergeCell ref="G9:J9"/>
    <mergeCell ref="K9:N9"/>
    <mergeCell ref="O9:R9"/>
    <mergeCell ref="S9:V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A11:B11"/>
    <mergeCell ref="C18:V18"/>
    <mergeCell ref="C19:F19"/>
    <mergeCell ref="G19:J19"/>
    <mergeCell ref="K19:N19"/>
    <mergeCell ref="O19:R19"/>
    <mergeCell ref="S19:V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A21:B21"/>
    <mergeCell ref="C28:V28"/>
    <mergeCell ref="C29:F29"/>
    <mergeCell ref="G29:J29"/>
    <mergeCell ref="K29:N29"/>
    <mergeCell ref="O29:R29"/>
    <mergeCell ref="S29: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A31:B31"/>
    <mergeCell ref="C49:V49"/>
    <mergeCell ref="C50:F50"/>
    <mergeCell ref="G50:J50"/>
    <mergeCell ref="K50:N50"/>
    <mergeCell ref="O50:R50"/>
    <mergeCell ref="S50:V50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A52:B52"/>
    <mergeCell ref="C59:V59"/>
    <mergeCell ref="C60:F60"/>
    <mergeCell ref="G60:J60"/>
    <mergeCell ref="K60:N60"/>
    <mergeCell ref="O60:R60"/>
    <mergeCell ref="S60:V60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A62:B62"/>
    <mergeCell ref="C69:V69"/>
    <mergeCell ref="C70:F70"/>
    <mergeCell ref="G70:J70"/>
    <mergeCell ref="K70:N70"/>
    <mergeCell ref="O70:R70"/>
    <mergeCell ref="S70:V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A72:B72"/>
    <mergeCell ref="Y85:Y88"/>
    <mergeCell ref="Z85:Z88"/>
    <mergeCell ref="AA85:AA88"/>
    <mergeCell ref="AB85:AB88"/>
    <mergeCell ref="C87:D87"/>
    <mergeCell ref="E87:F87"/>
    <mergeCell ref="A88:B88"/>
    <mergeCell ref="W88:X88"/>
    <mergeCell ref="A89:B89"/>
    <mergeCell ref="W89:X89"/>
    <mergeCell ref="A90:B90"/>
    <mergeCell ref="W90:X90"/>
    <mergeCell ref="A91:B91"/>
    <mergeCell ref="W91:X91"/>
    <mergeCell ref="A92:B92"/>
    <mergeCell ref="W92:X92"/>
    <mergeCell ref="A93:B93"/>
    <mergeCell ref="W93:X93"/>
    <mergeCell ref="A94:B94"/>
    <mergeCell ref="W94:X94"/>
    <mergeCell ref="W97:X97"/>
    <mergeCell ref="W98:X98"/>
    <mergeCell ref="Y99:Y102"/>
    <mergeCell ref="Z99:Z102"/>
    <mergeCell ref="AA99:AA102"/>
    <mergeCell ref="AB99:AB102"/>
    <mergeCell ref="W102:X102"/>
    <mergeCell ref="W103:X103"/>
    <mergeCell ref="W104:X104"/>
    <mergeCell ref="W105:X105"/>
    <mergeCell ref="W106:X106"/>
    <mergeCell ref="W107:X107"/>
    <mergeCell ref="W108:X108"/>
    <mergeCell ref="W109:X109"/>
  </mergeCells>
  <printOptions headings="false" gridLines="false" gridLinesSet="true" horizontalCentered="false" verticalCentered="false"/>
  <pageMargins left="0.315277777777778" right="0.315277777777778" top="1.14166666666667" bottom="1.14166666666667" header="0.511805555555555" footer="0.51180555555555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2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7"/>
  <sheetViews>
    <sheetView showFormulas="false" showGridLines="true" showRowColHeaders="true" showZeros="true" rightToLeft="false" tabSelected="false" showOutlineSymbols="true" defaultGridColor="true" view="normal" topLeftCell="A16" colorId="64" zoomScale="55" zoomScaleNormal="55" zoomScalePageLayoutView="100" workbookViewId="0">
      <selection pane="topLeft" activeCell="U28" activeCellId="0" sqref="U28"/>
    </sheetView>
  </sheetViews>
  <sheetFormatPr defaultColWidth="11.23828125" defaultRowHeight="14" zeroHeight="false" outlineLevelRow="0" outlineLevelCol="0"/>
  <cols>
    <col collapsed="false" customWidth="true" hidden="false" outlineLevel="0" max="1" min="1" style="242" width="12"/>
    <col collapsed="false" customWidth="false" hidden="false" outlineLevel="0" max="2" min="2" style="242" width="11.25"/>
    <col collapsed="false" customWidth="true" hidden="false" outlineLevel="0" max="18" min="3" style="242" width="14.58"/>
    <col collapsed="false" customWidth="false" hidden="false" outlineLevel="0" max="24" min="19" style="242" width="11.25"/>
    <col collapsed="false" customWidth="true" hidden="false" outlineLevel="0" max="25" min="25" style="242" width="14.58"/>
    <col collapsed="false" customWidth="true" hidden="false" outlineLevel="0" max="26" min="26" style="243" width="14.58"/>
    <col collapsed="false" customWidth="true" hidden="false" outlineLevel="0" max="28" min="27" style="242" width="14.58"/>
    <col collapsed="false" customWidth="false" hidden="false" outlineLevel="0" max="1023" min="29" style="242" width="11.25"/>
    <col collapsed="false" customWidth="false" hidden="false" outlineLevel="0" max="1024" min="1024" style="244" width="11.25"/>
  </cols>
  <sheetData>
    <row r="1" s="243" customFormat="true" ht="42" hidden="false" customHeight="true" outlineLevel="0" collapsed="false">
      <c r="A1" s="245"/>
      <c r="B1" s="246" t="s">
        <v>157</v>
      </c>
      <c r="C1" s="247"/>
      <c r="D1" s="247"/>
      <c r="E1" s="247"/>
      <c r="G1" s="245" t="s">
        <v>2</v>
      </c>
      <c r="H1" s="81" t="s">
        <v>49</v>
      </c>
      <c r="I1" s="247"/>
      <c r="J1" s="247"/>
      <c r="K1" s="247"/>
      <c r="L1" s="247"/>
      <c r="M1" s="247"/>
      <c r="O1" s="245"/>
      <c r="P1" s="248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G1" s="247"/>
      <c r="AH1" s="247"/>
      <c r="AMH1" s="249"/>
      <c r="AMI1" s="249"/>
    </row>
    <row r="2" s="243" customFormat="true" ht="30" hidden="false" customHeight="true" outlineLevel="0" collapsed="false">
      <c r="A2" s="245" t="s">
        <v>4</v>
      </c>
      <c r="B2" s="247"/>
      <c r="C2" s="247"/>
      <c r="D2" s="247"/>
      <c r="E2" s="247"/>
      <c r="G2" s="247" t="s">
        <v>158</v>
      </c>
      <c r="H2" s="247"/>
      <c r="I2" s="247"/>
      <c r="J2" s="247"/>
      <c r="K2" s="247"/>
      <c r="L2" s="247"/>
      <c r="M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F2" s="247"/>
      <c r="AG2" s="247"/>
      <c r="AH2" s="247"/>
      <c r="AMH2" s="249"/>
      <c r="AMI2" s="249"/>
    </row>
    <row r="3" s="243" customFormat="true" ht="20.25" hidden="false" customHeight="true" outlineLevel="0" collapsed="false">
      <c r="A3" s="245" t="s">
        <v>6</v>
      </c>
      <c r="B3" s="247"/>
      <c r="C3" s="247"/>
      <c r="D3" s="247"/>
      <c r="E3" s="247"/>
      <c r="F3" s="247"/>
      <c r="G3" s="250" t="s">
        <v>7</v>
      </c>
      <c r="H3" s="247"/>
      <c r="I3" s="247"/>
      <c r="J3" s="247"/>
      <c r="K3" s="247"/>
      <c r="L3" s="247"/>
      <c r="M3" s="247"/>
      <c r="N3" s="247"/>
      <c r="O3" s="250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MH3" s="249"/>
      <c r="AMI3" s="249"/>
    </row>
    <row r="4" s="249" customFormat="true" ht="4.5" hidden="false" customHeight="true" outlineLevel="0" collapsed="false"/>
    <row r="5" s="249" customFormat="true" ht="4.5" hidden="false" customHeight="true" outlineLevel="0" collapsed="false"/>
    <row r="6" s="243" customFormat="true" ht="25.5" hidden="false" customHeight="true" outlineLevel="0" collapsed="false">
      <c r="A6" s="251" t="s">
        <v>8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MI6" s="249"/>
    </row>
    <row r="7" s="243" customFormat="true" ht="50.65" hidden="false" customHeight="true" outlineLevel="0" collapsed="false">
      <c r="A7" s="251" t="s">
        <v>10</v>
      </c>
      <c r="B7" s="247"/>
      <c r="C7" s="247"/>
      <c r="D7" s="247"/>
      <c r="E7" s="247"/>
      <c r="F7" s="247"/>
      <c r="G7" s="252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MI7" s="249"/>
    </row>
    <row r="8" s="243" customFormat="true" ht="25.5" hidden="false" customHeight="true" outlineLevel="0" collapsed="false">
      <c r="A8" s="251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</row>
    <row r="9" s="243" customFormat="true" ht="30" hidden="false" customHeight="true" outlineLevel="0" collapsed="false">
      <c r="A9" s="245"/>
      <c r="B9" s="247"/>
      <c r="C9" s="253" t="s">
        <v>159</v>
      </c>
      <c r="D9" s="253"/>
      <c r="E9" s="253"/>
      <c r="F9" s="253"/>
      <c r="G9" s="253"/>
      <c r="H9" s="253"/>
      <c r="I9" s="253"/>
      <c r="J9" s="253"/>
      <c r="K9" s="253" t="s">
        <v>160</v>
      </c>
      <c r="L9" s="253"/>
      <c r="M9" s="253"/>
      <c r="N9" s="253"/>
      <c r="O9" s="253"/>
      <c r="P9" s="253"/>
      <c r="Q9" s="253"/>
      <c r="R9" s="253"/>
    </row>
    <row r="10" customFormat="false" ht="18.75" hidden="false" customHeight="true" outlineLevel="0" collapsed="false">
      <c r="A10" s="245"/>
      <c r="B10" s="247"/>
      <c r="C10" s="254" t="s">
        <v>161</v>
      </c>
      <c r="D10" s="254"/>
      <c r="E10" s="254"/>
      <c r="F10" s="254"/>
      <c r="G10" s="254" t="s">
        <v>162</v>
      </c>
      <c r="H10" s="254"/>
      <c r="I10" s="254"/>
      <c r="J10" s="254"/>
      <c r="K10" s="254" t="s">
        <v>163</v>
      </c>
      <c r="L10" s="254"/>
      <c r="M10" s="254"/>
      <c r="N10" s="254"/>
      <c r="O10" s="254" t="s">
        <v>164</v>
      </c>
      <c r="P10" s="254"/>
      <c r="Q10" s="254"/>
      <c r="R10" s="254"/>
    </row>
    <row r="11" customFormat="false" ht="23.25" hidden="false" customHeight="true" outlineLevel="0" collapsed="false">
      <c r="A11" s="245"/>
      <c r="B11" s="247"/>
      <c r="C11" s="255" t="s">
        <v>18</v>
      </c>
      <c r="D11" s="255"/>
      <c r="E11" s="255" t="s">
        <v>19</v>
      </c>
      <c r="F11" s="255"/>
      <c r="G11" s="255" t="s">
        <v>18</v>
      </c>
      <c r="H11" s="255"/>
      <c r="I11" s="255" t="s">
        <v>19</v>
      </c>
      <c r="J11" s="255"/>
      <c r="K11" s="255" t="s">
        <v>18</v>
      </c>
      <c r="L11" s="255"/>
      <c r="M11" s="255" t="s">
        <v>19</v>
      </c>
      <c r="N11" s="255"/>
      <c r="O11" s="255" t="s">
        <v>18</v>
      </c>
      <c r="P11" s="255"/>
      <c r="Q11" s="255" t="s">
        <v>19</v>
      </c>
      <c r="R11" s="255"/>
    </row>
    <row r="12" customFormat="false" ht="21" hidden="false" customHeight="false" outlineLevel="0" collapsed="false">
      <c r="A12" s="256" t="s">
        <v>21</v>
      </c>
      <c r="B12" s="256"/>
      <c r="C12" s="257" t="s">
        <v>22</v>
      </c>
      <c r="D12" s="257" t="s">
        <v>23</v>
      </c>
      <c r="E12" s="257" t="s">
        <v>22</v>
      </c>
      <c r="F12" s="257" t="s">
        <v>23</v>
      </c>
      <c r="G12" s="257" t="s">
        <v>22</v>
      </c>
      <c r="H12" s="257" t="s">
        <v>23</v>
      </c>
      <c r="I12" s="257" t="s">
        <v>22</v>
      </c>
      <c r="J12" s="257" t="s">
        <v>23</v>
      </c>
      <c r="K12" s="257" t="s">
        <v>22</v>
      </c>
      <c r="L12" s="257" t="s">
        <v>23</v>
      </c>
      <c r="M12" s="257" t="s">
        <v>22</v>
      </c>
      <c r="N12" s="257" t="s">
        <v>23</v>
      </c>
      <c r="O12" s="257" t="s">
        <v>22</v>
      </c>
      <c r="P12" s="257" t="s">
        <v>23</v>
      </c>
      <c r="Q12" s="257" t="s">
        <v>22</v>
      </c>
      <c r="R12" s="257" t="s">
        <v>23</v>
      </c>
    </row>
    <row r="13" customFormat="false" ht="45" hidden="false" customHeight="true" outlineLevel="0" collapsed="false">
      <c r="A13" s="258" t="n">
        <v>0.270833333333333</v>
      </c>
      <c r="B13" s="258" t="n">
        <v>0.291666666666667</v>
      </c>
      <c r="C13" s="259" t="n">
        <v>1</v>
      </c>
      <c r="D13" s="259" t="n">
        <v>2</v>
      </c>
      <c r="E13" s="259"/>
      <c r="F13" s="259"/>
      <c r="G13" s="259" t="n">
        <v>2</v>
      </c>
      <c r="H13" s="259" t="n">
        <v>1</v>
      </c>
      <c r="I13" s="259"/>
      <c r="J13" s="260"/>
      <c r="K13" s="261"/>
      <c r="L13" s="259" t="n">
        <v>1</v>
      </c>
      <c r="M13" s="259" t="n">
        <v>1</v>
      </c>
      <c r="N13" s="259"/>
      <c r="O13" s="259"/>
      <c r="P13" s="259"/>
      <c r="Q13" s="259"/>
      <c r="R13" s="259"/>
      <c r="S13" s="216" t="n">
        <f aca="false">SUM(C13:R13)</f>
        <v>8</v>
      </c>
    </row>
    <row r="14" customFormat="false" ht="47.15" hidden="false" customHeight="true" outlineLevel="0" collapsed="false">
      <c r="A14" s="258" t="n">
        <v>0.291666666666667</v>
      </c>
      <c r="B14" s="258" t="n">
        <v>0.3125</v>
      </c>
      <c r="C14" s="259"/>
      <c r="D14" s="259"/>
      <c r="E14" s="259"/>
      <c r="F14" s="259"/>
      <c r="G14" s="259" t="n">
        <v>1</v>
      </c>
      <c r="H14" s="259"/>
      <c r="I14" s="259" t="n">
        <v>1</v>
      </c>
      <c r="J14" s="260"/>
      <c r="K14" s="261"/>
      <c r="L14" s="259" t="n">
        <v>1</v>
      </c>
      <c r="M14" s="259"/>
      <c r="N14" s="259"/>
      <c r="O14" s="259"/>
      <c r="P14" s="259"/>
      <c r="Q14" s="259"/>
      <c r="R14" s="259"/>
      <c r="S14" s="216" t="n">
        <f aca="false">SUM(C14:R14)</f>
        <v>3</v>
      </c>
    </row>
    <row r="15" customFormat="false" ht="47.15" hidden="false" customHeight="true" outlineLevel="0" collapsed="false">
      <c r="A15" s="258" t="n">
        <v>0.3125</v>
      </c>
      <c r="B15" s="258" t="n">
        <v>0.333333333333333</v>
      </c>
      <c r="C15" s="259"/>
      <c r="D15" s="259"/>
      <c r="E15" s="259"/>
      <c r="F15" s="259"/>
      <c r="G15" s="259"/>
      <c r="H15" s="259"/>
      <c r="I15" s="259"/>
      <c r="J15" s="260" t="n">
        <v>1</v>
      </c>
      <c r="K15" s="261"/>
      <c r="L15" s="259"/>
      <c r="M15" s="259"/>
      <c r="N15" s="259"/>
      <c r="O15" s="259"/>
      <c r="P15" s="259"/>
      <c r="Q15" s="259"/>
      <c r="R15" s="259"/>
      <c r="S15" s="216" t="n">
        <f aca="false">SUM(C15:R15)</f>
        <v>1</v>
      </c>
    </row>
    <row r="16" customFormat="false" ht="47.15" hidden="false" customHeight="true" outlineLevel="0" collapsed="false">
      <c r="A16" s="258" t="n">
        <v>0.333333333333333</v>
      </c>
      <c r="B16" s="258" t="n">
        <v>0.354166666666667</v>
      </c>
      <c r="C16" s="259"/>
      <c r="D16" s="259"/>
      <c r="E16" s="259"/>
      <c r="F16" s="259"/>
      <c r="G16" s="259" t="n">
        <v>2</v>
      </c>
      <c r="H16" s="259"/>
      <c r="I16" s="259"/>
      <c r="J16" s="260"/>
      <c r="K16" s="261"/>
      <c r="L16" s="259"/>
      <c r="M16" s="259"/>
      <c r="N16" s="259"/>
      <c r="O16" s="259"/>
      <c r="P16" s="259"/>
      <c r="Q16" s="259"/>
      <c r="R16" s="259"/>
      <c r="S16" s="216" t="n">
        <f aca="false">SUM(C16:R16)</f>
        <v>2</v>
      </c>
    </row>
    <row r="17" customFormat="false" ht="47.15" hidden="false" customHeight="true" outlineLevel="0" collapsed="false">
      <c r="A17" s="258" t="n">
        <v>0.354166666666667</v>
      </c>
      <c r="B17" s="258" t="n">
        <v>0.375</v>
      </c>
      <c r="C17" s="259"/>
      <c r="D17" s="259"/>
      <c r="E17" s="259"/>
      <c r="F17" s="259" t="n">
        <v>1</v>
      </c>
      <c r="G17" s="259"/>
      <c r="H17" s="259"/>
      <c r="I17" s="259"/>
      <c r="J17" s="260"/>
      <c r="K17" s="261"/>
      <c r="L17" s="259"/>
      <c r="M17" s="259"/>
      <c r="N17" s="259"/>
      <c r="O17" s="259"/>
      <c r="P17" s="259"/>
      <c r="Q17" s="259"/>
      <c r="R17" s="259"/>
      <c r="S17" s="216" t="n">
        <f aca="false">SUM(C17:R17)</f>
        <v>1</v>
      </c>
    </row>
    <row r="18" customFormat="false" ht="12" hidden="false" customHeight="true" outlineLevel="0" collapsed="false">
      <c r="A18" s="262"/>
      <c r="B18" s="262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16" t="n">
        <f aca="false">SUM(S13:S17)</f>
        <v>15</v>
      </c>
    </row>
    <row r="19" s="243" customFormat="true" ht="30" hidden="false" customHeight="true" outlineLevel="0" collapsed="false">
      <c r="A19" s="245"/>
      <c r="B19" s="247"/>
      <c r="C19" s="253" t="s">
        <v>165</v>
      </c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</row>
    <row r="20" customFormat="false" ht="20.25" hidden="false" customHeight="true" outlineLevel="0" collapsed="false">
      <c r="A20" s="245"/>
      <c r="B20" s="247"/>
      <c r="C20" s="254" t="s">
        <v>166</v>
      </c>
      <c r="D20" s="254"/>
      <c r="E20" s="254"/>
      <c r="F20" s="254"/>
      <c r="G20" s="254" t="s">
        <v>167</v>
      </c>
      <c r="H20" s="254"/>
      <c r="I20" s="254"/>
      <c r="J20" s="254"/>
      <c r="K20" s="254" t="s">
        <v>168</v>
      </c>
      <c r="L20" s="254"/>
      <c r="M20" s="254"/>
      <c r="N20" s="254"/>
      <c r="O20" s="254" t="s">
        <v>169</v>
      </c>
      <c r="P20" s="254"/>
      <c r="Q20" s="254"/>
      <c r="R20" s="254"/>
    </row>
    <row r="21" customFormat="false" ht="23.25" hidden="false" customHeight="true" outlineLevel="0" collapsed="false">
      <c r="A21" s="245"/>
      <c r="B21" s="247"/>
      <c r="C21" s="255" t="s">
        <v>18</v>
      </c>
      <c r="D21" s="255"/>
      <c r="E21" s="255" t="s">
        <v>19</v>
      </c>
      <c r="F21" s="255"/>
      <c r="G21" s="255" t="s">
        <v>18</v>
      </c>
      <c r="H21" s="255"/>
      <c r="I21" s="255" t="s">
        <v>19</v>
      </c>
      <c r="J21" s="255"/>
      <c r="K21" s="255" t="s">
        <v>18</v>
      </c>
      <c r="L21" s="255"/>
      <c r="M21" s="255" t="s">
        <v>19</v>
      </c>
      <c r="N21" s="255"/>
      <c r="O21" s="255" t="s">
        <v>18</v>
      </c>
      <c r="P21" s="255"/>
      <c r="Q21" s="255" t="s">
        <v>19</v>
      </c>
      <c r="R21" s="255"/>
    </row>
    <row r="22" customFormat="false" ht="19.7" hidden="false" customHeight="false" outlineLevel="0" collapsed="false">
      <c r="A22" s="256" t="s">
        <v>21</v>
      </c>
      <c r="B22" s="256"/>
      <c r="C22" s="257" t="s">
        <v>22</v>
      </c>
      <c r="D22" s="257" t="s">
        <v>23</v>
      </c>
      <c r="E22" s="257" t="s">
        <v>22</v>
      </c>
      <c r="F22" s="257" t="s">
        <v>23</v>
      </c>
      <c r="G22" s="257" t="s">
        <v>22</v>
      </c>
      <c r="H22" s="257" t="s">
        <v>23</v>
      </c>
      <c r="I22" s="257" t="s">
        <v>22</v>
      </c>
      <c r="J22" s="257" t="s">
        <v>23</v>
      </c>
      <c r="K22" s="257" t="s">
        <v>22</v>
      </c>
      <c r="L22" s="257" t="s">
        <v>23</v>
      </c>
      <c r="M22" s="257" t="s">
        <v>22</v>
      </c>
      <c r="N22" s="257" t="s">
        <v>23</v>
      </c>
      <c r="O22" s="257" t="s">
        <v>22</v>
      </c>
      <c r="P22" s="257" t="s">
        <v>23</v>
      </c>
      <c r="Q22" s="257" t="s">
        <v>22</v>
      </c>
      <c r="R22" s="257" t="s">
        <v>23</v>
      </c>
    </row>
    <row r="23" customFormat="false" ht="45" hidden="false" customHeight="true" outlineLevel="0" collapsed="false">
      <c r="A23" s="258" t="n">
        <v>0.270833333333333</v>
      </c>
      <c r="B23" s="258" t="n">
        <v>0.291666666666667</v>
      </c>
      <c r="C23" s="259"/>
      <c r="D23" s="259"/>
      <c r="E23" s="259"/>
      <c r="F23" s="260"/>
      <c r="G23" s="261"/>
      <c r="H23" s="259"/>
      <c r="I23" s="259"/>
      <c r="J23" s="260"/>
      <c r="K23" s="261"/>
      <c r="L23" s="259" t="n">
        <v>4</v>
      </c>
      <c r="M23" s="259"/>
      <c r="N23" s="260" t="n">
        <v>1</v>
      </c>
      <c r="O23" s="261"/>
      <c r="P23" s="259"/>
      <c r="Q23" s="259"/>
      <c r="R23" s="260"/>
      <c r="S23" s="216" t="n">
        <f aca="false">SUM(C23:R23)</f>
        <v>5</v>
      </c>
    </row>
    <row r="24" customFormat="false" ht="47.15" hidden="false" customHeight="true" outlineLevel="0" collapsed="false">
      <c r="A24" s="258" t="n">
        <v>0.291666666666667</v>
      </c>
      <c r="B24" s="258" t="n">
        <v>0.3125</v>
      </c>
      <c r="C24" s="259"/>
      <c r="D24" s="259"/>
      <c r="E24" s="259"/>
      <c r="F24" s="260"/>
      <c r="G24" s="261"/>
      <c r="H24" s="259"/>
      <c r="I24" s="259"/>
      <c r="J24" s="260"/>
      <c r="K24" s="261" t="n">
        <v>1</v>
      </c>
      <c r="L24" s="259" t="n">
        <v>2</v>
      </c>
      <c r="M24" s="259"/>
      <c r="N24" s="260" t="n">
        <v>1</v>
      </c>
      <c r="O24" s="261"/>
      <c r="P24" s="259"/>
      <c r="Q24" s="259"/>
      <c r="R24" s="260"/>
      <c r="S24" s="216" t="n">
        <f aca="false">SUM(C24:R24)</f>
        <v>4</v>
      </c>
    </row>
    <row r="25" customFormat="false" ht="47.15" hidden="false" customHeight="true" outlineLevel="0" collapsed="false">
      <c r="A25" s="258" t="n">
        <v>0.3125</v>
      </c>
      <c r="B25" s="258" t="n">
        <v>0.333333333333333</v>
      </c>
      <c r="C25" s="259"/>
      <c r="D25" s="259"/>
      <c r="E25" s="259"/>
      <c r="F25" s="260"/>
      <c r="G25" s="261"/>
      <c r="H25" s="259"/>
      <c r="I25" s="259"/>
      <c r="J25" s="260"/>
      <c r="K25" s="261"/>
      <c r="L25" s="259" t="n">
        <v>4</v>
      </c>
      <c r="M25" s="259"/>
      <c r="N25" s="260"/>
      <c r="O25" s="261"/>
      <c r="P25" s="259"/>
      <c r="Q25" s="259"/>
      <c r="R25" s="260"/>
      <c r="S25" s="216" t="n">
        <f aca="false">SUM(C25:R25)</f>
        <v>4</v>
      </c>
    </row>
    <row r="26" customFormat="false" ht="47.15" hidden="false" customHeight="true" outlineLevel="0" collapsed="false">
      <c r="A26" s="258" t="n">
        <v>0.333333333333333</v>
      </c>
      <c r="B26" s="258" t="n">
        <v>0.354166666666667</v>
      </c>
      <c r="C26" s="259"/>
      <c r="D26" s="259"/>
      <c r="E26" s="259"/>
      <c r="F26" s="260"/>
      <c r="G26" s="261"/>
      <c r="H26" s="259"/>
      <c r="I26" s="259"/>
      <c r="J26" s="260"/>
      <c r="K26" s="261"/>
      <c r="L26" s="259"/>
      <c r="M26" s="259"/>
      <c r="N26" s="260" t="n">
        <v>1</v>
      </c>
      <c r="O26" s="261"/>
      <c r="P26" s="259"/>
      <c r="Q26" s="259"/>
      <c r="R26" s="260"/>
      <c r="S26" s="216" t="n">
        <f aca="false">SUM(C26:R26)</f>
        <v>1</v>
      </c>
    </row>
    <row r="27" customFormat="false" ht="47.15" hidden="false" customHeight="true" outlineLevel="0" collapsed="false">
      <c r="A27" s="264" t="n">
        <v>0.354166666666667</v>
      </c>
      <c r="B27" s="264" t="n">
        <v>0.375</v>
      </c>
      <c r="C27" s="265"/>
      <c r="D27" s="265"/>
      <c r="E27" s="265"/>
      <c r="F27" s="266"/>
      <c r="G27" s="267"/>
      <c r="H27" s="265"/>
      <c r="I27" s="265"/>
      <c r="J27" s="266"/>
      <c r="K27" s="267" t="n">
        <v>1</v>
      </c>
      <c r="L27" s="265" t="n">
        <v>4</v>
      </c>
      <c r="M27" s="265" t="n">
        <v>1</v>
      </c>
      <c r="N27" s="266" t="n">
        <v>6</v>
      </c>
      <c r="O27" s="261"/>
      <c r="P27" s="259"/>
      <c r="Q27" s="259"/>
      <c r="R27" s="260"/>
      <c r="S27" s="216" t="n">
        <f aca="false">SUM(C27:R27)</f>
        <v>12</v>
      </c>
    </row>
    <row r="28" customFormat="false" ht="34" hidden="false" customHeight="true" outlineLevel="0" collapsed="false">
      <c r="A28" s="27"/>
      <c r="B28" s="28" t="s">
        <v>25</v>
      </c>
      <c r="C28" s="268"/>
      <c r="D28" s="268"/>
      <c r="E28" s="268" t="n">
        <v>1</v>
      </c>
      <c r="F28" s="268"/>
      <c r="G28" s="268"/>
      <c r="H28" s="268"/>
      <c r="I28" s="268"/>
      <c r="J28" s="268"/>
      <c r="K28" s="269"/>
      <c r="L28" s="270"/>
      <c r="M28" s="270"/>
      <c r="N28" s="270"/>
      <c r="O28" s="270"/>
      <c r="P28" s="270"/>
      <c r="Q28" s="270"/>
      <c r="R28" s="270"/>
      <c r="S28" s="216" t="n">
        <f aca="false">SUM(S23:S27)</f>
        <v>26</v>
      </c>
    </row>
    <row r="29" customFormat="false" ht="34" hidden="false" customHeight="true" outlineLevel="0" collapsed="false">
      <c r="A29" s="27"/>
      <c r="B29" s="28" t="s">
        <v>36</v>
      </c>
      <c r="C29" s="268"/>
      <c r="D29" s="268"/>
      <c r="E29" s="268"/>
      <c r="F29" s="268"/>
      <c r="G29" s="268"/>
      <c r="H29" s="268"/>
      <c r="I29" s="268"/>
      <c r="J29" s="268"/>
      <c r="K29" s="271"/>
      <c r="L29" s="272"/>
      <c r="M29" s="272"/>
      <c r="N29" s="272"/>
      <c r="O29" s="272"/>
      <c r="P29" s="272"/>
      <c r="Q29" s="272"/>
      <c r="R29" s="272"/>
      <c r="S29" s="272"/>
    </row>
    <row r="30" customFormat="false" ht="34" hidden="false" customHeight="true" outlineLevel="0" collapsed="false">
      <c r="A30" s="27"/>
      <c r="B30" s="28" t="s">
        <v>27</v>
      </c>
      <c r="C30" s="268"/>
      <c r="D30" s="268"/>
      <c r="E30" s="268" t="n">
        <v>3</v>
      </c>
      <c r="F30" s="268"/>
      <c r="G30" s="268"/>
      <c r="H30" s="268"/>
      <c r="I30" s="268"/>
      <c r="J30" s="268"/>
      <c r="K30" s="271"/>
      <c r="L30" s="272"/>
      <c r="M30" s="272"/>
      <c r="N30" s="272"/>
      <c r="O30" s="272"/>
      <c r="P30" s="272"/>
      <c r="Q30" s="272"/>
      <c r="R30" s="272"/>
      <c r="S30" s="272"/>
    </row>
    <row r="31" customFormat="false" ht="34" hidden="false" customHeight="true" outlineLevel="0" collapsed="false">
      <c r="A31" s="27"/>
      <c r="B31" s="28" t="s">
        <v>28</v>
      </c>
      <c r="C31" s="268"/>
      <c r="D31" s="268"/>
      <c r="E31" s="268"/>
      <c r="F31" s="268"/>
      <c r="G31" s="268"/>
      <c r="H31" s="268"/>
      <c r="I31" s="268"/>
      <c r="J31" s="268" t="n">
        <v>10</v>
      </c>
      <c r="K31" s="271"/>
      <c r="L31" s="272"/>
      <c r="M31" s="272"/>
      <c r="N31" s="272"/>
      <c r="O31" s="272"/>
      <c r="P31" s="272"/>
      <c r="Q31" s="272"/>
      <c r="R31" s="272"/>
      <c r="S31" s="272"/>
      <c r="U31" s="124" t="s">
        <v>83</v>
      </c>
    </row>
    <row r="32" customFormat="false" ht="30" hidden="false" customHeight="true" outlineLevel="0" collapsed="false">
      <c r="A32" s="273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4"/>
      <c r="T32" s="275"/>
      <c r="U32" s="276" t="s">
        <v>29</v>
      </c>
      <c r="V32" s="277" t="s">
        <v>30</v>
      </c>
      <c r="W32" s="278" t="s">
        <v>31</v>
      </c>
      <c r="X32" s="278" t="s">
        <v>32</v>
      </c>
      <c r="Y32" s="74" t="s">
        <v>34</v>
      </c>
      <c r="Z32" s="279" t="s">
        <v>35</v>
      </c>
      <c r="AA32" s="74" t="s">
        <v>36</v>
      </c>
      <c r="AB32" s="74" t="s">
        <v>37</v>
      </c>
      <c r="AC32" s="232"/>
      <c r="AD32" s="232"/>
      <c r="AE32" s="233"/>
    </row>
    <row r="33" customFormat="false" ht="23.25" hidden="false" customHeight="true" outlineLevel="0" collapsed="false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4"/>
      <c r="T33" s="275"/>
      <c r="U33" s="276"/>
      <c r="V33" s="277"/>
      <c r="W33" s="278"/>
      <c r="X33" s="278"/>
      <c r="Y33" s="74"/>
      <c r="Z33" s="279"/>
      <c r="AA33" s="74"/>
      <c r="AB33" s="74"/>
      <c r="AC33" s="234"/>
      <c r="AD33" s="234"/>
      <c r="AE33" s="235"/>
    </row>
    <row r="34" customFormat="false" ht="30" hidden="false" customHeight="true" outlineLevel="0" collapsed="false">
      <c r="A34" s="280"/>
      <c r="B34" s="280"/>
      <c r="C34" s="255" t="s">
        <v>18</v>
      </c>
      <c r="D34" s="255"/>
      <c r="E34" s="255" t="s">
        <v>19</v>
      </c>
      <c r="F34" s="255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81"/>
      <c r="T34" s="275"/>
      <c r="U34" s="276"/>
      <c r="V34" s="277"/>
      <c r="W34" s="278"/>
      <c r="X34" s="278"/>
      <c r="Y34" s="74"/>
      <c r="Z34" s="279"/>
      <c r="AA34" s="74"/>
      <c r="AB34" s="74"/>
      <c r="AC34" s="234"/>
      <c r="AD34" s="234"/>
      <c r="AE34" s="235"/>
    </row>
    <row r="35" customFormat="false" ht="21" hidden="false" customHeight="true" outlineLevel="0" collapsed="false">
      <c r="A35" s="282" t="s">
        <v>21</v>
      </c>
      <c r="B35" s="282"/>
      <c r="C35" s="257" t="s">
        <v>22</v>
      </c>
      <c r="D35" s="257" t="s">
        <v>23</v>
      </c>
      <c r="E35" s="257" t="s">
        <v>22</v>
      </c>
      <c r="F35" s="257" t="s">
        <v>23</v>
      </c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82" t="s">
        <v>21</v>
      </c>
      <c r="T35" s="282"/>
      <c r="U35" s="276"/>
      <c r="V35" s="277"/>
      <c r="W35" s="278"/>
      <c r="X35" s="278"/>
      <c r="Y35" s="74"/>
      <c r="Z35" s="279"/>
      <c r="AA35" s="74"/>
      <c r="AB35" s="74"/>
      <c r="AC35" s="237"/>
      <c r="AD35" s="237"/>
      <c r="AE35" s="238"/>
    </row>
    <row r="36" customFormat="false" ht="35.15" hidden="false" customHeight="true" outlineLevel="0" collapsed="false">
      <c r="A36" s="282" t="s">
        <v>38</v>
      </c>
      <c r="B36" s="282"/>
      <c r="C36" s="259" t="n">
        <f aca="false">C13+G13+K13+O13+C23+G23+K23+O23</f>
        <v>3</v>
      </c>
      <c r="D36" s="259" t="n">
        <f aca="false">D13+H13+L13+P13+D23+H23+L23+P23</f>
        <v>8</v>
      </c>
      <c r="E36" s="259" t="n">
        <f aca="false">E13+I13+M13+Q13+E23+I23+M23+Q23</f>
        <v>1</v>
      </c>
      <c r="F36" s="259" t="n">
        <f aca="false">F13+J13+N13+R13+F23+J23+N23+R23</f>
        <v>1</v>
      </c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82" t="str">
        <f aca="false">A36</f>
        <v>6:30 à 7:00</v>
      </c>
      <c r="T36" s="282"/>
      <c r="U36" s="45" t="n">
        <f aca="false">SUM(C36:F36)</f>
        <v>13</v>
      </c>
      <c r="V36" s="46" t="n">
        <f aca="false">C36+E36</f>
        <v>4</v>
      </c>
      <c r="W36" s="46" t="n">
        <f aca="false">E36+F36</f>
        <v>2</v>
      </c>
      <c r="X36" s="46" t="n">
        <f aca="false">E36</f>
        <v>1</v>
      </c>
      <c r="Y36" s="1"/>
      <c r="Z36" s="2"/>
      <c r="AA36" s="1"/>
      <c r="AB36" s="1"/>
      <c r="AC36" s="239"/>
      <c r="AD36" s="239"/>
      <c r="AE36" s="240"/>
    </row>
    <row r="37" customFormat="false" ht="35.15" hidden="false" customHeight="true" outlineLevel="0" collapsed="false">
      <c r="A37" s="282" t="s">
        <v>39</v>
      </c>
      <c r="B37" s="282"/>
      <c r="C37" s="259" t="n">
        <f aca="false">C14+G14+K14+O14+C24+G24+K24+O24</f>
        <v>2</v>
      </c>
      <c r="D37" s="259" t="n">
        <f aca="false">D14+H14+L14+P14+D24+H24+L24+P24</f>
        <v>3</v>
      </c>
      <c r="E37" s="259" t="n">
        <f aca="false">E14+I14+M14+Q14+E24+I24+M24+Q24</f>
        <v>1</v>
      </c>
      <c r="F37" s="259" t="n">
        <f aca="false">F14+J14+N14+R14+F24+J24+N24+R24</f>
        <v>1</v>
      </c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82" t="str">
        <f aca="false">A37</f>
        <v>7:00 à 7:30</v>
      </c>
      <c r="T37" s="282"/>
      <c r="U37" s="45" t="n">
        <f aca="false">SUM(C37:F37)</f>
        <v>7</v>
      </c>
      <c r="V37" s="46" t="n">
        <f aca="false">C37+E37</f>
        <v>3</v>
      </c>
      <c r="W37" s="46" t="n">
        <f aca="false">E37+F37</f>
        <v>2</v>
      </c>
      <c r="X37" s="46" t="n">
        <f aca="false">E37</f>
        <v>1</v>
      </c>
      <c r="Y37" s="1"/>
      <c r="Z37" s="2"/>
      <c r="AA37" s="1"/>
      <c r="AB37" s="1"/>
      <c r="AC37" s="239"/>
      <c r="AD37" s="239"/>
      <c r="AE37" s="240"/>
    </row>
    <row r="38" customFormat="false" ht="35.15" hidden="false" customHeight="true" outlineLevel="0" collapsed="false">
      <c r="A38" s="282" t="s">
        <v>40</v>
      </c>
      <c r="B38" s="282"/>
      <c r="C38" s="259" t="n">
        <f aca="false">C15+G15+K15+O15+C25+G25+K25+O25</f>
        <v>0</v>
      </c>
      <c r="D38" s="259" t="n">
        <f aca="false">D15+H15+L15+P15+D25+H25+L25+P25</f>
        <v>4</v>
      </c>
      <c r="E38" s="259" t="n">
        <f aca="false">E15+I15+M15+Q15+E25+I25+M25+Q25</f>
        <v>0</v>
      </c>
      <c r="F38" s="259" t="n">
        <f aca="false">F15+J15+N15+R15+F25+J25+N25+R25</f>
        <v>1</v>
      </c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82" t="str">
        <f aca="false">A38</f>
        <v>7:30 à 8:00</v>
      </c>
      <c r="T38" s="282"/>
      <c r="U38" s="45" t="n">
        <f aca="false">SUM(C38:F38)</f>
        <v>5</v>
      </c>
      <c r="V38" s="46" t="n">
        <f aca="false">C38+E38</f>
        <v>0</v>
      </c>
      <c r="W38" s="46" t="n">
        <f aca="false">E38+F38</f>
        <v>1</v>
      </c>
      <c r="X38" s="46" t="n">
        <f aca="false">E38</f>
        <v>0</v>
      </c>
      <c r="Y38" s="1"/>
      <c r="Z38" s="2"/>
      <c r="AA38" s="1"/>
      <c r="AB38" s="1"/>
      <c r="AC38" s="239"/>
      <c r="AD38" s="239"/>
      <c r="AE38" s="240"/>
    </row>
    <row r="39" customFormat="false" ht="35.15" hidden="false" customHeight="true" outlineLevel="0" collapsed="false">
      <c r="A39" s="282" t="s">
        <v>41</v>
      </c>
      <c r="B39" s="282"/>
      <c r="C39" s="259" t="n">
        <f aca="false">C16+G16+K16+O16+C26+G26+K26+O26</f>
        <v>2</v>
      </c>
      <c r="D39" s="259" t="n">
        <f aca="false">D16+H16+L16+P16+D26+H26+L26+P26</f>
        <v>0</v>
      </c>
      <c r="E39" s="259" t="n">
        <f aca="false">E16+I16+M16+Q16+E26+I26+M26+Q26</f>
        <v>0</v>
      </c>
      <c r="F39" s="259" t="n">
        <f aca="false">F16+J16+N16+R16+F26+J26+N26+R26</f>
        <v>1</v>
      </c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82" t="str">
        <f aca="false">A39</f>
        <v>8:00 à 8:30</v>
      </c>
      <c r="T39" s="282"/>
      <c r="U39" s="45" t="n">
        <f aca="false">SUM(C39:F39)</f>
        <v>3</v>
      </c>
      <c r="V39" s="46" t="n">
        <f aca="false">C39+E39</f>
        <v>2</v>
      </c>
      <c r="W39" s="46" t="n">
        <f aca="false">E39+F39</f>
        <v>1</v>
      </c>
      <c r="X39" s="46" t="n">
        <f aca="false">E39</f>
        <v>0</v>
      </c>
      <c r="Y39" s="1"/>
      <c r="Z39" s="2"/>
      <c r="AA39" s="1"/>
      <c r="AB39" s="1"/>
      <c r="AC39" s="239"/>
      <c r="AD39" s="239"/>
      <c r="AE39" s="240"/>
    </row>
    <row r="40" customFormat="false" ht="35.15" hidden="false" customHeight="true" outlineLevel="0" collapsed="false">
      <c r="A40" s="282" t="s">
        <v>42</v>
      </c>
      <c r="B40" s="282"/>
      <c r="C40" s="259" t="n">
        <f aca="false">C17+G17+K17+O17+C27+G27+K27+O27</f>
        <v>1</v>
      </c>
      <c r="D40" s="259" t="n">
        <f aca="false">D17+H17+L17+P17+D27+H27+L27+P27</f>
        <v>4</v>
      </c>
      <c r="E40" s="259" t="n">
        <f aca="false">E17+I17+M17+Q17+E27+I27+M27+Q27</f>
        <v>1</v>
      </c>
      <c r="F40" s="259" t="n">
        <f aca="false">F17+J17+N17+R17+F27+J27+N27+R27</f>
        <v>7</v>
      </c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82" t="str">
        <f aca="false">A40</f>
        <v>8:30 à 9:00</v>
      </c>
      <c r="T40" s="282"/>
      <c r="U40" s="45" t="n">
        <f aca="false">SUM(C40:F40)</f>
        <v>13</v>
      </c>
      <c r="V40" s="46" t="n">
        <f aca="false">C40+E40</f>
        <v>2</v>
      </c>
      <c r="W40" s="46" t="n">
        <f aca="false">E40+F40</f>
        <v>8</v>
      </c>
      <c r="X40" s="46" t="n">
        <f aca="false">E40</f>
        <v>1</v>
      </c>
      <c r="Y40" s="1"/>
      <c r="Z40" s="2"/>
      <c r="AA40" s="1"/>
      <c r="AB40" s="1"/>
      <c r="AC40" s="239"/>
      <c r="AD40" s="239"/>
      <c r="AE40" s="240"/>
    </row>
    <row r="41" customFormat="false" ht="35.15" hidden="false" customHeight="true" outlineLevel="0" collapsed="false">
      <c r="A41" s="282" t="s">
        <v>29</v>
      </c>
      <c r="B41" s="282"/>
      <c r="C41" s="283" t="n">
        <f aca="false">SUM(C36:C40)</f>
        <v>8</v>
      </c>
      <c r="D41" s="283" t="n">
        <f aca="false">SUM(D36:D40)</f>
        <v>19</v>
      </c>
      <c r="E41" s="283" t="n">
        <f aca="false">SUM(E36:E40)</f>
        <v>3</v>
      </c>
      <c r="F41" s="283" t="n">
        <f aca="false">SUM(F36:F40)</f>
        <v>11</v>
      </c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84" t="s">
        <v>29</v>
      </c>
      <c r="T41" s="284"/>
      <c r="U41" s="50" t="n">
        <f aca="false">SUM(U36:U40)</f>
        <v>41</v>
      </c>
      <c r="V41" s="204" t="n">
        <f aca="false">SUM(V36:V40)</f>
        <v>11</v>
      </c>
      <c r="W41" s="204" t="n">
        <f aca="false">SUM(W36:W40)</f>
        <v>14</v>
      </c>
      <c r="X41" s="52" t="n">
        <f aca="false">SUM(X36:X40)</f>
        <v>3</v>
      </c>
      <c r="Y41" s="50" t="n">
        <f aca="false">A31</f>
        <v>0</v>
      </c>
      <c r="Z41" s="45" t="n">
        <f aca="false">A28</f>
        <v>0</v>
      </c>
      <c r="AA41" s="51" t="n">
        <f aca="false">A29</f>
        <v>0</v>
      </c>
      <c r="AB41" s="51" t="n">
        <f aca="false">A30</f>
        <v>0</v>
      </c>
      <c r="AC41" s="239"/>
      <c r="AD41" s="239"/>
      <c r="AE41" s="240"/>
    </row>
    <row r="42" customFormat="false" ht="35.15" hidden="false" customHeight="true" outlineLevel="0" collapsed="false">
      <c r="A42" s="285"/>
      <c r="B42" s="285"/>
      <c r="C42" s="286"/>
      <c r="D42" s="286"/>
      <c r="E42" s="286"/>
      <c r="F42" s="286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56" t="s">
        <v>40</v>
      </c>
      <c r="T42" s="57"/>
      <c r="U42" s="58" t="n">
        <f aca="false">U37</f>
        <v>7</v>
      </c>
      <c r="V42" s="58"/>
      <c r="W42" s="58"/>
      <c r="X42" s="58"/>
      <c r="Y42" s="287"/>
      <c r="Z42" s="287"/>
      <c r="AA42" s="287"/>
      <c r="AB42" s="287"/>
      <c r="AC42" s="287"/>
      <c r="AD42" s="287"/>
      <c r="AE42" s="288"/>
    </row>
    <row r="43" customFormat="false" ht="35.15" hidden="false" customHeight="true" outlineLevel="0" collapsed="false">
      <c r="A43" s="285"/>
      <c r="B43" s="285"/>
      <c r="C43" s="286"/>
      <c r="D43" s="286"/>
      <c r="E43" s="286"/>
      <c r="F43" s="286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63" t="s">
        <v>41</v>
      </c>
      <c r="T43" s="64"/>
      <c r="U43" s="65" t="n">
        <f aca="false">U38</f>
        <v>5</v>
      </c>
      <c r="V43" s="65"/>
      <c r="W43" s="65"/>
      <c r="X43" s="65"/>
      <c r="Y43" s="287"/>
      <c r="Z43" s="287"/>
      <c r="AA43" s="287"/>
      <c r="AB43" s="287"/>
      <c r="AC43" s="287"/>
      <c r="AD43" s="287"/>
      <c r="AE43" s="288"/>
    </row>
    <row r="44" s="297" customFormat="true" ht="35.15" hidden="false" customHeight="true" outlineLevel="0" collapsed="false">
      <c r="A44" s="289"/>
      <c r="B44" s="289"/>
      <c r="C44" s="290"/>
      <c r="D44" s="290"/>
      <c r="E44" s="290"/>
      <c r="F44" s="290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2" t="s">
        <v>44</v>
      </c>
      <c r="T44" s="292"/>
      <c r="U44" s="293" t="n">
        <f aca="false">SUM(U42:U43)</f>
        <v>12</v>
      </c>
      <c r="V44" s="294"/>
      <c r="W44" s="294"/>
      <c r="X44" s="294"/>
      <c r="Y44" s="295"/>
      <c r="Z44" s="295"/>
      <c r="AA44" s="295"/>
      <c r="AB44" s="295"/>
      <c r="AC44" s="295"/>
      <c r="AD44" s="295"/>
      <c r="AE44" s="296"/>
      <c r="AMJ44" s="298"/>
    </row>
    <row r="45" customFormat="false" ht="35.15" hidden="false" customHeight="true" outlineLevel="0" collapsed="false">
      <c r="A45" s="299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1"/>
      <c r="S45" s="20" t="str">
        <f aca="false">IF(U36=MAX(U36:U40),S36,IF(U37=MAX(U36:U40),S37,IF(U37=MAX(U36:U40),S37,IF(U38=MAX(U36:U40),S38,IF(U39=MAX(U36:U40),S39)))))</f>
        <v>6:30 à 7:00</v>
      </c>
      <c r="T45" s="20"/>
      <c r="U45" s="43" t="n">
        <v>11</v>
      </c>
      <c r="V45" s="195" t="n">
        <v>1</v>
      </c>
      <c r="W45" s="195" t="n">
        <v>4</v>
      </c>
      <c r="X45" s="195" t="n">
        <v>2</v>
      </c>
      <c r="Y45" s="1"/>
      <c r="Z45" s="2"/>
      <c r="AA45" s="1"/>
      <c r="AB45" s="1"/>
      <c r="AC45" s="302"/>
      <c r="AD45" s="302"/>
      <c r="AE45" s="303"/>
    </row>
    <row r="46" customFormat="false" ht="25" hidden="false" customHeight="true" outlineLevel="0" collapsed="false">
      <c r="A46" s="304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47"/>
      <c r="AA46" s="287"/>
      <c r="AB46" s="287"/>
      <c r="AC46" s="287"/>
      <c r="AD46" s="287"/>
      <c r="AE46" s="287"/>
    </row>
    <row r="47" customFormat="false" ht="25" hidden="false" customHeight="true" outlineLevel="0" collapsed="false">
      <c r="A47" s="304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47"/>
      <c r="AA47" s="287"/>
      <c r="AB47" s="287"/>
      <c r="AC47" s="287"/>
      <c r="AD47" s="287"/>
      <c r="AE47" s="287"/>
    </row>
    <row r="48" customFormat="false" ht="25" hidden="false" customHeight="true" outlineLevel="0" collapsed="false">
      <c r="A48" s="304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47"/>
      <c r="AA48" s="287"/>
      <c r="AB48" s="287"/>
      <c r="AC48" s="287"/>
      <c r="AD48" s="287"/>
      <c r="AE48" s="287"/>
    </row>
    <row r="49" customFormat="false" ht="35.15" hidden="false" customHeight="true" outlineLevel="0" collapsed="false">
      <c r="A49" s="304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47"/>
      <c r="AA49" s="287"/>
      <c r="AB49" s="287"/>
      <c r="AC49" s="287"/>
      <c r="AD49" s="287"/>
      <c r="AE49" s="287"/>
    </row>
    <row r="50" customFormat="false" ht="35.15" hidden="false" customHeight="true" outlineLevel="0" collapsed="false">
      <c r="A50" s="304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47"/>
      <c r="AA50" s="287"/>
      <c r="AB50" s="287"/>
      <c r="AC50" s="287"/>
      <c r="AD50" s="287"/>
      <c r="AE50" s="287"/>
    </row>
    <row r="51" customFormat="false" ht="35.15" hidden="false" customHeight="true" outlineLevel="0" collapsed="false">
      <c r="A51" s="304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47"/>
      <c r="AA51" s="287"/>
      <c r="AB51" s="287"/>
      <c r="AC51" s="287"/>
      <c r="AD51" s="287"/>
      <c r="AE51" s="287"/>
    </row>
    <row r="52" customFormat="false" ht="35.15" hidden="false" customHeight="true" outlineLevel="0" collapsed="false">
      <c r="A52" s="304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47"/>
      <c r="AA52" s="287"/>
      <c r="AB52" s="287"/>
      <c r="AC52" s="287"/>
      <c r="AD52" s="287"/>
      <c r="AE52" s="287"/>
    </row>
    <row r="53" customFormat="false" ht="35.15" hidden="false" customHeight="true" outlineLevel="0" collapsed="false">
      <c r="A53" s="304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47"/>
      <c r="AA53" s="287"/>
      <c r="AB53" s="287"/>
      <c r="AC53" s="287"/>
      <c r="AD53" s="287"/>
      <c r="AE53" s="287"/>
    </row>
    <row r="54" customFormat="false" ht="35.15" hidden="false" customHeight="true" outlineLevel="0" collapsed="false">
      <c r="F54" s="287"/>
      <c r="N54" s="287"/>
      <c r="S54" s="287"/>
      <c r="T54" s="287"/>
      <c r="U54" s="287"/>
      <c r="V54" s="287"/>
      <c r="W54" s="287"/>
      <c r="X54" s="287"/>
      <c r="Y54" s="287"/>
      <c r="Z54" s="247"/>
      <c r="AA54" s="287"/>
      <c r="AB54" s="287"/>
      <c r="AC54" s="287"/>
      <c r="AD54" s="287"/>
      <c r="AE54" s="287"/>
    </row>
    <row r="55" customFormat="false" ht="35.15" hidden="false" customHeight="true" outlineLevel="0" collapsed="false">
      <c r="F55" s="287"/>
      <c r="N55" s="287"/>
      <c r="S55" s="287"/>
      <c r="T55" s="287"/>
      <c r="U55" s="287"/>
      <c r="V55" s="287"/>
      <c r="W55" s="287"/>
      <c r="X55" s="287"/>
      <c r="Y55" s="287"/>
      <c r="Z55" s="247"/>
      <c r="AA55" s="287"/>
      <c r="AB55" s="287"/>
      <c r="AC55" s="287"/>
      <c r="AD55" s="287"/>
      <c r="AE55" s="287"/>
    </row>
    <row r="56" customFormat="false" ht="35.15" hidden="false" customHeight="true" outlineLevel="0" collapsed="false">
      <c r="S56" s="287"/>
      <c r="T56" s="287"/>
      <c r="U56" s="287"/>
      <c r="V56" s="287"/>
      <c r="W56" s="287"/>
      <c r="X56" s="287"/>
      <c r="Y56" s="287"/>
      <c r="Z56" s="247"/>
      <c r="AA56" s="287"/>
      <c r="AB56" s="287"/>
      <c r="AC56" s="287"/>
      <c r="AD56" s="287"/>
      <c r="AE56" s="287"/>
    </row>
    <row r="57" customFormat="false" ht="20" hidden="false" customHeight="false" outlineLevel="0" collapsed="false">
      <c r="S57" s="287"/>
      <c r="T57" s="287"/>
      <c r="U57" s="287"/>
      <c r="V57" s="287"/>
      <c r="W57" s="287"/>
      <c r="X57" s="287"/>
      <c r="Y57" s="287"/>
      <c r="Z57" s="247"/>
      <c r="AA57" s="287"/>
      <c r="AB57" s="287"/>
      <c r="AC57" s="287"/>
      <c r="AD57" s="287"/>
      <c r="AE57" s="287"/>
    </row>
  </sheetData>
  <mergeCells count="55">
    <mergeCell ref="C9:J9"/>
    <mergeCell ref="K9:R9"/>
    <mergeCell ref="C10:F10"/>
    <mergeCell ref="G10:J10"/>
    <mergeCell ref="K10:N10"/>
    <mergeCell ref="O10:R10"/>
    <mergeCell ref="C11:D11"/>
    <mergeCell ref="E11:F11"/>
    <mergeCell ref="G11:H11"/>
    <mergeCell ref="I11:J11"/>
    <mergeCell ref="K11:L11"/>
    <mergeCell ref="M11:N11"/>
    <mergeCell ref="O11:P11"/>
    <mergeCell ref="Q11:R11"/>
    <mergeCell ref="A12:B12"/>
    <mergeCell ref="C19:N19"/>
    <mergeCell ref="C20:F20"/>
    <mergeCell ref="G20:J20"/>
    <mergeCell ref="K20:N20"/>
    <mergeCell ref="O20:R20"/>
    <mergeCell ref="C21:D21"/>
    <mergeCell ref="E21:F21"/>
    <mergeCell ref="G21:H21"/>
    <mergeCell ref="I21:J21"/>
    <mergeCell ref="K21:L21"/>
    <mergeCell ref="M21:N21"/>
    <mergeCell ref="O21:P21"/>
    <mergeCell ref="Q21:R21"/>
    <mergeCell ref="A22:B22"/>
    <mergeCell ref="U32:U35"/>
    <mergeCell ref="V32:V35"/>
    <mergeCell ref="W32:W35"/>
    <mergeCell ref="X32:X35"/>
    <mergeCell ref="Y32:Y35"/>
    <mergeCell ref="Z32:Z35"/>
    <mergeCell ref="AA32:AA35"/>
    <mergeCell ref="AB32:AB35"/>
    <mergeCell ref="C34:D34"/>
    <mergeCell ref="E34:F34"/>
    <mergeCell ref="A35:B35"/>
    <mergeCell ref="S35:T35"/>
    <mergeCell ref="A36:B36"/>
    <mergeCell ref="S36:T36"/>
    <mergeCell ref="A37:B37"/>
    <mergeCell ref="S37:T37"/>
    <mergeCell ref="A38:B38"/>
    <mergeCell ref="S38:T38"/>
    <mergeCell ref="A39:B39"/>
    <mergeCell ref="S39:T39"/>
    <mergeCell ref="A40:B40"/>
    <mergeCell ref="S40:T40"/>
    <mergeCell ref="A41:B41"/>
    <mergeCell ref="S41:T41"/>
    <mergeCell ref="S44:T44"/>
    <mergeCell ref="S45:T45"/>
  </mergeCells>
  <printOptions headings="false" gridLines="false" gridLinesSet="true" horizontalCentered="false" verticalCentered="false"/>
  <pageMargins left="0.39375" right="0.39375" top="0.659027777777778" bottom="0.659027777777778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M31" activeCellId="0" sqref="M31"/>
    </sheetView>
  </sheetViews>
  <sheetFormatPr defaultColWidth="11.23828125" defaultRowHeight="14.25" zeroHeight="false" outlineLevelRow="0" outlineLevelCol="0"/>
  <cols>
    <col collapsed="false" customWidth="true" hidden="false" outlineLevel="0" max="1" min="1" style="1" width="12.38"/>
    <col collapsed="false" customWidth="false" hidden="false" outlineLevel="0" max="2" min="2" style="1" width="11.25"/>
    <col collapsed="false" customWidth="true" hidden="false" outlineLevel="0" max="10" min="3" style="1" width="26"/>
    <col collapsed="false" customWidth="true" hidden="false" outlineLevel="0" max="12" min="11" style="1" width="10.87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20"/>
    <col collapsed="false" customWidth="true" hidden="false" outlineLevel="0" max="16" min="16" style="1" width="21.5"/>
    <col collapsed="false" customWidth="true" hidden="false" outlineLevel="0" max="20" min="17" style="1" width="10.87"/>
    <col collapsed="false" customWidth="true" hidden="false" outlineLevel="0" max="21" min="21" style="1" width="24"/>
    <col collapsed="false" customWidth="false" hidden="false" outlineLevel="0" max="1019" min="22" style="1" width="11.25"/>
    <col collapsed="false" customWidth="true" hidden="false" outlineLevel="0" max="1020" min="1020" style="1" width="11.13"/>
    <col collapsed="false" customWidth="true" hidden="false" outlineLevel="0" max="1024" min="1021" style="0" width="10.5"/>
  </cols>
  <sheetData>
    <row r="1" s="2" customFormat="true" ht="52.5" hidden="false" customHeight="true" outlineLevel="0" collapsed="false">
      <c r="A1" s="3"/>
      <c r="B1" s="4" t="s">
        <v>170</v>
      </c>
      <c r="C1" s="5"/>
      <c r="D1" s="5"/>
      <c r="E1" s="5"/>
      <c r="G1" s="3" t="s">
        <v>2</v>
      </c>
      <c r="H1" s="81" t="n">
        <v>45820</v>
      </c>
      <c r="I1" s="5"/>
      <c r="J1" s="5"/>
      <c r="O1" s="8"/>
      <c r="P1" s="5"/>
      <c r="U1" s="5"/>
      <c r="V1" s="5"/>
      <c r="W1" s="5"/>
      <c r="X1" s="5"/>
      <c r="Y1" s="5"/>
      <c r="Z1" s="5"/>
      <c r="AC1" s="5"/>
      <c r="AD1" s="5"/>
      <c r="AMD1" s="8"/>
      <c r="AME1" s="8"/>
      <c r="AMF1" s="8"/>
    </row>
    <row r="2" s="2" customFormat="true" ht="52.5" hidden="false" customHeight="true" outlineLevel="0" collapsed="false">
      <c r="A2" s="3" t="s">
        <v>4</v>
      </c>
      <c r="B2" s="5"/>
      <c r="C2" s="5"/>
      <c r="D2" s="5"/>
      <c r="E2" s="5" t="s">
        <v>171</v>
      </c>
      <c r="G2" s="5"/>
      <c r="H2" s="305" t="s">
        <v>172</v>
      </c>
      <c r="I2" s="5"/>
      <c r="J2" s="5"/>
      <c r="K2" s="5"/>
      <c r="L2" s="5"/>
      <c r="M2" s="5"/>
      <c r="N2" s="5"/>
      <c r="O2" s="5"/>
      <c r="P2" s="8"/>
      <c r="U2" s="5"/>
      <c r="V2" s="5"/>
      <c r="W2" s="5"/>
      <c r="X2" s="5"/>
      <c r="Y2" s="5"/>
      <c r="Z2" s="5"/>
      <c r="AB2" s="5"/>
      <c r="AC2" s="5"/>
      <c r="AD2" s="5"/>
      <c r="AMD2" s="8"/>
      <c r="AME2" s="8"/>
      <c r="AMF2" s="8"/>
    </row>
    <row r="3" s="2" customFormat="true" ht="20.25" hidden="false" customHeight="true" outlineLevel="0" collapsed="false">
      <c r="A3" s="3" t="s">
        <v>6</v>
      </c>
      <c r="B3" s="5"/>
      <c r="C3" s="5"/>
      <c r="D3" s="5"/>
      <c r="E3" s="5"/>
      <c r="F3" s="5"/>
      <c r="G3" s="9" t="s">
        <v>7</v>
      </c>
      <c r="H3" s="5"/>
      <c r="I3" s="5"/>
      <c r="J3" s="5"/>
      <c r="K3" s="5"/>
      <c r="L3" s="5"/>
      <c r="M3" s="5"/>
      <c r="N3" s="5"/>
      <c r="O3" s="5"/>
      <c r="P3" s="8"/>
      <c r="U3" s="5"/>
      <c r="V3" s="5"/>
      <c r="W3" s="5"/>
      <c r="X3" s="5"/>
      <c r="Y3" s="5"/>
      <c r="Z3" s="5"/>
      <c r="AA3" s="5"/>
      <c r="AB3" s="5"/>
      <c r="AC3" s="5"/>
      <c r="AD3" s="5"/>
      <c r="AMD3" s="8"/>
      <c r="AME3" s="8"/>
      <c r="AMF3" s="8"/>
    </row>
    <row r="4" s="8" customFormat="true" ht="4.5" hidden="false" customHeight="true" outlineLevel="0" collapsed="false"/>
    <row r="5" s="2" customFormat="true" ht="25.5" hidden="false" customHeight="true" outlineLevel="0" collapsed="false">
      <c r="A5" s="11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MF5" s="8"/>
    </row>
    <row r="6" s="2" customFormat="true" ht="25.5" hidden="false" customHeight="true" outlineLevel="0" collapsed="false">
      <c r="A6" s="11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MF6" s="8"/>
    </row>
    <row r="7" s="2" customFormat="true" ht="50.65" hidden="false" customHeight="true" outlineLevel="0" collapsed="false">
      <c r="A7" s="11" t="s">
        <v>10</v>
      </c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MF7" s="8"/>
    </row>
    <row r="8" s="2" customFormat="true" ht="30" hidden="false" customHeight="true" outlineLevel="0" collapsed="false">
      <c r="A8" s="3"/>
      <c r="B8" s="5"/>
      <c r="C8" s="199" t="s">
        <v>173</v>
      </c>
      <c r="D8" s="199"/>
      <c r="E8" s="199"/>
      <c r="F8" s="199"/>
      <c r="G8" s="199"/>
      <c r="H8" s="199"/>
      <c r="I8" s="199"/>
      <c r="J8" s="199"/>
      <c r="Q8" s="5"/>
      <c r="R8" s="5"/>
      <c r="S8" s="5"/>
      <c r="T8" s="5"/>
      <c r="AMG8" s="8"/>
      <c r="AMH8" s="8"/>
      <c r="AMI8" s="8"/>
      <c r="AMJ8" s="8"/>
    </row>
    <row r="9" customFormat="false" ht="35.1" hidden="false" customHeight="true" outlineLevel="0" collapsed="false">
      <c r="A9" s="3"/>
      <c r="B9" s="5"/>
      <c r="C9" s="17" t="s">
        <v>174</v>
      </c>
      <c r="D9" s="17"/>
      <c r="E9" s="17"/>
      <c r="F9" s="17"/>
      <c r="G9" s="17" t="s">
        <v>175</v>
      </c>
      <c r="H9" s="17"/>
      <c r="I9" s="17"/>
      <c r="J9" s="17"/>
      <c r="Q9" s="2"/>
      <c r="R9" s="2"/>
      <c r="S9" s="2"/>
      <c r="T9" s="2"/>
    </row>
    <row r="10" customFormat="false" ht="35.1" hidden="false" customHeight="true" outlineLevel="0" collapsed="false">
      <c r="A10" s="3"/>
      <c r="B10" s="5"/>
      <c r="C10" s="207" t="s">
        <v>18</v>
      </c>
      <c r="D10" s="208" t="s">
        <v>18</v>
      </c>
      <c r="E10" s="207" t="s">
        <v>19</v>
      </c>
      <c r="F10" s="208" t="s">
        <v>19</v>
      </c>
      <c r="G10" s="207" t="s">
        <v>18</v>
      </c>
      <c r="H10" s="208" t="s">
        <v>18</v>
      </c>
      <c r="I10" s="207" t="s">
        <v>19</v>
      </c>
      <c r="J10" s="208" t="s">
        <v>19</v>
      </c>
      <c r="Q10" s="2"/>
      <c r="R10" s="2"/>
      <c r="S10" s="2"/>
      <c r="T10" s="2"/>
    </row>
    <row r="11" customFormat="false" ht="35.1" hidden="false" customHeight="true" outlineLevel="0" collapsed="false">
      <c r="A11" s="20" t="s">
        <v>21</v>
      </c>
      <c r="B11" s="20"/>
      <c r="C11" s="21" t="s">
        <v>22</v>
      </c>
      <c r="D11" s="21" t="s">
        <v>23</v>
      </c>
      <c r="E11" s="21" t="s">
        <v>22</v>
      </c>
      <c r="F11" s="21" t="s">
        <v>23</v>
      </c>
      <c r="G11" s="21" t="s">
        <v>22</v>
      </c>
      <c r="H11" s="21" t="s">
        <v>23</v>
      </c>
      <c r="I11" s="21" t="s">
        <v>22</v>
      </c>
      <c r="J11" s="21" t="s">
        <v>23</v>
      </c>
      <c r="Q11" s="2"/>
      <c r="R11" s="2"/>
      <c r="S11" s="2"/>
      <c r="T11" s="2"/>
    </row>
    <row r="12" customFormat="false" ht="69.95" hidden="false" customHeight="true" outlineLevel="0" collapsed="false">
      <c r="A12" s="88" t="n">
        <v>0.270833333333333</v>
      </c>
      <c r="B12" s="88" t="n">
        <v>0.291666666666667</v>
      </c>
      <c r="C12" s="25"/>
      <c r="D12" s="25"/>
      <c r="E12" s="25"/>
      <c r="F12" s="89"/>
      <c r="G12" s="90"/>
      <c r="H12" s="25"/>
      <c r="I12" s="25"/>
      <c r="J12" s="25"/>
      <c r="O12" s="306" t="s">
        <v>176</v>
      </c>
      <c r="Q12" s="2"/>
      <c r="R12" s="2"/>
      <c r="S12" s="2"/>
      <c r="T12" s="2"/>
    </row>
    <row r="13" customFormat="false" ht="69.95" hidden="false" customHeight="true" outlineLevel="0" collapsed="false">
      <c r="A13" s="88" t="n">
        <v>0.291666666666667</v>
      </c>
      <c r="B13" s="88" t="n">
        <v>0.3125</v>
      </c>
      <c r="C13" s="25"/>
      <c r="D13" s="25"/>
      <c r="E13" s="25"/>
      <c r="F13" s="89"/>
      <c r="G13" s="90"/>
      <c r="H13" s="25"/>
      <c r="I13" s="25"/>
      <c r="J13" s="25"/>
    </row>
    <row r="14" customFormat="false" ht="69.95" hidden="false" customHeight="true" outlineLevel="0" collapsed="false">
      <c r="A14" s="88" t="n">
        <v>0.3125</v>
      </c>
      <c r="B14" s="88" t="n">
        <v>0.333333333333333</v>
      </c>
      <c r="C14" s="25"/>
      <c r="D14" s="25"/>
      <c r="E14" s="25"/>
      <c r="F14" s="89"/>
      <c r="G14" s="90"/>
      <c r="H14" s="25"/>
      <c r="I14" s="25"/>
      <c r="J14" s="25"/>
    </row>
    <row r="15" customFormat="false" ht="69.95" hidden="false" customHeight="true" outlineLevel="0" collapsed="false">
      <c r="A15" s="88" t="n">
        <v>0.333333333333333</v>
      </c>
      <c r="B15" s="88" t="n">
        <v>0.354166666666667</v>
      </c>
      <c r="C15" s="25"/>
      <c r="D15" s="25"/>
      <c r="E15" s="25"/>
      <c r="F15" s="89"/>
      <c r="G15" s="90"/>
      <c r="H15" s="25"/>
      <c r="I15" s="25"/>
      <c r="J15" s="25"/>
    </row>
    <row r="16" customFormat="false" ht="69.95" hidden="false" customHeight="true" outlineLevel="0" collapsed="false">
      <c r="A16" s="88" t="n">
        <v>0.354166666666667</v>
      </c>
      <c r="B16" s="88" t="n">
        <v>0.375</v>
      </c>
      <c r="C16" s="25"/>
      <c r="D16" s="25"/>
      <c r="E16" s="25"/>
      <c r="F16" s="89"/>
      <c r="G16" s="90"/>
      <c r="H16" s="25"/>
      <c r="I16" s="25"/>
      <c r="J16" s="25"/>
      <c r="L16" s="210"/>
    </row>
    <row r="17" customFormat="false" ht="12" hidden="false" customHeight="true" outlineLevel="0" collapsed="false">
      <c r="A17" s="32"/>
      <c r="B17" s="32"/>
      <c r="C17" s="33"/>
      <c r="D17" s="33"/>
      <c r="E17" s="33"/>
      <c r="F17" s="33"/>
      <c r="G17" s="33"/>
      <c r="H17" s="33"/>
      <c r="I17" s="33"/>
      <c r="J17" s="33"/>
    </row>
    <row r="18" s="31" customFormat="true" ht="39.75" hidden="false" customHeight="true" outlineLevel="0" collapsed="false">
      <c r="A18" s="27"/>
      <c r="B18" s="28" t="s">
        <v>25</v>
      </c>
      <c r="C18" s="29"/>
      <c r="D18" s="211"/>
      <c r="E18" s="29"/>
      <c r="F18" s="29"/>
      <c r="G18" s="29"/>
      <c r="H18" s="29"/>
      <c r="I18" s="27"/>
      <c r="J18" s="29"/>
      <c r="K18" s="29"/>
      <c r="L18" s="29"/>
      <c r="M18" s="29"/>
      <c r="N18" s="29"/>
      <c r="O18" s="29"/>
      <c r="P18" s="29"/>
      <c r="Q18" s="1"/>
      <c r="R18" s="1"/>
      <c r="S18" s="1"/>
      <c r="T18" s="1"/>
      <c r="U18" s="29"/>
      <c r="V18" s="29"/>
    </row>
    <row r="19" s="31" customFormat="true" ht="39.75" hidden="false" customHeight="true" outlineLevel="0" collapsed="false">
      <c r="A19" s="27"/>
      <c r="B19" s="28" t="s">
        <v>27</v>
      </c>
      <c r="C19" s="29"/>
      <c r="D19" s="29"/>
      <c r="E19" s="29"/>
      <c r="F19" s="29"/>
      <c r="G19" s="29"/>
      <c r="H19" s="29"/>
      <c r="I19" s="27"/>
      <c r="J19" s="29"/>
      <c r="K19" s="29"/>
      <c r="L19" s="29"/>
      <c r="M19" s="29"/>
      <c r="N19" s="29"/>
      <c r="O19" s="29"/>
      <c r="P19" s="29"/>
      <c r="U19" s="29"/>
      <c r="V19" s="29"/>
    </row>
    <row r="20" s="31" customFormat="true" ht="39.75" hidden="false" customHeight="true" outlineLevel="0" collapsed="false">
      <c r="A20" s="27"/>
      <c r="B20" s="28" t="s">
        <v>28</v>
      </c>
      <c r="C20" s="29"/>
      <c r="D20" s="29"/>
      <c r="E20" s="29"/>
      <c r="F20" s="29"/>
      <c r="G20" s="29"/>
      <c r="H20" s="29"/>
      <c r="I20" s="27"/>
      <c r="J20" s="29"/>
      <c r="K20" s="29"/>
      <c r="L20" s="29"/>
      <c r="M20" s="29"/>
      <c r="N20" s="29"/>
      <c r="O20" s="29"/>
      <c r="P20" s="29"/>
      <c r="U20" s="29"/>
      <c r="V20" s="29"/>
    </row>
    <row r="21" customFormat="false" ht="39.75" hidden="false" customHeight="true" outlineLevel="0" collapsed="false">
      <c r="A21" s="123"/>
      <c r="B21" s="5"/>
      <c r="C21" s="5"/>
      <c r="D21" s="5"/>
      <c r="E21" s="5"/>
      <c r="F21" s="5"/>
      <c r="G21" s="5"/>
      <c r="H21" s="5"/>
      <c r="I21" s="5"/>
      <c r="J21" s="5"/>
      <c r="M21" s="124" t="s">
        <v>83</v>
      </c>
      <c r="Q21" s="31"/>
      <c r="R21" s="31"/>
      <c r="S21" s="31"/>
      <c r="T21" s="31"/>
    </row>
    <row r="22" customFormat="false" ht="30" hidden="false" customHeight="true" outlineLevel="0" collapsed="false">
      <c r="A22" s="14"/>
      <c r="B22" s="15"/>
      <c r="C22" s="212" t="str">
        <f aca="false">C8</f>
        <v>AYZE piste cyclable</v>
      </c>
      <c r="D22" s="212"/>
      <c r="E22" s="212"/>
      <c r="F22" s="212"/>
      <c r="G22" s="212"/>
      <c r="H22" s="212"/>
      <c r="I22" s="212"/>
      <c r="J22" s="212"/>
      <c r="K22" s="20" t="s">
        <v>21</v>
      </c>
      <c r="L22" s="20"/>
      <c r="M22" s="213" t="s">
        <v>29</v>
      </c>
      <c r="N22" s="44" t="s">
        <v>30</v>
      </c>
      <c r="O22" s="40" t="s">
        <v>31</v>
      </c>
      <c r="P22" s="40" t="s">
        <v>32</v>
      </c>
      <c r="Q22" s="74" t="s">
        <v>34</v>
      </c>
      <c r="R22" s="74" t="s">
        <v>35</v>
      </c>
      <c r="S22" s="74" t="s">
        <v>36</v>
      </c>
      <c r="T22" s="74" t="s">
        <v>37</v>
      </c>
      <c r="U22" s="41" t="s">
        <v>142</v>
      </c>
    </row>
    <row r="23" customFormat="false" ht="23.25" hidden="false" customHeight="false" outlineLevel="0" collapsed="false">
      <c r="A23" s="14"/>
      <c r="B23" s="15"/>
      <c r="C23" s="17" t="str">
        <f aca="false">C9</f>
        <v>Depuis Bonneville</v>
      </c>
      <c r="D23" s="17"/>
      <c r="E23" s="17"/>
      <c r="F23" s="17"/>
      <c r="G23" s="307" t="str">
        <f aca="false">G9</f>
        <v>Depuis Marignier</v>
      </c>
      <c r="H23" s="307"/>
      <c r="I23" s="307"/>
      <c r="J23" s="307"/>
      <c r="K23" s="20"/>
      <c r="L23" s="20"/>
      <c r="M23" s="213"/>
      <c r="N23" s="44"/>
      <c r="O23" s="40"/>
      <c r="P23" s="40"/>
      <c r="Q23" s="74"/>
      <c r="R23" s="74"/>
      <c r="S23" s="74"/>
      <c r="T23" s="74"/>
      <c r="U23" s="41"/>
    </row>
    <row r="24" customFormat="false" ht="20.25" hidden="false" customHeight="true" outlineLevel="0" collapsed="false">
      <c r="A24" s="14"/>
      <c r="B24" s="15"/>
      <c r="C24" s="18" t="s">
        <v>18</v>
      </c>
      <c r="D24" s="18"/>
      <c r="E24" s="18" t="s">
        <v>19</v>
      </c>
      <c r="F24" s="18"/>
      <c r="G24" s="18" t="s">
        <v>18</v>
      </c>
      <c r="H24" s="18"/>
      <c r="I24" s="85" t="s">
        <v>19</v>
      </c>
      <c r="J24" s="85"/>
      <c r="K24" s="20"/>
      <c r="L24" s="20"/>
      <c r="M24" s="213"/>
      <c r="N24" s="44"/>
      <c r="O24" s="40"/>
      <c r="P24" s="40"/>
      <c r="Q24" s="74"/>
      <c r="R24" s="74"/>
      <c r="S24" s="74"/>
      <c r="T24" s="74"/>
      <c r="U24" s="41"/>
    </row>
    <row r="25" customFormat="false" ht="21" hidden="false" customHeight="true" outlineLevel="0" collapsed="false">
      <c r="A25" s="20" t="s">
        <v>21</v>
      </c>
      <c r="B25" s="20"/>
      <c r="C25" s="21" t="s">
        <v>22</v>
      </c>
      <c r="D25" s="21" t="s">
        <v>23</v>
      </c>
      <c r="E25" s="21" t="s">
        <v>22</v>
      </c>
      <c r="F25" s="21" t="s">
        <v>23</v>
      </c>
      <c r="G25" s="21" t="s">
        <v>22</v>
      </c>
      <c r="H25" s="21" t="s">
        <v>23</v>
      </c>
      <c r="I25" s="21" t="s">
        <v>22</v>
      </c>
      <c r="J25" s="207" t="s">
        <v>23</v>
      </c>
      <c r="K25" s="20"/>
      <c r="L25" s="20"/>
      <c r="M25" s="213"/>
      <c r="N25" s="44"/>
      <c r="O25" s="40"/>
      <c r="P25" s="40"/>
      <c r="Q25" s="74"/>
      <c r="R25" s="74"/>
      <c r="S25" s="74"/>
      <c r="T25" s="74"/>
      <c r="U25" s="41"/>
    </row>
    <row r="26" customFormat="false" ht="35.1" hidden="false" customHeight="true" outlineLevel="0" collapsed="false">
      <c r="A26" s="20" t="s">
        <v>38</v>
      </c>
      <c r="B26" s="20"/>
      <c r="C26" s="25" t="n">
        <f aca="false">+C12</f>
        <v>0</v>
      </c>
      <c r="D26" s="25" t="n">
        <f aca="false">+D12</f>
        <v>0</v>
      </c>
      <c r="E26" s="25" t="n">
        <f aca="false">+E12</f>
        <v>0</v>
      </c>
      <c r="F26" s="25" t="n">
        <f aca="false">+F12</f>
        <v>0</v>
      </c>
      <c r="G26" s="25" t="n">
        <f aca="false">+G12</f>
        <v>0</v>
      </c>
      <c r="H26" s="25" t="n">
        <f aca="false">+H12</f>
        <v>0</v>
      </c>
      <c r="I26" s="25" t="n">
        <f aca="false">+I12</f>
        <v>0</v>
      </c>
      <c r="J26" s="25" t="n">
        <f aca="false">+J12</f>
        <v>0</v>
      </c>
      <c r="K26" s="71" t="str">
        <f aca="false">A26</f>
        <v>6:30 à 7:00</v>
      </c>
      <c r="L26" s="71"/>
      <c r="M26" s="45" t="n">
        <f aca="false">SUM(C26:J26)</f>
        <v>0</v>
      </c>
      <c r="N26" s="46" t="n">
        <f aca="false">C26+E26+G26+I26</f>
        <v>0</v>
      </c>
      <c r="O26" s="46" t="n">
        <f aca="false">E26+F26+I26+J26</f>
        <v>0</v>
      </c>
      <c r="P26" s="46" t="n">
        <f aca="false">E26+I26</f>
        <v>0</v>
      </c>
      <c r="U26" s="46" t="n">
        <f aca="false">SUM(G26:J26)</f>
        <v>0</v>
      </c>
    </row>
    <row r="27" customFormat="false" ht="35.1" hidden="false" customHeight="true" outlineLevel="0" collapsed="false">
      <c r="A27" s="20" t="s">
        <v>39</v>
      </c>
      <c r="B27" s="20"/>
      <c r="C27" s="25" t="n">
        <f aca="false">+C13</f>
        <v>0</v>
      </c>
      <c r="D27" s="25" t="n">
        <f aca="false">+D13</f>
        <v>0</v>
      </c>
      <c r="E27" s="25" t="n">
        <f aca="false">+E13</f>
        <v>0</v>
      </c>
      <c r="F27" s="25" t="n">
        <f aca="false">+F13</f>
        <v>0</v>
      </c>
      <c r="G27" s="25" t="n">
        <f aca="false">+G13</f>
        <v>0</v>
      </c>
      <c r="H27" s="25" t="n">
        <f aca="false">+H13</f>
        <v>0</v>
      </c>
      <c r="I27" s="25" t="n">
        <f aca="false">+I13</f>
        <v>0</v>
      </c>
      <c r="J27" s="25" t="n">
        <f aca="false">+J13</f>
        <v>0</v>
      </c>
      <c r="K27" s="20" t="str">
        <f aca="false">A27</f>
        <v>7:00 à 7:30</v>
      </c>
      <c r="L27" s="20"/>
      <c r="M27" s="45" t="n">
        <f aca="false">SUM(C27:J27)</f>
        <v>0</v>
      </c>
      <c r="N27" s="46" t="n">
        <f aca="false">C27+E27+G27+I27</f>
        <v>0</v>
      </c>
      <c r="O27" s="46" t="n">
        <f aca="false">E27+F27+I27+J27</f>
        <v>0</v>
      </c>
      <c r="P27" s="46" t="n">
        <f aca="false">E27+I27</f>
        <v>0</v>
      </c>
      <c r="U27" s="46" t="n">
        <f aca="false">SUM(G27:J27)</f>
        <v>0</v>
      </c>
    </row>
    <row r="28" customFormat="false" ht="35.1" hidden="false" customHeight="true" outlineLevel="0" collapsed="false">
      <c r="A28" s="20" t="s">
        <v>40</v>
      </c>
      <c r="B28" s="20"/>
      <c r="C28" s="25" t="n">
        <f aca="false">+C14</f>
        <v>0</v>
      </c>
      <c r="D28" s="25" t="n">
        <f aca="false">+D14</f>
        <v>0</v>
      </c>
      <c r="E28" s="25" t="n">
        <f aca="false">+E14</f>
        <v>0</v>
      </c>
      <c r="F28" s="25" t="n">
        <f aca="false">+F14</f>
        <v>0</v>
      </c>
      <c r="G28" s="25" t="n">
        <f aca="false">+G14</f>
        <v>0</v>
      </c>
      <c r="H28" s="25" t="n">
        <f aca="false">+H14</f>
        <v>0</v>
      </c>
      <c r="I28" s="25" t="n">
        <f aca="false">+I14</f>
        <v>0</v>
      </c>
      <c r="J28" s="25" t="n">
        <f aca="false">+J14</f>
        <v>0</v>
      </c>
      <c r="K28" s="20" t="str">
        <f aca="false">A28</f>
        <v>7:30 à 8:00</v>
      </c>
      <c r="L28" s="20"/>
      <c r="M28" s="45" t="n">
        <f aca="false">SUM(C28:J28)</f>
        <v>0</v>
      </c>
      <c r="N28" s="46" t="n">
        <f aca="false">C28+E28+G28+I28</f>
        <v>0</v>
      </c>
      <c r="O28" s="46" t="n">
        <f aca="false">E28+F28+I28+J28</f>
        <v>0</v>
      </c>
      <c r="P28" s="46" t="n">
        <f aca="false">E28+I28</f>
        <v>0</v>
      </c>
      <c r="U28" s="46" t="n">
        <f aca="false">SUM(G28:J28)</f>
        <v>0</v>
      </c>
    </row>
    <row r="29" customFormat="false" ht="35.1" hidden="false" customHeight="true" outlineLevel="0" collapsed="false">
      <c r="A29" s="20" t="s">
        <v>41</v>
      </c>
      <c r="B29" s="20"/>
      <c r="C29" s="25" t="n">
        <f aca="false">+C15</f>
        <v>0</v>
      </c>
      <c r="D29" s="25" t="n">
        <f aca="false">+D15</f>
        <v>0</v>
      </c>
      <c r="E29" s="25" t="n">
        <f aca="false">+E15</f>
        <v>0</v>
      </c>
      <c r="F29" s="25" t="n">
        <f aca="false">+F15</f>
        <v>0</v>
      </c>
      <c r="G29" s="25" t="n">
        <f aca="false">+G15</f>
        <v>0</v>
      </c>
      <c r="H29" s="25" t="n">
        <f aca="false">+H15</f>
        <v>0</v>
      </c>
      <c r="I29" s="25" t="n">
        <f aca="false">+I15</f>
        <v>0</v>
      </c>
      <c r="J29" s="25" t="n">
        <f aca="false">+J15</f>
        <v>0</v>
      </c>
      <c r="K29" s="20" t="str">
        <f aca="false">A29</f>
        <v>8:00 à 8:30</v>
      </c>
      <c r="L29" s="20"/>
      <c r="M29" s="45" t="n">
        <f aca="false">SUM(C29:J29)</f>
        <v>0</v>
      </c>
      <c r="N29" s="46" t="n">
        <f aca="false">C29+E29+G29+I29</f>
        <v>0</v>
      </c>
      <c r="O29" s="46" t="n">
        <f aca="false">E29+F29+I29+J29</f>
        <v>0</v>
      </c>
      <c r="P29" s="46" t="n">
        <f aca="false">E29+I29</f>
        <v>0</v>
      </c>
      <c r="U29" s="46" t="n">
        <f aca="false">SUM(G29:J29)</f>
        <v>0</v>
      </c>
    </row>
    <row r="30" customFormat="false" ht="35.1" hidden="false" customHeight="true" outlineLevel="0" collapsed="false">
      <c r="A30" s="20" t="s">
        <v>42</v>
      </c>
      <c r="B30" s="20"/>
      <c r="C30" s="25" t="n">
        <f aca="false">+C16</f>
        <v>0</v>
      </c>
      <c r="D30" s="25" t="n">
        <f aca="false">+D16</f>
        <v>0</v>
      </c>
      <c r="E30" s="25" t="n">
        <f aca="false">+E16</f>
        <v>0</v>
      </c>
      <c r="F30" s="25" t="n">
        <f aca="false">+F16</f>
        <v>0</v>
      </c>
      <c r="G30" s="25" t="n">
        <f aca="false">+G16</f>
        <v>0</v>
      </c>
      <c r="H30" s="25" t="n">
        <f aca="false">+H16</f>
        <v>0</v>
      </c>
      <c r="I30" s="25" t="n">
        <f aca="false">+I16</f>
        <v>0</v>
      </c>
      <c r="J30" s="25" t="n">
        <f aca="false">+J16</f>
        <v>0</v>
      </c>
      <c r="K30" s="20" t="str">
        <f aca="false">A30</f>
        <v>8:30 à 9:00</v>
      </c>
      <c r="L30" s="20"/>
      <c r="M30" s="308" t="n">
        <f aca="false">SUM(C30:J30)</f>
        <v>0</v>
      </c>
      <c r="N30" s="46" t="n">
        <f aca="false">C30+E30+G30+I30</f>
        <v>0</v>
      </c>
      <c r="O30" s="309" t="n">
        <f aca="false">E30+F30+I30+J30</f>
        <v>0</v>
      </c>
      <c r="P30" s="46" t="n">
        <f aca="false">E30+I30</f>
        <v>0</v>
      </c>
      <c r="U30" s="46" t="n">
        <f aca="false">SUM(G30:J30)</f>
        <v>0</v>
      </c>
    </row>
    <row r="31" customFormat="false" ht="35.1" hidden="false" customHeight="true" outlineLevel="0" collapsed="false">
      <c r="A31" s="20" t="s">
        <v>29</v>
      </c>
      <c r="B31" s="20"/>
      <c r="C31" s="105" t="n">
        <f aca="false">SUM(C12:C16)</f>
        <v>0</v>
      </c>
      <c r="D31" s="105" t="n">
        <f aca="false">SUM(D12:D16)</f>
        <v>0</v>
      </c>
      <c r="E31" s="105" t="n">
        <f aca="false">SUM(E12:E16)</f>
        <v>0</v>
      </c>
      <c r="F31" s="105" t="n">
        <f aca="false">SUM(F12:F16)</f>
        <v>0</v>
      </c>
      <c r="G31" s="105" t="n">
        <f aca="false">SUM(G12:G16)</f>
        <v>0</v>
      </c>
      <c r="H31" s="105" t="n">
        <f aca="false">SUM(H12:H16)</f>
        <v>0</v>
      </c>
      <c r="I31" s="105" t="n">
        <f aca="false">SUM(I12:I16)</f>
        <v>0</v>
      </c>
      <c r="J31" s="105" t="n">
        <f aca="false">SUM(J12:J16)</f>
        <v>0</v>
      </c>
      <c r="K31" s="107" t="s">
        <v>29</v>
      </c>
      <c r="L31" s="107"/>
      <c r="M31" s="50" t="n">
        <v>66</v>
      </c>
      <c r="N31" s="50" t="n">
        <v>33</v>
      </c>
      <c r="O31" s="50" t="n">
        <v>15</v>
      </c>
      <c r="P31" s="51" t="n">
        <f aca="false">SUM(P26:P30)</f>
        <v>0</v>
      </c>
      <c r="Q31" s="50" t="n">
        <f aca="false">A20</f>
        <v>0</v>
      </c>
      <c r="R31" s="51" t="n">
        <f aca="false">A18</f>
        <v>0</v>
      </c>
      <c r="S31" s="51"/>
      <c r="T31" s="51" t="n">
        <f aca="false">A19</f>
        <v>0</v>
      </c>
      <c r="U31" s="51" t="n">
        <f aca="false">SUM(U26:U30)</f>
        <v>0</v>
      </c>
    </row>
    <row r="32" customFormat="false" ht="35.1" hidden="false" customHeight="true" outlineLevel="0" collapsed="false">
      <c r="A32" s="53"/>
      <c r="B32" s="53"/>
      <c r="C32" s="110"/>
      <c r="D32" s="110"/>
      <c r="E32" s="110"/>
      <c r="F32" s="110"/>
      <c r="G32" s="110"/>
      <c r="H32" s="110"/>
      <c r="I32" s="110"/>
      <c r="J32" s="110"/>
      <c r="K32" s="56" t="s">
        <v>41</v>
      </c>
      <c r="L32" s="57"/>
      <c r="M32" s="58" t="n">
        <v>11</v>
      </c>
      <c r="N32" s="58"/>
      <c r="O32" s="58"/>
      <c r="P32" s="51"/>
      <c r="Q32" s="72"/>
      <c r="R32" s="72"/>
      <c r="S32" s="72"/>
      <c r="T32" s="72"/>
      <c r="U32" s="51"/>
    </row>
    <row r="33" customFormat="false" ht="35.1" hidden="false" customHeight="true" outlineLevel="0" collapsed="false">
      <c r="A33" s="53"/>
      <c r="B33" s="53"/>
      <c r="C33" s="110"/>
      <c r="D33" s="110"/>
      <c r="E33" s="110"/>
      <c r="F33" s="110"/>
      <c r="G33" s="110"/>
      <c r="H33" s="110"/>
      <c r="I33" s="110"/>
      <c r="J33" s="110"/>
      <c r="K33" s="63" t="s">
        <v>42</v>
      </c>
      <c r="L33" s="64"/>
      <c r="M33" s="65" t="n">
        <v>21</v>
      </c>
      <c r="N33" s="65"/>
      <c r="O33" s="65"/>
      <c r="P33" s="51"/>
      <c r="Q33" s="72"/>
      <c r="R33" s="72"/>
      <c r="S33" s="72"/>
      <c r="T33" s="72"/>
      <c r="U33" s="51"/>
    </row>
    <row r="34" customFormat="false" ht="35.1" hidden="false" customHeight="true" outlineLevel="0" collapsed="false">
      <c r="A34" s="53"/>
      <c r="B34" s="53"/>
      <c r="C34" s="110"/>
      <c r="D34" s="110"/>
      <c r="E34" s="110"/>
      <c r="F34" s="110"/>
      <c r="G34" s="110"/>
      <c r="H34" s="110"/>
      <c r="I34" s="110"/>
      <c r="J34" s="110"/>
      <c r="K34" s="66" t="s">
        <v>44</v>
      </c>
      <c r="L34" s="66"/>
      <c r="M34" s="67" t="n">
        <f aca="false">SUM(M32:M33)</f>
        <v>32</v>
      </c>
      <c r="N34" s="68"/>
      <c r="O34" s="68"/>
      <c r="P34" s="51"/>
      <c r="Q34" s="72"/>
      <c r="R34" s="72"/>
      <c r="S34" s="72"/>
      <c r="T34" s="72"/>
      <c r="U34" s="51"/>
    </row>
    <row r="35" customFormat="false" ht="35.1" hidden="false" customHeight="true" outlineLevel="0" collapsed="false">
      <c r="A35" s="69"/>
      <c r="B35" s="70"/>
      <c r="C35" s="70"/>
      <c r="D35" s="70"/>
      <c r="E35" s="70"/>
      <c r="F35" s="70"/>
      <c r="G35" s="70"/>
      <c r="H35" s="70"/>
      <c r="I35" s="70"/>
      <c r="J35" s="55" t="s">
        <v>43</v>
      </c>
      <c r="K35" s="20" t="str">
        <f aca="false">IF($M$30=MAX($M$26:$M$30),K30,IF($M$29=MAX($M$26:$M$30),K29,IF($M$28=MAX($M$26:$M$30),K28,IF($M$27=MAX($M$26:$M$30),K27,IF($M$26=MAX($M$26:$M$30),K26,K30)))))</f>
        <v>8:30 à 9:00</v>
      </c>
      <c r="L35" s="20"/>
      <c r="M35" s="43" t="n">
        <f aca="false">IF($M$30=MAX($M$26:$M$30),M30,IF($M$29=MAX($M$26:$M$30),M29,IF($M$28=MAX($M$26:$M$30),M28,IF($M$27=MAX($M$26:$M$30),M27,IF($M$26=MAX($M$26:$M$30),M26,M30)))))</f>
        <v>0</v>
      </c>
      <c r="N35" s="195" t="n">
        <f aca="false">IF($M$30=MAX($M$26:$M$30),N30,IF($M$29=MAX($M$26:$M$30),N29,IF($M$28=MAX($M$26:$M$30),N28,IF($M$27=MAX($M$26:$M$30),N27,IF($M$26=MAX($M$26:$M$30),N26,N30)))))</f>
        <v>0</v>
      </c>
      <c r="O35" s="195" t="n">
        <f aca="false">IF($M$30=MAX($M$26:$M$30),O30,IF($M$29=MAX($M$26:$M$30),O29,IF($M$28=MAX($M$26:$M$30),O28,IF($M$27=MAX($M$26:$M$30),O27,IF($M$26=MAX($M$26:$M$30),O26,O30)))))</f>
        <v>0</v>
      </c>
      <c r="P35" s="195" t="n">
        <f aca="false">IF($M$30=MAX($M$26:$M$30),P30,IF($M$29=MAX($M$26:$M$30),P29,IF($M$28=MAX($M$26:$M$30),P28,IF($M$27=MAX($M$26:$M$30),P27,IF($M$26=MAX($M$26:$M$30),P26,P30)))))</f>
        <v>0</v>
      </c>
      <c r="U35" s="195" t="n">
        <f aca="false">IF($M$30=MAX($M$26:$M$30),U30,IF($M$29=MAX($M$26:$M$30),U29,IF($M$28=MAX($M$26:$M$30),U28,IF($M$27=MAX($M$26:$M$30),U27,IF($M$26=MAX($M$26:$M$30),U26,U30)))))</f>
        <v>0</v>
      </c>
    </row>
    <row r="36" customFormat="false" ht="24.95" hidden="false" customHeight="true" outlineLevel="0" collapsed="false">
      <c r="A36" s="112"/>
      <c r="B36" s="72"/>
      <c r="C36" s="72"/>
      <c r="D36" s="72"/>
      <c r="E36" s="72"/>
      <c r="F36" s="72"/>
      <c r="G36" s="72"/>
      <c r="H36" s="72"/>
      <c r="I36" s="72"/>
      <c r="J36" s="72"/>
      <c r="K36" s="14"/>
      <c r="L36" s="15"/>
      <c r="M36" s="73" t="s">
        <v>29</v>
      </c>
      <c r="N36" s="74" t="s">
        <v>45</v>
      </c>
      <c r="O36" s="74" t="s">
        <v>46</v>
      </c>
      <c r="P36" s="74" t="s">
        <v>47</v>
      </c>
      <c r="U36" s="74" t="str">
        <f aca="false">U22</f>
        <v>Cycles en direction de Bonneville</v>
      </c>
    </row>
    <row r="37" customFormat="false" ht="24.95" hidden="false" customHeight="true" outlineLevel="0" collapsed="false">
      <c r="A37" s="112"/>
      <c r="B37" s="72"/>
      <c r="C37" s="72"/>
      <c r="D37" s="72"/>
      <c r="E37" s="72"/>
      <c r="F37" s="72"/>
      <c r="G37" s="72"/>
      <c r="H37" s="72"/>
      <c r="I37" s="72"/>
      <c r="J37" s="72"/>
      <c r="K37" s="14"/>
      <c r="L37" s="15"/>
      <c r="M37" s="73"/>
      <c r="N37" s="74"/>
      <c r="O37" s="74"/>
      <c r="P37" s="74"/>
      <c r="Q37" s="72"/>
      <c r="R37" s="72"/>
      <c r="S37" s="72"/>
      <c r="T37" s="72"/>
      <c r="U37" s="74"/>
    </row>
    <row r="38" customFormat="false" ht="24.95" hidden="false" customHeight="true" outlineLevel="0" collapsed="false">
      <c r="A38" s="112"/>
      <c r="B38" s="72"/>
      <c r="C38" s="72"/>
      <c r="D38" s="72"/>
      <c r="E38" s="72"/>
      <c r="F38" s="72"/>
      <c r="G38" s="72"/>
      <c r="H38" s="72"/>
      <c r="I38" s="72"/>
      <c r="J38" s="72"/>
      <c r="K38" s="75"/>
      <c r="L38" s="15"/>
      <c r="M38" s="73"/>
      <c r="N38" s="74"/>
      <c r="O38" s="74"/>
      <c r="P38" s="74"/>
      <c r="Q38" s="72"/>
      <c r="R38" s="72"/>
      <c r="S38" s="72"/>
      <c r="T38" s="72"/>
      <c r="U38" s="74"/>
    </row>
    <row r="39" customFormat="false" ht="35.1" hidden="false" customHeight="true" outlineLevel="0" collapsed="false">
      <c r="A39" s="112"/>
      <c r="B39" s="72"/>
      <c r="C39" s="72"/>
      <c r="D39" s="72"/>
      <c r="E39" s="72"/>
      <c r="F39" s="72"/>
      <c r="G39" s="72"/>
      <c r="H39" s="72"/>
      <c r="I39" s="72"/>
      <c r="J39" s="72"/>
      <c r="K39" s="20" t="s">
        <v>21</v>
      </c>
      <c r="L39" s="20"/>
      <c r="M39" s="73"/>
      <c r="N39" s="74"/>
      <c r="O39" s="74"/>
      <c r="P39" s="74"/>
      <c r="Q39" s="72"/>
      <c r="R39" s="72"/>
      <c r="S39" s="72"/>
      <c r="T39" s="72"/>
      <c r="U39" s="74"/>
    </row>
    <row r="40" customFormat="false" ht="35.1" hidden="false" customHeight="true" outlineLevel="0" collapsed="false">
      <c r="A40" s="112"/>
      <c r="B40" s="72"/>
      <c r="C40" s="72"/>
      <c r="D40" s="72"/>
      <c r="E40" s="72"/>
      <c r="F40" s="72"/>
      <c r="G40" s="72"/>
      <c r="H40" s="72"/>
      <c r="I40" s="72"/>
      <c r="J40" s="72"/>
      <c r="K40" s="20" t="str">
        <f aca="false">K26</f>
        <v>6:30 à 7:00</v>
      </c>
      <c r="L40" s="20"/>
      <c r="M40" s="76"/>
      <c r="N40" s="77" t="n">
        <f aca="false">IF(N26=0,0,N26/M26)</f>
        <v>0</v>
      </c>
      <c r="O40" s="77" t="n">
        <f aca="false">IF(O26=0,0,O26/M26)</f>
        <v>0</v>
      </c>
      <c r="P40" s="77" t="n">
        <f aca="false">IF(P26=0,0,P26/N26)</f>
        <v>0</v>
      </c>
      <c r="Q40" s="72"/>
      <c r="R40" s="72"/>
      <c r="S40" s="72"/>
      <c r="T40" s="72"/>
      <c r="U40" s="77" t="n">
        <f aca="false">IF(U26=0,0,U26/M26)</f>
        <v>0</v>
      </c>
    </row>
    <row r="41" customFormat="false" ht="35.1" hidden="false" customHeight="true" outlineLevel="0" collapsed="false">
      <c r="A41" s="112"/>
      <c r="B41" s="72"/>
      <c r="C41" s="72"/>
      <c r="D41" s="72"/>
      <c r="E41" s="72"/>
      <c r="F41" s="72"/>
      <c r="G41" s="72"/>
      <c r="H41" s="72"/>
      <c r="I41" s="72"/>
      <c r="J41" s="72"/>
      <c r="K41" s="20" t="str">
        <f aca="false">K27</f>
        <v>7:00 à 7:30</v>
      </c>
      <c r="L41" s="20"/>
      <c r="M41" s="76"/>
      <c r="N41" s="77" t="n">
        <f aca="false">IF(N28=0,0,N28/M28)</f>
        <v>0</v>
      </c>
      <c r="O41" s="77" t="n">
        <f aca="false">IF(O28=0,0,O28/M28)</f>
        <v>0</v>
      </c>
      <c r="P41" s="77" t="n">
        <f aca="false">IF(P28=0,0,P28/N28)</f>
        <v>0</v>
      </c>
      <c r="Q41" s="72"/>
      <c r="R41" s="72"/>
      <c r="S41" s="72"/>
      <c r="T41" s="72"/>
      <c r="U41" s="77" t="n">
        <f aca="false">IF(U28=0,0,U28/M28)</f>
        <v>0</v>
      </c>
    </row>
    <row r="42" customFormat="false" ht="35.1" hidden="false" customHeight="true" outlineLevel="0" collapsed="false">
      <c r="A42" s="112"/>
      <c r="B42" s="72"/>
      <c r="C42" s="72"/>
      <c r="D42" s="72"/>
      <c r="E42" s="72"/>
      <c r="F42" s="72"/>
      <c r="G42" s="72"/>
      <c r="H42" s="72"/>
      <c r="I42" s="72"/>
      <c r="J42" s="72"/>
      <c r="K42" s="20" t="str">
        <f aca="false">K28</f>
        <v>7:30 à 8:00</v>
      </c>
      <c r="L42" s="20"/>
      <c r="M42" s="76"/>
      <c r="N42" s="77" t="n">
        <f aca="false">IF(N28=0,0,N28/M28)</f>
        <v>0</v>
      </c>
      <c r="O42" s="77" t="n">
        <f aca="false">IF(O28=0,0,O28/M28)</f>
        <v>0</v>
      </c>
      <c r="P42" s="77" t="n">
        <f aca="false">IF(P28=0,0,P28/N28)</f>
        <v>0</v>
      </c>
      <c r="Q42" s="72"/>
      <c r="R42" s="72"/>
      <c r="S42" s="72"/>
      <c r="T42" s="72"/>
      <c r="U42" s="77" t="n">
        <f aca="false">IF(U28=0,0,U28/M28)</f>
        <v>0</v>
      </c>
    </row>
    <row r="43" customFormat="false" ht="35.1" hidden="false" customHeight="true" outlineLevel="0" collapsed="false">
      <c r="A43" s="112"/>
      <c r="B43" s="72"/>
      <c r="C43" s="72"/>
      <c r="D43" s="72"/>
      <c r="E43" s="72"/>
      <c r="F43" s="72"/>
      <c r="G43" s="72"/>
      <c r="H43" s="72"/>
      <c r="I43" s="72"/>
      <c r="J43" s="72"/>
      <c r="K43" s="20" t="str">
        <f aca="false">K29</f>
        <v>8:00 à 8:30</v>
      </c>
      <c r="L43" s="20"/>
      <c r="M43" s="76"/>
      <c r="N43" s="77" t="n">
        <f aca="false">IF(N29=0,0,N29/M29)</f>
        <v>0</v>
      </c>
      <c r="O43" s="77" t="n">
        <f aca="false">IF(O29=0,0,O29/M29)</f>
        <v>0</v>
      </c>
      <c r="P43" s="77" t="n">
        <f aca="false">IF(P29=0,0,P29/N29)</f>
        <v>0</v>
      </c>
      <c r="Q43" s="72"/>
      <c r="R43" s="72"/>
      <c r="S43" s="72"/>
      <c r="T43" s="72"/>
      <c r="U43" s="77" t="n">
        <f aca="false">IF(U29=0,0,U29/M29)</f>
        <v>0</v>
      </c>
    </row>
    <row r="44" customFormat="false" ht="35.1" hidden="false" customHeight="true" outlineLevel="0" collapsed="false">
      <c r="F44" s="72"/>
      <c r="K44" s="20" t="str">
        <f aca="false">K30</f>
        <v>8:30 à 9:00</v>
      </c>
      <c r="L44" s="20"/>
      <c r="M44" s="76"/>
      <c r="N44" s="77" t="n">
        <f aca="false">IF(N30=0,0,N30/M30)</f>
        <v>0</v>
      </c>
      <c r="O44" s="77" t="n">
        <f aca="false">IF(O30=0,0,O30/M30)</f>
        <v>0</v>
      </c>
      <c r="P44" s="77" t="n">
        <f aca="false">IF(P30=0,0,P30/N30)</f>
        <v>0</v>
      </c>
      <c r="U44" s="77" t="n">
        <f aca="false">IF(U30=0,0,U30/M30)</f>
        <v>0</v>
      </c>
    </row>
    <row r="45" customFormat="false" ht="35.1" hidden="false" customHeight="true" outlineLevel="0" collapsed="false">
      <c r="F45" s="72"/>
      <c r="K45" s="20" t="s">
        <v>29</v>
      </c>
      <c r="L45" s="20"/>
      <c r="M45" s="196"/>
      <c r="N45" s="197" t="n">
        <f aca="false">IF(N31=0,0,N31/M31)</f>
        <v>0.5</v>
      </c>
      <c r="O45" s="197" t="n">
        <f aca="false">IF(O31=0,0,O31/M31)</f>
        <v>0.227272727272727</v>
      </c>
      <c r="P45" s="197" t="n">
        <f aca="false">IF(P31=0,0,P31/N31)</f>
        <v>0</v>
      </c>
      <c r="U45" s="197" t="n">
        <f aca="false">IF(U31=0,0,U31/M31)</f>
        <v>0</v>
      </c>
    </row>
    <row r="46" customFormat="false" ht="35.1" hidden="false" customHeight="true" outlineLevel="0" collapsed="false">
      <c r="K46" s="20" t="str">
        <f aca="false">K35</f>
        <v>8:30 à 9:00</v>
      </c>
      <c r="L46" s="20"/>
      <c r="M46" s="43" t="n">
        <f aca="false">IF($AS$47=MAX($AS$47:$AS$51),M40,IF($AS$48=MAX($AS$47:$AS$51),M42,IF($AS$49=MAX($AS$47:$AS$51),M43,IF($AS$50=MAX($AS$47:$AS$51),(M43),M44))))</f>
        <v>0</v>
      </c>
      <c r="N46" s="80" t="n">
        <f aca="false">IF($AS$47=MAX($AS$47:$AS$51),N40,IF($AS$48=MAX($AS$47:$AS$51),N42,IF($AS$49=MAX($AS$47:$AS$51),N43,IF($AS$50=MAX($AS$47:$AS$51),(N43),N44))))</f>
        <v>0</v>
      </c>
      <c r="O46" s="80" t="n">
        <f aca="false">O44</f>
        <v>0</v>
      </c>
      <c r="P46" s="80" t="n">
        <f aca="false">IF($AS$47=MAX($AS$47:$AS$51),P40,IF($AS$48=MAX($AS$47:$AS$51),P42,IF($AS$49=MAX($AS$47:$AS$51),P43,IF($AS$50=MAX($AS$47:$AS$51),(P43),P44))))</f>
        <v>0</v>
      </c>
      <c r="U46" s="80" t="n">
        <f aca="false">IF($AS$47=MAX($AS$47:$AS$51),U40,IF($AS$48=MAX($AS$47:$AS$51),U42,IF($AS$49=MAX($AS$47:$AS$51),U43,IF($AS$50=MAX($AS$47:$AS$51),(U43),U44))))</f>
        <v>0</v>
      </c>
    </row>
    <row r="1048576" customFormat="false" ht="12.8" hidden="false" customHeight="false" outlineLevel="0" collapsed="false"/>
  </sheetData>
  <mergeCells count="49">
    <mergeCell ref="C8:J8"/>
    <mergeCell ref="C9:F9"/>
    <mergeCell ref="G9:J9"/>
    <mergeCell ref="A11:B11"/>
    <mergeCell ref="C22:J22"/>
    <mergeCell ref="K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C23:F23"/>
    <mergeCell ref="G23:J23"/>
    <mergeCell ref="C24:D24"/>
    <mergeCell ref="E24:F24"/>
    <mergeCell ref="G24:H24"/>
    <mergeCell ref="I24:J24"/>
    <mergeCell ref="A25:B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K34:L34"/>
    <mergeCell ref="K35:L35"/>
    <mergeCell ref="M36:M39"/>
    <mergeCell ref="N36:N39"/>
    <mergeCell ref="O36:O39"/>
    <mergeCell ref="P36:P39"/>
    <mergeCell ref="U36:U39"/>
    <mergeCell ref="K39:L39"/>
    <mergeCell ref="K40:L40"/>
    <mergeCell ref="K41:L41"/>
    <mergeCell ref="K42:L42"/>
    <mergeCell ref="K43:L43"/>
    <mergeCell ref="K44:L44"/>
    <mergeCell ref="K45:L45"/>
    <mergeCell ref="K46:L46"/>
  </mergeCells>
  <printOptions headings="false" gridLines="false" gridLinesSet="true" horizontalCentered="false" verticalCentered="false"/>
  <pageMargins left="0.511805555555555" right="0.511805555555555" top="0.944444444444444" bottom="0.944444444444444" header="0.511805555555555" footer="0.51180555555555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6" activeCellId="0" sqref="J6"/>
    </sheetView>
  </sheetViews>
  <sheetFormatPr defaultColWidth="10.4453125" defaultRowHeight="14.25" zeroHeight="false" outlineLevelRow="0" outlineLevelCol="0"/>
  <cols>
    <col collapsed="false" customWidth="true" hidden="false" outlineLevel="0" max="2" min="2" style="0" width="29.62"/>
    <col collapsed="false" customWidth="true" hidden="false" outlineLevel="0" max="11" min="11" style="0" width="6.61"/>
  </cols>
  <sheetData>
    <row r="1" customFormat="false" ht="13.8" hidden="false" customHeight="false" outlineLevel="0" collapsed="false">
      <c r="A1" s="0" t="n">
        <v>2025</v>
      </c>
      <c r="B1" s="310" t="n">
        <v>2025</v>
      </c>
    </row>
    <row r="2" customFormat="false" ht="25.35" hidden="false" customHeight="true" outlineLevel="0" collapsed="false">
      <c r="A2" s="311" t="s">
        <v>177</v>
      </c>
      <c r="B2" s="312" t="s">
        <v>178</v>
      </c>
      <c r="C2" s="313" t="s">
        <v>179</v>
      </c>
      <c r="D2" s="314" t="s">
        <v>180</v>
      </c>
      <c r="E2" s="315" t="s">
        <v>181</v>
      </c>
      <c r="F2" s="314" t="s">
        <v>182</v>
      </c>
      <c r="G2" s="315" t="s">
        <v>183</v>
      </c>
    </row>
    <row r="3" customFormat="false" ht="15" hidden="false" customHeight="false" outlineLevel="0" collapsed="false">
      <c r="A3" s="311"/>
      <c r="B3" s="312"/>
      <c r="C3" s="316"/>
      <c r="D3" s="314"/>
      <c r="E3" s="315"/>
      <c r="F3" s="314"/>
      <c r="G3" s="315"/>
    </row>
    <row r="4" customFormat="false" ht="15" hidden="false" customHeight="false" outlineLevel="0" collapsed="false">
      <c r="A4" s="311"/>
      <c r="B4" s="312"/>
      <c r="C4" s="317" t="s">
        <v>184</v>
      </c>
      <c r="D4" s="314"/>
      <c r="E4" s="315"/>
      <c r="F4" s="314"/>
      <c r="G4" s="315"/>
    </row>
    <row r="5" s="323" customFormat="true" ht="15" hidden="false" customHeight="false" outlineLevel="0" collapsed="false">
      <c r="A5" s="318" t="n">
        <v>10</v>
      </c>
      <c r="B5" s="319" t="s">
        <v>185</v>
      </c>
      <c r="C5" s="320" t="n">
        <f aca="false">LA_RO_BIOCOOP!AO35</f>
        <v>101</v>
      </c>
      <c r="D5" s="321" t="n">
        <f aca="false">IF(E5="","",E5/C5)</f>
        <v>0.455445544554455</v>
      </c>
      <c r="E5" s="322" t="n">
        <f aca="false">LA_RO_BIOCOOP!AP35</f>
        <v>46</v>
      </c>
      <c r="F5" s="321" t="n">
        <f aca="false">IF(G5="","",G5/C5)</f>
        <v>0.316831683168317</v>
      </c>
      <c r="G5" s="322" t="n">
        <f aca="false">LA_RO_BIOCOOP!AQ35</f>
        <v>32</v>
      </c>
    </row>
    <row r="6" customFormat="false" ht="15" hidden="false" customHeight="false" outlineLevel="0" collapsed="false">
      <c r="A6" s="318"/>
      <c r="B6" s="319" t="s">
        <v>186</v>
      </c>
      <c r="C6" s="320" t="n">
        <f aca="false">LA_RO_POSTE!AC46</f>
        <v>46</v>
      </c>
      <c r="D6" s="321" t="n">
        <f aca="false">IF(E6="","",E6/C6)</f>
        <v>0.456521739130435</v>
      </c>
      <c r="E6" s="322" t="n">
        <f aca="false">LA_RO_POSTE!AD46</f>
        <v>21</v>
      </c>
      <c r="F6" s="321" t="n">
        <f aca="false">IF(G6="","",G6/C6)</f>
        <v>0.260869565217391</v>
      </c>
      <c r="G6" s="322" t="n">
        <v>12</v>
      </c>
    </row>
    <row r="7" customFormat="false" ht="15" hidden="false" customHeight="false" outlineLevel="0" collapsed="false">
      <c r="A7" s="318"/>
      <c r="B7" s="324" t="s">
        <v>187</v>
      </c>
      <c r="C7" s="320" t="n">
        <f aca="false">LA_RO_ENILV!BA40</f>
        <v>25</v>
      </c>
      <c r="D7" s="321" t="n">
        <f aca="false">IF(E7="","",E7/C7)</f>
        <v>0.36</v>
      </c>
      <c r="E7" s="322" t="n">
        <f aca="false">LA_RO_ENILV!BB40</f>
        <v>9</v>
      </c>
      <c r="F7" s="321" t="n">
        <f aca="false">IF(G7="","",G7/C7)</f>
        <v>0.2</v>
      </c>
      <c r="G7" s="322" t="n">
        <f aca="false">LA_RO_ENILV!BC40</f>
        <v>5</v>
      </c>
    </row>
    <row r="8" customFormat="false" ht="15" hidden="false" customHeight="false" outlineLevel="0" collapsed="false">
      <c r="A8" s="318"/>
      <c r="B8" s="319" t="s">
        <v>188</v>
      </c>
      <c r="C8" s="320" t="n">
        <f aca="false">LA_RO_SNCF!G44</f>
        <v>76</v>
      </c>
      <c r="D8" s="321" t="n">
        <f aca="false">IF(E8="","",E8/C8)</f>
        <v>0.394736842105263</v>
      </c>
      <c r="E8" s="322" t="n">
        <f aca="false">LA_RO_SNCF!C44+LA_RO_SNCF!E44</f>
        <v>30</v>
      </c>
      <c r="F8" s="321" t="n">
        <f aca="false">IF(G8="","",G8/C8)</f>
        <v>0.302631578947368</v>
      </c>
      <c r="G8" s="322" t="n">
        <f aca="false">LA_RO_SNCF!E44+LA_RO_SNCF!F44</f>
        <v>23</v>
      </c>
    </row>
    <row r="9" customFormat="false" ht="15" hidden="false" customHeight="false" outlineLevel="0" collapsed="false">
      <c r="A9" s="318"/>
      <c r="B9" s="325" t="s">
        <v>189</v>
      </c>
      <c r="C9" s="326" t="n">
        <f aca="false">'LA RO ANDREV 24'!M43</f>
        <v>41</v>
      </c>
      <c r="D9" s="321" t="n">
        <f aca="false">IF(E9="","",E9/C9)</f>
        <v>0.585365853658537</v>
      </c>
      <c r="E9" s="327" t="n">
        <f aca="false">'LA RO ANDREV 24'!N43</f>
        <v>24</v>
      </c>
      <c r="F9" s="328"/>
      <c r="G9" s="327" t="n">
        <f aca="false">'LA RO ANDREV 24'!O43</f>
        <v>15</v>
      </c>
    </row>
    <row r="10" s="323" customFormat="true" ht="15" hidden="false" customHeight="false" outlineLevel="0" collapsed="false">
      <c r="A10" s="318"/>
      <c r="B10" s="329" t="s">
        <v>190</v>
      </c>
      <c r="C10" s="330" t="n">
        <f aca="false">SUM(C5:C9)</f>
        <v>289</v>
      </c>
      <c r="D10" s="331" t="n">
        <f aca="false">E10/C10</f>
        <v>0.449826989619377</v>
      </c>
      <c r="E10" s="332" t="n">
        <f aca="false">SUM(E5:E9)</f>
        <v>130</v>
      </c>
      <c r="F10" s="331" t="n">
        <f aca="false">G10/C10</f>
        <v>0.301038062283737</v>
      </c>
      <c r="G10" s="332" t="n">
        <f aca="false">SUM(G5:G9)</f>
        <v>87</v>
      </c>
    </row>
    <row r="11" s="323" customFormat="true" ht="15" hidden="false" customHeight="false" outlineLevel="0" collapsed="false">
      <c r="A11" s="318"/>
      <c r="B11" s="333"/>
      <c r="C11" s="330"/>
      <c r="D11" s="331"/>
      <c r="E11" s="330"/>
      <c r="F11" s="331"/>
      <c r="G11" s="330"/>
    </row>
    <row r="12" customFormat="false" ht="15" hidden="false" customHeight="false" outlineLevel="0" collapsed="false">
      <c r="A12" s="318"/>
      <c r="B12" s="319" t="s">
        <v>191</v>
      </c>
      <c r="C12" s="320" t="n">
        <f aca="false">ARENT_PAPETERIE!AC40</f>
        <v>17</v>
      </c>
      <c r="D12" s="321" t="n">
        <f aca="false">IF(E12="","",E12/C12)</f>
        <v>0.529411764705882</v>
      </c>
      <c r="E12" s="322" t="n">
        <v>9</v>
      </c>
      <c r="F12" s="328" t="n">
        <f aca="false">IF(G12="","",G12/C12)</f>
        <v>0.235294117647059</v>
      </c>
      <c r="G12" s="322" t="n">
        <v>4</v>
      </c>
    </row>
    <row r="13" customFormat="false" ht="15" hidden="false" customHeight="false" outlineLevel="0" collapsed="false">
      <c r="A13" s="318"/>
      <c r="B13" s="319" t="s">
        <v>192</v>
      </c>
      <c r="C13" s="334"/>
      <c r="D13" s="335" t="str">
        <f aca="false">IF(E13="","",E13/C13)</f>
        <v/>
      </c>
      <c r="E13" s="336"/>
      <c r="F13" s="337" t="str">
        <f aca="false">IF(G13="","",G13/C13)</f>
        <v/>
      </c>
      <c r="G13" s="336"/>
    </row>
    <row r="14" customFormat="false" ht="15" hidden="false" customHeight="false" outlineLevel="0" collapsed="false">
      <c r="A14" s="318"/>
      <c r="B14" s="319" t="s">
        <v>193</v>
      </c>
      <c r="C14" s="320" t="n">
        <f aca="false">'ST_PI_BON BORNE_RD1203'!Y94</f>
        <v>44</v>
      </c>
      <c r="D14" s="321" t="n">
        <f aca="false">IF(E14="","",E14/C14)</f>
        <v>0.431818181818182</v>
      </c>
      <c r="E14" s="322" t="n">
        <v>19</v>
      </c>
      <c r="F14" s="328" t="n">
        <f aca="false">IF(G14="","",G14/C14)</f>
        <v>0.477272727272727</v>
      </c>
      <c r="G14" s="322" t="n">
        <v>21</v>
      </c>
    </row>
    <row r="15" customFormat="false" ht="15" hidden="false" customHeight="false" outlineLevel="0" collapsed="false">
      <c r="A15" s="318"/>
      <c r="B15" s="319" t="s">
        <v>194</v>
      </c>
      <c r="C15" s="320" t="n">
        <f aca="false">ST_PI_M_BRICOLAGE!U41</f>
        <v>41</v>
      </c>
      <c r="D15" s="321" t="n">
        <f aca="false">IF(E15="","",E15/C15)</f>
        <v>0.219512195121951</v>
      </c>
      <c r="E15" s="322" t="n">
        <v>9</v>
      </c>
      <c r="F15" s="328" t="n">
        <f aca="false">IF(G15="","",G15/C15)</f>
        <v>0.365853658536585</v>
      </c>
      <c r="G15" s="322" t="n">
        <v>15</v>
      </c>
    </row>
    <row r="16" s="323" customFormat="true" ht="13.8" hidden="false" customHeight="false" outlineLevel="0" collapsed="false">
      <c r="B16" s="323" t="s">
        <v>195</v>
      </c>
      <c r="C16" s="323" t="n">
        <f aca="false">SUM(C12:C15)</f>
        <v>102</v>
      </c>
      <c r="D16" s="331" t="n">
        <f aca="false">E16/C16</f>
        <v>0.362745098039216</v>
      </c>
      <c r="E16" s="323" t="n">
        <f aca="false">SUM(E12:E15)</f>
        <v>37</v>
      </c>
      <c r="F16" s="331" t="n">
        <f aca="false">G16/C16</f>
        <v>0.392156862745098</v>
      </c>
      <c r="G16" s="323" t="n">
        <f aca="false">SUM(G12:G15)</f>
        <v>40</v>
      </c>
    </row>
    <row r="17" customFormat="false" ht="15" hidden="false" customHeight="false" outlineLevel="0" collapsed="false">
      <c r="A17" s="318"/>
      <c r="B17" s="319" t="s">
        <v>196</v>
      </c>
      <c r="C17" s="320" t="n">
        <f aca="false">BO_BORNE_PRISON!M28</f>
        <v>28</v>
      </c>
      <c r="D17" s="321" t="n">
        <f aca="false">IF(E17="","",E17/C17)</f>
        <v>0.357142857142857</v>
      </c>
      <c r="E17" s="322" t="n">
        <f aca="false">BO_BORNE_PRISON!N28</f>
        <v>10</v>
      </c>
      <c r="F17" s="328" t="n">
        <f aca="false">IF(G17="","",G17/C17)</f>
        <v>0.5</v>
      </c>
      <c r="G17" s="322" t="n">
        <f aca="false">BO_BORNE_PRISON!O28</f>
        <v>14</v>
      </c>
      <c r="H17" s="338"/>
    </row>
    <row r="18" customFormat="false" ht="15" hidden="false" customHeight="false" outlineLevel="0" collapsed="false">
      <c r="A18" s="318"/>
      <c r="B18" s="319" t="s">
        <v>197</v>
      </c>
      <c r="C18" s="326" t="n">
        <f aca="false">AYZE!M31</f>
        <v>66</v>
      </c>
      <c r="D18" s="321" t="n">
        <f aca="false">IF(E18="","",E18/C18)</f>
        <v>0.5</v>
      </c>
      <c r="E18" s="327" t="n">
        <f aca="false">AYZE!N31</f>
        <v>33</v>
      </c>
      <c r="F18" s="328" t="n">
        <f aca="false">IF(G18="","",G18/C18)</f>
        <v>0.227272727272727</v>
      </c>
      <c r="G18" s="327" t="n">
        <f aca="false">AYZE!O31</f>
        <v>15</v>
      </c>
      <c r="H18" s="338"/>
    </row>
    <row r="19" s="323" customFormat="true" ht="15" hidden="false" customHeight="false" outlineLevel="0" collapsed="false">
      <c r="A19" s="339"/>
      <c r="B19" s="340" t="s">
        <v>198</v>
      </c>
      <c r="C19" s="341" t="n">
        <f aca="false">SUBTOTAL(9,C17:C18)</f>
        <v>94</v>
      </c>
      <c r="D19" s="342" t="n">
        <f aca="false">E19/C19</f>
        <v>0.457446808510638</v>
      </c>
      <c r="E19" s="341" t="n">
        <f aca="false">SUBTOTAL(9,E17:E18)</f>
        <v>43</v>
      </c>
      <c r="F19" s="342" t="n">
        <f aca="false">G19/C19</f>
        <v>0.308510638297872</v>
      </c>
      <c r="G19" s="341" t="n">
        <f aca="false">SUBTOTAL(9,G17:G18)</f>
        <v>29</v>
      </c>
      <c r="H19" s="343"/>
    </row>
    <row r="20" customFormat="false" ht="15" hidden="false" customHeight="false" outlineLevel="0" collapsed="false">
      <c r="A20" s="344" t="s">
        <v>199</v>
      </c>
      <c r="B20" s="345"/>
      <c r="C20" s="346" t="n">
        <f aca="false">C16+C10+C19</f>
        <v>485</v>
      </c>
      <c r="D20" s="347" t="n">
        <f aca="false">E20/C20</f>
        <v>0.344329896907216</v>
      </c>
      <c r="E20" s="346" t="n">
        <f aca="false">E16+E10</f>
        <v>167</v>
      </c>
      <c r="F20" s="347" t="n">
        <f aca="false">G20/C20</f>
        <v>0.261855670103093</v>
      </c>
      <c r="G20" s="346" t="n">
        <f aca="false">G16+G10</f>
        <v>127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>
      <c r="A23" s="0" t="n">
        <v>2022</v>
      </c>
    </row>
    <row r="24" customFormat="false" ht="13.8" hidden="false" customHeight="false" outlineLevel="0" collapsed="false">
      <c r="A24" s="318" t="n">
        <v>11</v>
      </c>
    </row>
    <row r="25" customFormat="false" ht="13.8" hidden="false" customHeight="false" outlineLevel="0" collapsed="false">
      <c r="A25" s="318"/>
    </row>
    <row r="26" customFormat="false" ht="13.8" hidden="false" customHeight="false" outlineLevel="0" collapsed="false">
      <c r="A26" s="318"/>
    </row>
    <row r="27" customFormat="false" ht="13.8" hidden="false" customHeight="false" outlineLevel="0" collapsed="false">
      <c r="A27" s="318"/>
    </row>
    <row r="28" s="323" customFormat="true" ht="13.8" hidden="false" customHeight="false" outlineLevel="0" collapsed="false">
      <c r="A28" s="318"/>
      <c r="B28" s="0"/>
      <c r="C28" s="0"/>
      <c r="D28" s="0"/>
      <c r="E28" s="0"/>
      <c r="F28" s="0"/>
      <c r="G28" s="0"/>
      <c r="H28" s="0"/>
      <c r="I28" s="0"/>
    </row>
    <row r="29" customFormat="false" ht="13.8" hidden="false" customHeight="false" outlineLevel="0" collapsed="false">
      <c r="A29" s="318"/>
    </row>
    <row r="30" customFormat="false" ht="13.8" hidden="false" customHeight="false" outlineLevel="0" collapsed="false">
      <c r="A30" s="318"/>
    </row>
    <row r="31" customFormat="false" ht="13.8" hidden="false" customHeight="false" outlineLevel="0" collapsed="false">
      <c r="A31" s="318"/>
    </row>
    <row r="32" customFormat="false" ht="13.8" hidden="false" customHeight="false" outlineLevel="0" collapsed="false">
      <c r="A32" s="318"/>
    </row>
    <row r="33" customFormat="false" ht="13.8" hidden="false" customHeight="false" outlineLevel="0" collapsed="false">
      <c r="A33" s="318"/>
    </row>
    <row r="34" customFormat="false" ht="13.8" hidden="false" customHeight="false" outlineLevel="0" collapsed="false">
      <c r="A34" s="318"/>
    </row>
    <row r="35" s="323" customFormat="true" ht="13.8" hidden="false" customHeight="false" outlineLevel="0" collapsed="false">
      <c r="A35" s="318"/>
      <c r="B35" s="0"/>
      <c r="C35" s="0"/>
      <c r="D35" s="0"/>
      <c r="E35" s="0"/>
      <c r="F35" s="0"/>
      <c r="G35" s="0"/>
      <c r="H35" s="0"/>
      <c r="I35" s="0"/>
    </row>
    <row r="36" customFormat="false" ht="13.8" hidden="false" customHeight="false" outlineLevel="0" collapsed="false">
      <c r="A36" s="318"/>
    </row>
    <row r="37" customFormat="false" ht="13.8" hidden="false" customHeight="false" outlineLevel="0" collapsed="false">
      <c r="A37" s="318"/>
    </row>
    <row r="38" customFormat="false" ht="13.8" hidden="false" customHeight="false" outlineLevel="0" collapsed="false">
      <c r="A38" s="318"/>
    </row>
    <row r="39" customFormat="false" ht="13.8" hidden="false" customHeight="false" outlineLevel="0" collapsed="false">
      <c r="A39" s="318"/>
    </row>
    <row r="40" customFormat="false" ht="15" hidden="false" customHeight="false" outlineLevel="0" collapsed="false">
      <c r="A40" s="344" t="s">
        <v>199</v>
      </c>
    </row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A44" s="0" t="n">
        <v>2021</v>
      </c>
    </row>
    <row r="45" customFormat="false" ht="13.8" hidden="false" customHeight="false" outlineLevel="0" collapsed="false">
      <c r="A45" s="318" t="n">
        <v>9</v>
      </c>
    </row>
    <row r="46" customFormat="false" ht="13.8" hidden="false" customHeight="false" outlineLevel="0" collapsed="false">
      <c r="A46" s="318"/>
    </row>
    <row r="47" customFormat="false" ht="13.8" hidden="false" customHeight="false" outlineLevel="0" collapsed="false">
      <c r="A47" s="318"/>
    </row>
    <row r="48" customFormat="false" ht="13.8" hidden="false" customHeight="false" outlineLevel="0" collapsed="false">
      <c r="A48" s="318"/>
    </row>
    <row r="49" s="323" customFormat="true" ht="13.8" hidden="false" customHeight="false" outlineLevel="0" collapsed="false">
      <c r="A49" s="318"/>
      <c r="B49" s="0"/>
      <c r="C49" s="0"/>
      <c r="D49" s="0"/>
      <c r="E49" s="0"/>
      <c r="F49" s="0"/>
      <c r="G49" s="0"/>
      <c r="H49" s="0"/>
      <c r="I49" s="0"/>
    </row>
    <row r="50" s="323" customFormat="true" ht="13.8" hidden="false" customHeight="false" outlineLevel="0" collapsed="false">
      <c r="A50" s="318"/>
      <c r="B50" s="0"/>
      <c r="C50" s="0"/>
      <c r="D50" s="0"/>
      <c r="E50" s="0"/>
      <c r="F50" s="0"/>
      <c r="G50" s="0"/>
      <c r="H50" s="0"/>
      <c r="I50" s="0"/>
    </row>
    <row r="51" customFormat="false" ht="13.8" hidden="false" customHeight="false" outlineLevel="0" collapsed="false">
      <c r="A51" s="318"/>
    </row>
    <row r="52" customFormat="false" ht="13.8" hidden="false" customHeight="false" outlineLevel="0" collapsed="false">
      <c r="A52" s="318"/>
    </row>
    <row r="53" customFormat="false" ht="13.8" hidden="false" customHeight="false" outlineLevel="0" collapsed="false">
      <c r="A53" s="318"/>
    </row>
    <row r="54" customFormat="false" ht="13.8" hidden="false" customHeight="false" outlineLevel="0" collapsed="false">
      <c r="A54" s="318"/>
    </row>
    <row r="55" s="323" customFormat="true" ht="13.8" hidden="false" customHeight="false" outlineLevel="0" collapsed="false">
      <c r="A55" s="318"/>
      <c r="B55" s="0"/>
      <c r="C55" s="0"/>
      <c r="D55" s="0"/>
      <c r="E55" s="0"/>
      <c r="F55" s="0"/>
      <c r="G55" s="0"/>
      <c r="H55" s="0"/>
      <c r="I55" s="0"/>
    </row>
    <row r="56" customFormat="false" ht="13.8" hidden="false" customHeight="false" outlineLevel="0" collapsed="false">
      <c r="A56" s="318"/>
    </row>
    <row r="57" customFormat="false" ht="13.8" hidden="false" customHeight="false" outlineLevel="0" collapsed="false">
      <c r="A57" s="318"/>
    </row>
    <row r="58" customFormat="false" ht="15" hidden="false" customHeight="false" outlineLevel="0" collapsed="false">
      <c r="A58" s="344" t="s">
        <v>199</v>
      </c>
    </row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>
      <c r="A62" s="0" t="n">
        <v>2020</v>
      </c>
    </row>
    <row r="63" customFormat="false" ht="13.8" hidden="false" customHeight="false" outlineLevel="0" collapsed="false">
      <c r="A63" s="318" t="n">
        <v>8</v>
      </c>
    </row>
    <row r="64" customFormat="false" ht="13.8" hidden="false" customHeight="false" outlineLevel="0" collapsed="false">
      <c r="A64" s="318"/>
    </row>
    <row r="65" customFormat="false" ht="13.8" hidden="false" customHeight="false" outlineLevel="0" collapsed="false">
      <c r="A65" s="318"/>
    </row>
    <row r="66" customFormat="false" ht="13.8" hidden="false" customHeight="false" outlineLevel="0" collapsed="false">
      <c r="A66" s="318"/>
    </row>
    <row r="67" s="323" customFormat="true" ht="13.8" hidden="false" customHeight="false" outlineLevel="0" collapsed="false">
      <c r="A67" s="318"/>
      <c r="B67" s="0"/>
      <c r="C67" s="0"/>
      <c r="D67" s="0"/>
      <c r="E67" s="0"/>
      <c r="F67" s="0"/>
      <c r="G67" s="0"/>
      <c r="H67" s="0"/>
      <c r="I67" s="0"/>
    </row>
    <row r="68" customFormat="false" ht="13.8" hidden="false" customHeight="false" outlineLevel="0" collapsed="false">
      <c r="A68" s="318"/>
    </row>
    <row r="69" customFormat="false" ht="13.8" hidden="false" customHeight="false" outlineLevel="0" collapsed="false">
      <c r="A69" s="318"/>
    </row>
    <row r="70" customFormat="false" ht="13.8" hidden="false" customHeight="false" outlineLevel="0" collapsed="false">
      <c r="A70" s="318"/>
    </row>
    <row r="71" customFormat="false" ht="13.8" hidden="false" customHeight="false" outlineLevel="0" collapsed="false">
      <c r="A71" s="318"/>
    </row>
    <row r="72" customFormat="false" ht="13.8" hidden="false" customHeight="false" outlineLevel="0" collapsed="false">
      <c r="A72" s="318"/>
    </row>
    <row r="73" s="323" customFormat="true" ht="13.8" hidden="false" customHeight="false" outlineLevel="0" collapsed="false">
      <c r="A73" s="318"/>
      <c r="B73" s="0"/>
      <c r="C73" s="0"/>
      <c r="D73" s="0"/>
      <c r="E73" s="0"/>
      <c r="F73" s="0"/>
      <c r="G73" s="0"/>
      <c r="H73" s="0"/>
      <c r="I73" s="0"/>
    </row>
    <row r="74" customFormat="false" ht="13.8" hidden="false" customHeight="false" outlineLevel="0" collapsed="false">
      <c r="A74" s="318"/>
    </row>
    <row r="75" customFormat="false" ht="13.8" hidden="false" customHeight="false" outlineLevel="0" collapsed="false">
      <c r="A75" s="318"/>
    </row>
    <row r="76" customFormat="false" ht="13.8" hidden="false" customHeight="false" outlineLevel="0" collapsed="false">
      <c r="A76" s="318"/>
    </row>
    <row r="77" customFormat="false" ht="13.8" hidden="false" customHeight="false" outlineLevel="0" collapsed="false">
      <c r="A77" s="318"/>
    </row>
    <row r="78" customFormat="false" ht="15" hidden="false" customHeight="false" outlineLevel="0" collapsed="false">
      <c r="A78" s="344" t="s">
        <v>199</v>
      </c>
    </row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:A4"/>
    <mergeCell ref="B2:B4"/>
    <mergeCell ref="D2:D4"/>
    <mergeCell ref="E2:E4"/>
    <mergeCell ref="F2:F4"/>
    <mergeCell ref="G2:G4"/>
    <mergeCell ref="A24:A39"/>
    <mergeCell ref="A45:A57"/>
    <mergeCell ref="A63:A77"/>
  </mergeCells>
  <conditionalFormatting sqref="B17:B20 B11:B15 B5:B9">
    <cfRule type="expression" priority="2" aboveAverage="0" equalAverage="0" bottom="0" percent="0" rank="0" text="" dxfId="0">
      <formula>$E5=""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2979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2013-06-07T11:50:48Z</dcterms:created>
  <dc:creator>Philippe</dc:creator>
  <dc:description/>
  <dc:language>fr-FR</dc:language>
  <cp:lastModifiedBy/>
  <cp:lastPrinted>2025-05-22T11:27:38Z</cp:lastPrinted>
  <dcterms:modified xsi:type="dcterms:W3CDTF">2025-06-26T12:11:43Z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