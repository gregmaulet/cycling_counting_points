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bothner_un_org/Documents/_private/My documents/APiCy/Comptages/"/>
    </mc:Choice>
  </mc:AlternateContent>
  <xr:revisionPtr revIDLastSave="10" documentId="8_{2FA3133C-588D-4445-B394-F38029475D78}" xr6:coauthVersionLast="45" xr6:coauthVersionMax="45" xr10:uidLastSave="{CC282EEB-C136-4DBF-9636-6DFB3F0FDF63}"/>
  <bookViews>
    <workbookView xWindow="828" yWindow="-108" windowWidth="22320" windowHeight="13176" activeTab="2" xr2:uid="{00000000-000D-0000-FFFF-FFFF00000000}"/>
  </bookViews>
  <sheets>
    <sheet name="Index" sheetId="5" r:id="rId1"/>
    <sheet name="2020" sheetId="1" r:id="rId2"/>
    <sheet name="2021" sheetId="3" r:id="rId3"/>
    <sheet name="2021-2020" sheetId="6" r:id="rId4"/>
  </sheets>
  <definedNames>
    <definedName name="_xlnm._FilterDatabase" localSheetId="1" hidden="1">'2020'!$B$2:$V$71</definedName>
    <definedName name="_xlnm._FilterDatabase" localSheetId="2" hidden="1">'2021'!$B$2:$V$87</definedName>
    <definedName name="_xlnm._FilterDatabase" localSheetId="3" hidden="1">'2021-2020'!$B$2:$X$71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48" i="3" l="1"/>
  <c r="L48" i="3"/>
  <c r="M46" i="3"/>
  <c r="M47" i="3"/>
  <c r="M43" i="3"/>
  <c r="K46" i="3"/>
  <c r="K47" i="3"/>
  <c r="J47" i="3"/>
  <c r="K47" i="6" s="1"/>
  <c r="J46" i="3"/>
  <c r="L46" i="6" s="1"/>
  <c r="J45" i="3"/>
  <c r="J44" i="3"/>
  <c r="J43" i="3"/>
  <c r="J42" i="3"/>
  <c r="J41" i="3"/>
  <c r="J40" i="3"/>
  <c r="G48" i="3"/>
  <c r="H47" i="3"/>
  <c r="H46" i="3"/>
  <c r="S32" i="3"/>
  <c r="T48" i="3"/>
  <c r="U48" i="3"/>
  <c r="X48" i="6" s="1"/>
  <c r="V48" i="3"/>
  <c r="S48" i="3"/>
  <c r="V48" i="6" s="1"/>
  <c r="V32" i="3"/>
  <c r="U32" i="3"/>
  <c r="T32" i="3"/>
  <c r="W53" i="6"/>
  <c r="U53" i="6"/>
  <c r="X53" i="6"/>
  <c r="V53" i="6"/>
  <c r="X51" i="6"/>
  <c r="W51" i="6"/>
  <c r="V51" i="6"/>
  <c r="U51" i="6"/>
  <c r="X50" i="6"/>
  <c r="W50" i="6"/>
  <c r="V50" i="6"/>
  <c r="U50" i="6"/>
  <c r="X49" i="6"/>
  <c r="W49" i="6"/>
  <c r="V49" i="6"/>
  <c r="U49" i="6"/>
  <c r="R52" i="6"/>
  <c r="R52" i="1"/>
  <c r="Q52" i="1"/>
  <c r="P52" i="1"/>
  <c r="O52" i="1"/>
  <c r="T52" i="6"/>
  <c r="S52" i="6"/>
  <c r="X47" i="6"/>
  <c r="W47" i="6"/>
  <c r="V47" i="6"/>
  <c r="U47" i="6"/>
  <c r="X46" i="6"/>
  <c r="W46" i="6"/>
  <c r="V46" i="6"/>
  <c r="U46" i="6"/>
  <c r="U44" i="6"/>
  <c r="V44" i="6"/>
  <c r="W44" i="6"/>
  <c r="X44" i="6"/>
  <c r="U45" i="6"/>
  <c r="V45" i="6"/>
  <c r="W45" i="6"/>
  <c r="X45" i="6"/>
  <c r="X43" i="6"/>
  <c r="W43" i="6"/>
  <c r="V43" i="6"/>
  <c r="U43" i="6"/>
  <c r="X42" i="6"/>
  <c r="W42" i="6"/>
  <c r="V42" i="6"/>
  <c r="U42" i="6"/>
  <c r="X41" i="6"/>
  <c r="W41" i="6"/>
  <c r="V41" i="6"/>
  <c r="U41" i="6"/>
  <c r="X40" i="6"/>
  <c r="W40" i="6"/>
  <c r="V40" i="6"/>
  <c r="U40" i="6"/>
  <c r="G46" i="6"/>
  <c r="H46" i="6"/>
  <c r="I46" i="6"/>
  <c r="J46" i="6" s="1"/>
  <c r="M46" i="6"/>
  <c r="N46" i="6"/>
  <c r="O46" i="6"/>
  <c r="P46" i="6"/>
  <c r="G47" i="6"/>
  <c r="H47" i="6"/>
  <c r="I47" i="6"/>
  <c r="J47" i="6" s="1"/>
  <c r="M47" i="6"/>
  <c r="N47" i="6"/>
  <c r="O47" i="6"/>
  <c r="P47" i="6"/>
  <c r="W52" i="6" l="1"/>
  <c r="Q52" i="6"/>
  <c r="J48" i="3"/>
  <c r="U52" i="6"/>
  <c r="I47" i="3"/>
  <c r="I46" i="3"/>
  <c r="W48" i="6"/>
  <c r="U48" i="6"/>
  <c r="L47" i="6"/>
  <c r="K46" i="6"/>
  <c r="N80" i="3"/>
  <c r="P64" i="6" s="1"/>
  <c r="N64" i="1"/>
  <c r="P60" i="6"/>
  <c r="P61" i="6"/>
  <c r="P62" i="6"/>
  <c r="P59" i="6"/>
  <c r="G37" i="6"/>
  <c r="H37" i="6"/>
  <c r="I37" i="6"/>
  <c r="J37" i="6" s="1"/>
  <c r="U37" i="6"/>
  <c r="V37" i="6"/>
  <c r="W37" i="6"/>
  <c r="X37" i="6"/>
  <c r="J60" i="6"/>
  <c r="J59" i="6"/>
  <c r="O62" i="6"/>
  <c r="O61" i="6"/>
  <c r="G59" i="6"/>
  <c r="H59" i="6"/>
  <c r="I59" i="6"/>
  <c r="K59" i="6"/>
  <c r="L59" i="6"/>
  <c r="M59" i="6"/>
  <c r="N59" i="6"/>
  <c r="O59" i="6"/>
  <c r="G60" i="6"/>
  <c r="H60" i="6"/>
  <c r="I60" i="6"/>
  <c r="K60" i="6"/>
  <c r="L60" i="6"/>
  <c r="M60" i="6"/>
  <c r="N60" i="6"/>
  <c r="O60" i="6"/>
  <c r="M75" i="3"/>
  <c r="K75" i="3"/>
  <c r="I75" i="3"/>
  <c r="K76" i="3" l="1"/>
  <c r="H78" i="3"/>
  <c r="H77" i="3"/>
  <c r="M37" i="3"/>
  <c r="K37" i="3"/>
  <c r="I37" i="3"/>
  <c r="V34" i="6" l="1"/>
  <c r="V35" i="6"/>
  <c r="V36" i="6"/>
  <c r="V38" i="6"/>
  <c r="X34" i="6"/>
  <c r="X35" i="6"/>
  <c r="X36" i="6"/>
  <c r="X38" i="6"/>
  <c r="X33" i="6"/>
  <c r="V33" i="6"/>
  <c r="W38" i="6"/>
  <c r="W36" i="6"/>
  <c r="W35" i="6"/>
  <c r="W34" i="6"/>
  <c r="W33" i="6"/>
  <c r="U34" i="6"/>
  <c r="U35" i="6"/>
  <c r="U36" i="6"/>
  <c r="U38" i="6"/>
  <c r="U33" i="6"/>
  <c r="V39" i="1"/>
  <c r="U39" i="1"/>
  <c r="T39" i="1"/>
  <c r="S39" i="1"/>
  <c r="V52" i="1"/>
  <c r="U52" i="1"/>
  <c r="X52" i="6" s="1"/>
  <c r="T52" i="1"/>
  <c r="S52" i="1"/>
  <c r="V52" i="6" s="1"/>
  <c r="U39" i="6" l="1"/>
  <c r="W39" i="6"/>
  <c r="V39" i="3"/>
  <c r="V81" i="3" s="1"/>
  <c r="V82" i="3" s="1"/>
  <c r="U39" i="3"/>
  <c r="T39" i="3"/>
  <c r="T81" i="3" s="1"/>
  <c r="T82" i="3" s="1"/>
  <c r="S39" i="3"/>
  <c r="M38" i="3"/>
  <c r="K38" i="3"/>
  <c r="I38" i="3"/>
  <c r="M36" i="3"/>
  <c r="K36" i="3"/>
  <c r="I36" i="3"/>
  <c r="M35" i="3"/>
  <c r="K35" i="3"/>
  <c r="I35" i="3"/>
  <c r="M34" i="3"/>
  <c r="K34" i="3"/>
  <c r="I34" i="3"/>
  <c r="M33" i="3"/>
  <c r="K33" i="3"/>
  <c r="I33" i="3"/>
  <c r="X39" i="6" l="1"/>
  <c r="U81" i="3"/>
  <c r="U82" i="3" s="1"/>
  <c r="V39" i="6"/>
  <c r="S81" i="3"/>
  <c r="S82" i="3" s="1"/>
  <c r="G33" i="6"/>
  <c r="H33" i="6"/>
  <c r="I33" i="6"/>
  <c r="J33" i="6" s="1"/>
  <c r="G34" i="6"/>
  <c r="H34" i="6"/>
  <c r="I34" i="6"/>
  <c r="J34" i="6" s="1"/>
  <c r="G35" i="6"/>
  <c r="H35" i="6"/>
  <c r="I35" i="6"/>
  <c r="J35" i="6" s="1"/>
  <c r="G36" i="6"/>
  <c r="H36" i="6"/>
  <c r="I36" i="6"/>
  <c r="J36" i="6" s="1"/>
  <c r="G38" i="6"/>
  <c r="H38" i="6"/>
  <c r="I38" i="6"/>
  <c r="J38" i="6" s="1"/>
  <c r="P38" i="6"/>
  <c r="G40" i="6"/>
  <c r="H40" i="6"/>
  <c r="G41" i="6"/>
  <c r="H41" i="6"/>
  <c r="G42" i="6"/>
  <c r="H42" i="6"/>
  <c r="G43" i="6"/>
  <c r="H43" i="6"/>
  <c r="G44" i="6"/>
  <c r="H44" i="6"/>
  <c r="G45" i="6"/>
  <c r="H45" i="6"/>
  <c r="G49" i="6"/>
  <c r="H49" i="6"/>
  <c r="I49" i="6"/>
  <c r="J49" i="6" s="1"/>
  <c r="G50" i="6"/>
  <c r="H50" i="6"/>
  <c r="I50" i="6"/>
  <c r="J50" i="6" s="1"/>
  <c r="G51" i="6"/>
  <c r="H51" i="6"/>
  <c r="I51" i="6"/>
  <c r="J51" i="6" s="1"/>
  <c r="G53" i="6"/>
  <c r="H53" i="6"/>
  <c r="I53" i="6"/>
  <c r="J53" i="6" s="1"/>
  <c r="L80" i="3"/>
  <c r="J80" i="3"/>
  <c r="H80" i="3"/>
  <c r="G80" i="3"/>
  <c r="P52" i="6"/>
  <c r="I52" i="6"/>
  <c r="J52" i="6" s="1"/>
  <c r="K48" i="3"/>
  <c r="N39" i="3"/>
  <c r="L39" i="3"/>
  <c r="J39" i="3"/>
  <c r="H39" i="3"/>
  <c r="G39" i="3"/>
  <c r="N32" i="3"/>
  <c r="P32" i="6" s="1"/>
  <c r="L32" i="3"/>
  <c r="J32" i="3"/>
  <c r="H32" i="3"/>
  <c r="G32" i="3"/>
  <c r="H52" i="1"/>
  <c r="G52" i="1"/>
  <c r="G48" i="1"/>
  <c r="H39" i="1"/>
  <c r="G39" i="1"/>
  <c r="H32" i="1"/>
  <c r="G32" i="1"/>
  <c r="I31" i="6"/>
  <c r="J31" i="6" s="1"/>
  <c r="H31" i="6"/>
  <c r="G31" i="6"/>
  <c r="I30" i="6"/>
  <c r="J30" i="6" s="1"/>
  <c r="H30" i="6"/>
  <c r="G30" i="6"/>
  <c r="I29" i="6"/>
  <c r="J29" i="6" s="1"/>
  <c r="H29" i="6"/>
  <c r="G29" i="6"/>
  <c r="I28" i="6"/>
  <c r="J28" i="6" s="1"/>
  <c r="H28" i="6"/>
  <c r="G28" i="6"/>
  <c r="I27" i="6"/>
  <c r="J27" i="6" s="1"/>
  <c r="H27" i="6"/>
  <c r="G27" i="6"/>
  <c r="J26" i="6"/>
  <c r="I26" i="6"/>
  <c r="H26" i="6"/>
  <c r="G26" i="6"/>
  <c r="N14" i="6"/>
  <c r="I14" i="6"/>
  <c r="J14" i="6" s="1"/>
  <c r="H14" i="6"/>
  <c r="G14" i="6"/>
  <c r="I13" i="6"/>
  <c r="J13" i="6" s="1"/>
  <c r="H13" i="6"/>
  <c r="G13" i="6"/>
  <c r="L12" i="6"/>
  <c r="I12" i="6"/>
  <c r="J12" i="6" s="1"/>
  <c r="H12" i="6"/>
  <c r="G12" i="6"/>
  <c r="I11" i="6"/>
  <c r="J11" i="6" s="1"/>
  <c r="H11" i="6"/>
  <c r="G11" i="6"/>
  <c r="I10" i="6"/>
  <c r="J10" i="6" s="1"/>
  <c r="H10" i="6"/>
  <c r="G10" i="6"/>
  <c r="I8" i="6"/>
  <c r="J8" i="6" s="1"/>
  <c r="H8" i="6"/>
  <c r="G8" i="6"/>
  <c r="I7" i="6"/>
  <c r="J7" i="6" s="1"/>
  <c r="H7" i="6"/>
  <c r="G7" i="6"/>
  <c r="J6" i="6"/>
  <c r="I6" i="6"/>
  <c r="H6" i="6"/>
  <c r="G6" i="6"/>
  <c r="J5" i="6"/>
  <c r="I5" i="6"/>
  <c r="I32" i="3" l="1"/>
  <c r="I32" i="6"/>
  <c r="J32" i="6" s="1"/>
  <c r="I39" i="6"/>
  <c r="J39" i="6" s="1"/>
  <c r="K32" i="3"/>
  <c r="M32" i="3"/>
  <c r="G52" i="6"/>
  <c r="H32" i="6"/>
  <c r="G32" i="6"/>
  <c r="H52" i="6"/>
  <c r="M48" i="3"/>
  <c r="J81" i="3"/>
  <c r="H48" i="6"/>
  <c r="G48" i="6"/>
  <c r="L81" i="3"/>
  <c r="G81" i="3"/>
  <c r="N81" i="3"/>
  <c r="K80" i="3"/>
  <c r="I80" i="3"/>
  <c r="K39" i="3"/>
  <c r="H39" i="6"/>
  <c r="I39" i="3"/>
  <c r="G39" i="6"/>
  <c r="M39" i="3"/>
  <c r="M80" i="3"/>
  <c r="I48" i="3"/>
  <c r="N20" i="1"/>
  <c r="P20" i="6" s="1"/>
  <c r="N22" i="1"/>
  <c r="P22" i="6" s="1"/>
  <c r="N18" i="1"/>
  <c r="O18" i="6" s="1"/>
  <c r="N15" i="3"/>
  <c r="P15" i="6" s="1"/>
  <c r="L15" i="3"/>
  <c r="J15" i="3"/>
  <c r="H15" i="3"/>
  <c r="G15" i="3"/>
  <c r="G24" i="3"/>
  <c r="N24" i="3"/>
  <c r="L24" i="3"/>
  <c r="M24" i="3" s="1"/>
  <c r="J24" i="3"/>
  <c r="H24" i="3"/>
  <c r="H24" i="1"/>
  <c r="G24" i="1"/>
  <c r="H15" i="1"/>
  <c r="G15" i="1"/>
  <c r="H17" i="6"/>
  <c r="H18" i="6"/>
  <c r="H19" i="6"/>
  <c r="H20" i="6"/>
  <c r="H21" i="6"/>
  <c r="H22" i="6"/>
  <c r="H23" i="6"/>
  <c r="H16" i="6"/>
  <c r="J16" i="6"/>
  <c r="M15" i="3" l="1"/>
  <c r="H24" i="6"/>
  <c r="K24" i="3"/>
  <c r="G25" i="3"/>
  <c r="I25" i="3" s="1"/>
  <c r="I15" i="6"/>
  <c r="J15" i="6" s="1"/>
  <c r="I24" i="6"/>
  <c r="J24" i="6" s="1"/>
  <c r="J25" i="3"/>
  <c r="H25" i="1"/>
  <c r="P18" i="6"/>
  <c r="I24" i="3"/>
  <c r="G24" i="6"/>
  <c r="N25" i="3"/>
  <c r="M25" i="3" s="1"/>
  <c r="O22" i="6"/>
  <c r="O20" i="6"/>
  <c r="L25" i="3"/>
  <c r="K15" i="3"/>
  <c r="I15" i="3"/>
  <c r="H25" i="3"/>
  <c r="G15" i="6"/>
  <c r="H15" i="6"/>
  <c r="I25" i="6"/>
  <c r="I16" i="6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G17" i="6"/>
  <c r="G18" i="6"/>
  <c r="G19" i="6"/>
  <c r="G20" i="6"/>
  <c r="G21" i="6"/>
  <c r="G22" i="6"/>
  <c r="G23" i="6"/>
  <c r="G16" i="6"/>
  <c r="D65" i="6"/>
  <c r="D25" i="6"/>
  <c r="L18" i="1"/>
  <c r="N18" i="6" s="1"/>
  <c r="J18" i="1"/>
  <c r="L18" i="6" s="1"/>
  <c r="M18" i="3"/>
  <c r="K18" i="3"/>
  <c r="I18" i="3"/>
  <c r="J25" i="6" l="1"/>
  <c r="K25" i="3"/>
  <c r="M18" i="6"/>
  <c r="K18" i="6"/>
  <c r="D66" i="6"/>
  <c r="M27" i="3"/>
  <c r="M28" i="3"/>
  <c r="M29" i="3"/>
  <c r="M30" i="3"/>
  <c r="M31" i="3"/>
  <c r="M40" i="3"/>
  <c r="M41" i="3"/>
  <c r="M42" i="3"/>
  <c r="M44" i="3"/>
  <c r="M45" i="3"/>
  <c r="M77" i="3"/>
  <c r="M78" i="3"/>
  <c r="M5" i="3"/>
  <c r="M7" i="3"/>
  <c r="M8" i="3"/>
  <c r="M10" i="3"/>
  <c r="M11" i="3"/>
  <c r="M12" i="3"/>
  <c r="M13" i="3"/>
  <c r="M14" i="3"/>
  <c r="M16" i="3"/>
  <c r="M17" i="3"/>
  <c r="M19" i="3"/>
  <c r="M20" i="3"/>
  <c r="M21" i="3"/>
  <c r="M22" i="3"/>
  <c r="M23" i="3"/>
  <c r="M6" i="3"/>
  <c r="I27" i="3"/>
  <c r="I28" i="3"/>
  <c r="I29" i="3"/>
  <c r="I30" i="3"/>
  <c r="I31" i="3"/>
  <c r="I40" i="3"/>
  <c r="I41" i="3"/>
  <c r="I42" i="3"/>
  <c r="I43" i="3"/>
  <c r="I44" i="3"/>
  <c r="I45" i="3"/>
  <c r="I77" i="3"/>
  <c r="I78" i="3"/>
  <c r="I26" i="3"/>
  <c r="K27" i="3"/>
  <c r="K28" i="3"/>
  <c r="K29" i="3"/>
  <c r="K30" i="3"/>
  <c r="K31" i="3"/>
  <c r="K40" i="3"/>
  <c r="K41" i="3"/>
  <c r="K42" i="3"/>
  <c r="K43" i="3"/>
  <c r="K44" i="3"/>
  <c r="K45" i="3"/>
  <c r="K78" i="3"/>
  <c r="K26" i="3"/>
  <c r="K6" i="3"/>
  <c r="K7" i="3"/>
  <c r="K8" i="3"/>
  <c r="K10" i="3"/>
  <c r="K11" i="3"/>
  <c r="K12" i="3"/>
  <c r="K13" i="3"/>
  <c r="K14" i="3"/>
  <c r="K16" i="3"/>
  <c r="K17" i="3"/>
  <c r="K19" i="3"/>
  <c r="K20" i="3"/>
  <c r="K21" i="3"/>
  <c r="K22" i="3"/>
  <c r="K23" i="3"/>
  <c r="K5" i="3"/>
  <c r="I6" i="3"/>
  <c r="I7" i="3"/>
  <c r="I8" i="3"/>
  <c r="I10" i="3"/>
  <c r="I11" i="3"/>
  <c r="I12" i="3"/>
  <c r="I13" i="3"/>
  <c r="I14" i="3"/>
  <c r="I16" i="3"/>
  <c r="I17" i="3"/>
  <c r="I19" i="3"/>
  <c r="I20" i="3"/>
  <c r="I21" i="3"/>
  <c r="I22" i="3"/>
  <c r="I23" i="3"/>
  <c r="D81" i="3"/>
  <c r="K77" i="3"/>
  <c r="H45" i="3"/>
  <c r="H44" i="3"/>
  <c r="H43" i="3"/>
  <c r="H42" i="3"/>
  <c r="H41" i="3"/>
  <c r="H40" i="3"/>
  <c r="D25" i="3"/>
  <c r="E25" i="3"/>
  <c r="H48" i="3" l="1"/>
  <c r="D82" i="3"/>
  <c r="F81" i="3"/>
  <c r="G5" i="1"/>
  <c r="M5" i="1"/>
  <c r="J6" i="1"/>
  <c r="L6" i="1"/>
  <c r="N6" i="1"/>
  <c r="J7" i="1"/>
  <c r="L7" i="1"/>
  <c r="N7" i="1"/>
  <c r="J8" i="1"/>
  <c r="L8" i="1"/>
  <c r="N8" i="1"/>
  <c r="J10" i="1"/>
  <c r="L10" i="1"/>
  <c r="N10" i="1"/>
  <c r="L11" i="1"/>
  <c r="N11" i="1"/>
  <c r="J12" i="1"/>
  <c r="K12" i="6" s="1"/>
  <c r="L12" i="1"/>
  <c r="N12" i="1"/>
  <c r="J13" i="1"/>
  <c r="L13" i="1"/>
  <c r="N13" i="1"/>
  <c r="J14" i="1"/>
  <c r="L14" i="1"/>
  <c r="M14" i="6" s="1"/>
  <c r="N14" i="1"/>
  <c r="J16" i="1"/>
  <c r="L16" i="1"/>
  <c r="J17" i="1"/>
  <c r="L17" i="1"/>
  <c r="J19" i="1"/>
  <c r="L19" i="1"/>
  <c r="J20" i="1"/>
  <c r="L20" i="1"/>
  <c r="J21" i="1"/>
  <c r="L21" i="1"/>
  <c r="J22" i="1"/>
  <c r="L22" i="1"/>
  <c r="J23" i="1"/>
  <c r="L23" i="1"/>
  <c r="I5" i="1" l="1"/>
  <c r="J5" i="1" s="1"/>
  <c r="H5" i="6"/>
  <c r="G5" i="6"/>
  <c r="G25" i="1"/>
  <c r="H25" i="6" s="1"/>
  <c r="H81" i="3"/>
  <c r="H82" i="3" s="1"/>
  <c r="K81" i="3"/>
  <c r="O8" i="6"/>
  <c r="P8" i="6"/>
  <c r="L6" i="6"/>
  <c r="K6" i="6"/>
  <c r="N21" i="6"/>
  <c r="N21" i="1"/>
  <c r="M21" i="6"/>
  <c r="L21" i="6"/>
  <c r="K21" i="6"/>
  <c r="N8" i="6"/>
  <c r="M8" i="6"/>
  <c r="P7" i="6"/>
  <c r="O7" i="6"/>
  <c r="N23" i="1"/>
  <c r="N23" i="6"/>
  <c r="M23" i="6"/>
  <c r="N19" i="1"/>
  <c r="N19" i="6"/>
  <c r="M19" i="6"/>
  <c r="L14" i="6"/>
  <c r="K14" i="6"/>
  <c r="N11" i="6"/>
  <c r="M11" i="6"/>
  <c r="N7" i="6"/>
  <c r="M7" i="6"/>
  <c r="P12" i="6"/>
  <c r="O12" i="6"/>
  <c r="N12" i="6"/>
  <c r="M12" i="6"/>
  <c r="P14" i="6"/>
  <c r="O14" i="6"/>
  <c r="L8" i="6"/>
  <c r="K8" i="6"/>
  <c r="L20" i="6"/>
  <c r="K20" i="6"/>
  <c r="L23" i="6"/>
  <c r="K23" i="6"/>
  <c r="L19" i="6"/>
  <c r="K19" i="6"/>
  <c r="P13" i="6"/>
  <c r="O13" i="6"/>
  <c r="P10" i="6"/>
  <c r="O10" i="6"/>
  <c r="L7" i="6"/>
  <c r="K7" i="6"/>
  <c r="N22" i="6"/>
  <c r="M22" i="6"/>
  <c r="N17" i="1"/>
  <c r="N17" i="6"/>
  <c r="M17" i="6"/>
  <c r="N13" i="6"/>
  <c r="M13" i="6"/>
  <c r="M10" i="6"/>
  <c r="N10" i="6"/>
  <c r="P6" i="6"/>
  <c r="O6" i="6"/>
  <c r="N15" i="1"/>
  <c r="N16" i="1"/>
  <c r="L24" i="1"/>
  <c r="N16" i="6"/>
  <c r="M16" i="6"/>
  <c r="L16" i="6"/>
  <c r="J24" i="1"/>
  <c r="K16" i="6"/>
  <c r="N20" i="6"/>
  <c r="M20" i="6"/>
  <c r="P11" i="6"/>
  <c r="O11" i="6"/>
  <c r="L22" i="6"/>
  <c r="K22" i="6"/>
  <c r="L17" i="6"/>
  <c r="K17" i="6"/>
  <c r="L13" i="6"/>
  <c r="K13" i="6"/>
  <c r="L10" i="6"/>
  <c r="K10" i="6"/>
  <c r="N6" i="6"/>
  <c r="M6" i="6"/>
  <c r="L15" i="1"/>
  <c r="K5" i="1"/>
  <c r="L5" i="1" s="1"/>
  <c r="I81" i="3"/>
  <c r="G82" i="3"/>
  <c r="L82" i="3"/>
  <c r="G61" i="1"/>
  <c r="H61" i="1"/>
  <c r="I61" i="6" s="1"/>
  <c r="J61" i="6" s="1"/>
  <c r="G56" i="1"/>
  <c r="H56" i="1" s="1"/>
  <c r="N5" i="1" l="1"/>
  <c r="N5" i="6"/>
  <c r="M5" i="6"/>
  <c r="G25" i="6"/>
  <c r="E25" i="6"/>
  <c r="G61" i="6"/>
  <c r="H61" i="6"/>
  <c r="I61" i="1"/>
  <c r="J61" i="1" s="1"/>
  <c r="K61" i="1"/>
  <c r="I56" i="1"/>
  <c r="K5" i="6"/>
  <c r="L5" i="6"/>
  <c r="K82" i="3"/>
  <c r="O15" i="6"/>
  <c r="M15" i="1"/>
  <c r="P17" i="6"/>
  <c r="O17" i="6"/>
  <c r="M15" i="6"/>
  <c r="N15" i="6"/>
  <c r="L25" i="1"/>
  <c r="N25" i="6" s="1"/>
  <c r="K15" i="1"/>
  <c r="L24" i="6"/>
  <c r="K24" i="6"/>
  <c r="I24" i="1"/>
  <c r="O23" i="6"/>
  <c r="P23" i="6"/>
  <c r="P21" i="6"/>
  <c r="O21" i="6"/>
  <c r="N24" i="6"/>
  <c r="M24" i="6"/>
  <c r="K24" i="1"/>
  <c r="O16" i="6"/>
  <c r="P16" i="6"/>
  <c r="N24" i="1"/>
  <c r="P19" i="6"/>
  <c r="O19" i="6"/>
  <c r="K56" i="1"/>
  <c r="L56" i="1" s="1"/>
  <c r="J56" i="1"/>
  <c r="L61" i="1"/>
  <c r="K61" i="6" l="1"/>
  <c r="L61" i="6"/>
  <c r="N61" i="6"/>
  <c r="M61" i="6"/>
  <c r="P5" i="6"/>
  <c r="O5" i="6"/>
  <c r="M25" i="6"/>
  <c r="P24" i="6"/>
  <c r="O24" i="6"/>
  <c r="M24" i="1"/>
  <c r="N25" i="1"/>
  <c r="P25" i="6" s="1"/>
  <c r="E25" i="1"/>
  <c r="O25" i="6" l="1"/>
  <c r="D25" i="1"/>
  <c r="D65" i="1"/>
  <c r="G57" i="1"/>
  <c r="K57" i="1" s="1"/>
  <c r="D66" i="1" l="1"/>
  <c r="K25" i="1"/>
  <c r="I57" i="1"/>
  <c r="H45" i="1" l="1"/>
  <c r="I45" i="6" s="1"/>
  <c r="J45" i="6" s="1"/>
  <c r="H42" i="1"/>
  <c r="I42" i="6" s="1"/>
  <c r="J42" i="6" s="1"/>
  <c r="H43" i="1"/>
  <c r="I43" i="6" s="1"/>
  <c r="J43" i="6" s="1"/>
  <c r="H44" i="1"/>
  <c r="I44" i="6" s="1"/>
  <c r="J44" i="6" s="1"/>
  <c r="H41" i="1"/>
  <c r="I41" i="6" s="1"/>
  <c r="J41" i="6" s="1"/>
  <c r="H40" i="1"/>
  <c r="H48" i="1" l="1"/>
  <c r="I48" i="6" s="1"/>
  <c r="I40" i="6"/>
  <c r="J40" i="6" s="1"/>
  <c r="N26" i="1"/>
  <c r="N27" i="1"/>
  <c r="N28" i="1"/>
  <c r="N29" i="1"/>
  <c r="N30" i="1"/>
  <c r="N31" i="1"/>
  <c r="N44" i="1"/>
  <c r="N49" i="1"/>
  <c r="N50" i="1"/>
  <c r="N51" i="1"/>
  <c r="L26" i="1"/>
  <c r="L27" i="1"/>
  <c r="L28" i="1"/>
  <c r="L29" i="1"/>
  <c r="L30" i="1"/>
  <c r="L31" i="1"/>
  <c r="L33" i="1"/>
  <c r="L34" i="1"/>
  <c r="L35" i="1"/>
  <c r="L36" i="1"/>
  <c r="N36" i="1" s="1"/>
  <c r="L37" i="1"/>
  <c r="L38" i="1"/>
  <c r="L40" i="1"/>
  <c r="L41" i="1"/>
  <c r="L42" i="1"/>
  <c r="L43" i="1"/>
  <c r="L44" i="1"/>
  <c r="L45" i="1"/>
  <c r="L53" i="1"/>
  <c r="L57" i="1"/>
  <c r="J26" i="1"/>
  <c r="J27" i="1"/>
  <c r="J28" i="1"/>
  <c r="J29" i="1"/>
  <c r="J30" i="1"/>
  <c r="J31" i="1"/>
  <c r="J33" i="1"/>
  <c r="J34" i="1"/>
  <c r="J35" i="1"/>
  <c r="J36" i="1"/>
  <c r="J37" i="1"/>
  <c r="J38" i="1"/>
  <c r="J40" i="1"/>
  <c r="J41" i="1"/>
  <c r="J42" i="1"/>
  <c r="J43" i="1"/>
  <c r="J44" i="1"/>
  <c r="J45" i="1"/>
  <c r="J49" i="1"/>
  <c r="L49" i="6" s="1"/>
  <c r="J50" i="1"/>
  <c r="L50" i="6" s="1"/>
  <c r="J51" i="1"/>
  <c r="L51" i="6" s="1"/>
  <c r="J53" i="1"/>
  <c r="J57" i="1"/>
  <c r="J48" i="6" l="1"/>
  <c r="M44" i="6"/>
  <c r="N44" i="6"/>
  <c r="K44" i="6"/>
  <c r="L44" i="6"/>
  <c r="M37" i="6"/>
  <c r="N37" i="6"/>
  <c r="L32" i="1"/>
  <c r="K32" i="1" s="1"/>
  <c r="K37" i="6"/>
  <c r="L37" i="6"/>
  <c r="K42" i="6"/>
  <c r="L42" i="6"/>
  <c r="J39" i="1"/>
  <c r="K33" i="6"/>
  <c r="L33" i="6"/>
  <c r="M53" i="6"/>
  <c r="N53" i="6"/>
  <c r="N41" i="6"/>
  <c r="M41" i="6"/>
  <c r="O44" i="6"/>
  <c r="P44" i="6"/>
  <c r="K41" i="6"/>
  <c r="L41" i="6"/>
  <c r="M51" i="6"/>
  <c r="N51" i="6"/>
  <c r="O36" i="6"/>
  <c r="P36" i="6"/>
  <c r="L40" i="6"/>
  <c r="K40" i="6"/>
  <c r="J48" i="1"/>
  <c r="N38" i="6"/>
  <c r="M38" i="6"/>
  <c r="K38" i="6"/>
  <c r="L38" i="6"/>
  <c r="O51" i="6"/>
  <c r="P51" i="6"/>
  <c r="K53" i="6"/>
  <c r="L53" i="6"/>
  <c r="M40" i="6"/>
  <c r="N40" i="6"/>
  <c r="L48" i="1"/>
  <c r="K51" i="6"/>
  <c r="N50" i="6"/>
  <c r="M50" i="6"/>
  <c r="M45" i="6"/>
  <c r="N45" i="6"/>
  <c r="N36" i="6"/>
  <c r="M36" i="6"/>
  <c r="J32" i="1"/>
  <c r="O50" i="6"/>
  <c r="P50" i="6"/>
  <c r="K50" i="6"/>
  <c r="M49" i="6"/>
  <c r="N49" i="6"/>
  <c r="L52" i="1"/>
  <c r="K49" i="6"/>
  <c r="J52" i="1"/>
  <c r="O53" i="6"/>
  <c r="P53" i="6"/>
  <c r="K45" i="6"/>
  <c r="L45" i="6"/>
  <c r="K36" i="6"/>
  <c r="L36" i="6"/>
  <c r="M35" i="6"/>
  <c r="N35" i="6"/>
  <c r="K35" i="6"/>
  <c r="L35" i="6"/>
  <c r="M43" i="6"/>
  <c r="N43" i="6"/>
  <c r="M34" i="6"/>
  <c r="N34" i="6"/>
  <c r="K43" i="6"/>
  <c r="L43" i="6"/>
  <c r="L34" i="6"/>
  <c r="K34" i="6"/>
  <c r="N42" i="6"/>
  <c r="M42" i="6"/>
  <c r="M33" i="6"/>
  <c r="L39" i="1"/>
  <c r="N33" i="6"/>
  <c r="P49" i="6"/>
  <c r="N52" i="1"/>
  <c r="O52" i="6" s="1"/>
  <c r="O49" i="6"/>
  <c r="N32" i="1"/>
  <c r="L30" i="6"/>
  <c r="K30" i="6"/>
  <c r="N41" i="1"/>
  <c r="N31" i="6"/>
  <c r="M31" i="6"/>
  <c r="L31" i="6"/>
  <c r="K31" i="6"/>
  <c r="N40" i="1"/>
  <c r="N29" i="6"/>
  <c r="M29" i="6"/>
  <c r="P31" i="6"/>
  <c r="O31" i="6"/>
  <c r="L29" i="6"/>
  <c r="K29" i="6"/>
  <c r="N37" i="1"/>
  <c r="N28" i="6"/>
  <c r="M28" i="6"/>
  <c r="P30" i="6"/>
  <c r="O30" i="6"/>
  <c r="L28" i="6"/>
  <c r="K28" i="6"/>
  <c r="N45" i="1"/>
  <c r="N27" i="6"/>
  <c r="M27" i="6"/>
  <c r="O29" i="6"/>
  <c r="P29" i="6"/>
  <c r="L27" i="6"/>
  <c r="K27" i="6"/>
  <c r="N35" i="1"/>
  <c r="N26" i="6"/>
  <c r="M26" i="6"/>
  <c r="O28" i="6"/>
  <c r="P28" i="6"/>
  <c r="K26" i="6"/>
  <c r="L26" i="6"/>
  <c r="N43" i="1"/>
  <c r="N34" i="1"/>
  <c r="O27" i="6"/>
  <c r="P27" i="6"/>
  <c r="N30" i="6"/>
  <c r="M30" i="6"/>
  <c r="N38" i="1"/>
  <c r="O38" i="6" s="1"/>
  <c r="N42" i="1"/>
  <c r="N33" i="1"/>
  <c r="P26" i="6"/>
  <c r="O26" i="6"/>
  <c r="G58" i="1"/>
  <c r="I58" i="1" s="1"/>
  <c r="J58" i="1" s="1"/>
  <c r="G55" i="1"/>
  <c r="H55" i="1" s="1"/>
  <c r="G63" i="1"/>
  <c r="K63" i="1" s="1"/>
  <c r="L63" i="1" s="1"/>
  <c r="G62" i="1"/>
  <c r="H57" i="1"/>
  <c r="G54" i="1"/>
  <c r="L52" i="6" l="1"/>
  <c r="K52" i="6"/>
  <c r="G64" i="1"/>
  <c r="K62" i="1"/>
  <c r="L62" i="1" s="1"/>
  <c r="N62" i="6" s="1"/>
  <c r="H62" i="6"/>
  <c r="G62" i="6"/>
  <c r="N32" i="6"/>
  <c r="M32" i="6"/>
  <c r="O37" i="6"/>
  <c r="P37" i="6"/>
  <c r="O42" i="6"/>
  <c r="P42" i="6"/>
  <c r="M52" i="1"/>
  <c r="M52" i="6"/>
  <c r="N52" i="6"/>
  <c r="P45" i="6"/>
  <c r="O45" i="6"/>
  <c r="O43" i="6"/>
  <c r="P43" i="6"/>
  <c r="P34" i="6"/>
  <c r="O34" i="6"/>
  <c r="P35" i="6"/>
  <c r="O35" i="6"/>
  <c r="O64" i="6"/>
  <c r="O33" i="6"/>
  <c r="P33" i="6"/>
  <c r="N39" i="1"/>
  <c r="P41" i="6"/>
  <c r="O41" i="6"/>
  <c r="N48" i="1"/>
  <c r="M48" i="1" s="1"/>
  <c r="O40" i="6"/>
  <c r="P40" i="6"/>
  <c r="O32" i="6"/>
  <c r="M32" i="1"/>
  <c r="I52" i="1"/>
  <c r="L32" i="6"/>
  <c r="K32" i="6"/>
  <c r="I32" i="1"/>
  <c r="I48" i="1"/>
  <c r="K48" i="6"/>
  <c r="L48" i="6"/>
  <c r="I39" i="1"/>
  <c r="K39" i="6"/>
  <c r="L39" i="6"/>
  <c r="K39" i="1"/>
  <c r="M39" i="6"/>
  <c r="N39" i="6"/>
  <c r="N48" i="6"/>
  <c r="M48" i="6"/>
  <c r="K48" i="1"/>
  <c r="K54" i="1"/>
  <c r="L54" i="1" s="1"/>
  <c r="H62" i="1"/>
  <c r="I62" i="6" s="1"/>
  <c r="J62" i="6" s="1"/>
  <c r="K58" i="1"/>
  <c r="L58" i="1" s="1"/>
  <c r="H58" i="1"/>
  <c r="H63" i="1"/>
  <c r="I63" i="1"/>
  <c r="J63" i="1" s="1"/>
  <c r="I55" i="1"/>
  <c r="J55" i="1" s="1"/>
  <c r="K55" i="1"/>
  <c r="L55" i="1" s="1"/>
  <c r="I62" i="1"/>
  <c r="J62" i="1" s="1"/>
  <c r="I54" i="1"/>
  <c r="J54" i="1" s="1"/>
  <c r="H54" i="1"/>
  <c r="M62" i="6" l="1"/>
  <c r="H64" i="1"/>
  <c r="G65" i="1"/>
  <c r="H64" i="6"/>
  <c r="G64" i="6"/>
  <c r="G65" i="6" s="1"/>
  <c r="G66" i="6" s="1"/>
  <c r="N65" i="1"/>
  <c r="P65" i="6" s="1"/>
  <c r="K62" i="6"/>
  <c r="L62" i="6"/>
  <c r="L64" i="1"/>
  <c r="O39" i="6"/>
  <c r="P39" i="6"/>
  <c r="M39" i="1"/>
  <c r="O48" i="6"/>
  <c r="P48" i="6"/>
  <c r="J64" i="1"/>
  <c r="F65" i="1"/>
  <c r="N66" i="1"/>
  <c r="M25" i="1"/>
  <c r="F25" i="3"/>
  <c r="F82" i="3" s="1"/>
  <c r="I5" i="3"/>
  <c r="J82" i="3"/>
  <c r="I82" i="3" s="1"/>
  <c r="F85" i="3" l="1"/>
  <c r="M65" i="1"/>
  <c r="O65" i="6"/>
  <c r="H65" i="6"/>
  <c r="G66" i="1"/>
  <c r="H66" i="6" s="1"/>
  <c r="H65" i="1"/>
  <c r="H66" i="1" s="1"/>
  <c r="I64" i="6"/>
  <c r="M66" i="1"/>
  <c r="O66" i="6"/>
  <c r="K64" i="1"/>
  <c r="M64" i="6"/>
  <c r="M65" i="6" s="1"/>
  <c r="M66" i="6" s="1"/>
  <c r="N64" i="6"/>
  <c r="L65" i="1"/>
  <c r="K65" i="1" s="1"/>
  <c r="M64" i="1"/>
  <c r="K64" i="6"/>
  <c r="K65" i="6" s="1"/>
  <c r="L64" i="6"/>
  <c r="I64" i="1"/>
  <c r="J65" i="1"/>
  <c r="L65" i="6" s="1"/>
  <c r="F65" i="6"/>
  <c r="F87" i="3"/>
  <c r="F86" i="3"/>
  <c r="N82" i="3"/>
  <c r="M82" i="3" s="1"/>
  <c r="M81" i="3"/>
  <c r="M26" i="3"/>
  <c r="J11" i="1"/>
  <c r="J64" i="6" l="1"/>
  <c r="I65" i="6"/>
  <c r="P66" i="6"/>
  <c r="L66" i="1"/>
  <c r="N65" i="6"/>
  <c r="I65" i="1"/>
  <c r="L11" i="6"/>
  <c r="K11" i="6"/>
  <c r="J15" i="1"/>
  <c r="F25" i="1" s="1"/>
  <c r="I66" i="6" l="1"/>
  <c r="J66" i="6" s="1"/>
  <c r="J65" i="6"/>
  <c r="K66" i="1"/>
  <c r="N66" i="6"/>
  <c r="I15" i="1"/>
  <c r="L15" i="6"/>
  <c r="K15" i="6"/>
  <c r="K25" i="6" s="1"/>
  <c r="K66" i="6" s="1"/>
  <c r="J25" i="1"/>
  <c r="L25" i="6" s="1"/>
  <c r="F70" i="1"/>
  <c r="F66" i="1"/>
  <c r="F69" i="1"/>
  <c r="F71" i="1"/>
  <c r="J66" i="1" l="1"/>
  <c r="I25" i="1"/>
  <c r="F25" i="6"/>
  <c r="I66" i="1" l="1"/>
  <c r="L66" i="6"/>
  <c r="F69" i="6"/>
  <c r="F66" i="6"/>
  <c r="F71" i="6"/>
  <c r="F70" i="6"/>
</calcChain>
</file>

<file path=xl/sharedStrings.xml><?xml version="1.0" encoding="utf-8"?>
<sst xmlns="http://schemas.openxmlformats.org/spreadsheetml/2006/main" count="821" uniqueCount="174">
  <si>
    <t>AERE</t>
  </si>
  <si>
    <t>Salève Vivant</t>
  </si>
  <si>
    <t>APICY</t>
  </si>
  <si>
    <t>ProVélo GE</t>
  </si>
  <si>
    <t>EVAV</t>
  </si>
  <si>
    <t>AMANCY_Giratoire Coriandre</t>
  </si>
  <si>
    <t>PERS-JUSSY_Giratoire Casino</t>
  </si>
  <si>
    <t>REIGNIER_Giratoire église</t>
  </si>
  <si>
    <t>REIGNIER_Giratoire La Forge</t>
  </si>
  <si>
    <t>ARTHAZ_Giratoire lavage auto</t>
  </si>
  <si>
    <t>ETREMBIERES_Giratoire ex PN93</t>
  </si>
  <si>
    <t>ETREMBIERES_Carrefour sous Château</t>
  </si>
  <si>
    <t>SCIENTRIER_Carrefour Tour de Bellecombe</t>
  </si>
  <si>
    <t>LA ROCHE_Carrefour Biocoop</t>
  </si>
  <si>
    <t>LA ROCHE_Giratoire La Poste</t>
  </si>
  <si>
    <t>LA ROCHE_Giratoire ENILV</t>
  </si>
  <si>
    <t>ARENTHON_La Papeterie</t>
  </si>
  <si>
    <t>ST-PIERRE_Franchissement Borne-Dessy</t>
  </si>
  <si>
    <t>BONNEVILLE_Franchissement Borne-Tucinge</t>
  </si>
  <si>
    <t>ST-PIERRE_Pont principal sur le Borne</t>
  </si>
  <si>
    <t>NatEnv &amp; Fabrique à Biclou</t>
  </si>
  <si>
    <t>-</t>
  </si>
  <si>
    <t>GAILLARD_Douane de Moïllesullaz</t>
  </si>
  <si>
    <t>ANNEMASSE_Clos Fleury</t>
  </si>
  <si>
    <t>GAILLARD_Douane de Fossard</t>
  </si>
  <si>
    <t>AMBILLY_Voie verte Pont Noir</t>
  </si>
  <si>
    <t>ANNEMASSE_Voie verte Jura</t>
  </si>
  <si>
    <t>ARCHAMPS_Douane de Landecy</t>
  </si>
  <si>
    <t>COLLONGES_Douane de Croix de Rozon</t>
  </si>
  <si>
    <t>BOSSEY_Douane de Pierre-Grand</t>
  </si>
  <si>
    <t>BOSSEY_Douane de Troinex/Bossey</t>
  </si>
  <si>
    <t>VEYRIER_Douane du Pas de l'Echelle</t>
  </si>
  <si>
    <t>ST-JULIEN_Douane de Charrot</t>
  </si>
  <si>
    <t>ST-JULIEN_Douane de Perly</t>
  </si>
  <si>
    <t>ST-JULIEN_Passage douanier des Crottes</t>
  </si>
  <si>
    <t>VIRY_Douane de Soral 2</t>
  </si>
  <si>
    <t>ST-JULIEN_Douane de Soral 1</t>
  </si>
  <si>
    <t>DIVONNE_Douane de Crassy / Crassier</t>
  </si>
  <si>
    <t>ST-GENIS_Giratoire Porte de France</t>
  </si>
  <si>
    <t>FERNEY_Douane</t>
  </si>
  <si>
    <t>FERNEY_Douane de Mategnin</t>
  </si>
  <si>
    <t>Autres modes</t>
  </si>
  <si>
    <t>Piétons</t>
  </si>
  <si>
    <t>&gt; Suisse</t>
  </si>
  <si>
    <t>&gt; France</t>
  </si>
  <si>
    <t>total</t>
  </si>
  <si>
    <t>HP</t>
  </si>
  <si>
    <t>Groupe St-Julien</t>
  </si>
  <si>
    <t>ST-JULIEN_Douane de Certoux (rte Thérens)</t>
  </si>
  <si>
    <t>ST-JULIEN_Paguette (chemin de l'Aire)</t>
  </si>
  <si>
    <t>GENEVE_Rue du XXXI Décembre</t>
  </si>
  <si>
    <t>GENEVE_Bd Georges Favon</t>
  </si>
  <si>
    <t>GENEVE_Av. Pictet de Rochemont</t>
  </si>
  <si>
    <t>GENEVE_Voie Verte / Av. Frank Thomas</t>
  </si>
  <si>
    <t>GENEVE_Bd des Tranchées</t>
  </si>
  <si>
    <t>Association(s)</t>
  </si>
  <si>
    <t>Nombre de vélos</t>
  </si>
  <si>
    <t>% VAE dans le total</t>
  </si>
  <si>
    <t>% femmes dans le total</t>
  </si>
  <si>
    <t>% de VAE chez les femmes</t>
  </si>
  <si>
    <t>ANNEMASSE_Devant l'agglo</t>
  </si>
  <si>
    <t>France / Suisse / Frontière</t>
  </si>
  <si>
    <t>France</t>
  </si>
  <si>
    <t>Suisse</t>
  </si>
  <si>
    <t>Frontière</t>
  </si>
  <si>
    <t>NB VAE dans le total</t>
  </si>
  <si>
    <t>NB de VAE chez les femmes</t>
  </si>
  <si>
    <t>NB de femmes dans le total</t>
  </si>
  <si>
    <t>TOTAL</t>
  </si>
  <si>
    <t>Localisation des postes de comptage :</t>
  </si>
  <si>
    <t>données partielles</t>
  </si>
  <si>
    <t>Nombre de bénévoles</t>
  </si>
  <si>
    <t>UP Cluses</t>
  </si>
  <si>
    <t>CLUSES_Passerelle de Messy</t>
  </si>
  <si>
    <t>ATE Vaud / ProVélo La Côte</t>
  </si>
  <si>
    <t>GENEVE_Rue Ferdinand Hodler</t>
  </si>
  <si>
    <t>Arrière-pays</t>
  </si>
  <si>
    <t>OUI</t>
  </si>
  <si>
    <t>NON</t>
  </si>
  <si>
    <t>Sous-total périmètre urbain</t>
  </si>
  <si>
    <t>Sous-total périmètre "arrière-pays"</t>
  </si>
  <si>
    <t>Postes de comptage</t>
  </si>
  <si>
    <t>GENEVE_Voie Verte / Av. Bel-Air</t>
  </si>
  <si>
    <t>GENEVE_Arquebuse</t>
  </si>
  <si>
    <t>NatEnv (Nature Environnement en Pays rochois)
Fabrique à Biclou
Pays rochois en Transition</t>
  </si>
  <si>
    <t>AERE (Association Environnement Reignier-Esery)</t>
  </si>
  <si>
    <t>EVAV (En Ville A Vélo)</t>
  </si>
  <si>
    <t>APiCy (Association des Piétons et Cyclistes du Pays de Gex)</t>
  </si>
  <si>
    <t>Université Populaire de Cluses</t>
  </si>
  <si>
    <t>nombre total de cyclistes comptés sur toute la période</t>
  </si>
  <si>
    <t>Colonne</t>
  </si>
  <si>
    <t>D</t>
  </si>
  <si>
    <t>G</t>
  </si>
  <si>
    <t>H</t>
  </si>
  <si>
    <t>nombre de bénévoles par poste de comptage</t>
  </si>
  <si>
    <t>E</t>
  </si>
  <si>
    <t>nom/localisation du poste de comptage</t>
  </si>
  <si>
    <t>F</t>
  </si>
  <si>
    <t>implantation : France / Suisse / Frontière</t>
  </si>
  <si>
    <t>I</t>
  </si>
  <si>
    <t>J</t>
  </si>
  <si>
    <t>K</t>
  </si>
  <si>
    <t>L</t>
  </si>
  <si>
    <t>M</t>
  </si>
  <si>
    <t>N</t>
  </si>
  <si>
    <t>nombre de VAE dans le total (référence à la colonne G)</t>
  </si>
  <si>
    <t>Eléments à renseigner par chaque association dans l'onglet "2021"</t>
  </si>
  <si>
    <t>nombre de femmes dans le total (référence à la colonne G)</t>
  </si>
  <si>
    <t>nombre de cyclistes comptés sur l'heure de pointe (7h30 - 8h30) uniquement</t>
  </si>
  <si>
    <t>S</t>
  </si>
  <si>
    <t>T</t>
  </si>
  <si>
    <t>U</t>
  </si>
  <si>
    <t>V</t>
  </si>
  <si>
    <t>FRONTIERE</t>
  </si>
  <si>
    <t xml:space="preserve">Eléments obligatoires pour les postes frontières et carrefours proches frontière               </t>
  </si>
  <si>
    <t>nombre total de cyclistes comptés sur toute la période - Direction Suisse</t>
  </si>
  <si>
    <t>nombre de cyclistes comptés sur l'heure de pointe (7h30 - 8h30) uniquement - Direction Suisse</t>
  </si>
  <si>
    <t>nombre total de cyclistes comptés sur toute la période - Direction France</t>
  </si>
  <si>
    <t>nombre de cyclistes comptés sur l'heure de pointe (7h30 - 8h30) uniquement - Direction France</t>
  </si>
  <si>
    <t>Ce qu'il faut renseigner</t>
  </si>
  <si>
    <t>Eléments obligatoires &gt;&gt; cellules en vert dans l'onglet "2021"</t>
  </si>
  <si>
    <t>&gt;&gt; cellules en vert dans l'onglet "2021"</t>
  </si>
  <si>
    <t>Eléments facultatifs &gt;&gt; cellules en rose dans l'onglet "2021"</t>
  </si>
  <si>
    <t>O</t>
  </si>
  <si>
    <t>P</t>
  </si>
  <si>
    <t>Q</t>
  </si>
  <si>
    <t>R</t>
  </si>
  <si>
    <t>calcul automatique (du nombre de femmes dans le total)</t>
  </si>
  <si>
    <t>calcul automatique (du nombre de VAE dans le total)</t>
  </si>
  <si>
    <t>nombre total de VAE chez les femmes (valeur spécifique à relever)</t>
  </si>
  <si>
    <t>calcul automatique (du nombre total de VAE chez les femmes)</t>
  </si>
  <si>
    <t>DONNEES GENERALES</t>
  </si>
  <si>
    <t>AUTRES DONNEES</t>
  </si>
  <si>
    <t>nombre total de personnes comptées sur toute la période en "autre mode" (trottinette, gyropode…)</t>
  </si>
  <si>
    <t>nombre total de piétons comptés sur toute la période</t>
  </si>
  <si>
    <t>nombre total de piétons comptés en HPM (7h30 - 8h30)</t>
  </si>
  <si>
    <t>nombre total de personnes comptées en HPM (7h30 - 8h30) en "autre mode" (trottinette, gyropode…)</t>
  </si>
  <si>
    <t>Toutes les cellules blanches ne sont pas à renseigner (formule de calcul ou NC)</t>
  </si>
  <si>
    <t>REIGNIER_Giratoire Foron</t>
  </si>
  <si>
    <t>#</t>
  </si>
  <si>
    <t>%</t>
  </si>
  <si>
    <t>Evolution des vélos 2020-2021</t>
  </si>
  <si>
    <t>Evolution des VAE 2020-2021</t>
  </si>
  <si>
    <t>Evolution des femmes  2020-2021</t>
  </si>
  <si>
    <t>Sous-total</t>
  </si>
  <si>
    <t>Evolution des VAE chez les femmes 2020-2021</t>
  </si>
  <si>
    <t>LA ROCHE_Gare Passage à niveau (new2021)</t>
  </si>
  <si>
    <t>LA ROCHE_Gare Passage à niveau (new 2021)</t>
  </si>
  <si>
    <t>OK</t>
  </si>
  <si>
    <t>en HP</t>
  </si>
  <si>
    <t>THÔNEX_Ch. de la Mousse/Rte de Jussy</t>
  </si>
  <si>
    <t>CHÊNE-BOURG_Ecole de Haller</t>
  </si>
  <si>
    <t>Compté par ProVélo en 2021 (Salève Vivant en 2020)</t>
  </si>
  <si>
    <t>VALLEIRY_La Joux</t>
  </si>
  <si>
    <t>VIRY_Malagny</t>
  </si>
  <si>
    <t>Ferney-&gt;Genève</t>
  </si>
  <si>
    <t>Ferney-&gt;BoisBrulé</t>
  </si>
  <si>
    <t>Ferney Total</t>
  </si>
  <si>
    <t>StGenis-&gt;Meyrin</t>
  </si>
  <si>
    <t>StGenis-&gt;Bourdigny</t>
  </si>
  <si>
    <t>StGenis-&gt;CERN</t>
  </si>
  <si>
    <t>RteEurope-&gt;Meyrin</t>
  </si>
  <si>
    <t>StGenis total</t>
  </si>
  <si>
    <t>MategninAnneaux</t>
  </si>
  <si>
    <t>MategninDouane</t>
  </si>
  <si>
    <t>Mategnin Total</t>
  </si>
  <si>
    <t>Versonnex</t>
  </si>
  <si>
    <t>Grilly</t>
  </si>
  <si>
    <t>Sauverny</t>
  </si>
  <si>
    <t>Divonne-&gt;Chavanne</t>
  </si>
  <si>
    <t>Crassier Voie Verte</t>
  </si>
  <si>
    <t>Crassier Douane</t>
  </si>
  <si>
    <t>PdG Nord Total</t>
  </si>
  <si>
    <t>Pay de Gex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</si>
</sst>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 postes de comptages&quot;"/>
    <numFmt numFmtId="165" formatCode="0&quot; &quot;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DFF8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CCCC"/>
        <bgColor indexed="64"/>
      </patternFill>
    </fill>
  </fills>
  <borders count="15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/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medium">
        <color auto="1"/>
      </left>
      <right style="dotted">
        <color theme="1" tint="0.499984740745262"/>
      </right>
      <top/>
      <bottom/>
      <diagonal/>
    </border>
    <border>
      <left style="medium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thin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dotted">
        <color theme="1" tint="0.499984740745262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rgb="FF7F7F7F"/>
      </left>
      <right style="thin">
        <color rgb="FF000000"/>
      </right>
      <top style="thin">
        <color rgb="FF000000"/>
      </top>
      <bottom style="dotted">
        <color rgb="FF7F7F7F"/>
      </bottom>
      <diagonal/>
    </border>
    <border>
      <left style="dotted">
        <color rgb="FF7F7F7F"/>
      </left>
      <right style="thin">
        <color rgb="FF000000"/>
      </right>
      <top style="dotted">
        <color rgb="FF7F7F7F"/>
      </top>
      <bottom style="dotted">
        <color rgb="FF7F7F7F"/>
      </bottom>
      <diagonal/>
    </border>
    <border>
      <left style="medium">
        <color auto="1"/>
      </left>
      <right style="dotted">
        <color rgb="FF7F7F7F"/>
      </right>
      <top style="thin">
        <color rgb="FF000000"/>
      </top>
      <bottom style="dotted">
        <color rgb="FF7F7F7F"/>
      </bottom>
      <diagonal/>
    </border>
    <border>
      <left style="medium">
        <color auto="1"/>
      </left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tted">
        <color rgb="FF7F7F7F"/>
      </left>
      <right style="thin">
        <color auto="1"/>
      </right>
      <top style="thin">
        <color rgb="FF000000"/>
      </top>
      <bottom style="dotted">
        <color rgb="FF7F7F7F"/>
      </bottom>
      <diagonal/>
    </border>
    <border>
      <left style="dotted">
        <color rgb="FF7F7F7F"/>
      </left>
      <right style="thin">
        <color auto="1"/>
      </right>
      <top style="dotted">
        <color rgb="FF7F7F7F"/>
      </top>
      <bottom style="dotted">
        <color rgb="FF7F7F7F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/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/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/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/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/>
      <bottom style="dotted">
        <color theme="1" tint="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8" fillId="0" borderId="0" applyFont="0" applyBorder="0" applyProtection="0"/>
  </cellStyleXfs>
  <cellXfs count="6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3" borderId="2" xfId="0" applyFont="1" applyFill="1" applyBorder="1" applyAlignment="1">
      <alignment vertical="center"/>
    </xf>
    <xf numFmtId="0" fontId="0" fillId="3" borderId="2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9" fontId="0" fillId="3" borderId="9" xfId="1" applyFont="1" applyFill="1" applyBorder="1" applyAlignment="1">
      <alignment horizontal="center" vertical="center"/>
    </xf>
    <xf numFmtId="9" fontId="0" fillId="3" borderId="22" xfId="1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9" fontId="0" fillId="3" borderId="11" xfId="1" applyFont="1" applyFill="1" applyBorder="1" applyAlignment="1">
      <alignment horizontal="center" vertical="center"/>
    </xf>
    <xf numFmtId="9" fontId="0" fillId="3" borderId="23" xfId="1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9" fontId="0" fillId="3" borderId="13" xfId="1" applyFont="1" applyFill="1" applyBorder="1" applyAlignment="1">
      <alignment horizontal="center" vertical="center"/>
    </xf>
    <xf numFmtId="9" fontId="0" fillId="3" borderId="24" xfId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9" fontId="0" fillId="3" borderId="15" xfId="1" applyFont="1" applyFill="1" applyBorder="1" applyAlignment="1">
      <alignment horizontal="center" vertical="center"/>
    </xf>
    <xf numFmtId="9" fontId="0" fillId="3" borderId="25" xfId="1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3" fontId="2" fillId="3" borderId="18" xfId="1" applyNumberFormat="1" applyFont="1" applyFill="1" applyBorder="1" applyAlignment="1">
      <alignment horizontal="center" vertical="center"/>
    </xf>
    <xf numFmtId="3" fontId="2" fillId="3" borderId="19" xfId="1" applyNumberFormat="1" applyFont="1" applyFill="1" applyBorder="1" applyAlignment="1">
      <alignment horizontal="center" vertical="center"/>
    </xf>
    <xf numFmtId="3" fontId="2" fillId="3" borderId="20" xfId="1" applyNumberFormat="1" applyFont="1" applyFill="1" applyBorder="1" applyAlignment="1">
      <alignment horizontal="center" vertical="center"/>
    </xf>
    <xf numFmtId="3" fontId="2" fillId="3" borderId="21" xfId="1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3" fontId="2" fillId="3" borderId="22" xfId="1" applyNumberFormat="1" applyFont="1" applyFill="1" applyBorder="1" applyAlignment="1">
      <alignment horizontal="center" vertical="center"/>
    </xf>
    <xf numFmtId="3" fontId="2" fillId="3" borderId="23" xfId="1" applyNumberFormat="1" applyFont="1" applyFill="1" applyBorder="1" applyAlignment="1">
      <alignment horizontal="center" vertical="center"/>
    </xf>
    <xf numFmtId="3" fontId="2" fillId="3" borderId="24" xfId="1" applyNumberFormat="1" applyFont="1" applyFill="1" applyBorder="1" applyAlignment="1">
      <alignment horizontal="center" vertical="center"/>
    </xf>
    <xf numFmtId="3" fontId="2" fillId="3" borderId="25" xfId="1" applyNumberFormat="1" applyFont="1" applyFill="1" applyBorder="1" applyAlignment="1">
      <alignment horizontal="center" vertical="center"/>
    </xf>
    <xf numFmtId="3" fontId="4" fillId="3" borderId="45" xfId="0" applyNumberFormat="1" applyFont="1" applyFill="1" applyBorder="1" applyAlignment="1">
      <alignment horizontal="center" vertical="center"/>
    </xf>
    <xf numFmtId="3" fontId="4" fillId="3" borderId="39" xfId="0" applyNumberFormat="1" applyFont="1" applyFill="1" applyBorder="1" applyAlignment="1">
      <alignment horizontal="center" vertical="center"/>
    </xf>
    <xf numFmtId="9" fontId="4" fillId="3" borderId="37" xfId="1" applyNumberFormat="1" applyFont="1" applyFill="1" applyBorder="1" applyAlignment="1">
      <alignment horizontal="center" vertical="center"/>
    </xf>
    <xf numFmtId="3" fontId="5" fillId="3" borderId="38" xfId="1" applyNumberFormat="1" applyFont="1" applyFill="1" applyBorder="1" applyAlignment="1">
      <alignment horizontal="center" vertical="center"/>
    </xf>
    <xf numFmtId="9" fontId="4" fillId="3" borderId="38" xfId="1" applyNumberFormat="1" applyFont="1" applyFill="1" applyBorder="1" applyAlignment="1">
      <alignment horizontal="center" vertical="center"/>
    </xf>
    <xf numFmtId="3" fontId="4" fillId="3" borderId="37" xfId="0" applyNumberFormat="1" applyFont="1" applyFill="1" applyBorder="1" applyAlignment="1">
      <alignment horizontal="center" vertical="center"/>
    </xf>
    <xf numFmtId="3" fontId="4" fillId="3" borderId="46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3" borderId="51" xfId="0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52" xfId="0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53" xfId="0" applyFill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52" xfId="0" applyFont="1" applyFill="1" applyBorder="1" applyAlignment="1">
      <alignment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53" xfId="0" applyFont="1" applyFill="1" applyBorder="1" applyAlignment="1">
      <alignment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4" xfId="0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4" fillId="3" borderId="47" xfId="0" applyFont="1" applyFill="1" applyBorder="1" applyAlignment="1">
      <alignment vertical="center"/>
    </xf>
    <xf numFmtId="0" fontId="4" fillId="3" borderId="55" xfId="0" applyFont="1" applyFill="1" applyBorder="1" applyAlignment="1">
      <alignment horizontal="center" vertical="center"/>
    </xf>
    <xf numFmtId="9" fontId="4" fillId="4" borderId="38" xfId="1" applyFont="1" applyFill="1" applyBorder="1" applyAlignment="1">
      <alignment horizontal="center" vertical="center"/>
    </xf>
    <xf numFmtId="3" fontId="5" fillId="4" borderId="39" xfId="1" applyNumberFormat="1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6" fillId="3" borderId="51" xfId="0" applyFont="1" applyFill="1" applyBorder="1" applyAlignment="1">
      <alignment vertical="center"/>
    </xf>
    <xf numFmtId="0" fontId="6" fillId="3" borderId="52" xfId="0" applyFont="1" applyFill="1" applyBorder="1" applyAlignment="1">
      <alignment vertical="center"/>
    </xf>
    <xf numFmtId="0" fontId="6" fillId="3" borderId="53" xfId="0" applyFont="1" applyFill="1" applyBorder="1" applyAlignment="1">
      <alignment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vertical="center"/>
    </xf>
    <xf numFmtId="0" fontId="4" fillId="5" borderId="57" xfId="0" applyFont="1" applyFill="1" applyBorder="1" applyAlignment="1">
      <alignment horizontal="center" vertical="center"/>
    </xf>
    <xf numFmtId="0" fontId="0" fillId="5" borderId="49" xfId="0" applyFill="1" applyBorder="1" applyAlignment="1">
      <alignment vertical="center"/>
    </xf>
    <xf numFmtId="0" fontId="0" fillId="5" borderId="50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9" fontId="0" fillId="5" borderId="40" xfId="1" applyFont="1" applyFill="1" applyBorder="1" applyAlignment="1">
      <alignment horizontal="center" vertical="center"/>
    </xf>
    <xf numFmtId="3" fontId="2" fillId="5" borderId="41" xfId="1" applyNumberFormat="1" applyFont="1" applyFill="1" applyBorder="1" applyAlignment="1">
      <alignment horizontal="center" vertical="center"/>
    </xf>
    <xf numFmtId="9" fontId="0" fillId="5" borderId="41" xfId="1" applyFont="1" applyFill="1" applyBorder="1" applyAlignment="1">
      <alignment horizontal="center" vertical="center"/>
    </xf>
    <xf numFmtId="3" fontId="2" fillId="5" borderId="36" xfId="1" applyNumberFormat="1" applyFont="1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0" fillId="5" borderId="51" xfId="0" applyFill="1" applyBorder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9" fontId="0" fillId="5" borderId="9" xfId="1" applyFont="1" applyFill="1" applyBorder="1" applyAlignment="1">
      <alignment horizontal="center" vertical="center"/>
    </xf>
    <xf numFmtId="3" fontId="2" fillId="5" borderId="22" xfId="1" applyNumberFormat="1" applyFont="1" applyFill="1" applyBorder="1" applyAlignment="1">
      <alignment horizontal="center" vertical="center"/>
    </xf>
    <xf numFmtId="9" fontId="0" fillId="5" borderId="22" xfId="1" applyFont="1" applyFill="1" applyBorder="1" applyAlignment="1">
      <alignment horizontal="center" vertical="center"/>
    </xf>
    <xf numFmtId="3" fontId="2" fillId="5" borderId="18" xfId="1" applyNumberFormat="1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52" xfId="0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9" fontId="0" fillId="5" borderId="11" xfId="1" applyFont="1" applyFill="1" applyBorder="1" applyAlignment="1">
      <alignment horizontal="center" vertical="center"/>
    </xf>
    <xf numFmtId="3" fontId="2" fillId="5" borderId="23" xfId="1" applyNumberFormat="1" applyFont="1" applyFill="1" applyBorder="1" applyAlignment="1">
      <alignment horizontal="center" vertical="center"/>
    </xf>
    <xf numFmtId="9" fontId="0" fillId="5" borderId="23" xfId="1" applyFont="1" applyFill="1" applyBorder="1" applyAlignment="1">
      <alignment horizontal="center" vertical="center"/>
    </xf>
    <xf numFmtId="3" fontId="2" fillId="5" borderId="19" xfId="1" applyNumberFormat="1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53" xfId="0" applyFill="1" applyBorder="1" applyAlignment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9" fontId="0" fillId="5" borderId="13" xfId="1" applyFont="1" applyFill="1" applyBorder="1" applyAlignment="1">
      <alignment horizontal="center" vertical="center"/>
    </xf>
    <xf numFmtId="3" fontId="2" fillId="5" borderId="24" xfId="1" applyNumberFormat="1" applyFont="1" applyFill="1" applyBorder="1" applyAlignment="1">
      <alignment horizontal="center" vertical="center"/>
    </xf>
    <xf numFmtId="9" fontId="0" fillId="5" borderId="24" xfId="1" applyFont="1" applyFill="1" applyBorder="1" applyAlignment="1">
      <alignment horizontal="center" vertical="center"/>
    </xf>
    <xf numFmtId="3" fontId="2" fillId="5" borderId="20" xfId="1" applyNumberFormat="1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4" fillId="0" borderId="64" xfId="0" applyFont="1" applyBorder="1" applyAlignment="1">
      <alignment vertical="center" wrapText="1"/>
    </xf>
    <xf numFmtId="0" fontId="0" fillId="0" borderId="64" xfId="0" applyBorder="1" applyAlignment="1">
      <alignment vertical="center"/>
    </xf>
    <xf numFmtId="0" fontId="4" fillId="0" borderId="64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9" fontId="2" fillId="3" borderId="0" xfId="1" applyFont="1" applyFill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center" vertical="center"/>
    </xf>
    <xf numFmtId="0" fontId="7" fillId="0" borderId="65" xfId="0" applyFont="1" applyBorder="1" applyAlignment="1">
      <alignment vertical="center"/>
    </xf>
    <xf numFmtId="0" fontId="0" fillId="0" borderId="65" xfId="0" applyBorder="1" applyAlignment="1">
      <alignment horizontal="center" vertical="center"/>
    </xf>
    <xf numFmtId="164" fontId="4" fillId="3" borderId="47" xfId="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4" fillId="7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9" fontId="13" fillId="3" borderId="37" xfId="1" applyNumberFormat="1" applyFont="1" applyFill="1" applyBorder="1" applyAlignment="1">
      <alignment horizontal="center" vertical="center"/>
    </xf>
    <xf numFmtId="3" fontId="13" fillId="3" borderId="39" xfId="1" applyNumberFormat="1" applyFont="1" applyFill="1" applyBorder="1" applyAlignment="1">
      <alignment horizontal="center" vertical="center"/>
    </xf>
    <xf numFmtId="3" fontId="13" fillId="3" borderId="37" xfId="0" applyNumberFormat="1" applyFont="1" applyFill="1" applyBorder="1" applyAlignment="1">
      <alignment horizontal="center" vertical="center"/>
    </xf>
    <xf numFmtId="3" fontId="13" fillId="3" borderId="39" xfId="0" applyNumberFormat="1" applyFont="1" applyFill="1" applyBorder="1" applyAlignment="1">
      <alignment horizontal="center" vertical="center"/>
    </xf>
    <xf numFmtId="3" fontId="13" fillId="3" borderId="46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9" fontId="6" fillId="3" borderId="9" xfId="1" applyFont="1" applyFill="1" applyBorder="1" applyAlignment="1">
      <alignment horizontal="center" vertical="center"/>
    </xf>
    <xf numFmtId="9" fontId="6" fillId="3" borderId="22" xfId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9" fontId="6" fillId="3" borderId="11" xfId="1" applyFont="1" applyFill="1" applyBorder="1" applyAlignment="1">
      <alignment horizontal="center" vertical="center"/>
    </xf>
    <xf numFmtId="9" fontId="6" fillId="3" borderId="23" xfId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9" fontId="6" fillId="3" borderId="13" xfId="1" applyFont="1" applyFill="1" applyBorder="1" applyAlignment="1">
      <alignment horizontal="center" vertical="center"/>
    </xf>
    <xf numFmtId="9" fontId="6" fillId="3" borderId="24" xfId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9" fontId="6" fillId="3" borderId="15" xfId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3" fontId="13" fillId="3" borderId="4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0" fontId="4" fillId="6" borderId="57" xfId="0" applyFont="1" applyFill="1" applyBorder="1" applyAlignment="1">
      <alignment horizontal="center" vertical="center"/>
    </xf>
    <xf numFmtId="0" fontId="0" fillId="6" borderId="49" xfId="0" applyFill="1" applyBorder="1" applyAlignment="1">
      <alignment vertical="center"/>
    </xf>
    <xf numFmtId="0" fontId="0" fillId="6" borderId="50" xfId="0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0" fillId="6" borderId="51" xfId="0" applyFill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0" fillId="6" borderId="52" xfId="0" applyFill="1" applyBorder="1" applyAlignment="1">
      <alignment vertical="center"/>
    </xf>
    <xf numFmtId="0" fontId="0" fillId="6" borderId="5" xfId="0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0" fillId="6" borderId="53" xfId="0" applyFill="1" applyBorder="1" applyAlignment="1">
      <alignment vertical="center"/>
    </xf>
    <xf numFmtId="0" fontId="0" fillId="6" borderId="6" xfId="0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0" fillId="6" borderId="52" xfId="0" applyFont="1" applyFill="1" applyBorder="1" applyAlignment="1">
      <alignment vertical="center"/>
    </xf>
    <xf numFmtId="0" fontId="0" fillId="6" borderId="5" xfId="0" applyFont="1" applyFill="1" applyBorder="1" applyAlignment="1">
      <alignment horizontal="center" vertical="center"/>
    </xf>
    <xf numFmtId="0" fontId="0" fillId="6" borderId="53" xfId="0" applyFont="1" applyFill="1" applyBorder="1" applyAlignment="1">
      <alignment vertical="center"/>
    </xf>
    <xf numFmtId="0" fontId="0" fillId="6" borderId="6" xfId="0" applyFont="1" applyFill="1" applyBorder="1" applyAlignment="1">
      <alignment horizontal="center" vertical="center"/>
    </xf>
    <xf numFmtId="0" fontId="6" fillId="6" borderId="51" xfId="0" applyFont="1" applyFill="1" applyBorder="1" applyAlignment="1">
      <alignment vertical="center"/>
    </xf>
    <xf numFmtId="0" fontId="0" fillId="6" borderId="4" xfId="0" applyFont="1" applyFill="1" applyBorder="1" applyAlignment="1">
      <alignment horizontal="center" vertical="center"/>
    </xf>
    <xf numFmtId="0" fontId="6" fillId="6" borderId="52" xfId="0" applyFont="1" applyFill="1" applyBorder="1" applyAlignment="1">
      <alignment vertical="center"/>
    </xf>
    <xf numFmtId="0" fontId="6" fillId="6" borderId="53" xfId="0" applyFont="1" applyFill="1" applyBorder="1" applyAlignment="1">
      <alignment vertical="center"/>
    </xf>
    <xf numFmtId="0" fontId="4" fillId="3" borderId="32" xfId="0" applyFont="1" applyFill="1" applyBorder="1" applyAlignment="1">
      <alignment vertical="center"/>
    </xf>
    <xf numFmtId="0" fontId="4" fillId="3" borderId="57" xfId="0" applyFont="1" applyFill="1" applyBorder="1" applyAlignment="1">
      <alignment horizontal="center" vertical="center"/>
    </xf>
    <xf numFmtId="9" fontId="6" fillId="3" borderId="41" xfId="1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3" fontId="6" fillId="8" borderId="36" xfId="1" applyNumberFormat="1" applyFont="1" applyFill="1" applyBorder="1" applyAlignment="1">
      <alignment horizontal="center" vertical="center"/>
    </xf>
    <xf numFmtId="3" fontId="6" fillId="8" borderId="18" xfId="1" applyNumberFormat="1" applyFont="1" applyFill="1" applyBorder="1" applyAlignment="1">
      <alignment horizontal="center" vertical="center"/>
    </xf>
    <xf numFmtId="3" fontId="6" fillId="8" borderId="19" xfId="1" applyNumberFormat="1" applyFont="1" applyFill="1" applyBorder="1" applyAlignment="1">
      <alignment horizontal="center" vertical="center"/>
    </xf>
    <xf numFmtId="3" fontId="6" fillId="8" borderId="20" xfId="1" applyNumberFormat="1" applyFont="1" applyFill="1" applyBorder="1" applyAlignment="1">
      <alignment horizontal="center" vertical="center"/>
    </xf>
    <xf numFmtId="0" fontId="6" fillId="8" borderId="40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4" fillId="0" borderId="0" xfId="0" applyFont="1" applyAlignment="1">
      <alignment vertical="center"/>
    </xf>
    <xf numFmtId="0" fontId="10" fillId="10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vertical="center"/>
    </xf>
    <xf numFmtId="0" fontId="0" fillId="10" borderId="0" xfId="0" applyFill="1" applyAlignment="1">
      <alignment horizontal="center" vertical="center"/>
    </xf>
    <xf numFmtId="0" fontId="6" fillId="10" borderId="0" xfId="0" applyFont="1" applyFill="1" applyAlignment="1">
      <alignment vertical="center"/>
    </xf>
    <xf numFmtId="0" fontId="0" fillId="10" borderId="69" xfId="0" applyFill="1" applyBorder="1" applyAlignment="1">
      <alignment vertical="center"/>
    </xf>
    <xf numFmtId="0" fontId="0" fillId="10" borderId="69" xfId="0" applyFill="1" applyBorder="1" applyAlignment="1">
      <alignment horizontal="center" vertical="center"/>
    </xf>
    <xf numFmtId="0" fontId="0" fillId="10" borderId="70" xfId="0" applyFill="1" applyBorder="1" applyAlignment="1">
      <alignment vertical="center"/>
    </xf>
    <xf numFmtId="0" fontId="0" fillId="10" borderId="70" xfId="0" applyFill="1" applyBorder="1" applyAlignment="1">
      <alignment horizontal="center" vertical="center"/>
    </xf>
    <xf numFmtId="0" fontId="0" fillId="10" borderId="71" xfId="0" applyFill="1" applyBorder="1" applyAlignment="1">
      <alignment vertical="center"/>
    </xf>
    <xf numFmtId="0" fontId="0" fillId="10" borderId="72" xfId="0" applyFill="1" applyBorder="1" applyAlignment="1">
      <alignment vertical="center"/>
    </xf>
    <xf numFmtId="0" fontId="0" fillId="10" borderId="73" xfId="0" applyFill="1" applyBorder="1" applyAlignment="1">
      <alignment vertical="center"/>
    </xf>
    <xf numFmtId="0" fontId="7" fillId="10" borderId="73" xfId="0" applyFont="1" applyFill="1" applyBorder="1" applyAlignment="1">
      <alignment vertical="center"/>
    </xf>
    <xf numFmtId="0" fontId="7" fillId="10" borderId="72" xfId="0" applyFont="1" applyFill="1" applyBorder="1" applyAlignment="1">
      <alignment vertical="center"/>
    </xf>
    <xf numFmtId="0" fontId="14" fillId="10" borderId="73" xfId="0" applyFont="1" applyFill="1" applyBorder="1" applyAlignment="1">
      <alignment vertical="center"/>
    </xf>
    <xf numFmtId="0" fontId="14" fillId="10" borderId="72" xfId="0" applyFont="1" applyFill="1" applyBorder="1" applyAlignment="1">
      <alignment vertical="center"/>
    </xf>
    <xf numFmtId="0" fontId="0" fillId="10" borderId="74" xfId="0" applyFill="1" applyBorder="1" applyAlignment="1">
      <alignment vertical="center"/>
    </xf>
    <xf numFmtId="0" fontId="0" fillId="10" borderId="75" xfId="0" applyFill="1" applyBorder="1" applyAlignment="1">
      <alignment vertical="center"/>
    </xf>
    <xf numFmtId="0" fontId="0" fillId="10" borderId="76" xfId="0" applyFill="1" applyBorder="1" applyAlignment="1">
      <alignment vertical="center"/>
    </xf>
    <xf numFmtId="0" fontId="8" fillId="9" borderId="0" xfId="0" applyFont="1" applyFill="1" applyAlignment="1">
      <alignment vertical="center"/>
    </xf>
    <xf numFmtId="0" fontId="4" fillId="3" borderId="31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3" fillId="2" borderId="82" xfId="0" applyFont="1" applyFill="1" applyBorder="1" applyAlignment="1">
      <alignment horizontal="center" vertical="center" wrapText="1"/>
    </xf>
    <xf numFmtId="0" fontId="3" fillId="2" borderId="83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0" fontId="3" fillId="2" borderId="89" xfId="0" applyFont="1" applyFill="1" applyBorder="1" applyAlignment="1">
      <alignment horizontal="center" vertical="center" wrapText="1"/>
    </xf>
    <xf numFmtId="0" fontId="3" fillId="2" borderId="88" xfId="0" applyFont="1" applyFill="1" applyBorder="1" applyAlignment="1">
      <alignment horizontal="center" vertical="center" wrapText="1"/>
    </xf>
    <xf numFmtId="0" fontId="3" fillId="2" borderId="90" xfId="0" applyFont="1" applyFill="1" applyBorder="1" applyAlignment="1">
      <alignment horizontal="center" vertical="center" wrapText="1"/>
    </xf>
    <xf numFmtId="0" fontId="3" fillId="2" borderId="91" xfId="0" applyFont="1" applyFill="1" applyBorder="1" applyAlignment="1">
      <alignment horizontal="center" vertical="center" wrapText="1"/>
    </xf>
    <xf numFmtId="0" fontId="3" fillId="2" borderId="92" xfId="0" applyFont="1" applyFill="1" applyBorder="1" applyAlignment="1">
      <alignment horizontal="center" vertical="center" wrapText="1"/>
    </xf>
    <xf numFmtId="0" fontId="6" fillId="6" borderId="93" xfId="0" applyFont="1" applyFill="1" applyBorder="1" applyAlignment="1">
      <alignment horizontal="center" vertical="center"/>
    </xf>
    <xf numFmtId="0" fontId="3" fillId="2" borderId="97" xfId="0" applyFont="1" applyFill="1" applyBorder="1" applyAlignment="1">
      <alignment horizontal="center" vertical="center" wrapText="1"/>
    </xf>
    <xf numFmtId="9" fontId="3" fillId="2" borderId="98" xfId="1" applyFont="1" applyFill="1" applyBorder="1" applyAlignment="1">
      <alignment horizontal="center" vertical="center" wrapText="1"/>
    </xf>
    <xf numFmtId="9" fontId="3" fillId="2" borderId="92" xfId="1" applyFont="1" applyFill="1" applyBorder="1" applyAlignment="1">
      <alignment horizontal="center" vertical="center" wrapText="1"/>
    </xf>
    <xf numFmtId="0" fontId="3" fillId="2" borderId="98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/>
    </xf>
    <xf numFmtId="0" fontId="6" fillId="3" borderId="83" xfId="0" applyFont="1" applyFill="1" applyBorder="1" applyAlignment="1">
      <alignment horizontal="center" vertical="center"/>
    </xf>
    <xf numFmtId="0" fontId="6" fillId="3" borderId="101" xfId="0" applyFont="1" applyFill="1" applyBorder="1" applyAlignment="1">
      <alignment horizontal="center" vertical="center"/>
    </xf>
    <xf numFmtId="0" fontId="4" fillId="5" borderId="100" xfId="0" applyFont="1" applyFill="1" applyBorder="1" applyAlignment="1">
      <alignment horizontal="center" vertical="center" wrapText="1"/>
    </xf>
    <xf numFmtId="0" fontId="0" fillId="5" borderId="81" xfId="0" applyFill="1" applyBorder="1" applyAlignment="1">
      <alignment vertical="center"/>
    </xf>
    <xf numFmtId="0" fontId="0" fillId="5" borderId="80" xfId="0" applyFill="1" applyBorder="1" applyAlignment="1">
      <alignment horizontal="center" vertical="center"/>
    </xf>
    <xf numFmtId="0" fontId="0" fillId="5" borderId="83" xfId="0" applyFill="1" applyBorder="1" applyAlignment="1">
      <alignment horizontal="center" vertical="center"/>
    </xf>
    <xf numFmtId="0" fontId="0" fillId="5" borderId="82" xfId="0" applyFill="1" applyBorder="1" applyAlignment="1">
      <alignment horizontal="center" vertical="center"/>
    </xf>
    <xf numFmtId="0" fontId="0" fillId="5" borderId="101" xfId="0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9" fontId="0" fillId="5" borderId="15" xfId="1" applyFont="1" applyFill="1" applyBorder="1" applyAlignment="1">
      <alignment horizontal="center" vertical="center"/>
    </xf>
    <xf numFmtId="3" fontId="2" fillId="5" borderId="25" xfId="1" applyNumberFormat="1" applyFont="1" applyFill="1" applyBorder="1" applyAlignment="1">
      <alignment horizontal="center" vertical="center"/>
    </xf>
    <xf numFmtId="9" fontId="0" fillId="5" borderId="25" xfId="1" applyFont="1" applyFill="1" applyBorder="1" applyAlignment="1">
      <alignment horizontal="center" vertical="center"/>
    </xf>
    <xf numFmtId="3" fontId="2" fillId="5" borderId="21" xfId="1" applyNumberFormat="1" applyFont="1" applyFill="1" applyBorder="1" applyAlignment="1">
      <alignment horizontal="center" vertical="center"/>
    </xf>
    <xf numFmtId="0" fontId="6" fillId="8" borderId="118" xfId="0" applyFont="1" applyFill="1" applyBorder="1" applyAlignment="1">
      <alignment horizontal="center" vertical="center"/>
    </xf>
    <xf numFmtId="3" fontId="6" fillId="8" borderId="9" xfId="1" applyNumberFormat="1" applyFont="1" applyFill="1" applyBorder="1" applyAlignment="1">
      <alignment horizontal="center" vertical="center"/>
    </xf>
    <xf numFmtId="9" fontId="6" fillId="8" borderId="18" xfId="1" applyFont="1" applyFill="1" applyBorder="1" applyAlignment="1">
      <alignment horizontal="center" vertical="center"/>
    </xf>
    <xf numFmtId="3" fontId="6" fillId="8" borderId="11" xfId="1" applyNumberFormat="1" applyFont="1" applyFill="1" applyBorder="1" applyAlignment="1">
      <alignment horizontal="center" vertical="center"/>
    </xf>
    <xf numFmtId="9" fontId="6" fillId="8" borderId="19" xfId="1" applyFont="1" applyFill="1" applyBorder="1" applyAlignment="1">
      <alignment horizontal="center" vertical="center"/>
    </xf>
    <xf numFmtId="3" fontId="6" fillId="8" borderId="13" xfId="1" applyNumberFormat="1" applyFont="1" applyFill="1" applyBorder="1" applyAlignment="1">
      <alignment horizontal="center" vertical="center"/>
    </xf>
    <xf numFmtId="9" fontId="6" fillId="8" borderId="20" xfId="1" applyFont="1" applyFill="1" applyBorder="1" applyAlignment="1">
      <alignment horizontal="center" vertical="center"/>
    </xf>
    <xf numFmtId="3" fontId="6" fillId="8" borderId="118" xfId="1" applyNumberFormat="1" applyFont="1" applyFill="1" applyBorder="1" applyAlignment="1">
      <alignment horizontal="center" vertical="center"/>
    </xf>
    <xf numFmtId="9" fontId="6" fillId="8" borderId="117" xfId="1" applyFont="1" applyFill="1" applyBorder="1" applyAlignment="1">
      <alignment horizontal="center" vertical="center"/>
    </xf>
    <xf numFmtId="3" fontId="6" fillId="8" borderId="40" xfId="1" applyNumberFormat="1" applyFont="1" applyFill="1" applyBorder="1" applyAlignment="1">
      <alignment horizontal="center" vertical="center"/>
    </xf>
    <xf numFmtId="3" fontId="6" fillId="8" borderId="15" xfId="1" applyNumberFormat="1" applyFont="1" applyFill="1" applyBorder="1" applyAlignment="1">
      <alignment horizontal="center" vertical="center"/>
    </xf>
    <xf numFmtId="9" fontId="6" fillId="8" borderId="21" xfId="1" applyFont="1" applyFill="1" applyBorder="1" applyAlignment="1">
      <alignment horizontal="center" vertical="center"/>
    </xf>
    <xf numFmtId="0" fontId="6" fillId="8" borderId="117" xfId="0" applyFont="1" applyFill="1" applyBorder="1" applyAlignment="1">
      <alignment horizontal="center" vertical="center"/>
    </xf>
    <xf numFmtId="0" fontId="6" fillId="3" borderId="118" xfId="0" applyFont="1" applyFill="1" applyBorder="1" applyAlignment="1">
      <alignment horizontal="center" vertical="center"/>
    </xf>
    <xf numFmtId="0" fontId="6" fillId="3" borderId="117" xfId="0" applyFont="1" applyFill="1" applyBorder="1" applyAlignment="1">
      <alignment horizontal="center" vertical="center"/>
    </xf>
    <xf numFmtId="0" fontId="6" fillId="3" borderId="119" xfId="0" applyFont="1" applyFill="1" applyBorder="1" applyAlignment="1">
      <alignment horizontal="center" vertical="center"/>
    </xf>
    <xf numFmtId="3" fontId="16" fillId="8" borderId="37" xfId="1" applyNumberFormat="1" applyFont="1" applyFill="1" applyBorder="1" applyAlignment="1">
      <alignment horizontal="center" vertical="center"/>
    </xf>
    <xf numFmtId="9" fontId="16" fillId="8" borderId="39" xfId="1" applyFont="1" applyFill="1" applyBorder="1" applyAlignment="1">
      <alignment horizontal="center" vertical="center"/>
    </xf>
    <xf numFmtId="0" fontId="16" fillId="8" borderId="37" xfId="0" applyFont="1" applyFill="1" applyBorder="1" applyAlignment="1">
      <alignment horizontal="center" vertical="center"/>
    </xf>
    <xf numFmtId="0" fontId="16" fillId="8" borderId="39" xfId="0" applyFont="1" applyFill="1" applyBorder="1" applyAlignment="1">
      <alignment horizontal="center" vertical="center"/>
    </xf>
    <xf numFmtId="0" fontId="16" fillId="3" borderId="37" xfId="0" applyFont="1" applyFill="1" applyBorder="1" applyAlignment="1">
      <alignment horizontal="center" vertical="center"/>
    </xf>
    <xf numFmtId="0" fontId="16" fillId="3" borderId="39" xfId="0" applyFont="1" applyFill="1" applyBorder="1" applyAlignment="1">
      <alignment horizontal="center" vertical="center"/>
    </xf>
    <xf numFmtId="0" fontId="16" fillId="3" borderId="46" xfId="0" applyFont="1" applyFill="1" applyBorder="1" applyAlignment="1">
      <alignment horizontal="center" vertical="center"/>
    </xf>
    <xf numFmtId="0" fontId="6" fillId="8" borderId="94" xfId="0" applyFont="1" applyFill="1" applyBorder="1" applyAlignment="1">
      <alignment horizontal="center" vertical="center"/>
    </xf>
    <xf numFmtId="0" fontId="6" fillId="8" borderId="93" xfId="0" applyFont="1" applyFill="1" applyBorder="1" applyAlignment="1">
      <alignment horizontal="center" vertical="center"/>
    </xf>
    <xf numFmtId="0" fontId="6" fillId="6" borderId="94" xfId="0" applyFont="1" applyFill="1" applyBorder="1" applyAlignment="1">
      <alignment horizontal="center" vertical="center"/>
    </xf>
    <xf numFmtId="0" fontId="6" fillId="6" borderId="124" xfId="0" applyFont="1" applyFill="1" applyBorder="1" applyAlignment="1">
      <alignment horizontal="center" vertical="center"/>
    </xf>
    <xf numFmtId="0" fontId="0" fillId="5" borderId="125" xfId="0" applyFill="1" applyBorder="1" applyAlignment="1">
      <alignment horizontal="center" vertical="center"/>
    </xf>
    <xf numFmtId="0" fontId="0" fillId="5" borderId="114" xfId="0" applyFill="1" applyBorder="1" applyAlignment="1">
      <alignment horizontal="center" vertical="center"/>
    </xf>
    <xf numFmtId="0" fontId="0" fillId="5" borderId="117" xfId="0" applyFill="1" applyBorder="1" applyAlignment="1">
      <alignment horizontal="center" vertical="center"/>
    </xf>
    <xf numFmtId="9" fontId="0" fillId="5" borderId="118" xfId="1" applyFont="1" applyFill="1" applyBorder="1" applyAlignment="1">
      <alignment horizontal="center" vertical="center"/>
    </xf>
    <xf numFmtId="3" fontId="2" fillId="5" borderId="99" xfId="1" applyNumberFormat="1" applyFont="1" applyFill="1" applyBorder="1" applyAlignment="1">
      <alignment horizontal="center" vertical="center"/>
    </xf>
    <xf numFmtId="9" fontId="0" fillId="5" borderId="99" xfId="1" applyFont="1" applyFill="1" applyBorder="1" applyAlignment="1">
      <alignment horizontal="center" vertical="center"/>
    </xf>
    <xf numFmtId="3" fontId="2" fillId="5" borderId="117" xfId="1" applyNumberFormat="1" applyFont="1" applyFill="1" applyBorder="1" applyAlignment="1">
      <alignment horizontal="center" vertical="center"/>
    </xf>
    <xf numFmtId="0" fontId="0" fillId="5" borderId="118" xfId="0" applyFill="1" applyBorder="1" applyAlignment="1">
      <alignment horizontal="center" vertical="center"/>
    </xf>
    <xf numFmtId="0" fontId="0" fillId="5" borderId="119" xfId="0" applyFill="1" applyBorder="1" applyAlignment="1">
      <alignment horizontal="center" vertical="center"/>
    </xf>
    <xf numFmtId="0" fontId="7" fillId="5" borderId="45" xfId="0" applyFont="1" applyFill="1" applyBorder="1" applyAlignment="1">
      <alignment horizontal="center" vertical="center"/>
    </xf>
    <xf numFmtId="0" fontId="7" fillId="5" borderId="39" xfId="0" applyFont="1" applyFill="1" applyBorder="1" applyAlignment="1">
      <alignment horizontal="center" vertical="center"/>
    </xf>
    <xf numFmtId="9" fontId="7" fillId="5" borderId="37" xfId="1" applyFont="1" applyFill="1" applyBorder="1" applyAlignment="1">
      <alignment horizontal="center" vertical="center"/>
    </xf>
    <xf numFmtId="3" fontId="17" fillId="5" borderId="38" xfId="1" applyNumberFormat="1" applyFont="1" applyFill="1" applyBorder="1" applyAlignment="1">
      <alignment horizontal="center" vertical="center"/>
    </xf>
    <xf numFmtId="9" fontId="7" fillId="5" borderId="38" xfId="1" applyFont="1" applyFill="1" applyBorder="1" applyAlignment="1">
      <alignment horizontal="center" vertical="center"/>
    </xf>
    <xf numFmtId="9" fontId="7" fillId="4" borderId="38" xfId="1" applyFont="1" applyFill="1" applyBorder="1" applyAlignment="1">
      <alignment horizontal="center" vertical="center"/>
    </xf>
    <xf numFmtId="3" fontId="17" fillId="4" borderId="39" xfId="1" applyNumberFormat="1" applyFont="1" applyFill="1" applyBorder="1" applyAlignment="1">
      <alignment horizontal="center" vertical="center"/>
    </xf>
    <xf numFmtId="0" fontId="0" fillId="3" borderId="126" xfId="0" applyFill="1" applyBorder="1" applyAlignment="1">
      <alignment horizontal="center" vertical="center"/>
    </xf>
    <xf numFmtId="0" fontId="0" fillId="3" borderId="122" xfId="0" applyFill="1" applyBorder="1" applyAlignment="1">
      <alignment horizontal="center" vertical="center"/>
    </xf>
    <xf numFmtId="0" fontId="0" fillId="3" borderId="93" xfId="0" applyFill="1" applyBorder="1" applyAlignment="1">
      <alignment horizontal="center" vertical="center"/>
    </xf>
    <xf numFmtId="9" fontId="0" fillId="3" borderId="94" xfId="1" applyFont="1" applyFill="1" applyBorder="1" applyAlignment="1">
      <alignment horizontal="center" vertical="center"/>
    </xf>
    <xf numFmtId="3" fontId="2" fillId="3" borderId="123" xfId="1" applyNumberFormat="1" applyFont="1" applyFill="1" applyBorder="1" applyAlignment="1">
      <alignment horizontal="center" vertical="center"/>
    </xf>
    <xf numFmtId="9" fontId="0" fillId="3" borderId="123" xfId="1" applyFont="1" applyFill="1" applyBorder="1" applyAlignment="1">
      <alignment horizontal="center" vertical="center"/>
    </xf>
    <xf numFmtId="3" fontId="2" fillId="3" borderId="93" xfId="1" applyNumberFormat="1" applyFont="1" applyFill="1" applyBorder="1" applyAlignment="1">
      <alignment horizontal="center" vertical="center"/>
    </xf>
    <xf numFmtId="0" fontId="0" fillId="3" borderId="94" xfId="0" applyFill="1" applyBorder="1" applyAlignment="1">
      <alignment horizontal="center" vertical="center"/>
    </xf>
    <xf numFmtId="0" fontId="0" fillId="3" borderId="124" xfId="0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9" fontId="7" fillId="3" borderId="37" xfId="1" applyFont="1" applyFill="1" applyBorder="1" applyAlignment="1">
      <alignment horizontal="center" vertical="center"/>
    </xf>
    <xf numFmtId="9" fontId="6" fillId="8" borderId="36" xfId="1" applyFont="1" applyFill="1" applyBorder="1" applyAlignment="1">
      <alignment horizontal="center" vertical="center"/>
    </xf>
    <xf numFmtId="0" fontId="3" fillId="2" borderId="127" xfId="0" applyFont="1" applyFill="1" applyBorder="1" applyAlignment="1">
      <alignment horizontal="center" vertical="center" wrapText="1"/>
    </xf>
    <xf numFmtId="0" fontId="0" fillId="11" borderId="128" xfId="0" applyFill="1" applyBorder="1" applyAlignment="1">
      <alignment horizontal="center" vertical="center"/>
    </xf>
    <xf numFmtId="0" fontId="0" fillId="11" borderId="129" xfId="0" applyFill="1" applyBorder="1" applyAlignment="1">
      <alignment horizontal="center" vertical="center"/>
    </xf>
    <xf numFmtId="0" fontId="0" fillId="11" borderId="130" xfId="0" applyFill="1" applyBorder="1" applyAlignment="1">
      <alignment horizontal="center" vertical="center"/>
    </xf>
    <xf numFmtId="0" fontId="0" fillId="11" borderId="131" xfId="0" applyFill="1" applyBorder="1" applyAlignment="1">
      <alignment horizontal="center" vertical="center"/>
    </xf>
    <xf numFmtId="0" fontId="4" fillId="8" borderId="57" xfId="0" applyFont="1" applyFill="1" applyBorder="1" applyAlignment="1">
      <alignment horizontal="center" vertical="center"/>
    </xf>
    <xf numFmtId="0" fontId="0" fillId="8" borderId="49" xfId="0" applyFill="1" applyBorder="1" applyAlignment="1">
      <alignment vertical="center"/>
    </xf>
    <xf numFmtId="0" fontId="0" fillId="8" borderId="50" xfId="0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0" fillId="8" borderId="51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0" fontId="6" fillId="8" borderId="27" xfId="0" applyFont="1" applyFill="1" applyBorder="1" applyAlignment="1">
      <alignment horizontal="center" vertical="center"/>
    </xf>
    <xf numFmtId="0" fontId="0" fillId="8" borderId="52" xfId="0" applyFill="1" applyBorder="1" applyAlignment="1">
      <alignment vertical="center"/>
    </xf>
    <xf numFmtId="0" fontId="0" fillId="8" borderId="5" xfId="0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/>
    </xf>
    <xf numFmtId="0" fontId="0" fillId="8" borderId="53" xfId="0" applyFill="1" applyBorder="1" applyAlignment="1">
      <alignment vertical="center"/>
    </xf>
    <xf numFmtId="0" fontId="0" fillId="8" borderId="6" xfId="0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0" fillId="8" borderId="54" xfId="0" applyFill="1" applyBorder="1" applyAlignment="1">
      <alignment vertical="center"/>
    </xf>
    <xf numFmtId="0" fontId="0" fillId="8" borderId="7" xfId="0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4" fillId="8" borderId="100" xfId="0" applyFont="1" applyFill="1" applyBorder="1" applyAlignment="1">
      <alignment horizontal="center" vertical="center"/>
    </xf>
    <xf numFmtId="0" fontId="0" fillId="8" borderId="102" xfId="0" applyFill="1" applyBorder="1" applyAlignment="1">
      <alignment vertical="center"/>
    </xf>
    <xf numFmtId="0" fontId="0" fillId="8" borderId="103" xfId="0" applyFill="1" applyBorder="1" applyAlignment="1">
      <alignment horizontal="center" vertical="center"/>
    </xf>
    <xf numFmtId="0" fontId="6" fillId="8" borderId="114" xfId="0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64" fontId="4" fillId="8" borderId="47" xfId="0" applyNumberFormat="1" applyFont="1" applyFill="1" applyBorder="1" applyAlignment="1">
      <alignment horizontal="left" vertical="center"/>
    </xf>
    <xf numFmtId="0" fontId="4" fillId="8" borderId="55" xfId="0" applyFont="1" applyFill="1" applyBorder="1" applyAlignment="1">
      <alignment horizontal="center" vertical="center"/>
    </xf>
    <xf numFmtId="0" fontId="16" fillId="8" borderId="45" xfId="0" applyFont="1" applyFill="1" applyBorder="1" applyAlignment="1">
      <alignment horizontal="center" vertical="center"/>
    </xf>
    <xf numFmtId="0" fontId="0" fillId="8" borderId="52" xfId="0" applyFont="1" applyFill="1" applyBorder="1" applyAlignment="1">
      <alignment vertical="center"/>
    </xf>
    <xf numFmtId="0" fontId="0" fillId="8" borderId="5" xfId="0" applyFont="1" applyFill="1" applyBorder="1" applyAlignment="1">
      <alignment horizontal="center" vertical="center"/>
    </xf>
    <xf numFmtId="0" fontId="0" fillId="8" borderId="53" xfId="0" applyFont="1" applyFill="1" applyBorder="1" applyAlignment="1">
      <alignment vertical="center"/>
    </xf>
    <xf numFmtId="0" fontId="0" fillId="8" borderId="6" xfId="0" applyFont="1" applyFill="1" applyBorder="1" applyAlignment="1">
      <alignment horizontal="center" vertical="center"/>
    </xf>
    <xf numFmtId="0" fontId="6" fillId="8" borderId="51" xfId="0" applyFont="1" applyFill="1" applyBorder="1" applyAlignment="1">
      <alignment vertical="center"/>
    </xf>
    <xf numFmtId="0" fontId="0" fillId="8" borderId="4" xfId="0" applyFont="1" applyFill="1" applyBorder="1" applyAlignment="1">
      <alignment horizontal="center" vertical="center"/>
    </xf>
    <xf numFmtId="0" fontId="6" fillId="8" borderId="52" xfId="0" applyFont="1" applyFill="1" applyBorder="1" applyAlignment="1">
      <alignment vertical="center"/>
    </xf>
    <xf numFmtId="0" fontId="6" fillId="8" borderId="53" xfId="0" applyFont="1" applyFill="1" applyBorder="1" applyAlignment="1">
      <alignment vertical="center"/>
    </xf>
    <xf numFmtId="0" fontId="4" fillId="8" borderId="61" xfId="0" applyFont="1" applyFill="1" applyBorder="1" applyAlignment="1">
      <alignment horizontal="center" vertical="center"/>
    </xf>
    <xf numFmtId="0" fontId="4" fillId="8" borderId="47" xfId="0" applyFont="1" applyFill="1" applyBorder="1" applyAlignment="1">
      <alignment vertical="center"/>
    </xf>
    <xf numFmtId="3" fontId="13" fillId="8" borderId="45" xfId="0" applyNumberFormat="1" applyFont="1" applyFill="1" applyBorder="1" applyAlignment="1">
      <alignment horizontal="center" vertical="center"/>
    </xf>
    <xf numFmtId="0" fontId="6" fillId="8" borderId="105" xfId="0" applyFont="1" applyFill="1" applyBorder="1" applyAlignment="1">
      <alignment horizontal="center" vertical="center"/>
    </xf>
    <xf numFmtId="0" fontId="6" fillId="8" borderId="107" xfId="0" applyFont="1" applyFill="1" applyBorder="1" applyAlignment="1">
      <alignment horizontal="center" vertical="center"/>
    </xf>
    <xf numFmtId="0" fontId="6" fillId="8" borderId="109" xfId="0" applyFont="1" applyFill="1" applyBorder="1" applyAlignment="1">
      <alignment horizontal="center" vertical="center"/>
    </xf>
    <xf numFmtId="0" fontId="6" fillId="8" borderId="111" xfId="0" applyFont="1" applyFill="1" applyBorder="1" applyAlignment="1">
      <alignment horizontal="center" vertical="center"/>
    </xf>
    <xf numFmtId="0" fontId="6" fillId="8" borderId="113" xfId="0" applyFont="1" applyFill="1" applyBorder="1" applyAlignment="1">
      <alignment horizontal="center" vertical="center"/>
    </xf>
    <xf numFmtId="0" fontId="6" fillId="8" borderId="116" xfId="0" applyFont="1" applyFill="1" applyBorder="1" applyAlignment="1">
      <alignment horizontal="center" vertical="center"/>
    </xf>
    <xf numFmtId="0" fontId="16" fillId="8" borderId="121" xfId="0" applyFont="1" applyFill="1" applyBorder="1" applyAlignment="1">
      <alignment horizontal="center" vertical="center"/>
    </xf>
    <xf numFmtId="3" fontId="13" fillId="8" borderId="38" xfId="0" applyNumberFormat="1" applyFont="1" applyFill="1" applyBorder="1" applyAlignment="1">
      <alignment horizontal="center" vertical="center"/>
    </xf>
    <xf numFmtId="3" fontId="13" fillId="8" borderId="37" xfId="1" applyNumberFormat="1" applyFont="1" applyFill="1" applyBorder="1" applyAlignment="1">
      <alignment horizontal="center" vertical="center"/>
    </xf>
    <xf numFmtId="9" fontId="6" fillId="12" borderId="104" xfId="1" applyFont="1" applyFill="1" applyBorder="1" applyAlignment="1">
      <alignment horizontal="center" vertical="center"/>
    </xf>
    <xf numFmtId="9" fontId="6" fillId="12" borderId="106" xfId="1" applyFont="1" applyFill="1" applyBorder="1" applyAlignment="1">
      <alignment horizontal="center" vertical="center"/>
    </xf>
    <xf numFmtId="9" fontId="6" fillId="12" borderId="108" xfId="1" applyFont="1" applyFill="1" applyBorder="1" applyAlignment="1">
      <alignment horizontal="center" vertical="center"/>
    </xf>
    <xf numFmtId="9" fontId="6" fillId="12" borderId="110" xfId="1" applyFont="1" applyFill="1" applyBorder="1" applyAlignment="1">
      <alignment horizontal="center" vertical="center"/>
    </xf>
    <xf numFmtId="9" fontId="6" fillId="12" borderId="112" xfId="1" applyFont="1" applyFill="1" applyBorder="1" applyAlignment="1">
      <alignment horizontal="center" vertical="center"/>
    </xf>
    <xf numFmtId="9" fontId="6" fillId="12" borderId="115" xfId="1" applyFont="1" applyFill="1" applyBorder="1" applyAlignment="1">
      <alignment horizontal="center" vertical="center"/>
    </xf>
    <xf numFmtId="9" fontId="16" fillId="12" borderId="120" xfId="1" applyFont="1" applyFill="1" applyBorder="1" applyAlignment="1">
      <alignment horizontal="center" vertical="center"/>
    </xf>
    <xf numFmtId="9" fontId="6" fillId="12" borderId="36" xfId="1" applyFont="1" applyFill="1" applyBorder="1" applyAlignment="1">
      <alignment horizontal="center" vertical="center"/>
    </xf>
    <xf numFmtId="9" fontId="6" fillId="12" borderId="18" xfId="1" applyFont="1" applyFill="1" applyBorder="1" applyAlignment="1">
      <alignment horizontal="center" vertical="center"/>
    </xf>
    <xf numFmtId="9" fontId="6" fillId="12" borderId="19" xfId="1" applyFont="1" applyFill="1" applyBorder="1" applyAlignment="1">
      <alignment horizontal="center" vertical="center"/>
    </xf>
    <xf numFmtId="9" fontId="6" fillId="12" borderId="20" xfId="1" applyFont="1" applyFill="1" applyBorder="1" applyAlignment="1">
      <alignment horizontal="center" vertical="center"/>
    </xf>
    <xf numFmtId="9" fontId="6" fillId="12" borderId="21" xfId="1" applyFont="1" applyFill="1" applyBorder="1" applyAlignment="1">
      <alignment horizontal="center" vertical="center"/>
    </xf>
    <xf numFmtId="9" fontId="6" fillId="12" borderId="117" xfId="1" applyFont="1" applyFill="1" applyBorder="1" applyAlignment="1">
      <alignment horizontal="center" vertical="center"/>
    </xf>
    <xf numFmtId="9" fontId="16" fillId="12" borderId="39" xfId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0" fillId="3" borderId="81" xfId="0" applyFill="1" applyBorder="1" applyAlignment="1">
      <alignment vertical="center"/>
    </xf>
    <xf numFmtId="0" fontId="0" fillId="3" borderId="80" xfId="0" applyFill="1" applyBorder="1" applyAlignment="1">
      <alignment horizontal="center" vertical="center"/>
    </xf>
    <xf numFmtId="0" fontId="4" fillId="8" borderId="62" xfId="0" applyFont="1" applyFill="1" applyBorder="1" applyAlignment="1">
      <alignment horizontal="center" vertical="center"/>
    </xf>
    <xf numFmtId="0" fontId="0" fillId="8" borderId="132" xfId="0" applyFill="1" applyBorder="1" applyAlignment="1">
      <alignment vertical="center"/>
    </xf>
    <xf numFmtId="0" fontId="0" fillId="8" borderId="125" xfId="0" applyFill="1" applyBorder="1" applyAlignment="1">
      <alignment horizontal="center" vertical="center"/>
    </xf>
    <xf numFmtId="0" fontId="0" fillId="3" borderId="132" xfId="0" applyFill="1" applyBorder="1" applyAlignment="1">
      <alignment vertical="center"/>
    </xf>
    <xf numFmtId="0" fontId="0" fillId="3" borderId="125" xfId="0" applyFill="1" applyBorder="1" applyAlignment="1">
      <alignment horizontal="center" vertical="center"/>
    </xf>
    <xf numFmtId="0" fontId="0" fillId="3" borderId="114" xfId="0" applyFill="1" applyBorder="1" applyAlignment="1">
      <alignment horizontal="center" vertical="center"/>
    </xf>
    <xf numFmtId="0" fontId="0" fillId="3" borderId="117" xfId="0" applyFill="1" applyBorder="1" applyAlignment="1">
      <alignment horizontal="center" vertical="center"/>
    </xf>
    <xf numFmtId="3" fontId="2" fillId="3" borderId="99" xfId="1" applyNumberFormat="1" applyFont="1" applyFill="1" applyBorder="1" applyAlignment="1">
      <alignment horizontal="center" vertical="center"/>
    </xf>
    <xf numFmtId="3" fontId="2" fillId="3" borderId="117" xfId="1" applyNumberFormat="1" applyFont="1" applyFill="1" applyBorder="1" applyAlignment="1">
      <alignment horizontal="center" vertical="center"/>
    </xf>
    <xf numFmtId="0" fontId="0" fillId="3" borderId="118" xfId="0" applyFill="1" applyBorder="1" applyAlignment="1">
      <alignment horizontal="center" vertical="center"/>
    </xf>
    <xf numFmtId="0" fontId="0" fillId="3" borderId="119" xfId="0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 wrapText="1"/>
    </xf>
    <xf numFmtId="0" fontId="0" fillId="8" borderId="54" xfId="0" applyFont="1" applyFill="1" applyBorder="1" applyAlignment="1">
      <alignment vertical="center"/>
    </xf>
    <xf numFmtId="0" fontId="0" fillId="8" borderId="7" xfId="0" applyFont="1" applyFill="1" applyBorder="1" applyAlignment="1">
      <alignment horizontal="center" vertical="center"/>
    </xf>
    <xf numFmtId="0" fontId="6" fillId="8" borderId="54" xfId="0" applyFont="1" applyFill="1" applyBorder="1" applyAlignment="1">
      <alignment vertical="center"/>
    </xf>
    <xf numFmtId="0" fontId="0" fillId="3" borderId="54" xfId="0" applyFont="1" applyFill="1" applyBorder="1" applyAlignment="1">
      <alignment vertical="center"/>
    </xf>
    <xf numFmtId="0" fontId="0" fillId="3" borderId="7" xfId="0" applyFont="1" applyFill="1" applyBorder="1" applyAlignment="1">
      <alignment horizontal="center" vertical="center"/>
    </xf>
    <xf numFmtId="0" fontId="6" fillId="3" borderId="54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vertical="center"/>
    </xf>
    <xf numFmtId="3" fontId="6" fillId="3" borderId="21" xfId="1" applyNumberFormat="1" applyFont="1" applyFill="1" applyBorder="1" applyAlignment="1">
      <alignment horizontal="center" vertical="center"/>
    </xf>
    <xf numFmtId="3" fontId="6" fillId="3" borderId="117" xfId="1" applyNumberFormat="1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/>
    </xf>
    <xf numFmtId="0" fontId="0" fillId="0" borderId="64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9" fontId="6" fillId="6" borderId="18" xfId="1" applyFont="1" applyFill="1" applyBorder="1" applyAlignment="1">
      <alignment horizontal="center" vertical="center"/>
    </xf>
    <xf numFmtId="9" fontId="6" fillId="6" borderId="10" xfId="1" applyFont="1" applyFill="1" applyBorder="1" applyAlignment="1">
      <alignment horizontal="center" vertical="center"/>
    </xf>
    <xf numFmtId="9" fontId="6" fillId="6" borderId="19" xfId="1" applyFont="1" applyFill="1" applyBorder="1" applyAlignment="1">
      <alignment horizontal="center" vertical="center"/>
    </xf>
    <xf numFmtId="9" fontId="6" fillId="6" borderId="20" xfId="1" applyFont="1" applyFill="1" applyBorder="1" applyAlignment="1">
      <alignment horizontal="center" vertical="center"/>
    </xf>
    <xf numFmtId="9" fontId="6" fillId="6" borderId="12" xfId="1" applyFont="1" applyFill="1" applyBorder="1" applyAlignment="1">
      <alignment horizontal="center" vertical="center"/>
    </xf>
    <xf numFmtId="9" fontId="6" fillId="6" borderId="14" xfId="1" applyFont="1" applyFill="1" applyBorder="1" applyAlignment="1">
      <alignment horizontal="center" vertical="center"/>
    </xf>
    <xf numFmtId="9" fontId="6" fillId="6" borderId="21" xfId="1" applyFont="1" applyFill="1" applyBorder="1" applyAlignment="1">
      <alignment horizontal="center" vertical="center"/>
    </xf>
    <xf numFmtId="9" fontId="6" fillId="6" borderId="16" xfId="1" applyFont="1" applyFill="1" applyBorder="1" applyAlignment="1">
      <alignment horizontal="center" vertical="center"/>
    </xf>
    <xf numFmtId="3" fontId="16" fillId="4" borderId="39" xfId="1" applyNumberFormat="1" applyFont="1" applyFill="1" applyBorder="1" applyAlignment="1">
      <alignment horizontal="center" vertical="center"/>
    </xf>
    <xf numFmtId="3" fontId="0" fillId="3" borderId="19" xfId="1" applyNumberFormat="1" applyFont="1" applyFill="1" applyBorder="1" applyAlignment="1">
      <alignment horizontal="center" vertical="center"/>
    </xf>
    <xf numFmtId="9" fontId="13" fillId="12" borderId="39" xfId="1" applyFont="1" applyFill="1" applyBorder="1" applyAlignment="1">
      <alignment horizontal="center" vertical="center"/>
    </xf>
    <xf numFmtId="9" fontId="13" fillId="12" borderId="56" xfId="1" applyFont="1" applyFill="1" applyBorder="1" applyAlignment="1">
      <alignment horizontal="center" vertical="center"/>
    </xf>
    <xf numFmtId="3" fontId="13" fillId="4" borderId="37" xfId="1" applyNumberFormat="1" applyFont="1" applyFill="1" applyBorder="1" applyAlignment="1">
      <alignment horizontal="center" vertical="center"/>
    </xf>
    <xf numFmtId="9" fontId="13" fillId="4" borderId="39" xfId="1" applyFont="1" applyFill="1" applyBorder="1" applyAlignment="1">
      <alignment horizontal="center" vertical="center"/>
    </xf>
    <xf numFmtId="3" fontId="6" fillId="6" borderId="36" xfId="1" applyNumberFormat="1" applyFont="1" applyFill="1" applyBorder="1" applyAlignment="1">
      <alignment horizontal="center" vertical="center"/>
    </xf>
    <xf numFmtId="9" fontId="6" fillId="3" borderId="40" xfId="1" applyFont="1" applyFill="1" applyBorder="1" applyAlignment="1">
      <alignment horizontal="center" vertical="center"/>
    </xf>
    <xf numFmtId="3" fontId="0" fillId="11" borderId="133" xfId="2" applyNumberFormat="1" applyFont="1" applyFill="1" applyBorder="1" applyAlignment="1" applyProtection="1">
      <alignment horizontal="center" vertical="center"/>
    </xf>
    <xf numFmtId="3" fontId="0" fillId="11" borderId="134" xfId="2" applyNumberFormat="1" applyFont="1" applyFill="1" applyBorder="1" applyAlignment="1" applyProtection="1">
      <alignment horizontal="center" vertical="center"/>
    </xf>
    <xf numFmtId="3" fontId="6" fillId="6" borderId="20" xfId="1" applyNumberFormat="1" applyFont="1" applyFill="1" applyBorder="1" applyAlignment="1">
      <alignment horizontal="center" vertical="center"/>
    </xf>
    <xf numFmtId="3" fontId="6" fillId="6" borderId="18" xfId="1" applyNumberFormat="1" applyFont="1" applyFill="1" applyBorder="1" applyAlignment="1">
      <alignment horizontal="center" vertical="center"/>
    </xf>
    <xf numFmtId="3" fontId="6" fillId="6" borderId="19" xfId="1" applyNumberFormat="1" applyFont="1" applyFill="1" applyBorder="1" applyAlignment="1">
      <alignment horizontal="center" vertical="center"/>
    </xf>
    <xf numFmtId="3" fontId="16" fillId="3" borderId="39" xfId="1" applyNumberFormat="1" applyFont="1" applyFill="1" applyBorder="1" applyAlignment="1">
      <alignment horizontal="center" vertical="center"/>
    </xf>
    <xf numFmtId="9" fontId="16" fillId="3" borderId="37" xfId="1" applyFont="1" applyFill="1" applyBorder="1" applyAlignment="1">
      <alignment horizontal="center" vertical="center"/>
    </xf>
    <xf numFmtId="9" fontId="7" fillId="4" borderId="37" xfId="1" applyFont="1" applyFill="1" applyBorder="1" applyAlignment="1">
      <alignment horizontal="center" vertical="center"/>
    </xf>
    <xf numFmtId="9" fontId="13" fillId="3" borderId="37" xfId="1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 textRotation="90"/>
    </xf>
    <xf numFmtId="0" fontId="8" fillId="9" borderId="0" xfId="0" applyFont="1" applyFill="1" applyAlignment="1">
      <alignment horizontal="center" vertical="center"/>
    </xf>
    <xf numFmtId="0" fontId="4" fillId="3" borderId="10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5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66" xfId="0" applyFont="1" applyFill="1" applyBorder="1" applyAlignment="1">
      <alignment vertical="center"/>
    </xf>
    <xf numFmtId="0" fontId="4" fillId="3" borderId="64" xfId="0" applyFont="1" applyFill="1" applyBorder="1" applyAlignment="1">
      <alignment vertical="center"/>
    </xf>
    <xf numFmtId="0" fontId="0" fillId="0" borderId="68" xfId="0" applyBorder="1" applyAlignment="1">
      <alignment vertical="center"/>
    </xf>
    <xf numFmtId="0" fontId="4" fillId="3" borderId="78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65" xfId="0" applyFont="1" applyFill="1" applyBorder="1" applyAlignment="1">
      <alignment horizontal="center" vertical="center" wrapText="1"/>
    </xf>
    <xf numFmtId="0" fontId="4" fillId="3" borderId="67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6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9" fontId="3" fillId="2" borderId="37" xfId="1" applyFont="1" applyFill="1" applyBorder="1" applyAlignment="1">
      <alignment horizontal="center" vertical="center" wrapText="1"/>
    </xf>
    <xf numFmtId="9" fontId="3" fillId="2" borderId="38" xfId="1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vertical="center" wrapText="1"/>
    </xf>
    <xf numFmtId="0" fontId="3" fillId="2" borderId="56" xfId="0" applyFont="1" applyFill="1" applyBorder="1" applyAlignment="1">
      <alignment horizontal="center" vertical="center" wrapText="1"/>
    </xf>
    <xf numFmtId="0" fontId="4" fillId="5" borderId="61" xfId="0" applyFont="1" applyFill="1" applyBorder="1" applyAlignment="1">
      <alignment horizontal="center" vertical="center" wrapText="1"/>
    </xf>
    <xf numFmtId="0" fontId="4" fillId="5" borderId="58" xfId="0" applyFont="1" applyFill="1" applyBorder="1" applyAlignment="1">
      <alignment horizontal="center" vertical="center"/>
    </xf>
    <xf numFmtId="0" fontId="4" fillId="5" borderId="59" xfId="0" applyFont="1" applyFill="1" applyBorder="1" applyAlignment="1">
      <alignment horizontal="center" vertical="center"/>
    </xf>
    <xf numFmtId="0" fontId="4" fillId="5" borderId="60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vertical="center" wrapText="1"/>
    </xf>
    <xf numFmtId="0" fontId="4" fillId="5" borderId="64" xfId="0" applyFont="1" applyFill="1" applyBorder="1" applyAlignment="1">
      <alignment vertical="center" wrapText="1"/>
    </xf>
    <xf numFmtId="0" fontId="4" fillId="5" borderId="68" xfId="0" applyFont="1" applyFill="1" applyBorder="1" applyAlignment="1">
      <alignment vertical="center" wrapText="1"/>
    </xf>
    <xf numFmtId="0" fontId="0" fillId="0" borderId="67" xfId="0" applyBorder="1" applyAlignment="1">
      <alignment vertical="center" wrapText="1"/>
    </xf>
    <xf numFmtId="0" fontId="4" fillId="5" borderId="10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3" fillId="2" borderId="80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9" fontId="5" fillId="2" borderId="38" xfId="1" applyFont="1" applyFill="1" applyBorder="1" applyAlignment="1">
      <alignment horizontal="center" vertical="center" wrapText="1"/>
    </xf>
    <xf numFmtId="9" fontId="5" fillId="2" borderId="39" xfId="1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vertical="center" wrapText="1"/>
    </xf>
    <xf numFmtId="9" fontId="0" fillId="4" borderId="1" xfId="1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0" fontId="4" fillId="6" borderId="65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6" borderId="57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 wrapText="1"/>
    </xf>
    <xf numFmtId="9" fontId="3" fillId="2" borderId="39" xfId="1" applyFont="1" applyFill="1" applyBorder="1" applyAlignment="1">
      <alignment horizontal="center" vertical="center" wrapText="1"/>
    </xf>
    <xf numFmtId="0" fontId="4" fillId="6" borderId="58" xfId="0" applyFont="1" applyFill="1" applyBorder="1" applyAlignment="1">
      <alignment horizontal="center" vertical="center"/>
    </xf>
    <xf numFmtId="0" fontId="4" fillId="6" borderId="59" xfId="0" applyFont="1" applyFill="1" applyBorder="1" applyAlignment="1">
      <alignment horizontal="center" vertical="center"/>
    </xf>
    <xf numFmtId="0" fontId="4" fillId="6" borderId="60" xfId="0" applyFont="1" applyFill="1" applyBorder="1" applyAlignment="1">
      <alignment horizontal="center" vertical="center"/>
    </xf>
    <xf numFmtId="0" fontId="4" fillId="6" borderId="10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4" fillId="6" borderId="65" xfId="0" applyFont="1" applyFill="1" applyBorder="1" applyAlignment="1">
      <alignment horizontal="center" vertical="center" wrapText="1"/>
    </xf>
    <xf numFmtId="0" fontId="4" fillId="3" borderId="66" xfId="0" applyFont="1" applyFill="1" applyBorder="1" applyAlignment="1">
      <alignment vertical="center" wrapText="1"/>
    </xf>
    <xf numFmtId="0" fontId="4" fillId="3" borderId="64" xfId="0" applyFont="1" applyFill="1" applyBorder="1" applyAlignment="1">
      <alignment vertical="center" wrapText="1"/>
    </xf>
    <xf numFmtId="0" fontId="4" fillId="3" borderId="68" xfId="0" applyFont="1" applyFill="1" applyBorder="1" applyAlignment="1">
      <alignment vertical="center" wrapText="1"/>
    </xf>
    <xf numFmtId="0" fontId="4" fillId="8" borderId="61" xfId="0" applyFont="1" applyFill="1" applyBorder="1" applyAlignment="1">
      <alignment horizontal="center" vertical="center"/>
    </xf>
    <xf numFmtId="0" fontId="4" fillId="8" borderId="100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 wrapText="1"/>
    </xf>
    <xf numFmtId="0" fontId="4" fillId="8" borderId="65" xfId="0" applyFont="1" applyFill="1" applyBorder="1" applyAlignment="1">
      <alignment horizontal="center" vertical="center" wrapText="1"/>
    </xf>
    <xf numFmtId="0" fontId="4" fillId="8" borderId="10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4" fillId="8" borderId="65" xfId="0" applyFont="1" applyFill="1" applyBorder="1" applyAlignment="1">
      <alignment horizontal="center" vertical="center"/>
    </xf>
    <xf numFmtId="0" fontId="4" fillId="8" borderId="57" xfId="0" applyFont="1" applyFill="1" applyBorder="1" applyAlignment="1">
      <alignment horizontal="center" vertical="center"/>
    </xf>
    <xf numFmtId="0" fontId="3" fillId="2" borderId="95" xfId="0" applyFont="1" applyFill="1" applyBorder="1" applyAlignment="1">
      <alignment horizontal="center" vertical="center" wrapText="1"/>
    </xf>
    <xf numFmtId="0" fontId="4" fillId="8" borderId="61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1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9" fontId="3" fillId="2" borderId="95" xfId="1" applyFont="1" applyFill="1" applyBorder="1" applyAlignment="1">
      <alignment horizontal="center" vertical="center" wrapText="1"/>
    </xf>
    <xf numFmtId="9" fontId="3" fillId="2" borderId="96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61" xfId="0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86" xfId="0" applyFont="1" applyFill="1" applyBorder="1" applyAlignment="1">
      <alignment horizontal="center" vertical="center" wrapText="1"/>
    </xf>
    <xf numFmtId="0" fontId="3" fillId="2" borderId="87" xfId="0" applyFont="1" applyFill="1" applyBorder="1" applyAlignment="1">
      <alignment horizontal="center" vertical="center" wrapText="1"/>
    </xf>
    <xf numFmtId="0" fontId="3" fillId="2" borderId="88" xfId="0" applyFont="1" applyFill="1" applyBorder="1" applyAlignment="1">
      <alignment horizontal="center" vertical="center" wrapText="1"/>
    </xf>
    <xf numFmtId="0" fontId="6" fillId="3" borderId="102" xfId="0" applyFont="1" applyFill="1" applyBorder="1" applyAlignment="1">
      <alignment vertical="center"/>
    </xf>
    <xf numFmtId="0" fontId="0" fillId="3" borderId="103" xfId="0" applyFont="1" applyFill="1" applyBorder="1" applyAlignment="1">
      <alignment horizontal="center" vertical="center"/>
    </xf>
    <xf numFmtId="0" fontId="0" fillId="3" borderId="135" xfId="0" applyFill="1" applyBorder="1" applyAlignment="1">
      <alignment horizontal="center" vertical="center"/>
    </xf>
    <xf numFmtId="0" fontId="0" fillId="3" borderId="136" xfId="0" applyFill="1" applyBorder="1" applyAlignment="1">
      <alignment horizontal="center" vertical="center"/>
    </xf>
    <xf numFmtId="9" fontId="0" fillId="3" borderId="137" xfId="1" applyFont="1" applyFill="1" applyBorder="1" applyAlignment="1">
      <alignment horizontal="center" vertical="center"/>
    </xf>
    <xf numFmtId="3" fontId="6" fillId="3" borderId="136" xfId="1" applyNumberFormat="1" applyFont="1" applyFill="1" applyBorder="1" applyAlignment="1">
      <alignment horizontal="center" vertical="center"/>
    </xf>
    <xf numFmtId="9" fontId="6" fillId="3" borderId="137" xfId="1" applyFont="1" applyFill="1" applyBorder="1" applyAlignment="1">
      <alignment horizontal="center" vertical="center"/>
    </xf>
    <xf numFmtId="0" fontId="6" fillId="3" borderId="137" xfId="0" applyFont="1" applyFill="1" applyBorder="1" applyAlignment="1">
      <alignment horizontal="center" vertical="center"/>
    </xf>
    <xf numFmtId="0" fontId="6" fillId="3" borderId="136" xfId="0" applyFont="1" applyFill="1" applyBorder="1" applyAlignment="1">
      <alignment horizontal="center" vertical="center"/>
    </xf>
    <xf numFmtId="0" fontId="6" fillId="3" borderId="138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6" fillId="6" borderId="139" xfId="0" applyFont="1" applyFill="1" applyBorder="1" applyAlignment="1">
      <alignment horizontal="center" vertical="center" wrapText="1"/>
    </xf>
    <xf numFmtId="0" fontId="6" fillId="6" borderId="140" xfId="0" applyFont="1" applyFill="1" applyBorder="1" applyAlignment="1">
      <alignment horizontal="center" vertical="center" wrapText="1"/>
    </xf>
    <xf numFmtId="9" fontId="6" fillId="3" borderId="140" xfId="1" applyFont="1" applyFill="1" applyBorder="1" applyAlignment="1">
      <alignment horizontal="center" vertical="center" wrapText="1"/>
    </xf>
    <xf numFmtId="3" fontId="6" fillId="6" borderId="140" xfId="1" applyNumberFormat="1" applyFont="1" applyFill="1" applyBorder="1" applyAlignment="1">
      <alignment horizontal="center" vertical="center" wrapText="1"/>
    </xf>
    <xf numFmtId="3" fontId="6" fillId="8" borderId="140" xfId="1" applyNumberFormat="1" applyFont="1" applyFill="1" applyBorder="1" applyAlignment="1">
      <alignment horizontal="center" vertical="center" wrapText="1"/>
    </xf>
    <xf numFmtId="0" fontId="6" fillId="8" borderId="140" xfId="0" applyFont="1" applyFill="1" applyBorder="1" applyAlignment="1">
      <alignment horizontal="center" vertical="center" wrapText="1"/>
    </xf>
    <xf numFmtId="0" fontId="6" fillId="6" borderId="50" xfId="0" applyFont="1" applyFill="1" applyBorder="1" applyAlignment="1">
      <alignment horizontal="center" vertical="center" wrapText="1"/>
    </xf>
    <xf numFmtId="0" fontId="6" fillId="6" borderId="141" xfId="0" applyFont="1" applyFill="1" applyBorder="1" applyAlignment="1">
      <alignment horizontal="center" vertical="center" wrapText="1"/>
    </xf>
    <xf numFmtId="0" fontId="6" fillId="6" borderId="142" xfId="0" applyFont="1" applyFill="1" applyBorder="1" applyAlignment="1">
      <alignment horizontal="center" vertical="center" wrapText="1"/>
    </xf>
    <xf numFmtId="9" fontId="6" fillId="3" borderId="142" xfId="1" applyFont="1" applyFill="1" applyBorder="1" applyAlignment="1">
      <alignment horizontal="center" vertical="center" wrapText="1"/>
    </xf>
    <xf numFmtId="3" fontId="6" fillId="6" borderId="142" xfId="1" applyNumberFormat="1" applyFont="1" applyFill="1" applyBorder="1" applyAlignment="1">
      <alignment horizontal="center" vertical="center" wrapText="1"/>
    </xf>
    <xf numFmtId="3" fontId="6" fillId="8" borderId="142" xfId="1" applyNumberFormat="1" applyFont="1" applyFill="1" applyBorder="1" applyAlignment="1">
      <alignment horizontal="center" vertical="center" wrapText="1"/>
    </xf>
    <xf numFmtId="0" fontId="6" fillId="8" borderId="142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20" fillId="6" borderId="141" xfId="0" applyFont="1" applyFill="1" applyBorder="1" applyAlignment="1">
      <alignment horizontal="center" vertical="center" wrapText="1"/>
    </xf>
    <xf numFmtId="0" fontId="20" fillId="6" borderId="142" xfId="0" applyFont="1" applyFill="1" applyBorder="1" applyAlignment="1">
      <alignment horizontal="center" vertical="center" wrapText="1"/>
    </xf>
    <xf numFmtId="9" fontId="20" fillId="3" borderId="142" xfId="1" applyFont="1" applyFill="1" applyBorder="1" applyAlignment="1">
      <alignment horizontal="center" vertical="center" wrapText="1"/>
    </xf>
    <xf numFmtId="3" fontId="20" fillId="6" borderId="142" xfId="1" applyNumberFormat="1" applyFont="1" applyFill="1" applyBorder="1" applyAlignment="1">
      <alignment horizontal="center" vertical="center" wrapText="1"/>
    </xf>
    <xf numFmtId="3" fontId="20" fillId="8" borderId="142" xfId="1" applyNumberFormat="1" applyFont="1" applyFill="1" applyBorder="1" applyAlignment="1">
      <alignment horizontal="center" vertical="center" wrapText="1"/>
    </xf>
    <xf numFmtId="0" fontId="20" fillId="8" borderId="142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6" fillId="6" borderId="143" xfId="0" applyFont="1" applyFill="1" applyBorder="1" applyAlignment="1">
      <alignment horizontal="center" vertical="center" wrapText="1"/>
    </xf>
    <xf numFmtId="0" fontId="6" fillId="6" borderId="144" xfId="0" applyFont="1" applyFill="1" applyBorder="1" applyAlignment="1">
      <alignment horizontal="center" vertical="center" wrapText="1"/>
    </xf>
    <xf numFmtId="9" fontId="6" fillId="3" borderId="144" xfId="1" applyFont="1" applyFill="1" applyBorder="1" applyAlignment="1">
      <alignment horizontal="center" vertical="center" wrapText="1"/>
    </xf>
    <xf numFmtId="3" fontId="6" fillId="6" borderId="144" xfId="1" applyNumberFormat="1" applyFont="1" applyFill="1" applyBorder="1" applyAlignment="1">
      <alignment horizontal="center" vertical="center" wrapText="1"/>
    </xf>
    <xf numFmtId="3" fontId="6" fillId="8" borderId="144" xfId="1" applyNumberFormat="1" applyFont="1" applyFill="1" applyBorder="1" applyAlignment="1">
      <alignment horizontal="center" vertical="center" wrapText="1"/>
    </xf>
    <xf numFmtId="0" fontId="6" fillId="8" borderId="144" xfId="0" applyFont="1" applyFill="1" applyBorder="1" applyAlignment="1">
      <alignment horizontal="center" vertical="center" wrapText="1"/>
    </xf>
    <xf numFmtId="0" fontId="6" fillId="6" borderId="125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4" fillId="3" borderId="77" xfId="0" applyFont="1" applyFill="1" applyBorder="1" applyAlignment="1">
      <alignment horizontal="center" vertical="center"/>
    </xf>
    <xf numFmtId="0" fontId="0" fillId="6" borderId="145" xfId="0" applyFill="1" applyBorder="1" applyAlignment="1">
      <alignment vertical="center"/>
    </xf>
    <xf numFmtId="0" fontId="0" fillId="6" borderId="146" xfId="0" applyFill="1" applyBorder="1" applyAlignment="1">
      <alignment horizontal="center" vertical="center"/>
    </xf>
    <xf numFmtId="0" fontId="6" fillId="6" borderId="147" xfId="0" applyFont="1" applyFill="1" applyBorder="1" applyAlignment="1">
      <alignment horizontal="center" vertical="center"/>
    </xf>
    <xf numFmtId="0" fontId="6" fillId="6" borderId="148" xfId="0" applyFont="1" applyFill="1" applyBorder="1" applyAlignment="1">
      <alignment horizontal="center" vertical="center"/>
    </xf>
    <xf numFmtId="9" fontId="6" fillId="3" borderId="149" xfId="1" applyFont="1" applyFill="1" applyBorder="1" applyAlignment="1">
      <alignment horizontal="center" vertical="center"/>
    </xf>
    <xf numFmtId="3" fontId="6" fillId="6" borderId="148" xfId="1" applyNumberFormat="1" applyFont="1" applyFill="1" applyBorder="1" applyAlignment="1">
      <alignment horizontal="center" vertical="center"/>
    </xf>
    <xf numFmtId="3" fontId="6" fillId="8" borderId="148" xfId="1" applyNumberFormat="1" applyFont="1" applyFill="1" applyBorder="1" applyAlignment="1">
      <alignment horizontal="center" vertical="center"/>
    </xf>
    <xf numFmtId="0" fontId="6" fillId="8" borderId="149" xfId="0" applyFont="1" applyFill="1" applyBorder="1" applyAlignment="1">
      <alignment horizontal="center" vertical="center"/>
    </xf>
    <xf numFmtId="0" fontId="6" fillId="8" borderId="148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6" fillId="3" borderId="148" xfId="0" applyFont="1" applyFill="1" applyBorder="1" applyAlignment="1">
      <alignment horizontal="center" vertical="center"/>
    </xf>
    <xf numFmtId="0" fontId="6" fillId="3" borderId="150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3" borderId="64" xfId="0" applyFill="1" applyBorder="1" applyAlignment="1">
      <alignment wrapText="1"/>
    </xf>
    <xf numFmtId="0" fontId="0" fillId="3" borderId="0" xfId="0" applyFill="1" applyBorder="1" applyAlignment="1">
      <alignment wrapText="1"/>
    </xf>
    <xf numFmtId="9" fontId="0" fillId="0" borderId="0" xfId="0" applyNumberFormat="1" applyBorder="1" applyAlignment="1">
      <alignment wrapText="1"/>
    </xf>
    <xf numFmtId="0" fontId="0" fillId="0" borderId="85" xfId="0" applyBorder="1" applyAlignment="1">
      <alignment wrapText="1"/>
    </xf>
    <xf numFmtId="0" fontId="19" fillId="3" borderId="67" xfId="0" applyFont="1" applyFill="1" applyBorder="1" applyAlignment="1">
      <alignment wrapText="1"/>
    </xf>
    <xf numFmtId="0" fontId="19" fillId="3" borderId="77" xfId="0" applyFont="1" applyFill="1" applyBorder="1" applyAlignment="1">
      <alignment wrapText="1"/>
    </xf>
    <xf numFmtId="9" fontId="20" fillId="3" borderId="144" xfId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0" fontId="0" fillId="6" borderId="0" xfId="0" applyFill="1" applyBorder="1" applyAlignment="1">
      <alignment wrapText="1"/>
    </xf>
    <xf numFmtId="0" fontId="19" fillId="6" borderId="0" xfId="0" applyFont="1" applyFill="1" applyBorder="1" applyAlignment="1">
      <alignment wrapText="1"/>
    </xf>
    <xf numFmtId="0" fontId="0" fillId="3" borderId="77" xfId="0" applyFill="1" applyBorder="1" applyAlignment="1">
      <alignment wrapText="1"/>
    </xf>
    <xf numFmtId="0" fontId="20" fillId="3" borderId="143" xfId="0" applyFont="1" applyFill="1" applyBorder="1" applyAlignment="1">
      <alignment horizontal="center" vertical="center" wrapText="1"/>
    </xf>
    <xf numFmtId="0" fontId="20" fillId="3" borderId="144" xfId="0" applyFont="1" applyFill="1" applyBorder="1" applyAlignment="1">
      <alignment horizontal="center" vertical="center" wrapText="1"/>
    </xf>
    <xf numFmtId="3" fontId="20" fillId="3" borderId="144" xfId="1" applyNumberFormat="1" applyFont="1" applyFill="1" applyBorder="1" applyAlignment="1">
      <alignment horizontal="center" vertical="center" wrapText="1"/>
    </xf>
    <xf numFmtId="0" fontId="20" fillId="3" borderId="125" xfId="0" applyFont="1" applyFill="1" applyBorder="1" applyAlignment="1">
      <alignment horizontal="center" vertical="center" wrapText="1"/>
    </xf>
    <xf numFmtId="0" fontId="4" fillId="3" borderId="78" xfId="0" applyFont="1" applyFill="1" applyBorder="1" applyAlignment="1">
      <alignment horizontal="center" vertical="center" wrapText="1"/>
    </xf>
    <xf numFmtId="0" fontId="4" fillId="3" borderId="6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0" fontId="19" fillId="6" borderId="0" xfId="0" applyFont="1" applyFill="1" applyBorder="1" applyAlignment="1">
      <alignment horizontal="center" vertical="center" wrapText="1"/>
    </xf>
  </cellXfs>
  <cellStyles count="3">
    <cellStyle name="Excel Built-in Percent" xfId="2" xr:uid="{00000000-0005-0000-0000-000000000000}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99CC"/>
      <color rgb="FFFFCCCC"/>
      <color rgb="FFCC99FF"/>
      <color rgb="FFFF33CC"/>
      <color rgb="FFA9DA74"/>
      <color rgb="FF2DFF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H35"/>
  <sheetViews>
    <sheetView zoomScaleNormal="100" workbookViewId="0">
      <selection activeCell="K29" sqref="K29"/>
    </sheetView>
  </sheetViews>
  <sheetFormatPr defaultColWidth="11.44140625" defaultRowHeight="14.4" x14ac:dyDescent="0.3"/>
  <cols>
    <col min="1" max="2" width="1.109375" style="1" customWidth="1"/>
    <col min="3" max="4" width="2.109375" style="1" customWidth="1"/>
    <col min="5" max="5" width="6.5546875" style="2" customWidth="1"/>
    <col min="6" max="6" width="91.6640625" style="1" customWidth="1"/>
    <col min="7" max="8" width="1.109375" style="1" customWidth="1"/>
    <col min="9" max="16384" width="11.44140625" style="1"/>
  </cols>
  <sheetData>
    <row r="1" spans="1:8" ht="7.5" customHeight="1" thickBot="1" x14ac:dyDescent="0.35">
      <c r="A1" s="227"/>
      <c r="B1" s="233"/>
      <c r="C1" s="233"/>
      <c r="D1" s="233"/>
      <c r="E1" s="234"/>
      <c r="F1" s="233"/>
      <c r="G1" s="233"/>
      <c r="H1" s="227"/>
    </row>
    <row r="2" spans="1:8" ht="7.5" customHeight="1" thickTop="1" x14ac:dyDescent="0.3">
      <c r="A2" s="239"/>
      <c r="B2" s="245"/>
      <c r="C2" s="235"/>
      <c r="D2" s="235"/>
      <c r="E2" s="236"/>
      <c r="F2" s="235"/>
      <c r="G2" s="237"/>
      <c r="H2" s="238"/>
    </row>
    <row r="3" spans="1:8" ht="24.75" customHeight="1" x14ac:dyDescent="0.3">
      <c r="A3" s="239"/>
      <c r="B3" s="238"/>
      <c r="C3" s="462" t="s">
        <v>106</v>
      </c>
      <c r="D3" s="462"/>
      <c r="E3" s="462"/>
      <c r="F3" s="462"/>
      <c r="G3" s="239"/>
      <c r="H3" s="238"/>
    </row>
    <row r="4" spans="1:8" s="136" customFormat="1" ht="6.75" customHeight="1" x14ac:dyDescent="0.3">
      <c r="A4" s="239"/>
      <c r="B4" s="238"/>
      <c r="C4" s="224"/>
      <c r="D4" s="224"/>
      <c r="E4" s="224"/>
      <c r="F4" s="224"/>
      <c r="G4" s="239"/>
      <c r="H4" s="238"/>
    </row>
    <row r="5" spans="1:8" s="140" customFormat="1" ht="17.25" customHeight="1" x14ac:dyDescent="0.3">
      <c r="A5" s="240"/>
      <c r="B5" s="241"/>
      <c r="C5" s="225"/>
      <c r="D5" s="464" t="s">
        <v>90</v>
      </c>
      <c r="E5" s="464"/>
      <c r="F5" s="247" t="s">
        <v>119</v>
      </c>
      <c r="G5" s="240"/>
      <c r="H5" s="241"/>
    </row>
    <row r="6" spans="1:8" s="136" customFormat="1" ht="6.75" customHeight="1" x14ac:dyDescent="0.3">
      <c r="A6" s="239"/>
      <c r="B6" s="238"/>
      <c r="C6" s="224"/>
      <c r="D6" s="224"/>
      <c r="E6" s="224"/>
      <c r="F6" s="224"/>
      <c r="G6" s="239"/>
      <c r="H6" s="238"/>
    </row>
    <row r="7" spans="1:8" ht="18" x14ac:dyDescent="0.3">
      <c r="A7" s="239"/>
      <c r="B7" s="238"/>
      <c r="C7" s="226"/>
      <c r="D7" s="127" t="s">
        <v>137</v>
      </c>
      <c r="E7" s="128"/>
      <c r="F7" s="125"/>
      <c r="G7" s="239"/>
      <c r="H7" s="238"/>
    </row>
    <row r="8" spans="1:8" s="136" customFormat="1" ht="6.75" customHeight="1" x14ac:dyDescent="0.3">
      <c r="A8" s="239"/>
      <c r="B8" s="238"/>
      <c r="C8" s="224"/>
      <c r="D8" s="224"/>
      <c r="E8" s="224"/>
      <c r="F8" s="224"/>
      <c r="G8" s="239"/>
      <c r="H8" s="238"/>
    </row>
    <row r="9" spans="1:8" ht="18" x14ac:dyDescent="0.3">
      <c r="A9" s="239"/>
      <c r="B9" s="238"/>
      <c r="C9" s="226"/>
      <c r="D9" s="137" t="s">
        <v>120</v>
      </c>
      <c r="E9" s="138"/>
      <c r="F9" s="139"/>
      <c r="G9" s="239"/>
      <c r="H9" s="238"/>
    </row>
    <row r="10" spans="1:8" x14ac:dyDescent="0.3">
      <c r="A10" s="239"/>
      <c r="B10" s="238"/>
      <c r="C10" s="227"/>
      <c r="D10" s="463" t="s">
        <v>131</v>
      </c>
      <c r="E10" s="231" t="s">
        <v>91</v>
      </c>
      <c r="F10" s="227" t="s">
        <v>94</v>
      </c>
      <c r="G10" s="239"/>
      <c r="H10" s="238"/>
    </row>
    <row r="11" spans="1:8" x14ac:dyDescent="0.3">
      <c r="A11" s="239"/>
      <c r="B11" s="238"/>
      <c r="C11" s="227"/>
      <c r="D11" s="463"/>
      <c r="E11" s="231" t="s">
        <v>95</v>
      </c>
      <c r="F11" s="227" t="s">
        <v>96</v>
      </c>
      <c r="G11" s="239"/>
      <c r="H11" s="238"/>
    </row>
    <row r="12" spans="1:8" x14ac:dyDescent="0.3">
      <c r="A12" s="239"/>
      <c r="B12" s="238"/>
      <c r="C12" s="227"/>
      <c r="D12" s="463"/>
      <c r="E12" s="231" t="s">
        <v>97</v>
      </c>
      <c r="F12" s="227" t="s">
        <v>98</v>
      </c>
      <c r="G12" s="239"/>
      <c r="H12" s="238"/>
    </row>
    <row r="13" spans="1:8" x14ac:dyDescent="0.3">
      <c r="A13" s="239"/>
      <c r="B13" s="238"/>
      <c r="C13" s="227"/>
      <c r="D13" s="463"/>
      <c r="E13" s="231" t="s">
        <v>92</v>
      </c>
      <c r="F13" s="227" t="s">
        <v>89</v>
      </c>
      <c r="G13" s="239"/>
      <c r="H13" s="238"/>
    </row>
    <row r="14" spans="1:8" x14ac:dyDescent="0.3">
      <c r="A14" s="239"/>
      <c r="B14" s="238"/>
      <c r="C14" s="227"/>
      <c r="D14" s="463"/>
      <c r="E14" s="231" t="s">
        <v>93</v>
      </c>
      <c r="F14" s="227" t="s">
        <v>108</v>
      </c>
      <c r="G14" s="239"/>
      <c r="H14" s="238"/>
    </row>
    <row r="15" spans="1:8" s="223" customFormat="1" x14ac:dyDescent="0.3">
      <c r="A15" s="242"/>
      <c r="B15" s="243"/>
      <c r="C15" s="228"/>
      <c r="D15" s="463"/>
      <c r="E15" s="229" t="s">
        <v>99</v>
      </c>
      <c r="F15" s="230" t="s">
        <v>128</v>
      </c>
      <c r="G15" s="242"/>
      <c r="H15" s="243"/>
    </row>
    <row r="16" spans="1:8" x14ac:dyDescent="0.3">
      <c r="A16" s="239"/>
      <c r="B16" s="238"/>
      <c r="C16" s="227"/>
      <c r="D16" s="463"/>
      <c r="E16" s="231" t="s">
        <v>100</v>
      </c>
      <c r="F16" s="227" t="s">
        <v>105</v>
      </c>
      <c r="G16" s="239"/>
      <c r="H16" s="238"/>
    </row>
    <row r="17" spans="1:8" s="223" customFormat="1" x14ac:dyDescent="0.3">
      <c r="A17" s="242"/>
      <c r="B17" s="243"/>
      <c r="C17" s="228"/>
      <c r="D17" s="463"/>
      <c r="E17" s="229" t="s">
        <v>101</v>
      </c>
      <c r="F17" s="230" t="s">
        <v>127</v>
      </c>
      <c r="G17" s="242"/>
      <c r="H17" s="243"/>
    </row>
    <row r="18" spans="1:8" x14ac:dyDescent="0.3">
      <c r="A18" s="239"/>
      <c r="B18" s="238"/>
      <c r="C18" s="227"/>
      <c r="D18" s="463"/>
      <c r="E18" s="231" t="s">
        <v>102</v>
      </c>
      <c r="F18" s="227" t="s">
        <v>107</v>
      </c>
      <c r="G18" s="239"/>
      <c r="H18" s="238"/>
    </row>
    <row r="19" spans="1:8" ht="6.75" customHeight="1" x14ac:dyDescent="0.3">
      <c r="A19" s="239"/>
      <c r="B19" s="238"/>
      <c r="C19" s="227"/>
      <c r="D19" s="227"/>
      <c r="E19" s="231"/>
      <c r="F19" s="227"/>
      <c r="G19" s="239"/>
      <c r="H19" s="238"/>
    </row>
    <row r="20" spans="1:8" ht="15.75" customHeight="1" x14ac:dyDescent="0.3">
      <c r="A20" s="239"/>
      <c r="B20" s="238"/>
      <c r="C20" s="227"/>
      <c r="D20" s="137" t="s">
        <v>114</v>
      </c>
      <c r="E20" s="137"/>
      <c r="F20" s="137"/>
      <c r="G20" s="239"/>
      <c r="H20" s="238"/>
    </row>
    <row r="21" spans="1:8" ht="15.6" x14ac:dyDescent="0.3">
      <c r="A21" s="239"/>
      <c r="B21" s="238"/>
      <c r="C21" s="227"/>
      <c r="D21" s="141" t="s">
        <v>121</v>
      </c>
      <c r="E21" s="138"/>
      <c r="F21" s="139"/>
      <c r="G21" s="239"/>
      <c r="H21" s="238"/>
    </row>
    <row r="22" spans="1:8" x14ac:dyDescent="0.3">
      <c r="A22" s="239"/>
      <c r="B22" s="238"/>
      <c r="C22" s="227"/>
      <c r="D22" s="463" t="s">
        <v>113</v>
      </c>
      <c r="E22" s="231" t="s">
        <v>109</v>
      </c>
      <c r="F22" s="232" t="s">
        <v>115</v>
      </c>
      <c r="G22" s="239"/>
      <c r="H22" s="238"/>
    </row>
    <row r="23" spans="1:8" x14ac:dyDescent="0.3">
      <c r="A23" s="239"/>
      <c r="B23" s="238"/>
      <c r="C23" s="227"/>
      <c r="D23" s="463"/>
      <c r="E23" s="231" t="s">
        <v>110</v>
      </c>
      <c r="F23" s="227" t="s">
        <v>116</v>
      </c>
      <c r="G23" s="239"/>
      <c r="H23" s="238"/>
    </row>
    <row r="24" spans="1:8" x14ac:dyDescent="0.3">
      <c r="A24" s="239"/>
      <c r="B24" s="238"/>
      <c r="C24" s="227"/>
      <c r="D24" s="463"/>
      <c r="E24" s="231" t="s">
        <v>111</v>
      </c>
      <c r="F24" s="232" t="s">
        <v>117</v>
      </c>
      <c r="G24" s="239"/>
      <c r="H24" s="238"/>
    </row>
    <row r="25" spans="1:8" x14ac:dyDescent="0.3">
      <c r="A25" s="239"/>
      <c r="B25" s="238"/>
      <c r="C25" s="227"/>
      <c r="D25" s="463"/>
      <c r="E25" s="231" t="s">
        <v>112</v>
      </c>
      <c r="F25" s="227" t="s">
        <v>118</v>
      </c>
      <c r="G25" s="239"/>
      <c r="H25" s="238"/>
    </row>
    <row r="26" spans="1:8" s="136" customFormat="1" ht="6.75" customHeight="1" x14ac:dyDescent="0.3">
      <c r="A26" s="239"/>
      <c r="B26" s="238"/>
      <c r="C26" s="224"/>
      <c r="D26" s="224"/>
      <c r="E26" s="224"/>
      <c r="F26" s="224"/>
      <c r="G26" s="239"/>
      <c r="H26" s="238"/>
    </row>
    <row r="27" spans="1:8" ht="18" x14ac:dyDescent="0.3">
      <c r="A27" s="239"/>
      <c r="B27" s="238"/>
      <c r="C27" s="226"/>
      <c r="D27" s="220" t="s">
        <v>122</v>
      </c>
      <c r="E27" s="221"/>
      <c r="F27" s="222"/>
      <c r="G27" s="239"/>
      <c r="H27" s="238"/>
    </row>
    <row r="28" spans="1:8" s="223" customFormat="1" ht="15" customHeight="1" x14ac:dyDescent="0.3">
      <c r="A28" s="242"/>
      <c r="B28" s="243"/>
      <c r="C28" s="228"/>
      <c r="D28" s="463" t="s">
        <v>132</v>
      </c>
      <c r="E28" s="229" t="s">
        <v>103</v>
      </c>
      <c r="F28" s="230" t="s">
        <v>130</v>
      </c>
      <c r="G28" s="242"/>
      <c r="H28" s="243"/>
    </row>
    <row r="29" spans="1:8" x14ac:dyDescent="0.3">
      <c r="A29" s="239"/>
      <c r="B29" s="238"/>
      <c r="C29" s="227"/>
      <c r="D29" s="463"/>
      <c r="E29" s="231" t="s">
        <v>104</v>
      </c>
      <c r="F29" s="227" t="s">
        <v>129</v>
      </c>
      <c r="G29" s="239"/>
      <c r="H29" s="238"/>
    </row>
    <row r="30" spans="1:8" x14ac:dyDescent="0.3">
      <c r="A30" s="239"/>
      <c r="B30" s="238"/>
      <c r="C30" s="227"/>
      <c r="D30" s="463"/>
      <c r="E30" s="231" t="s">
        <v>123</v>
      </c>
      <c r="F30" s="227" t="s">
        <v>133</v>
      </c>
      <c r="G30" s="239"/>
      <c r="H30" s="238"/>
    </row>
    <row r="31" spans="1:8" x14ac:dyDescent="0.3">
      <c r="A31" s="239"/>
      <c r="B31" s="238"/>
      <c r="C31" s="227"/>
      <c r="D31" s="463"/>
      <c r="E31" s="231" t="s">
        <v>124</v>
      </c>
      <c r="F31" s="227" t="s">
        <v>136</v>
      </c>
      <c r="G31" s="239"/>
      <c r="H31" s="238"/>
    </row>
    <row r="32" spans="1:8" x14ac:dyDescent="0.3">
      <c r="A32" s="239"/>
      <c r="B32" s="238"/>
      <c r="C32" s="227"/>
      <c r="D32" s="463"/>
      <c r="E32" s="231" t="s">
        <v>125</v>
      </c>
      <c r="F32" s="227" t="s">
        <v>134</v>
      </c>
      <c r="G32" s="239"/>
      <c r="H32" s="238"/>
    </row>
    <row r="33" spans="1:8" x14ac:dyDescent="0.3">
      <c r="A33" s="239"/>
      <c r="B33" s="238"/>
      <c r="C33" s="227"/>
      <c r="D33" s="463"/>
      <c r="E33" s="231" t="s">
        <v>126</v>
      </c>
      <c r="F33" s="227" t="s">
        <v>135</v>
      </c>
      <c r="G33" s="239"/>
      <c r="H33" s="238"/>
    </row>
    <row r="34" spans="1:8" ht="7.5" customHeight="1" thickBot="1" x14ac:dyDescent="0.35">
      <c r="A34" s="239"/>
      <c r="B34" s="246"/>
      <c r="C34" s="233"/>
      <c r="D34" s="233"/>
      <c r="E34" s="234"/>
      <c r="F34" s="233"/>
      <c r="G34" s="244"/>
      <c r="H34" s="238"/>
    </row>
    <row r="35" spans="1:8" ht="7.5" customHeight="1" thickTop="1" x14ac:dyDescent="0.3">
      <c r="A35" s="227"/>
      <c r="B35" s="235"/>
      <c r="C35" s="235"/>
      <c r="D35" s="235"/>
      <c r="E35" s="236"/>
      <c r="F35" s="235"/>
      <c r="G35" s="235"/>
      <c r="H35" s="227"/>
    </row>
  </sheetData>
  <mergeCells count="5">
    <mergeCell ref="C3:F3"/>
    <mergeCell ref="D22:D25"/>
    <mergeCell ref="D5:E5"/>
    <mergeCell ref="D10:D18"/>
    <mergeCell ref="D28:D3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Y71"/>
  <sheetViews>
    <sheetView zoomScale="70" zoomScaleNormal="70" workbookViewId="0">
      <pane xSplit="6" ySplit="4" topLeftCell="G5" activePane="bottomRight" state="frozen"/>
      <selection activeCell="K55" sqref="K55"/>
      <selection pane="topRight" activeCell="K55" sqref="K55"/>
      <selection pane="bottomLeft" activeCell="K55" sqref="K55"/>
      <selection pane="bottomRight" activeCell="L51" sqref="L51"/>
    </sheetView>
  </sheetViews>
  <sheetFormatPr defaultColWidth="11.44140625" defaultRowHeight="14.4" x14ac:dyDescent="0.3"/>
  <cols>
    <col min="1" max="1" width="0.44140625" style="125" customWidth="1"/>
    <col min="2" max="2" width="38.88671875" style="1" customWidth="1"/>
    <col min="3" max="3" width="11.5546875" style="2" customWidth="1"/>
    <col min="4" max="4" width="15.33203125" style="2" customWidth="1"/>
    <col min="5" max="5" width="42.88671875" style="1" bestFit="1" customWidth="1"/>
    <col min="6" max="6" width="11.109375" style="2" hidden="1" customWidth="1"/>
    <col min="7" max="8" width="11.44140625" style="2"/>
    <col min="9" max="9" width="11.44140625" style="3" customWidth="1"/>
    <col min="10" max="10" width="11.44140625" style="4" customWidth="1"/>
    <col min="11" max="11" width="11.44140625" style="3"/>
    <col min="12" max="12" width="11.44140625" style="4" customWidth="1"/>
    <col min="13" max="13" width="11.44140625" style="3"/>
    <col min="14" max="14" width="11.44140625" style="4" customWidth="1"/>
    <col min="15" max="22" width="7.5546875" style="2" customWidth="1"/>
    <col min="23" max="16384" width="11.44140625" style="1"/>
  </cols>
  <sheetData>
    <row r="1" spans="1:23" s="125" customFormat="1" ht="2.25" customHeight="1" thickBot="1" x14ac:dyDescent="0.35">
      <c r="C1" s="128"/>
      <c r="D1" s="128"/>
      <c r="F1" s="128"/>
      <c r="G1" s="128"/>
      <c r="H1" s="128"/>
      <c r="I1" s="129"/>
      <c r="J1" s="130"/>
      <c r="K1" s="129"/>
      <c r="L1" s="130"/>
      <c r="M1" s="129"/>
      <c r="N1" s="130"/>
      <c r="O1" s="128"/>
      <c r="P1" s="128"/>
      <c r="Q1" s="128"/>
      <c r="R1" s="128"/>
      <c r="S1" s="128"/>
      <c r="T1" s="128"/>
      <c r="U1" s="128"/>
      <c r="V1" s="128"/>
    </row>
    <row r="2" spans="1:23" s="6" customFormat="1" ht="30" customHeight="1" thickBot="1" x14ac:dyDescent="0.35">
      <c r="A2" s="126"/>
      <c r="B2" s="486" t="s">
        <v>55</v>
      </c>
      <c r="C2" s="487" t="s">
        <v>76</v>
      </c>
      <c r="D2" s="487" t="s">
        <v>71</v>
      </c>
      <c r="E2" s="506" t="s">
        <v>81</v>
      </c>
      <c r="F2" s="479" t="s">
        <v>61</v>
      </c>
      <c r="G2" s="483" t="s">
        <v>56</v>
      </c>
      <c r="H2" s="482"/>
      <c r="I2" s="484" t="s">
        <v>57</v>
      </c>
      <c r="J2" s="504" t="s">
        <v>65</v>
      </c>
      <c r="K2" s="485" t="s">
        <v>58</v>
      </c>
      <c r="L2" s="504" t="s">
        <v>67</v>
      </c>
      <c r="M2" s="485" t="s">
        <v>59</v>
      </c>
      <c r="N2" s="505" t="s">
        <v>66</v>
      </c>
      <c r="O2" s="481" t="s">
        <v>41</v>
      </c>
      <c r="P2" s="482"/>
      <c r="Q2" s="481" t="s">
        <v>42</v>
      </c>
      <c r="R2" s="482"/>
      <c r="S2" s="481" t="s">
        <v>43</v>
      </c>
      <c r="T2" s="482"/>
      <c r="U2" s="479" t="s">
        <v>44</v>
      </c>
      <c r="V2" s="480"/>
      <c r="W2" s="122"/>
    </row>
    <row r="3" spans="1:23" s="6" customFormat="1" ht="30" customHeight="1" thickBot="1" x14ac:dyDescent="0.35">
      <c r="A3" s="126"/>
      <c r="B3" s="486"/>
      <c r="C3" s="487"/>
      <c r="D3" s="487"/>
      <c r="E3" s="506"/>
      <c r="F3" s="502"/>
      <c r="G3" s="256"/>
      <c r="H3" s="253"/>
      <c r="I3" s="484"/>
      <c r="J3" s="504"/>
      <c r="K3" s="485"/>
      <c r="L3" s="504"/>
      <c r="M3" s="485"/>
      <c r="N3" s="505"/>
      <c r="O3" s="252"/>
      <c r="P3" s="253"/>
      <c r="Q3" s="252"/>
      <c r="R3" s="253"/>
      <c r="S3" s="252"/>
      <c r="T3" s="253"/>
      <c r="U3" s="254"/>
      <c r="V3" s="255"/>
      <c r="W3" s="122"/>
    </row>
    <row r="4" spans="1:23" s="6" customFormat="1" ht="30" customHeight="1" thickBot="1" x14ac:dyDescent="0.35">
      <c r="A4" s="126"/>
      <c r="B4" s="486"/>
      <c r="C4" s="487"/>
      <c r="D4" s="487"/>
      <c r="E4" s="506"/>
      <c r="F4" s="503"/>
      <c r="G4" s="32" t="s">
        <v>45</v>
      </c>
      <c r="H4" s="33" t="s">
        <v>46</v>
      </c>
      <c r="I4" s="484"/>
      <c r="J4" s="504"/>
      <c r="K4" s="485"/>
      <c r="L4" s="504"/>
      <c r="M4" s="485"/>
      <c r="N4" s="505"/>
      <c r="O4" s="34" t="s">
        <v>45</v>
      </c>
      <c r="P4" s="33" t="s">
        <v>46</v>
      </c>
      <c r="Q4" s="34" t="s">
        <v>45</v>
      </c>
      <c r="R4" s="33" t="s">
        <v>46</v>
      </c>
      <c r="S4" s="34" t="s">
        <v>45</v>
      </c>
      <c r="T4" s="33" t="s">
        <v>46</v>
      </c>
      <c r="U4" s="34" t="s">
        <v>45</v>
      </c>
      <c r="V4" s="35" t="s">
        <v>46</v>
      </c>
      <c r="W4" s="122"/>
    </row>
    <row r="5" spans="1:23" ht="15.6" x14ac:dyDescent="0.3">
      <c r="B5" s="80" t="s">
        <v>72</v>
      </c>
      <c r="C5" s="81" t="s">
        <v>77</v>
      </c>
      <c r="D5" s="81">
        <v>2</v>
      </c>
      <c r="E5" s="82" t="s">
        <v>73</v>
      </c>
      <c r="F5" s="83" t="s">
        <v>62</v>
      </c>
      <c r="G5" s="84">
        <f>27+11+2+15+8</f>
        <v>63</v>
      </c>
      <c r="H5" s="85">
        <v>29</v>
      </c>
      <c r="I5" s="86">
        <f>2/G5</f>
        <v>3.1746031746031744E-2</v>
      </c>
      <c r="J5" s="87">
        <f>I5*G5</f>
        <v>2</v>
      </c>
      <c r="K5" s="88">
        <f>(2+15)/G5</f>
        <v>0.26984126984126983</v>
      </c>
      <c r="L5" s="87">
        <f>K5*G5</f>
        <v>17</v>
      </c>
      <c r="M5" s="88">
        <f>2/17</f>
        <v>0.11764705882352941</v>
      </c>
      <c r="N5" s="89">
        <f>IF(M5="-","-",M5*L5)</f>
        <v>2</v>
      </c>
      <c r="O5" s="90"/>
      <c r="P5" s="85"/>
      <c r="Q5" s="90"/>
      <c r="R5" s="85"/>
      <c r="S5" s="90"/>
      <c r="T5" s="85"/>
      <c r="U5" s="90"/>
      <c r="V5" s="91"/>
      <c r="W5" s="123"/>
    </row>
    <row r="6" spans="1:23" ht="15" customHeight="1" x14ac:dyDescent="0.3">
      <c r="B6" s="492" t="s">
        <v>20</v>
      </c>
      <c r="C6" s="496" t="s">
        <v>77</v>
      </c>
      <c r="D6" s="488">
        <v>8</v>
      </c>
      <c r="E6" s="92" t="s">
        <v>13</v>
      </c>
      <c r="F6" s="93" t="s">
        <v>62</v>
      </c>
      <c r="G6" s="94">
        <v>31</v>
      </c>
      <c r="H6" s="95">
        <v>23</v>
      </c>
      <c r="I6" s="96">
        <v>0.32258064516129031</v>
      </c>
      <c r="J6" s="97">
        <f t="shared" ref="J6:J63" si="0">I6*G6</f>
        <v>10</v>
      </c>
      <c r="K6" s="98">
        <v>0.32258064516129031</v>
      </c>
      <c r="L6" s="97">
        <f t="shared" ref="L6:L63" si="1">K6*G6</f>
        <v>10</v>
      </c>
      <c r="M6" s="98" t="s">
        <v>21</v>
      </c>
      <c r="N6" s="99" t="str">
        <f t="shared" ref="N6:N51" si="2">IF(M6="-","-",M6*L6)</f>
        <v>-</v>
      </c>
      <c r="O6" s="100"/>
      <c r="P6" s="95"/>
      <c r="Q6" s="100"/>
      <c r="R6" s="95"/>
      <c r="S6" s="100"/>
      <c r="T6" s="95"/>
      <c r="U6" s="100"/>
      <c r="V6" s="101"/>
      <c r="W6" s="123"/>
    </row>
    <row r="7" spans="1:23" ht="15" customHeight="1" x14ac:dyDescent="0.3">
      <c r="B7" s="493"/>
      <c r="C7" s="497"/>
      <c r="D7" s="488"/>
      <c r="E7" s="102" t="s">
        <v>14</v>
      </c>
      <c r="F7" s="103" t="s">
        <v>62</v>
      </c>
      <c r="G7" s="104">
        <v>25</v>
      </c>
      <c r="H7" s="105">
        <v>13</v>
      </c>
      <c r="I7" s="106">
        <v>0.48</v>
      </c>
      <c r="J7" s="107">
        <f t="shared" si="0"/>
        <v>12</v>
      </c>
      <c r="K7" s="108">
        <v>0.36</v>
      </c>
      <c r="L7" s="107">
        <f t="shared" si="1"/>
        <v>9</v>
      </c>
      <c r="M7" s="108" t="s">
        <v>21</v>
      </c>
      <c r="N7" s="109" t="str">
        <f t="shared" si="2"/>
        <v>-</v>
      </c>
      <c r="O7" s="110"/>
      <c r="P7" s="105"/>
      <c r="Q7" s="110"/>
      <c r="R7" s="105"/>
      <c r="S7" s="110"/>
      <c r="T7" s="105"/>
      <c r="U7" s="110"/>
      <c r="V7" s="111"/>
      <c r="W7" s="123"/>
    </row>
    <row r="8" spans="1:23" ht="15" customHeight="1" x14ac:dyDescent="0.3">
      <c r="B8" s="493"/>
      <c r="C8" s="497"/>
      <c r="D8" s="488"/>
      <c r="E8" s="102" t="s">
        <v>15</v>
      </c>
      <c r="F8" s="103" t="s">
        <v>62</v>
      </c>
      <c r="G8" s="104">
        <v>18</v>
      </c>
      <c r="H8" s="105">
        <v>10</v>
      </c>
      <c r="I8" s="106">
        <v>0.5</v>
      </c>
      <c r="J8" s="107">
        <f t="shared" si="0"/>
        <v>9</v>
      </c>
      <c r="K8" s="108">
        <v>0.16666666666666666</v>
      </c>
      <c r="L8" s="107">
        <f t="shared" si="1"/>
        <v>3</v>
      </c>
      <c r="M8" s="108" t="s">
        <v>21</v>
      </c>
      <c r="N8" s="109" t="str">
        <f t="shared" si="2"/>
        <v>-</v>
      </c>
      <c r="O8" s="110"/>
      <c r="P8" s="105"/>
      <c r="Q8" s="110"/>
      <c r="R8" s="105"/>
      <c r="S8" s="110"/>
      <c r="T8" s="105"/>
      <c r="U8" s="110"/>
      <c r="V8" s="111"/>
      <c r="W8" s="123"/>
    </row>
    <row r="9" spans="1:23" ht="15" customHeight="1" x14ac:dyDescent="0.3">
      <c r="B9" s="493"/>
      <c r="C9" s="497"/>
      <c r="D9" s="488"/>
      <c r="E9" s="102"/>
      <c r="F9" s="103"/>
      <c r="G9" s="104"/>
      <c r="H9" s="105"/>
      <c r="I9" s="106"/>
      <c r="J9" s="107"/>
      <c r="K9" s="108"/>
      <c r="L9" s="107"/>
      <c r="M9" s="108"/>
      <c r="N9" s="109"/>
      <c r="O9" s="110"/>
      <c r="P9" s="105"/>
      <c r="Q9" s="110"/>
      <c r="R9" s="105"/>
      <c r="S9" s="110"/>
      <c r="T9" s="105"/>
      <c r="U9" s="110"/>
      <c r="V9" s="111"/>
      <c r="W9" s="123"/>
    </row>
    <row r="10" spans="1:23" ht="15" customHeight="1" x14ac:dyDescent="0.3">
      <c r="B10" s="493"/>
      <c r="C10" s="497"/>
      <c r="D10" s="488"/>
      <c r="E10" s="102" t="s">
        <v>16</v>
      </c>
      <c r="F10" s="103" t="s">
        <v>62</v>
      </c>
      <c r="G10" s="104">
        <v>14</v>
      </c>
      <c r="H10" s="105">
        <v>9</v>
      </c>
      <c r="I10" s="106">
        <v>7.1428571428571425E-2</v>
      </c>
      <c r="J10" s="107">
        <f t="shared" si="0"/>
        <v>1</v>
      </c>
      <c r="K10" s="108">
        <v>7.1428571428571425E-2</v>
      </c>
      <c r="L10" s="107">
        <f t="shared" si="1"/>
        <v>1</v>
      </c>
      <c r="M10" s="108" t="s">
        <v>21</v>
      </c>
      <c r="N10" s="109" t="str">
        <f t="shared" si="2"/>
        <v>-</v>
      </c>
      <c r="O10" s="110"/>
      <c r="P10" s="105"/>
      <c r="Q10" s="110"/>
      <c r="R10" s="105"/>
      <c r="S10" s="110"/>
      <c r="T10" s="105"/>
      <c r="U10" s="110"/>
      <c r="V10" s="111"/>
      <c r="W10" s="123"/>
    </row>
    <row r="11" spans="1:23" ht="15" customHeight="1" x14ac:dyDescent="0.3">
      <c r="B11" s="493"/>
      <c r="C11" s="497"/>
      <c r="D11" s="488"/>
      <c r="E11" s="102" t="s">
        <v>17</v>
      </c>
      <c r="F11" s="103" t="s">
        <v>62</v>
      </c>
      <c r="G11" s="104">
        <v>24</v>
      </c>
      <c r="H11" s="105">
        <v>16</v>
      </c>
      <c r="I11" s="106">
        <v>4.1666666666666664E-2</v>
      </c>
      <c r="J11" s="107">
        <f t="shared" si="0"/>
        <v>1</v>
      </c>
      <c r="K11" s="108">
        <v>0.20833333333333334</v>
      </c>
      <c r="L11" s="107">
        <f t="shared" si="1"/>
        <v>5</v>
      </c>
      <c r="M11" s="108" t="s">
        <v>21</v>
      </c>
      <c r="N11" s="109" t="str">
        <f t="shared" si="2"/>
        <v>-</v>
      </c>
      <c r="O11" s="110"/>
      <c r="P11" s="105"/>
      <c r="Q11" s="110"/>
      <c r="R11" s="105"/>
      <c r="S11" s="110"/>
      <c r="T11" s="105"/>
      <c r="U11" s="110"/>
      <c r="V11" s="111"/>
      <c r="W11" s="123"/>
    </row>
    <row r="12" spans="1:23" ht="15" customHeight="1" x14ac:dyDescent="0.3">
      <c r="B12" s="493"/>
      <c r="C12" s="497"/>
      <c r="D12" s="488"/>
      <c r="E12" s="102" t="s">
        <v>18</v>
      </c>
      <c r="F12" s="103" t="s">
        <v>62</v>
      </c>
      <c r="G12" s="104">
        <v>29</v>
      </c>
      <c r="H12" s="105">
        <v>21</v>
      </c>
      <c r="I12" s="106">
        <v>0</v>
      </c>
      <c r="J12" s="107">
        <f t="shared" si="0"/>
        <v>0</v>
      </c>
      <c r="K12" s="108">
        <v>0.41379310344827586</v>
      </c>
      <c r="L12" s="107">
        <f t="shared" si="1"/>
        <v>12</v>
      </c>
      <c r="M12" s="108" t="s">
        <v>21</v>
      </c>
      <c r="N12" s="109" t="str">
        <f t="shared" si="2"/>
        <v>-</v>
      </c>
      <c r="O12" s="110"/>
      <c r="P12" s="105"/>
      <c r="Q12" s="110"/>
      <c r="R12" s="105"/>
      <c r="S12" s="110"/>
      <c r="T12" s="105"/>
      <c r="U12" s="110"/>
      <c r="V12" s="111"/>
      <c r="W12" s="123"/>
    </row>
    <row r="13" spans="1:23" ht="15" customHeight="1" x14ac:dyDescent="0.3">
      <c r="B13" s="493"/>
      <c r="C13" s="497"/>
      <c r="D13" s="488"/>
      <c r="E13" s="102" t="s">
        <v>19</v>
      </c>
      <c r="F13" s="103" t="s">
        <v>62</v>
      </c>
      <c r="G13" s="104">
        <v>27</v>
      </c>
      <c r="H13" s="105">
        <v>17</v>
      </c>
      <c r="I13" s="106">
        <v>0.25925925925925924</v>
      </c>
      <c r="J13" s="107">
        <f t="shared" si="0"/>
        <v>7</v>
      </c>
      <c r="K13" s="108">
        <v>0.48148148148148145</v>
      </c>
      <c r="L13" s="107">
        <f t="shared" si="1"/>
        <v>13</v>
      </c>
      <c r="M13" s="108" t="s">
        <v>21</v>
      </c>
      <c r="N13" s="109" t="str">
        <f t="shared" si="2"/>
        <v>-</v>
      </c>
      <c r="O13" s="110"/>
      <c r="P13" s="105"/>
      <c r="Q13" s="110"/>
      <c r="R13" s="105"/>
      <c r="S13" s="110"/>
      <c r="T13" s="105"/>
      <c r="U13" s="110"/>
      <c r="V13" s="111"/>
      <c r="W13" s="123"/>
    </row>
    <row r="14" spans="1:23" ht="15" customHeight="1" x14ac:dyDescent="0.3">
      <c r="B14" s="493"/>
      <c r="C14" s="497"/>
      <c r="D14" s="488"/>
      <c r="E14" s="112" t="s">
        <v>5</v>
      </c>
      <c r="F14" s="113" t="s">
        <v>62</v>
      </c>
      <c r="G14" s="114">
        <v>4</v>
      </c>
      <c r="H14" s="115">
        <v>2</v>
      </c>
      <c r="I14" s="116">
        <v>0.5</v>
      </c>
      <c r="J14" s="117">
        <f t="shared" si="0"/>
        <v>2</v>
      </c>
      <c r="K14" s="118">
        <v>0</v>
      </c>
      <c r="L14" s="117">
        <f t="shared" si="1"/>
        <v>0</v>
      </c>
      <c r="M14" s="118" t="s">
        <v>21</v>
      </c>
      <c r="N14" s="119" t="str">
        <f t="shared" si="2"/>
        <v>-</v>
      </c>
      <c r="O14" s="120"/>
      <c r="P14" s="115"/>
      <c r="Q14" s="120"/>
      <c r="R14" s="115"/>
      <c r="S14" s="120"/>
      <c r="T14" s="115"/>
      <c r="U14" s="120"/>
      <c r="V14" s="121"/>
      <c r="W14" s="123"/>
    </row>
    <row r="15" spans="1:23" ht="15.6" x14ac:dyDescent="0.3">
      <c r="B15" s="494"/>
      <c r="C15" s="498"/>
      <c r="D15" s="269" t="s">
        <v>144</v>
      </c>
      <c r="E15" s="270"/>
      <c r="F15" s="271"/>
      <c r="G15" s="280">
        <f>SUM(G6:G14)</f>
        <v>172</v>
      </c>
      <c r="H15" s="281">
        <f t="shared" ref="H15:N15" si="3">SUM(H6:H14)</f>
        <v>111</v>
      </c>
      <c r="I15" s="282">
        <f>J15/G15</f>
        <v>0.2441860465116279</v>
      </c>
      <c r="J15" s="283">
        <f t="shared" si="3"/>
        <v>42</v>
      </c>
      <c r="K15" s="284">
        <f>L15/G15</f>
        <v>0.30813953488372092</v>
      </c>
      <c r="L15" s="283">
        <f t="shared" si="3"/>
        <v>53</v>
      </c>
      <c r="M15" s="284">
        <f>N15/L15</f>
        <v>0</v>
      </c>
      <c r="N15" s="285">
        <f t="shared" si="3"/>
        <v>0</v>
      </c>
      <c r="O15" s="273"/>
      <c r="P15" s="272"/>
      <c r="Q15" s="273"/>
      <c r="R15" s="272"/>
      <c r="S15" s="273"/>
      <c r="T15" s="272"/>
      <c r="U15" s="273"/>
      <c r="V15" s="274"/>
      <c r="W15" s="123"/>
    </row>
    <row r="16" spans="1:23" x14ac:dyDescent="0.3">
      <c r="B16" s="492" t="s">
        <v>0</v>
      </c>
      <c r="C16" s="496" t="s">
        <v>77</v>
      </c>
      <c r="D16" s="489">
        <v>9</v>
      </c>
      <c r="E16" s="92" t="s">
        <v>10</v>
      </c>
      <c r="F16" s="93" t="s">
        <v>62</v>
      </c>
      <c r="G16" s="94">
        <v>37</v>
      </c>
      <c r="H16" s="95">
        <v>23</v>
      </c>
      <c r="I16" s="96">
        <v>0.38</v>
      </c>
      <c r="J16" s="97">
        <f t="shared" si="0"/>
        <v>14.06</v>
      </c>
      <c r="K16" s="98">
        <v>0.16</v>
      </c>
      <c r="L16" s="97">
        <f t="shared" si="1"/>
        <v>5.92</v>
      </c>
      <c r="M16" s="98">
        <v>1</v>
      </c>
      <c r="N16" s="99">
        <f t="shared" ref="N16:N17" si="4">IF(M16="-","-",M16*L16)</f>
        <v>5.92</v>
      </c>
      <c r="O16" s="100"/>
      <c r="P16" s="95"/>
      <c r="Q16" s="100"/>
      <c r="R16" s="95"/>
      <c r="S16" s="100"/>
      <c r="T16" s="95"/>
      <c r="U16" s="100"/>
      <c r="V16" s="101"/>
      <c r="W16" s="123"/>
    </row>
    <row r="17" spans="1:25" x14ac:dyDescent="0.3">
      <c r="B17" s="493"/>
      <c r="C17" s="497"/>
      <c r="D17" s="490"/>
      <c r="E17" s="102" t="s">
        <v>11</v>
      </c>
      <c r="F17" s="103" t="s">
        <v>62</v>
      </c>
      <c r="G17" s="104">
        <v>33</v>
      </c>
      <c r="H17" s="105">
        <v>15</v>
      </c>
      <c r="I17" s="106">
        <v>0.3</v>
      </c>
      <c r="J17" s="107">
        <f t="shared" si="0"/>
        <v>9.9</v>
      </c>
      <c r="K17" s="108">
        <v>0.09</v>
      </c>
      <c r="L17" s="107">
        <f t="shared" si="1"/>
        <v>2.9699999999999998</v>
      </c>
      <c r="M17" s="108">
        <v>1</v>
      </c>
      <c r="N17" s="109">
        <f t="shared" si="4"/>
        <v>2.9699999999999998</v>
      </c>
      <c r="O17" s="110"/>
      <c r="P17" s="105"/>
      <c r="Q17" s="110"/>
      <c r="R17" s="105"/>
      <c r="S17" s="110"/>
      <c r="T17" s="105"/>
      <c r="U17" s="110"/>
      <c r="V17" s="111"/>
      <c r="W17" s="123"/>
    </row>
    <row r="18" spans="1:25" x14ac:dyDescent="0.3">
      <c r="B18" s="493"/>
      <c r="C18" s="497"/>
      <c r="D18" s="490"/>
      <c r="E18" s="102" t="s">
        <v>12</v>
      </c>
      <c r="F18" s="103" t="s">
        <v>62</v>
      </c>
      <c r="G18" s="104">
        <v>6</v>
      </c>
      <c r="H18" s="105">
        <v>5</v>
      </c>
      <c r="I18" s="106">
        <v>0</v>
      </c>
      <c r="J18" s="107">
        <f t="shared" ref="J18" si="5">I18*G18</f>
        <v>0</v>
      </c>
      <c r="K18" s="108">
        <v>0</v>
      </c>
      <c r="L18" s="107">
        <f t="shared" ref="L18" si="6">K18*G18</f>
        <v>0</v>
      </c>
      <c r="M18" s="108" t="s">
        <v>21</v>
      </c>
      <c r="N18" s="109" t="str">
        <f>IF(M18="-","-",M18*L18)</f>
        <v>-</v>
      </c>
      <c r="O18" s="110"/>
      <c r="P18" s="105"/>
      <c r="Q18" s="110"/>
      <c r="R18" s="105"/>
      <c r="S18" s="110"/>
      <c r="T18" s="105"/>
      <c r="U18" s="110"/>
      <c r="V18" s="111"/>
      <c r="W18" s="123"/>
    </row>
    <row r="19" spans="1:25" x14ac:dyDescent="0.3">
      <c r="B19" s="493"/>
      <c r="C19" s="497"/>
      <c r="D19" s="490"/>
      <c r="E19" s="102" t="s">
        <v>7</v>
      </c>
      <c r="F19" s="103" t="s">
        <v>62</v>
      </c>
      <c r="G19" s="104">
        <v>25</v>
      </c>
      <c r="H19" s="105">
        <v>15</v>
      </c>
      <c r="I19" s="106">
        <v>0.28000000000000003</v>
      </c>
      <c r="J19" s="107">
        <f t="shared" si="0"/>
        <v>7.0000000000000009</v>
      </c>
      <c r="K19" s="108">
        <v>0.16</v>
      </c>
      <c r="L19" s="107">
        <f t="shared" si="1"/>
        <v>4</v>
      </c>
      <c r="M19" s="108">
        <v>0.25</v>
      </c>
      <c r="N19" s="109">
        <f t="shared" ref="N19:N23" si="7">IF(M19="-","-",M19*L19)</f>
        <v>1</v>
      </c>
      <c r="O19" s="110"/>
      <c r="P19" s="105"/>
      <c r="Q19" s="110"/>
      <c r="R19" s="105"/>
      <c r="S19" s="110"/>
      <c r="T19" s="105"/>
      <c r="U19" s="110"/>
      <c r="V19" s="111"/>
      <c r="W19" s="123"/>
    </row>
    <row r="20" spans="1:25" x14ac:dyDescent="0.3">
      <c r="B20" s="493"/>
      <c r="C20" s="497"/>
      <c r="D20" s="490"/>
      <c r="E20" s="102" t="s">
        <v>138</v>
      </c>
      <c r="F20" s="103" t="s">
        <v>62</v>
      </c>
      <c r="G20" s="104">
        <v>15</v>
      </c>
      <c r="H20" s="105">
        <v>9</v>
      </c>
      <c r="I20" s="106">
        <v>0.13</v>
      </c>
      <c r="J20" s="107">
        <f t="shared" si="0"/>
        <v>1.9500000000000002</v>
      </c>
      <c r="K20" s="108">
        <v>7.0000000000000007E-2</v>
      </c>
      <c r="L20" s="107">
        <f t="shared" si="1"/>
        <v>1.05</v>
      </c>
      <c r="M20" s="108" t="s">
        <v>21</v>
      </c>
      <c r="N20" s="109" t="str">
        <f t="shared" si="7"/>
        <v>-</v>
      </c>
      <c r="O20" s="110"/>
      <c r="P20" s="105"/>
      <c r="Q20" s="110"/>
      <c r="R20" s="105"/>
      <c r="S20" s="110"/>
      <c r="T20" s="105"/>
      <c r="U20" s="110"/>
      <c r="V20" s="111"/>
      <c r="W20" s="123"/>
    </row>
    <row r="21" spans="1:25" x14ac:dyDescent="0.3">
      <c r="B21" s="493"/>
      <c r="C21" s="497"/>
      <c r="D21" s="490"/>
      <c r="E21" s="102" t="s">
        <v>8</v>
      </c>
      <c r="F21" s="103" t="s">
        <v>62</v>
      </c>
      <c r="G21" s="104">
        <v>16</v>
      </c>
      <c r="H21" s="105">
        <v>14</v>
      </c>
      <c r="I21" s="106">
        <v>0.38</v>
      </c>
      <c r="J21" s="107">
        <f t="shared" si="0"/>
        <v>6.08</v>
      </c>
      <c r="K21" s="108">
        <v>0.13</v>
      </c>
      <c r="L21" s="107">
        <f t="shared" si="1"/>
        <v>2.08</v>
      </c>
      <c r="M21" s="108">
        <v>1</v>
      </c>
      <c r="N21" s="109">
        <f t="shared" si="7"/>
        <v>2.08</v>
      </c>
      <c r="O21" s="110"/>
      <c r="P21" s="105"/>
      <c r="Q21" s="110"/>
      <c r="R21" s="105"/>
      <c r="S21" s="110"/>
      <c r="T21" s="105"/>
      <c r="U21" s="110"/>
      <c r="V21" s="111"/>
      <c r="W21" s="123"/>
    </row>
    <row r="22" spans="1:25" x14ac:dyDescent="0.3">
      <c r="B22" s="493"/>
      <c r="C22" s="497"/>
      <c r="D22" s="490"/>
      <c r="E22" s="102" t="s">
        <v>6</v>
      </c>
      <c r="F22" s="103" t="s">
        <v>62</v>
      </c>
      <c r="G22" s="104">
        <v>7</v>
      </c>
      <c r="H22" s="105">
        <v>5</v>
      </c>
      <c r="I22" s="106">
        <v>0.14000000000000001</v>
      </c>
      <c r="J22" s="107">
        <f t="shared" si="0"/>
        <v>0.98000000000000009</v>
      </c>
      <c r="K22" s="108">
        <v>0</v>
      </c>
      <c r="L22" s="107">
        <f t="shared" si="1"/>
        <v>0</v>
      </c>
      <c r="M22" s="108" t="s">
        <v>21</v>
      </c>
      <c r="N22" s="109" t="str">
        <f t="shared" si="7"/>
        <v>-</v>
      </c>
      <c r="O22" s="110"/>
      <c r="P22" s="105"/>
      <c r="Q22" s="110"/>
      <c r="R22" s="105"/>
      <c r="S22" s="110"/>
      <c r="T22" s="105"/>
      <c r="U22" s="110"/>
      <c r="V22" s="111"/>
      <c r="W22" s="123"/>
    </row>
    <row r="23" spans="1:25" x14ac:dyDescent="0.3">
      <c r="B23" s="493"/>
      <c r="C23" s="497"/>
      <c r="D23" s="491"/>
      <c r="E23" s="112" t="s">
        <v>9</v>
      </c>
      <c r="F23" s="113" t="s">
        <v>62</v>
      </c>
      <c r="G23" s="114">
        <v>20</v>
      </c>
      <c r="H23" s="115">
        <v>9</v>
      </c>
      <c r="I23" s="116">
        <v>0.25</v>
      </c>
      <c r="J23" s="117">
        <f t="shared" si="0"/>
        <v>5</v>
      </c>
      <c r="K23" s="118">
        <v>0.15</v>
      </c>
      <c r="L23" s="117">
        <f t="shared" si="1"/>
        <v>3</v>
      </c>
      <c r="M23" s="118">
        <v>0.33</v>
      </c>
      <c r="N23" s="119">
        <f t="shared" si="7"/>
        <v>0.99</v>
      </c>
      <c r="O23" s="120"/>
      <c r="P23" s="115"/>
      <c r="Q23" s="120"/>
      <c r="R23" s="115"/>
      <c r="S23" s="120"/>
      <c r="T23" s="115"/>
      <c r="U23" s="120"/>
      <c r="V23" s="121"/>
      <c r="W23" s="123"/>
    </row>
    <row r="24" spans="1:25" ht="16.2" thickBot="1" x14ac:dyDescent="0.35">
      <c r="B24" s="495"/>
      <c r="C24" s="499"/>
      <c r="D24" s="275" t="s">
        <v>144</v>
      </c>
      <c r="E24" s="270"/>
      <c r="F24" s="313"/>
      <c r="G24" s="314">
        <f>SUM(G16:G23)</f>
        <v>159</v>
      </c>
      <c r="H24" s="315">
        <f t="shared" ref="H24" si="8">SUM(H16:H23)</f>
        <v>95</v>
      </c>
      <c r="I24" s="316">
        <f>J24/G24</f>
        <v>0.28283018867924525</v>
      </c>
      <c r="J24" s="317">
        <f t="shared" ref="J24" si="9">SUM(J16:J23)</f>
        <v>44.97</v>
      </c>
      <c r="K24" s="318">
        <f>L24/G24</f>
        <v>0.11962264150943398</v>
      </c>
      <c r="L24" s="317">
        <f t="shared" ref="L24" si="10">SUM(L16:L23)</f>
        <v>19.020000000000003</v>
      </c>
      <c r="M24" s="318">
        <f>N24/L24</f>
        <v>0.68138801261829651</v>
      </c>
      <c r="N24" s="319">
        <f t="shared" ref="N24" si="11">SUM(N16:N23)</f>
        <v>12.96</v>
      </c>
      <c r="O24" s="320"/>
      <c r="P24" s="315"/>
      <c r="Q24" s="320"/>
      <c r="R24" s="315"/>
      <c r="S24" s="320"/>
      <c r="T24" s="315"/>
      <c r="U24" s="320"/>
      <c r="V24" s="321"/>
      <c r="W24" s="123"/>
    </row>
    <row r="25" spans="1:25" s="54" customFormat="1" ht="21" customHeight="1" thickBot="1" x14ac:dyDescent="0.35">
      <c r="A25" s="127"/>
      <c r="B25" s="78" t="s">
        <v>80</v>
      </c>
      <c r="C25" s="79"/>
      <c r="D25" s="79">
        <f>SUM(D5:D23)</f>
        <v>19</v>
      </c>
      <c r="E25" s="135">
        <f>COUNT(G5:G23)</f>
        <v>18</v>
      </c>
      <c r="F25" s="69">
        <f>COUNT(J5:J23)</f>
        <v>18</v>
      </c>
      <c r="G25" s="322">
        <f>G5+G15+G24</f>
        <v>394</v>
      </c>
      <c r="H25" s="323">
        <f>H5+H15+H24</f>
        <v>235</v>
      </c>
      <c r="I25" s="324">
        <f>J25/G25</f>
        <v>0.22581218274111675</v>
      </c>
      <c r="J25" s="325">
        <f>J5+J15+J24</f>
        <v>88.97</v>
      </c>
      <c r="K25" s="326">
        <f>L25/G25</f>
        <v>0.22593908629441628</v>
      </c>
      <c r="L25" s="325">
        <f>L5+L15+L24</f>
        <v>89.02000000000001</v>
      </c>
      <c r="M25" s="327">
        <f>N25/(L5+L16+L17+L19+L21+L23)</f>
        <v>0.42779525307406352</v>
      </c>
      <c r="N25" s="328">
        <f>N5+N15+N24</f>
        <v>14.96</v>
      </c>
      <c r="O25" s="52"/>
      <c r="P25" s="48"/>
      <c r="Q25" s="52"/>
      <c r="R25" s="48"/>
      <c r="S25" s="52"/>
      <c r="T25" s="48"/>
      <c r="U25" s="52"/>
      <c r="V25" s="53"/>
      <c r="W25" s="124"/>
    </row>
    <row r="26" spans="1:25" ht="15" customHeight="1" x14ac:dyDescent="0.3">
      <c r="B26" s="473" t="s">
        <v>4</v>
      </c>
      <c r="C26" s="474" t="s">
        <v>78</v>
      </c>
      <c r="D26" s="500">
        <v>31</v>
      </c>
      <c r="E26" s="55" t="s">
        <v>25</v>
      </c>
      <c r="F26" s="329" t="s">
        <v>62</v>
      </c>
      <c r="G26" s="330">
        <v>716</v>
      </c>
      <c r="H26" s="331">
        <v>173</v>
      </c>
      <c r="I26" s="332">
        <v>0.43</v>
      </c>
      <c r="J26" s="333">
        <f t="shared" si="0"/>
        <v>307.88</v>
      </c>
      <c r="K26" s="334">
        <v>0.38</v>
      </c>
      <c r="L26" s="333">
        <f t="shared" si="1"/>
        <v>272.08</v>
      </c>
      <c r="M26" s="334" t="s">
        <v>21</v>
      </c>
      <c r="N26" s="335" t="str">
        <f t="shared" si="2"/>
        <v>-</v>
      </c>
      <c r="O26" s="336"/>
      <c r="P26" s="331"/>
      <c r="Q26" s="336"/>
      <c r="R26" s="331"/>
      <c r="S26" s="336"/>
      <c r="T26" s="331"/>
      <c r="U26" s="336"/>
      <c r="V26" s="337"/>
      <c r="W26" s="123"/>
    </row>
    <row r="27" spans="1:25" ht="15" customHeight="1" x14ac:dyDescent="0.3">
      <c r="B27" s="471"/>
      <c r="C27" s="466"/>
      <c r="D27" s="501"/>
      <c r="E27" s="57" t="s">
        <v>26</v>
      </c>
      <c r="F27" s="58" t="s">
        <v>62</v>
      </c>
      <c r="G27" s="14">
        <v>427</v>
      </c>
      <c r="H27" s="15">
        <v>103</v>
      </c>
      <c r="I27" s="16">
        <v>0.4</v>
      </c>
      <c r="J27" s="44">
        <f t="shared" si="0"/>
        <v>170.8</v>
      </c>
      <c r="K27" s="17">
        <v>0.42</v>
      </c>
      <c r="L27" s="44">
        <f t="shared" si="1"/>
        <v>179.34</v>
      </c>
      <c r="M27" s="17" t="s">
        <v>21</v>
      </c>
      <c r="N27" s="39" t="str">
        <f t="shared" si="2"/>
        <v>-</v>
      </c>
      <c r="O27" s="18"/>
      <c r="P27" s="15"/>
      <c r="Q27" s="18"/>
      <c r="R27" s="15"/>
      <c r="S27" s="18"/>
      <c r="T27" s="15"/>
      <c r="U27" s="18"/>
      <c r="V27" s="19"/>
      <c r="W27" s="123"/>
    </row>
    <row r="28" spans="1:25" ht="15" customHeight="1" x14ac:dyDescent="0.3">
      <c r="B28" s="471"/>
      <c r="C28" s="466"/>
      <c r="D28" s="501"/>
      <c r="E28" s="57" t="s">
        <v>60</v>
      </c>
      <c r="F28" s="58" t="s">
        <v>62</v>
      </c>
      <c r="G28" s="14">
        <v>270</v>
      </c>
      <c r="H28" s="15">
        <v>66</v>
      </c>
      <c r="I28" s="16">
        <v>0.36</v>
      </c>
      <c r="J28" s="44">
        <f t="shared" si="0"/>
        <v>97.2</v>
      </c>
      <c r="K28" s="17">
        <v>0.38</v>
      </c>
      <c r="L28" s="44">
        <f t="shared" si="1"/>
        <v>102.6</v>
      </c>
      <c r="M28" s="17" t="s">
        <v>21</v>
      </c>
      <c r="N28" s="39" t="str">
        <f t="shared" si="2"/>
        <v>-</v>
      </c>
      <c r="O28" s="18"/>
      <c r="P28" s="15"/>
      <c r="Q28" s="18"/>
      <c r="R28" s="15"/>
      <c r="S28" s="18"/>
      <c r="T28" s="15"/>
      <c r="U28" s="18"/>
      <c r="V28" s="19"/>
      <c r="W28" s="123"/>
    </row>
    <row r="29" spans="1:25" ht="15" customHeight="1" x14ac:dyDescent="0.3">
      <c r="B29" s="471"/>
      <c r="C29" s="466"/>
      <c r="D29" s="501"/>
      <c r="E29" s="61" t="s">
        <v>24</v>
      </c>
      <c r="F29" s="62" t="s">
        <v>64</v>
      </c>
      <c r="G29" s="14">
        <v>120</v>
      </c>
      <c r="H29" s="15">
        <v>35</v>
      </c>
      <c r="I29" s="16">
        <v>0.38</v>
      </c>
      <c r="J29" s="44">
        <f t="shared" si="0"/>
        <v>45.6</v>
      </c>
      <c r="K29" s="17">
        <v>0.44</v>
      </c>
      <c r="L29" s="44">
        <f t="shared" si="1"/>
        <v>52.8</v>
      </c>
      <c r="M29" s="17" t="s">
        <v>21</v>
      </c>
      <c r="N29" s="39" t="str">
        <f t="shared" si="2"/>
        <v>-</v>
      </c>
      <c r="O29" s="18"/>
      <c r="P29" s="15"/>
      <c r="Q29" s="18"/>
      <c r="R29" s="15"/>
      <c r="S29" s="18"/>
      <c r="T29" s="15"/>
      <c r="U29" s="18"/>
      <c r="V29" s="19"/>
      <c r="W29" s="123"/>
    </row>
    <row r="30" spans="1:25" ht="15" customHeight="1" x14ac:dyDescent="0.3">
      <c r="B30" s="471"/>
      <c r="C30" s="466"/>
      <c r="D30" s="501"/>
      <c r="E30" s="57" t="s">
        <v>23</v>
      </c>
      <c r="F30" s="58" t="s">
        <v>62</v>
      </c>
      <c r="G30" s="14">
        <v>249</v>
      </c>
      <c r="H30" s="15">
        <v>70</v>
      </c>
      <c r="I30" s="16">
        <v>0.43</v>
      </c>
      <c r="J30" s="44">
        <f t="shared" si="0"/>
        <v>107.07</v>
      </c>
      <c r="K30" s="17">
        <v>0.39</v>
      </c>
      <c r="L30" s="44">
        <f t="shared" si="1"/>
        <v>97.11</v>
      </c>
      <c r="M30" s="17" t="s">
        <v>21</v>
      </c>
      <c r="N30" s="39" t="str">
        <f t="shared" si="2"/>
        <v>-</v>
      </c>
      <c r="O30" s="18"/>
      <c r="P30" s="15"/>
      <c r="Q30" s="18"/>
      <c r="R30" s="15"/>
      <c r="S30" s="18"/>
      <c r="T30" s="15"/>
      <c r="U30" s="18"/>
      <c r="V30" s="19"/>
      <c r="W30" s="123"/>
      <c r="X30" s="427"/>
      <c r="Y30" s="427"/>
    </row>
    <row r="31" spans="1:25" ht="15" customHeight="1" x14ac:dyDescent="0.3">
      <c r="B31" s="471"/>
      <c r="C31" s="466"/>
      <c r="D31" s="501"/>
      <c r="E31" s="59" t="s">
        <v>22</v>
      </c>
      <c r="F31" s="60" t="s">
        <v>64</v>
      </c>
      <c r="G31" s="20">
        <v>208</v>
      </c>
      <c r="H31" s="21">
        <v>62</v>
      </c>
      <c r="I31" s="22">
        <v>0.23</v>
      </c>
      <c r="J31" s="45">
        <f t="shared" si="0"/>
        <v>47.84</v>
      </c>
      <c r="K31" s="23">
        <v>0.39</v>
      </c>
      <c r="L31" s="45">
        <f t="shared" si="1"/>
        <v>81.12</v>
      </c>
      <c r="M31" s="23" t="s">
        <v>21</v>
      </c>
      <c r="N31" s="40" t="str">
        <f t="shared" si="2"/>
        <v>-</v>
      </c>
      <c r="O31" s="24"/>
      <c r="P31" s="21"/>
      <c r="Q31" s="24"/>
      <c r="R31" s="21"/>
      <c r="S31" s="24"/>
      <c r="T31" s="21"/>
      <c r="U31" s="24"/>
      <c r="V31" s="25"/>
      <c r="W31" s="123"/>
      <c r="X31" s="427"/>
      <c r="Y31" s="427"/>
    </row>
    <row r="32" spans="1:25" ht="15.6" x14ac:dyDescent="0.3">
      <c r="B32" s="472"/>
      <c r="C32" s="467"/>
      <c r="D32" s="76" t="s">
        <v>144</v>
      </c>
      <c r="E32" s="66"/>
      <c r="F32" s="67"/>
      <c r="G32" s="26">
        <f>SUM(G26:G31)</f>
        <v>1990</v>
      </c>
      <c r="H32" s="27">
        <f>SUM(H26:H31)</f>
        <v>509</v>
      </c>
      <c r="I32" s="28">
        <f>J32/G32</f>
        <v>0.39014572864321606</v>
      </c>
      <c r="J32" s="46">
        <f>SUM(J26:J31)</f>
        <v>776.39</v>
      </c>
      <c r="K32" s="29">
        <f>L32/G32</f>
        <v>0.39449748743718593</v>
      </c>
      <c r="L32" s="46">
        <f>SUM(L26:L31)</f>
        <v>785.05</v>
      </c>
      <c r="M32" s="29">
        <f>N32/L32</f>
        <v>0</v>
      </c>
      <c r="N32" s="41">
        <f>SUM(N26:N31)</f>
        <v>0</v>
      </c>
      <c r="O32" s="30"/>
      <c r="P32" s="27"/>
      <c r="Q32" s="30"/>
      <c r="R32" s="27"/>
      <c r="S32" s="30"/>
      <c r="T32" s="27"/>
      <c r="U32" s="30"/>
      <c r="V32" s="31"/>
      <c r="W32" s="123"/>
      <c r="X32" s="427"/>
      <c r="Y32" s="427"/>
    </row>
    <row r="33" spans="2:25" x14ac:dyDescent="0.3">
      <c r="B33" s="470" t="s">
        <v>1</v>
      </c>
      <c r="C33" s="465" t="s">
        <v>78</v>
      </c>
      <c r="D33" s="501">
        <v>12</v>
      </c>
      <c r="E33" s="55" t="s">
        <v>28</v>
      </c>
      <c r="F33" s="56" t="s">
        <v>64</v>
      </c>
      <c r="G33" s="8">
        <v>88</v>
      </c>
      <c r="H33" s="9">
        <v>88</v>
      </c>
      <c r="I33" s="10">
        <v>0.60227272727272729</v>
      </c>
      <c r="J33" s="43">
        <f t="shared" si="0"/>
        <v>53</v>
      </c>
      <c r="K33" s="11">
        <v>0.36363636363636365</v>
      </c>
      <c r="L33" s="43">
        <f t="shared" si="1"/>
        <v>32</v>
      </c>
      <c r="M33" s="11">
        <v>0.84375</v>
      </c>
      <c r="N33" s="38">
        <f t="shared" si="2"/>
        <v>27</v>
      </c>
      <c r="O33" s="12"/>
      <c r="P33" s="9"/>
      <c r="Q33" s="12"/>
      <c r="R33" s="9"/>
      <c r="S33" s="12">
        <v>78</v>
      </c>
      <c r="T33" s="9">
        <v>78</v>
      </c>
      <c r="U33" s="12">
        <v>10</v>
      </c>
      <c r="V33" s="13">
        <v>10</v>
      </c>
      <c r="W33" s="123"/>
      <c r="X33" s="427"/>
      <c r="Y33" s="427"/>
    </row>
    <row r="34" spans="2:25" x14ac:dyDescent="0.3">
      <c r="B34" s="471"/>
      <c r="C34" s="466"/>
      <c r="D34" s="501"/>
      <c r="E34" s="57" t="s">
        <v>27</v>
      </c>
      <c r="F34" s="58" t="s">
        <v>64</v>
      </c>
      <c r="G34" s="14">
        <v>33</v>
      </c>
      <c r="H34" s="15">
        <v>33</v>
      </c>
      <c r="I34" s="16">
        <v>0.63636363636363635</v>
      </c>
      <c r="J34" s="44">
        <f t="shared" si="0"/>
        <v>21</v>
      </c>
      <c r="K34" s="17">
        <v>0.24242424242424243</v>
      </c>
      <c r="L34" s="44">
        <f t="shared" si="1"/>
        <v>8</v>
      </c>
      <c r="M34" s="17">
        <v>0.875</v>
      </c>
      <c r="N34" s="39">
        <f t="shared" si="2"/>
        <v>7</v>
      </c>
      <c r="O34" s="18"/>
      <c r="P34" s="15"/>
      <c r="Q34" s="18"/>
      <c r="R34" s="15"/>
      <c r="S34" s="18">
        <v>33</v>
      </c>
      <c r="T34" s="15">
        <v>33</v>
      </c>
      <c r="U34" s="18">
        <v>0</v>
      </c>
      <c r="V34" s="19">
        <v>0</v>
      </c>
      <c r="W34" s="123"/>
      <c r="X34" s="427"/>
      <c r="Y34" s="427"/>
    </row>
    <row r="35" spans="2:25" x14ac:dyDescent="0.3">
      <c r="B35" s="471"/>
      <c r="C35" s="466"/>
      <c r="D35" s="501"/>
      <c r="E35" s="57" t="s">
        <v>29</v>
      </c>
      <c r="F35" s="58" t="s">
        <v>64</v>
      </c>
      <c r="G35" s="14">
        <v>14</v>
      </c>
      <c r="H35" s="15">
        <v>14</v>
      </c>
      <c r="I35" s="16">
        <v>0.6428571428571429</v>
      </c>
      <c r="J35" s="44">
        <f t="shared" si="0"/>
        <v>9</v>
      </c>
      <c r="K35" s="17">
        <v>0.5</v>
      </c>
      <c r="L35" s="44">
        <f t="shared" si="1"/>
        <v>7</v>
      </c>
      <c r="M35" s="17">
        <v>0.5714285714285714</v>
      </c>
      <c r="N35" s="39">
        <f t="shared" si="2"/>
        <v>4</v>
      </c>
      <c r="O35" s="18"/>
      <c r="P35" s="15"/>
      <c r="Q35" s="18"/>
      <c r="R35" s="15"/>
      <c r="S35" s="18">
        <v>14</v>
      </c>
      <c r="T35" s="15">
        <v>14</v>
      </c>
      <c r="U35" s="18">
        <v>0</v>
      </c>
      <c r="V35" s="19">
        <v>0</v>
      </c>
      <c r="W35" s="123"/>
      <c r="X35" s="427"/>
      <c r="Y35" s="427"/>
    </row>
    <row r="36" spans="2:25" x14ac:dyDescent="0.3">
      <c r="B36" s="471"/>
      <c r="C36" s="466"/>
      <c r="D36" s="501"/>
      <c r="E36" s="57" t="s">
        <v>30</v>
      </c>
      <c r="F36" s="58" t="s">
        <v>64</v>
      </c>
      <c r="G36" s="14">
        <v>23</v>
      </c>
      <c r="H36" s="15">
        <v>23</v>
      </c>
      <c r="I36" s="16">
        <v>0.65217391304347827</v>
      </c>
      <c r="J36" s="44">
        <f t="shared" si="0"/>
        <v>15</v>
      </c>
      <c r="K36" s="17">
        <v>0.47826086956521741</v>
      </c>
      <c r="L36" s="44">
        <f t="shared" si="1"/>
        <v>11</v>
      </c>
      <c r="M36" s="17">
        <v>0.72727272727272729</v>
      </c>
      <c r="N36" s="39">
        <f t="shared" si="2"/>
        <v>8</v>
      </c>
      <c r="O36" s="18"/>
      <c r="P36" s="15"/>
      <c r="Q36" s="18"/>
      <c r="R36" s="15"/>
      <c r="S36" s="18">
        <v>20</v>
      </c>
      <c r="T36" s="15">
        <v>20</v>
      </c>
      <c r="U36" s="18">
        <v>3</v>
      </c>
      <c r="V36" s="19">
        <v>3</v>
      </c>
      <c r="W36" s="123"/>
      <c r="X36" s="427"/>
      <c r="Y36" s="427"/>
    </row>
    <row r="37" spans="2:25" x14ac:dyDescent="0.3">
      <c r="B37" s="471"/>
      <c r="C37" s="466"/>
      <c r="D37" s="501"/>
      <c r="E37" s="61" t="s">
        <v>31</v>
      </c>
      <c r="F37" s="62" t="s">
        <v>64</v>
      </c>
      <c r="G37" s="14">
        <v>36</v>
      </c>
      <c r="H37" s="15">
        <v>36</v>
      </c>
      <c r="I37" s="16">
        <v>0.5</v>
      </c>
      <c r="J37" s="44">
        <f t="shared" si="0"/>
        <v>18</v>
      </c>
      <c r="K37" s="17">
        <v>0.47222222222222221</v>
      </c>
      <c r="L37" s="44">
        <f t="shared" si="1"/>
        <v>17</v>
      </c>
      <c r="M37" s="17">
        <v>0.76470588235294112</v>
      </c>
      <c r="N37" s="39">
        <f t="shared" si="2"/>
        <v>13</v>
      </c>
      <c r="O37" s="18"/>
      <c r="P37" s="15"/>
      <c r="Q37" s="18"/>
      <c r="R37" s="15"/>
      <c r="S37" s="18">
        <v>36</v>
      </c>
      <c r="T37" s="15">
        <v>36</v>
      </c>
      <c r="U37" s="18">
        <v>0</v>
      </c>
      <c r="V37" s="19">
        <v>0</v>
      </c>
      <c r="W37" s="123"/>
      <c r="X37" s="427"/>
      <c r="Y37" s="427"/>
    </row>
    <row r="38" spans="2:25" x14ac:dyDescent="0.3">
      <c r="B38" s="471"/>
      <c r="C38" s="466"/>
      <c r="D38" s="501"/>
      <c r="E38" s="63" t="s">
        <v>32</v>
      </c>
      <c r="F38" s="64" t="s">
        <v>64</v>
      </c>
      <c r="G38" s="20">
        <v>45</v>
      </c>
      <c r="H38" s="21">
        <v>45</v>
      </c>
      <c r="I38" s="22">
        <v>0.57777777777777772</v>
      </c>
      <c r="J38" s="45">
        <f t="shared" si="0"/>
        <v>25.999999999999996</v>
      </c>
      <c r="K38" s="23">
        <v>0.42222222222222222</v>
      </c>
      <c r="L38" s="45">
        <f t="shared" si="1"/>
        <v>19</v>
      </c>
      <c r="M38" s="23">
        <v>0.73684210526315785</v>
      </c>
      <c r="N38" s="40">
        <f t="shared" si="2"/>
        <v>14</v>
      </c>
      <c r="O38" s="24"/>
      <c r="P38" s="21"/>
      <c r="Q38" s="24"/>
      <c r="R38" s="21"/>
      <c r="S38" s="24">
        <v>39</v>
      </c>
      <c r="T38" s="21">
        <v>39</v>
      </c>
      <c r="U38" s="24">
        <v>6</v>
      </c>
      <c r="V38" s="25">
        <v>6</v>
      </c>
      <c r="W38" s="123"/>
      <c r="X38" s="427"/>
      <c r="Y38" s="427"/>
    </row>
    <row r="39" spans="2:25" ht="15.6" x14ac:dyDescent="0.3">
      <c r="B39" s="472"/>
      <c r="C39" s="467"/>
      <c r="D39" s="76" t="s">
        <v>144</v>
      </c>
      <c r="E39" s="424"/>
      <c r="F39" s="425"/>
      <c r="G39" s="26">
        <f>SUM(G33:G38)</f>
        <v>239</v>
      </c>
      <c r="H39" s="27">
        <f>SUM(H33:H38)</f>
        <v>239</v>
      </c>
      <c r="I39" s="28">
        <f>J39/G39</f>
        <v>0.59414225941422594</v>
      </c>
      <c r="J39" s="46">
        <f>SUM(J33:J38)</f>
        <v>142</v>
      </c>
      <c r="K39" s="29">
        <f>L39/G39</f>
        <v>0.39330543933054396</v>
      </c>
      <c r="L39" s="46">
        <f>SUM(L33:L38)</f>
        <v>94</v>
      </c>
      <c r="M39" s="29">
        <f>N39/L39</f>
        <v>0.77659574468085102</v>
      </c>
      <c r="N39" s="41">
        <f>SUM(N33:N38)</f>
        <v>73</v>
      </c>
      <c r="O39" s="30"/>
      <c r="P39" s="27"/>
      <c r="Q39" s="30"/>
      <c r="R39" s="27"/>
      <c r="S39" s="30">
        <f>SUM(S33:S38)</f>
        <v>220</v>
      </c>
      <c r="T39" s="27">
        <f>SUM(T33:T38)</f>
        <v>220</v>
      </c>
      <c r="U39" s="30">
        <f>SUM(U33:U38)</f>
        <v>19</v>
      </c>
      <c r="V39" s="31">
        <f>SUM(V33:V38)</f>
        <v>19</v>
      </c>
      <c r="W39" s="123"/>
      <c r="X39" s="427"/>
      <c r="Y39" s="427"/>
    </row>
    <row r="40" spans="2:25" ht="15" customHeight="1" x14ac:dyDescent="0.3">
      <c r="B40" s="470" t="s">
        <v>47</v>
      </c>
      <c r="C40" s="475" t="s">
        <v>78</v>
      </c>
      <c r="D40" s="475">
        <v>10</v>
      </c>
      <c r="E40" s="73" t="s">
        <v>33</v>
      </c>
      <c r="F40" s="65" t="s">
        <v>64</v>
      </c>
      <c r="G40" s="8">
        <v>59</v>
      </c>
      <c r="H40" s="9">
        <f>G40</f>
        <v>59</v>
      </c>
      <c r="I40" s="10">
        <v>0.51</v>
      </c>
      <c r="J40" s="43">
        <f t="shared" si="0"/>
        <v>30.09</v>
      </c>
      <c r="K40" s="11">
        <v>0.44</v>
      </c>
      <c r="L40" s="43">
        <f t="shared" si="1"/>
        <v>25.96</v>
      </c>
      <c r="M40" s="11">
        <v>0.62</v>
      </c>
      <c r="N40" s="38">
        <f t="shared" si="2"/>
        <v>16.095200000000002</v>
      </c>
      <c r="O40" s="12"/>
      <c r="P40" s="9"/>
      <c r="Q40" s="12"/>
      <c r="R40" s="9"/>
      <c r="S40" s="12"/>
      <c r="T40" s="9"/>
      <c r="U40" s="12"/>
      <c r="V40" s="13"/>
      <c r="W40" s="123"/>
      <c r="X40" s="427"/>
      <c r="Y40" s="427"/>
    </row>
    <row r="41" spans="2:25" ht="15" customHeight="1" x14ac:dyDescent="0.3">
      <c r="B41" s="471"/>
      <c r="C41" s="476"/>
      <c r="D41" s="476"/>
      <c r="E41" s="74" t="s">
        <v>34</v>
      </c>
      <c r="F41" s="62" t="s">
        <v>64</v>
      </c>
      <c r="G41" s="14">
        <v>45</v>
      </c>
      <c r="H41" s="15">
        <f>G41</f>
        <v>45</v>
      </c>
      <c r="I41" s="16">
        <v>0.57999999999999996</v>
      </c>
      <c r="J41" s="44">
        <f t="shared" si="0"/>
        <v>26.099999999999998</v>
      </c>
      <c r="K41" s="17">
        <v>0.44</v>
      </c>
      <c r="L41" s="44">
        <f t="shared" si="1"/>
        <v>19.8</v>
      </c>
      <c r="M41" s="17">
        <v>0.65</v>
      </c>
      <c r="N41" s="39">
        <f t="shared" si="2"/>
        <v>12.870000000000001</v>
      </c>
      <c r="O41" s="18"/>
      <c r="P41" s="15"/>
      <c r="Q41" s="18"/>
      <c r="R41" s="15"/>
      <c r="S41" s="18"/>
      <c r="T41" s="15"/>
      <c r="U41" s="18"/>
      <c r="V41" s="19"/>
      <c r="W41" s="123"/>
      <c r="X41" s="427"/>
      <c r="Y41" s="427"/>
    </row>
    <row r="42" spans="2:25" ht="15" customHeight="1" x14ac:dyDescent="0.3">
      <c r="B42" s="471"/>
      <c r="C42" s="476"/>
      <c r="D42" s="476"/>
      <c r="E42" s="74" t="s">
        <v>49</v>
      </c>
      <c r="F42" s="62" t="s">
        <v>64</v>
      </c>
      <c r="G42" s="14">
        <v>16</v>
      </c>
      <c r="H42" s="15">
        <f t="shared" ref="H42:H44" si="12">G42</f>
        <v>16</v>
      </c>
      <c r="I42" s="16">
        <v>0.44</v>
      </c>
      <c r="J42" s="44">
        <f t="shared" si="0"/>
        <v>7.04</v>
      </c>
      <c r="K42" s="17">
        <v>0.31</v>
      </c>
      <c r="L42" s="44">
        <f t="shared" si="1"/>
        <v>4.96</v>
      </c>
      <c r="M42" s="17">
        <v>0.4</v>
      </c>
      <c r="N42" s="39">
        <f t="shared" si="2"/>
        <v>1.984</v>
      </c>
      <c r="O42" s="18"/>
      <c r="P42" s="15"/>
      <c r="Q42" s="18"/>
      <c r="R42" s="15"/>
      <c r="S42" s="18"/>
      <c r="T42" s="15"/>
      <c r="U42" s="18"/>
      <c r="V42" s="19"/>
      <c r="W42" s="123"/>
      <c r="X42" s="427"/>
      <c r="Y42" s="427"/>
    </row>
    <row r="43" spans="2:25" ht="15" customHeight="1" x14ac:dyDescent="0.3">
      <c r="B43" s="471"/>
      <c r="C43" s="476"/>
      <c r="D43" s="476"/>
      <c r="E43" s="74" t="s">
        <v>48</v>
      </c>
      <c r="F43" s="62" t="s">
        <v>64</v>
      </c>
      <c r="G43" s="14">
        <v>31</v>
      </c>
      <c r="H43" s="15">
        <f t="shared" si="12"/>
        <v>31</v>
      </c>
      <c r="I43" s="16">
        <v>0.28999999999999998</v>
      </c>
      <c r="J43" s="44">
        <f t="shared" si="0"/>
        <v>8.99</v>
      </c>
      <c r="K43" s="17">
        <v>0.32</v>
      </c>
      <c r="L43" s="44">
        <f t="shared" si="1"/>
        <v>9.92</v>
      </c>
      <c r="M43" s="17">
        <v>0.3</v>
      </c>
      <c r="N43" s="39">
        <f t="shared" si="2"/>
        <v>2.976</v>
      </c>
      <c r="O43" s="18"/>
      <c r="P43" s="15"/>
      <c r="Q43" s="18"/>
      <c r="R43" s="15"/>
      <c r="S43" s="18"/>
      <c r="T43" s="15"/>
      <c r="U43" s="18"/>
      <c r="V43" s="19"/>
      <c r="W43" s="123"/>
      <c r="X43" s="427"/>
      <c r="Y43" s="427"/>
    </row>
    <row r="44" spans="2:25" ht="15" customHeight="1" x14ac:dyDescent="0.3">
      <c r="B44" s="471"/>
      <c r="C44" s="476"/>
      <c r="D44" s="476"/>
      <c r="E44" s="74" t="s">
        <v>36</v>
      </c>
      <c r="F44" s="62" t="s">
        <v>64</v>
      </c>
      <c r="G44" s="14">
        <v>3</v>
      </c>
      <c r="H44" s="15">
        <f t="shared" si="12"/>
        <v>3</v>
      </c>
      <c r="I44" s="16">
        <v>0</v>
      </c>
      <c r="J44" s="44">
        <f t="shared" si="0"/>
        <v>0</v>
      </c>
      <c r="K44" s="17">
        <v>0</v>
      </c>
      <c r="L44" s="44">
        <f t="shared" si="1"/>
        <v>0</v>
      </c>
      <c r="M44" s="17" t="s">
        <v>21</v>
      </c>
      <c r="N44" s="39" t="str">
        <f t="shared" si="2"/>
        <v>-</v>
      </c>
      <c r="O44" s="18"/>
      <c r="P44" s="15"/>
      <c r="Q44" s="18"/>
      <c r="R44" s="15"/>
      <c r="S44" s="18"/>
      <c r="T44" s="15"/>
      <c r="U44" s="18"/>
      <c r="V44" s="19"/>
      <c r="W44" s="123"/>
      <c r="X44" s="427"/>
      <c r="Y44" s="427"/>
    </row>
    <row r="45" spans="2:25" ht="15" customHeight="1" x14ac:dyDescent="0.3">
      <c r="B45" s="471"/>
      <c r="C45" s="476"/>
      <c r="D45" s="476"/>
      <c r="E45" s="74" t="s">
        <v>35</v>
      </c>
      <c r="F45" s="62" t="s">
        <v>64</v>
      </c>
      <c r="G45" s="14">
        <v>13</v>
      </c>
      <c r="H45" s="15">
        <f>G45</f>
        <v>13</v>
      </c>
      <c r="I45" s="16">
        <v>0.23</v>
      </c>
      <c r="J45" s="44">
        <f t="shared" si="0"/>
        <v>2.99</v>
      </c>
      <c r="K45" s="17">
        <v>0.15</v>
      </c>
      <c r="L45" s="44">
        <f t="shared" si="1"/>
        <v>1.95</v>
      </c>
      <c r="M45" s="17">
        <v>0.5</v>
      </c>
      <c r="N45" s="39">
        <f t="shared" si="2"/>
        <v>0.97499999999999998</v>
      </c>
      <c r="O45" s="18"/>
      <c r="P45" s="15"/>
      <c r="Q45" s="18"/>
      <c r="R45" s="15"/>
      <c r="S45" s="18"/>
      <c r="T45" s="15"/>
      <c r="U45" s="18"/>
      <c r="V45" s="19"/>
      <c r="W45" s="123"/>
      <c r="X45" s="427"/>
      <c r="Y45" s="427"/>
    </row>
    <row r="46" spans="2:25" ht="15.75" customHeight="1" x14ac:dyDescent="0.3">
      <c r="B46" s="471"/>
      <c r="C46" s="476"/>
      <c r="D46" s="476"/>
      <c r="E46" s="74" t="s">
        <v>154</v>
      </c>
      <c r="F46" s="62"/>
      <c r="G46" s="14"/>
      <c r="H46" s="15"/>
      <c r="I46" s="16"/>
      <c r="J46" s="44"/>
      <c r="K46" s="17"/>
      <c r="L46" s="44"/>
      <c r="M46" s="17"/>
      <c r="N46" s="39"/>
      <c r="O46" s="18"/>
      <c r="P46" s="15"/>
      <c r="Q46" s="18"/>
      <c r="R46" s="15"/>
      <c r="S46" s="18"/>
      <c r="T46" s="15"/>
      <c r="U46" s="18"/>
      <c r="V46" s="19"/>
      <c r="W46" s="123"/>
      <c r="X46" s="427"/>
      <c r="Y46" s="427"/>
    </row>
    <row r="47" spans="2:25" ht="15.75" customHeight="1" x14ac:dyDescent="0.3">
      <c r="B47" s="471"/>
      <c r="C47" s="476"/>
      <c r="D47" s="477"/>
      <c r="E47" s="75" t="s">
        <v>153</v>
      </c>
      <c r="F47" s="64"/>
      <c r="G47" s="20"/>
      <c r="H47" s="21"/>
      <c r="I47" s="22"/>
      <c r="J47" s="45"/>
      <c r="K47" s="23"/>
      <c r="L47" s="45"/>
      <c r="M47" s="23"/>
      <c r="N47" s="40"/>
      <c r="O47" s="24"/>
      <c r="P47" s="21"/>
      <c r="Q47" s="24"/>
      <c r="R47" s="21"/>
      <c r="S47" s="24"/>
      <c r="T47" s="21"/>
      <c r="U47" s="24"/>
      <c r="V47" s="25"/>
      <c r="W47" s="123"/>
      <c r="X47" s="427"/>
      <c r="Y47" s="427"/>
    </row>
    <row r="48" spans="2:25" ht="15.6" x14ac:dyDescent="0.3">
      <c r="B48" s="472"/>
      <c r="C48" s="477"/>
      <c r="D48" s="420" t="s">
        <v>144</v>
      </c>
      <c r="E48" s="426"/>
      <c r="F48" s="425"/>
      <c r="G48" s="26">
        <f>SUM(G40:G45)</f>
        <v>167</v>
      </c>
      <c r="H48" s="27">
        <f>SUM(H40:H45)</f>
        <v>167</v>
      </c>
      <c r="I48" s="28">
        <f>J48/G48</f>
        <v>0.45035928143712572</v>
      </c>
      <c r="J48" s="46">
        <f>SUM(J40:J45)</f>
        <v>75.209999999999994</v>
      </c>
      <c r="K48" s="29">
        <f>L48/G48</f>
        <v>0.37479041916167671</v>
      </c>
      <c r="L48" s="46">
        <f>SUM(L40:L45)</f>
        <v>62.590000000000011</v>
      </c>
      <c r="M48" s="29">
        <f>N48/L48</f>
        <v>0.55760025563189008</v>
      </c>
      <c r="N48" s="41">
        <f>SUM(N40:N45)</f>
        <v>34.900200000000005</v>
      </c>
      <c r="O48" s="30"/>
      <c r="P48" s="27"/>
      <c r="Q48" s="30"/>
      <c r="R48" s="27"/>
      <c r="S48" s="30"/>
      <c r="T48" s="27"/>
      <c r="U48" s="30"/>
      <c r="V48" s="31"/>
      <c r="W48" s="123"/>
      <c r="X48" s="427"/>
      <c r="Y48" s="427"/>
    </row>
    <row r="49" spans="2:25" ht="15" customHeight="1" x14ac:dyDescent="0.3">
      <c r="B49" s="470" t="s">
        <v>2</v>
      </c>
      <c r="C49" s="465" t="s">
        <v>78</v>
      </c>
      <c r="D49" s="465">
        <v>14</v>
      </c>
      <c r="E49" s="55" t="s">
        <v>38</v>
      </c>
      <c r="F49" s="56" t="s">
        <v>62</v>
      </c>
      <c r="G49" s="8">
        <v>217</v>
      </c>
      <c r="H49" s="9">
        <v>102</v>
      </c>
      <c r="I49" s="10">
        <v>0.28999999999999998</v>
      </c>
      <c r="J49" s="43">
        <f t="shared" si="0"/>
        <v>62.929999999999993</v>
      </c>
      <c r="K49" s="11">
        <v>0.32</v>
      </c>
      <c r="L49" s="43">
        <v>69</v>
      </c>
      <c r="M49" s="11" t="s">
        <v>21</v>
      </c>
      <c r="N49" s="38" t="str">
        <f t="shared" si="2"/>
        <v>-</v>
      </c>
      <c r="O49" s="12">
        <v>27</v>
      </c>
      <c r="P49" s="9">
        <v>8</v>
      </c>
      <c r="Q49" s="12">
        <v>33</v>
      </c>
      <c r="R49" s="9">
        <v>14</v>
      </c>
      <c r="S49" s="12">
        <v>241</v>
      </c>
      <c r="T49" s="9">
        <v>112</v>
      </c>
      <c r="U49" s="12">
        <v>9</v>
      </c>
      <c r="V49" s="13">
        <v>4</v>
      </c>
      <c r="W49" s="123"/>
      <c r="X49" s="427"/>
      <c r="Y49" s="427"/>
    </row>
    <row r="50" spans="2:25" ht="15" customHeight="1" x14ac:dyDescent="0.3">
      <c r="B50" s="471"/>
      <c r="C50" s="466"/>
      <c r="D50" s="466"/>
      <c r="E50" s="57" t="s">
        <v>39</v>
      </c>
      <c r="F50" s="58" t="s">
        <v>64</v>
      </c>
      <c r="G50" s="14">
        <v>156</v>
      </c>
      <c r="H50" s="15">
        <v>87</v>
      </c>
      <c r="I50" s="16">
        <v>0.4</v>
      </c>
      <c r="J50" s="44">
        <f t="shared" si="0"/>
        <v>62.400000000000006</v>
      </c>
      <c r="K50" s="17">
        <v>0.39</v>
      </c>
      <c r="L50" s="44">
        <v>61</v>
      </c>
      <c r="M50" s="17" t="s">
        <v>21</v>
      </c>
      <c r="N50" s="39" t="str">
        <f t="shared" si="2"/>
        <v>-</v>
      </c>
      <c r="O50" s="18">
        <v>7</v>
      </c>
      <c r="P50" s="15">
        <v>5</v>
      </c>
      <c r="Q50" s="18">
        <v>4</v>
      </c>
      <c r="R50" s="15">
        <v>1</v>
      </c>
      <c r="S50" s="18">
        <v>146</v>
      </c>
      <c r="T50" s="15">
        <v>81</v>
      </c>
      <c r="U50" s="18">
        <v>14</v>
      </c>
      <c r="V50" s="19">
        <v>7</v>
      </c>
      <c r="W50" s="123"/>
      <c r="X50" s="427"/>
      <c r="Y50" s="427"/>
    </row>
    <row r="51" spans="2:25" ht="15" customHeight="1" x14ac:dyDescent="0.3">
      <c r="B51" s="471"/>
      <c r="C51" s="466"/>
      <c r="D51" s="467"/>
      <c r="E51" s="59" t="s">
        <v>40</v>
      </c>
      <c r="F51" s="60" t="s">
        <v>64</v>
      </c>
      <c r="G51" s="20">
        <v>167</v>
      </c>
      <c r="H51" s="21">
        <v>80</v>
      </c>
      <c r="I51" s="22">
        <v>0.26</v>
      </c>
      <c r="J51" s="45">
        <f t="shared" si="0"/>
        <v>43.42</v>
      </c>
      <c r="K51" s="23">
        <v>0.37</v>
      </c>
      <c r="L51" s="45">
        <v>62</v>
      </c>
      <c r="M51" s="23" t="s">
        <v>21</v>
      </c>
      <c r="N51" s="40" t="str">
        <f t="shared" si="2"/>
        <v>-</v>
      </c>
      <c r="O51" s="24">
        <v>7</v>
      </c>
      <c r="P51" s="21">
        <v>3</v>
      </c>
      <c r="Q51" s="24">
        <v>33</v>
      </c>
      <c r="R51" s="21">
        <v>14</v>
      </c>
      <c r="S51" s="24">
        <v>153</v>
      </c>
      <c r="T51" s="21">
        <v>74</v>
      </c>
      <c r="U51" s="24">
        <v>47</v>
      </c>
      <c r="V51" s="25">
        <v>20</v>
      </c>
      <c r="W51" s="123"/>
      <c r="X51" s="427"/>
      <c r="Y51" s="427"/>
    </row>
    <row r="52" spans="2:25" ht="15.6" x14ac:dyDescent="0.3">
      <c r="B52" s="472"/>
      <c r="C52" s="467"/>
      <c r="D52" s="76" t="s">
        <v>144</v>
      </c>
      <c r="E52" s="66"/>
      <c r="F52" s="67"/>
      <c r="G52" s="26">
        <f>SUM(G49:G51)</f>
        <v>540</v>
      </c>
      <c r="H52" s="27">
        <f>SUM(H49:H51)</f>
        <v>269</v>
      </c>
      <c r="I52" s="28">
        <f>J52/G52</f>
        <v>0.3125</v>
      </c>
      <c r="J52" s="46">
        <f>SUM(J49:J51)</f>
        <v>168.75</v>
      </c>
      <c r="K52" s="29">
        <v>0.32</v>
      </c>
      <c r="L52" s="46">
        <f>SUM(L49:L51)</f>
        <v>192</v>
      </c>
      <c r="M52" s="29">
        <f>N52/L52</f>
        <v>0</v>
      </c>
      <c r="N52" s="41">
        <f t="shared" ref="N52:V52" si="13">SUM(N49:N51)</f>
        <v>0</v>
      </c>
      <c r="O52" s="30">
        <f t="shared" si="13"/>
        <v>41</v>
      </c>
      <c r="P52" s="27">
        <f t="shared" si="13"/>
        <v>16</v>
      </c>
      <c r="Q52" s="30">
        <f t="shared" si="13"/>
        <v>70</v>
      </c>
      <c r="R52" s="27">
        <f t="shared" si="13"/>
        <v>29</v>
      </c>
      <c r="S52" s="30">
        <f t="shared" si="13"/>
        <v>540</v>
      </c>
      <c r="T52" s="27">
        <f t="shared" si="13"/>
        <v>267</v>
      </c>
      <c r="U52" s="30">
        <f t="shared" si="13"/>
        <v>70</v>
      </c>
      <c r="V52" s="31">
        <f t="shared" si="13"/>
        <v>31</v>
      </c>
      <c r="W52" s="123"/>
      <c r="X52" s="427"/>
      <c r="Y52" s="427"/>
    </row>
    <row r="53" spans="2:25" ht="15.6" x14ac:dyDescent="0.3">
      <c r="B53" s="7" t="s">
        <v>74</v>
      </c>
      <c r="C53" s="76" t="s">
        <v>78</v>
      </c>
      <c r="D53" s="76">
        <v>2</v>
      </c>
      <c r="E53" s="66" t="s">
        <v>37</v>
      </c>
      <c r="F53" s="67" t="s">
        <v>64</v>
      </c>
      <c r="G53" s="26">
        <v>21</v>
      </c>
      <c r="H53" s="27">
        <v>8</v>
      </c>
      <c r="I53" s="28">
        <v>0.28999999999999998</v>
      </c>
      <c r="J53" s="46">
        <f t="shared" si="0"/>
        <v>6.09</v>
      </c>
      <c r="K53" s="29">
        <v>0.32</v>
      </c>
      <c r="L53" s="46">
        <f t="shared" si="1"/>
        <v>6.72</v>
      </c>
      <c r="M53" s="29" t="s">
        <v>21</v>
      </c>
      <c r="N53" s="41">
        <v>0</v>
      </c>
      <c r="O53" s="30">
        <v>1</v>
      </c>
      <c r="P53" s="27">
        <v>0</v>
      </c>
      <c r="Q53" s="30">
        <v>7</v>
      </c>
      <c r="R53" s="27">
        <v>5</v>
      </c>
      <c r="S53" s="30">
        <v>19</v>
      </c>
      <c r="T53" s="27">
        <v>8</v>
      </c>
      <c r="U53" s="30">
        <v>9</v>
      </c>
      <c r="V53" s="31">
        <v>5</v>
      </c>
      <c r="W53" s="123"/>
      <c r="X53" s="427"/>
      <c r="Y53" s="427"/>
    </row>
    <row r="54" spans="2:25" ht="15.75" customHeight="1" thickBot="1" x14ac:dyDescent="0.35">
      <c r="B54" s="470" t="s">
        <v>3</v>
      </c>
      <c r="C54" s="468" t="s">
        <v>78</v>
      </c>
      <c r="D54" s="501">
        <v>14</v>
      </c>
      <c r="E54" s="55" t="s">
        <v>50</v>
      </c>
      <c r="F54" s="56" t="s">
        <v>63</v>
      </c>
      <c r="G54" s="8">
        <f>17+25</f>
        <v>42</v>
      </c>
      <c r="H54" s="9">
        <f>G54</f>
        <v>42</v>
      </c>
      <c r="I54" s="10">
        <f>17/G54</f>
        <v>0.40476190476190477</v>
      </c>
      <c r="J54" s="43">
        <f t="shared" si="0"/>
        <v>17</v>
      </c>
      <c r="K54" s="11">
        <f>21/G54</f>
        <v>0.5</v>
      </c>
      <c r="L54" s="43">
        <f t="shared" si="1"/>
        <v>21</v>
      </c>
      <c r="M54" s="11"/>
      <c r="N54" s="38"/>
      <c r="O54" s="12"/>
      <c r="P54" s="9"/>
      <c r="Q54" s="12"/>
      <c r="R54" s="9"/>
      <c r="S54" s="12"/>
      <c r="T54" s="9"/>
      <c r="U54" s="12"/>
      <c r="V54" s="13"/>
      <c r="W54" s="123"/>
      <c r="X54" s="427"/>
      <c r="Y54" s="427"/>
    </row>
    <row r="55" spans="2:25" ht="15.75" customHeight="1" thickBot="1" x14ac:dyDescent="0.35">
      <c r="B55" s="471"/>
      <c r="C55" s="469"/>
      <c r="D55" s="501"/>
      <c r="E55" s="57" t="s">
        <v>51</v>
      </c>
      <c r="F55" s="58" t="s">
        <v>63</v>
      </c>
      <c r="G55" s="14">
        <f>122+29+119+13</f>
        <v>283</v>
      </c>
      <c r="H55" s="15">
        <f>G55</f>
        <v>283</v>
      </c>
      <c r="I55" s="16">
        <f>(29+13)/G55</f>
        <v>0.14840989399293286</v>
      </c>
      <c r="J55" s="44">
        <f t="shared" si="0"/>
        <v>42</v>
      </c>
      <c r="K55" s="17">
        <f>(65+47)/G55</f>
        <v>0.39575971731448761</v>
      </c>
      <c r="L55" s="44">
        <f t="shared" si="1"/>
        <v>112</v>
      </c>
      <c r="M55" s="17"/>
      <c r="N55" s="39"/>
      <c r="O55" s="18"/>
      <c r="P55" s="15"/>
      <c r="Q55" s="18"/>
      <c r="R55" s="15"/>
      <c r="S55" s="18"/>
      <c r="T55" s="15"/>
      <c r="U55" s="18"/>
      <c r="V55" s="19"/>
      <c r="W55" s="123"/>
      <c r="X55" s="427"/>
      <c r="Y55" s="427"/>
    </row>
    <row r="56" spans="2:25" ht="15.75" customHeight="1" thickBot="1" x14ac:dyDescent="0.35">
      <c r="B56" s="471"/>
      <c r="C56" s="469"/>
      <c r="D56" s="501"/>
      <c r="E56" s="57" t="s">
        <v>83</v>
      </c>
      <c r="F56" s="58" t="s">
        <v>63</v>
      </c>
      <c r="G56" s="14">
        <f>(19+11+31+18)</f>
        <v>79</v>
      </c>
      <c r="H56" s="15">
        <f>G56</f>
        <v>79</v>
      </c>
      <c r="I56" s="16">
        <f>(11+18)/G56</f>
        <v>0.36708860759493672</v>
      </c>
      <c r="J56" s="44">
        <f t="shared" ref="J56" si="14">I56*G56</f>
        <v>29</v>
      </c>
      <c r="K56" s="17">
        <f>(5+28)/G56</f>
        <v>0.41772151898734178</v>
      </c>
      <c r="L56" s="44">
        <f t="shared" ref="L56" si="15">K56*G56</f>
        <v>33</v>
      </c>
      <c r="M56" s="17"/>
      <c r="N56" s="39"/>
      <c r="O56" s="18"/>
      <c r="P56" s="15"/>
      <c r="Q56" s="18"/>
      <c r="R56" s="15"/>
      <c r="S56" s="18"/>
      <c r="T56" s="15"/>
      <c r="U56" s="18"/>
      <c r="V56" s="19"/>
      <c r="W56" s="123"/>
      <c r="X56" s="427"/>
      <c r="Y56" s="427"/>
    </row>
    <row r="57" spans="2:25" ht="15.75" customHeight="1" thickBot="1" x14ac:dyDescent="0.35">
      <c r="B57" s="471"/>
      <c r="C57" s="469"/>
      <c r="D57" s="501"/>
      <c r="E57" s="57" t="s">
        <v>75</v>
      </c>
      <c r="F57" s="58" t="s">
        <v>63</v>
      </c>
      <c r="G57" s="14">
        <f>15+8+12+6+33+34</f>
        <v>108</v>
      </c>
      <c r="H57" s="15">
        <f t="shared" ref="H57:H63" si="16">G57</f>
        <v>108</v>
      </c>
      <c r="I57" s="16">
        <f>(8+6+33)/G57</f>
        <v>0.43518518518518517</v>
      </c>
      <c r="J57" s="44">
        <f t="shared" si="0"/>
        <v>47</v>
      </c>
      <c r="K57" s="17">
        <f>(12+6+33)/G57</f>
        <v>0.47222222222222221</v>
      </c>
      <c r="L57" s="44">
        <f t="shared" si="1"/>
        <v>51</v>
      </c>
      <c r="M57" s="17"/>
      <c r="N57" s="39"/>
      <c r="O57" s="18"/>
      <c r="P57" s="15"/>
      <c r="Q57" s="18"/>
      <c r="R57" s="15"/>
      <c r="S57" s="18"/>
      <c r="T57" s="15"/>
      <c r="U57" s="18"/>
      <c r="V57" s="19"/>
      <c r="W57" s="123"/>
      <c r="X57" s="427"/>
      <c r="Y57" s="427"/>
    </row>
    <row r="58" spans="2:25" ht="15.75" customHeight="1" thickBot="1" x14ac:dyDescent="0.35">
      <c r="B58" s="471"/>
      <c r="C58" s="469"/>
      <c r="D58" s="501"/>
      <c r="E58" s="57" t="s">
        <v>52</v>
      </c>
      <c r="F58" s="58" t="s">
        <v>63</v>
      </c>
      <c r="G58" s="14">
        <f>56+28+19+14</f>
        <v>117</v>
      </c>
      <c r="H58" s="15">
        <f t="shared" si="16"/>
        <v>117</v>
      </c>
      <c r="I58" s="16">
        <f>(28+14)/G58</f>
        <v>0.35897435897435898</v>
      </c>
      <c r="J58" s="44">
        <f t="shared" si="0"/>
        <v>42</v>
      </c>
      <c r="K58" s="17">
        <f>(31+21)/G58</f>
        <v>0.44444444444444442</v>
      </c>
      <c r="L58" s="44">
        <f t="shared" si="1"/>
        <v>52</v>
      </c>
      <c r="M58" s="17"/>
      <c r="N58" s="39"/>
      <c r="O58" s="18"/>
      <c r="P58" s="15"/>
      <c r="Q58" s="18"/>
      <c r="R58" s="15"/>
      <c r="S58" s="18"/>
      <c r="T58" s="15"/>
      <c r="U58" s="18"/>
      <c r="V58" s="19"/>
      <c r="W58" s="123"/>
      <c r="X58" s="427"/>
      <c r="Y58" s="427"/>
    </row>
    <row r="59" spans="2:25" ht="15.75" customHeight="1" thickBot="1" x14ac:dyDescent="0.35">
      <c r="B59" s="471"/>
      <c r="C59" s="469"/>
      <c r="D59" s="501"/>
      <c r="E59" s="57" t="s">
        <v>151</v>
      </c>
      <c r="F59" s="58"/>
      <c r="G59" s="14"/>
      <c r="H59" s="15"/>
      <c r="I59" s="16"/>
      <c r="J59" s="44"/>
      <c r="K59" s="17"/>
      <c r="L59" s="44"/>
      <c r="M59" s="17"/>
      <c r="N59" s="444"/>
      <c r="O59" s="18"/>
      <c r="P59" s="15"/>
      <c r="Q59" s="18"/>
      <c r="R59" s="15"/>
      <c r="S59" s="18"/>
      <c r="T59" s="15"/>
      <c r="U59" s="18"/>
      <c r="V59" s="19"/>
      <c r="W59" s="123"/>
      <c r="X59" s="427"/>
      <c r="Y59" s="427"/>
    </row>
    <row r="60" spans="2:25" ht="15.75" customHeight="1" thickBot="1" x14ac:dyDescent="0.35">
      <c r="B60" s="471"/>
      <c r="C60" s="469"/>
      <c r="D60" s="501"/>
      <c r="E60" s="57" t="s">
        <v>150</v>
      </c>
      <c r="F60" s="58"/>
      <c r="G60" s="14"/>
      <c r="H60" s="15"/>
      <c r="I60" s="16"/>
      <c r="J60" s="44"/>
      <c r="K60" s="17"/>
      <c r="L60" s="44"/>
      <c r="M60" s="17"/>
      <c r="N60" s="444"/>
      <c r="O60" s="18"/>
      <c r="P60" s="15"/>
      <c r="Q60" s="18"/>
      <c r="R60" s="15"/>
      <c r="S60" s="18"/>
      <c r="T60" s="15"/>
      <c r="U60" s="18"/>
      <c r="V60" s="19"/>
      <c r="W60" s="123"/>
      <c r="X60" s="427"/>
      <c r="Y60" s="427"/>
    </row>
    <row r="61" spans="2:25" ht="15.75" customHeight="1" thickBot="1" x14ac:dyDescent="0.35">
      <c r="B61" s="471"/>
      <c r="C61" s="469"/>
      <c r="D61" s="501"/>
      <c r="E61" s="57" t="s">
        <v>82</v>
      </c>
      <c r="F61" s="58" t="s">
        <v>63</v>
      </c>
      <c r="G61" s="14">
        <f>(388+263)</f>
        <v>651</v>
      </c>
      <c r="H61" s="15">
        <f>G61</f>
        <v>651</v>
      </c>
      <c r="I61" s="16">
        <f>263/G61</f>
        <v>0.40399385560675882</v>
      </c>
      <c r="J61" s="44">
        <f t="shared" ref="J61" si="17">I61*G61</f>
        <v>263</v>
      </c>
      <c r="K61" s="17">
        <f>250/G61</f>
        <v>0.38402457757296465</v>
      </c>
      <c r="L61" s="44">
        <f t="shared" ref="L61" si="18">K61*G61</f>
        <v>250</v>
      </c>
      <c r="M61" s="17"/>
      <c r="N61" s="444"/>
      <c r="O61" s="18"/>
      <c r="P61" s="15"/>
      <c r="Q61" s="18"/>
      <c r="R61" s="15"/>
      <c r="S61" s="18"/>
      <c r="T61" s="15"/>
      <c r="U61" s="18"/>
      <c r="V61" s="19"/>
      <c r="W61" s="123"/>
      <c r="X61" s="427"/>
      <c r="Y61" s="427"/>
    </row>
    <row r="62" spans="2:25" ht="15.75" customHeight="1" thickBot="1" x14ac:dyDescent="0.35">
      <c r="B62" s="471"/>
      <c r="C62" s="469"/>
      <c r="D62" s="501"/>
      <c r="E62" s="57" t="s">
        <v>53</v>
      </c>
      <c r="F62" s="58" t="s">
        <v>63</v>
      </c>
      <c r="G62" s="14">
        <f>284+220+60+51</f>
        <v>615</v>
      </c>
      <c r="H62" s="15">
        <f t="shared" si="16"/>
        <v>615</v>
      </c>
      <c r="I62" s="16">
        <f>(220+51)/G62</f>
        <v>0.44065040650406506</v>
      </c>
      <c r="J62" s="44">
        <f t="shared" si="0"/>
        <v>271</v>
      </c>
      <c r="K62" s="17">
        <f>(195+46)/G62</f>
        <v>0.39186991869918697</v>
      </c>
      <c r="L62" s="44">
        <f t="shared" si="1"/>
        <v>241</v>
      </c>
      <c r="M62" s="17"/>
      <c r="N62" s="39"/>
      <c r="O62" s="18"/>
      <c r="P62" s="15"/>
      <c r="Q62" s="18"/>
      <c r="R62" s="15"/>
      <c r="S62" s="18"/>
      <c r="T62" s="15"/>
      <c r="U62" s="18"/>
      <c r="V62" s="19"/>
      <c r="W62" s="123"/>
      <c r="X62" s="427"/>
      <c r="Y62" s="427"/>
    </row>
    <row r="63" spans="2:25" ht="15.75" customHeight="1" thickBot="1" x14ac:dyDescent="0.35">
      <c r="B63" s="471"/>
      <c r="C63" s="469"/>
      <c r="D63" s="501"/>
      <c r="E63" s="59" t="s">
        <v>54</v>
      </c>
      <c r="F63" s="60" t="s">
        <v>63</v>
      </c>
      <c r="G63" s="20">
        <f>215+82+11+8</f>
        <v>316</v>
      </c>
      <c r="H63" s="21">
        <f t="shared" si="16"/>
        <v>316</v>
      </c>
      <c r="I63" s="22">
        <f>(82+8)/G63</f>
        <v>0.2848101265822785</v>
      </c>
      <c r="J63" s="45">
        <f t="shared" si="0"/>
        <v>90</v>
      </c>
      <c r="K63" s="23">
        <f>(116+8)/G63</f>
        <v>0.39240506329113922</v>
      </c>
      <c r="L63" s="45">
        <f t="shared" si="1"/>
        <v>124</v>
      </c>
      <c r="M63" s="23"/>
      <c r="N63" s="40"/>
      <c r="O63" s="24"/>
      <c r="P63" s="21"/>
      <c r="Q63" s="24"/>
      <c r="R63" s="21"/>
      <c r="S63" s="24"/>
      <c r="T63" s="21"/>
      <c r="U63" s="24"/>
      <c r="V63" s="25"/>
      <c r="W63" s="123"/>
      <c r="X63" s="427"/>
      <c r="Y63" s="427"/>
    </row>
    <row r="64" spans="2:25" ht="16.2" thickBot="1" x14ac:dyDescent="0.35">
      <c r="B64" s="478"/>
      <c r="C64" s="469"/>
      <c r="D64" s="250" t="s">
        <v>144</v>
      </c>
      <c r="E64" s="412"/>
      <c r="F64" s="413"/>
      <c r="G64" s="414">
        <f>SUM(G54:G63)</f>
        <v>2211</v>
      </c>
      <c r="H64" s="415">
        <f>SUM(H54:H63)</f>
        <v>2211</v>
      </c>
      <c r="I64" s="28">
        <f>J64/G64</f>
        <v>0.36227951153324289</v>
      </c>
      <c r="J64" s="416">
        <f>SUM(J54:J63)</f>
        <v>801</v>
      </c>
      <c r="K64" s="29">
        <f>L64/G64</f>
        <v>0.39981908638625058</v>
      </c>
      <c r="L64" s="416">
        <f>SUM(L54:L63)</f>
        <v>884</v>
      </c>
      <c r="M64" s="29">
        <f>N64/L64</f>
        <v>0</v>
      </c>
      <c r="N64" s="417">
        <f>SUM(N54:N63)</f>
        <v>0</v>
      </c>
      <c r="O64" s="418"/>
      <c r="P64" s="415"/>
      <c r="Q64" s="418"/>
      <c r="R64" s="415"/>
      <c r="S64" s="418"/>
      <c r="T64" s="415"/>
      <c r="U64" s="418"/>
      <c r="V64" s="419"/>
      <c r="W64" s="123"/>
      <c r="X64" s="427"/>
      <c r="Y64" s="427"/>
    </row>
    <row r="65" spans="1:25" s="54" customFormat="1" ht="21" customHeight="1" thickBot="1" x14ac:dyDescent="0.35">
      <c r="A65" s="127"/>
      <c r="B65" s="78" t="s">
        <v>79</v>
      </c>
      <c r="C65" s="251"/>
      <c r="D65" s="79">
        <f>SUM(D26:D63)</f>
        <v>83</v>
      </c>
      <c r="E65" s="68"/>
      <c r="F65" s="69">
        <f>COUNT(J26:J63)</f>
        <v>34</v>
      </c>
      <c r="G65" s="47">
        <f>G32+G39+G48+G52+G53+G64</f>
        <v>5168</v>
      </c>
      <c r="H65" s="48">
        <f>H32+H39+H48+H52+H53+H64</f>
        <v>3403</v>
      </c>
      <c r="I65" s="49">
        <f>J65/G65</f>
        <v>0.38108359133126929</v>
      </c>
      <c r="J65" s="50">
        <f>J32+J39+J48+J52+J53+J64</f>
        <v>1969.4399999999998</v>
      </c>
      <c r="K65" s="51">
        <f>L65/G65</f>
        <v>0.39171052631578945</v>
      </c>
      <c r="L65" s="50">
        <f>L32+L39+L48+L52+L53+L64</f>
        <v>2024.36</v>
      </c>
      <c r="M65" s="70">
        <f>N65/(SUM(L33:L45))</f>
        <v>0.43058462029610123</v>
      </c>
      <c r="N65" s="71">
        <f>N32+N39+N48+N52+N53+N64</f>
        <v>107.90020000000001</v>
      </c>
      <c r="O65" s="52"/>
      <c r="P65" s="48"/>
      <c r="Q65" s="52"/>
      <c r="R65" s="48"/>
      <c r="S65" s="52"/>
      <c r="T65" s="48"/>
      <c r="U65" s="52"/>
      <c r="V65" s="53"/>
      <c r="W65" s="124"/>
      <c r="X65" s="428"/>
      <c r="Y65" s="428"/>
    </row>
    <row r="66" spans="1:25" s="54" customFormat="1" ht="21" customHeight="1" thickBot="1" x14ac:dyDescent="0.35">
      <c r="A66" s="127"/>
      <c r="B66" s="72" t="s">
        <v>68</v>
      </c>
      <c r="C66" s="79"/>
      <c r="D66" s="77">
        <f>D65+D25</f>
        <v>102</v>
      </c>
      <c r="E66" s="68"/>
      <c r="F66" s="69">
        <f>F65+F25</f>
        <v>52</v>
      </c>
      <c r="G66" s="47">
        <f>G25+G65</f>
        <v>5562</v>
      </c>
      <c r="H66" s="48">
        <f>H25+H65</f>
        <v>3638</v>
      </c>
      <c r="I66" s="49">
        <f>J66/G66</f>
        <v>0.37008450197770582</v>
      </c>
      <c r="J66" s="50">
        <f>J25+J65</f>
        <v>2058.41</v>
      </c>
      <c r="K66" s="51">
        <f>L66/G66</f>
        <v>0.3799676375404531</v>
      </c>
      <c r="L66" s="50">
        <f>L25+L65</f>
        <v>2113.38</v>
      </c>
      <c r="M66" s="70">
        <f>N66/(L5+L16+L17+L19+L21+L23+SUM(L33:L45))</f>
        <v>0.68588107578092172</v>
      </c>
      <c r="N66" s="71">
        <f>N5+N16+N17+N19+N21+N23+SUM(N33:N45)</f>
        <v>195.86020000000002</v>
      </c>
      <c r="O66" s="52"/>
      <c r="P66" s="48"/>
      <c r="Q66" s="52"/>
      <c r="R66" s="48"/>
      <c r="S66" s="52"/>
      <c r="T66" s="48"/>
      <c r="U66" s="52"/>
      <c r="V66" s="53"/>
      <c r="W66" s="124"/>
      <c r="X66" s="428"/>
      <c r="Y66" s="428"/>
    </row>
    <row r="67" spans="1:25" x14ac:dyDescent="0.3">
      <c r="B67" s="5"/>
      <c r="C67" s="36"/>
      <c r="D67" s="36"/>
      <c r="E67" s="5"/>
      <c r="F67" s="36"/>
      <c r="G67" s="36"/>
      <c r="H67" s="36"/>
      <c r="I67" s="37"/>
      <c r="J67" s="42"/>
      <c r="K67" s="37"/>
      <c r="L67" s="42"/>
      <c r="M67" s="507" t="s">
        <v>70</v>
      </c>
      <c r="N67" s="507"/>
      <c r="O67" s="36"/>
      <c r="P67" s="36"/>
      <c r="Q67" s="36"/>
      <c r="R67" s="36"/>
      <c r="S67" s="36"/>
      <c r="T67" s="36"/>
      <c r="U67" s="36"/>
      <c r="V67" s="36"/>
    </row>
    <row r="68" spans="1:25" x14ac:dyDescent="0.3">
      <c r="E68" s="133" t="s">
        <v>69</v>
      </c>
      <c r="F68" s="134"/>
    </row>
    <row r="69" spans="1:25" x14ac:dyDescent="0.3">
      <c r="E69" s="1" t="s">
        <v>62</v>
      </c>
      <c r="F69" s="2">
        <f>COUNTIF(F$5:F$63,E69)</f>
        <v>22</v>
      </c>
    </row>
    <row r="70" spans="1:25" x14ac:dyDescent="0.3">
      <c r="E70" s="1" t="s">
        <v>63</v>
      </c>
      <c r="F70" s="2">
        <f>COUNTIF(F$5:F$63,E70)</f>
        <v>8</v>
      </c>
    </row>
    <row r="71" spans="1:25" x14ac:dyDescent="0.3">
      <c r="E71" s="1" t="s">
        <v>64</v>
      </c>
      <c r="F71" s="2">
        <f>COUNTIF(F$5:F$63,E71)</f>
        <v>17</v>
      </c>
    </row>
  </sheetData>
  <mergeCells count="38">
    <mergeCell ref="M67:N67"/>
    <mergeCell ref="D33:D38"/>
    <mergeCell ref="D49:D51"/>
    <mergeCell ref="D54:D63"/>
    <mergeCell ref="D40:D47"/>
    <mergeCell ref="D26:D31"/>
    <mergeCell ref="F2:F4"/>
    <mergeCell ref="J2:J4"/>
    <mergeCell ref="L2:L4"/>
    <mergeCell ref="N2:N4"/>
    <mergeCell ref="E2:E4"/>
    <mergeCell ref="B2:B4"/>
    <mergeCell ref="S2:T2"/>
    <mergeCell ref="D2:D4"/>
    <mergeCell ref="D6:D14"/>
    <mergeCell ref="D16:D23"/>
    <mergeCell ref="C2:C4"/>
    <mergeCell ref="B6:B15"/>
    <mergeCell ref="B16:B24"/>
    <mergeCell ref="C6:C15"/>
    <mergeCell ref="C16:C24"/>
    <mergeCell ref="U2:V2"/>
    <mergeCell ref="Q2:R2"/>
    <mergeCell ref="O2:P2"/>
    <mergeCell ref="G2:H2"/>
    <mergeCell ref="I2:I4"/>
    <mergeCell ref="K2:K4"/>
    <mergeCell ref="M2:M4"/>
    <mergeCell ref="C49:C52"/>
    <mergeCell ref="C54:C64"/>
    <mergeCell ref="B33:B39"/>
    <mergeCell ref="B26:B32"/>
    <mergeCell ref="C26:C32"/>
    <mergeCell ref="C33:C39"/>
    <mergeCell ref="C40:C48"/>
    <mergeCell ref="B54:B64"/>
    <mergeCell ref="B49:B52"/>
    <mergeCell ref="B40:B48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I25 K25 I65:I66 M24:M25 I23:K24 I15:N15 I64:M64 I48:N48 K65:K66 I61:L63 I54:L58 I53:M53 I32:N45 I52:J52 I49:K49 M49:N49 I50:K50 M50:N50 I51:K51 M51:N51 L52:N52" formula="1"/>
    <ignoredError sqref="H15 N64" formulaRange="1"/>
    <ignoredError sqref="M65" evalError="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Y87"/>
  <sheetViews>
    <sheetView tabSelected="1" zoomScale="70" zoomScaleNormal="70" workbookViewId="0">
      <pane xSplit="6" ySplit="4" topLeftCell="G38" activePane="bottomRight" state="frozen"/>
      <selection activeCell="Q52" sqref="Q52:R52"/>
      <selection pane="topRight" activeCell="Q52" sqref="Q52:R52"/>
      <selection pane="bottomLeft" activeCell="Q52" sqref="Q52:R52"/>
      <selection pane="bottomRight" activeCell="E57" sqref="E57"/>
    </sheetView>
  </sheetViews>
  <sheetFormatPr defaultColWidth="11.44140625" defaultRowHeight="14.4" x14ac:dyDescent="0.3"/>
  <cols>
    <col min="1" max="1" width="3.88671875" style="125" customWidth="1"/>
    <col min="2" max="2" width="38.88671875" style="1" customWidth="1"/>
    <col min="3" max="3" width="11.5546875" style="2" customWidth="1"/>
    <col min="4" max="4" width="15.33203125" style="2" customWidth="1"/>
    <col min="5" max="5" width="42.88671875" style="1" bestFit="1" customWidth="1"/>
    <col min="6" max="6" width="11.109375" style="2" customWidth="1"/>
    <col min="7" max="8" width="11.44140625" style="2"/>
    <col min="9" max="9" width="11.44140625" style="3" customWidth="1"/>
    <col min="10" max="10" width="11.44140625" style="4" customWidth="1"/>
    <col min="11" max="11" width="11.44140625" style="3"/>
    <col min="12" max="12" width="11.44140625" style="4" customWidth="1"/>
    <col min="13" max="13" width="11.44140625" style="3"/>
    <col min="14" max="14" width="11.44140625" style="4" customWidth="1"/>
    <col min="15" max="22" width="7.5546875" style="2" customWidth="1"/>
    <col min="23" max="23" width="5.33203125" style="2" customWidth="1"/>
    <col min="24" max="16384" width="11.44140625" style="1"/>
  </cols>
  <sheetData>
    <row r="1" spans="1:23" s="125" customFormat="1" ht="2.25" customHeight="1" thickBot="1" x14ac:dyDescent="0.35">
      <c r="C1" s="128"/>
      <c r="D1" s="128"/>
      <c r="F1" s="128"/>
      <c r="G1" s="128"/>
      <c r="H1" s="128"/>
      <c r="I1" s="129"/>
      <c r="J1" s="130"/>
      <c r="K1" s="129"/>
      <c r="L1" s="130"/>
      <c r="M1" s="129"/>
      <c r="N1" s="130"/>
      <c r="O1" s="128"/>
      <c r="P1" s="128"/>
      <c r="Q1" s="128"/>
      <c r="R1" s="128"/>
      <c r="S1" s="128"/>
      <c r="T1" s="128"/>
      <c r="U1" s="128"/>
      <c r="V1" s="128"/>
      <c r="W1" s="128"/>
    </row>
    <row r="2" spans="1:23" s="6" customFormat="1" ht="30" customHeight="1" thickBot="1" x14ac:dyDescent="0.35">
      <c r="A2" s="126"/>
      <c r="B2" s="486" t="s">
        <v>55</v>
      </c>
      <c r="C2" s="487" t="s">
        <v>76</v>
      </c>
      <c r="D2" s="487" t="s">
        <v>71</v>
      </c>
      <c r="E2" s="506" t="s">
        <v>81</v>
      </c>
      <c r="F2" s="479" t="s">
        <v>61</v>
      </c>
      <c r="G2" s="483" t="s">
        <v>56</v>
      </c>
      <c r="H2" s="482"/>
      <c r="I2" s="484" t="s">
        <v>57</v>
      </c>
      <c r="J2" s="513" t="s">
        <v>65</v>
      </c>
      <c r="K2" s="484" t="s">
        <v>58</v>
      </c>
      <c r="L2" s="513" t="s">
        <v>67</v>
      </c>
      <c r="M2" s="484" t="s">
        <v>59</v>
      </c>
      <c r="N2" s="513" t="s">
        <v>66</v>
      </c>
      <c r="O2" s="481" t="s">
        <v>41</v>
      </c>
      <c r="P2" s="482"/>
      <c r="Q2" s="481" t="s">
        <v>42</v>
      </c>
      <c r="R2" s="482"/>
      <c r="S2" s="481" t="s">
        <v>43</v>
      </c>
      <c r="T2" s="482"/>
      <c r="U2" s="479" t="s">
        <v>44</v>
      </c>
      <c r="V2" s="480"/>
      <c r="W2" s="431"/>
    </row>
    <row r="3" spans="1:23" s="6" customFormat="1" ht="30" customHeight="1" thickBot="1" x14ac:dyDescent="0.35">
      <c r="A3" s="126"/>
      <c r="B3" s="486"/>
      <c r="C3" s="487"/>
      <c r="D3" s="487"/>
      <c r="E3" s="506"/>
      <c r="F3" s="502"/>
      <c r="G3" s="256"/>
      <c r="H3" s="253"/>
      <c r="I3" s="484"/>
      <c r="J3" s="513"/>
      <c r="K3" s="484"/>
      <c r="L3" s="513"/>
      <c r="M3" s="484"/>
      <c r="N3" s="513"/>
      <c r="O3" s="252"/>
      <c r="P3" s="253"/>
      <c r="Q3" s="252"/>
      <c r="R3" s="253"/>
      <c r="S3" s="252"/>
      <c r="T3" s="253"/>
      <c r="U3" s="254"/>
      <c r="V3" s="255"/>
      <c r="W3" s="431"/>
    </row>
    <row r="4" spans="1:23" s="6" customFormat="1" ht="30" customHeight="1" thickBot="1" x14ac:dyDescent="0.35">
      <c r="A4" s="126"/>
      <c r="B4" s="486"/>
      <c r="C4" s="487"/>
      <c r="D4" s="487"/>
      <c r="E4" s="506"/>
      <c r="F4" s="503"/>
      <c r="G4" s="32" t="s">
        <v>45</v>
      </c>
      <c r="H4" s="33" t="s">
        <v>46</v>
      </c>
      <c r="I4" s="484"/>
      <c r="J4" s="513"/>
      <c r="K4" s="484"/>
      <c r="L4" s="513"/>
      <c r="M4" s="484"/>
      <c r="N4" s="513"/>
      <c r="O4" s="34" t="s">
        <v>45</v>
      </c>
      <c r="P4" s="33" t="s">
        <v>46</v>
      </c>
      <c r="Q4" s="34" t="s">
        <v>45</v>
      </c>
      <c r="R4" s="33" t="s">
        <v>46</v>
      </c>
      <c r="S4" s="34" t="s">
        <v>45</v>
      </c>
      <c r="T4" s="33" t="s">
        <v>46</v>
      </c>
      <c r="U4" s="34" t="s">
        <v>45</v>
      </c>
      <c r="V4" s="35" t="s">
        <v>46</v>
      </c>
      <c r="W4" s="431"/>
    </row>
    <row r="5" spans="1:23" ht="15.6" x14ac:dyDescent="0.3">
      <c r="B5" s="199" t="s">
        <v>88</v>
      </c>
      <c r="C5" s="200" t="s">
        <v>77</v>
      </c>
      <c r="D5" s="177">
        <v>2</v>
      </c>
      <c r="E5" s="178" t="s">
        <v>73</v>
      </c>
      <c r="F5" s="179" t="s">
        <v>62</v>
      </c>
      <c r="G5" s="180">
        <v>102</v>
      </c>
      <c r="H5" s="181">
        <v>94</v>
      </c>
      <c r="I5" s="201">
        <f>J5/G5</f>
        <v>1.9607843137254902E-2</v>
      </c>
      <c r="J5" s="449">
        <v>2</v>
      </c>
      <c r="K5" s="450">
        <f>L5/G5</f>
        <v>0.17647058823529413</v>
      </c>
      <c r="L5" s="449">
        <v>18</v>
      </c>
      <c r="M5" s="450">
        <f>IF(N5="-","-",N5/L5)</f>
        <v>0.1111111111111111</v>
      </c>
      <c r="N5" s="206">
        <v>2</v>
      </c>
      <c r="O5" s="210"/>
      <c r="P5" s="211"/>
      <c r="Q5" s="210"/>
      <c r="R5" s="211"/>
      <c r="S5" s="202" t="s">
        <v>21</v>
      </c>
      <c r="T5" s="203" t="s">
        <v>21</v>
      </c>
      <c r="U5" s="202" t="s">
        <v>21</v>
      </c>
      <c r="V5" s="204" t="s">
        <v>21</v>
      </c>
      <c r="W5" s="432" t="s">
        <v>148</v>
      </c>
    </row>
    <row r="6" spans="1:23" ht="15" customHeight="1" x14ac:dyDescent="0.3">
      <c r="B6" s="520" t="s">
        <v>84</v>
      </c>
      <c r="C6" s="475" t="s">
        <v>77</v>
      </c>
      <c r="D6" s="512">
        <v>9</v>
      </c>
      <c r="E6" s="182" t="s">
        <v>13</v>
      </c>
      <c r="F6" s="183" t="s">
        <v>62</v>
      </c>
      <c r="G6" s="345">
        <v>76</v>
      </c>
      <c r="H6" s="343">
        <v>50</v>
      </c>
      <c r="I6" s="149">
        <f t="shared" ref="I6:I23" si="0">J6/G6</f>
        <v>0.22368421052631579</v>
      </c>
      <c r="J6" s="451">
        <v>17</v>
      </c>
      <c r="K6" s="148">
        <f t="shared" ref="K6:K23" si="1">L6/G6</f>
        <v>0.36842105263157893</v>
      </c>
      <c r="L6" s="451">
        <v>28</v>
      </c>
      <c r="M6" s="148" t="str">
        <f>IF(N6="-","-",N6/L6)</f>
        <v>-</v>
      </c>
      <c r="N6" s="207" t="s">
        <v>21</v>
      </c>
      <c r="O6" s="212"/>
      <c r="P6" s="213"/>
      <c r="Q6" s="212"/>
      <c r="R6" s="213"/>
      <c r="S6" s="150" t="s">
        <v>21</v>
      </c>
      <c r="T6" s="147" t="s">
        <v>21</v>
      </c>
      <c r="U6" s="150" t="s">
        <v>21</v>
      </c>
      <c r="V6" s="173" t="s">
        <v>21</v>
      </c>
      <c r="W6" s="432" t="s">
        <v>148</v>
      </c>
    </row>
    <row r="7" spans="1:23" ht="15" customHeight="1" x14ac:dyDescent="0.3">
      <c r="B7" s="521"/>
      <c r="C7" s="476"/>
      <c r="D7" s="512"/>
      <c r="E7" s="185" t="s">
        <v>14</v>
      </c>
      <c r="F7" s="186" t="s">
        <v>62</v>
      </c>
      <c r="G7" s="346">
        <v>45</v>
      </c>
      <c r="H7" s="344">
        <v>27</v>
      </c>
      <c r="I7" s="156">
        <f t="shared" si="0"/>
        <v>0.46666666666666667</v>
      </c>
      <c r="J7" s="452">
        <v>21</v>
      </c>
      <c r="K7" s="155">
        <f t="shared" si="1"/>
        <v>0.31111111111111112</v>
      </c>
      <c r="L7" s="452">
        <v>14</v>
      </c>
      <c r="M7" s="155" t="str">
        <f t="shared" ref="M7:M23" si="2">IF(N7="-","-",N7/L7)</f>
        <v>-</v>
      </c>
      <c r="N7" s="208" t="s">
        <v>21</v>
      </c>
      <c r="O7" s="214"/>
      <c r="P7" s="215"/>
      <c r="Q7" s="214"/>
      <c r="R7" s="215"/>
      <c r="S7" s="157" t="s">
        <v>21</v>
      </c>
      <c r="T7" s="154" t="s">
        <v>21</v>
      </c>
      <c r="U7" s="157" t="s">
        <v>21</v>
      </c>
      <c r="V7" s="161" t="s">
        <v>21</v>
      </c>
      <c r="W7" s="432" t="s">
        <v>148</v>
      </c>
    </row>
    <row r="8" spans="1:23" ht="15" customHeight="1" x14ac:dyDescent="0.3">
      <c r="B8" s="521"/>
      <c r="C8" s="476"/>
      <c r="D8" s="512"/>
      <c r="E8" s="185" t="s">
        <v>15</v>
      </c>
      <c r="F8" s="186" t="s">
        <v>62</v>
      </c>
      <c r="G8" s="346">
        <v>16</v>
      </c>
      <c r="H8" s="344">
        <v>10</v>
      </c>
      <c r="I8" s="156">
        <f t="shared" si="0"/>
        <v>0.3125</v>
      </c>
      <c r="J8" s="452">
        <v>5</v>
      </c>
      <c r="K8" s="155">
        <f t="shared" si="1"/>
        <v>0.1875</v>
      </c>
      <c r="L8" s="452">
        <v>3</v>
      </c>
      <c r="M8" s="155" t="str">
        <f t="shared" si="2"/>
        <v>-</v>
      </c>
      <c r="N8" s="208" t="s">
        <v>21</v>
      </c>
      <c r="O8" s="214"/>
      <c r="P8" s="215"/>
      <c r="Q8" s="214"/>
      <c r="R8" s="215"/>
      <c r="S8" s="157" t="s">
        <v>21</v>
      </c>
      <c r="T8" s="154" t="s">
        <v>21</v>
      </c>
      <c r="U8" s="157" t="s">
        <v>21</v>
      </c>
      <c r="V8" s="161" t="s">
        <v>21</v>
      </c>
      <c r="W8" s="432" t="s">
        <v>148</v>
      </c>
    </row>
    <row r="9" spans="1:23" ht="15" customHeight="1" x14ac:dyDescent="0.3">
      <c r="B9" s="521"/>
      <c r="C9" s="476"/>
      <c r="D9" s="512"/>
      <c r="E9" s="185" t="s">
        <v>147</v>
      </c>
      <c r="F9" s="186" t="s">
        <v>62</v>
      </c>
      <c r="G9" s="346">
        <v>56</v>
      </c>
      <c r="H9" s="344">
        <v>36</v>
      </c>
      <c r="I9" s="156"/>
      <c r="J9" s="452">
        <v>12</v>
      </c>
      <c r="K9" s="155"/>
      <c r="L9" s="452">
        <v>10</v>
      </c>
      <c r="M9" s="155"/>
      <c r="N9" s="208"/>
      <c r="O9" s="214"/>
      <c r="P9" s="215"/>
      <c r="Q9" s="214"/>
      <c r="R9" s="215"/>
      <c r="S9" s="157"/>
      <c r="T9" s="154"/>
      <c r="U9" s="157"/>
      <c r="V9" s="161"/>
      <c r="W9" s="432" t="s">
        <v>148</v>
      </c>
    </row>
    <row r="10" spans="1:23" ht="15" customHeight="1" x14ac:dyDescent="0.3">
      <c r="B10" s="521"/>
      <c r="C10" s="476"/>
      <c r="D10" s="512"/>
      <c r="E10" s="185" t="s">
        <v>16</v>
      </c>
      <c r="F10" s="186" t="s">
        <v>62</v>
      </c>
      <c r="G10" s="346">
        <v>13</v>
      </c>
      <c r="H10" s="344">
        <v>8</v>
      </c>
      <c r="I10" s="156">
        <f t="shared" si="0"/>
        <v>0.53846153846153844</v>
      </c>
      <c r="J10" s="452">
        <v>7</v>
      </c>
      <c r="K10" s="155">
        <f t="shared" si="1"/>
        <v>0.46153846153846156</v>
      </c>
      <c r="L10" s="452">
        <v>6</v>
      </c>
      <c r="M10" s="155" t="str">
        <f t="shared" si="2"/>
        <v>-</v>
      </c>
      <c r="N10" s="208" t="s">
        <v>21</v>
      </c>
      <c r="O10" s="214"/>
      <c r="P10" s="215"/>
      <c r="Q10" s="214"/>
      <c r="R10" s="215"/>
      <c r="S10" s="157" t="s">
        <v>21</v>
      </c>
      <c r="T10" s="154" t="s">
        <v>21</v>
      </c>
      <c r="U10" s="157" t="s">
        <v>21</v>
      </c>
      <c r="V10" s="161" t="s">
        <v>21</v>
      </c>
      <c r="W10" s="432" t="s">
        <v>148</v>
      </c>
    </row>
    <row r="11" spans="1:23" ht="15" customHeight="1" x14ac:dyDescent="0.3">
      <c r="B11" s="521"/>
      <c r="C11" s="476"/>
      <c r="D11" s="512"/>
      <c r="E11" s="185" t="s">
        <v>17</v>
      </c>
      <c r="F11" s="186" t="s">
        <v>62</v>
      </c>
      <c r="G11" s="346">
        <v>24</v>
      </c>
      <c r="H11" s="344">
        <v>20</v>
      </c>
      <c r="I11" s="156">
        <f t="shared" si="0"/>
        <v>0.29166666666666669</v>
      </c>
      <c r="J11" s="452">
        <v>7</v>
      </c>
      <c r="K11" s="155">
        <f t="shared" si="1"/>
        <v>0.29166666666666669</v>
      </c>
      <c r="L11" s="452">
        <v>7</v>
      </c>
      <c r="M11" s="155" t="str">
        <f t="shared" si="2"/>
        <v>-</v>
      </c>
      <c r="N11" s="208" t="s">
        <v>21</v>
      </c>
      <c r="O11" s="214"/>
      <c r="P11" s="215"/>
      <c r="Q11" s="214"/>
      <c r="R11" s="215"/>
      <c r="S11" s="157" t="s">
        <v>21</v>
      </c>
      <c r="T11" s="154" t="s">
        <v>21</v>
      </c>
      <c r="U11" s="157" t="s">
        <v>21</v>
      </c>
      <c r="V11" s="161" t="s">
        <v>21</v>
      </c>
      <c r="W11" s="432" t="s">
        <v>148</v>
      </c>
    </row>
    <row r="12" spans="1:23" ht="15" customHeight="1" x14ac:dyDescent="0.3">
      <c r="B12" s="521"/>
      <c r="C12" s="476"/>
      <c r="D12" s="512"/>
      <c r="E12" s="185" t="s">
        <v>18</v>
      </c>
      <c r="F12" s="186" t="s">
        <v>62</v>
      </c>
      <c r="G12" s="346">
        <v>33</v>
      </c>
      <c r="H12" s="344">
        <v>25</v>
      </c>
      <c r="I12" s="156">
        <f t="shared" si="0"/>
        <v>0</v>
      </c>
      <c r="J12" s="452">
        <v>0</v>
      </c>
      <c r="K12" s="155">
        <f t="shared" si="1"/>
        <v>0.21212121212121213</v>
      </c>
      <c r="L12" s="452">
        <v>7</v>
      </c>
      <c r="M12" s="155" t="str">
        <f t="shared" si="2"/>
        <v>-</v>
      </c>
      <c r="N12" s="208" t="s">
        <v>21</v>
      </c>
      <c r="O12" s="214"/>
      <c r="P12" s="215"/>
      <c r="Q12" s="214"/>
      <c r="R12" s="215"/>
      <c r="S12" s="157" t="s">
        <v>21</v>
      </c>
      <c r="T12" s="154" t="s">
        <v>21</v>
      </c>
      <c r="U12" s="157" t="s">
        <v>21</v>
      </c>
      <c r="V12" s="161" t="s">
        <v>21</v>
      </c>
      <c r="W12" s="432" t="s">
        <v>148</v>
      </c>
    </row>
    <row r="13" spans="1:23" ht="15" customHeight="1" x14ac:dyDescent="0.3">
      <c r="B13" s="521"/>
      <c r="C13" s="476"/>
      <c r="D13" s="512"/>
      <c r="E13" s="185" t="s">
        <v>19</v>
      </c>
      <c r="F13" s="186" t="s">
        <v>62</v>
      </c>
      <c r="G13" s="346">
        <v>32</v>
      </c>
      <c r="H13" s="344">
        <v>17</v>
      </c>
      <c r="I13" s="156">
        <f t="shared" si="0"/>
        <v>0.15625</v>
      </c>
      <c r="J13" s="452">
        <v>5</v>
      </c>
      <c r="K13" s="155">
        <f t="shared" si="1"/>
        <v>0.375</v>
      </c>
      <c r="L13" s="452">
        <v>12</v>
      </c>
      <c r="M13" s="155" t="str">
        <f t="shared" si="2"/>
        <v>-</v>
      </c>
      <c r="N13" s="208" t="s">
        <v>21</v>
      </c>
      <c r="O13" s="214"/>
      <c r="P13" s="215"/>
      <c r="Q13" s="214"/>
      <c r="R13" s="215"/>
      <c r="S13" s="157" t="s">
        <v>21</v>
      </c>
      <c r="T13" s="154" t="s">
        <v>21</v>
      </c>
      <c r="U13" s="157" t="s">
        <v>21</v>
      </c>
      <c r="V13" s="161" t="s">
        <v>21</v>
      </c>
      <c r="W13" s="432" t="s">
        <v>148</v>
      </c>
    </row>
    <row r="14" spans="1:23" ht="15" customHeight="1" x14ac:dyDescent="0.3">
      <c r="B14" s="521"/>
      <c r="C14" s="476"/>
      <c r="D14" s="512"/>
      <c r="E14" s="188" t="s">
        <v>5</v>
      </c>
      <c r="F14" s="189" t="s">
        <v>62</v>
      </c>
      <c r="G14" s="190"/>
      <c r="H14" s="167"/>
      <c r="I14" s="164" t="e">
        <f t="shared" si="0"/>
        <v>#DIV/0!</v>
      </c>
      <c r="J14" s="453"/>
      <c r="K14" s="163" t="e">
        <f t="shared" si="1"/>
        <v>#DIV/0!</v>
      </c>
      <c r="L14" s="453"/>
      <c r="M14" s="163" t="str">
        <f t="shared" si="2"/>
        <v>-</v>
      </c>
      <c r="N14" s="209" t="s">
        <v>21</v>
      </c>
      <c r="O14" s="216"/>
      <c r="P14" s="217"/>
      <c r="Q14" s="216"/>
      <c r="R14" s="217"/>
      <c r="S14" s="165" t="s">
        <v>21</v>
      </c>
      <c r="T14" s="162" t="s">
        <v>21</v>
      </c>
      <c r="U14" s="165" t="s">
        <v>21</v>
      </c>
      <c r="V14" s="205" t="s">
        <v>21</v>
      </c>
      <c r="W14" s="432" t="s">
        <v>148</v>
      </c>
    </row>
    <row r="15" spans="1:23" ht="15.6" x14ac:dyDescent="0.3">
      <c r="B15" s="522"/>
      <c r="C15" s="498"/>
      <c r="D15" s="276" t="s">
        <v>144</v>
      </c>
      <c r="E15" s="407"/>
      <c r="F15" s="408"/>
      <c r="G15" s="26">
        <f>SUM(G6:G14)</f>
        <v>295</v>
      </c>
      <c r="H15" s="27">
        <f t="shared" ref="H15" si="3">SUM(H6:H14)</f>
        <v>193</v>
      </c>
      <c r="I15" s="28">
        <f>J15/G15</f>
        <v>0.25084745762711863</v>
      </c>
      <c r="J15" s="429">
        <f t="shared" ref="J15" si="4">SUM(J6:J14)</f>
        <v>74</v>
      </c>
      <c r="K15" s="28">
        <f>L15/G15</f>
        <v>0.29491525423728815</v>
      </c>
      <c r="L15" s="429">
        <f t="shared" ref="L15" si="5">SUM(L6:L14)</f>
        <v>87</v>
      </c>
      <c r="M15" s="28">
        <f>N15/L15</f>
        <v>0</v>
      </c>
      <c r="N15" s="429">
        <f t="shared" ref="N15" si="6">SUM(N6:N14)</f>
        <v>0</v>
      </c>
      <c r="O15" s="266"/>
      <c r="P15" s="267"/>
      <c r="Q15" s="266"/>
      <c r="R15" s="267"/>
      <c r="S15" s="266"/>
      <c r="T15" s="267"/>
      <c r="U15" s="266"/>
      <c r="V15" s="268"/>
      <c r="W15" s="432" t="s">
        <v>148</v>
      </c>
    </row>
    <row r="16" spans="1:23" x14ac:dyDescent="0.3">
      <c r="B16" s="520" t="s">
        <v>85</v>
      </c>
      <c r="C16" s="475" t="s">
        <v>77</v>
      </c>
      <c r="D16" s="514">
        <v>9</v>
      </c>
      <c r="E16" s="182" t="s">
        <v>10</v>
      </c>
      <c r="F16" s="183" t="s">
        <v>62</v>
      </c>
      <c r="G16" s="184">
        <v>46</v>
      </c>
      <c r="H16" s="152">
        <v>32</v>
      </c>
      <c r="I16" s="149">
        <f t="shared" si="0"/>
        <v>0.65217391304347827</v>
      </c>
      <c r="J16" s="454">
        <v>30</v>
      </c>
      <c r="K16" s="148">
        <f t="shared" si="1"/>
        <v>0.19565217391304349</v>
      </c>
      <c r="L16" s="454">
        <v>9</v>
      </c>
      <c r="M16" s="148">
        <f t="shared" si="2"/>
        <v>1</v>
      </c>
      <c r="N16" s="207">
        <v>9</v>
      </c>
      <c r="O16" s="212"/>
      <c r="P16" s="213"/>
      <c r="Q16" s="212"/>
      <c r="R16" s="213"/>
      <c r="S16" s="150" t="s">
        <v>21</v>
      </c>
      <c r="T16" s="147" t="s">
        <v>21</v>
      </c>
      <c r="U16" s="150" t="s">
        <v>21</v>
      </c>
      <c r="V16" s="173" t="s">
        <v>21</v>
      </c>
      <c r="W16" s="432" t="s">
        <v>148</v>
      </c>
    </row>
    <row r="17" spans="1:25" x14ac:dyDescent="0.3">
      <c r="B17" s="521"/>
      <c r="C17" s="476"/>
      <c r="D17" s="515"/>
      <c r="E17" s="185" t="s">
        <v>11</v>
      </c>
      <c r="F17" s="186" t="s">
        <v>62</v>
      </c>
      <c r="G17" s="187">
        <v>28</v>
      </c>
      <c r="H17" s="159">
        <v>17</v>
      </c>
      <c r="I17" s="156">
        <f t="shared" si="0"/>
        <v>0.6428571428571429</v>
      </c>
      <c r="J17" s="455">
        <v>18</v>
      </c>
      <c r="K17" s="155">
        <f t="shared" si="1"/>
        <v>0.32142857142857145</v>
      </c>
      <c r="L17" s="455">
        <v>9</v>
      </c>
      <c r="M17" s="155">
        <f t="shared" si="2"/>
        <v>0.77777777777777779</v>
      </c>
      <c r="N17" s="208">
        <v>7</v>
      </c>
      <c r="O17" s="214"/>
      <c r="P17" s="215"/>
      <c r="Q17" s="214"/>
      <c r="R17" s="215"/>
      <c r="S17" s="157" t="s">
        <v>21</v>
      </c>
      <c r="T17" s="154" t="s">
        <v>21</v>
      </c>
      <c r="U17" s="157" t="s">
        <v>21</v>
      </c>
      <c r="V17" s="161" t="s">
        <v>21</v>
      </c>
      <c r="W17" s="432" t="s">
        <v>148</v>
      </c>
    </row>
    <row r="18" spans="1:25" x14ac:dyDescent="0.3">
      <c r="B18" s="521"/>
      <c r="C18" s="476"/>
      <c r="D18" s="515"/>
      <c r="E18" s="185" t="s">
        <v>12</v>
      </c>
      <c r="F18" s="186" t="s">
        <v>62</v>
      </c>
      <c r="G18" s="187">
        <v>5</v>
      </c>
      <c r="H18" s="159">
        <v>5</v>
      </c>
      <c r="I18" s="156">
        <f t="shared" ref="I18" si="7">J18/G18</f>
        <v>0.6</v>
      </c>
      <c r="J18" s="455">
        <v>3</v>
      </c>
      <c r="K18" s="155">
        <f t="shared" ref="K18" si="8">L18/G18</f>
        <v>0.2</v>
      </c>
      <c r="L18" s="455">
        <v>1</v>
      </c>
      <c r="M18" s="155">
        <f t="shared" ref="M18" si="9">IF(N18="-","-",N18/L18)</f>
        <v>1</v>
      </c>
      <c r="N18" s="208">
        <v>1</v>
      </c>
      <c r="O18" s="214"/>
      <c r="P18" s="215"/>
      <c r="Q18" s="214"/>
      <c r="R18" s="215"/>
      <c r="S18" s="157" t="s">
        <v>21</v>
      </c>
      <c r="T18" s="154" t="s">
        <v>21</v>
      </c>
      <c r="U18" s="157" t="s">
        <v>21</v>
      </c>
      <c r="V18" s="161" t="s">
        <v>21</v>
      </c>
      <c r="W18" s="432" t="s">
        <v>148</v>
      </c>
    </row>
    <row r="19" spans="1:25" x14ac:dyDescent="0.3">
      <c r="B19" s="521"/>
      <c r="C19" s="476"/>
      <c r="D19" s="515"/>
      <c r="E19" s="185" t="s">
        <v>7</v>
      </c>
      <c r="F19" s="186" t="s">
        <v>62</v>
      </c>
      <c r="G19" s="187">
        <v>45</v>
      </c>
      <c r="H19" s="159">
        <v>26</v>
      </c>
      <c r="I19" s="156">
        <f t="shared" si="0"/>
        <v>0.26666666666666666</v>
      </c>
      <c r="J19" s="455">
        <v>12</v>
      </c>
      <c r="K19" s="155">
        <f t="shared" si="1"/>
        <v>0.26666666666666666</v>
      </c>
      <c r="L19" s="455">
        <v>12</v>
      </c>
      <c r="M19" s="155">
        <f t="shared" si="2"/>
        <v>0.25</v>
      </c>
      <c r="N19" s="208">
        <v>3</v>
      </c>
      <c r="O19" s="214"/>
      <c r="P19" s="215"/>
      <c r="Q19" s="214"/>
      <c r="R19" s="215"/>
      <c r="S19" s="157" t="s">
        <v>21</v>
      </c>
      <c r="T19" s="154" t="s">
        <v>21</v>
      </c>
      <c r="U19" s="157" t="s">
        <v>21</v>
      </c>
      <c r="V19" s="161" t="s">
        <v>21</v>
      </c>
      <c r="W19" s="432" t="s">
        <v>148</v>
      </c>
    </row>
    <row r="20" spans="1:25" x14ac:dyDescent="0.3">
      <c r="B20" s="521"/>
      <c r="C20" s="476"/>
      <c r="D20" s="515"/>
      <c r="E20" s="185" t="s">
        <v>138</v>
      </c>
      <c r="F20" s="186" t="s">
        <v>62</v>
      </c>
      <c r="G20" s="187">
        <v>14</v>
      </c>
      <c r="H20" s="159">
        <v>9</v>
      </c>
      <c r="I20" s="156">
        <f t="shared" si="0"/>
        <v>0.21428571428571427</v>
      </c>
      <c r="J20" s="455">
        <v>3</v>
      </c>
      <c r="K20" s="155">
        <f t="shared" si="1"/>
        <v>0.14285714285714285</v>
      </c>
      <c r="L20" s="455">
        <v>2</v>
      </c>
      <c r="M20" s="155">
        <f t="shared" si="2"/>
        <v>0.5</v>
      </c>
      <c r="N20" s="208">
        <v>1</v>
      </c>
      <c r="O20" s="214"/>
      <c r="P20" s="215"/>
      <c r="Q20" s="214"/>
      <c r="R20" s="215"/>
      <c r="S20" s="157" t="s">
        <v>21</v>
      </c>
      <c r="T20" s="154" t="s">
        <v>21</v>
      </c>
      <c r="U20" s="157" t="s">
        <v>21</v>
      </c>
      <c r="V20" s="161" t="s">
        <v>21</v>
      </c>
      <c r="W20" s="432" t="s">
        <v>148</v>
      </c>
    </row>
    <row r="21" spans="1:25" x14ac:dyDescent="0.3">
      <c r="B21" s="521"/>
      <c r="C21" s="476"/>
      <c r="D21" s="515"/>
      <c r="E21" s="185" t="s">
        <v>8</v>
      </c>
      <c r="F21" s="186" t="s">
        <v>62</v>
      </c>
      <c r="G21" s="187">
        <v>31</v>
      </c>
      <c r="H21" s="159">
        <v>23</v>
      </c>
      <c r="I21" s="156">
        <f t="shared" si="0"/>
        <v>0.54838709677419351</v>
      </c>
      <c r="J21" s="455">
        <v>17</v>
      </c>
      <c r="K21" s="155">
        <f t="shared" si="1"/>
        <v>0.16129032258064516</v>
      </c>
      <c r="L21" s="455">
        <v>5</v>
      </c>
      <c r="M21" s="155">
        <f t="shared" si="2"/>
        <v>1</v>
      </c>
      <c r="N21" s="208">
        <v>5</v>
      </c>
      <c r="O21" s="214"/>
      <c r="P21" s="215"/>
      <c r="Q21" s="214"/>
      <c r="R21" s="215"/>
      <c r="S21" s="157" t="s">
        <v>21</v>
      </c>
      <c r="T21" s="154" t="s">
        <v>21</v>
      </c>
      <c r="U21" s="157" t="s">
        <v>21</v>
      </c>
      <c r="V21" s="161" t="s">
        <v>21</v>
      </c>
      <c r="W21" s="432" t="s">
        <v>148</v>
      </c>
    </row>
    <row r="22" spans="1:25" x14ac:dyDescent="0.3">
      <c r="B22" s="521"/>
      <c r="C22" s="476"/>
      <c r="D22" s="515"/>
      <c r="E22" s="185" t="s">
        <v>6</v>
      </c>
      <c r="F22" s="186" t="s">
        <v>62</v>
      </c>
      <c r="G22" s="187">
        <v>12</v>
      </c>
      <c r="H22" s="159">
        <v>7</v>
      </c>
      <c r="I22" s="156">
        <f t="shared" si="0"/>
        <v>0.33333333333333331</v>
      </c>
      <c r="J22" s="455">
        <v>4</v>
      </c>
      <c r="K22" s="155">
        <f t="shared" si="1"/>
        <v>0.33333333333333331</v>
      </c>
      <c r="L22" s="455">
        <v>4</v>
      </c>
      <c r="M22" s="155">
        <f t="shared" si="2"/>
        <v>0.5</v>
      </c>
      <c r="N22" s="208">
        <v>2</v>
      </c>
      <c r="O22" s="214"/>
      <c r="P22" s="215"/>
      <c r="Q22" s="214"/>
      <c r="R22" s="215"/>
      <c r="S22" s="157" t="s">
        <v>21</v>
      </c>
      <c r="T22" s="154" t="s">
        <v>21</v>
      </c>
      <c r="U22" s="157" t="s">
        <v>21</v>
      </c>
      <c r="V22" s="161" t="s">
        <v>21</v>
      </c>
      <c r="W22" s="432" t="s">
        <v>148</v>
      </c>
    </row>
    <row r="23" spans="1:25" x14ac:dyDescent="0.3">
      <c r="B23" s="521"/>
      <c r="C23" s="476"/>
      <c r="D23" s="516"/>
      <c r="E23" s="188" t="s">
        <v>9</v>
      </c>
      <c r="F23" s="189" t="s">
        <v>62</v>
      </c>
      <c r="G23" s="190">
        <v>17</v>
      </c>
      <c r="H23" s="167">
        <v>9</v>
      </c>
      <c r="I23" s="164">
        <f t="shared" si="0"/>
        <v>0.41176470588235292</v>
      </c>
      <c r="J23" s="453">
        <v>7</v>
      </c>
      <c r="K23" s="163">
        <f t="shared" si="1"/>
        <v>0.23529411764705882</v>
      </c>
      <c r="L23" s="453">
        <v>4</v>
      </c>
      <c r="M23" s="163">
        <f t="shared" si="2"/>
        <v>0.25</v>
      </c>
      <c r="N23" s="209">
        <v>1</v>
      </c>
      <c r="O23" s="216"/>
      <c r="P23" s="217"/>
      <c r="Q23" s="216"/>
      <c r="R23" s="217"/>
      <c r="S23" s="165" t="s">
        <v>21</v>
      </c>
      <c r="T23" s="162" t="s">
        <v>21</v>
      </c>
      <c r="U23" s="165" t="s">
        <v>21</v>
      </c>
      <c r="V23" s="205" t="s">
        <v>21</v>
      </c>
      <c r="W23" s="432" t="s">
        <v>148</v>
      </c>
    </row>
    <row r="24" spans="1:25" ht="16.2" thickBot="1" x14ac:dyDescent="0.35">
      <c r="B24" s="495"/>
      <c r="C24" s="499"/>
      <c r="D24" s="406" t="s">
        <v>144</v>
      </c>
      <c r="E24" s="407"/>
      <c r="F24" s="408"/>
      <c r="G24" s="26">
        <f>SUM(G16:G23)</f>
        <v>198</v>
      </c>
      <c r="H24" s="27">
        <f t="shared" ref="H24" si="10">SUM(H16:H23)</f>
        <v>128</v>
      </c>
      <c r="I24" s="28">
        <f>J24/G24</f>
        <v>0.47474747474747475</v>
      </c>
      <c r="J24" s="429">
        <f t="shared" ref="J24" si="11">SUM(J16:J23)</f>
        <v>94</v>
      </c>
      <c r="K24" s="28">
        <f>L24/G24</f>
        <v>0.23232323232323232</v>
      </c>
      <c r="L24" s="429">
        <f t="shared" ref="L24" si="12">SUM(L16:L23)</f>
        <v>46</v>
      </c>
      <c r="M24" s="28">
        <f>N24/L24</f>
        <v>0.63043478260869568</v>
      </c>
      <c r="N24" s="429">
        <f t="shared" ref="N24" si="13">SUM(N16:N23)</f>
        <v>29</v>
      </c>
      <c r="O24" s="266"/>
      <c r="P24" s="267"/>
      <c r="Q24" s="266"/>
      <c r="R24" s="267"/>
      <c r="S24" s="266"/>
      <c r="T24" s="267"/>
      <c r="U24" s="266"/>
      <c r="V24" s="268"/>
      <c r="W24" s="432" t="s">
        <v>148</v>
      </c>
    </row>
    <row r="25" spans="1:25" s="54" customFormat="1" ht="21" customHeight="1" thickBot="1" x14ac:dyDescent="0.35">
      <c r="A25" s="127"/>
      <c r="B25" s="131" t="s">
        <v>80</v>
      </c>
      <c r="C25" s="132"/>
      <c r="D25" s="132">
        <f>SUM(D5:D23)</f>
        <v>20</v>
      </c>
      <c r="E25" s="135">
        <f>COUNT(G5:G23)</f>
        <v>18</v>
      </c>
      <c r="F25" s="69">
        <f>COUNT(J5:J23)</f>
        <v>18</v>
      </c>
      <c r="G25" s="338">
        <f>G5+G15+G24</f>
        <v>595</v>
      </c>
      <c r="H25" s="339">
        <f>H5+H15+H24</f>
        <v>415</v>
      </c>
      <c r="I25" s="340">
        <f>J25/G25</f>
        <v>0.2857142857142857</v>
      </c>
      <c r="J25" s="456">
        <f>J5+J15+J24</f>
        <v>170</v>
      </c>
      <c r="K25" s="457">
        <f>L25/G25</f>
        <v>0.253781512605042</v>
      </c>
      <c r="L25" s="456">
        <f>L5+L15+L24</f>
        <v>151</v>
      </c>
      <c r="M25" s="458">
        <f>N25/(L5+SUM(L16:L23))</f>
        <v>0.484375</v>
      </c>
      <c r="N25" s="443">
        <f>N5+N15+N24</f>
        <v>31</v>
      </c>
      <c r="O25" s="144"/>
      <c r="P25" s="145"/>
      <c r="Q25" s="144"/>
      <c r="R25" s="145"/>
      <c r="S25" s="144"/>
      <c r="T25" s="145"/>
      <c r="U25" s="144"/>
      <c r="V25" s="146"/>
      <c r="W25" s="433" t="s">
        <v>148</v>
      </c>
    </row>
    <row r="26" spans="1:25" ht="15" customHeight="1" x14ac:dyDescent="0.3">
      <c r="B26" s="473" t="s">
        <v>86</v>
      </c>
      <c r="C26" s="474" t="s">
        <v>78</v>
      </c>
      <c r="D26" s="511">
        <v>31</v>
      </c>
      <c r="E26" s="182" t="s">
        <v>25</v>
      </c>
      <c r="F26" s="183" t="s">
        <v>62</v>
      </c>
      <c r="G26" s="184">
        <v>716</v>
      </c>
      <c r="H26" s="152">
        <v>173</v>
      </c>
      <c r="I26" s="148">
        <f>J26/G26</f>
        <v>0.43</v>
      </c>
      <c r="J26" s="454">
        <v>307.88</v>
      </c>
      <c r="K26" s="148">
        <f>L26/G26</f>
        <v>0.38</v>
      </c>
      <c r="L26" s="454">
        <v>272.08</v>
      </c>
      <c r="M26" s="148" t="str">
        <f>IF(N26="-","-",N26/L26)</f>
        <v>-</v>
      </c>
      <c r="N26" s="207" t="s">
        <v>21</v>
      </c>
      <c r="O26" s="212"/>
      <c r="P26" s="213"/>
      <c r="Q26" s="212"/>
      <c r="R26" s="213"/>
      <c r="S26" s="151"/>
      <c r="T26" s="152"/>
      <c r="U26" s="151"/>
      <c r="V26" s="153"/>
      <c r="W26" s="432"/>
    </row>
    <row r="27" spans="1:25" ht="15" customHeight="1" x14ac:dyDescent="0.3">
      <c r="B27" s="471"/>
      <c r="C27" s="466"/>
      <c r="D27" s="510"/>
      <c r="E27" s="185" t="s">
        <v>26</v>
      </c>
      <c r="F27" s="186" t="s">
        <v>62</v>
      </c>
      <c r="G27" s="187">
        <v>427</v>
      </c>
      <c r="H27" s="159">
        <v>103</v>
      </c>
      <c r="I27" s="155">
        <f t="shared" ref="I27:I78" si="14">J27/G27</f>
        <v>0.4</v>
      </c>
      <c r="J27" s="455">
        <v>170.8</v>
      </c>
      <c r="K27" s="155">
        <f t="shared" ref="K27:K78" si="15">L27/G27</f>
        <v>0.42</v>
      </c>
      <c r="L27" s="455">
        <v>179.34</v>
      </c>
      <c r="M27" s="155" t="str">
        <f t="shared" ref="M27:M78" si="16">IF(N27="-","-",N27/L27)</f>
        <v>-</v>
      </c>
      <c r="N27" s="208" t="s">
        <v>21</v>
      </c>
      <c r="O27" s="214"/>
      <c r="P27" s="215"/>
      <c r="Q27" s="214"/>
      <c r="R27" s="215"/>
      <c r="S27" s="158"/>
      <c r="T27" s="159"/>
      <c r="U27" s="158"/>
      <c r="V27" s="160"/>
      <c r="W27" s="432"/>
    </row>
    <row r="28" spans="1:25" ht="15" customHeight="1" x14ac:dyDescent="0.3">
      <c r="B28" s="471"/>
      <c r="C28" s="466"/>
      <c r="D28" s="510"/>
      <c r="E28" s="185" t="s">
        <v>60</v>
      </c>
      <c r="F28" s="186" t="s">
        <v>62</v>
      </c>
      <c r="G28" s="187">
        <v>270</v>
      </c>
      <c r="H28" s="159">
        <v>66</v>
      </c>
      <c r="I28" s="155">
        <f t="shared" si="14"/>
        <v>0.36</v>
      </c>
      <c r="J28" s="455">
        <v>97.2</v>
      </c>
      <c r="K28" s="155">
        <f t="shared" si="15"/>
        <v>0.38</v>
      </c>
      <c r="L28" s="455">
        <v>102.6</v>
      </c>
      <c r="M28" s="155" t="str">
        <f t="shared" si="16"/>
        <v>-</v>
      </c>
      <c r="N28" s="208" t="s">
        <v>21</v>
      </c>
      <c r="O28" s="214"/>
      <c r="P28" s="215"/>
      <c r="Q28" s="214"/>
      <c r="R28" s="215"/>
      <c r="S28" s="157" t="s">
        <v>21</v>
      </c>
      <c r="T28" s="154" t="s">
        <v>21</v>
      </c>
      <c r="U28" s="157" t="s">
        <v>21</v>
      </c>
      <c r="V28" s="161" t="s">
        <v>21</v>
      </c>
      <c r="W28" s="432"/>
    </row>
    <row r="29" spans="1:25" ht="15" customHeight="1" x14ac:dyDescent="0.3">
      <c r="B29" s="471"/>
      <c r="C29" s="466"/>
      <c r="D29" s="510"/>
      <c r="E29" s="191" t="s">
        <v>24</v>
      </c>
      <c r="F29" s="192" t="s">
        <v>64</v>
      </c>
      <c r="G29" s="187">
        <v>120</v>
      </c>
      <c r="H29" s="159">
        <v>35</v>
      </c>
      <c r="I29" s="155">
        <f t="shared" si="14"/>
        <v>0.38</v>
      </c>
      <c r="J29" s="455">
        <v>45.6</v>
      </c>
      <c r="K29" s="155">
        <f t="shared" si="15"/>
        <v>0.44</v>
      </c>
      <c r="L29" s="455">
        <v>52.8</v>
      </c>
      <c r="M29" s="155" t="str">
        <f t="shared" si="16"/>
        <v>-</v>
      </c>
      <c r="N29" s="208" t="s">
        <v>21</v>
      </c>
      <c r="O29" s="214"/>
      <c r="P29" s="215"/>
      <c r="Q29" s="214"/>
      <c r="R29" s="215"/>
      <c r="S29" s="158"/>
      <c r="T29" s="159"/>
      <c r="U29" s="158"/>
      <c r="V29" s="160"/>
      <c r="W29" s="432"/>
    </row>
    <row r="30" spans="1:25" ht="15" customHeight="1" x14ac:dyDescent="0.3">
      <c r="B30" s="471"/>
      <c r="C30" s="466"/>
      <c r="D30" s="510"/>
      <c r="E30" s="185" t="s">
        <v>23</v>
      </c>
      <c r="F30" s="186" t="s">
        <v>62</v>
      </c>
      <c r="G30" s="187">
        <v>249</v>
      </c>
      <c r="H30" s="159">
        <v>70</v>
      </c>
      <c r="I30" s="155">
        <f t="shared" si="14"/>
        <v>0.43</v>
      </c>
      <c r="J30" s="455">
        <v>107.07</v>
      </c>
      <c r="K30" s="155">
        <f t="shared" si="15"/>
        <v>0.39</v>
      </c>
      <c r="L30" s="455">
        <v>97.11</v>
      </c>
      <c r="M30" s="155" t="str">
        <f t="shared" si="16"/>
        <v>-</v>
      </c>
      <c r="N30" s="208" t="s">
        <v>21</v>
      </c>
      <c r="O30" s="214"/>
      <c r="P30" s="215"/>
      <c r="Q30" s="214"/>
      <c r="R30" s="215"/>
      <c r="S30" s="157" t="s">
        <v>21</v>
      </c>
      <c r="T30" s="154" t="s">
        <v>21</v>
      </c>
      <c r="U30" s="157" t="s">
        <v>21</v>
      </c>
      <c r="V30" s="161" t="s">
        <v>21</v>
      </c>
      <c r="W30" s="432"/>
      <c r="X30" s="427"/>
      <c r="Y30" s="427"/>
    </row>
    <row r="31" spans="1:25" ht="15" customHeight="1" x14ac:dyDescent="0.3">
      <c r="B31" s="471"/>
      <c r="C31" s="466"/>
      <c r="D31" s="510"/>
      <c r="E31" s="188" t="s">
        <v>22</v>
      </c>
      <c r="F31" s="189" t="s">
        <v>64</v>
      </c>
      <c r="G31" s="190">
        <v>208</v>
      </c>
      <c r="H31" s="167">
        <v>62</v>
      </c>
      <c r="I31" s="163">
        <f t="shared" si="14"/>
        <v>0.23</v>
      </c>
      <c r="J31" s="453">
        <v>47.84</v>
      </c>
      <c r="K31" s="163">
        <f t="shared" si="15"/>
        <v>0.39</v>
      </c>
      <c r="L31" s="453">
        <v>81.12</v>
      </c>
      <c r="M31" s="163" t="str">
        <f t="shared" si="16"/>
        <v>-</v>
      </c>
      <c r="N31" s="209" t="s">
        <v>21</v>
      </c>
      <c r="O31" s="216"/>
      <c r="P31" s="217"/>
      <c r="Q31" s="216"/>
      <c r="R31" s="217"/>
      <c r="S31" s="166"/>
      <c r="T31" s="167"/>
      <c r="U31" s="166"/>
      <c r="V31" s="168"/>
      <c r="W31" s="432"/>
      <c r="X31" s="427"/>
      <c r="Y31" s="427"/>
    </row>
    <row r="32" spans="1:25" ht="15.6" x14ac:dyDescent="0.3">
      <c r="B32" s="472"/>
      <c r="C32" s="467"/>
      <c r="D32" s="76" t="s">
        <v>144</v>
      </c>
      <c r="E32" s="66"/>
      <c r="F32" s="67"/>
      <c r="G32" s="26">
        <f>SUM(G26:G31)</f>
        <v>1990</v>
      </c>
      <c r="H32" s="27">
        <f>SUM(H26:H31)</f>
        <v>509</v>
      </c>
      <c r="I32" s="28">
        <f t="shared" ref="I32:I37" si="17">J32/G32</f>
        <v>0.39014572864321606</v>
      </c>
      <c r="J32" s="429">
        <f>SUM(J26:J31)</f>
        <v>776.39</v>
      </c>
      <c r="K32" s="169">
        <f t="shared" ref="K32:K37" si="18">L32/G32</f>
        <v>0.39449748743718593</v>
      </c>
      <c r="L32" s="429">
        <f>SUM(L26:L31)</f>
        <v>785.05</v>
      </c>
      <c r="M32" s="28">
        <f>N32/L32</f>
        <v>0</v>
      </c>
      <c r="N32" s="429">
        <f>SUM(N26:N31)</f>
        <v>0</v>
      </c>
      <c r="O32" s="277"/>
      <c r="P32" s="278"/>
      <c r="Q32" s="277"/>
      <c r="R32" s="278"/>
      <c r="S32" s="277">
        <f>SUM(S26:S31)</f>
        <v>0</v>
      </c>
      <c r="T32" s="278">
        <f>SUM(T26:T31)</f>
        <v>0</v>
      </c>
      <c r="U32" s="277">
        <f>SUM(U26:U31)</f>
        <v>0</v>
      </c>
      <c r="V32" s="279">
        <f>SUM(V26:V31)</f>
        <v>0</v>
      </c>
      <c r="W32" s="432"/>
      <c r="X32" s="427"/>
      <c r="Y32" s="427"/>
    </row>
    <row r="33" spans="2:25" x14ac:dyDescent="0.3">
      <c r="B33" s="470" t="s">
        <v>1</v>
      </c>
      <c r="C33" s="465" t="s">
        <v>78</v>
      </c>
      <c r="D33" s="510">
        <v>11</v>
      </c>
      <c r="E33" s="182" t="s">
        <v>28</v>
      </c>
      <c r="F33" s="183" t="s">
        <v>64</v>
      </c>
      <c r="G33" s="184">
        <v>117</v>
      </c>
      <c r="H33" s="152">
        <v>86</v>
      </c>
      <c r="I33" s="148">
        <f t="shared" si="17"/>
        <v>0.69230769230769229</v>
      </c>
      <c r="J33" s="454">
        <v>81</v>
      </c>
      <c r="K33" s="148">
        <f t="shared" si="18"/>
        <v>0.40170940170940173</v>
      </c>
      <c r="L33" s="454">
        <v>47</v>
      </c>
      <c r="M33" s="148">
        <f>IF(N33="-","-",N33/L33)</f>
        <v>0.7021276595744681</v>
      </c>
      <c r="N33" s="207">
        <v>33</v>
      </c>
      <c r="O33" s="212" t="s">
        <v>21</v>
      </c>
      <c r="P33" s="213" t="s">
        <v>21</v>
      </c>
      <c r="Q33" s="212" t="s">
        <v>21</v>
      </c>
      <c r="R33" s="213" t="s">
        <v>21</v>
      </c>
      <c r="S33" s="151">
        <v>112</v>
      </c>
      <c r="T33" s="152">
        <v>82</v>
      </c>
      <c r="U33" s="151">
        <v>5</v>
      </c>
      <c r="V33" s="153">
        <v>4</v>
      </c>
      <c r="W33" s="432" t="s">
        <v>148</v>
      </c>
      <c r="X33" s="427"/>
      <c r="Y33" s="427"/>
    </row>
    <row r="34" spans="2:25" x14ac:dyDescent="0.3">
      <c r="B34" s="471"/>
      <c r="C34" s="466"/>
      <c r="D34" s="510"/>
      <c r="E34" s="185" t="s">
        <v>27</v>
      </c>
      <c r="F34" s="186" t="s">
        <v>64</v>
      </c>
      <c r="G34" s="187">
        <v>53</v>
      </c>
      <c r="H34" s="159">
        <v>38</v>
      </c>
      <c r="I34" s="155">
        <f t="shared" si="17"/>
        <v>0.60377358490566035</v>
      </c>
      <c r="J34" s="455">
        <v>32</v>
      </c>
      <c r="K34" s="155">
        <f t="shared" si="18"/>
        <v>0.22641509433962265</v>
      </c>
      <c r="L34" s="455">
        <v>12</v>
      </c>
      <c r="M34" s="155">
        <f>IF(N34="-","-",N34/L34)</f>
        <v>0.83333333333333337</v>
      </c>
      <c r="N34" s="208">
        <v>10</v>
      </c>
      <c r="O34" s="214" t="s">
        <v>21</v>
      </c>
      <c r="P34" s="215" t="s">
        <v>21</v>
      </c>
      <c r="Q34" s="214" t="s">
        <v>21</v>
      </c>
      <c r="R34" s="215" t="s">
        <v>21</v>
      </c>
      <c r="S34" s="158">
        <v>51</v>
      </c>
      <c r="T34" s="159">
        <v>36</v>
      </c>
      <c r="U34" s="158">
        <v>2</v>
      </c>
      <c r="V34" s="160">
        <v>2</v>
      </c>
      <c r="W34" s="432" t="s">
        <v>148</v>
      </c>
      <c r="X34" s="427"/>
      <c r="Y34" s="427"/>
    </row>
    <row r="35" spans="2:25" x14ac:dyDescent="0.3">
      <c r="B35" s="471"/>
      <c r="C35" s="466"/>
      <c r="D35" s="510"/>
      <c r="E35" s="185" t="s">
        <v>29</v>
      </c>
      <c r="F35" s="186" t="s">
        <v>64</v>
      </c>
      <c r="G35" s="187">
        <v>22</v>
      </c>
      <c r="H35" s="159">
        <v>20</v>
      </c>
      <c r="I35" s="155">
        <f t="shared" si="17"/>
        <v>0.72727272727272729</v>
      </c>
      <c r="J35" s="455">
        <v>16</v>
      </c>
      <c r="K35" s="155">
        <f t="shared" si="18"/>
        <v>0.54545454545454541</v>
      </c>
      <c r="L35" s="455">
        <v>12</v>
      </c>
      <c r="M35" s="155">
        <f>IF(N35="-","-",N35/L35)</f>
        <v>0.75</v>
      </c>
      <c r="N35" s="208">
        <v>9</v>
      </c>
      <c r="O35" s="214" t="s">
        <v>21</v>
      </c>
      <c r="P35" s="215" t="s">
        <v>21</v>
      </c>
      <c r="Q35" s="214" t="s">
        <v>21</v>
      </c>
      <c r="R35" s="215" t="s">
        <v>21</v>
      </c>
      <c r="S35" s="158">
        <v>22</v>
      </c>
      <c r="T35" s="159">
        <v>20</v>
      </c>
      <c r="U35" s="158">
        <v>0</v>
      </c>
      <c r="V35" s="160">
        <v>0</v>
      </c>
      <c r="W35" s="432" t="s">
        <v>148</v>
      </c>
      <c r="X35" s="427"/>
      <c r="Y35" s="427"/>
    </row>
    <row r="36" spans="2:25" x14ac:dyDescent="0.3">
      <c r="B36" s="471"/>
      <c r="C36" s="466"/>
      <c r="D36" s="510"/>
      <c r="E36" s="185" t="s">
        <v>30</v>
      </c>
      <c r="F36" s="186" t="s">
        <v>64</v>
      </c>
      <c r="G36" s="187">
        <v>49</v>
      </c>
      <c r="H36" s="159">
        <v>33</v>
      </c>
      <c r="I36" s="155">
        <f t="shared" si="17"/>
        <v>0.7142857142857143</v>
      </c>
      <c r="J36" s="455">
        <v>35</v>
      </c>
      <c r="K36" s="155">
        <f t="shared" si="18"/>
        <v>0.40816326530612246</v>
      </c>
      <c r="L36" s="455">
        <v>20</v>
      </c>
      <c r="M36" s="155">
        <f>IF(N36="-","-",N36/L36)</f>
        <v>0.85</v>
      </c>
      <c r="N36" s="208">
        <v>17</v>
      </c>
      <c r="O36" s="214" t="s">
        <v>21</v>
      </c>
      <c r="P36" s="215" t="s">
        <v>21</v>
      </c>
      <c r="Q36" s="214" t="s">
        <v>21</v>
      </c>
      <c r="R36" s="215" t="s">
        <v>21</v>
      </c>
      <c r="S36" s="158">
        <v>46</v>
      </c>
      <c r="T36" s="159">
        <v>31</v>
      </c>
      <c r="U36" s="158">
        <v>3</v>
      </c>
      <c r="V36" s="160">
        <v>2</v>
      </c>
      <c r="W36" s="432" t="s">
        <v>148</v>
      </c>
      <c r="X36" s="427"/>
      <c r="Y36" s="427"/>
    </row>
    <row r="37" spans="2:25" x14ac:dyDescent="0.3">
      <c r="B37" s="471"/>
      <c r="C37" s="466"/>
      <c r="D37" s="510"/>
      <c r="E37" s="191" t="s">
        <v>31</v>
      </c>
      <c r="F37" s="192" t="s">
        <v>64</v>
      </c>
      <c r="G37" s="187">
        <v>44</v>
      </c>
      <c r="H37" s="159">
        <v>44</v>
      </c>
      <c r="I37" s="155">
        <f t="shared" si="17"/>
        <v>0.63636363636363635</v>
      </c>
      <c r="J37" s="455">
        <v>28</v>
      </c>
      <c r="K37" s="155">
        <f t="shared" si="18"/>
        <v>0.36363636363636365</v>
      </c>
      <c r="L37" s="455">
        <v>16</v>
      </c>
      <c r="M37" s="155">
        <f>IF(N37="-","-",N37/L37)</f>
        <v>0.9375</v>
      </c>
      <c r="N37" s="208">
        <v>15</v>
      </c>
      <c r="O37" s="214" t="s">
        <v>21</v>
      </c>
      <c r="P37" s="215" t="s">
        <v>21</v>
      </c>
      <c r="Q37" s="214" t="s">
        <v>21</v>
      </c>
      <c r="R37" s="215" t="s">
        <v>21</v>
      </c>
      <c r="S37" s="158">
        <v>40</v>
      </c>
      <c r="T37" s="159">
        <v>40</v>
      </c>
      <c r="U37" s="158">
        <v>4</v>
      </c>
      <c r="V37" s="160">
        <v>4</v>
      </c>
      <c r="W37" s="432" t="s">
        <v>148</v>
      </c>
      <c r="X37" s="427" t="s">
        <v>152</v>
      </c>
      <c r="Y37" s="427"/>
    </row>
    <row r="38" spans="2:25" x14ac:dyDescent="0.3">
      <c r="B38" s="471"/>
      <c r="C38" s="466"/>
      <c r="D38" s="510"/>
      <c r="E38" s="193" t="s">
        <v>32</v>
      </c>
      <c r="F38" s="194" t="s">
        <v>64</v>
      </c>
      <c r="G38" s="190">
        <v>5</v>
      </c>
      <c r="H38" s="167">
        <v>4</v>
      </c>
      <c r="I38" s="163">
        <f t="shared" ref="I38" si="19">J38/G38</f>
        <v>0.4</v>
      </c>
      <c r="J38" s="453">
        <v>2</v>
      </c>
      <c r="K38" s="163">
        <f t="shared" ref="K38" si="20">L38/G38</f>
        <v>0.2</v>
      </c>
      <c r="L38" s="453">
        <v>1</v>
      </c>
      <c r="M38" s="163">
        <f t="shared" ref="M38" si="21">IF(N38="-","-",N38/L38)</f>
        <v>0</v>
      </c>
      <c r="N38" s="209">
        <v>0</v>
      </c>
      <c r="O38" s="216" t="s">
        <v>21</v>
      </c>
      <c r="P38" s="217" t="s">
        <v>21</v>
      </c>
      <c r="Q38" s="216" t="s">
        <v>21</v>
      </c>
      <c r="R38" s="217" t="s">
        <v>21</v>
      </c>
      <c r="S38" s="166">
        <v>5</v>
      </c>
      <c r="T38" s="167">
        <v>4</v>
      </c>
      <c r="U38" s="166">
        <v>0</v>
      </c>
      <c r="V38" s="168">
        <v>0</v>
      </c>
      <c r="W38" s="432" t="s">
        <v>148</v>
      </c>
      <c r="X38" s="427"/>
      <c r="Y38" s="427"/>
    </row>
    <row r="39" spans="2:25" ht="15.6" x14ac:dyDescent="0.3">
      <c r="B39" s="472"/>
      <c r="C39" s="467"/>
      <c r="D39" s="76" t="s">
        <v>144</v>
      </c>
      <c r="E39" s="424"/>
      <c r="F39" s="425"/>
      <c r="G39" s="26">
        <f>SUM(G33:G38)</f>
        <v>290</v>
      </c>
      <c r="H39" s="27">
        <f>SUM(H33:H38)</f>
        <v>225</v>
      </c>
      <c r="I39" s="28">
        <f>J39/G39</f>
        <v>0.66896551724137931</v>
      </c>
      <c r="J39" s="429">
        <f>SUM(J33:J38)</f>
        <v>194</v>
      </c>
      <c r="K39" s="169">
        <f>L39/G39</f>
        <v>0.3724137931034483</v>
      </c>
      <c r="L39" s="429">
        <f>SUM(L33:L38)</f>
        <v>108</v>
      </c>
      <c r="M39" s="28">
        <f>N39/L39</f>
        <v>0.77777777777777779</v>
      </c>
      <c r="N39" s="429">
        <f>SUM(N33:N38)</f>
        <v>84</v>
      </c>
      <c r="O39" s="277"/>
      <c r="P39" s="278"/>
      <c r="Q39" s="277"/>
      <c r="R39" s="278"/>
      <c r="S39" s="277">
        <f>SUM(S33:S38)</f>
        <v>276</v>
      </c>
      <c r="T39" s="278">
        <f>SUM(T33:T38)</f>
        <v>213</v>
      </c>
      <c r="U39" s="277">
        <f>SUM(U33:U38)</f>
        <v>14</v>
      </c>
      <c r="V39" s="279">
        <f>SUM(V33:V38)</f>
        <v>12</v>
      </c>
      <c r="W39" s="432" t="s">
        <v>148</v>
      </c>
      <c r="X39" s="427"/>
      <c r="Y39" s="427"/>
    </row>
    <row r="40" spans="2:25" ht="15" customHeight="1" x14ac:dyDescent="0.3">
      <c r="B40" s="470" t="s">
        <v>47</v>
      </c>
      <c r="C40" s="475" t="s">
        <v>78</v>
      </c>
      <c r="D40" s="517">
        <v>10</v>
      </c>
      <c r="E40" s="195" t="s">
        <v>33</v>
      </c>
      <c r="F40" s="196" t="s">
        <v>64</v>
      </c>
      <c r="G40" s="184">
        <v>76</v>
      </c>
      <c r="H40" s="152">
        <f>G40</f>
        <v>76</v>
      </c>
      <c r="I40" s="148">
        <f t="shared" si="14"/>
        <v>0.5</v>
      </c>
      <c r="J40" s="454">
        <f>17+21</f>
        <v>38</v>
      </c>
      <c r="K40" s="148">
        <f t="shared" si="15"/>
        <v>0.38157894736842107</v>
      </c>
      <c r="L40" s="454">
        <v>29</v>
      </c>
      <c r="M40" s="148">
        <f t="shared" si="16"/>
        <v>0.72413793103448276</v>
      </c>
      <c r="N40" s="207">
        <v>21</v>
      </c>
      <c r="O40" s="212"/>
      <c r="P40" s="213"/>
      <c r="Q40" s="212"/>
      <c r="R40" s="213"/>
      <c r="S40" s="151">
        <v>75</v>
      </c>
      <c r="T40" s="152">
        <v>75</v>
      </c>
      <c r="U40" s="151">
        <v>1</v>
      </c>
      <c r="V40" s="153">
        <v>1</v>
      </c>
      <c r="W40" s="432" t="s">
        <v>148</v>
      </c>
      <c r="X40" s="427"/>
      <c r="Y40" s="427"/>
    </row>
    <row r="41" spans="2:25" ht="15" customHeight="1" x14ac:dyDescent="0.3">
      <c r="B41" s="471"/>
      <c r="C41" s="476"/>
      <c r="D41" s="518"/>
      <c r="E41" s="197" t="s">
        <v>34</v>
      </c>
      <c r="F41" s="192" t="s">
        <v>64</v>
      </c>
      <c r="G41" s="187">
        <v>80</v>
      </c>
      <c r="H41" s="159">
        <f>G41</f>
        <v>80</v>
      </c>
      <c r="I41" s="155">
        <f t="shared" si="14"/>
        <v>0.63749999999999996</v>
      </c>
      <c r="J41" s="455">
        <f>25+26</f>
        <v>51</v>
      </c>
      <c r="K41" s="155">
        <f t="shared" si="15"/>
        <v>0.5</v>
      </c>
      <c r="L41" s="455">
        <v>40</v>
      </c>
      <c r="M41" s="155">
        <f t="shared" si="16"/>
        <v>0.65</v>
      </c>
      <c r="N41" s="208">
        <v>26</v>
      </c>
      <c r="O41" s="214"/>
      <c r="P41" s="215"/>
      <c r="Q41" s="214"/>
      <c r="R41" s="215"/>
      <c r="S41" s="158">
        <v>74</v>
      </c>
      <c r="T41" s="159">
        <v>74</v>
      </c>
      <c r="U41" s="158">
        <v>6</v>
      </c>
      <c r="V41" s="160">
        <v>6</v>
      </c>
      <c r="W41" s="432" t="s">
        <v>148</v>
      </c>
      <c r="X41" s="427"/>
      <c r="Y41" s="427"/>
    </row>
    <row r="42" spans="2:25" ht="15" customHeight="1" x14ac:dyDescent="0.3">
      <c r="B42" s="471"/>
      <c r="C42" s="476"/>
      <c r="D42" s="518"/>
      <c r="E42" s="197" t="s">
        <v>49</v>
      </c>
      <c r="F42" s="192" t="s">
        <v>64</v>
      </c>
      <c r="G42" s="187">
        <v>31</v>
      </c>
      <c r="H42" s="159">
        <f t="shared" ref="H42:H44" si="22">G42</f>
        <v>31</v>
      </c>
      <c r="I42" s="155">
        <f t="shared" si="14"/>
        <v>0.32258064516129031</v>
      </c>
      <c r="J42" s="455">
        <f>5+5</f>
        <v>10</v>
      </c>
      <c r="K42" s="155">
        <f t="shared" si="15"/>
        <v>0.35483870967741937</v>
      </c>
      <c r="L42" s="455">
        <v>11</v>
      </c>
      <c r="M42" s="155">
        <f t="shared" si="16"/>
        <v>0.45454545454545453</v>
      </c>
      <c r="N42" s="208">
        <v>5</v>
      </c>
      <c r="O42" s="214"/>
      <c r="P42" s="215"/>
      <c r="Q42" s="214"/>
      <c r="R42" s="215"/>
      <c r="S42" s="158">
        <v>31</v>
      </c>
      <c r="T42" s="159">
        <v>31</v>
      </c>
      <c r="U42" s="158">
        <v>0</v>
      </c>
      <c r="V42" s="160">
        <v>0</v>
      </c>
      <c r="W42" s="432" t="s">
        <v>148</v>
      </c>
      <c r="X42" s="427"/>
      <c r="Y42" s="427"/>
    </row>
    <row r="43" spans="2:25" ht="15" customHeight="1" x14ac:dyDescent="0.3">
      <c r="B43" s="471"/>
      <c r="C43" s="476"/>
      <c r="D43" s="518"/>
      <c r="E43" s="197" t="s">
        <v>48</v>
      </c>
      <c r="F43" s="192" t="s">
        <v>64</v>
      </c>
      <c r="G43" s="187">
        <v>15</v>
      </c>
      <c r="H43" s="159">
        <f t="shared" si="22"/>
        <v>15</v>
      </c>
      <c r="I43" s="155">
        <f t="shared" si="14"/>
        <v>0.33333333333333331</v>
      </c>
      <c r="J43" s="455">
        <f>5+0</f>
        <v>5</v>
      </c>
      <c r="K43" s="155">
        <f t="shared" si="15"/>
        <v>0</v>
      </c>
      <c r="L43" s="455">
        <v>0</v>
      </c>
      <c r="M43" s="155" t="str">
        <f>IF(N43=0,"-",N43/L43)</f>
        <v>-</v>
      </c>
      <c r="N43" s="208">
        <v>0</v>
      </c>
      <c r="O43" s="214"/>
      <c r="P43" s="215"/>
      <c r="Q43" s="214"/>
      <c r="R43" s="215"/>
      <c r="S43" s="158">
        <v>15</v>
      </c>
      <c r="T43" s="159">
        <v>15</v>
      </c>
      <c r="U43" s="158">
        <v>0</v>
      </c>
      <c r="V43" s="160">
        <v>0</v>
      </c>
      <c r="W43" s="432" t="s">
        <v>148</v>
      </c>
      <c r="X43" s="427"/>
      <c r="Y43" s="427"/>
    </row>
    <row r="44" spans="2:25" ht="15" customHeight="1" x14ac:dyDescent="0.3">
      <c r="B44" s="471"/>
      <c r="C44" s="476"/>
      <c r="D44" s="518"/>
      <c r="E44" s="197" t="s">
        <v>36</v>
      </c>
      <c r="F44" s="192" t="s">
        <v>64</v>
      </c>
      <c r="G44" s="187">
        <v>2</v>
      </c>
      <c r="H44" s="159">
        <f t="shared" si="22"/>
        <v>2</v>
      </c>
      <c r="I44" s="155">
        <f t="shared" si="14"/>
        <v>0.5</v>
      </c>
      <c r="J44" s="455">
        <f>0+1</f>
        <v>1</v>
      </c>
      <c r="K44" s="155">
        <f t="shared" si="15"/>
        <v>0.5</v>
      </c>
      <c r="L44" s="455">
        <v>1</v>
      </c>
      <c r="M44" s="155">
        <f t="shared" si="16"/>
        <v>1</v>
      </c>
      <c r="N44" s="208">
        <v>1</v>
      </c>
      <c r="O44" s="214"/>
      <c r="P44" s="215"/>
      <c r="Q44" s="214"/>
      <c r="R44" s="215"/>
      <c r="S44" s="158">
        <v>1</v>
      </c>
      <c r="T44" s="159">
        <v>1</v>
      </c>
      <c r="U44" s="158">
        <v>1</v>
      </c>
      <c r="V44" s="160">
        <v>1</v>
      </c>
      <c r="W44" s="432" t="s">
        <v>148</v>
      </c>
      <c r="X44" s="427"/>
      <c r="Y44" s="427"/>
    </row>
    <row r="45" spans="2:25" ht="15" customHeight="1" x14ac:dyDescent="0.3">
      <c r="B45" s="471"/>
      <c r="C45" s="476"/>
      <c r="D45" s="518"/>
      <c r="E45" s="197" t="s">
        <v>35</v>
      </c>
      <c r="F45" s="192" t="s">
        <v>64</v>
      </c>
      <c r="G45" s="187">
        <v>15</v>
      </c>
      <c r="H45" s="159">
        <f>G45</f>
        <v>15</v>
      </c>
      <c r="I45" s="155">
        <f t="shared" si="14"/>
        <v>0.53333333333333333</v>
      </c>
      <c r="J45" s="455">
        <f>6+2</f>
        <v>8</v>
      </c>
      <c r="K45" s="155">
        <f t="shared" si="15"/>
        <v>0.26666666666666666</v>
      </c>
      <c r="L45" s="455">
        <v>4</v>
      </c>
      <c r="M45" s="155">
        <f t="shared" si="16"/>
        <v>0.5</v>
      </c>
      <c r="N45" s="208">
        <v>2</v>
      </c>
      <c r="O45" s="214"/>
      <c r="P45" s="215"/>
      <c r="Q45" s="214"/>
      <c r="R45" s="215"/>
      <c r="S45" s="158">
        <v>13</v>
      </c>
      <c r="T45" s="159">
        <v>13</v>
      </c>
      <c r="U45" s="158">
        <v>2</v>
      </c>
      <c r="V45" s="160">
        <v>2</v>
      </c>
      <c r="W45" s="432" t="s">
        <v>148</v>
      </c>
      <c r="X45" s="427"/>
      <c r="Y45" s="427"/>
    </row>
    <row r="46" spans="2:25" ht="15.75" customHeight="1" x14ac:dyDescent="0.3">
      <c r="B46" s="471"/>
      <c r="C46" s="476"/>
      <c r="D46" s="518"/>
      <c r="E46" s="197" t="s">
        <v>154</v>
      </c>
      <c r="F46" s="192"/>
      <c r="G46" s="187">
        <v>12</v>
      </c>
      <c r="H46" s="159">
        <f>G46</f>
        <v>12</v>
      </c>
      <c r="I46" s="155">
        <f t="shared" si="14"/>
        <v>0.83333333333333337</v>
      </c>
      <c r="J46" s="455">
        <f>3+7</f>
        <v>10</v>
      </c>
      <c r="K46" s="155">
        <f t="shared" si="15"/>
        <v>0.58333333333333337</v>
      </c>
      <c r="L46" s="455">
        <v>7</v>
      </c>
      <c r="M46" s="155">
        <f t="shared" si="16"/>
        <v>1</v>
      </c>
      <c r="N46" s="208">
        <v>7</v>
      </c>
      <c r="O46" s="214"/>
      <c r="P46" s="215"/>
      <c r="Q46" s="214"/>
      <c r="R46" s="215"/>
      <c r="S46" s="158">
        <v>12</v>
      </c>
      <c r="T46" s="159">
        <v>12</v>
      </c>
      <c r="U46" s="158">
        <v>0</v>
      </c>
      <c r="V46" s="160">
        <v>0</v>
      </c>
      <c r="W46" s="432" t="s">
        <v>148</v>
      </c>
      <c r="X46" s="427"/>
      <c r="Y46" s="427"/>
    </row>
    <row r="47" spans="2:25" ht="15.75" customHeight="1" x14ac:dyDescent="0.3">
      <c r="B47" s="471"/>
      <c r="C47" s="476"/>
      <c r="D47" s="519"/>
      <c r="E47" s="198" t="s">
        <v>153</v>
      </c>
      <c r="F47" s="194"/>
      <c r="G47" s="190">
        <v>14</v>
      </c>
      <c r="H47" s="167">
        <f>G47</f>
        <v>14</v>
      </c>
      <c r="I47" s="163">
        <f t="shared" si="14"/>
        <v>1</v>
      </c>
      <c r="J47" s="453">
        <f>9+5</f>
        <v>14</v>
      </c>
      <c r="K47" s="163">
        <f t="shared" si="15"/>
        <v>0.35714285714285715</v>
      </c>
      <c r="L47" s="453">
        <v>5</v>
      </c>
      <c r="M47" s="163">
        <f t="shared" si="16"/>
        <v>1</v>
      </c>
      <c r="N47" s="209">
        <v>5</v>
      </c>
      <c r="O47" s="216"/>
      <c r="P47" s="217"/>
      <c r="Q47" s="216"/>
      <c r="R47" s="217"/>
      <c r="S47" s="166">
        <v>14</v>
      </c>
      <c r="T47" s="167">
        <v>14</v>
      </c>
      <c r="U47" s="166">
        <v>0</v>
      </c>
      <c r="V47" s="168">
        <v>0</v>
      </c>
      <c r="W47" s="432" t="s">
        <v>148</v>
      </c>
      <c r="X47" s="427"/>
      <c r="Y47" s="427"/>
    </row>
    <row r="48" spans="2:25" ht="15.6" x14ac:dyDescent="0.3">
      <c r="B48" s="472"/>
      <c r="C48" s="477"/>
      <c r="D48" s="420" t="s">
        <v>144</v>
      </c>
      <c r="E48" s="426"/>
      <c r="F48" s="425"/>
      <c r="G48" s="26">
        <f>SUM(G40:G47)</f>
        <v>245</v>
      </c>
      <c r="H48" s="27">
        <f>SUM(H40:H47)</f>
        <v>245</v>
      </c>
      <c r="I48" s="28">
        <f>J48/G48</f>
        <v>0.5591836734693878</v>
      </c>
      <c r="J48" s="429">
        <f>SUM(J40:J47)</f>
        <v>137</v>
      </c>
      <c r="K48" s="169">
        <f>L48/G48</f>
        <v>0.39591836734693875</v>
      </c>
      <c r="L48" s="429">
        <f>SUM(L40:L47)</f>
        <v>97</v>
      </c>
      <c r="M48" s="28">
        <f>N48/L48</f>
        <v>0.69072164948453607</v>
      </c>
      <c r="N48" s="429">
        <f>SUM(N40:N47)</f>
        <v>67</v>
      </c>
      <c r="O48" s="277"/>
      <c r="P48" s="278"/>
      <c r="Q48" s="277"/>
      <c r="R48" s="278"/>
      <c r="S48" s="277">
        <f>SUM(S40:S47)</f>
        <v>235</v>
      </c>
      <c r="T48" s="278">
        <f t="shared" ref="T48:V48" si="23">SUM(T40:T47)</f>
        <v>235</v>
      </c>
      <c r="U48" s="277">
        <f t="shared" si="23"/>
        <v>10</v>
      </c>
      <c r="V48" s="279">
        <f t="shared" si="23"/>
        <v>10</v>
      </c>
      <c r="W48" s="432" t="s">
        <v>148</v>
      </c>
      <c r="X48" s="427"/>
      <c r="Y48" s="427"/>
    </row>
    <row r="49" spans="1:25" ht="16.2" thickBot="1" x14ac:dyDescent="0.35">
      <c r="B49" s="123"/>
      <c r="C49" s="461"/>
      <c r="D49" s="460"/>
      <c r="E49" s="547"/>
      <c r="F49" s="548"/>
      <c r="G49" s="549"/>
      <c r="H49" s="550"/>
      <c r="I49" s="551"/>
      <c r="J49" s="552"/>
      <c r="K49" s="553"/>
      <c r="L49" s="552"/>
      <c r="M49" s="551"/>
      <c r="N49" s="552"/>
      <c r="O49" s="554"/>
      <c r="P49" s="555"/>
      <c r="Q49" s="554"/>
      <c r="R49" s="555"/>
      <c r="S49" s="554"/>
      <c r="T49" s="555"/>
      <c r="U49" s="554"/>
      <c r="V49" s="556"/>
      <c r="W49" s="432"/>
      <c r="X49" s="427"/>
      <c r="Y49" s="427"/>
    </row>
    <row r="50" spans="1:25" ht="14.4" customHeight="1" x14ac:dyDescent="0.3">
      <c r="A50" s="557"/>
      <c r="B50" s="618" t="s">
        <v>87</v>
      </c>
      <c r="C50" s="620" t="s">
        <v>78</v>
      </c>
      <c r="D50" s="622">
        <v>22</v>
      </c>
      <c r="E50" s="610" t="s">
        <v>155</v>
      </c>
      <c r="F50" s="610" t="s">
        <v>64</v>
      </c>
      <c r="G50" s="558">
        <v>182</v>
      </c>
      <c r="H50" s="559">
        <v>87</v>
      </c>
      <c r="I50" s="560">
        <v>0.43956043956043955</v>
      </c>
      <c r="J50" s="561">
        <v>80</v>
      </c>
      <c r="K50" s="560">
        <v>0.34615384615384615</v>
      </c>
      <c r="L50" s="561">
        <v>63</v>
      </c>
      <c r="M50" s="560">
        <v>0.49206349206349204</v>
      </c>
      <c r="N50" s="562">
        <v>31</v>
      </c>
      <c r="O50" s="563">
        <v>21</v>
      </c>
      <c r="P50" s="563">
        <v>10</v>
      </c>
      <c r="Q50" s="563">
        <v>3</v>
      </c>
      <c r="R50" s="563">
        <v>2</v>
      </c>
      <c r="S50" s="559">
        <v>203</v>
      </c>
      <c r="T50" s="559">
        <v>97</v>
      </c>
      <c r="U50" s="559">
        <v>3</v>
      </c>
      <c r="V50" s="564">
        <v>2</v>
      </c>
      <c r="W50" s="432"/>
      <c r="X50" s="427"/>
      <c r="Y50" s="427"/>
    </row>
    <row r="51" spans="1:25" ht="14.4" customHeight="1" x14ac:dyDescent="0.3">
      <c r="A51" s="557"/>
      <c r="B51" s="619"/>
      <c r="C51" s="621"/>
      <c r="D51" s="623"/>
      <c r="E51" s="611" t="s">
        <v>156</v>
      </c>
      <c r="F51" s="611" t="s">
        <v>64</v>
      </c>
      <c r="G51" s="565">
        <v>22</v>
      </c>
      <c r="H51" s="566">
        <v>13</v>
      </c>
      <c r="I51" s="567">
        <v>0.27272727272727271</v>
      </c>
      <c r="J51" s="568">
        <v>6</v>
      </c>
      <c r="K51" s="567">
        <v>0.31818181818181818</v>
      </c>
      <c r="L51" s="568">
        <v>7</v>
      </c>
      <c r="M51" s="567">
        <v>0.2857142857142857</v>
      </c>
      <c r="N51" s="569">
        <v>2</v>
      </c>
      <c r="O51" s="570">
        <v>0</v>
      </c>
      <c r="P51" s="570">
        <v>0</v>
      </c>
      <c r="Q51" s="570">
        <v>0</v>
      </c>
      <c r="R51" s="570">
        <v>0</v>
      </c>
      <c r="S51" s="566">
        <v>13</v>
      </c>
      <c r="T51" s="566">
        <v>9</v>
      </c>
      <c r="U51" s="566">
        <v>9</v>
      </c>
      <c r="V51" s="571">
        <v>4</v>
      </c>
      <c r="W51" s="432"/>
      <c r="X51" s="427"/>
      <c r="Y51" s="427"/>
    </row>
    <row r="52" spans="1:25" ht="14.4" customHeight="1" x14ac:dyDescent="0.3">
      <c r="A52" s="572"/>
      <c r="B52" s="619"/>
      <c r="C52" s="621"/>
      <c r="D52" s="623"/>
      <c r="E52" s="612" t="s">
        <v>157</v>
      </c>
      <c r="F52" s="611" t="s">
        <v>64</v>
      </c>
      <c r="G52" s="573">
        <v>204</v>
      </c>
      <c r="H52" s="574">
        <v>100</v>
      </c>
      <c r="I52" s="575">
        <v>0.42156862745098039</v>
      </c>
      <c r="J52" s="576">
        <v>86</v>
      </c>
      <c r="K52" s="575">
        <v>0.34313725490196079</v>
      </c>
      <c r="L52" s="576">
        <v>70</v>
      </c>
      <c r="M52" s="575">
        <v>0.47142857142857142</v>
      </c>
      <c r="N52" s="577">
        <v>33</v>
      </c>
      <c r="O52" s="578">
        <v>21</v>
      </c>
      <c r="P52" s="578">
        <v>10</v>
      </c>
      <c r="Q52" s="578">
        <v>3</v>
      </c>
      <c r="R52" s="578">
        <v>2</v>
      </c>
      <c r="S52" s="574">
        <v>216</v>
      </c>
      <c r="T52" s="574">
        <v>106</v>
      </c>
      <c r="U52" s="574">
        <v>12</v>
      </c>
      <c r="V52" s="579">
        <v>6</v>
      </c>
      <c r="W52" s="432"/>
      <c r="X52" s="427"/>
      <c r="Y52" s="427"/>
    </row>
    <row r="53" spans="1:25" x14ac:dyDescent="0.3">
      <c r="A53" s="557"/>
      <c r="B53" s="619"/>
      <c r="C53" s="621"/>
      <c r="D53" s="623"/>
      <c r="E53" s="611" t="s">
        <v>158</v>
      </c>
      <c r="F53" s="611" t="s">
        <v>64</v>
      </c>
      <c r="G53" s="565">
        <v>181</v>
      </c>
      <c r="H53" s="566">
        <v>94</v>
      </c>
      <c r="I53" s="567">
        <v>0.4585635359116022</v>
      </c>
      <c r="J53" s="568">
        <v>83</v>
      </c>
      <c r="K53" s="567">
        <v>0.30386740331491713</v>
      </c>
      <c r="L53" s="568">
        <v>55</v>
      </c>
      <c r="M53" s="567">
        <v>0.63636363636363635</v>
      </c>
      <c r="N53" s="569">
        <v>35</v>
      </c>
      <c r="O53" s="570">
        <v>8</v>
      </c>
      <c r="P53" s="570">
        <v>6</v>
      </c>
      <c r="Q53" s="570">
        <v>13</v>
      </c>
      <c r="R53" s="570">
        <v>9</v>
      </c>
      <c r="S53" s="566">
        <v>191</v>
      </c>
      <c r="T53" s="566">
        <v>103</v>
      </c>
      <c r="U53" s="566">
        <v>11</v>
      </c>
      <c r="V53" s="571">
        <v>6</v>
      </c>
      <c r="W53" s="432"/>
      <c r="X53" s="427"/>
      <c r="Y53" s="427"/>
    </row>
    <row r="54" spans="1:25" x14ac:dyDescent="0.3">
      <c r="A54" s="557"/>
      <c r="B54" s="619"/>
      <c r="C54" s="621"/>
      <c r="D54" s="623"/>
      <c r="E54" s="611" t="s">
        <v>159</v>
      </c>
      <c r="F54" s="611" t="s">
        <v>64</v>
      </c>
      <c r="G54" s="565">
        <v>28</v>
      </c>
      <c r="H54" s="566">
        <v>14</v>
      </c>
      <c r="I54" s="567">
        <v>0.32142857142857145</v>
      </c>
      <c r="J54" s="568">
        <v>9</v>
      </c>
      <c r="K54" s="567">
        <v>0.14285714285714285</v>
      </c>
      <c r="L54" s="568">
        <v>4</v>
      </c>
      <c r="M54" s="567">
        <v>0.75</v>
      </c>
      <c r="N54" s="569">
        <v>3</v>
      </c>
      <c r="O54" s="570">
        <v>0</v>
      </c>
      <c r="P54" s="570">
        <v>0</v>
      </c>
      <c r="Q54" s="570">
        <v>0</v>
      </c>
      <c r="R54" s="570">
        <v>0</v>
      </c>
      <c r="S54" s="566">
        <v>26</v>
      </c>
      <c r="T54" s="566">
        <v>12</v>
      </c>
      <c r="U54" s="566">
        <v>2</v>
      </c>
      <c r="V54" s="571">
        <v>2</v>
      </c>
      <c r="W54" s="432"/>
      <c r="X54" s="427"/>
      <c r="Y54" s="427"/>
    </row>
    <row r="55" spans="1:25" x14ac:dyDescent="0.3">
      <c r="A55" s="557"/>
      <c r="B55" s="619"/>
      <c r="C55" s="621"/>
      <c r="D55" s="623"/>
      <c r="E55" s="611" t="s">
        <v>160</v>
      </c>
      <c r="F55" s="611" t="s">
        <v>64</v>
      </c>
      <c r="G55" s="565">
        <v>110</v>
      </c>
      <c r="H55" s="566">
        <v>50</v>
      </c>
      <c r="I55" s="567">
        <v>9.0909090909090912E-2</v>
      </c>
      <c r="J55" s="568">
        <v>10</v>
      </c>
      <c r="K55" s="567">
        <v>0.15454545454545454</v>
      </c>
      <c r="L55" s="568">
        <v>17</v>
      </c>
      <c r="M55" s="567">
        <v>0.11764705882352941</v>
      </c>
      <c r="N55" s="569">
        <v>2</v>
      </c>
      <c r="O55" s="570">
        <v>3</v>
      </c>
      <c r="P55" s="570">
        <v>1</v>
      </c>
      <c r="Q55" s="570">
        <v>37</v>
      </c>
      <c r="R55" s="570">
        <v>27</v>
      </c>
      <c r="S55" s="566">
        <v>150</v>
      </c>
      <c r="T55" s="566">
        <v>78</v>
      </c>
      <c r="U55" s="566">
        <v>0</v>
      </c>
      <c r="V55" s="571">
        <v>0</v>
      </c>
      <c r="W55" s="432"/>
      <c r="X55" s="427"/>
      <c r="Y55" s="427"/>
    </row>
    <row r="56" spans="1:25" x14ac:dyDescent="0.3">
      <c r="A56" s="557"/>
      <c r="B56" s="619"/>
      <c r="C56" s="621"/>
      <c r="D56" s="623"/>
      <c r="E56" s="611" t="s">
        <v>161</v>
      </c>
      <c r="F56" s="611" t="s">
        <v>64</v>
      </c>
      <c r="G56" s="565">
        <v>12</v>
      </c>
      <c r="H56" s="566">
        <v>7</v>
      </c>
      <c r="I56" s="567">
        <v>0.25</v>
      </c>
      <c r="J56" s="568">
        <v>3</v>
      </c>
      <c r="K56" s="567">
        <v>0</v>
      </c>
      <c r="L56" s="568">
        <v>0</v>
      </c>
      <c r="M56" s="567" t="e">
        <v>#DIV/0!</v>
      </c>
      <c r="N56" s="569">
        <v>0</v>
      </c>
      <c r="O56" s="570">
        <v>0</v>
      </c>
      <c r="P56" s="570">
        <v>0</v>
      </c>
      <c r="Q56" s="570">
        <v>0</v>
      </c>
      <c r="R56" s="570">
        <v>0</v>
      </c>
      <c r="S56" s="566">
        <v>7</v>
      </c>
      <c r="T56" s="566">
        <v>2</v>
      </c>
      <c r="U56" s="566">
        <v>5</v>
      </c>
      <c r="V56" s="571">
        <v>5</v>
      </c>
      <c r="W56" s="432"/>
      <c r="X56" s="427"/>
      <c r="Y56" s="427"/>
    </row>
    <row r="57" spans="1:25" x14ac:dyDescent="0.3">
      <c r="A57" s="572"/>
      <c r="B57" s="619"/>
      <c r="C57" s="621"/>
      <c r="D57" s="623"/>
      <c r="E57" s="612" t="s">
        <v>162</v>
      </c>
      <c r="F57" s="611" t="s">
        <v>64</v>
      </c>
      <c r="G57" s="573">
        <v>331</v>
      </c>
      <c r="H57" s="574">
        <v>165</v>
      </c>
      <c r="I57" s="575">
        <v>0.31722054380664655</v>
      </c>
      <c r="J57" s="576">
        <v>105</v>
      </c>
      <c r="K57" s="575">
        <v>0.22960725075528701</v>
      </c>
      <c r="L57" s="576">
        <v>76</v>
      </c>
      <c r="M57" s="575">
        <v>0.52631578947368418</v>
      </c>
      <c r="N57" s="577">
        <v>40</v>
      </c>
      <c r="O57" s="578">
        <v>11</v>
      </c>
      <c r="P57" s="578">
        <v>7</v>
      </c>
      <c r="Q57" s="578">
        <v>50</v>
      </c>
      <c r="R57" s="578">
        <v>36</v>
      </c>
      <c r="S57" s="574">
        <v>374</v>
      </c>
      <c r="T57" s="574">
        <v>195</v>
      </c>
      <c r="U57" s="574">
        <v>18</v>
      </c>
      <c r="V57" s="579">
        <v>13</v>
      </c>
      <c r="W57" s="432"/>
      <c r="X57" s="427"/>
      <c r="Y57" s="427"/>
    </row>
    <row r="58" spans="1:25" x14ac:dyDescent="0.3">
      <c r="A58" s="557"/>
      <c r="B58" s="619"/>
      <c r="C58" s="621"/>
      <c r="D58" s="623"/>
      <c r="E58" s="611" t="s">
        <v>163</v>
      </c>
      <c r="F58" s="611" t="s">
        <v>64</v>
      </c>
      <c r="G58" s="565">
        <v>140</v>
      </c>
      <c r="H58" s="566">
        <v>67</v>
      </c>
      <c r="I58" s="567">
        <v>0.39285714285714285</v>
      </c>
      <c r="J58" s="568">
        <v>55</v>
      </c>
      <c r="K58" s="567">
        <v>0.36428571428571427</v>
      </c>
      <c r="L58" s="568">
        <v>51</v>
      </c>
      <c r="M58" s="567">
        <v>0.43137254901960786</v>
      </c>
      <c r="N58" s="569">
        <v>22</v>
      </c>
      <c r="O58" s="570">
        <v>12</v>
      </c>
      <c r="P58" s="570">
        <v>5</v>
      </c>
      <c r="Q58" s="570">
        <v>19</v>
      </c>
      <c r="R58" s="570">
        <v>8</v>
      </c>
      <c r="S58" s="566">
        <v>156</v>
      </c>
      <c r="T58" s="566">
        <v>72</v>
      </c>
      <c r="U58" s="566">
        <v>15</v>
      </c>
      <c r="V58" s="571">
        <v>8</v>
      </c>
      <c r="W58" s="432"/>
      <c r="X58" s="427"/>
      <c r="Y58" s="427"/>
    </row>
    <row r="59" spans="1:25" x14ac:dyDescent="0.3">
      <c r="A59" s="557"/>
      <c r="B59" s="619"/>
      <c r="C59" s="621"/>
      <c r="D59" s="623"/>
      <c r="E59" s="611" t="s">
        <v>164</v>
      </c>
      <c r="F59" s="611" t="s">
        <v>64</v>
      </c>
      <c r="G59" s="565">
        <v>78</v>
      </c>
      <c r="H59" s="566">
        <v>35</v>
      </c>
      <c r="I59" s="567">
        <v>0.28205128205128205</v>
      </c>
      <c r="J59" s="568">
        <v>22</v>
      </c>
      <c r="K59" s="567">
        <v>0.29487179487179488</v>
      </c>
      <c r="L59" s="568">
        <v>23</v>
      </c>
      <c r="M59" s="567">
        <v>0.30434782608695654</v>
      </c>
      <c r="N59" s="569">
        <v>7</v>
      </c>
      <c r="O59" s="570">
        <v>8</v>
      </c>
      <c r="P59" s="570">
        <v>3</v>
      </c>
      <c r="Q59" s="570">
        <v>10</v>
      </c>
      <c r="R59" s="570">
        <v>6</v>
      </c>
      <c r="S59" s="566">
        <v>72</v>
      </c>
      <c r="T59" s="566">
        <v>33</v>
      </c>
      <c r="U59" s="566">
        <v>24</v>
      </c>
      <c r="V59" s="571">
        <v>11</v>
      </c>
      <c r="W59" s="432"/>
      <c r="X59" s="427"/>
      <c r="Y59" s="427"/>
    </row>
    <row r="60" spans="1:25" x14ac:dyDescent="0.3">
      <c r="A60" s="572"/>
      <c r="B60" s="619"/>
      <c r="C60" s="621"/>
      <c r="D60" s="623"/>
      <c r="E60" s="612" t="s">
        <v>165</v>
      </c>
      <c r="F60" s="611" t="s">
        <v>64</v>
      </c>
      <c r="G60" s="573">
        <v>218</v>
      </c>
      <c r="H60" s="574">
        <v>102</v>
      </c>
      <c r="I60" s="575">
        <v>0.35321100917431192</v>
      </c>
      <c r="J60" s="576">
        <v>77</v>
      </c>
      <c r="K60" s="575">
        <v>0.33944954128440369</v>
      </c>
      <c r="L60" s="576">
        <v>74</v>
      </c>
      <c r="M60" s="575">
        <v>0.39189189189189189</v>
      </c>
      <c r="N60" s="577">
        <v>29</v>
      </c>
      <c r="O60" s="578">
        <v>20</v>
      </c>
      <c r="P60" s="578">
        <v>8</v>
      </c>
      <c r="Q60" s="578">
        <v>29</v>
      </c>
      <c r="R60" s="578">
        <v>14</v>
      </c>
      <c r="S60" s="574">
        <v>228</v>
      </c>
      <c r="T60" s="574">
        <v>105</v>
      </c>
      <c r="U60" s="574">
        <v>39</v>
      </c>
      <c r="V60" s="579">
        <v>19</v>
      </c>
      <c r="W60" s="432"/>
      <c r="X60" s="427"/>
      <c r="Y60" s="427"/>
    </row>
    <row r="61" spans="1:25" x14ac:dyDescent="0.3">
      <c r="A61" s="557"/>
      <c r="B61" s="619"/>
      <c r="C61" s="621"/>
      <c r="D61" s="623"/>
      <c r="E61" s="611" t="s">
        <v>166</v>
      </c>
      <c r="F61" s="611" t="s">
        <v>64</v>
      </c>
      <c r="G61" s="565">
        <v>39</v>
      </c>
      <c r="H61" s="566">
        <v>20</v>
      </c>
      <c r="I61" s="567">
        <v>0.35897435897435898</v>
      </c>
      <c r="J61" s="568">
        <v>14</v>
      </c>
      <c r="K61" s="567">
        <v>0.30769230769230771</v>
      </c>
      <c r="L61" s="568">
        <v>12</v>
      </c>
      <c r="M61" s="567">
        <v>0.5</v>
      </c>
      <c r="N61" s="569">
        <v>6</v>
      </c>
      <c r="O61" s="570">
        <v>0</v>
      </c>
      <c r="P61" s="570">
        <v>0</v>
      </c>
      <c r="Q61" s="570">
        <v>0</v>
      </c>
      <c r="R61" s="570">
        <v>0</v>
      </c>
      <c r="S61" s="566">
        <v>28</v>
      </c>
      <c r="T61" s="566">
        <v>15</v>
      </c>
      <c r="U61" s="566">
        <v>11</v>
      </c>
      <c r="V61" s="571">
        <v>5</v>
      </c>
      <c r="W61" s="432"/>
      <c r="X61" s="427"/>
      <c r="Y61" s="427"/>
    </row>
    <row r="62" spans="1:25" x14ac:dyDescent="0.3">
      <c r="A62" s="557"/>
      <c r="B62" s="619"/>
      <c r="C62" s="621"/>
      <c r="D62" s="623"/>
      <c r="E62" s="611" t="s">
        <v>167</v>
      </c>
      <c r="F62" s="611" t="s">
        <v>64</v>
      </c>
      <c r="G62" s="565">
        <v>3</v>
      </c>
      <c r="H62" s="566">
        <v>3</v>
      </c>
      <c r="I62" s="567">
        <v>0.66666666666666663</v>
      </c>
      <c r="J62" s="568">
        <v>2</v>
      </c>
      <c r="K62" s="567">
        <v>0.66666666666666663</v>
      </c>
      <c r="L62" s="568">
        <v>2</v>
      </c>
      <c r="M62" s="567">
        <v>0.5</v>
      </c>
      <c r="N62" s="569">
        <v>1</v>
      </c>
      <c r="O62" s="570">
        <v>0</v>
      </c>
      <c r="P62" s="570">
        <v>0</v>
      </c>
      <c r="Q62" s="570">
        <v>0</v>
      </c>
      <c r="R62" s="570">
        <v>0</v>
      </c>
      <c r="S62" s="566">
        <v>3</v>
      </c>
      <c r="T62" s="566">
        <v>3</v>
      </c>
      <c r="U62" s="566">
        <v>0</v>
      </c>
      <c r="V62" s="571">
        <v>0</v>
      </c>
      <c r="W62" s="432"/>
      <c r="X62" s="427"/>
      <c r="Y62" s="427"/>
    </row>
    <row r="63" spans="1:25" x14ac:dyDescent="0.3">
      <c r="A63" s="557"/>
      <c r="B63" s="619"/>
      <c r="C63" s="621"/>
      <c r="D63" s="623"/>
      <c r="E63" s="611" t="s">
        <v>168</v>
      </c>
      <c r="F63" s="611" t="s">
        <v>64</v>
      </c>
      <c r="G63" s="565">
        <v>22</v>
      </c>
      <c r="H63" s="566">
        <v>16</v>
      </c>
      <c r="I63" s="567">
        <v>0.45454545454545453</v>
      </c>
      <c r="J63" s="568">
        <v>10</v>
      </c>
      <c r="K63" s="567">
        <v>0.31818181818181818</v>
      </c>
      <c r="L63" s="568">
        <v>7</v>
      </c>
      <c r="M63" s="567">
        <v>0.5714285714285714</v>
      </c>
      <c r="N63" s="569">
        <v>4</v>
      </c>
      <c r="O63" s="570">
        <v>1</v>
      </c>
      <c r="P63" s="570">
        <v>1</v>
      </c>
      <c r="Q63" s="570">
        <v>10</v>
      </c>
      <c r="R63" s="570">
        <v>9</v>
      </c>
      <c r="S63" s="566">
        <v>32</v>
      </c>
      <c r="T63" s="566">
        <v>25</v>
      </c>
      <c r="U63" s="566">
        <v>1</v>
      </c>
      <c r="V63" s="571">
        <v>1</v>
      </c>
      <c r="W63" s="432"/>
      <c r="X63" s="427"/>
      <c r="Y63" s="427"/>
    </row>
    <row r="64" spans="1:25" x14ac:dyDescent="0.3">
      <c r="A64" s="588"/>
      <c r="B64" s="619"/>
      <c r="C64" s="621"/>
      <c r="D64" s="623"/>
      <c r="E64" s="611" t="s">
        <v>169</v>
      </c>
      <c r="F64" s="611" t="s">
        <v>64</v>
      </c>
      <c r="G64" s="565">
        <v>47</v>
      </c>
      <c r="H64" s="566">
        <v>38</v>
      </c>
      <c r="I64" s="567">
        <v>0.21276595744680851</v>
      </c>
      <c r="J64" s="568">
        <v>10</v>
      </c>
      <c r="K64" s="567">
        <v>0.25531914893617019</v>
      </c>
      <c r="L64" s="568">
        <v>12</v>
      </c>
      <c r="M64" s="567">
        <v>0.58333333333333337</v>
      </c>
      <c r="N64" s="569">
        <v>7</v>
      </c>
      <c r="O64" s="570">
        <v>0</v>
      </c>
      <c r="P64" s="570">
        <v>0</v>
      </c>
      <c r="Q64" s="570">
        <v>1</v>
      </c>
      <c r="R64" s="570">
        <v>1</v>
      </c>
      <c r="S64" s="566">
        <v>45</v>
      </c>
      <c r="T64" s="566">
        <v>38</v>
      </c>
      <c r="U64" s="566">
        <v>3</v>
      </c>
      <c r="V64" s="571">
        <v>1</v>
      </c>
      <c r="W64" s="432"/>
      <c r="X64" s="427"/>
      <c r="Y64" s="427"/>
    </row>
    <row r="65" spans="1:25" x14ac:dyDescent="0.3">
      <c r="A65" s="588"/>
      <c r="B65" s="619"/>
      <c r="C65" s="621"/>
      <c r="D65" s="623"/>
      <c r="E65" s="611" t="s">
        <v>170</v>
      </c>
      <c r="F65" s="611" t="s">
        <v>64</v>
      </c>
      <c r="G65" s="565">
        <v>21</v>
      </c>
      <c r="H65" s="566">
        <v>7</v>
      </c>
      <c r="I65" s="567">
        <v>0.33333333333333331</v>
      </c>
      <c r="J65" s="568">
        <v>7</v>
      </c>
      <c r="K65" s="567">
        <v>0.42857142857142855</v>
      </c>
      <c r="L65" s="568">
        <v>9</v>
      </c>
      <c r="M65" s="567">
        <v>0.55555555555555558</v>
      </c>
      <c r="N65" s="569">
        <v>5</v>
      </c>
      <c r="O65" s="570">
        <v>3</v>
      </c>
      <c r="P65" s="570">
        <v>3</v>
      </c>
      <c r="Q65" s="570">
        <v>5</v>
      </c>
      <c r="R65" s="570">
        <v>4</v>
      </c>
      <c r="S65" s="566">
        <v>22</v>
      </c>
      <c r="T65" s="566">
        <v>10</v>
      </c>
      <c r="U65" s="566">
        <v>7</v>
      </c>
      <c r="V65" s="571">
        <v>4</v>
      </c>
      <c r="W65" s="432"/>
      <c r="X65" s="427"/>
      <c r="Y65" s="427"/>
    </row>
    <row r="66" spans="1:25" ht="15" thickBot="1" x14ac:dyDescent="0.35">
      <c r="A66" s="588"/>
      <c r="B66" s="619"/>
      <c r="C66" s="621"/>
      <c r="D66" s="623"/>
      <c r="E66" s="611" t="s">
        <v>171</v>
      </c>
      <c r="F66" s="611" t="s">
        <v>64</v>
      </c>
      <c r="G66" s="580">
        <v>13</v>
      </c>
      <c r="H66" s="581">
        <v>11</v>
      </c>
      <c r="I66" s="582">
        <v>0.38461538461538464</v>
      </c>
      <c r="J66" s="583">
        <v>5</v>
      </c>
      <c r="K66" s="582">
        <v>0.15384615384615385</v>
      </c>
      <c r="L66" s="583">
        <v>2</v>
      </c>
      <c r="M66" s="582">
        <v>0.5</v>
      </c>
      <c r="N66" s="584">
        <v>1</v>
      </c>
      <c r="O66" s="585">
        <v>0</v>
      </c>
      <c r="P66" s="585">
        <v>0</v>
      </c>
      <c r="Q66" s="585">
        <v>2</v>
      </c>
      <c r="R66" s="585">
        <v>1</v>
      </c>
      <c r="S66" s="581">
        <v>11</v>
      </c>
      <c r="T66" s="581">
        <v>8</v>
      </c>
      <c r="U66" s="581">
        <v>4</v>
      </c>
      <c r="V66" s="586">
        <v>4</v>
      </c>
      <c r="W66" s="432"/>
      <c r="X66" s="427"/>
      <c r="Y66" s="427"/>
    </row>
    <row r="67" spans="1:25" x14ac:dyDescent="0.3">
      <c r="A67" s="587"/>
      <c r="B67" s="619"/>
      <c r="C67" s="621"/>
      <c r="D67" s="623"/>
      <c r="E67" s="612" t="s">
        <v>172</v>
      </c>
      <c r="F67" s="611" t="s">
        <v>64</v>
      </c>
      <c r="G67" s="573">
        <v>145</v>
      </c>
      <c r="H67" s="574">
        <v>95</v>
      </c>
      <c r="I67" s="575">
        <v>0.33103448275862069</v>
      </c>
      <c r="J67" s="576">
        <v>48</v>
      </c>
      <c r="K67" s="575">
        <v>0.30344827586206896</v>
      </c>
      <c r="L67" s="576">
        <v>44</v>
      </c>
      <c r="M67" s="575">
        <v>0.54545454545454541</v>
      </c>
      <c r="N67" s="577">
        <v>24</v>
      </c>
      <c r="O67" s="578">
        <v>4</v>
      </c>
      <c r="P67" s="578">
        <v>4</v>
      </c>
      <c r="Q67" s="578">
        <v>18</v>
      </c>
      <c r="R67" s="578">
        <v>15</v>
      </c>
      <c r="S67" s="574">
        <v>141</v>
      </c>
      <c r="T67" s="574">
        <v>99</v>
      </c>
      <c r="U67" s="574">
        <v>26</v>
      </c>
      <c r="V67" s="579">
        <v>15</v>
      </c>
      <c r="W67" s="432"/>
      <c r="X67" s="427"/>
      <c r="Y67" s="427"/>
    </row>
    <row r="68" spans="1:25" x14ac:dyDescent="0.3">
      <c r="A68" s="588"/>
      <c r="B68" s="603"/>
      <c r="C68" s="604"/>
      <c r="D68" s="602"/>
      <c r="E68" s="602"/>
      <c r="F68" s="602"/>
      <c r="G68" s="602"/>
      <c r="H68" s="602"/>
      <c r="I68" s="605"/>
      <c r="J68" s="602"/>
      <c r="K68" s="605"/>
      <c r="L68" s="602"/>
      <c r="M68" s="605"/>
      <c r="N68" s="602"/>
      <c r="O68" s="602"/>
      <c r="P68" s="602"/>
      <c r="Q68" s="602"/>
      <c r="R68" s="602"/>
      <c r="S68" s="602"/>
      <c r="T68" s="602"/>
      <c r="U68" s="602"/>
      <c r="V68" s="606"/>
      <c r="W68" s="432"/>
      <c r="X68" s="427"/>
      <c r="Y68" s="427"/>
    </row>
    <row r="69" spans="1:25" ht="15" thickBot="1" x14ac:dyDescent="0.35">
      <c r="A69" s="587"/>
      <c r="B69" s="607"/>
      <c r="C69" s="608"/>
      <c r="D69" s="608"/>
      <c r="E69" s="608" t="s">
        <v>173</v>
      </c>
      <c r="F69" s="613" t="s">
        <v>64</v>
      </c>
      <c r="G69" s="614">
        <v>898</v>
      </c>
      <c r="H69" s="615">
        <v>462</v>
      </c>
      <c r="I69" s="609">
        <v>0.35189309576837419</v>
      </c>
      <c r="J69" s="616">
        <v>316</v>
      </c>
      <c r="K69" s="609">
        <v>0.29398663697104677</v>
      </c>
      <c r="L69" s="616">
        <v>264</v>
      </c>
      <c r="M69" s="609">
        <v>0.47727272727272729</v>
      </c>
      <c r="N69" s="616">
        <v>126</v>
      </c>
      <c r="O69" s="615">
        <v>56</v>
      </c>
      <c r="P69" s="615">
        <v>29</v>
      </c>
      <c r="Q69" s="615">
        <v>100</v>
      </c>
      <c r="R69" s="615">
        <v>67</v>
      </c>
      <c r="S69" s="615">
        <v>959</v>
      </c>
      <c r="T69" s="615">
        <v>505</v>
      </c>
      <c r="U69" s="615">
        <v>95</v>
      </c>
      <c r="V69" s="617">
        <v>53</v>
      </c>
      <c r="W69" s="432"/>
      <c r="X69" s="427"/>
      <c r="Y69" s="427"/>
    </row>
    <row r="70" spans="1:25" ht="15.75" customHeight="1" thickBot="1" x14ac:dyDescent="0.35">
      <c r="B70" s="471" t="s">
        <v>3</v>
      </c>
      <c r="C70" s="589" t="s">
        <v>78</v>
      </c>
      <c r="D70" s="509">
        <v>14</v>
      </c>
      <c r="E70" s="590" t="s">
        <v>50</v>
      </c>
      <c r="F70" s="591" t="s">
        <v>63</v>
      </c>
      <c r="G70" s="592"/>
      <c r="H70" s="593"/>
      <c r="I70" s="594"/>
      <c r="J70" s="595"/>
      <c r="K70" s="594"/>
      <c r="L70" s="595"/>
      <c r="M70" s="594"/>
      <c r="N70" s="596"/>
      <c r="O70" s="597"/>
      <c r="P70" s="598"/>
      <c r="Q70" s="597"/>
      <c r="R70" s="598"/>
      <c r="S70" s="599"/>
      <c r="T70" s="600"/>
      <c r="U70" s="599"/>
      <c r="V70" s="601"/>
      <c r="W70" s="432" t="s">
        <v>148</v>
      </c>
      <c r="X70" s="427"/>
      <c r="Y70" s="427"/>
    </row>
    <row r="71" spans="1:25" ht="15.75" customHeight="1" thickBot="1" x14ac:dyDescent="0.35">
      <c r="B71" s="471"/>
      <c r="C71" s="469"/>
      <c r="D71" s="510"/>
      <c r="E71" s="185" t="s">
        <v>51</v>
      </c>
      <c r="F71" s="186" t="s">
        <v>63</v>
      </c>
      <c r="G71" s="187"/>
      <c r="H71" s="159"/>
      <c r="I71" s="155"/>
      <c r="J71" s="455"/>
      <c r="K71" s="155"/>
      <c r="L71" s="455"/>
      <c r="M71" s="155"/>
      <c r="N71" s="208"/>
      <c r="O71" s="214"/>
      <c r="P71" s="215"/>
      <c r="Q71" s="214"/>
      <c r="R71" s="215"/>
      <c r="S71" s="157"/>
      <c r="T71" s="154"/>
      <c r="U71" s="157"/>
      <c r="V71" s="161"/>
      <c r="W71" s="432" t="s">
        <v>148</v>
      </c>
      <c r="X71" s="427"/>
      <c r="Y71" s="427"/>
    </row>
    <row r="72" spans="1:25" ht="15.75" customHeight="1" thickBot="1" x14ac:dyDescent="0.35">
      <c r="B72" s="471"/>
      <c r="C72" s="469"/>
      <c r="D72" s="510"/>
      <c r="E72" s="185" t="s">
        <v>83</v>
      </c>
      <c r="F72" s="186" t="s">
        <v>63</v>
      </c>
      <c r="G72" s="187"/>
      <c r="H72" s="159"/>
      <c r="I72" s="155"/>
      <c r="J72" s="455"/>
      <c r="K72" s="155"/>
      <c r="L72" s="455"/>
      <c r="M72" s="155"/>
      <c r="N72" s="208"/>
      <c r="O72" s="214"/>
      <c r="P72" s="215"/>
      <c r="Q72" s="214"/>
      <c r="R72" s="215"/>
      <c r="S72" s="157"/>
      <c r="T72" s="154"/>
      <c r="U72" s="157"/>
      <c r="V72" s="161"/>
      <c r="W72" s="432" t="s">
        <v>148</v>
      </c>
      <c r="X72" s="427"/>
      <c r="Y72" s="427"/>
    </row>
    <row r="73" spans="1:25" ht="15.75" customHeight="1" thickBot="1" x14ac:dyDescent="0.35">
      <c r="B73" s="471"/>
      <c r="C73" s="469"/>
      <c r="D73" s="510"/>
      <c r="E73" s="185" t="s">
        <v>75</v>
      </c>
      <c r="F73" s="186" t="s">
        <v>63</v>
      </c>
      <c r="G73" s="187"/>
      <c r="H73" s="159"/>
      <c r="I73" s="155"/>
      <c r="J73" s="455"/>
      <c r="K73" s="155"/>
      <c r="L73" s="455"/>
      <c r="M73" s="155"/>
      <c r="N73" s="208"/>
      <c r="O73" s="214"/>
      <c r="P73" s="215"/>
      <c r="Q73" s="214"/>
      <c r="R73" s="215"/>
      <c r="S73" s="157"/>
      <c r="T73" s="154"/>
      <c r="U73" s="157"/>
      <c r="V73" s="161"/>
      <c r="W73" s="432" t="s">
        <v>148</v>
      </c>
      <c r="X73" s="427"/>
      <c r="Y73" s="427"/>
    </row>
    <row r="74" spans="1:25" ht="15.75" customHeight="1" thickBot="1" x14ac:dyDescent="0.35">
      <c r="B74" s="471"/>
      <c r="C74" s="469"/>
      <c r="D74" s="510"/>
      <c r="E74" s="185" t="s">
        <v>52</v>
      </c>
      <c r="F74" s="186" t="s">
        <v>63</v>
      </c>
      <c r="G74" s="187"/>
      <c r="H74" s="159"/>
      <c r="I74" s="155"/>
      <c r="J74" s="455"/>
      <c r="K74" s="155"/>
      <c r="L74" s="455"/>
      <c r="M74" s="155"/>
      <c r="N74" s="208"/>
      <c r="O74" s="214"/>
      <c r="P74" s="215"/>
      <c r="Q74" s="214"/>
      <c r="R74" s="215"/>
      <c r="S74" s="157"/>
      <c r="T74" s="154"/>
      <c r="U74" s="157"/>
      <c r="V74" s="161"/>
      <c r="W74" s="432" t="s">
        <v>148</v>
      </c>
      <c r="X74" s="427"/>
      <c r="Y74" s="427"/>
    </row>
    <row r="75" spans="1:25" ht="15.75" customHeight="1" thickBot="1" x14ac:dyDescent="0.35">
      <c r="B75" s="471"/>
      <c r="C75" s="469"/>
      <c r="D75" s="510"/>
      <c r="E75" s="185" t="s">
        <v>151</v>
      </c>
      <c r="F75" s="186"/>
      <c r="G75" s="187">
        <v>159</v>
      </c>
      <c r="H75" s="159">
        <v>159</v>
      </c>
      <c r="I75" s="155">
        <f t="shared" si="14"/>
        <v>0.34591194968553457</v>
      </c>
      <c r="J75" s="455">
        <v>55</v>
      </c>
      <c r="K75" s="155">
        <f t="shared" si="15"/>
        <v>0.41509433962264153</v>
      </c>
      <c r="L75" s="455">
        <v>66</v>
      </c>
      <c r="M75" s="155">
        <f t="shared" si="16"/>
        <v>0.46969696969696972</v>
      </c>
      <c r="N75" s="208">
        <v>31</v>
      </c>
      <c r="O75" s="214"/>
      <c r="P75" s="215"/>
      <c r="Q75" s="214"/>
      <c r="R75" s="215"/>
      <c r="S75" s="157"/>
      <c r="T75" s="154"/>
      <c r="U75" s="157"/>
      <c r="V75" s="161"/>
      <c r="W75" s="432" t="s">
        <v>148</v>
      </c>
      <c r="X75" s="427"/>
      <c r="Y75" s="427"/>
    </row>
    <row r="76" spans="1:25" ht="15.75" customHeight="1" thickBot="1" x14ac:dyDescent="0.35">
      <c r="B76" s="471"/>
      <c r="C76" s="469"/>
      <c r="D76" s="510"/>
      <c r="E76" s="185" t="s">
        <v>150</v>
      </c>
      <c r="F76" s="186"/>
      <c r="G76" s="187">
        <v>165</v>
      </c>
      <c r="H76" s="159">
        <v>165</v>
      </c>
      <c r="I76" s="155"/>
      <c r="J76" s="455"/>
      <c r="K76" s="155">
        <f t="shared" si="15"/>
        <v>0</v>
      </c>
      <c r="L76" s="455"/>
      <c r="M76" s="155"/>
      <c r="N76" s="208"/>
      <c r="O76" s="214"/>
      <c r="P76" s="215"/>
      <c r="Q76" s="214"/>
      <c r="R76" s="215"/>
      <c r="S76" s="157"/>
      <c r="T76" s="154"/>
      <c r="U76" s="157"/>
      <c r="V76" s="161"/>
      <c r="W76" s="432" t="s">
        <v>148</v>
      </c>
      <c r="X76" s="427"/>
      <c r="Y76" s="427"/>
    </row>
    <row r="77" spans="1:25" ht="15.75" customHeight="1" thickBot="1" x14ac:dyDescent="0.35">
      <c r="B77" s="471"/>
      <c r="C77" s="469"/>
      <c r="D77" s="510"/>
      <c r="E77" s="185" t="s">
        <v>82</v>
      </c>
      <c r="F77" s="186" t="s">
        <v>63</v>
      </c>
      <c r="G77" s="187">
        <v>773</v>
      </c>
      <c r="H77" s="159">
        <f>G77</f>
        <v>773</v>
      </c>
      <c r="I77" s="155">
        <f t="shared" si="14"/>
        <v>0.39327296248382926</v>
      </c>
      <c r="J77" s="455">
        <v>304</v>
      </c>
      <c r="K77" s="155">
        <f t="shared" si="15"/>
        <v>0.43078913324708928</v>
      </c>
      <c r="L77" s="455">
        <v>333</v>
      </c>
      <c r="M77" s="155">
        <f t="shared" si="16"/>
        <v>0.57657657657657657</v>
      </c>
      <c r="N77" s="208">
        <v>192</v>
      </c>
      <c r="O77" s="214"/>
      <c r="P77" s="215"/>
      <c r="Q77" s="214"/>
      <c r="R77" s="215"/>
      <c r="S77" s="157"/>
      <c r="T77" s="154"/>
      <c r="U77" s="157"/>
      <c r="V77" s="161"/>
      <c r="W77" s="432" t="s">
        <v>148</v>
      </c>
      <c r="X77" s="427"/>
      <c r="Y77" s="427"/>
    </row>
    <row r="78" spans="1:25" ht="15.75" customHeight="1" thickBot="1" x14ac:dyDescent="0.35">
      <c r="B78" s="471"/>
      <c r="C78" s="469"/>
      <c r="D78" s="510"/>
      <c r="E78" s="185" t="s">
        <v>53</v>
      </c>
      <c r="F78" s="186" t="s">
        <v>63</v>
      </c>
      <c r="G78" s="187">
        <v>629</v>
      </c>
      <c r="H78" s="159">
        <f t="shared" ref="H78" si="24">G78</f>
        <v>629</v>
      </c>
      <c r="I78" s="155">
        <f t="shared" si="14"/>
        <v>0.47058823529411764</v>
      </c>
      <c r="J78" s="455">
        <v>296</v>
      </c>
      <c r="K78" s="155">
        <f t="shared" si="15"/>
        <v>0.49443561208267089</v>
      </c>
      <c r="L78" s="455">
        <v>311</v>
      </c>
      <c r="M78" s="155">
        <f t="shared" si="16"/>
        <v>0.58520900321543412</v>
      </c>
      <c r="N78" s="208">
        <v>182</v>
      </c>
      <c r="O78" s="214"/>
      <c r="P78" s="215"/>
      <c r="Q78" s="214"/>
      <c r="R78" s="215"/>
      <c r="S78" s="157"/>
      <c r="T78" s="154"/>
      <c r="U78" s="157"/>
      <c r="V78" s="161"/>
      <c r="W78" s="432" t="s">
        <v>148</v>
      </c>
      <c r="X78" s="427"/>
      <c r="Y78" s="427"/>
    </row>
    <row r="79" spans="1:25" ht="15.75" customHeight="1" thickBot="1" x14ac:dyDescent="0.35">
      <c r="B79" s="471"/>
      <c r="C79" s="469"/>
      <c r="D79" s="510"/>
      <c r="E79" s="188" t="s">
        <v>54</v>
      </c>
      <c r="F79" s="189" t="s">
        <v>63</v>
      </c>
      <c r="G79" s="190"/>
      <c r="H79" s="167"/>
      <c r="I79" s="163"/>
      <c r="J79" s="453"/>
      <c r="K79" s="163"/>
      <c r="L79" s="453"/>
      <c r="M79" s="163"/>
      <c r="N79" s="209"/>
      <c r="O79" s="216"/>
      <c r="P79" s="217"/>
      <c r="Q79" s="216"/>
      <c r="R79" s="217"/>
      <c r="S79" s="165"/>
      <c r="T79" s="162"/>
      <c r="U79" s="165"/>
      <c r="V79" s="205"/>
      <c r="W79" s="432" t="s">
        <v>148</v>
      </c>
      <c r="X79" s="427"/>
      <c r="Y79" s="427"/>
    </row>
    <row r="80" spans="1:25" ht="16.2" thickBot="1" x14ac:dyDescent="0.35">
      <c r="B80" s="478"/>
      <c r="C80" s="469"/>
      <c r="D80" s="250" t="s">
        <v>144</v>
      </c>
      <c r="E80" s="412"/>
      <c r="F80" s="413"/>
      <c r="G80" s="414">
        <f>SUM(G70:G79)</f>
        <v>1726</v>
      </c>
      <c r="H80" s="415">
        <f>SUM(H70:H79)</f>
        <v>1726</v>
      </c>
      <c r="I80" s="28">
        <f>J80/G80</f>
        <v>0.37949015063731173</v>
      </c>
      <c r="J80" s="430">
        <f>SUM(J70:J79)</f>
        <v>655</v>
      </c>
      <c r="K80" s="169">
        <f>L80/G80</f>
        <v>0.41135573580533025</v>
      </c>
      <c r="L80" s="430">
        <f>SUM(L70:L79)</f>
        <v>710</v>
      </c>
      <c r="M80" s="28">
        <f>N80/L80</f>
        <v>0.57042253521126762</v>
      </c>
      <c r="N80" s="430">
        <f>SUM(N70:N79)</f>
        <v>405</v>
      </c>
      <c r="O80" s="299"/>
      <c r="P80" s="300"/>
      <c r="Q80" s="299"/>
      <c r="R80" s="300"/>
      <c r="S80" s="299"/>
      <c r="T80" s="300"/>
      <c r="U80" s="299"/>
      <c r="V80" s="301"/>
      <c r="W80" s="432" t="s">
        <v>148</v>
      </c>
      <c r="X80" s="427"/>
      <c r="Y80" s="427"/>
    </row>
    <row r="81" spans="1:25" s="54" customFormat="1" ht="21" customHeight="1" thickBot="1" x14ac:dyDescent="0.35">
      <c r="A81" s="127"/>
      <c r="B81" s="131" t="s">
        <v>79</v>
      </c>
      <c r="C81" s="251"/>
      <c r="D81" s="132">
        <f>SUM(D26:D79)</f>
        <v>88</v>
      </c>
      <c r="E81" s="68"/>
      <c r="F81" s="69">
        <f>COUNT(J26:J79)</f>
        <v>45</v>
      </c>
      <c r="G81" s="174" t="e">
        <f>G32+G39+G48+#REF!+#REF!+G80</f>
        <v>#REF!</v>
      </c>
      <c r="H81" s="145" t="e">
        <f>H32+H39+H48+#REF!+#REF!+H80</f>
        <v>#REF!</v>
      </c>
      <c r="I81" s="142" t="e">
        <f>J81/G81</f>
        <v>#REF!</v>
      </c>
      <c r="J81" s="143" t="e">
        <f>J32+J39+J48+#REF!+#REF!+J80</f>
        <v>#REF!</v>
      </c>
      <c r="K81" s="142" t="e">
        <f>L81/G81</f>
        <v>#REF!</v>
      </c>
      <c r="L81" s="143" t="e">
        <f>L32+L39+L48+#REF!+#REF!+L80</f>
        <v>#REF!</v>
      </c>
      <c r="M81" s="459" t="e">
        <f>N81/(SUM(L33:L45))</f>
        <v>#REF!</v>
      </c>
      <c r="N81" s="143" t="e">
        <f>N32+N39+N48+#REF!+#REF!+N80</f>
        <v>#REF!</v>
      </c>
      <c r="O81" s="144"/>
      <c r="P81" s="145"/>
      <c r="Q81" s="144"/>
      <c r="R81" s="145"/>
      <c r="S81" s="144" t="e">
        <f>S32+S39+S48+#REF!+#REF!</f>
        <v>#REF!</v>
      </c>
      <c r="T81" s="145" t="e">
        <f>T32+T39+T48+#REF!+#REF!</f>
        <v>#REF!</v>
      </c>
      <c r="U81" s="144" t="e">
        <f>U32+U39+U48+#REF!+#REF!</f>
        <v>#REF!</v>
      </c>
      <c r="V81" s="146" t="e">
        <f>V32+V39+V48+#REF!+#REF!</f>
        <v>#REF!</v>
      </c>
      <c r="W81" s="434"/>
      <c r="X81" s="428"/>
      <c r="Y81" s="428"/>
    </row>
    <row r="82" spans="1:25" s="54" customFormat="1" ht="21" customHeight="1" thickBot="1" x14ac:dyDescent="0.35">
      <c r="A82" s="127"/>
      <c r="B82" s="131" t="s">
        <v>68</v>
      </c>
      <c r="C82" s="132"/>
      <c r="D82" s="132">
        <f>D81+D25</f>
        <v>108</v>
      </c>
      <c r="E82" s="68"/>
      <c r="F82" s="69">
        <f>F81+F25</f>
        <v>63</v>
      </c>
      <c r="G82" s="174" t="e">
        <f>G25+G81</f>
        <v>#REF!</v>
      </c>
      <c r="H82" s="145" t="e">
        <f>H25+H81</f>
        <v>#REF!</v>
      </c>
      <c r="I82" s="142" t="e">
        <f>J82/G82</f>
        <v>#REF!</v>
      </c>
      <c r="J82" s="143" t="e">
        <f>J25+J81</f>
        <v>#REF!</v>
      </c>
      <c r="K82" s="142" t="e">
        <f>L82/G82</f>
        <v>#REF!</v>
      </c>
      <c r="L82" s="143" t="e">
        <f>L25+L81</f>
        <v>#REF!</v>
      </c>
      <c r="M82" s="459">
        <f>N82/(L5+L16+L17+L19+L21+L23+SUM(L33:L45))</f>
        <v>0.6983240223463687</v>
      </c>
      <c r="N82" s="143">
        <f>N5+N16+N17+N19+N21+N23+SUM(N33:N45)</f>
        <v>250</v>
      </c>
      <c r="O82" s="144"/>
      <c r="P82" s="145"/>
      <c r="Q82" s="144"/>
      <c r="R82" s="145"/>
      <c r="S82" s="144" t="e">
        <f>S81</f>
        <v>#REF!</v>
      </c>
      <c r="T82" s="145" t="e">
        <f>T81</f>
        <v>#REF!</v>
      </c>
      <c r="U82" s="144" t="e">
        <f>U81</f>
        <v>#REF!</v>
      </c>
      <c r="V82" s="146" t="e">
        <f>V81</f>
        <v>#REF!</v>
      </c>
      <c r="W82" s="434"/>
    </row>
    <row r="83" spans="1:25" x14ac:dyDescent="0.3">
      <c r="B83" s="5"/>
      <c r="C83" s="36"/>
      <c r="D83" s="36"/>
      <c r="E83" s="5"/>
      <c r="F83" s="36"/>
      <c r="G83" s="175"/>
      <c r="H83" s="175"/>
      <c r="I83" s="176"/>
      <c r="J83" s="176"/>
      <c r="K83" s="176"/>
      <c r="L83" s="176"/>
      <c r="M83" s="508" t="s">
        <v>70</v>
      </c>
      <c r="N83" s="508"/>
      <c r="O83" s="175"/>
      <c r="P83" s="175"/>
      <c r="Q83" s="175"/>
      <c r="R83" s="175"/>
      <c r="S83" s="175"/>
      <c r="T83" s="175"/>
      <c r="U83" s="175"/>
      <c r="V83" s="175"/>
    </row>
    <row r="84" spans="1:25" x14ac:dyDescent="0.3">
      <c r="E84" s="133" t="s">
        <v>69</v>
      </c>
      <c r="F84" s="134"/>
    </row>
    <row r="85" spans="1:25" x14ac:dyDescent="0.3">
      <c r="E85" s="1" t="s">
        <v>62</v>
      </c>
      <c r="F85" s="2">
        <f>COUNTIF(F$5:F$79,E85)</f>
        <v>22</v>
      </c>
    </row>
    <row r="86" spans="1:25" x14ac:dyDescent="0.3">
      <c r="E86" s="1" t="s">
        <v>63</v>
      </c>
      <c r="F86" s="2">
        <f>COUNTIF(F$5:F$79,E86)</f>
        <v>8</v>
      </c>
    </row>
    <row r="87" spans="1:25" x14ac:dyDescent="0.3">
      <c r="E87" s="1" t="s">
        <v>64</v>
      </c>
      <c r="F87" s="2">
        <f>COUNTIF(F$5:F$79,E87)</f>
        <v>33</v>
      </c>
    </row>
  </sheetData>
  <mergeCells count="38">
    <mergeCell ref="D50:D67"/>
    <mergeCell ref="B50:B67"/>
    <mergeCell ref="C50:C67"/>
    <mergeCell ref="D40:D47"/>
    <mergeCell ref="B6:B15"/>
    <mergeCell ref="B16:B24"/>
    <mergeCell ref="C6:C15"/>
    <mergeCell ref="C16:C24"/>
    <mergeCell ref="B40:B48"/>
    <mergeCell ref="C40:C48"/>
    <mergeCell ref="S2:T2"/>
    <mergeCell ref="U2:V2"/>
    <mergeCell ref="D6:D14"/>
    <mergeCell ref="I2:I4"/>
    <mergeCell ref="J2:J4"/>
    <mergeCell ref="K2:K4"/>
    <mergeCell ref="L2:L4"/>
    <mergeCell ref="M2:M4"/>
    <mergeCell ref="N2:N4"/>
    <mergeCell ref="D2:D4"/>
    <mergeCell ref="E2:E4"/>
    <mergeCell ref="F2:F4"/>
    <mergeCell ref="G2:H2"/>
    <mergeCell ref="O2:P2"/>
    <mergeCell ref="Q2:R2"/>
    <mergeCell ref="D26:D31"/>
    <mergeCell ref="D33:D38"/>
    <mergeCell ref="B33:B39"/>
    <mergeCell ref="B26:B32"/>
    <mergeCell ref="C26:C32"/>
    <mergeCell ref="C33:C39"/>
    <mergeCell ref="B2:B4"/>
    <mergeCell ref="C2:C4"/>
    <mergeCell ref="D16:D23"/>
    <mergeCell ref="M83:N83"/>
    <mergeCell ref="D70:D79"/>
    <mergeCell ref="B70:B80"/>
    <mergeCell ref="C70:C80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I82:L82 I24:M24 M15 M25 I25:K25 H28:M32 H80:M80 I48 I77:I78 K77:K78 M77:M78 I81 K81 H39:M39 H45:I45 H40:I40 K40 H41:I41 K41 H42:I42 K42 H43:I43 K43 H44:I44 K44 K45 M40 M41:M43 M44 M45" formula="1"/>
    <ignoredError sqref="M81:M82 H15:L15 K48 M48" formula="1" formulaRange="1"/>
    <ignoredError sqref="I14:K14" evalError="1"/>
    <ignoredError sqref="G15 N8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CC"/>
    <pageSetUpPr fitToPage="1"/>
  </sheetPr>
  <dimension ref="A1:Y71"/>
  <sheetViews>
    <sheetView zoomScale="70" zoomScaleNormal="70" workbookViewId="0">
      <pane ySplit="4" topLeftCell="A35" activePane="bottomLeft" state="frozen"/>
      <selection activeCell="K55" sqref="K55"/>
      <selection pane="bottomLeft" activeCell="L57" sqref="L57"/>
    </sheetView>
  </sheetViews>
  <sheetFormatPr defaultColWidth="11.44140625" defaultRowHeight="14.4" x14ac:dyDescent="0.3"/>
  <cols>
    <col min="1" max="1" width="0.44140625" style="125" customWidth="1"/>
    <col min="2" max="2" width="38.88671875" style="1" customWidth="1"/>
    <col min="3" max="3" width="11.5546875" style="2" customWidth="1"/>
    <col min="4" max="4" width="15.33203125" style="2" customWidth="1"/>
    <col min="5" max="5" width="42.88671875" style="1" bestFit="1" customWidth="1"/>
    <col min="6" max="6" width="11.109375" style="2" hidden="1" customWidth="1"/>
    <col min="7" max="7" width="11.44140625" style="2"/>
    <col min="8" max="8" width="8.44140625" style="2" customWidth="1"/>
    <col min="9" max="9" width="11.44140625" style="2"/>
    <col min="10" max="10" width="8.44140625" style="2" customWidth="1"/>
    <col min="11" max="11" width="11.44140625" style="4" customWidth="1"/>
    <col min="12" max="12" width="8.44140625" style="4" customWidth="1"/>
    <col min="13" max="13" width="11.44140625" style="4" customWidth="1"/>
    <col min="14" max="14" width="8.44140625" style="3" customWidth="1"/>
    <col min="15" max="16" width="11.44140625" style="4" customWidth="1"/>
    <col min="17" max="24" width="7.5546875" style="2" customWidth="1"/>
    <col min="25" max="16384" width="11.44140625" style="1"/>
  </cols>
  <sheetData>
    <row r="1" spans="1:25" s="125" customFormat="1" ht="2.25" customHeight="1" thickBot="1" x14ac:dyDescent="0.35">
      <c r="C1" s="128"/>
      <c r="D1" s="128"/>
      <c r="F1" s="128"/>
      <c r="G1" s="128"/>
      <c r="H1" s="128"/>
      <c r="I1" s="128"/>
      <c r="J1" s="128"/>
      <c r="K1" s="130"/>
      <c r="L1" s="130"/>
      <c r="M1" s="130"/>
      <c r="N1" s="129"/>
      <c r="O1" s="130"/>
      <c r="P1" s="130"/>
      <c r="Q1" s="128"/>
      <c r="R1" s="128"/>
      <c r="S1" s="128"/>
      <c r="T1" s="128"/>
      <c r="U1" s="128"/>
      <c r="V1" s="128"/>
      <c r="W1" s="128"/>
      <c r="X1" s="128"/>
    </row>
    <row r="2" spans="1:25" s="6" customFormat="1" ht="30" customHeight="1" thickBot="1" x14ac:dyDescent="0.35">
      <c r="A2" s="126"/>
      <c r="B2" s="486" t="s">
        <v>55</v>
      </c>
      <c r="C2" s="487" t="s">
        <v>76</v>
      </c>
      <c r="D2" s="487" t="s">
        <v>71</v>
      </c>
      <c r="E2" s="506" t="s">
        <v>81</v>
      </c>
      <c r="F2" s="479" t="s">
        <v>61</v>
      </c>
      <c r="G2" s="541" t="s">
        <v>141</v>
      </c>
      <c r="H2" s="542"/>
      <c r="I2" s="542"/>
      <c r="J2" s="543"/>
      <c r="K2" s="536" t="s">
        <v>142</v>
      </c>
      <c r="L2" s="536"/>
      <c r="M2" s="536" t="s">
        <v>143</v>
      </c>
      <c r="N2" s="536"/>
      <c r="O2" s="536" t="s">
        <v>145</v>
      </c>
      <c r="P2" s="536"/>
      <c r="Q2" s="531" t="s">
        <v>41</v>
      </c>
      <c r="R2" s="531"/>
      <c r="S2" s="531" t="s">
        <v>42</v>
      </c>
      <c r="T2" s="531"/>
      <c r="U2" s="531" t="s">
        <v>43</v>
      </c>
      <c r="V2" s="531"/>
      <c r="W2" s="531" t="s">
        <v>44</v>
      </c>
      <c r="X2" s="479"/>
      <c r="Y2" s="122"/>
    </row>
    <row r="3" spans="1:25" s="6" customFormat="1" ht="30" customHeight="1" thickBot="1" x14ac:dyDescent="0.35">
      <c r="A3" s="126"/>
      <c r="B3" s="486"/>
      <c r="C3" s="487"/>
      <c r="D3" s="487"/>
      <c r="E3" s="506"/>
      <c r="F3" s="502"/>
      <c r="G3" s="544" t="s">
        <v>68</v>
      </c>
      <c r="H3" s="545"/>
      <c r="I3" s="545" t="s">
        <v>46</v>
      </c>
      <c r="J3" s="546"/>
      <c r="K3" s="537"/>
      <c r="L3" s="537"/>
      <c r="M3" s="537"/>
      <c r="N3" s="537"/>
      <c r="O3" s="537"/>
      <c r="P3" s="537"/>
      <c r="Q3" s="342"/>
      <c r="R3" s="257"/>
      <c r="S3" s="342"/>
      <c r="T3" s="257"/>
      <c r="U3" s="533" t="s">
        <v>149</v>
      </c>
      <c r="V3" s="534"/>
      <c r="W3" s="533" t="s">
        <v>149</v>
      </c>
      <c r="X3" s="535"/>
      <c r="Y3" s="122"/>
    </row>
    <row r="4" spans="1:25" s="6" customFormat="1" ht="30" customHeight="1" thickBot="1" x14ac:dyDescent="0.35">
      <c r="A4" s="126"/>
      <c r="B4" s="486"/>
      <c r="C4" s="487"/>
      <c r="D4" s="487"/>
      <c r="E4" s="506"/>
      <c r="F4" s="503"/>
      <c r="G4" s="258" t="s">
        <v>139</v>
      </c>
      <c r="H4" s="259" t="s">
        <v>140</v>
      </c>
      <c r="I4" s="259" t="s">
        <v>139</v>
      </c>
      <c r="J4" s="260" t="s">
        <v>140</v>
      </c>
      <c r="K4" s="263" t="s">
        <v>139</v>
      </c>
      <c r="L4" s="264" t="s">
        <v>140</v>
      </c>
      <c r="M4" s="263" t="s">
        <v>139</v>
      </c>
      <c r="N4" s="264" t="s">
        <v>140</v>
      </c>
      <c r="O4" s="263" t="s">
        <v>139</v>
      </c>
      <c r="P4" s="264" t="s">
        <v>140</v>
      </c>
      <c r="Q4" s="265" t="s">
        <v>45</v>
      </c>
      <c r="R4" s="260" t="s">
        <v>46</v>
      </c>
      <c r="S4" s="265" t="s">
        <v>45</v>
      </c>
      <c r="T4" s="260" t="s">
        <v>46</v>
      </c>
      <c r="U4" s="265" t="s">
        <v>139</v>
      </c>
      <c r="V4" s="260" t="s">
        <v>140</v>
      </c>
      <c r="W4" s="265" t="s">
        <v>139</v>
      </c>
      <c r="X4" s="262" t="s">
        <v>140</v>
      </c>
      <c r="Y4" s="122"/>
    </row>
    <row r="5" spans="1:25" ht="15.6" x14ac:dyDescent="0.3">
      <c r="B5" s="199" t="s">
        <v>88</v>
      </c>
      <c r="C5" s="200" t="s">
        <v>77</v>
      </c>
      <c r="D5" s="347">
        <v>2</v>
      </c>
      <c r="E5" s="348" t="s">
        <v>73</v>
      </c>
      <c r="F5" s="349" t="s">
        <v>62</v>
      </c>
      <c r="G5" s="350">
        <f>'2021'!G5-'2020'!G5</f>
        <v>39</v>
      </c>
      <c r="H5" s="392">
        <f>IF('2021'!G5=0,0,IF('2020'!G5=0,0,'2021'!G5/'2020'!G5-1))</f>
        <v>0.61904761904761907</v>
      </c>
      <c r="I5" s="383">
        <f>'2021'!H5-'2020'!H5</f>
        <v>65</v>
      </c>
      <c r="J5" s="399">
        <f>IF('2021'!H5=0,0,IF('2020'!H5=0,0,'2021'!H5/'2020'!H5-1))</f>
        <v>2.2413793103448274</v>
      </c>
      <c r="K5" s="295">
        <f>'2021'!J5-'2020'!J5</f>
        <v>0</v>
      </c>
      <c r="L5" s="399">
        <f>IF('2021'!J5=0,0,IF('2020'!J5=0,0,'2021'!J5/'2020'!J5-1))</f>
        <v>0</v>
      </c>
      <c r="M5" s="295">
        <f>'2021'!L5-'2020'!L5</f>
        <v>1</v>
      </c>
      <c r="N5" s="399">
        <f>IF('2021'!L5=0,0,IF('2020'!L5=0,0,'2021'!L5/'2020'!L5-1))</f>
        <v>5.8823529411764719E-2</v>
      </c>
      <c r="O5" s="295">
        <f>IF('2020'!N5="-",0,'2021'!N5-'2020'!N5)</f>
        <v>0</v>
      </c>
      <c r="P5" s="341">
        <f>IF('2021'!N5=0,0,IF('2020'!N5="-",0,'2021'!N5/'2020'!N5-1))</f>
        <v>0</v>
      </c>
      <c r="Q5" s="210"/>
      <c r="R5" s="211"/>
      <c r="S5" s="210"/>
      <c r="T5" s="211"/>
      <c r="U5" s="202" t="s">
        <v>21</v>
      </c>
      <c r="V5" s="203" t="s">
        <v>21</v>
      </c>
      <c r="W5" s="202" t="s">
        <v>21</v>
      </c>
      <c r="X5" s="204" t="s">
        <v>21</v>
      </c>
      <c r="Y5" s="123"/>
    </row>
    <row r="6" spans="1:25" ht="15" customHeight="1" x14ac:dyDescent="0.3">
      <c r="B6" s="538" t="s">
        <v>84</v>
      </c>
      <c r="C6" s="539" t="s">
        <v>77</v>
      </c>
      <c r="D6" s="532">
        <v>8</v>
      </c>
      <c r="E6" s="351" t="s">
        <v>13</v>
      </c>
      <c r="F6" s="352" t="s">
        <v>62</v>
      </c>
      <c r="G6" s="353">
        <f>'2021'!G6-'2020'!G6</f>
        <v>45</v>
      </c>
      <c r="H6" s="393">
        <f>IF('2021'!G6=0,0,IF('2020'!G6=0,0,'2021'!G6/'2020'!G6-1))</f>
        <v>1.4516129032258065</v>
      </c>
      <c r="I6" s="384">
        <f>'2021'!H6-'2020'!H6</f>
        <v>27</v>
      </c>
      <c r="J6" s="400">
        <f>IF('2021'!H6=0,0,IF('2020'!H6=0,0,'2021'!H6/'2020'!H6-1))</f>
        <v>1.1739130434782608</v>
      </c>
      <c r="K6" s="287">
        <f>'2021'!J6-'2020'!J6</f>
        <v>7</v>
      </c>
      <c r="L6" s="400">
        <f>IF('2021'!J6=0,0,IF('2020'!J6=0,0,'2021'!J6/'2020'!J6-1))</f>
        <v>0.7</v>
      </c>
      <c r="M6" s="287">
        <f>'2021'!L6-'2020'!L6</f>
        <v>18</v>
      </c>
      <c r="N6" s="400">
        <f>IF('2021'!L6=0,0,IF('2020'!L6=0,0,'2021'!L6/'2020'!L6-1))</f>
        <v>1.7999999999999998</v>
      </c>
      <c r="O6" s="287">
        <f>IF('2020'!N6="-",0,'2021'!N6-'2020'!N6)</f>
        <v>0</v>
      </c>
      <c r="P6" s="288">
        <f>IF('2021'!N6=0,0,IF('2020'!N6="-",0,'2021'!N6/'2020'!N6-1))</f>
        <v>0</v>
      </c>
      <c r="Q6" s="212"/>
      <c r="R6" s="213"/>
      <c r="S6" s="212"/>
      <c r="T6" s="213"/>
      <c r="U6" s="150" t="s">
        <v>21</v>
      </c>
      <c r="V6" s="147" t="s">
        <v>21</v>
      </c>
      <c r="W6" s="150" t="s">
        <v>21</v>
      </c>
      <c r="X6" s="173" t="s">
        <v>21</v>
      </c>
      <c r="Y6" s="123"/>
    </row>
    <row r="7" spans="1:25" ht="15" customHeight="1" x14ac:dyDescent="0.3">
      <c r="B7" s="538"/>
      <c r="C7" s="539"/>
      <c r="D7" s="532"/>
      <c r="E7" s="354" t="s">
        <v>14</v>
      </c>
      <c r="F7" s="355" t="s">
        <v>62</v>
      </c>
      <c r="G7" s="356">
        <f>'2021'!G7-'2020'!G7</f>
        <v>20</v>
      </c>
      <c r="H7" s="394">
        <f>IF('2021'!G7=0,0,IF('2020'!G7=0,0,'2021'!G7/'2020'!G7-1))</f>
        <v>0.8</v>
      </c>
      <c r="I7" s="385">
        <f>'2021'!H7-'2020'!H7</f>
        <v>14</v>
      </c>
      <c r="J7" s="401">
        <f>IF(I7=0,0,'2021'!H7/'2020'!H7-1)</f>
        <v>1.0769230769230771</v>
      </c>
      <c r="K7" s="289">
        <f>'2021'!J7-'2020'!J7</f>
        <v>9</v>
      </c>
      <c r="L7" s="401">
        <f>IF('2021'!J7=0,0,IF('2020'!J7=0,0,'2021'!J7/'2020'!J7-1))</f>
        <v>0.75</v>
      </c>
      <c r="M7" s="289">
        <f>'2021'!L7-'2020'!L7</f>
        <v>5</v>
      </c>
      <c r="N7" s="401">
        <f>IF('2021'!L7=0,0,IF('2020'!L7=0,0,'2021'!L7/'2020'!L7-1))</f>
        <v>0.55555555555555558</v>
      </c>
      <c r="O7" s="289">
        <f>IF('2020'!N7="-",0,'2021'!N7-'2020'!N7)</f>
        <v>0</v>
      </c>
      <c r="P7" s="290">
        <f>IF('2021'!N7=0,0,IF('2020'!N7="-",0,'2021'!N7/'2020'!N7-1))</f>
        <v>0</v>
      </c>
      <c r="Q7" s="214"/>
      <c r="R7" s="215"/>
      <c r="S7" s="214"/>
      <c r="T7" s="215"/>
      <c r="U7" s="157" t="s">
        <v>21</v>
      </c>
      <c r="V7" s="154" t="s">
        <v>21</v>
      </c>
      <c r="W7" s="157" t="s">
        <v>21</v>
      </c>
      <c r="X7" s="161" t="s">
        <v>21</v>
      </c>
      <c r="Y7" s="123"/>
    </row>
    <row r="8" spans="1:25" ht="15" customHeight="1" x14ac:dyDescent="0.3">
      <c r="B8" s="538"/>
      <c r="C8" s="539"/>
      <c r="D8" s="532"/>
      <c r="E8" s="354" t="s">
        <v>15</v>
      </c>
      <c r="F8" s="355" t="s">
        <v>62</v>
      </c>
      <c r="G8" s="356">
        <f>'2021'!G8-'2020'!G8</f>
        <v>-2</v>
      </c>
      <c r="H8" s="394">
        <f>IF('2021'!G8=0,0,IF('2020'!G8=0,0,'2021'!G8/'2020'!G8-1))</f>
        <v>-0.11111111111111116</v>
      </c>
      <c r="I8" s="385">
        <f>'2021'!H8-'2020'!H8</f>
        <v>0</v>
      </c>
      <c r="J8" s="401">
        <f>IF(I8=0,0,'2021'!H8/'2020'!H8-1)</f>
        <v>0</v>
      </c>
      <c r="K8" s="289">
        <f>'2021'!J8-'2020'!J8</f>
        <v>-4</v>
      </c>
      <c r="L8" s="401">
        <f>IF('2021'!J8=0,0,IF('2020'!J8=0,0,'2021'!J8/'2020'!J8-1))</f>
        <v>-0.44444444444444442</v>
      </c>
      <c r="M8" s="289">
        <f>'2021'!L8-'2020'!L8</f>
        <v>0</v>
      </c>
      <c r="N8" s="401">
        <f>IF('2021'!L8=0,0,IF('2020'!L8=0,0,'2021'!L8/'2020'!L8-1))</f>
        <v>0</v>
      </c>
      <c r="O8" s="289">
        <f>IF('2020'!N8="-",0,'2021'!N8-'2020'!N8)</f>
        <v>0</v>
      </c>
      <c r="P8" s="290">
        <f>IF('2021'!N8=0,0,IF('2020'!N8="-",0,'2021'!N8/'2020'!N8-1))</f>
        <v>0</v>
      </c>
      <c r="Q8" s="214"/>
      <c r="R8" s="215"/>
      <c r="S8" s="214"/>
      <c r="T8" s="215"/>
      <c r="U8" s="157" t="s">
        <v>21</v>
      </c>
      <c r="V8" s="154" t="s">
        <v>21</v>
      </c>
      <c r="W8" s="157" t="s">
        <v>21</v>
      </c>
      <c r="X8" s="161" t="s">
        <v>21</v>
      </c>
      <c r="Y8" s="123"/>
    </row>
    <row r="9" spans="1:25" ht="15" customHeight="1" x14ac:dyDescent="0.3">
      <c r="B9" s="538"/>
      <c r="C9" s="539"/>
      <c r="D9" s="532"/>
      <c r="E9" s="354" t="s">
        <v>146</v>
      </c>
      <c r="F9" s="355"/>
      <c r="G9" s="356"/>
      <c r="H9" s="394"/>
      <c r="I9" s="385"/>
      <c r="J9" s="401"/>
      <c r="K9" s="289"/>
      <c r="L9" s="401"/>
      <c r="M9" s="289"/>
      <c r="N9" s="401"/>
      <c r="O9" s="289"/>
      <c r="P9" s="290"/>
      <c r="Q9" s="214"/>
      <c r="R9" s="215"/>
      <c r="S9" s="214"/>
      <c r="T9" s="215"/>
      <c r="U9" s="157"/>
      <c r="V9" s="154"/>
      <c r="W9" s="157"/>
      <c r="X9" s="161"/>
      <c r="Y9" s="123"/>
    </row>
    <row r="10" spans="1:25" ht="15" customHeight="1" x14ac:dyDescent="0.3">
      <c r="B10" s="538"/>
      <c r="C10" s="539"/>
      <c r="D10" s="532"/>
      <c r="E10" s="354" t="s">
        <v>16</v>
      </c>
      <c r="F10" s="355" t="s">
        <v>62</v>
      </c>
      <c r="G10" s="356">
        <f>'2021'!G10-'2020'!G10</f>
        <v>-1</v>
      </c>
      <c r="H10" s="394">
        <f>IF('2021'!G10=0,0,IF('2020'!G10=0,0,'2021'!G10/'2020'!G10-1))</f>
        <v>-7.1428571428571397E-2</v>
      </c>
      <c r="I10" s="385">
        <f>'2021'!H10-'2020'!H10</f>
        <v>-1</v>
      </c>
      <c r="J10" s="401">
        <f>IF(I10=0,0,'2021'!H10/'2020'!H10-1)</f>
        <v>-0.11111111111111116</v>
      </c>
      <c r="K10" s="289">
        <f>'2021'!J10-'2020'!J10</f>
        <v>6</v>
      </c>
      <c r="L10" s="401">
        <f>IF('2021'!J10=0,0,IF('2020'!J10=0,0,'2021'!J10/'2020'!J10-1))</f>
        <v>6</v>
      </c>
      <c r="M10" s="289">
        <f>'2021'!L10-'2020'!L10</f>
        <v>5</v>
      </c>
      <c r="N10" s="401">
        <f>IF('2021'!L10=0,0,IF('2020'!L10=0,0,'2021'!L10/'2020'!L10-1))</f>
        <v>5</v>
      </c>
      <c r="O10" s="289">
        <f>IF('2020'!N10="-",0,'2021'!N10-'2020'!N10)</f>
        <v>0</v>
      </c>
      <c r="P10" s="290">
        <f>IF('2021'!N10=0,0,IF('2020'!N10="-",0,'2021'!N10/'2020'!N10-1))</f>
        <v>0</v>
      </c>
      <c r="Q10" s="214"/>
      <c r="R10" s="215"/>
      <c r="S10" s="214"/>
      <c r="T10" s="215"/>
      <c r="U10" s="157" t="s">
        <v>21</v>
      </c>
      <c r="V10" s="154" t="s">
        <v>21</v>
      </c>
      <c r="W10" s="157" t="s">
        <v>21</v>
      </c>
      <c r="X10" s="161" t="s">
        <v>21</v>
      </c>
      <c r="Y10" s="123"/>
    </row>
    <row r="11" spans="1:25" ht="15" customHeight="1" x14ac:dyDescent="0.3">
      <c r="B11" s="538"/>
      <c r="C11" s="539"/>
      <c r="D11" s="532"/>
      <c r="E11" s="354" t="s">
        <v>17</v>
      </c>
      <c r="F11" s="355" t="s">
        <v>62</v>
      </c>
      <c r="G11" s="356">
        <f>'2021'!G11-'2020'!G11</f>
        <v>0</v>
      </c>
      <c r="H11" s="394">
        <f>IF('2021'!G11=0,0,IF('2020'!G11=0,0,'2021'!G11/'2020'!G11-1))</f>
        <v>0</v>
      </c>
      <c r="I11" s="385">
        <f>'2021'!H11-'2020'!H11</f>
        <v>4</v>
      </c>
      <c r="J11" s="401">
        <f>IF(I11=0,0,'2021'!H11/'2020'!H11-1)</f>
        <v>0.25</v>
      </c>
      <c r="K11" s="289">
        <f>'2021'!J11-'2020'!J11</f>
        <v>6</v>
      </c>
      <c r="L11" s="401">
        <f>IF('2021'!J11=0,0,IF('2020'!J11=0,0,'2021'!J11/'2020'!J11-1))</f>
        <v>6</v>
      </c>
      <c r="M11" s="289">
        <f>'2021'!L11-'2020'!L11</f>
        <v>2</v>
      </c>
      <c r="N11" s="401">
        <f>IF('2021'!L11=0,0,IF('2020'!L11=0,0,'2021'!L11/'2020'!L11-1))</f>
        <v>0.39999999999999991</v>
      </c>
      <c r="O11" s="289">
        <f>IF('2020'!N11="-",0,'2021'!N11-'2020'!N11)</f>
        <v>0</v>
      </c>
      <c r="P11" s="290">
        <f>IF('2021'!N11=0,0,IF('2020'!N11="-",0,'2021'!N11/'2020'!N11-1))</f>
        <v>0</v>
      </c>
      <c r="Q11" s="214"/>
      <c r="R11" s="215"/>
      <c r="S11" s="214"/>
      <c r="T11" s="215"/>
      <c r="U11" s="157" t="s">
        <v>21</v>
      </c>
      <c r="V11" s="154" t="s">
        <v>21</v>
      </c>
      <c r="W11" s="157" t="s">
        <v>21</v>
      </c>
      <c r="X11" s="161" t="s">
        <v>21</v>
      </c>
      <c r="Y11" s="123"/>
    </row>
    <row r="12" spans="1:25" ht="15" customHeight="1" x14ac:dyDescent="0.3">
      <c r="B12" s="538"/>
      <c r="C12" s="539"/>
      <c r="D12" s="532"/>
      <c r="E12" s="354" t="s">
        <v>18</v>
      </c>
      <c r="F12" s="355" t="s">
        <v>62</v>
      </c>
      <c r="G12" s="356">
        <f>'2021'!G12-'2020'!G12</f>
        <v>4</v>
      </c>
      <c r="H12" s="394">
        <f>IF('2021'!G12=0,0,IF('2020'!G12=0,0,'2021'!G12/'2020'!G12-1))</f>
        <v>0.13793103448275867</v>
      </c>
      <c r="I12" s="385">
        <f>'2021'!H12-'2020'!H12</f>
        <v>4</v>
      </c>
      <c r="J12" s="401">
        <f>IF(I12=0,0,'2021'!H12/'2020'!H12-1)</f>
        <v>0.19047619047619047</v>
      </c>
      <c r="K12" s="289">
        <f>'2021'!J12-'2020'!J12</f>
        <v>0</v>
      </c>
      <c r="L12" s="401">
        <f>IF('2021'!J12=0,0,IF('2020'!J12=0,0,'2021'!J12/'2020'!J12-1))</f>
        <v>0</v>
      </c>
      <c r="M12" s="289">
        <f>'2021'!L12-'2020'!L12</f>
        <v>-5</v>
      </c>
      <c r="N12" s="401">
        <f>IF('2021'!L12=0,0,IF('2020'!L12=0,0,'2021'!L12/'2020'!L12-1))</f>
        <v>-0.41666666666666663</v>
      </c>
      <c r="O12" s="289">
        <f>IF('2020'!N12="-",0,'2021'!N12-'2020'!N12)</f>
        <v>0</v>
      </c>
      <c r="P12" s="290">
        <f>IF('2021'!N12=0,0,IF('2020'!N12="-",0,'2021'!N12/'2020'!N12-1))</f>
        <v>0</v>
      </c>
      <c r="Q12" s="214"/>
      <c r="R12" s="215"/>
      <c r="S12" s="214"/>
      <c r="T12" s="215"/>
      <c r="U12" s="157" t="s">
        <v>21</v>
      </c>
      <c r="V12" s="154" t="s">
        <v>21</v>
      </c>
      <c r="W12" s="157" t="s">
        <v>21</v>
      </c>
      <c r="X12" s="161" t="s">
        <v>21</v>
      </c>
      <c r="Y12" s="123"/>
    </row>
    <row r="13" spans="1:25" ht="15" customHeight="1" x14ac:dyDescent="0.3">
      <c r="B13" s="538"/>
      <c r="C13" s="539"/>
      <c r="D13" s="532"/>
      <c r="E13" s="354" t="s">
        <v>19</v>
      </c>
      <c r="F13" s="355" t="s">
        <v>62</v>
      </c>
      <c r="G13" s="356">
        <f>'2021'!G13-'2020'!G13</f>
        <v>5</v>
      </c>
      <c r="H13" s="394">
        <f>IF('2021'!G13=0,0,IF('2020'!G13=0,0,'2021'!G13/'2020'!G13-1))</f>
        <v>0.18518518518518512</v>
      </c>
      <c r="I13" s="385">
        <f>'2021'!H13-'2020'!H13</f>
        <v>0</v>
      </c>
      <c r="J13" s="401">
        <f>IF(I13=0,0,'2021'!H13/'2020'!H13-1)</f>
        <v>0</v>
      </c>
      <c r="K13" s="289">
        <f>'2021'!J13-'2020'!J13</f>
        <v>-2</v>
      </c>
      <c r="L13" s="401">
        <f>IF('2021'!J13=0,0,IF('2020'!J13=0,0,'2021'!J13/'2020'!J13-1))</f>
        <v>-0.2857142857142857</v>
      </c>
      <c r="M13" s="289">
        <f>'2021'!L13-'2020'!L13</f>
        <v>-1</v>
      </c>
      <c r="N13" s="401">
        <f>IF('2021'!L13=0,0,IF('2020'!L13=0,0,'2021'!L13/'2020'!L13-1))</f>
        <v>-7.6923076923076872E-2</v>
      </c>
      <c r="O13" s="289">
        <f>IF('2020'!N13="-",0,'2021'!N13-'2020'!N13)</f>
        <v>0</v>
      </c>
      <c r="P13" s="290">
        <f>IF('2021'!N13=0,0,IF('2020'!N13="-",0,'2021'!N13/'2020'!N13-1))</f>
        <v>0</v>
      </c>
      <c r="Q13" s="214"/>
      <c r="R13" s="215"/>
      <c r="S13" s="214"/>
      <c r="T13" s="215"/>
      <c r="U13" s="157" t="s">
        <v>21</v>
      </c>
      <c r="V13" s="154" t="s">
        <v>21</v>
      </c>
      <c r="W13" s="157" t="s">
        <v>21</v>
      </c>
      <c r="X13" s="161" t="s">
        <v>21</v>
      </c>
      <c r="Y13" s="123"/>
    </row>
    <row r="14" spans="1:25" ht="15" customHeight="1" x14ac:dyDescent="0.3">
      <c r="B14" s="538"/>
      <c r="C14" s="539"/>
      <c r="D14" s="532"/>
      <c r="E14" s="357" t="s">
        <v>5</v>
      </c>
      <c r="F14" s="358" t="s">
        <v>62</v>
      </c>
      <c r="G14" s="359">
        <f>'2021'!G14-'2020'!G14</f>
        <v>-4</v>
      </c>
      <c r="H14" s="395">
        <f>IF('2021'!G14=0,0,IF('2020'!G14=0,0,'2021'!G14/'2020'!G14-1))</f>
        <v>0</v>
      </c>
      <c r="I14" s="386">
        <f>'2021'!H14-'2020'!H14</f>
        <v>-2</v>
      </c>
      <c r="J14" s="402">
        <f>IF(I14=0,0,'2021'!H14/'2020'!H14-1)</f>
        <v>-1</v>
      </c>
      <c r="K14" s="291">
        <f>'2021'!J14-'2020'!J14</f>
        <v>-2</v>
      </c>
      <c r="L14" s="402">
        <f>IF('2021'!J14=0,0,IF('2020'!J14=0,0,'2021'!J14/'2020'!J14-1))</f>
        <v>0</v>
      </c>
      <c r="M14" s="291">
        <f>'2021'!L14-'2020'!L14</f>
        <v>0</v>
      </c>
      <c r="N14" s="402">
        <f>IF('2021'!L14=0,0,IF('2020'!L14=0,0,'2021'!L14/'2020'!L14-1))</f>
        <v>0</v>
      </c>
      <c r="O14" s="291">
        <f>IF('2020'!N14="-",0,'2021'!N14-'2020'!N14)</f>
        <v>0</v>
      </c>
      <c r="P14" s="292">
        <f>IF('2021'!N14=0,0,IF('2020'!N14="-",0,'2021'!N14/'2020'!N14-1))</f>
        <v>0</v>
      </c>
      <c r="Q14" s="216"/>
      <c r="R14" s="217"/>
      <c r="S14" s="216"/>
      <c r="T14" s="217"/>
      <c r="U14" s="165" t="s">
        <v>21</v>
      </c>
      <c r="V14" s="162" t="s">
        <v>21</v>
      </c>
      <c r="W14" s="165" t="s">
        <v>21</v>
      </c>
      <c r="X14" s="205" t="s">
        <v>21</v>
      </c>
      <c r="Y14" s="123"/>
    </row>
    <row r="15" spans="1:25" ht="15.6" x14ac:dyDescent="0.3">
      <c r="B15" s="538"/>
      <c r="C15" s="540"/>
      <c r="D15" s="360" t="s">
        <v>144</v>
      </c>
      <c r="E15" s="361"/>
      <c r="F15" s="362"/>
      <c r="G15" s="363">
        <f>'2021'!G15-'2020'!G15</f>
        <v>123</v>
      </c>
      <c r="H15" s="396">
        <f>IF('2021'!G15=0,0,IF('2020'!G15=0,0,'2021'!G15/'2020'!G15-1))</f>
        <v>0.71511627906976738</v>
      </c>
      <c r="I15" s="387">
        <f>'2021'!H15-'2020'!H15</f>
        <v>82</v>
      </c>
      <c r="J15" s="403">
        <f>IF(I15=0,0,'2021'!H15/'2020'!H15-1)</f>
        <v>0.73873873873873874</v>
      </c>
      <c r="K15" s="296">
        <f>'2021'!J15-'2020'!J15</f>
        <v>32</v>
      </c>
      <c r="L15" s="403">
        <f>IF('2021'!J15=0,0,IF('2020'!J15=0,0,'2021'!J15/'2020'!J15-1))</f>
        <v>0.76190476190476186</v>
      </c>
      <c r="M15" s="296">
        <f>'2021'!L15-'2020'!L15</f>
        <v>34</v>
      </c>
      <c r="N15" s="403">
        <f>IF('2021'!L15=0,0,IF('2020'!L15=0,0,'2021'!L15/'2020'!L15-1))</f>
        <v>0.64150943396226423</v>
      </c>
      <c r="O15" s="296">
        <f>IF('2020'!N15="-",0,'2021'!N15-'2020'!N15)</f>
        <v>0</v>
      </c>
      <c r="P15" s="297">
        <f>IF('2021'!N15=0,0,IF('2020'!N15="-",0,'2021'!N15/'2020'!N15-1))</f>
        <v>0</v>
      </c>
      <c r="Q15" s="218"/>
      <c r="R15" s="219"/>
      <c r="S15" s="218"/>
      <c r="T15" s="219"/>
      <c r="U15" s="277"/>
      <c r="V15" s="278"/>
      <c r="W15" s="277"/>
      <c r="X15" s="279"/>
      <c r="Y15" s="123"/>
    </row>
    <row r="16" spans="1:25" x14ac:dyDescent="0.3">
      <c r="B16" s="520" t="s">
        <v>85</v>
      </c>
      <c r="C16" s="475" t="s">
        <v>77</v>
      </c>
      <c r="D16" s="523">
        <v>8</v>
      </c>
      <c r="E16" s="351" t="s">
        <v>10</v>
      </c>
      <c r="F16" s="352" t="s">
        <v>62</v>
      </c>
      <c r="G16" s="353">
        <f>'2021'!G16-'2020'!G16</f>
        <v>9</v>
      </c>
      <c r="H16" s="393">
        <f>IF('2021'!G16=0,0,IF('2020'!G16=0,0,'2021'!G16/'2020'!G16-1))</f>
        <v>0.2432432432432432</v>
      </c>
      <c r="I16" s="384">
        <f>'2021'!H16-'2020'!H16</f>
        <v>9</v>
      </c>
      <c r="J16" s="400">
        <f>IF('2021'!H16=0,0,IF('2020'!H16=0,0,'2021'!H16/'2020'!H16-1))</f>
        <v>0.39130434782608692</v>
      </c>
      <c r="K16" s="287">
        <f>'2021'!J16-'2020'!J16</f>
        <v>15.94</v>
      </c>
      <c r="L16" s="400">
        <f>IF('2021'!J16=0,0,IF('2020'!J16=0,0,'2021'!J16/'2020'!J16-1))</f>
        <v>1.1337126600284493</v>
      </c>
      <c r="M16" s="287">
        <f>'2021'!L16-'2020'!L16</f>
        <v>3.08</v>
      </c>
      <c r="N16" s="400">
        <f>IF('2021'!L16=0,0,IF('2020'!L16=0,0,'2021'!L16/'2020'!L16-1))</f>
        <v>0.5202702702702704</v>
      </c>
      <c r="O16" s="287">
        <f>IF('2020'!N16="-",0,'2021'!N16-'2020'!N16)</f>
        <v>3.08</v>
      </c>
      <c r="P16" s="288">
        <f>IF('2021'!N16=0,0,IF('2020'!N16="-",0,'2021'!N16/'2020'!N16-1))</f>
        <v>0.5202702702702704</v>
      </c>
      <c r="Q16" s="212"/>
      <c r="R16" s="213"/>
      <c r="S16" s="212"/>
      <c r="T16" s="213"/>
      <c r="U16" s="150" t="s">
        <v>21</v>
      </c>
      <c r="V16" s="147" t="s">
        <v>21</v>
      </c>
      <c r="W16" s="150" t="s">
        <v>21</v>
      </c>
      <c r="X16" s="173" t="s">
        <v>21</v>
      </c>
      <c r="Y16" s="123"/>
    </row>
    <row r="17" spans="1:25" x14ac:dyDescent="0.3">
      <c r="B17" s="521"/>
      <c r="C17" s="476"/>
      <c r="D17" s="523"/>
      <c r="E17" s="354" t="s">
        <v>11</v>
      </c>
      <c r="F17" s="355" t="s">
        <v>62</v>
      </c>
      <c r="G17" s="356">
        <f>'2021'!G17-'2020'!G17</f>
        <v>-5</v>
      </c>
      <c r="H17" s="394">
        <f>IF('2021'!G17=0,0,IF('2020'!G17=0,0,'2021'!G17/'2020'!G17-1))</f>
        <v>-0.15151515151515149</v>
      </c>
      <c r="I17" s="385">
        <f>'2021'!H17-'2020'!H17</f>
        <v>2</v>
      </c>
      <c r="J17" s="401">
        <f>IF(I17=0,0,'2021'!H17/'2020'!H17-1)</f>
        <v>0.1333333333333333</v>
      </c>
      <c r="K17" s="289">
        <f>'2021'!J17-'2020'!J17</f>
        <v>8.1</v>
      </c>
      <c r="L17" s="401">
        <f>IF('2021'!J17=0,0,IF('2020'!J17=0,0,'2021'!J17/'2020'!J17-1))</f>
        <v>0.81818181818181812</v>
      </c>
      <c r="M17" s="289">
        <f>'2021'!L17-'2020'!L17</f>
        <v>6.03</v>
      </c>
      <c r="N17" s="401">
        <f>IF('2021'!L17=0,0,IF('2020'!L17=0,0,'2021'!L17/'2020'!L17-1))</f>
        <v>2.0303030303030307</v>
      </c>
      <c r="O17" s="289">
        <f>IF('2020'!N17="-",0,'2021'!N17-'2020'!N17)</f>
        <v>4.03</v>
      </c>
      <c r="P17" s="290">
        <f>IF('2021'!N17=0,0,IF('2020'!N17="-",0,'2021'!N17/'2020'!N17-1))</f>
        <v>1.3569023569023573</v>
      </c>
      <c r="Q17" s="214"/>
      <c r="R17" s="215"/>
      <c r="S17" s="214"/>
      <c r="T17" s="215"/>
      <c r="U17" s="157" t="s">
        <v>21</v>
      </c>
      <c r="V17" s="154" t="s">
        <v>21</v>
      </c>
      <c r="W17" s="157" t="s">
        <v>21</v>
      </c>
      <c r="X17" s="161" t="s">
        <v>21</v>
      </c>
      <c r="Y17" s="123"/>
    </row>
    <row r="18" spans="1:25" x14ac:dyDescent="0.3">
      <c r="B18" s="521"/>
      <c r="C18" s="476"/>
      <c r="D18" s="523"/>
      <c r="E18" s="354" t="s">
        <v>12</v>
      </c>
      <c r="F18" s="355" t="s">
        <v>62</v>
      </c>
      <c r="G18" s="356">
        <f>'2021'!G18-'2020'!G18</f>
        <v>-1</v>
      </c>
      <c r="H18" s="394">
        <f>IF('2021'!G18=0,0,IF('2020'!G18=0,0,'2021'!G18/'2020'!G18-1))</f>
        <v>-0.16666666666666663</v>
      </c>
      <c r="I18" s="385">
        <f>'2021'!H18-'2020'!H18</f>
        <v>0</v>
      </c>
      <c r="J18" s="401">
        <f>IF(I18=0,0,'2021'!H18/'2020'!H18-1)</f>
        <v>0</v>
      </c>
      <c r="K18" s="289">
        <f>'2021'!J18-'2020'!J18</f>
        <v>3</v>
      </c>
      <c r="L18" s="401">
        <f>IF('2021'!J18=0,0,IF('2020'!J18=0,0,'2021'!J18/'2020'!J18-1))</f>
        <v>0</v>
      </c>
      <c r="M18" s="289">
        <f>'2021'!L18-'2020'!L18</f>
        <v>1</v>
      </c>
      <c r="N18" s="401">
        <f>IF('2021'!L18=0,0,IF('2020'!L18=0,0,'2021'!L18/'2020'!L18-1))</f>
        <v>0</v>
      </c>
      <c r="O18" s="289">
        <f>IF('2020'!N18="-",0,'2021'!N18-'2020'!N18)</f>
        <v>0</v>
      </c>
      <c r="P18" s="290">
        <f>IF('2021'!N18=0,0,IF('2020'!N18="-",0,'2021'!N18/'2020'!N18-1))</f>
        <v>0</v>
      </c>
      <c r="Q18" s="214"/>
      <c r="R18" s="215"/>
      <c r="S18" s="214"/>
      <c r="T18" s="215"/>
      <c r="U18" s="157" t="s">
        <v>21</v>
      </c>
      <c r="V18" s="154" t="s">
        <v>21</v>
      </c>
      <c r="W18" s="157" t="s">
        <v>21</v>
      </c>
      <c r="X18" s="161" t="s">
        <v>21</v>
      </c>
      <c r="Y18" s="123"/>
    </row>
    <row r="19" spans="1:25" x14ac:dyDescent="0.3">
      <c r="B19" s="521"/>
      <c r="C19" s="476"/>
      <c r="D19" s="523"/>
      <c r="E19" s="354" t="s">
        <v>7</v>
      </c>
      <c r="F19" s="355" t="s">
        <v>62</v>
      </c>
      <c r="G19" s="356">
        <f>'2021'!G19-'2020'!G19</f>
        <v>20</v>
      </c>
      <c r="H19" s="394">
        <f>IF('2021'!G19=0,0,IF('2020'!G19=0,0,'2021'!G19/'2020'!G19-1))</f>
        <v>0.8</v>
      </c>
      <c r="I19" s="385">
        <f>'2021'!H19-'2020'!H19</f>
        <v>11</v>
      </c>
      <c r="J19" s="401">
        <f>IF(I19=0,0,'2021'!H19/'2020'!H19-1)</f>
        <v>0.73333333333333339</v>
      </c>
      <c r="K19" s="289">
        <f>'2021'!J19-'2020'!J19</f>
        <v>4.9999999999999991</v>
      </c>
      <c r="L19" s="401">
        <f>IF('2021'!J19=0,0,IF('2020'!J19=0,0,'2021'!J19/'2020'!J19-1))</f>
        <v>0.71428571428571397</v>
      </c>
      <c r="M19" s="289">
        <f>'2021'!L19-'2020'!L19</f>
        <v>8</v>
      </c>
      <c r="N19" s="401">
        <f>IF('2021'!L19=0,0,IF('2020'!L19=0,0,'2021'!L19/'2020'!L19-1))</f>
        <v>2</v>
      </c>
      <c r="O19" s="289">
        <f>IF('2020'!N19="-",0,'2021'!N19-'2020'!N19)</f>
        <v>2</v>
      </c>
      <c r="P19" s="290">
        <f>IF('2021'!N19=0,0,IF('2020'!N19="-",0,'2021'!N19/'2020'!N19-1))</f>
        <v>2</v>
      </c>
      <c r="Q19" s="214"/>
      <c r="R19" s="215"/>
      <c r="S19" s="214"/>
      <c r="T19" s="215"/>
      <c r="U19" s="157" t="s">
        <v>21</v>
      </c>
      <c r="V19" s="154" t="s">
        <v>21</v>
      </c>
      <c r="W19" s="157" t="s">
        <v>21</v>
      </c>
      <c r="X19" s="161" t="s">
        <v>21</v>
      </c>
      <c r="Y19" s="123"/>
    </row>
    <row r="20" spans="1:25" x14ac:dyDescent="0.3">
      <c r="B20" s="521"/>
      <c r="C20" s="476"/>
      <c r="D20" s="523"/>
      <c r="E20" s="354" t="s">
        <v>138</v>
      </c>
      <c r="F20" s="355" t="s">
        <v>62</v>
      </c>
      <c r="G20" s="356">
        <f>'2021'!G20-'2020'!G20</f>
        <v>-1</v>
      </c>
      <c r="H20" s="394">
        <f>IF('2021'!G20=0,0,IF('2020'!G20=0,0,'2021'!G20/'2020'!G20-1))</f>
        <v>-6.6666666666666652E-2</v>
      </c>
      <c r="I20" s="385">
        <f>'2021'!H20-'2020'!H20</f>
        <v>0</v>
      </c>
      <c r="J20" s="401">
        <f>IF(I20=0,0,'2021'!H20/'2020'!H20-1)</f>
        <v>0</v>
      </c>
      <c r="K20" s="289">
        <f>'2021'!J20-'2020'!J20</f>
        <v>1.0499999999999998</v>
      </c>
      <c r="L20" s="401">
        <f>IF('2021'!J20=0,0,IF('2020'!J20=0,0,'2021'!J20/'2020'!J20-1))</f>
        <v>0.53846153846153832</v>
      </c>
      <c r="M20" s="289">
        <f>'2021'!L20-'2020'!L20</f>
        <v>0.95</v>
      </c>
      <c r="N20" s="401">
        <f>IF('2021'!L20=0,0,IF('2020'!L20=0,0,'2021'!L20/'2020'!L20-1))</f>
        <v>0.90476190476190466</v>
      </c>
      <c r="O20" s="289">
        <f>IF('2020'!N20="-",0,'2021'!N20-'2020'!N20)</f>
        <v>0</v>
      </c>
      <c r="P20" s="290">
        <f>IF('2021'!N20=0,0,IF('2020'!N20="-",0,'2021'!N20/'2020'!N20-1))</f>
        <v>0</v>
      </c>
      <c r="Q20" s="214"/>
      <c r="R20" s="215"/>
      <c r="S20" s="214"/>
      <c r="T20" s="215"/>
      <c r="U20" s="157" t="s">
        <v>21</v>
      </c>
      <c r="V20" s="154" t="s">
        <v>21</v>
      </c>
      <c r="W20" s="157" t="s">
        <v>21</v>
      </c>
      <c r="X20" s="161" t="s">
        <v>21</v>
      </c>
      <c r="Y20" s="123"/>
    </row>
    <row r="21" spans="1:25" x14ac:dyDescent="0.3">
      <c r="B21" s="521"/>
      <c r="C21" s="476"/>
      <c r="D21" s="523"/>
      <c r="E21" s="354" t="s">
        <v>8</v>
      </c>
      <c r="F21" s="355" t="s">
        <v>62</v>
      </c>
      <c r="G21" s="356">
        <f>'2021'!G21-'2020'!G21</f>
        <v>15</v>
      </c>
      <c r="H21" s="394">
        <f>IF('2021'!G21=0,0,IF('2020'!G21=0,0,'2021'!G21/'2020'!G21-1))</f>
        <v>0.9375</v>
      </c>
      <c r="I21" s="385">
        <f>'2021'!H21-'2020'!H21</f>
        <v>9</v>
      </c>
      <c r="J21" s="401">
        <f>IF(I21=0,0,'2021'!H21/'2020'!H21-1)</f>
        <v>0.64285714285714279</v>
      </c>
      <c r="K21" s="289">
        <f>'2021'!J21-'2020'!J21</f>
        <v>10.92</v>
      </c>
      <c r="L21" s="401">
        <f>IF('2021'!J21=0,0,IF('2020'!J21=0,0,'2021'!J21/'2020'!J21-1))</f>
        <v>1.7960526315789473</v>
      </c>
      <c r="M21" s="289">
        <f>'2021'!L21-'2020'!L21</f>
        <v>2.92</v>
      </c>
      <c r="N21" s="401">
        <f>IF('2021'!L21=0,0,IF('2020'!L21=0,0,'2021'!L21/'2020'!L21-1))</f>
        <v>1.4038461538461537</v>
      </c>
      <c r="O21" s="289">
        <f>IF('2020'!N21="-",0,'2021'!N21-'2020'!N21)</f>
        <v>2.92</v>
      </c>
      <c r="P21" s="290">
        <f>IF('2021'!N21=0,0,IF('2020'!N21="-",0,'2021'!N21/'2020'!N21-1))</f>
        <v>1.4038461538461537</v>
      </c>
      <c r="Q21" s="214"/>
      <c r="R21" s="215"/>
      <c r="S21" s="214"/>
      <c r="T21" s="215"/>
      <c r="U21" s="157" t="s">
        <v>21</v>
      </c>
      <c r="V21" s="154" t="s">
        <v>21</v>
      </c>
      <c r="W21" s="157" t="s">
        <v>21</v>
      </c>
      <c r="X21" s="161" t="s">
        <v>21</v>
      </c>
      <c r="Y21" s="123"/>
    </row>
    <row r="22" spans="1:25" x14ac:dyDescent="0.3">
      <c r="B22" s="521"/>
      <c r="C22" s="476"/>
      <c r="D22" s="523"/>
      <c r="E22" s="354" t="s">
        <v>6</v>
      </c>
      <c r="F22" s="355" t="s">
        <v>62</v>
      </c>
      <c r="G22" s="356">
        <f>'2021'!G22-'2020'!G22</f>
        <v>5</v>
      </c>
      <c r="H22" s="394">
        <f>IF('2021'!G22=0,0,IF('2020'!G22=0,0,'2021'!G22/'2020'!G22-1))</f>
        <v>0.71428571428571419</v>
      </c>
      <c r="I22" s="385">
        <f>'2021'!H22-'2020'!H22</f>
        <v>2</v>
      </c>
      <c r="J22" s="401">
        <f>IF(I22=0,0,'2021'!H22/'2020'!H22-1)</f>
        <v>0.39999999999999991</v>
      </c>
      <c r="K22" s="289">
        <f>'2021'!J22-'2020'!J22</f>
        <v>3.02</v>
      </c>
      <c r="L22" s="401">
        <f>IF('2021'!J22=0,0,IF('2020'!J22=0,0,'2021'!J22/'2020'!J22-1))</f>
        <v>3.0816326530612237</v>
      </c>
      <c r="M22" s="289">
        <f>'2021'!L22-'2020'!L22</f>
        <v>4</v>
      </c>
      <c r="N22" s="401">
        <f>IF('2021'!L22=0,0,IF('2020'!L22=0,0,'2021'!L22/'2020'!L22-1))</f>
        <v>0</v>
      </c>
      <c r="O22" s="289">
        <f>IF('2020'!N22="-",0,'2021'!N22-'2020'!N22)</f>
        <v>0</v>
      </c>
      <c r="P22" s="290">
        <f>IF('2021'!N22=0,0,IF('2020'!N22="-",0,'2021'!N22/'2020'!N22-1))</f>
        <v>0</v>
      </c>
      <c r="Q22" s="214"/>
      <c r="R22" s="215"/>
      <c r="S22" s="214"/>
      <c r="T22" s="215"/>
      <c r="U22" s="157" t="s">
        <v>21</v>
      </c>
      <c r="V22" s="154" t="s">
        <v>21</v>
      </c>
      <c r="W22" s="157" t="s">
        <v>21</v>
      </c>
      <c r="X22" s="161" t="s">
        <v>21</v>
      </c>
      <c r="Y22" s="123"/>
    </row>
    <row r="23" spans="1:25" x14ac:dyDescent="0.3">
      <c r="B23" s="521"/>
      <c r="C23" s="476"/>
      <c r="D23" s="523"/>
      <c r="E23" s="357" t="s">
        <v>9</v>
      </c>
      <c r="F23" s="358" t="s">
        <v>62</v>
      </c>
      <c r="G23" s="359">
        <f>'2021'!G23-'2020'!G23</f>
        <v>-3</v>
      </c>
      <c r="H23" s="395">
        <f>IF('2021'!G23=0,0,IF('2020'!G23=0,0,'2021'!G23/'2020'!G23-1))</f>
        <v>-0.15000000000000002</v>
      </c>
      <c r="I23" s="386">
        <f>'2021'!H23-'2020'!H23</f>
        <v>0</v>
      </c>
      <c r="J23" s="402">
        <f>IF(I23=0,0,'2021'!H23/'2020'!H23-1)</f>
        <v>0</v>
      </c>
      <c r="K23" s="291">
        <f>'2021'!J23-'2020'!J23</f>
        <v>2</v>
      </c>
      <c r="L23" s="402">
        <f>IF('2021'!J23=0,0,IF('2020'!J23=0,0,'2021'!J23/'2020'!J23-1))</f>
        <v>0.39999999999999991</v>
      </c>
      <c r="M23" s="291">
        <f>'2021'!L23-'2020'!L23</f>
        <v>1</v>
      </c>
      <c r="N23" s="402">
        <f>IF('2021'!L23=0,0,IF('2020'!L23=0,0,'2021'!L23/'2020'!L23-1))</f>
        <v>0.33333333333333326</v>
      </c>
      <c r="O23" s="291">
        <f>IF('2020'!N23="-",0,'2021'!N23-'2020'!N23)</f>
        <v>1.0000000000000009E-2</v>
      </c>
      <c r="P23" s="292">
        <f>IF('2021'!N23=0,0,IF('2020'!N23="-",0,'2021'!N23/'2020'!N23-1))</f>
        <v>1.0101010101010166E-2</v>
      </c>
      <c r="Q23" s="216"/>
      <c r="R23" s="217"/>
      <c r="S23" s="216"/>
      <c r="T23" s="217"/>
      <c r="U23" s="165" t="s">
        <v>21</v>
      </c>
      <c r="V23" s="162" t="s">
        <v>21</v>
      </c>
      <c r="W23" s="165" t="s">
        <v>21</v>
      </c>
      <c r="X23" s="205" t="s">
        <v>21</v>
      </c>
      <c r="Y23" s="123"/>
    </row>
    <row r="24" spans="1:25" ht="16.2" thickBot="1" x14ac:dyDescent="0.35">
      <c r="B24" s="495"/>
      <c r="C24" s="499"/>
      <c r="D24" s="364" t="s">
        <v>144</v>
      </c>
      <c r="E24" s="365"/>
      <c r="F24" s="366"/>
      <c r="G24" s="367">
        <f>'2021'!G24-'2020'!G24</f>
        <v>39</v>
      </c>
      <c r="H24" s="397">
        <f>IF('2021'!G24=0,0,IF('2020'!G24=0,0,'2021'!G24/'2020'!G24-1))</f>
        <v>0.24528301886792447</v>
      </c>
      <c r="I24" s="388">
        <f>'2021'!H24-'2020'!H24</f>
        <v>33</v>
      </c>
      <c r="J24" s="404">
        <f>IF(I24=0,0,'2021'!H24/'2020'!H24-1)</f>
        <v>0.34736842105263155</v>
      </c>
      <c r="K24" s="293">
        <f>'2021'!J24-'2020'!J24</f>
        <v>49.03</v>
      </c>
      <c r="L24" s="404">
        <f>IF('2021'!J24=0,0,IF('2020'!J24=0,0,'2021'!J24/'2020'!J24-1))</f>
        <v>1.0902824104958864</v>
      </c>
      <c r="M24" s="293">
        <f>'2021'!L24-'2020'!L24</f>
        <v>26.979999999999997</v>
      </c>
      <c r="N24" s="404">
        <f>IF('2021'!L24=0,0,IF('2020'!L24=0,0,'2021'!L24/'2020'!L24-1))</f>
        <v>1.41850683491062</v>
      </c>
      <c r="O24" s="293">
        <f>IF('2020'!N24="-",0,'2021'!N24-'2020'!N24)</f>
        <v>16.04</v>
      </c>
      <c r="P24" s="294">
        <f>IF('2021'!N24=0,0,IF('2020'!N24="-",0,'2021'!N24/'2020'!N24-1))</f>
        <v>1.2376543209876543</v>
      </c>
      <c r="Q24" s="286"/>
      <c r="R24" s="298"/>
      <c r="S24" s="286"/>
      <c r="T24" s="298"/>
      <c r="U24" s="299"/>
      <c r="V24" s="300"/>
      <c r="W24" s="299"/>
      <c r="X24" s="301"/>
      <c r="Y24" s="123"/>
    </row>
    <row r="25" spans="1:25" s="54" customFormat="1" ht="21" customHeight="1" thickBot="1" x14ac:dyDescent="0.35">
      <c r="A25" s="127"/>
      <c r="B25" s="248" t="s">
        <v>80</v>
      </c>
      <c r="C25" s="249"/>
      <c r="D25" s="368">
        <f>SUM(D5:D23)</f>
        <v>18</v>
      </c>
      <c r="E25" s="369">
        <f>COUNT(G5:G23)</f>
        <v>18</v>
      </c>
      <c r="F25" s="370">
        <f>COUNT(K5:K23)</f>
        <v>18</v>
      </c>
      <c r="G25" s="371">
        <f>G5+G15+G24</f>
        <v>201</v>
      </c>
      <c r="H25" s="398">
        <f>IF('2021'!G25=0,0,IF('2020'!G25=0,0,'2021'!G25/'2020'!G25-1))</f>
        <v>0.51015228426395942</v>
      </c>
      <c r="I25" s="389">
        <f>I5+I15+I24</f>
        <v>180</v>
      </c>
      <c r="J25" s="405">
        <f>IF(I25=0,0,'2021'!H25/'2020'!H25-1)</f>
        <v>0.76595744680851063</v>
      </c>
      <c r="K25" s="302">
        <f>K5+K15+K24</f>
        <v>81.03</v>
      </c>
      <c r="L25" s="405">
        <f>IF('2021'!J25=0,0,IF('2020'!J25=0,0,'2021'!J25/'2020'!J25-1))</f>
        <v>0.91075643475328771</v>
      </c>
      <c r="M25" s="302">
        <f>M5+M15+M24</f>
        <v>61.98</v>
      </c>
      <c r="N25" s="405">
        <f>IF('2021'!L25=0,0,IF('2020'!L25=0,0,'2021'!L25/'2020'!L25-1))</f>
        <v>0.6962480341496291</v>
      </c>
      <c r="O25" s="302">
        <f>O5+O15+O24</f>
        <v>16.04</v>
      </c>
      <c r="P25" s="303">
        <f>IF('2021'!N25=0,0,IF('2020'!N25="-",0,'2021'!N25/'2020'!N25-1))</f>
        <v>1.072192513368984</v>
      </c>
      <c r="Q25" s="304"/>
      <c r="R25" s="305"/>
      <c r="S25" s="304"/>
      <c r="T25" s="305"/>
      <c r="U25" s="306"/>
      <c r="V25" s="307"/>
      <c r="W25" s="306"/>
      <c r="X25" s="308"/>
      <c r="Y25" s="124"/>
    </row>
    <row r="26" spans="1:25" ht="15" customHeight="1" x14ac:dyDescent="0.3">
      <c r="B26" s="473" t="s">
        <v>86</v>
      </c>
      <c r="C26" s="474" t="s">
        <v>78</v>
      </c>
      <c r="D26" s="530">
        <v>31</v>
      </c>
      <c r="E26" s="351" t="s">
        <v>25</v>
      </c>
      <c r="F26" s="352" t="s">
        <v>62</v>
      </c>
      <c r="G26" s="353">
        <f>'2021'!G26-'2020'!G26</f>
        <v>0</v>
      </c>
      <c r="H26" s="393">
        <f>IF('2021'!G26=0,0,IF('2020'!G26=0,0,'2021'!G26/'2020'!G26-1))</f>
        <v>0</v>
      </c>
      <c r="I26" s="384">
        <f>'2021'!H26-'2020'!H26</f>
        <v>0</v>
      </c>
      <c r="J26" s="400">
        <f>IF('2021'!H26=0,0,IF('2020'!H26=0,0,'2021'!H26/'2020'!H26-1))</f>
        <v>0</v>
      </c>
      <c r="K26" s="287">
        <f>'2021'!J26-'2020'!J26</f>
        <v>0</v>
      </c>
      <c r="L26" s="400">
        <f>IF('2021'!J26=0,0,IF('2020'!J26=0,0,'2021'!J26/'2020'!J26-1))</f>
        <v>0</v>
      </c>
      <c r="M26" s="287">
        <f>'2021'!L26-'2020'!L26</f>
        <v>0</v>
      </c>
      <c r="N26" s="400">
        <f>IF('2021'!L26=0,0,IF('2020'!L26=0,0,'2021'!L26/'2020'!L26-1))</f>
        <v>0</v>
      </c>
      <c r="O26" s="287">
        <f>IF('2020'!N26="-",0,'2021'!N26-'2020'!N26)</f>
        <v>0</v>
      </c>
      <c r="P26" s="288">
        <f>IF('2021'!N26=0,0,IF('2020'!N26="-",0,'2021'!N26/'2020'!N26-1))</f>
        <v>0</v>
      </c>
      <c r="Q26" s="309"/>
      <c r="R26" s="310"/>
      <c r="S26" s="309"/>
      <c r="T26" s="310"/>
      <c r="U26" s="311"/>
      <c r="V26" s="261"/>
      <c r="W26" s="311"/>
      <c r="X26" s="312"/>
      <c r="Y26" s="123"/>
    </row>
    <row r="27" spans="1:25" ht="15" customHeight="1" x14ac:dyDescent="0.3">
      <c r="B27" s="471"/>
      <c r="C27" s="466"/>
      <c r="D27" s="523"/>
      <c r="E27" s="354" t="s">
        <v>26</v>
      </c>
      <c r="F27" s="355" t="s">
        <v>62</v>
      </c>
      <c r="G27" s="356">
        <f>'2021'!G27-'2020'!G27</f>
        <v>0</v>
      </c>
      <c r="H27" s="394">
        <f>IF('2021'!G27=0,0,IF('2020'!G27=0,0,'2021'!G27/'2020'!G27-1))</f>
        <v>0</v>
      </c>
      <c r="I27" s="385">
        <f>'2021'!H27-'2020'!H27</f>
        <v>0</v>
      </c>
      <c r="J27" s="401">
        <f>IF(I27=0,0,'2021'!H27/'2020'!H27-1)</f>
        <v>0</v>
      </c>
      <c r="K27" s="289">
        <f>'2021'!J27-'2020'!J27</f>
        <v>0</v>
      </c>
      <c r="L27" s="401">
        <f>IF('2021'!J27=0,0,IF('2020'!J27=0,0,'2021'!J27/'2020'!J27-1))</f>
        <v>0</v>
      </c>
      <c r="M27" s="289">
        <f>'2021'!L27-'2020'!L27</f>
        <v>0</v>
      </c>
      <c r="N27" s="401">
        <f>IF('2021'!L27=0,0,IF('2020'!L27=0,0,'2021'!L27/'2020'!L27-1))</f>
        <v>0</v>
      </c>
      <c r="O27" s="289">
        <f>IF('2020'!N27="-",0,'2021'!N27-'2020'!N27)</f>
        <v>0</v>
      </c>
      <c r="P27" s="290">
        <f>IF('2021'!N27=0,0,IF('2020'!N27="-",0,'2021'!N27/'2020'!N27-1))</f>
        <v>0</v>
      </c>
      <c r="Q27" s="214"/>
      <c r="R27" s="215"/>
      <c r="S27" s="214"/>
      <c r="T27" s="215"/>
      <c r="U27" s="158"/>
      <c r="V27" s="159"/>
      <c r="W27" s="158"/>
      <c r="X27" s="160"/>
      <c r="Y27" s="123"/>
    </row>
    <row r="28" spans="1:25" ht="15" customHeight="1" x14ac:dyDescent="0.3">
      <c r="B28" s="471"/>
      <c r="C28" s="466"/>
      <c r="D28" s="523"/>
      <c r="E28" s="354" t="s">
        <v>60</v>
      </c>
      <c r="F28" s="355" t="s">
        <v>62</v>
      </c>
      <c r="G28" s="356">
        <f>'2021'!G28-'2020'!G28</f>
        <v>0</v>
      </c>
      <c r="H28" s="394">
        <f>IF('2021'!G28=0,0,IF('2020'!G28=0,0,'2021'!G28/'2020'!G28-1))</f>
        <v>0</v>
      </c>
      <c r="I28" s="385">
        <f>'2021'!H28-'2020'!H28</f>
        <v>0</v>
      </c>
      <c r="J28" s="401">
        <f>IF(I28=0,0,'2021'!H28/'2020'!H28-1)</f>
        <v>0</v>
      </c>
      <c r="K28" s="289">
        <f>'2021'!J28-'2020'!J28</f>
        <v>0</v>
      </c>
      <c r="L28" s="401">
        <f>IF('2021'!J28=0,0,IF('2020'!J28=0,0,'2021'!J28/'2020'!J28-1))</f>
        <v>0</v>
      </c>
      <c r="M28" s="289">
        <f>'2021'!L28-'2020'!L28</f>
        <v>0</v>
      </c>
      <c r="N28" s="401">
        <f>IF('2021'!L28=0,0,IF('2020'!L28=0,0,'2021'!L28/'2020'!L28-1))</f>
        <v>0</v>
      </c>
      <c r="O28" s="289">
        <f>IF('2020'!N28="-",0,'2021'!N28-'2020'!N28)</f>
        <v>0</v>
      </c>
      <c r="P28" s="290">
        <f>IF('2021'!N28=0,0,IF('2020'!N28="-",0,'2021'!N28/'2020'!N28-1))</f>
        <v>0</v>
      </c>
      <c r="Q28" s="214"/>
      <c r="R28" s="215"/>
      <c r="S28" s="214"/>
      <c r="T28" s="215"/>
      <c r="U28" s="157" t="s">
        <v>21</v>
      </c>
      <c r="V28" s="154" t="s">
        <v>21</v>
      </c>
      <c r="W28" s="157" t="s">
        <v>21</v>
      </c>
      <c r="X28" s="161" t="s">
        <v>21</v>
      </c>
      <c r="Y28" s="123"/>
    </row>
    <row r="29" spans="1:25" ht="15" customHeight="1" x14ac:dyDescent="0.3">
      <c r="B29" s="471"/>
      <c r="C29" s="466"/>
      <c r="D29" s="523"/>
      <c r="E29" s="372" t="s">
        <v>24</v>
      </c>
      <c r="F29" s="373" t="s">
        <v>64</v>
      </c>
      <c r="G29" s="356">
        <f>'2021'!G29-'2020'!G29</f>
        <v>0</v>
      </c>
      <c r="H29" s="394">
        <f>IF('2021'!G29=0,0,IF('2020'!G29=0,0,'2021'!G29/'2020'!G29-1))</f>
        <v>0</v>
      </c>
      <c r="I29" s="385">
        <f>'2021'!H29-'2020'!H29</f>
        <v>0</v>
      </c>
      <c r="J29" s="401">
        <f>IF(I29=0,0,'2021'!H29/'2020'!H29-1)</f>
        <v>0</v>
      </c>
      <c r="K29" s="289">
        <f>'2021'!J29-'2020'!J29</f>
        <v>0</v>
      </c>
      <c r="L29" s="401">
        <f>IF('2021'!J29=0,0,IF('2020'!J29=0,0,'2021'!J29/'2020'!J29-1))</f>
        <v>0</v>
      </c>
      <c r="M29" s="289">
        <f>'2021'!L29-'2020'!L29</f>
        <v>0</v>
      </c>
      <c r="N29" s="401">
        <f>IF('2021'!L29=0,0,IF('2020'!L29=0,0,'2021'!L29/'2020'!L29-1))</f>
        <v>0</v>
      </c>
      <c r="O29" s="289">
        <f>IF('2020'!N29="-",0,'2021'!N29-'2020'!N29)</f>
        <v>0</v>
      </c>
      <c r="P29" s="290">
        <f>IF('2021'!N29=0,0,IF('2020'!N29="-",0,'2021'!N29/'2020'!N29-1))</f>
        <v>0</v>
      </c>
      <c r="Q29" s="214"/>
      <c r="R29" s="215"/>
      <c r="S29" s="214"/>
      <c r="T29" s="215"/>
      <c r="U29" s="158"/>
      <c r="V29" s="159"/>
      <c r="W29" s="158"/>
      <c r="X29" s="160"/>
      <c r="Y29" s="123"/>
    </row>
    <row r="30" spans="1:25" ht="15" customHeight="1" x14ac:dyDescent="0.3">
      <c r="B30" s="471"/>
      <c r="C30" s="466"/>
      <c r="D30" s="523"/>
      <c r="E30" s="354" t="s">
        <v>23</v>
      </c>
      <c r="F30" s="355" t="s">
        <v>62</v>
      </c>
      <c r="G30" s="356">
        <f>'2021'!G30-'2020'!G30</f>
        <v>0</v>
      </c>
      <c r="H30" s="394">
        <f>IF('2021'!G30=0,0,IF('2020'!G30=0,0,'2021'!G30/'2020'!G30-1))</f>
        <v>0</v>
      </c>
      <c r="I30" s="385">
        <f>'2021'!H30-'2020'!H30</f>
        <v>0</v>
      </c>
      <c r="J30" s="401">
        <f>IF(I30=0,0,'2021'!H30/'2020'!H30-1)</f>
        <v>0</v>
      </c>
      <c r="K30" s="289">
        <f>'2021'!J30-'2020'!J30</f>
        <v>0</v>
      </c>
      <c r="L30" s="401">
        <f>IF('2021'!J30=0,0,IF('2020'!J30=0,0,'2021'!J30/'2020'!J30-1))</f>
        <v>0</v>
      </c>
      <c r="M30" s="289">
        <f>'2021'!L30-'2020'!L30</f>
        <v>0</v>
      </c>
      <c r="N30" s="401">
        <f>IF('2021'!L30=0,0,IF('2020'!L30=0,0,'2021'!L30/'2020'!L30-1))</f>
        <v>0</v>
      </c>
      <c r="O30" s="289">
        <f>IF('2020'!N30="-",0,'2021'!N30-'2020'!N30)</f>
        <v>0</v>
      </c>
      <c r="P30" s="290">
        <f>IF('2021'!N30=0,0,IF('2020'!N30="-",0,'2021'!N30/'2020'!N30-1))</f>
        <v>0</v>
      </c>
      <c r="Q30" s="214"/>
      <c r="R30" s="215"/>
      <c r="S30" s="214"/>
      <c r="T30" s="215"/>
      <c r="U30" s="157" t="s">
        <v>21</v>
      </c>
      <c r="V30" s="154" t="s">
        <v>21</v>
      </c>
      <c r="W30" s="157" t="s">
        <v>21</v>
      </c>
      <c r="X30" s="161" t="s">
        <v>21</v>
      </c>
      <c r="Y30" s="123"/>
    </row>
    <row r="31" spans="1:25" ht="15" customHeight="1" x14ac:dyDescent="0.3">
      <c r="B31" s="471"/>
      <c r="C31" s="466"/>
      <c r="D31" s="523"/>
      <c r="E31" s="357" t="s">
        <v>22</v>
      </c>
      <c r="F31" s="358" t="s">
        <v>64</v>
      </c>
      <c r="G31" s="359">
        <f>'2021'!G31-'2020'!G31</f>
        <v>0</v>
      </c>
      <c r="H31" s="395">
        <f>IF('2021'!G31=0,0,IF('2020'!G31=0,0,'2021'!G31/'2020'!G31-1))</f>
        <v>0</v>
      </c>
      <c r="I31" s="386">
        <f>'2021'!H31-'2020'!H31</f>
        <v>0</v>
      </c>
      <c r="J31" s="402">
        <f>IF(I31=0,0,'2021'!H31/'2020'!H31-1)</f>
        <v>0</v>
      </c>
      <c r="K31" s="291">
        <f>'2021'!J31-'2020'!J31</f>
        <v>0</v>
      </c>
      <c r="L31" s="402">
        <f>IF('2021'!J31=0,0,IF('2020'!J31=0,0,'2021'!J31/'2020'!J31-1))</f>
        <v>0</v>
      </c>
      <c r="M31" s="291">
        <f>'2021'!L31-'2020'!L31</f>
        <v>0</v>
      </c>
      <c r="N31" s="402">
        <f>IF('2021'!L31=0,0,IF('2020'!L31=0,0,'2021'!L31/'2020'!L31-1))</f>
        <v>0</v>
      </c>
      <c r="O31" s="291">
        <f>IF('2020'!N31="-",0,'2021'!N31-'2020'!N31)</f>
        <v>0</v>
      </c>
      <c r="P31" s="292">
        <f>IF('2021'!N31=0,0,IF('2020'!N31="-",0,'2021'!N31/'2020'!N31-1))</f>
        <v>0</v>
      </c>
      <c r="Q31" s="216"/>
      <c r="R31" s="217"/>
      <c r="S31" s="216"/>
      <c r="T31" s="217"/>
      <c r="U31" s="166"/>
      <c r="V31" s="167"/>
      <c r="W31" s="166"/>
      <c r="X31" s="168"/>
      <c r="Y31" s="123"/>
    </row>
    <row r="32" spans="1:25" ht="15.6" x14ac:dyDescent="0.3">
      <c r="B32" s="472"/>
      <c r="C32" s="467"/>
      <c r="D32" s="380" t="s">
        <v>144</v>
      </c>
      <c r="E32" s="361"/>
      <c r="F32" s="362"/>
      <c r="G32" s="363">
        <f>'2021'!G32-'2020'!G32</f>
        <v>0</v>
      </c>
      <c r="H32" s="396">
        <f>IF('2021'!G32=0,0,IF('2020'!G32=0,0,'2021'!G32/'2020'!G32-1))</f>
        <v>0</v>
      </c>
      <c r="I32" s="387">
        <f>'2021'!H32-'2020'!H32</f>
        <v>0</v>
      </c>
      <c r="J32" s="403">
        <f>IF(I32=0,0,'2021'!H32/'2020'!H32-1)</f>
        <v>0</v>
      </c>
      <c r="K32" s="296">
        <f>'2021'!J32-'2020'!J32</f>
        <v>0</v>
      </c>
      <c r="L32" s="403">
        <f>IF('2021'!J32=0,0,IF('2020'!J32=0,0,'2021'!J32/'2020'!J32-1))</f>
        <v>0</v>
      </c>
      <c r="M32" s="296">
        <f>'2021'!L32-'2020'!L32</f>
        <v>0</v>
      </c>
      <c r="N32" s="403">
        <f>IF('2021'!L32=0,0,IF('2020'!L32=0,0,'2021'!L32/'2020'!L32-1))</f>
        <v>0</v>
      </c>
      <c r="O32" s="296">
        <f>IF('2020'!N32="-",0,'2021'!N32-'2020'!N32)</f>
        <v>0</v>
      </c>
      <c r="P32" s="297">
        <f>IF('2021'!N32=0,0,IF('2020'!N32="-",0,'2021'!N32/'2020'!N32-1))</f>
        <v>0</v>
      </c>
      <c r="Q32" s="218"/>
      <c r="R32" s="219"/>
      <c r="S32" s="218"/>
      <c r="T32" s="219"/>
      <c r="U32" s="170"/>
      <c r="V32" s="171"/>
      <c r="W32" s="170"/>
      <c r="X32" s="172"/>
      <c r="Y32" s="123"/>
    </row>
    <row r="33" spans="2:25" x14ac:dyDescent="0.3">
      <c r="B33" s="470" t="s">
        <v>1</v>
      </c>
      <c r="C33" s="465" t="s">
        <v>78</v>
      </c>
      <c r="D33" s="523">
        <v>12</v>
      </c>
      <c r="E33" s="351" t="s">
        <v>28</v>
      </c>
      <c r="F33" s="352" t="s">
        <v>64</v>
      </c>
      <c r="G33" s="353">
        <f>'2021'!G33-'2020'!G33</f>
        <v>29</v>
      </c>
      <c r="H33" s="393">
        <f>IF('2021'!G33=0,0,IF('2020'!G33=0,0,'2021'!G33/'2020'!G33-1))</f>
        <v>0.32954545454545459</v>
      </c>
      <c r="I33" s="384">
        <f>'2021'!H33-'2020'!H33</f>
        <v>-2</v>
      </c>
      <c r="J33" s="400">
        <f>IF(I33=0,0,'2021'!H33/'2020'!H33-1)</f>
        <v>-2.2727272727272707E-2</v>
      </c>
      <c r="K33" s="287">
        <f>'2021'!J33-'2020'!J33</f>
        <v>28</v>
      </c>
      <c r="L33" s="400">
        <f>IF('2021'!J33=0,0,IF('2020'!J33=0,0,'2021'!J33/'2020'!J33-1))</f>
        <v>0.52830188679245293</v>
      </c>
      <c r="M33" s="287">
        <f>'2021'!L33-'2020'!L33</f>
        <v>15</v>
      </c>
      <c r="N33" s="400">
        <f>IF('2021'!L33=0,0,IF('2020'!L33=0,0,'2021'!L33/'2020'!L33-1))</f>
        <v>0.46875</v>
      </c>
      <c r="O33" s="287">
        <f>IF('2020'!N33="-",0,'2021'!N33-'2020'!N33)</f>
        <v>6</v>
      </c>
      <c r="P33" s="288">
        <f>IF('2021'!N33=0,0,IF('2020'!N33="-",0,'2021'!N33/'2020'!N33-1))</f>
        <v>0.22222222222222232</v>
      </c>
      <c r="Q33" s="212"/>
      <c r="R33" s="213"/>
      <c r="S33" s="212"/>
      <c r="T33" s="213"/>
      <c r="U33" s="151">
        <f>'2021'!S33-'2020'!S33</f>
        <v>34</v>
      </c>
      <c r="V33" s="435">
        <f>IF('2021'!S33=0,0,IF('2020'!S33=0,0,'2021'!S33/'2020'!S33-1))</f>
        <v>0.4358974358974359</v>
      </c>
      <c r="W33" s="151">
        <f>'2021'!U33-'2020'!U33</f>
        <v>-5</v>
      </c>
      <c r="X33" s="436">
        <f>IF('2021'!U33=0,0,IF('2020'!U33=0,0,'2021'!U33/'2020'!U33-1))</f>
        <v>-0.5</v>
      </c>
      <c r="Y33" s="123"/>
    </row>
    <row r="34" spans="2:25" x14ac:dyDescent="0.3">
      <c r="B34" s="471"/>
      <c r="C34" s="466"/>
      <c r="D34" s="523"/>
      <c r="E34" s="354" t="s">
        <v>27</v>
      </c>
      <c r="F34" s="355" t="s">
        <v>64</v>
      </c>
      <c r="G34" s="356">
        <f>'2021'!G34-'2020'!G34</f>
        <v>20</v>
      </c>
      <c r="H34" s="394">
        <f>IF('2021'!G34=0,0,IF('2020'!G34=0,0,'2021'!G34/'2020'!G34-1))</f>
        <v>0.60606060606060597</v>
      </c>
      <c r="I34" s="385">
        <f>'2021'!H34-'2020'!H34</f>
        <v>5</v>
      </c>
      <c r="J34" s="401">
        <f>IF(I34=0,0,'2021'!H34/'2020'!H34-1)</f>
        <v>0.1515151515151516</v>
      </c>
      <c r="K34" s="289">
        <f>'2021'!J34-'2020'!J34</f>
        <v>11</v>
      </c>
      <c r="L34" s="401">
        <f>IF('2021'!J34=0,0,IF('2020'!J34=0,0,'2021'!J34/'2020'!J34-1))</f>
        <v>0.52380952380952372</v>
      </c>
      <c r="M34" s="289">
        <f>'2021'!L34-'2020'!L34</f>
        <v>4</v>
      </c>
      <c r="N34" s="401">
        <f>IF('2021'!L34=0,0,IF('2020'!L34=0,0,'2021'!L34/'2020'!L34-1))</f>
        <v>0.5</v>
      </c>
      <c r="O34" s="289">
        <f>IF('2020'!N34="-",0,'2021'!N34-'2020'!N34)</f>
        <v>3</v>
      </c>
      <c r="P34" s="290">
        <f>IF('2021'!N34=0,0,IF('2020'!N34="-",0,'2021'!N34/'2020'!N34-1))</f>
        <v>0.4285714285714286</v>
      </c>
      <c r="Q34" s="214"/>
      <c r="R34" s="215"/>
      <c r="S34" s="214"/>
      <c r="T34" s="215"/>
      <c r="U34" s="158">
        <f>'2021'!S34-'2020'!S34</f>
        <v>18</v>
      </c>
      <c r="V34" s="437">
        <f>IF('2021'!S34=0,0,IF('2020'!S34=0,0,'2021'!S34/'2020'!S34-1))</f>
        <v>0.54545454545454541</v>
      </c>
      <c r="W34" s="158">
        <f>'2021'!U34-'2020'!U34</f>
        <v>2</v>
      </c>
      <c r="X34" s="439">
        <f>IF('2021'!U34=0,0,IF('2020'!U34=0,0,'2021'!U34/'2020'!U34-1))</f>
        <v>0</v>
      </c>
      <c r="Y34" s="123"/>
    </row>
    <row r="35" spans="2:25" x14ac:dyDescent="0.3">
      <c r="B35" s="471"/>
      <c r="C35" s="466"/>
      <c r="D35" s="523"/>
      <c r="E35" s="354" t="s">
        <v>29</v>
      </c>
      <c r="F35" s="355" t="s">
        <v>64</v>
      </c>
      <c r="G35" s="356">
        <f>'2021'!G35-'2020'!G35</f>
        <v>8</v>
      </c>
      <c r="H35" s="394">
        <f>IF('2021'!G35=0,0,IF('2020'!G35=0,0,'2021'!G35/'2020'!G35-1))</f>
        <v>0.5714285714285714</v>
      </c>
      <c r="I35" s="385">
        <f>'2021'!H35-'2020'!H35</f>
        <v>6</v>
      </c>
      <c r="J35" s="401">
        <f>IF(I35=0,0,'2021'!H35/'2020'!H35-1)</f>
        <v>0.4285714285714286</v>
      </c>
      <c r="K35" s="289">
        <f>'2021'!J35-'2020'!J35</f>
        <v>7</v>
      </c>
      <c r="L35" s="401">
        <f>IF('2021'!J35=0,0,IF('2020'!J35=0,0,'2021'!J35/'2020'!J35-1))</f>
        <v>0.77777777777777768</v>
      </c>
      <c r="M35" s="289">
        <f>'2021'!L35-'2020'!L35</f>
        <v>5</v>
      </c>
      <c r="N35" s="401">
        <f>IF('2021'!L35=0,0,IF('2020'!L35=0,0,'2021'!L35/'2020'!L35-1))</f>
        <v>0.71428571428571419</v>
      </c>
      <c r="O35" s="289">
        <f>IF('2020'!N35="-",0,'2021'!N35-'2020'!N35)</f>
        <v>5</v>
      </c>
      <c r="P35" s="290">
        <f>IF('2021'!N35=0,0,IF('2020'!N35="-",0,'2021'!N35/'2020'!N35-1))</f>
        <v>1.25</v>
      </c>
      <c r="Q35" s="214"/>
      <c r="R35" s="215"/>
      <c r="S35" s="214"/>
      <c r="T35" s="215"/>
      <c r="U35" s="158">
        <f>'2021'!S35-'2020'!S35</f>
        <v>8</v>
      </c>
      <c r="V35" s="437">
        <f>IF('2021'!S35=0,0,IF('2020'!S35=0,0,'2021'!S35/'2020'!S35-1))</f>
        <v>0.5714285714285714</v>
      </c>
      <c r="W35" s="158">
        <f>'2021'!U35-'2020'!U35</f>
        <v>0</v>
      </c>
      <c r="X35" s="439">
        <f>IF('2021'!U35=0,0,IF('2020'!U35=0,0,'2021'!U35/'2020'!U35-1))</f>
        <v>0</v>
      </c>
      <c r="Y35" s="123"/>
    </row>
    <row r="36" spans="2:25" x14ac:dyDescent="0.3">
      <c r="B36" s="471"/>
      <c r="C36" s="466"/>
      <c r="D36" s="523"/>
      <c r="E36" s="354" t="s">
        <v>30</v>
      </c>
      <c r="F36" s="355" t="s">
        <v>64</v>
      </c>
      <c r="G36" s="356">
        <f>'2021'!G36-'2020'!G36</f>
        <v>26</v>
      </c>
      <c r="H36" s="394">
        <f>IF('2021'!G36=0,0,IF('2020'!G36=0,0,'2021'!G36/'2020'!G36-1))</f>
        <v>1.1304347826086958</v>
      </c>
      <c r="I36" s="385">
        <f>'2021'!H36-'2020'!H36</f>
        <v>10</v>
      </c>
      <c r="J36" s="401">
        <f>IF(I36=0,0,'2021'!H36/'2020'!H36-1)</f>
        <v>0.43478260869565211</v>
      </c>
      <c r="K36" s="289">
        <f>'2021'!J36-'2020'!J36</f>
        <v>20</v>
      </c>
      <c r="L36" s="401">
        <f>IF('2021'!J36=0,0,IF('2020'!J36=0,0,'2021'!J36/'2020'!J36-1))</f>
        <v>1.3333333333333335</v>
      </c>
      <c r="M36" s="289">
        <f>'2021'!L36-'2020'!L36</f>
        <v>9</v>
      </c>
      <c r="N36" s="401">
        <f>IF('2021'!L36=0,0,IF('2020'!L36=0,0,'2021'!L36/'2020'!L36-1))</f>
        <v>0.81818181818181812</v>
      </c>
      <c r="O36" s="289">
        <f>IF('2020'!N36="-",0,'2021'!N36-'2020'!N36)</f>
        <v>9</v>
      </c>
      <c r="P36" s="290">
        <f>IF('2021'!N36=0,0,IF('2020'!N36="-",0,'2021'!N36/'2020'!N36-1))</f>
        <v>1.125</v>
      </c>
      <c r="Q36" s="214"/>
      <c r="R36" s="215"/>
      <c r="S36" s="214"/>
      <c r="T36" s="215"/>
      <c r="U36" s="158">
        <f>'2021'!S36-'2020'!S36</f>
        <v>26</v>
      </c>
      <c r="V36" s="437">
        <f>IF('2021'!S36=0,0,IF('2020'!S36=0,0,'2021'!S36/'2020'!S36-1))</f>
        <v>1.2999999999999998</v>
      </c>
      <c r="W36" s="158">
        <f>'2021'!U36-'2020'!U36</f>
        <v>0</v>
      </c>
      <c r="X36" s="439">
        <f>IF('2021'!U36=0,0,IF('2020'!U36=0,0,'2021'!U36/'2020'!U36-1))</f>
        <v>0</v>
      </c>
      <c r="Y36" s="123"/>
    </row>
    <row r="37" spans="2:25" x14ac:dyDescent="0.3">
      <c r="B37" s="471"/>
      <c r="C37" s="466"/>
      <c r="D37" s="523"/>
      <c r="E37" s="372" t="s">
        <v>31</v>
      </c>
      <c r="F37" s="373" t="s">
        <v>64</v>
      </c>
      <c r="G37" s="356">
        <f>'2021'!G37-'2020'!G37</f>
        <v>8</v>
      </c>
      <c r="H37" s="394">
        <f>IF('2021'!G37=0,0,IF('2020'!G37=0,0,'2021'!G37/'2020'!G37-1))</f>
        <v>0.22222222222222232</v>
      </c>
      <c r="I37" s="385">
        <f>'2021'!H37-'2020'!H37</f>
        <v>8</v>
      </c>
      <c r="J37" s="401">
        <f>IF(I37=0,0,'2021'!H37/'2020'!H37-1)</f>
        <v>0.22222222222222232</v>
      </c>
      <c r="K37" s="289">
        <f>'2021'!J37-'2020'!J37</f>
        <v>10</v>
      </c>
      <c r="L37" s="401">
        <f>IF('2021'!J37=0,0,IF('2020'!J37=0,0,'2021'!J37/'2020'!J37-1))</f>
        <v>0.55555555555555558</v>
      </c>
      <c r="M37" s="289">
        <f>'2021'!L37-'2020'!L37</f>
        <v>-1</v>
      </c>
      <c r="N37" s="401">
        <f>IF('2021'!L37=0,0,IF('2020'!L37=0,0,'2021'!L37/'2020'!L37-1))</f>
        <v>-5.8823529411764719E-2</v>
      </c>
      <c r="O37" s="289">
        <f>IF('2020'!N37="-",0,'2021'!N37-'2020'!N37)</f>
        <v>2</v>
      </c>
      <c r="P37" s="290">
        <f>IF('2021'!N37=0,0,IF('2020'!N37="-",0,'2021'!N37/'2020'!N37-1))</f>
        <v>0.15384615384615374</v>
      </c>
      <c r="Q37" s="214"/>
      <c r="R37" s="215"/>
      <c r="S37" s="214"/>
      <c r="T37" s="215"/>
      <c r="U37" s="158">
        <f>'2021'!S37-'2020'!S37</f>
        <v>4</v>
      </c>
      <c r="V37" s="437">
        <f>IF('2021'!S37=0,0,IF('2020'!S37=0,0,'2021'!S37/'2020'!S37-1))</f>
        <v>0.11111111111111116</v>
      </c>
      <c r="W37" s="158">
        <f>'2021'!U37-'2020'!U37</f>
        <v>4</v>
      </c>
      <c r="X37" s="439">
        <f>IF('2021'!U37=0,0,IF('2020'!U37=0,0,'2021'!U37/'2020'!U37-1))</f>
        <v>0</v>
      </c>
      <c r="Y37" s="427" t="s">
        <v>152</v>
      </c>
    </row>
    <row r="38" spans="2:25" x14ac:dyDescent="0.3">
      <c r="B38" s="471"/>
      <c r="C38" s="466"/>
      <c r="D38" s="523"/>
      <c r="E38" s="374" t="s">
        <v>32</v>
      </c>
      <c r="F38" s="375" t="s">
        <v>64</v>
      </c>
      <c r="G38" s="359">
        <f>'2021'!G38-'2020'!G38</f>
        <v>-40</v>
      </c>
      <c r="H38" s="395">
        <f>IF('2021'!G38=0,0,IF('2020'!G38=0,0,'2021'!G38/'2020'!G38-1))</f>
        <v>-0.88888888888888884</v>
      </c>
      <c r="I38" s="386">
        <f>'2021'!H38-'2020'!H38</f>
        <v>-41</v>
      </c>
      <c r="J38" s="402">
        <f>IF(I38=0,0,'2021'!H38/'2020'!H38-1)</f>
        <v>-0.91111111111111109</v>
      </c>
      <c r="K38" s="291">
        <f>'2021'!J38-'2020'!J38</f>
        <v>-23.999999999999996</v>
      </c>
      <c r="L38" s="402">
        <f>IF('2021'!J38=0,0,IF('2020'!J38=0,0,'2021'!J38/'2020'!J38-1))</f>
        <v>-0.92307692307692313</v>
      </c>
      <c r="M38" s="291">
        <f>'2021'!L38-'2020'!L38</f>
        <v>-18</v>
      </c>
      <c r="N38" s="402">
        <f>IF('2021'!L38=0,0,IF('2020'!L38=0,0,'2021'!L38/'2020'!L38-1))</f>
        <v>-0.94736842105263164</v>
      </c>
      <c r="O38" s="291">
        <f>IF('2020'!N38="-",0,'2021'!N38-'2020'!N38)</f>
        <v>-14</v>
      </c>
      <c r="P38" s="292">
        <f>IF('2021'!N38=0,0,IF('2020'!N38="-",0,'2021'!N38/'2020'!N38-1))</f>
        <v>0</v>
      </c>
      <c r="Q38" s="216"/>
      <c r="R38" s="217"/>
      <c r="S38" s="216"/>
      <c r="T38" s="217"/>
      <c r="U38" s="166">
        <f>'2021'!S38-'2020'!S38</f>
        <v>-34</v>
      </c>
      <c r="V38" s="438">
        <f>IF('2021'!S38=0,0,IF('2020'!S38=0,0,'2021'!S38/'2020'!S38-1))</f>
        <v>-0.87179487179487181</v>
      </c>
      <c r="W38" s="166">
        <f>'2021'!U38-'2020'!U38</f>
        <v>-6</v>
      </c>
      <c r="X38" s="440">
        <f>IF('2021'!U38=0,0,IF('2020'!U38=0,0,'2021'!U38/'2020'!U38-1))</f>
        <v>0</v>
      </c>
      <c r="Y38" s="123"/>
    </row>
    <row r="39" spans="2:25" ht="15.6" x14ac:dyDescent="0.3">
      <c r="B39" s="472"/>
      <c r="C39" s="467"/>
      <c r="D39" s="380" t="s">
        <v>144</v>
      </c>
      <c r="E39" s="421"/>
      <c r="F39" s="422"/>
      <c r="G39" s="363">
        <f>'2021'!G39-'2020'!G39</f>
        <v>51</v>
      </c>
      <c r="H39" s="396">
        <f>IF('2021'!G39=0,0,IF('2020'!G39=0,0,'2021'!G39/'2020'!G39-1))</f>
        <v>0.21338912133891208</v>
      </c>
      <c r="I39" s="387">
        <f>'2021'!H39-'2020'!H39</f>
        <v>-14</v>
      </c>
      <c r="J39" s="403">
        <f>IF(I39=0,0,'2021'!H39/'2020'!H39-1)</f>
        <v>-5.8577405857740628E-2</v>
      </c>
      <c r="K39" s="296">
        <f>'2021'!J39-'2020'!J39</f>
        <v>52</v>
      </c>
      <c r="L39" s="403">
        <f>IF('2021'!J39=0,0,IF('2020'!J39=0,0,'2021'!J39/'2020'!J39-1))</f>
        <v>0.36619718309859151</v>
      </c>
      <c r="M39" s="296">
        <f>'2021'!L39-'2020'!L39</f>
        <v>14</v>
      </c>
      <c r="N39" s="403">
        <f>IF('2021'!L39=0,0,IF('2020'!L39=0,0,'2021'!L39/'2020'!L39-1))</f>
        <v>0.14893617021276606</v>
      </c>
      <c r="O39" s="296">
        <f>IF('2020'!N39="-",0,'2021'!N39-'2020'!N39)</f>
        <v>11</v>
      </c>
      <c r="P39" s="297">
        <f>IF('2021'!N39=0,0,IF('2020'!N39="-",0,'2021'!N39/'2020'!N39-1))</f>
        <v>0.15068493150684925</v>
      </c>
      <c r="Q39" s="218"/>
      <c r="R39" s="219"/>
      <c r="S39" s="218"/>
      <c r="T39" s="219"/>
      <c r="U39" s="170">
        <f>SUM(U33:U38)</f>
        <v>56</v>
      </c>
      <c r="V39" s="441">
        <f>IF('2021'!S39=0,0,IF('2020'!S39=0,0,'2021'!S39/'2020'!S39-1))</f>
        <v>0.25454545454545463</v>
      </c>
      <c r="W39" s="170">
        <f>SUM(W33:W38)</f>
        <v>-5</v>
      </c>
      <c r="X39" s="442">
        <f>IF('2021'!U39=0,0,IF('2020'!U39=0,0,'2021'!U39/'2020'!U39-1))</f>
        <v>-0.26315789473684215</v>
      </c>
      <c r="Y39" s="123"/>
    </row>
    <row r="40" spans="2:25" ht="15" customHeight="1" x14ac:dyDescent="0.3">
      <c r="B40" s="470" t="s">
        <v>47</v>
      </c>
      <c r="C40" s="475" t="s">
        <v>78</v>
      </c>
      <c r="D40" s="524">
        <v>10</v>
      </c>
      <c r="E40" s="376" t="s">
        <v>33</v>
      </c>
      <c r="F40" s="377" t="s">
        <v>64</v>
      </c>
      <c r="G40" s="353">
        <f>'2021'!G40-'2020'!G40</f>
        <v>17</v>
      </c>
      <c r="H40" s="393">
        <f>IF('2021'!G40=0,0,IF('2020'!G40=0,0,'2021'!G40/'2020'!G40-1))</f>
        <v>0.28813559322033888</v>
      </c>
      <c r="I40" s="384">
        <f>'2021'!H40-'2020'!H40</f>
        <v>17</v>
      </c>
      <c r="J40" s="400">
        <f>IF(I40=0,0,'2021'!H40/'2020'!H40-1)</f>
        <v>0.28813559322033888</v>
      </c>
      <c r="K40" s="287">
        <f>'2021'!J40-'2020'!J40</f>
        <v>7.91</v>
      </c>
      <c r="L40" s="400">
        <f>IF('2021'!J40=0,0,IF('2020'!J40=0,0,'2021'!J40/'2020'!J40-1))</f>
        <v>0.2628780325689597</v>
      </c>
      <c r="M40" s="287">
        <f>'2021'!L40-'2020'!L40</f>
        <v>3.0399999999999991</v>
      </c>
      <c r="N40" s="400">
        <f>IF('2021'!L40=0,0,IF('2020'!L40=0,0,'2021'!L40/'2020'!L40-1))</f>
        <v>0.11710323574730341</v>
      </c>
      <c r="O40" s="287">
        <f>IF('2020'!N40="-",0,'2021'!N40-'2020'!N40)</f>
        <v>4.9047999999999981</v>
      </c>
      <c r="P40" s="288">
        <f>IF('2021'!N40=0,0,IF('2020'!N40="-",0,'2021'!N40/'2020'!N40-1))</f>
        <v>0.30473681594512625</v>
      </c>
      <c r="Q40" s="212"/>
      <c r="R40" s="213"/>
      <c r="S40" s="212"/>
      <c r="T40" s="213"/>
      <c r="U40" s="151">
        <f>'2021'!S40-'2020'!S40</f>
        <v>75</v>
      </c>
      <c r="V40" s="435">
        <f>IF('2021'!S40=0,0,IF('2020'!S40=0,0,'2021'!S40/'2020'!S40-1))</f>
        <v>0</v>
      </c>
      <c r="W40" s="151">
        <f>'2021'!U40-'2020'!U40</f>
        <v>1</v>
      </c>
      <c r="X40" s="436">
        <f>IF('2021'!U40=0,0,IF('2020'!U40=0,0,'2021'!U40/'2020'!U40-1))</f>
        <v>0</v>
      </c>
      <c r="Y40" s="123"/>
    </row>
    <row r="41" spans="2:25" ht="15" customHeight="1" x14ac:dyDescent="0.3">
      <c r="B41" s="471"/>
      <c r="C41" s="476"/>
      <c r="D41" s="525"/>
      <c r="E41" s="378" t="s">
        <v>34</v>
      </c>
      <c r="F41" s="373" t="s">
        <v>64</v>
      </c>
      <c r="G41" s="356">
        <f>'2021'!G41-'2020'!G41</f>
        <v>35</v>
      </c>
      <c r="H41" s="394">
        <f>IF('2021'!G41=0,0,IF('2020'!G41=0,0,'2021'!G41/'2020'!G41-1))</f>
        <v>0.77777777777777768</v>
      </c>
      <c r="I41" s="385">
        <f>'2021'!H41-'2020'!H41</f>
        <v>35</v>
      </c>
      <c r="J41" s="401">
        <f>IF(I41=0,0,'2021'!H41/'2020'!H41-1)</f>
        <v>0.77777777777777768</v>
      </c>
      <c r="K41" s="289">
        <f>'2021'!J41-'2020'!J41</f>
        <v>24.900000000000002</v>
      </c>
      <c r="L41" s="401">
        <f>IF('2021'!J41=0,0,IF('2020'!J41=0,0,'2021'!J41/'2020'!J41-1))</f>
        <v>0.95402298850574718</v>
      </c>
      <c r="M41" s="289">
        <f>'2021'!L41-'2020'!L41</f>
        <v>20.2</v>
      </c>
      <c r="N41" s="401">
        <f>IF('2021'!L41=0,0,IF('2020'!L41=0,0,'2021'!L41/'2020'!L41-1))</f>
        <v>1.0202020202020203</v>
      </c>
      <c r="O41" s="289">
        <f>IF('2020'!N41="-",0,'2021'!N41-'2020'!N41)</f>
        <v>13.129999999999999</v>
      </c>
      <c r="P41" s="290">
        <f>IF('2021'!N41=0,0,IF('2020'!N41="-",0,'2021'!N41/'2020'!N41-1))</f>
        <v>1.0202020202020199</v>
      </c>
      <c r="Q41" s="214"/>
      <c r="R41" s="215"/>
      <c r="S41" s="214"/>
      <c r="T41" s="215"/>
      <c r="U41" s="158">
        <f>'2021'!S41-'2020'!S41</f>
        <v>74</v>
      </c>
      <c r="V41" s="437">
        <f>IF('2021'!S41=0,0,IF('2020'!S41=0,0,'2021'!S41/'2020'!S41-1))</f>
        <v>0</v>
      </c>
      <c r="W41" s="158">
        <f>'2021'!U41-'2020'!U41</f>
        <v>6</v>
      </c>
      <c r="X41" s="439">
        <f>IF('2021'!U41=0,0,IF('2020'!U41=0,0,'2021'!U41/'2020'!U41-1))</f>
        <v>0</v>
      </c>
      <c r="Y41" s="123"/>
    </row>
    <row r="42" spans="2:25" ht="15" customHeight="1" x14ac:dyDescent="0.3">
      <c r="B42" s="471"/>
      <c r="C42" s="476"/>
      <c r="D42" s="525"/>
      <c r="E42" s="378" t="s">
        <v>49</v>
      </c>
      <c r="F42" s="373" t="s">
        <v>64</v>
      </c>
      <c r="G42" s="356">
        <f>'2021'!G42-'2020'!G42</f>
        <v>15</v>
      </c>
      <c r="H42" s="394">
        <f>IF('2021'!G42=0,0,IF('2020'!G42=0,0,'2021'!G42/'2020'!G42-1))</f>
        <v>0.9375</v>
      </c>
      <c r="I42" s="385">
        <f>'2021'!H42-'2020'!H42</f>
        <v>15</v>
      </c>
      <c r="J42" s="401">
        <f>IF(I42=0,0,'2021'!H42/'2020'!H42-1)</f>
        <v>0.9375</v>
      </c>
      <c r="K42" s="289">
        <f>'2021'!J42-'2020'!J42</f>
        <v>2.96</v>
      </c>
      <c r="L42" s="401">
        <f>IF('2021'!J42=0,0,IF('2020'!J42=0,0,'2021'!J42/'2020'!J42-1))</f>
        <v>0.42045454545454541</v>
      </c>
      <c r="M42" s="289">
        <f>'2021'!L42-'2020'!L42</f>
        <v>6.04</v>
      </c>
      <c r="N42" s="401">
        <f>IF('2021'!L42=0,0,IF('2020'!L42=0,0,'2021'!L42/'2020'!L42-1))</f>
        <v>1.217741935483871</v>
      </c>
      <c r="O42" s="289">
        <f>IF('2020'!N42="-",0,'2021'!N42-'2020'!N42)</f>
        <v>3.016</v>
      </c>
      <c r="P42" s="290">
        <f>IF('2021'!N42=0,0,IF('2020'!N42="-",0,'2021'!N42/'2020'!N42-1))</f>
        <v>1.5201612903225805</v>
      </c>
      <c r="Q42" s="214"/>
      <c r="R42" s="215"/>
      <c r="S42" s="214"/>
      <c r="T42" s="215"/>
      <c r="U42" s="158">
        <f>'2021'!S42-'2020'!S42</f>
        <v>31</v>
      </c>
      <c r="V42" s="437">
        <f>IF('2021'!S42=0,0,IF('2020'!S42=0,0,'2021'!S42/'2020'!S42-1))</f>
        <v>0</v>
      </c>
      <c r="W42" s="158">
        <f>'2021'!U42-'2020'!U42</f>
        <v>0</v>
      </c>
      <c r="X42" s="439">
        <f>IF('2021'!U42=0,0,IF('2020'!U42=0,0,'2021'!U42/'2020'!U42-1))</f>
        <v>0</v>
      </c>
      <c r="Y42" s="123"/>
    </row>
    <row r="43" spans="2:25" ht="15" customHeight="1" x14ac:dyDescent="0.3">
      <c r="B43" s="471"/>
      <c r="C43" s="476"/>
      <c r="D43" s="525"/>
      <c r="E43" s="378" t="s">
        <v>48</v>
      </c>
      <c r="F43" s="373" t="s">
        <v>64</v>
      </c>
      <c r="G43" s="356">
        <f>'2021'!G43-'2020'!G43</f>
        <v>-16</v>
      </c>
      <c r="H43" s="394">
        <f>IF('2021'!G43=0,0,IF('2020'!G43=0,0,'2021'!G43/'2020'!G43-1))</f>
        <v>-0.5161290322580645</v>
      </c>
      <c r="I43" s="385">
        <f>'2021'!H43-'2020'!H43</f>
        <v>-16</v>
      </c>
      <c r="J43" s="401">
        <f>IF(I43=0,0,'2021'!H43/'2020'!H43-1)</f>
        <v>-0.5161290322580645</v>
      </c>
      <c r="K43" s="289">
        <f>'2021'!J43-'2020'!J43</f>
        <v>-3.99</v>
      </c>
      <c r="L43" s="401">
        <f>IF('2021'!J43=0,0,IF('2020'!J43=0,0,'2021'!J43/'2020'!J43-1))</f>
        <v>-0.44382647385984431</v>
      </c>
      <c r="M43" s="289">
        <f>'2021'!L43-'2020'!L43</f>
        <v>-9.92</v>
      </c>
      <c r="N43" s="401">
        <f>IF('2021'!L43=0,0,IF('2020'!L43=0,0,'2021'!L43/'2020'!L43-1))</f>
        <v>0</v>
      </c>
      <c r="O43" s="289">
        <f>IF('2020'!N43="-",0,'2021'!N43-'2020'!N43)</f>
        <v>-2.976</v>
      </c>
      <c r="P43" s="290">
        <f>IF('2021'!N43=0,0,IF('2020'!N43="-",0,'2021'!N43/'2020'!N43-1))</f>
        <v>0</v>
      </c>
      <c r="Q43" s="214"/>
      <c r="R43" s="215"/>
      <c r="S43" s="214"/>
      <c r="T43" s="215"/>
      <c r="U43" s="158">
        <f>'2021'!S43-'2020'!S43</f>
        <v>15</v>
      </c>
      <c r="V43" s="437">
        <f>IF('2021'!S43=0,0,IF('2020'!S43=0,0,'2021'!S43/'2020'!S43-1))</f>
        <v>0</v>
      </c>
      <c r="W43" s="158">
        <f>'2021'!U43-'2020'!U43</f>
        <v>0</v>
      </c>
      <c r="X43" s="439">
        <f>IF('2021'!U43=0,0,IF('2020'!U43=0,0,'2021'!U43/'2020'!U43-1))</f>
        <v>0</v>
      </c>
      <c r="Y43" s="123"/>
    </row>
    <row r="44" spans="2:25" ht="15" customHeight="1" x14ac:dyDescent="0.3">
      <c r="B44" s="471"/>
      <c r="C44" s="476"/>
      <c r="D44" s="525"/>
      <c r="E44" s="378" t="s">
        <v>36</v>
      </c>
      <c r="F44" s="373" t="s">
        <v>64</v>
      </c>
      <c r="G44" s="356">
        <f>'2021'!G44-'2020'!G44</f>
        <v>-1</v>
      </c>
      <c r="H44" s="394">
        <f>IF('2021'!G44=0,0,IF('2020'!G44=0,0,'2021'!G44/'2020'!G44-1))</f>
        <v>-0.33333333333333337</v>
      </c>
      <c r="I44" s="385">
        <f>'2021'!H44-'2020'!H44</f>
        <v>-1</v>
      </c>
      <c r="J44" s="401">
        <f>IF(I44=0,0,'2021'!H44/'2020'!H44-1)</f>
        <v>-0.33333333333333337</v>
      </c>
      <c r="K44" s="289">
        <f>'2021'!J44-'2020'!J44</f>
        <v>1</v>
      </c>
      <c r="L44" s="401">
        <f>IF('2021'!J44=0,0,IF('2020'!J44=0,0,'2021'!J44/'2020'!J44-1))</f>
        <v>0</v>
      </c>
      <c r="M44" s="289">
        <f>'2021'!L44-'2020'!L44</f>
        <v>1</v>
      </c>
      <c r="N44" s="401">
        <f>IF('2021'!L44=0,0,IF('2020'!L44=0,0,'2021'!L44/'2020'!L44-1))</f>
        <v>0</v>
      </c>
      <c r="O44" s="289">
        <f>IF('2020'!N44="-",0,'2021'!N44-'2020'!N44)</f>
        <v>0</v>
      </c>
      <c r="P44" s="290">
        <f>IF('2021'!N44=0,0,IF('2020'!N44="-",0,'2021'!N44/'2020'!N44-1))</f>
        <v>0</v>
      </c>
      <c r="Q44" s="214"/>
      <c r="R44" s="215"/>
      <c r="S44" s="214"/>
      <c r="T44" s="215"/>
      <c r="U44" s="158">
        <f>'2021'!S44-'2020'!S44</f>
        <v>1</v>
      </c>
      <c r="V44" s="437">
        <f>IF('2021'!S44=0,0,IF('2020'!S44=0,0,'2021'!S44/'2020'!S44-1))</f>
        <v>0</v>
      </c>
      <c r="W44" s="158">
        <f>'2021'!U44-'2020'!U44</f>
        <v>1</v>
      </c>
      <c r="X44" s="439">
        <f>IF('2021'!U44=0,0,IF('2020'!U44=0,0,'2021'!U44/'2020'!U44-1))</f>
        <v>0</v>
      </c>
      <c r="Y44" s="123"/>
    </row>
    <row r="45" spans="2:25" ht="15" customHeight="1" x14ac:dyDescent="0.3">
      <c r="B45" s="471"/>
      <c r="C45" s="476"/>
      <c r="D45" s="525"/>
      <c r="E45" s="378" t="s">
        <v>35</v>
      </c>
      <c r="F45" s="373" t="s">
        <v>64</v>
      </c>
      <c r="G45" s="356">
        <f>'2021'!G45-'2020'!G45</f>
        <v>2</v>
      </c>
      <c r="H45" s="394">
        <f>IF('2021'!G45=0,0,IF('2020'!G45=0,0,'2021'!G45/'2020'!G45-1))</f>
        <v>0.15384615384615374</v>
      </c>
      <c r="I45" s="385">
        <f>'2021'!H45-'2020'!H45</f>
        <v>2</v>
      </c>
      <c r="J45" s="401">
        <f>IF(I45=0,0,'2021'!H45/'2020'!H45-1)</f>
        <v>0.15384615384615374</v>
      </c>
      <c r="K45" s="289">
        <f>'2021'!J45-'2020'!J45</f>
        <v>5.01</v>
      </c>
      <c r="L45" s="401">
        <f>IF('2021'!J45=0,0,IF('2020'!J45=0,0,'2021'!J45/'2020'!J45-1))</f>
        <v>1.6755852842809364</v>
      </c>
      <c r="M45" s="289">
        <f>'2021'!L45-'2020'!L45</f>
        <v>2.0499999999999998</v>
      </c>
      <c r="N45" s="401">
        <f>IF('2021'!L45=0,0,IF('2020'!L45=0,0,'2021'!L45/'2020'!L45-1))</f>
        <v>1.0512820512820515</v>
      </c>
      <c r="O45" s="289">
        <f>IF('2020'!N45="-",0,'2021'!N45-'2020'!N45)</f>
        <v>1.0249999999999999</v>
      </c>
      <c r="P45" s="290">
        <f>IF('2021'!N45=0,0,IF('2020'!N45="-",0,'2021'!N45/'2020'!N45-1))</f>
        <v>1.0512820512820515</v>
      </c>
      <c r="Q45" s="214"/>
      <c r="R45" s="215"/>
      <c r="S45" s="214"/>
      <c r="T45" s="215"/>
      <c r="U45" s="158">
        <f>'2021'!S45-'2020'!S45</f>
        <v>13</v>
      </c>
      <c r="V45" s="437">
        <f>IF('2021'!S45=0,0,IF('2020'!S45=0,0,'2021'!S45/'2020'!S45-1))</f>
        <v>0</v>
      </c>
      <c r="W45" s="158">
        <f>'2021'!U45-'2020'!U45</f>
        <v>2</v>
      </c>
      <c r="X45" s="439">
        <f>IF('2021'!U45=0,0,IF('2020'!U45=0,0,'2021'!U45/'2020'!U45-1))</f>
        <v>0</v>
      </c>
      <c r="Y45" s="123"/>
    </row>
    <row r="46" spans="2:25" ht="15.75" customHeight="1" x14ac:dyDescent="0.3">
      <c r="B46" s="471"/>
      <c r="C46" s="476"/>
      <c r="D46" s="525"/>
      <c r="E46" s="378" t="s">
        <v>154</v>
      </c>
      <c r="F46" s="373"/>
      <c r="G46" s="356">
        <f>'2021'!G46-'2020'!G46</f>
        <v>12</v>
      </c>
      <c r="H46" s="394">
        <f>IF('2021'!G46=0,0,IF('2020'!G46=0,0,'2021'!G46/'2020'!G46-1))</f>
        <v>0</v>
      </c>
      <c r="I46" s="385">
        <f>'2021'!H46-'2020'!H46</f>
        <v>12</v>
      </c>
      <c r="J46" s="401" t="e">
        <f>IF(I46=0,0,'2021'!H46/'2020'!H46-1)</f>
        <v>#DIV/0!</v>
      </c>
      <c r="K46" s="289">
        <f>'2021'!J46-'2020'!J46</f>
        <v>10</v>
      </c>
      <c r="L46" s="401">
        <f>IF('2021'!J46=0,0,IF('2020'!J46=0,0,'2021'!J46/'2020'!J46-1))</f>
        <v>0</v>
      </c>
      <c r="M46" s="289">
        <f>'2021'!L46-'2020'!L46</f>
        <v>7</v>
      </c>
      <c r="N46" s="401">
        <f>IF('2021'!L46=0,0,IF('2020'!L46=0,0,'2021'!L46/'2020'!L46-1))</f>
        <v>0</v>
      </c>
      <c r="O46" s="289">
        <f>IF('2020'!N46="-",0,'2021'!N46-'2020'!N46)</f>
        <v>7</v>
      </c>
      <c r="P46" s="290" t="e">
        <f>IF('2021'!N46=0,0,IF('2020'!N46="-",0,'2021'!N46/'2020'!N46-1))</f>
        <v>#DIV/0!</v>
      </c>
      <c r="Q46" s="214"/>
      <c r="R46" s="215"/>
      <c r="S46" s="214"/>
      <c r="T46" s="215"/>
      <c r="U46" s="158">
        <f>'2021'!S46-'2020'!S46</f>
        <v>12</v>
      </c>
      <c r="V46" s="437">
        <f>IF('2021'!S46=0,0,IF('2020'!S46=0,0,'2021'!S46/'2020'!S46-1))</f>
        <v>0</v>
      </c>
      <c r="W46" s="158">
        <f>'2021'!U46-'2020'!U46</f>
        <v>0</v>
      </c>
      <c r="X46" s="439">
        <f>IF('2021'!U46=0,0,IF('2020'!U46=0,0,'2021'!U46/'2020'!U46-1))</f>
        <v>0</v>
      </c>
      <c r="Y46" s="123"/>
    </row>
    <row r="47" spans="2:25" ht="15.75" customHeight="1" x14ac:dyDescent="0.3">
      <c r="B47" s="471"/>
      <c r="C47" s="476"/>
      <c r="D47" s="526"/>
      <c r="E47" s="379" t="s">
        <v>153</v>
      </c>
      <c r="F47" s="375"/>
      <c r="G47" s="359">
        <f>'2021'!G47-'2020'!G47</f>
        <v>14</v>
      </c>
      <c r="H47" s="395">
        <f>IF('2021'!G47=0,0,IF('2020'!G47=0,0,'2021'!G47/'2020'!G47-1))</f>
        <v>0</v>
      </c>
      <c r="I47" s="386">
        <f>'2021'!H47-'2020'!H47</f>
        <v>14</v>
      </c>
      <c r="J47" s="402" t="e">
        <f>IF(I47=0,0,'2021'!H47/'2020'!H47-1)</f>
        <v>#DIV/0!</v>
      </c>
      <c r="K47" s="291">
        <f>'2021'!J47-'2020'!J47</f>
        <v>14</v>
      </c>
      <c r="L47" s="402">
        <f>IF('2021'!J47=0,0,IF('2020'!J47=0,0,'2021'!J47/'2020'!J47-1))</f>
        <v>0</v>
      </c>
      <c r="M47" s="291">
        <f>'2021'!L47-'2020'!L47</f>
        <v>5</v>
      </c>
      <c r="N47" s="402">
        <f>IF('2021'!L47=0,0,IF('2020'!L47=0,0,'2021'!L47/'2020'!L47-1))</f>
        <v>0</v>
      </c>
      <c r="O47" s="291">
        <f>IF('2020'!N47="-",0,'2021'!N47-'2020'!N47)</f>
        <v>5</v>
      </c>
      <c r="P47" s="292" t="e">
        <f>IF('2021'!N47=0,0,IF('2020'!N47="-",0,'2021'!N47/'2020'!N47-1))</f>
        <v>#DIV/0!</v>
      </c>
      <c r="Q47" s="216"/>
      <c r="R47" s="217"/>
      <c r="S47" s="216"/>
      <c r="T47" s="217"/>
      <c r="U47" s="166">
        <f>'2021'!S47-'2020'!S47</f>
        <v>14</v>
      </c>
      <c r="V47" s="438">
        <f>IF('2021'!S47=0,0,IF('2020'!S47=0,0,'2021'!S47/'2020'!S47-1))</f>
        <v>0</v>
      </c>
      <c r="W47" s="166">
        <f>'2021'!U47-'2020'!U47</f>
        <v>0</v>
      </c>
      <c r="X47" s="440">
        <f>IF('2021'!U47=0,0,IF('2020'!U47=0,0,'2021'!U47/'2020'!U47-1))</f>
        <v>0</v>
      </c>
      <c r="Y47" s="123"/>
    </row>
    <row r="48" spans="2:25" ht="15.6" x14ac:dyDescent="0.3">
      <c r="B48" s="472"/>
      <c r="C48" s="477"/>
      <c r="D48" s="360" t="s">
        <v>144</v>
      </c>
      <c r="E48" s="423"/>
      <c r="F48" s="422"/>
      <c r="G48" s="363">
        <f>'2021'!G48-'2020'!G48</f>
        <v>78</v>
      </c>
      <c r="H48" s="396">
        <f>IF('2021'!G48=0,0,IF('2020'!G48=0,0,'2021'!G48/'2020'!G48-1))</f>
        <v>0.46706586826347296</v>
      </c>
      <c r="I48" s="387">
        <f>'2021'!H48-'2020'!H48</f>
        <v>78</v>
      </c>
      <c r="J48" s="403">
        <f>IF(I48=0,0,'2021'!H48/'2020'!H48-1)</f>
        <v>0.46706586826347296</v>
      </c>
      <c r="K48" s="296">
        <f>'2021'!J48-'2020'!J48</f>
        <v>61.790000000000006</v>
      </c>
      <c r="L48" s="403">
        <f>IF('2021'!J48=0,0,IF('2020'!J48=0,0,'2021'!J48/'2020'!J48-1))</f>
        <v>0.8215662810796438</v>
      </c>
      <c r="M48" s="296">
        <f>'2021'!L48-'2020'!L48</f>
        <v>34.409999999999989</v>
      </c>
      <c r="N48" s="403">
        <f>IF('2021'!L48=0,0,IF('2020'!L48=0,0,'2021'!L48/'2020'!L48-1))</f>
        <v>0.54976833359961619</v>
      </c>
      <c r="O48" s="296">
        <f>IF('2020'!N48="-",0,'2021'!N48-'2020'!N48)</f>
        <v>32.099799999999995</v>
      </c>
      <c r="P48" s="297">
        <f>IF('2021'!N48=0,0,IF('2020'!N48="-",0,'2021'!N48/'2020'!N48-1))</f>
        <v>0.91975977215030258</v>
      </c>
      <c r="Q48" s="218"/>
      <c r="R48" s="219"/>
      <c r="S48" s="218"/>
      <c r="T48" s="219"/>
      <c r="U48" s="170">
        <f>SUM(U40:U47)</f>
        <v>235</v>
      </c>
      <c r="V48" s="441">
        <f>IF('2021'!S48=0,0,IF('2020'!S48=0,0,'2021'!S48/'2020'!S48-1))</f>
        <v>0</v>
      </c>
      <c r="W48" s="170">
        <f>SUM(W40:W47)</f>
        <v>10</v>
      </c>
      <c r="X48" s="442">
        <f>IF('2021'!U48=0,0,IF('2020'!U48=0,0,'2021'!U48/'2020'!U48-1))</f>
        <v>0</v>
      </c>
      <c r="Y48" s="123"/>
    </row>
    <row r="49" spans="2:25" ht="15" customHeight="1" x14ac:dyDescent="0.3">
      <c r="B49" s="470" t="s">
        <v>87</v>
      </c>
      <c r="C49" s="465" t="s">
        <v>78</v>
      </c>
      <c r="D49" s="527">
        <v>14</v>
      </c>
      <c r="E49" s="351" t="s">
        <v>38</v>
      </c>
      <c r="F49" s="352" t="s">
        <v>62</v>
      </c>
      <c r="G49" s="353" t="e">
        <f>'2021'!#REF!-'2020'!G49</f>
        <v>#REF!</v>
      </c>
      <c r="H49" s="393" t="e">
        <f>IF('2021'!#REF!=0,0,IF('2020'!G49=0,0,'2021'!#REF!/'2020'!G49-1))</f>
        <v>#REF!</v>
      </c>
      <c r="I49" s="384" t="e">
        <f>'2021'!#REF!-'2020'!H49</f>
        <v>#REF!</v>
      </c>
      <c r="J49" s="400" t="e">
        <f>IF(I49=0,0,'2021'!#REF!/'2020'!H49-1)</f>
        <v>#REF!</v>
      </c>
      <c r="K49" s="287" t="e">
        <f>'2021'!#REF!-'2020'!J49</f>
        <v>#REF!</v>
      </c>
      <c r="L49" s="400" t="e">
        <f>IF('2021'!#REF!=0,0,IF('2020'!J49=0,0,'2021'!#REF!/'2020'!J49-1))</f>
        <v>#REF!</v>
      </c>
      <c r="M49" s="287" t="e">
        <f>'2021'!#REF!-'2020'!L49</f>
        <v>#REF!</v>
      </c>
      <c r="N49" s="400" t="e">
        <f>IF('2021'!#REF!=0,0,IF('2020'!L49=0,0,'2021'!#REF!/'2020'!L49-1))</f>
        <v>#REF!</v>
      </c>
      <c r="O49" s="287">
        <f>IF('2020'!N49="-",0,'2021'!#REF!-'2020'!N49)</f>
        <v>0</v>
      </c>
      <c r="P49" s="288" t="e">
        <f>IF('2021'!#REF!=0,0,IF('2020'!N49="-",0,'2021'!#REF!/'2020'!N49-1))</f>
        <v>#REF!</v>
      </c>
      <c r="Q49" s="212">
        <v>27</v>
      </c>
      <c r="R49" s="213">
        <v>8</v>
      </c>
      <c r="S49" s="212">
        <v>33</v>
      </c>
      <c r="T49" s="213">
        <v>14</v>
      </c>
      <c r="U49" s="151" t="e">
        <f>'2021'!#REF!-'2020'!S49</f>
        <v>#REF!</v>
      </c>
      <c r="V49" s="435" t="e">
        <f>IF('2021'!#REF!=0,0,IF('2020'!S49=0,0,'2021'!#REF!/'2020'!S49-1))</f>
        <v>#REF!</v>
      </c>
      <c r="W49" s="151" t="e">
        <f>'2021'!#REF!-'2020'!U49</f>
        <v>#REF!</v>
      </c>
      <c r="X49" s="436" t="e">
        <f>IF('2021'!#REF!=0,0,IF('2020'!U49=0,0,'2021'!#REF!/'2020'!U49-1))</f>
        <v>#REF!</v>
      </c>
      <c r="Y49" s="123"/>
    </row>
    <row r="50" spans="2:25" ht="15" customHeight="1" x14ac:dyDescent="0.3">
      <c r="B50" s="471"/>
      <c r="C50" s="466"/>
      <c r="D50" s="528"/>
      <c r="E50" s="354" t="s">
        <v>39</v>
      </c>
      <c r="F50" s="355" t="s">
        <v>64</v>
      </c>
      <c r="G50" s="356" t="e">
        <f>'2021'!#REF!-'2020'!G50</f>
        <v>#REF!</v>
      </c>
      <c r="H50" s="394" t="e">
        <f>IF('2021'!#REF!=0,0,IF('2020'!G50=0,0,'2021'!#REF!/'2020'!G50-1))</f>
        <v>#REF!</v>
      </c>
      <c r="I50" s="385" t="e">
        <f>'2021'!#REF!-'2020'!H50</f>
        <v>#REF!</v>
      </c>
      <c r="J50" s="401" t="e">
        <f>IF(I50=0,0,'2021'!#REF!/'2020'!H50-1)</f>
        <v>#REF!</v>
      </c>
      <c r="K50" s="289" t="e">
        <f>'2021'!#REF!-'2020'!J50</f>
        <v>#REF!</v>
      </c>
      <c r="L50" s="401" t="e">
        <f>IF('2021'!#REF!=0,0,IF('2020'!J50=0,0,'2021'!#REF!/'2020'!J50-1))</f>
        <v>#REF!</v>
      </c>
      <c r="M50" s="289" t="e">
        <f>'2021'!#REF!-'2020'!L50</f>
        <v>#REF!</v>
      </c>
      <c r="N50" s="401" t="e">
        <f>IF('2021'!#REF!=0,0,IF('2020'!L50=0,0,'2021'!#REF!/'2020'!L50-1))</f>
        <v>#REF!</v>
      </c>
      <c r="O50" s="289">
        <f>IF('2020'!N50="-",0,'2021'!#REF!-'2020'!N50)</f>
        <v>0</v>
      </c>
      <c r="P50" s="290" t="e">
        <f>IF('2021'!#REF!=0,0,IF('2020'!N50="-",0,'2021'!#REF!/'2020'!N50-1))</f>
        <v>#REF!</v>
      </c>
      <c r="Q50" s="214">
        <v>7</v>
      </c>
      <c r="R50" s="215">
        <v>5</v>
      </c>
      <c r="S50" s="214">
        <v>4</v>
      </c>
      <c r="T50" s="215">
        <v>1</v>
      </c>
      <c r="U50" s="158" t="e">
        <f>'2021'!#REF!-'2020'!S50</f>
        <v>#REF!</v>
      </c>
      <c r="V50" s="437" t="e">
        <f>IF('2021'!#REF!=0,0,IF('2020'!S50=0,0,'2021'!#REF!/'2020'!S50-1))</f>
        <v>#REF!</v>
      </c>
      <c r="W50" s="158" t="e">
        <f>'2021'!#REF!-'2020'!U50</f>
        <v>#REF!</v>
      </c>
      <c r="X50" s="439" t="e">
        <f>IF('2021'!#REF!=0,0,IF('2020'!U50=0,0,'2021'!#REF!/'2020'!U50-1))</f>
        <v>#REF!</v>
      </c>
      <c r="Y50" s="123"/>
    </row>
    <row r="51" spans="2:25" ht="15" customHeight="1" x14ac:dyDescent="0.3">
      <c r="B51" s="471"/>
      <c r="C51" s="466"/>
      <c r="D51" s="529"/>
      <c r="E51" s="357" t="s">
        <v>40</v>
      </c>
      <c r="F51" s="358" t="s">
        <v>64</v>
      </c>
      <c r="G51" s="359" t="e">
        <f>'2021'!#REF!-'2020'!G51</f>
        <v>#REF!</v>
      </c>
      <c r="H51" s="395" t="e">
        <f>IF('2021'!#REF!=0,0,IF('2020'!G51=0,0,'2021'!#REF!/'2020'!G51-1))</f>
        <v>#REF!</v>
      </c>
      <c r="I51" s="386" t="e">
        <f>'2021'!#REF!-'2020'!H51</f>
        <v>#REF!</v>
      </c>
      <c r="J51" s="402" t="e">
        <f>IF(I51=0,0,'2021'!#REF!/'2020'!H51-1)</f>
        <v>#REF!</v>
      </c>
      <c r="K51" s="291" t="e">
        <f>'2021'!#REF!-'2020'!J51</f>
        <v>#REF!</v>
      </c>
      <c r="L51" s="402" t="e">
        <f>IF('2021'!#REF!=0,0,IF('2020'!J51=0,0,'2021'!#REF!/'2020'!J51-1))</f>
        <v>#REF!</v>
      </c>
      <c r="M51" s="291" t="e">
        <f>'2021'!#REF!-'2020'!L51</f>
        <v>#REF!</v>
      </c>
      <c r="N51" s="402" t="e">
        <f>IF('2021'!#REF!=0,0,IF('2020'!L51=0,0,'2021'!#REF!/'2020'!L51-1))</f>
        <v>#REF!</v>
      </c>
      <c r="O51" s="291">
        <f>IF('2020'!N51="-",0,'2021'!#REF!-'2020'!N51)</f>
        <v>0</v>
      </c>
      <c r="P51" s="292" t="e">
        <f>IF('2021'!#REF!=0,0,IF('2020'!N51="-",0,'2021'!#REF!/'2020'!N51-1))</f>
        <v>#REF!</v>
      </c>
      <c r="Q51" s="216">
        <v>7</v>
      </c>
      <c r="R51" s="217">
        <v>3</v>
      </c>
      <c r="S51" s="216">
        <v>33</v>
      </c>
      <c r="T51" s="217">
        <v>14</v>
      </c>
      <c r="U51" s="166" t="e">
        <f>'2021'!#REF!-'2020'!S51</f>
        <v>#REF!</v>
      </c>
      <c r="V51" s="438" t="e">
        <f>IF('2021'!#REF!=0,0,IF('2020'!S51=0,0,'2021'!#REF!/'2020'!S51-1))</f>
        <v>#REF!</v>
      </c>
      <c r="W51" s="166" t="e">
        <f>'2021'!#REF!-'2020'!U51</f>
        <v>#REF!</v>
      </c>
      <c r="X51" s="440" t="e">
        <f>IF('2021'!#REF!=0,0,IF('2020'!U51=0,0,'2021'!#REF!/'2020'!U51-1))</f>
        <v>#REF!</v>
      </c>
      <c r="Y51" s="123"/>
    </row>
    <row r="52" spans="2:25" ht="15.6" x14ac:dyDescent="0.3">
      <c r="B52" s="472"/>
      <c r="C52" s="467"/>
      <c r="D52" s="380" t="s">
        <v>144</v>
      </c>
      <c r="E52" s="361"/>
      <c r="F52" s="362"/>
      <c r="G52" s="363" t="e">
        <f>'2021'!#REF!-'2020'!G52</f>
        <v>#REF!</v>
      </c>
      <c r="H52" s="396" t="e">
        <f>IF('2021'!#REF!=0,0,IF('2020'!G52=0,0,'2021'!#REF!/'2020'!G52-1))</f>
        <v>#REF!</v>
      </c>
      <c r="I52" s="387" t="e">
        <f>'2021'!#REF!-'2020'!H52</f>
        <v>#REF!</v>
      </c>
      <c r="J52" s="403" t="e">
        <f>IF(I52=0,0,'2021'!#REF!/'2020'!H52-1)</f>
        <v>#REF!</v>
      </c>
      <c r="K52" s="296" t="e">
        <f>'2021'!#REF!-'2020'!J52</f>
        <v>#REF!</v>
      </c>
      <c r="L52" s="403" t="e">
        <f>IF('2021'!#REF!=0,0,IF('2020'!J52=0,0,'2021'!#REF!/'2020'!J52-1))</f>
        <v>#REF!</v>
      </c>
      <c r="M52" s="296" t="e">
        <f>'2021'!#REF!-'2020'!L52</f>
        <v>#REF!</v>
      </c>
      <c r="N52" s="403" t="e">
        <f>IF('2021'!#REF!=0,0,IF('2020'!L52=0,0,'2021'!#REF!/'2020'!L52-1))</f>
        <v>#REF!</v>
      </c>
      <c r="O52" s="296" t="e">
        <f>IF('2020'!N52="-",0,'2021'!#REF!-'2020'!N52)</f>
        <v>#REF!</v>
      </c>
      <c r="P52" s="297" t="e">
        <f>IF('2021'!#REF!=0,0,IF('2020'!N52="-",0,'2021'!#REF!/'2020'!N52-1))</f>
        <v>#REF!</v>
      </c>
      <c r="Q52" s="218" t="e">
        <f>IF('2020'!O52="-",0,'2021'!#REF!-'2020'!O52)</f>
        <v>#REF!</v>
      </c>
      <c r="R52" s="219" t="e">
        <f>IF('2020'!P52="-",0,'2021'!#REF!-'2020'!P52)</f>
        <v>#REF!</v>
      </c>
      <c r="S52" s="218" t="e">
        <f>IF('2020'!Q52="-",0,'2021'!#REF!-'2020'!Q52)</f>
        <v>#REF!</v>
      </c>
      <c r="T52" s="219" t="e">
        <f>IF('2020'!R52="-",0,'2021'!#REF!-'2020'!R52)</f>
        <v>#REF!</v>
      </c>
      <c r="U52" s="170" t="e">
        <f>SUM(U49:U51)</f>
        <v>#REF!</v>
      </c>
      <c r="V52" s="441" t="e">
        <f>IF('2021'!#REF!=0,0,IF('2020'!S52=0,0,'2021'!#REF!/'2020'!S52-1))</f>
        <v>#REF!</v>
      </c>
      <c r="W52" s="170" t="e">
        <f>SUM(W49:W51)</f>
        <v>#REF!</v>
      </c>
      <c r="X52" s="442" t="e">
        <f>IF('2021'!#REF!=0,0,IF('2020'!U52=0,0,'2021'!#REF!/'2020'!U52-1))</f>
        <v>#REF!</v>
      </c>
      <c r="Y52" s="123"/>
    </row>
    <row r="53" spans="2:25" ht="15.6" x14ac:dyDescent="0.3">
      <c r="B53" s="7" t="s">
        <v>74</v>
      </c>
      <c r="C53" s="76" t="s">
        <v>78</v>
      </c>
      <c r="D53" s="380">
        <v>2</v>
      </c>
      <c r="E53" s="361" t="s">
        <v>37</v>
      </c>
      <c r="F53" s="362" t="s">
        <v>64</v>
      </c>
      <c r="G53" s="363" t="e">
        <f>'2021'!#REF!-'2020'!G53</f>
        <v>#REF!</v>
      </c>
      <c r="H53" s="396" t="e">
        <f>IF('2021'!#REF!=0,0,IF('2020'!G53=0,0,'2021'!#REF!/'2020'!G53-1))</f>
        <v>#REF!</v>
      </c>
      <c r="I53" s="387" t="e">
        <f>'2021'!#REF!-'2020'!H53</f>
        <v>#REF!</v>
      </c>
      <c r="J53" s="403" t="e">
        <f>IF(I53=0,0,'2021'!#REF!/'2020'!H53-1)</f>
        <v>#REF!</v>
      </c>
      <c r="K53" s="296" t="e">
        <f>'2021'!#REF!-'2020'!J53</f>
        <v>#REF!</v>
      </c>
      <c r="L53" s="403" t="e">
        <f>IF('2021'!#REF!=0,0,IF('2020'!J53=0,0,'2021'!#REF!/'2020'!J53-1))</f>
        <v>#REF!</v>
      </c>
      <c r="M53" s="296" t="e">
        <f>'2021'!#REF!-'2020'!L53</f>
        <v>#REF!</v>
      </c>
      <c r="N53" s="403" t="e">
        <f>IF('2021'!#REF!=0,0,IF('2020'!L53=0,0,'2021'!#REF!/'2020'!L53-1))</f>
        <v>#REF!</v>
      </c>
      <c r="O53" s="296" t="e">
        <f>IF('2020'!N53="-",0,'2021'!#REF!-'2020'!N53)</f>
        <v>#REF!</v>
      </c>
      <c r="P53" s="297" t="e">
        <f>IF('2021'!#REF!=0,0,IF('2020'!N53="-",0,'2021'!#REF!/'2020'!N53-1))</f>
        <v>#REF!</v>
      </c>
      <c r="Q53" s="218">
        <v>1</v>
      </c>
      <c r="R53" s="219">
        <v>0</v>
      </c>
      <c r="S53" s="218">
        <v>7</v>
      </c>
      <c r="T53" s="219">
        <v>5</v>
      </c>
      <c r="U53" s="170" t="e">
        <f>'2021'!#REF!-'2020'!S53</f>
        <v>#REF!</v>
      </c>
      <c r="V53" s="441" t="e">
        <f>IF('2021'!#REF!=0,0,IF('2020'!S53=0,0,'2021'!#REF!/'2020'!S53-1))</f>
        <v>#REF!</v>
      </c>
      <c r="W53" s="170" t="e">
        <f>'2021'!#REF!-'2020'!U53</f>
        <v>#REF!</v>
      </c>
      <c r="X53" s="442" t="e">
        <f>IF('2021'!#REF!=0,0,IF('2020'!U53=0,0,'2021'!#REF!/'2020'!U53-1))</f>
        <v>#REF!</v>
      </c>
      <c r="Y53" s="123"/>
    </row>
    <row r="54" spans="2:25" ht="15.75" customHeight="1" thickBot="1" x14ac:dyDescent="0.35">
      <c r="B54" s="470" t="s">
        <v>3</v>
      </c>
      <c r="C54" s="468" t="s">
        <v>78</v>
      </c>
      <c r="D54" s="523">
        <v>14</v>
      </c>
      <c r="E54" s="351" t="s">
        <v>50</v>
      </c>
      <c r="F54" s="352" t="s">
        <v>63</v>
      </c>
      <c r="G54" s="353"/>
      <c r="H54" s="393"/>
      <c r="I54" s="384"/>
      <c r="J54" s="400"/>
      <c r="K54" s="287"/>
      <c r="L54" s="400"/>
      <c r="M54" s="287"/>
      <c r="N54" s="400"/>
      <c r="O54" s="287"/>
      <c r="P54" s="288"/>
      <c r="Q54" s="212"/>
      <c r="R54" s="213"/>
      <c r="S54" s="212"/>
      <c r="T54" s="213"/>
      <c r="U54" s="150"/>
      <c r="V54" s="147"/>
      <c r="W54" s="150"/>
      <c r="X54" s="173"/>
      <c r="Y54" s="123"/>
    </row>
    <row r="55" spans="2:25" ht="15.75" customHeight="1" thickBot="1" x14ac:dyDescent="0.35">
      <c r="B55" s="471"/>
      <c r="C55" s="469"/>
      <c r="D55" s="523"/>
      <c r="E55" s="354" t="s">
        <v>51</v>
      </c>
      <c r="F55" s="355" t="s">
        <v>63</v>
      </c>
      <c r="G55" s="356"/>
      <c r="H55" s="394"/>
      <c r="I55" s="385"/>
      <c r="J55" s="401"/>
      <c r="K55" s="289"/>
      <c r="L55" s="401"/>
      <c r="M55" s="289"/>
      <c r="N55" s="401"/>
      <c r="O55" s="289"/>
      <c r="P55" s="290"/>
      <c r="Q55" s="214"/>
      <c r="R55" s="215"/>
      <c r="S55" s="214"/>
      <c r="T55" s="215"/>
      <c r="U55" s="157"/>
      <c r="V55" s="154"/>
      <c r="W55" s="157"/>
      <c r="X55" s="161"/>
      <c r="Y55" s="123"/>
    </row>
    <row r="56" spans="2:25" ht="15.75" customHeight="1" thickBot="1" x14ac:dyDescent="0.35">
      <c r="B56" s="471"/>
      <c r="C56" s="469"/>
      <c r="D56" s="523"/>
      <c r="E56" s="354" t="s">
        <v>83</v>
      </c>
      <c r="F56" s="355" t="s">
        <v>63</v>
      </c>
      <c r="G56" s="356"/>
      <c r="H56" s="394"/>
      <c r="I56" s="385"/>
      <c r="J56" s="401"/>
      <c r="K56" s="289"/>
      <c r="L56" s="401"/>
      <c r="M56" s="289"/>
      <c r="N56" s="401"/>
      <c r="O56" s="289"/>
      <c r="P56" s="290"/>
      <c r="Q56" s="214"/>
      <c r="R56" s="215"/>
      <c r="S56" s="214"/>
      <c r="T56" s="215"/>
      <c r="U56" s="157"/>
      <c r="V56" s="154"/>
      <c r="W56" s="157"/>
      <c r="X56" s="161"/>
      <c r="Y56" s="123"/>
    </row>
    <row r="57" spans="2:25" ht="15.75" customHeight="1" thickBot="1" x14ac:dyDescent="0.35">
      <c r="B57" s="471"/>
      <c r="C57" s="469"/>
      <c r="D57" s="523"/>
      <c r="E57" s="354" t="s">
        <v>75</v>
      </c>
      <c r="F57" s="355" t="s">
        <v>63</v>
      </c>
      <c r="G57" s="356"/>
      <c r="H57" s="394"/>
      <c r="I57" s="385"/>
      <c r="J57" s="401"/>
      <c r="K57" s="289"/>
      <c r="L57" s="401"/>
      <c r="M57" s="289"/>
      <c r="N57" s="401"/>
      <c r="O57" s="289"/>
      <c r="P57" s="290"/>
      <c r="Q57" s="214"/>
      <c r="R57" s="215"/>
      <c r="S57" s="214"/>
      <c r="T57" s="215"/>
      <c r="U57" s="157"/>
      <c r="V57" s="154"/>
      <c r="W57" s="157"/>
      <c r="X57" s="161"/>
      <c r="Y57" s="123"/>
    </row>
    <row r="58" spans="2:25" ht="15.75" customHeight="1" thickBot="1" x14ac:dyDescent="0.35">
      <c r="B58" s="471"/>
      <c r="C58" s="469"/>
      <c r="D58" s="523"/>
      <c r="E58" s="354" t="s">
        <v>52</v>
      </c>
      <c r="F58" s="355" t="s">
        <v>63</v>
      </c>
      <c r="G58" s="356"/>
      <c r="H58" s="394"/>
      <c r="I58" s="385"/>
      <c r="J58" s="401"/>
      <c r="K58" s="289"/>
      <c r="L58" s="401"/>
      <c r="M58" s="289"/>
      <c r="N58" s="401"/>
      <c r="O58" s="289"/>
      <c r="P58" s="290"/>
      <c r="Q58" s="214"/>
      <c r="R58" s="215"/>
      <c r="S58" s="214"/>
      <c r="T58" s="215"/>
      <c r="U58" s="157"/>
      <c r="V58" s="154"/>
      <c r="W58" s="157"/>
      <c r="X58" s="161"/>
      <c r="Y58" s="123"/>
    </row>
    <row r="59" spans="2:25" ht="15.75" customHeight="1" thickBot="1" x14ac:dyDescent="0.35">
      <c r="B59" s="471"/>
      <c r="C59" s="469"/>
      <c r="D59" s="523"/>
      <c r="E59" s="354" t="s">
        <v>151</v>
      </c>
      <c r="F59" s="355"/>
      <c r="G59" s="356">
        <f>'2021'!G75-'2020'!G59</f>
        <v>159</v>
      </c>
      <c r="H59" s="394">
        <f>IF('2021'!G75=0,0,IF('2020'!G59=0,0,'2021'!G75/'2020'!G59-1))</f>
        <v>0</v>
      </c>
      <c r="I59" s="385">
        <f>'2021'!H75-'2020'!H59</f>
        <v>159</v>
      </c>
      <c r="J59" s="394">
        <f>IF('2021'!H75=0,0,IF('2020'!H59=0,0,'2021'!H75/'2020'!H59-1))</f>
        <v>0</v>
      </c>
      <c r="K59" s="289">
        <f>'2021'!J75-'2020'!J59</f>
        <v>55</v>
      </c>
      <c r="L59" s="401">
        <f>IF('2021'!J75=0,0,IF('2020'!J59=0,0,'2021'!J75/'2020'!J59-1))</f>
        <v>0</v>
      </c>
      <c r="M59" s="289">
        <f>'2021'!L75-'2020'!L59</f>
        <v>66</v>
      </c>
      <c r="N59" s="401">
        <f>IF('2021'!L75=0,0,IF('2020'!L59=0,0,'2021'!L75/'2020'!L59-1))</f>
        <v>0</v>
      </c>
      <c r="O59" s="289">
        <f>IF('2020'!N59="-",0,'2021'!N75-'2020'!N59)</f>
        <v>31</v>
      </c>
      <c r="P59" s="290">
        <f>IF('2021'!N75=0,0,IF('2020'!N59="",0,'2021'!N75/'2020'!N59-1))</f>
        <v>0</v>
      </c>
      <c r="Q59" s="214"/>
      <c r="R59" s="215"/>
      <c r="S59" s="214"/>
      <c r="T59" s="215"/>
      <c r="U59" s="157"/>
      <c r="V59" s="154"/>
      <c r="W59" s="157"/>
      <c r="X59" s="161"/>
      <c r="Y59" s="123"/>
    </row>
    <row r="60" spans="2:25" ht="15.75" customHeight="1" thickBot="1" x14ac:dyDescent="0.35">
      <c r="B60" s="471"/>
      <c r="C60" s="469"/>
      <c r="D60" s="523"/>
      <c r="E60" s="354" t="s">
        <v>150</v>
      </c>
      <c r="F60" s="355"/>
      <c r="G60" s="356">
        <f>'2021'!G76-'2020'!G60</f>
        <v>165</v>
      </c>
      <c r="H60" s="394">
        <f>IF('2021'!G76=0,0,IF('2020'!G60=0,0,'2021'!G76/'2020'!G60-1))</f>
        <v>0</v>
      </c>
      <c r="I60" s="385">
        <f>'2021'!H76-'2020'!H60</f>
        <v>165</v>
      </c>
      <c r="J60" s="394">
        <f>IF('2021'!H76=0,0,IF('2020'!H60=0,0,'2021'!H76/'2020'!H60-1))</f>
        <v>0</v>
      </c>
      <c r="K60" s="289">
        <f>'2021'!J76-'2020'!J60</f>
        <v>0</v>
      </c>
      <c r="L60" s="401">
        <f>IF('2021'!J76=0,0,IF('2020'!J60=0,0,'2021'!J76/'2020'!J60-1))</f>
        <v>0</v>
      </c>
      <c r="M60" s="289">
        <f>'2021'!L76-'2020'!L60</f>
        <v>0</v>
      </c>
      <c r="N60" s="401">
        <f>IF('2021'!L76=0,0,IF('2020'!L60=0,0,'2021'!L76/'2020'!L60-1))</f>
        <v>0</v>
      </c>
      <c r="O60" s="289">
        <f>IF('2020'!N60="-",0,'2021'!N76-'2020'!N60)</f>
        <v>0</v>
      </c>
      <c r="P60" s="290">
        <f>IF('2021'!N76=0,0,IF('2020'!N60="",0,'2021'!N76/'2020'!N60-1))</f>
        <v>0</v>
      </c>
      <c r="Q60" s="214"/>
      <c r="R60" s="215"/>
      <c r="S60" s="214"/>
      <c r="T60" s="215"/>
      <c r="U60" s="157"/>
      <c r="V60" s="154"/>
      <c r="W60" s="157"/>
      <c r="X60" s="161"/>
      <c r="Y60" s="123"/>
    </row>
    <row r="61" spans="2:25" ht="15.75" customHeight="1" thickBot="1" x14ac:dyDescent="0.35">
      <c r="B61" s="471"/>
      <c r="C61" s="469"/>
      <c r="D61" s="523"/>
      <c r="E61" s="354" t="s">
        <v>82</v>
      </c>
      <c r="F61" s="355" t="s">
        <v>63</v>
      </c>
      <c r="G61" s="356">
        <f>'2021'!G77-'2020'!G61</f>
        <v>122</v>
      </c>
      <c r="H61" s="394">
        <f>IF('2021'!G77=0,0,IF('2020'!G61=0,0,'2021'!G77/'2020'!G61-1))</f>
        <v>0.18740399385560669</v>
      </c>
      <c r="I61" s="385">
        <f>'2021'!H77-'2020'!H61</f>
        <v>122</v>
      </c>
      <c r="J61" s="401">
        <f>IF(I61=0,0,'2021'!H77/'2020'!H61-1)</f>
        <v>0.18740399385560669</v>
      </c>
      <c r="K61" s="289">
        <f>'2021'!J77-'2020'!J61</f>
        <v>41</v>
      </c>
      <c r="L61" s="401">
        <f>IF('2021'!J77=0,0,IF('2020'!J61=0,0,'2021'!J77/'2020'!J61-1))</f>
        <v>0.15589353612167289</v>
      </c>
      <c r="M61" s="289">
        <f>'2021'!L77-'2020'!L61</f>
        <v>83</v>
      </c>
      <c r="N61" s="401">
        <f>IF('2021'!L77=0,0,IF('2020'!L61=0,0,'2021'!L77/'2020'!L61-1))</f>
        <v>0.33200000000000007</v>
      </c>
      <c r="O61" s="289">
        <f>IF('2020'!N61="-",0,'2021'!N77-'2020'!N61)</f>
        <v>192</v>
      </c>
      <c r="P61" s="290">
        <f>IF('2021'!N77=0,0,IF('2020'!N61="",0,'2021'!N77/'2020'!N61-1))</f>
        <v>0</v>
      </c>
      <c r="Q61" s="214"/>
      <c r="R61" s="215"/>
      <c r="S61" s="214"/>
      <c r="T61" s="215"/>
      <c r="U61" s="157"/>
      <c r="V61" s="154"/>
      <c r="W61" s="157"/>
      <c r="X61" s="161"/>
      <c r="Y61" s="123"/>
    </row>
    <row r="62" spans="2:25" ht="15.75" customHeight="1" thickBot="1" x14ac:dyDescent="0.35">
      <c r="B62" s="471"/>
      <c r="C62" s="469"/>
      <c r="D62" s="523"/>
      <c r="E62" s="354" t="s">
        <v>53</v>
      </c>
      <c r="F62" s="355" t="s">
        <v>63</v>
      </c>
      <c r="G62" s="356">
        <f>'2021'!G78-'2020'!G62</f>
        <v>14</v>
      </c>
      <c r="H62" s="394">
        <f>IF('2021'!G78=0,0,IF('2020'!G62=0,0,'2021'!G78/'2020'!G62-1))</f>
        <v>2.2764227642276369E-2</v>
      </c>
      <c r="I62" s="385">
        <f>'2021'!H78-'2020'!H62</f>
        <v>14</v>
      </c>
      <c r="J62" s="401">
        <f>IF(I62=0,0,'2021'!H78/'2020'!H62-1)</f>
        <v>2.2764227642276369E-2</v>
      </c>
      <c r="K62" s="289">
        <f>'2021'!J78-'2020'!J62</f>
        <v>25</v>
      </c>
      <c r="L62" s="401">
        <f>IF('2021'!J78=0,0,IF('2020'!J62=0,0,'2021'!J78/'2020'!J62-1))</f>
        <v>9.2250922509225175E-2</v>
      </c>
      <c r="M62" s="289">
        <f>'2021'!L78-'2020'!L62</f>
        <v>70</v>
      </c>
      <c r="N62" s="401">
        <f>IF('2021'!L78=0,0,IF('2020'!L62=0,0,'2021'!L78/'2020'!L62-1))</f>
        <v>0.29045643153526979</v>
      </c>
      <c r="O62" s="289">
        <f>IF('2020'!N62="-",0,'2021'!N78-'2020'!N62)</f>
        <v>182</v>
      </c>
      <c r="P62" s="290">
        <f>IF('2021'!N78=0,0,IF('2020'!N62="",0,'2021'!N78/'2020'!N62-1))</f>
        <v>0</v>
      </c>
      <c r="Q62" s="214"/>
      <c r="R62" s="215"/>
      <c r="S62" s="214"/>
      <c r="T62" s="215"/>
      <c r="U62" s="157"/>
      <c r="V62" s="154"/>
      <c r="W62" s="157"/>
      <c r="X62" s="161"/>
      <c r="Y62" s="123"/>
    </row>
    <row r="63" spans="2:25" ht="15.75" customHeight="1" thickBot="1" x14ac:dyDescent="0.35">
      <c r="B63" s="471"/>
      <c r="C63" s="469"/>
      <c r="D63" s="523"/>
      <c r="E63" s="357" t="s">
        <v>54</v>
      </c>
      <c r="F63" s="358" t="s">
        <v>63</v>
      </c>
      <c r="G63" s="359"/>
      <c r="H63" s="395"/>
      <c r="I63" s="386"/>
      <c r="J63" s="402"/>
      <c r="K63" s="291"/>
      <c r="L63" s="402"/>
      <c r="M63" s="291"/>
      <c r="N63" s="402"/>
      <c r="O63" s="291"/>
      <c r="P63" s="292"/>
      <c r="Q63" s="216"/>
      <c r="R63" s="217"/>
      <c r="S63" s="216"/>
      <c r="T63" s="217"/>
      <c r="U63" s="165"/>
      <c r="V63" s="162"/>
      <c r="W63" s="165"/>
      <c r="X63" s="205"/>
      <c r="Y63" s="123"/>
    </row>
    <row r="64" spans="2:25" ht="16.2" thickBot="1" x14ac:dyDescent="0.35">
      <c r="B64" s="478"/>
      <c r="C64" s="469"/>
      <c r="D64" s="409" t="s">
        <v>144</v>
      </c>
      <c r="E64" s="410"/>
      <c r="F64" s="411"/>
      <c r="G64" s="367">
        <f>'2021'!G80-'2020'!G64</f>
        <v>-485</v>
      </c>
      <c r="H64" s="397">
        <f>IF('2021'!G80=0,0,IF('2020'!G64=0,0,'2021'!G80/'2020'!G64-1))</f>
        <v>-0.21935775667118951</v>
      </c>
      <c r="I64" s="388">
        <f>'2021'!H80-'2020'!H64</f>
        <v>-485</v>
      </c>
      <c r="J64" s="404">
        <f>IF(I64=0,0,'2021'!H80/'2020'!H64-1)</f>
        <v>-0.21935775667118951</v>
      </c>
      <c r="K64" s="293">
        <f>'2021'!J80-'2020'!J64</f>
        <v>-146</v>
      </c>
      <c r="L64" s="404">
        <f>IF('2021'!J80=0,0,IF('2020'!J64=0,0,'2021'!J80/'2020'!J64-1))</f>
        <v>-0.18227215980024969</v>
      </c>
      <c r="M64" s="293">
        <f>'2021'!L80-'2020'!L64</f>
        <v>-174</v>
      </c>
      <c r="N64" s="404">
        <f>IF('2021'!L80=0,0,IF('2020'!L64=0,0,'2021'!L80/'2020'!L64-1))</f>
        <v>-0.19683257918552033</v>
      </c>
      <c r="O64" s="293">
        <f>IF('2020'!N64="-",0,'2021'!N80-'2020'!N64)</f>
        <v>405</v>
      </c>
      <c r="P64" s="294">
        <f>IF('2021'!N80=0,0,IF('2020'!N64=0,0,'2021'!N80/'2020'!N64-1))</f>
        <v>0</v>
      </c>
      <c r="Q64" s="286"/>
      <c r="R64" s="298"/>
      <c r="S64" s="286"/>
      <c r="T64" s="298"/>
      <c r="U64" s="299"/>
      <c r="V64" s="300"/>
      <c r="W64" s="299"/>
      <c r="X64" s="301"/>
      <c r="Y64" s="123"/>
    </row>
    <row r="65" spans="1:25" s="54" customFormat="1" ht="21" customHeight="1" thickBot="1" x14ac:dyDescent="0.35">
      <c r="A65" s="127"/>
      <c r="B65" s="248" t="s">
        <v>79</v>
      </c>
      <c r="C65" s="251"/>
      <c r="D65" s="368">
        <f>SUM(D26:D63)</f>
        <v>83</v>
      </c>
      <c r="E65" s="381"/>
      <c r="F65" s="370">
        <f>COUNT(K26:K63)</f>
        <v>27</v>
      </c>
      <c r="G65" s="382" t="e">
        <f>G32+G39+G48+G52+G53+G64</f>
        <v>#REF!</v>
      </c>
      <c r="H65" s="446" t="e">
        <f>IF('2021'!G81=0,0,IF('2020'!G65=0,0,'2021'!G81/'2020'!G65-1))</f>
        <v>#REF!</v>
      </c>
      <c r="I65" s="390" t="e">
        <f>I32+I39+I48+I52+I53+I64</f>
        <v>#REF!</v>
      </c>
      <c r="J65" s="445" t="e">
        <f>IF(I65=0,0,'2021'!H81/'2020'!H65-1)</f>
        <v>#REF!</v>
      </c>
      <c r="K65" s="391" t="e">
        <f>K32+K39+K48+K52+K53+K64</f>
        <v>#REF!</v>
      </c>
      <c r="L65" s="445" t="e">
        <f>IF('2021'!J81=0,0,IF('2020'!J65=0,0,'2021'!J81/'2020'!J65-1))</f>
        <v>#REF!</v>
      </c>
      <c r="M65" s="391" t="e">
        <f>M32+M39+M48+M52+M53+M64</f>
        <v>#REF!</v>
      </c>
      <c r="N65" s="445" t="e">
        <f>IF('2021'!L81=0,0,IF('2020'!L65=0,0,'2021'!L81/'2020'!L65-1))</f>
        <v>#REF!</v>
      </c>
      <c r="O65" s="447" t="e">
        <f>O32+O39+O48+O52+O53+O64</f>
        <v>#REF!</v>
      </c>
      <c r="P65" s="448" t="e">
        <f>IF('2021'!N81=0,0,IF('2020'!N65="-",0,'2021'!N81/'2020'!N65-1))</f>
        <v>#REF!</v>
      </c>
      <c r="Q65" s="144"/>
      <c r="R65" s="145"/>
      <c r="S65" s="144"/>
      <c r="T65" s="145"/>
      <c r="U65" s="144"/>
      <c r="V65" s="145"/>
      <c r="W65" s="144"/>
      <c r="X65" s="146"/>
      <c r="Y65" s="124"/>
    </row>
    <row r="66" spans="1:25" s="54" customFormat="1" ht="21" customHeight="1" thickBot="1" x14ac:dyDescent="0.35">
      <c r="A66" s="127"/>
      <c r="B66" s="248" t="s">
        <v>68</v>
      </c>
      <c r="C66" s="249"/>
      <c r="D66" s="368">
        <f>D65+D25</f>
        <v>101</v>
      </c>
      <c r="E66" s="381"/>
      <c r="F66" s="370">
        <f>F65+F25</f>
        <v>45</v>
      </c>
      <c r="G66" s="382" t="e">
        <f>G25+G65</f>
        <v>#REF!</v>
      </c>
      <c r="H66" s="446" t="e">
        <f>IF('2021'!G82=0,0,IF('2020'!G66=0,0,'2021'!G82/'2020'!G66-1))</f>
        <v>#REF!</v>
      </c>
      <c r="I66" s="390" t="e">
        <f>I25+I65</f>
        <v>#REF!</v>
      </c>
      <c r="J66" s="445" t="e">
        <f>IF(I66=0,0,'2021'!H82/'2020'!H66-1)</f>
        <v>#REF!</v>
      </c>
      <c r="K66" s="391" t="e">
        <f>K25+K65</f>
        <v>#REF!</v>
      </c>
      <c r="L66" s="445" t="e">
        <f>IF('2021'!J82=0,0,IF('2020'!J66=0,0,'2021'!J82/'2020'!J66-1))</f>
        <v>#REF!</v>
      </c>
      <c r="M66" s="391" t="e">
        <f>M25+M65</f>
        <v>#REF!</v>
      </c>
      <c r="N66" s="445" t="e">
        <f>IF('2021'!L82=0,0,IF('2020'!L66=0,0,'2021'!L82/'2020'!L66-1))</f>
        <v>#REF!</v>
      </c>
      <c r="O66" s="447">
        <f>O5+O16+O17+O19+O21+O23+SUM(O33:O45)</f>
        <v>53.139799999999994</v>
      </c>
      <c r="P66" s="448">
        <f>IF('2021'!N82=0,0,IF('2020'!N66="-",0,'2021'!N82/'2020'!N66-1))</f>
        <v>0.27642063063348221</v>
      </c>
      <c r="Q66" s="144"/>
      <c r="R66" s="145"/>
      <c r="S66" s="144"/>
      <c r="T66" s="145"/>
      <c r="U66" s="144"/>
      <c r="V66" s="145"/>
      <c r="W66" s="144"/>
      <c r="X66" s="146"/>
      <c r="Y66" s="124"/>
    </row>
    <row r="67" spans="1:25" x14ac:dyDescent="0.3">
      <c r="B67" s="5"/>
      <c r="C67" s="36"/>
      <c r="D67" s="36"/>
      <c r="E67" s="5"/>
      <c r="F67" s="36"/>
      <c r="G67" s="175"/>
      <c r="H67" s="175"/>
      <c r="I67" s="175"/>
      <c r="J67" s="175"/>
      <c r="K67" s="176"/>
      <c r="L67" s="176"/>
      <c r="M67" s="176"/>
      <c r="O67" s="508" t="s">
        <v>70</v>
      </c>
      <c r="P67" s="508"/>
      <c r="Q67" s="175"/>
      <c r="R67" s="175"/>
      <c r="S67" s="175"/>
      <c r="T67" s="175"/>
      <c r="U67" s="175"/>
      <c r="V67" s="175"/>
      <c r="W67" s="175"/>
      <c r="X67" s="175"/>
    </row>
    <row r="68" spans="1:25" x14ac:dyDescent="0.3">
      <c r="E68" s="133" t="s">
        <v>69</v>
      </c>
      <c r="F68" s="134"/>
    </row>
    <row r="69" spans="1:25" x14ac:dyDescent="0.3">
      <c r="E69" s="1" t="s">
        <v>62</v>
      </c>
      <c r="F69" s="2">
        <f>COUNTIF(F$5:F$63,E69)</f>
        <v>22</v>
      </c>
    </row>
    <row r="70" spans="1:25" x14ac:dyDescent="0.3">
      <c r="E70" s="1" t="s">
        <v>63</v>
      </c>
      <c r="F70" s="2">
        <f>COUNTIF(F$5:F$63,E70)</f>
        <v>8</v>
      </c>
    </row>
    <row r="71" spans="1:25" x14ac:dyDescent="0.3">
      <c r="E71" s="1" t="s">
        <v>64</v>
      </c>
      <c r="F71" s="2">
        <f>COUNTIF(F$5:F$63,E71)</f>
        <v>17</v>
      </c>
    </row>
  </sheetData>
  <mergeCells count="39">
    <mergeCell ref="B6:B15"/>
    <mergeCell ref="C6:C15"/>
    <mergeCell ref="E2:E4"/>
    <mergeCell ref="F2:F4"/>
    <mergeCell ref="G2:J2"/>
    <mergeCell ref="G3:H3"/>
    <mergeCell ref="I3:J3"/>
    <mergeCell ref="B2:B4"/>
    <mergeCell ref="C2:C4"/>
    <mergeCell ref="Q2:R2"/>
    <mergeCell ref="S2:T2"/>
    <mergeCell ref="U2:V2"/>
    <mergeCell ref="W2:X2"/>
    <mergeCell ref="D6:D14"/>
    <mergeCell ref="D2:D4"/>
    <mergeCell ref="U3:V3"/>
    <mergeCell ref="W3:X3"/>
    <mergeCell ref="O2:P3"/>
    <mergeCell ref="K2:L3"/>
    <mergeCell ref="M2:N3"/>
    <mergeCell ref="D16:D23"/>
    <mergeCell ref="D26:D31"/>
    <mergeCell ref="B16:B24"/>
    <mergeCell ref="C16:C24"/>
    <mergeCell ref="B26:B32"/>
    <mergeCell ref="C26:C32"/>
    <mergeCell ref="O67:P67"/>
    <mergeCell ref="D33:D38"/>
    <mergeCell ref="B40:B48"/>
    <mergeCell ref="B33:B39"/>
    <mergeCell ref="C33:C39"/>
    <mergeCell ref="C40:C48"/>
    <mergeCell ref="D40:D47"/>
    <mergeCell ref="D49:D51"/>
    <mergeCell ref="D54:D63"/>
    <mergeCell ref="B54:B64"/>
    <mergeCell ref="B49:B52"/>
    <mergeCell ref="C49:C52"/>
    <mergeCell ref="C54:C64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H25 I25:N25 V39 G65 H66:L66 V48 V52:V53" formula="1"/>
    <ignoredError sqref="I64:O64 O65 P65" evalError="1"/>
    <ignoredError sqref="N65 L65 J65 H65 I65 K65 M65" evalError="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2020</vt:lpstr>
      <vt:lpstr>2021</vt:lpstr>
      <vt:lpstr>2021-2020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ROGUET</dc:creator>
  <cp:lastModifiedBy>Tor Bothner</cp:lastModifiedBy>
  <cp:lastPrinted>2020-06-24T07:16:41Z</cp:lastPrinted>
  <dcterms:created xsi:type="dcterms:W3CDTF">2020-06-23T06:39:08Z</dcterms:created>
  <dcterms:modified xsi:type="dcterms:W3CDTF">2021-06-21T15:01:34Z</dcterms:modified>
</cp:coreProperties>
</file>