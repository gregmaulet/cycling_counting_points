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eDrive\bothner@un.org\OneDrive - United Nations\_private\My documents\APiCy\Comptages\"/>
    </mc:Choice>
  </mc:AlternateContent>
  <xr:revisionPtr revIDLastSave="577" documentId="8_{A65E909C-9E5B-4534-BD25-48E7020A061C}" xr6:coauthVersionLast="44" xr6:coauthVersionMax="44" xr10:uidLastSave="{8FD2F359-E13A-41E6-A269-46596B14F96F}"/>
  <bookViews>
    <workbookView xWindow="828" yWindow="-108" windowWidth="22320" windowHeight="13176" xr2:uid="{23242222-5ABC-457C-A7A6-49E40A4504EB}"/>
  </bookViews>
  <sheets>
    <sheet name="APiCy total" sheetId="11" r:id="rId1"/>
    <sheet name="Ferney" sheetId="10" r:id="rId2"/>
    <sheet name="StGenis total" sheetId="7" r:id="rId3"/>
    <sheet name="StGenis-&gt;Meyrin" sheetId="2" r:id="rId4"/>
    <sheet name="StGenis-&gt;Bourdigny" sheetId="3" r:id="rId5"/>
    <sheet name="StGenis-&gt;CERN" sheetId="4" r:id="rId6"/>
    <sheet name="Crassy" sheetId="5" r:id="rId7"/>
    <sheet name="Mategnin Total" sheetId="9" r:id="rId8"/>
    <sheet name="MategninAnneaux" sheetId="8" r:id="rId9"/>
    <sheet name="MategninDouane" sheetId="6" r:id="rId10"/>
    <sheet name="Template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13" i="9" l="1"/>
  <c r="AM13" i="4"/>
  <c r="AV13" i="4" s="1"/>
  <c r="AM13" i="2"/>
  <c r="AM13" i="7"/>
  <c r="AV13" i="7" s="1"/>
  <c r="AM13" i="10"/>
  <c r="AM13" i="11"/>
  <c r="AV13" i="11" s="1"/>
  <c r="AN13" i="11"/>
  <c r="AL13" i="11"/>
  <c r="AK13" i="11"/>
  <c r="AT13" i="11" s="1"/>
  <c r="AJ13" i="11"/>
  <c r="AI13" i="11"/>
  <c r="AH13" i="11"/>
  <c r="AG13" i="11"/>
  <c r="AP13" i="11" s="1"/>
  <c r="AW13" i="11"/>
  <c r="AU13" i="11"/>
  <c r="AS13" i="11"/>
  <c r="AR13" i="11"/>
  <c r="AQ13" i="11"/>
  <c r="AN13" i="7"/>
  <c r="AL13" i="7"/>
  <c r="AU13" i="7" s="1"/>
  <c r="AK13" i="7"/>
  <c r="AT13" i="7" s="1"/>
  <c r="AJ13" i="7"/>
  <c r="AI13" i="7"/>
  <c r="AR13" i="7" s="1"/>
  <c r="AH13" i="7"/>
  <c r="AQ13" i="7" s="1"/>
  <c r="AG13" i="7"/>
  <c r="AP13" i="7" s="1"/>
  <c r="AN13" i="9"/>
  <c r="AL13" i="9"/>
  <c r="AK13" i="9"/>
  <c r="AJ13" i="9"/>
  <c r="AI13" i="9"/>
  <c r="AH13" i="9"/>
  <c r="AG13" i="9"/>
  <c r="AP13" i="9" s="1"/>
  <c r="AW13" i="6"/>
  <c r="AV13" i="6"/>
  <c r="AU13" i="6"/>
  <c r="AT13" i="6"/>
  <c r="AS13" i="6"/>
  <c r="AR13" i="6"/>
  <c r="AQ13" i="6"/>
  <c r="AP13" i="6"/>
  <c r="AW13" i="8"/>
  <c r="AV13" i="8"/>
  <c r="AU13" i="8"/>
  <c r="AT13" i="8"/>
  <c r="AS13" i="8"/>
  <c r="AR13" i="8"/>
  <c r="AQ13" i="8"/>
  <c r="AP13" i="8"/>
  <c r="AW13" i="4"/>
  <c r="AU13" i="4"/>
  <c r="AT13" i="4"/>
  <c r="AS13" i="4"/>
  <c r="AR13" i="4"/>
  <c r="AQ13" i="4"/>
  <c r="AP13" i="4"/>
  <c r="AW13" i="3"/>
  <c r="AV13" i="3"/>
  <c r="AU13" i="3"/>
  <c r="AT13" i="3"/>
  <c r="AS13" i="3"/>
  <c r="AR13" i="3"/>
  <c r="AQ13" i="3"/>
  <c r="AP13" i="3"/>
  <c r="AW13" i="2"/>
  <c r="AV13" i="2"/>
  <c r="AU13" i="2"/>
  <c r="AT13" i="2"/>
  <c r="AS13" i="2"/>
  <c r="AR13" i="2"/>
  <c r="AQ13" i="2"/>
  <c r="AP13" i="2"/>
  <c r="AW13" i="9"/>
  <c r="AV13" i="9"/>
  <c r="AU13" i="9"/>
  <c r="AT13" i="9"/>
  <c r="AS13" i="9"/>
  <c r="AR13" i="9"/>
  <c r="AQ13" i="9"/>
  <c r="AW13" i="7"/>
  <c r="AS13" i="7"/>
  <c r="AW13" i="10"/>
  <c r="AV13" i="10"/>
  <c r="AU13" i="10"/>
  <c r="AT13" i="10"/>
  <c r="AS13" i="10"/>
  <c r="AR13" i="10"/>
  <c r="AQ13" i="10"/>
  <c r="AP13" i="10"/>
  <c r="Q12" i="11" l="1"/>
  <c r="P12" i="11"/>
  <c r="O12" i="11"/>
  <c r="N12" i="11"/>
  <c r="M12" i="11"/>
  <c r="L12" i="11"/>
  <c r="K12" i="11"/>
  <c r="J12" i="11"/>
  <c r="AD12" i="11" s="1"/>
  <c r="I12" i="11"/>
  <c r="H12" i="11"/>
  <c r="G12" i="11"/>
  <c r="F12" i="11"/>
  <c r="E12" i="11"/>
  <c r="D12" i="11"/>
  <c r="C12" i="11"/>
  <c r="B12" i="11"/>
  <c r="AC12" i="11" s="1"/>
  <c r="Q11" i="11"/>
  <c r="P11" i="11"/>
  <c r="O11" i="11"/>
  <c r="N11" i="11"/>
  <c r="M11" i="11"/>
  <c r="L11" i="11"/>
  <c r="K11" i="11"/>
  <c r="J11" i="11"/>
  <c r="AD11" i="11" s="1"/>
  <c r="I11" i="11"/>
  <c r="H11" i="11"/>
  <c r="G11" i="11"/>
  <c r="F11" i="11"/>
  <c r="X11" i="11" s="1"/>
  <c r="E11" i="11"/>
  <c r="D11" i="11"/>
  <c r="C11" i="11"/>
  <c r="B11" i="11"/>
  <c r="AE11" i="11" s="1"/>
  <c r="Q10" i="11"/>
  <c r="P10" i="11"/>
  <c r="O10" i="11"/>
  <c r="N10" i="11"/>
  <c r="M10" i="11"/>
  <c r="L10" i="11"/>
  <c r="K10" i="11"/>
  <c r="J10" i="11"/>
  <c r="AD10" i="11" s="1"/>
  <c r="I10" i="11"/>
  <c r="H10" i="11"/>
  <c r="G10" i="11"/>
  <c r="F10" i="11"/>
  <c r="X10" i="11" s="1"/>
  <c r="E10" i="11"/>
  <c r="D10" i="11"/>
  <c r="C10" i="11"/>
  <c r="B10" i="11"/>
  <c r="AE10" i="11" s="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C9" i="11" s="1"/>
  <c r="Q8" i="11"/>
  <c r="P8" i="11"/>
  <c r="O8" i="11"/>
  <c r="N8" i="11"/>
  <c r="M8" i="11"/>
  <c r="L8" i="11"/>
  <c r="K8" i="11"/>
  <c r="J8" i="11"/>
  <c r="AD8" i="11" s="1"/>
  <c r="I8" i="11"/>
  <c r="H8" i="11"/>
  <c r="G8" i="11"/>
  <c r="F8" i="11"/>
  <c r="X8" i="11" s="1"/>
  <c r="E8" i="11"/>
  <c r="D8" i="11"/>
  <c r="C8" i="11"/>
  <c r="B8" i="11"/>
  <c r="AE8" i="11" s="1"/>
  <c r="Q7" i="11"/>
  <c r="P7" i="11"/>
  <c r="O7" i="11"/>
  <c r="N7" i="11"/>
  <c r="M7" i="11"/>
  <c r="L7" i="11"/>
  <c r="K7" i="11"/>
  <c r="J7" i="11"/>
  <c r="I7" i="11"/>
  <c r="H7" i="11"/>
  <c r="G7" i="11"/>
  <c r="F7" i="11"/>
  <c r="X7" i="11" s="1"/>
  <c r="E7" i="11"/>
  <c r="D7" i="11"/>
  <c r="C7" i="11"/>
  <c r="B7" i="11"/>
  <c r="AC7" i="11" s="1"/>
  <c r="Q6" i="11"/>
  <c r="P6" i="11"/>
  <c r="O6" i="11"/>
  <c r="N6" i="11"/>
  <c r="M6" i="11"/>
  <c r="L6" i="11"/>
  <c r="K6" i="11"/>
  <c r="J6" i="11"/>
  <c r="AD6" i="11" s="1"/>
  <c r="I6" i="11"/>
  <c r="H6" i="11"/>
  <c r="G6" i="11"/>
  <c r="F6" i="11"/>
  <c r="E6" i="11"/>
  <c r="D6" i="11"/>
  <c r="C6" i="11"/>
  <c r="B6" i="11"/>
  <c r="AC6" i="11" s="1"/>
  <c r="Q5" i="11"/>
  <c r="P5" i="11"/>
  <c r="O5" i="11"/>
  <c r="N5" i="11"/>
  <c r="M5" i="11"/>
  <c r="L5" i="11"/>
  <c r="K5" i="11"/>
  <c r="J5" i="11"/>
  <c r="AD5" i="11" s="1"/>
  <c r="I5" i="11"/>
  <c r="H5" i="11"/>
  <c r="G5" i="11"/>
  <c r="F5" i="11"/>
  <c r="X5" i="11" s="1"/>
  <c r="E5" i="11"/>
  <c r="D5" i="11"/>
  <c r="C5" i="11"/>
  <c r="B5" i="11"/>
  <c r="B13" i="11" s="1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Q14" i="10"/>
  <c r="P14" i="10"/>
  <c r="O14" i="10"/>
  <c r="N14" i="10"/>
  <c r="M14" i="10"/>
  <c r="L14" i="10"/>
  <c r="K14" i="10"/>
  <c r="J14" i="10"/>
  <c r="I14" i="10"/>
  <c r="H14" i="10"/>
  <c r="AB14" i="10" s="1"/>
  <c r="G14" i="10"/>
  <c r="F14" i="10"/>
  <c r="E14" i="10"/>
  <c r="D14" i="10"/>
  <c r="W14" i="10" s="1"/>
  <c r="C14" i="10"/>
  <c r="B14" i="10"/>
  <c r="Q13" i="10"/>
  <c r="P13" i="10"/>
  <c r="O13" i="10"/>
  <c r="N13" i="10"/>
  <c r="M13" i="10"/>
  <c r="L13" i="10"/>
  <c r="K13" i="10"/>
  <c r="J13" i="10"/>
  <c r="I13" i="10"/>
  <c r="H13" i="10"/>
  <c r="AB13" i="10" s="1"/>
  <c r="G13" i="10"/>
  <c r="F13" i="10"/>
  <c r="E13" i="10"/>
  <c r="D13" i="10"/>
  <c r="W13" i="10" s="1"/>
  <c r="C13" i="10"/>
  <c r="B13" i="10"/>
  <c r="AE12" i="10"/>
  <c r="AD12" i="10"/>
  <c r="AC12" i="10"/>
  <c r="AB12" i="10"/>
  <c r="X12" i="10"/>
  <c r="W12" i="10"/>
  <c r="V12" i="10"/>
  <c r="Y12" i="10" s="1"/>
  <c r="T12" i="10"/>
  <c r="U12" i="10" s="1"/>
  <c r="S12" i="10"/>
  <c r="AE11" i="10"/>
  <c r="AD11" i="10"/>
  <c r="AC11" i="10"/>
  <c r="AB11" i="10"/>
  <c r="X11" i="10"/>
  <c r="W11" i="10"/>
  <c r="V11" i="10"/>
  <c r="T11" i="10"/>
  <c r="S11" i="10"/>
  <c r="AE10" i="10"/>
  <c r="AD10" i="10"/>
  <c r="AC10" i="10"/>
  <c r="AB10" i="10"/>
  <c r="X10" i="10"/>
  <c r="W10" i="10"/>
  <c r="V10" i="10"/>
  <c r="T10" i="10"/>
  <c r="S10" i="10"/>
  <c r="AE9" i="10"/>
  <c r="AD9" i="10"/>
  <c r="AC9" i="10"/>
  <c r="AB9" i="10"/>
  <c r="Y9" i="10"/>
  <c r="Z9" i="10" s="1"/>
  <c r="X9" i="10"/>
  <c r="W9" i="10"/>
  <c r="V9" i="10"/>
  <c r="U9" i="10"/>
  <c r="T9" i="10"/>
  <c r="S9" i="10"/>
  <c r="AE8" i="10"/>
  <c r="AD8" i="10"/>
  <c r="AC8" i="10"/>
  <c r="AB8" i="10"/>
  <c r="X8" i="10"/>
  <c r="W8" i="10"/>
  <c r="V8" i="10"/>
  <c r="T8" i="10"/>
  <c r="U8" i="10" s="1"/>
  <c r="S8" i="10"/>
  <c r="AE7" i="10"/>
  <c r="AD7" i="10"/>
  <c r="AC7" i="10"/>
  <c r="AB7" i="10"/>
  <c r="X7" i="10"/>
  <c r="W7" i="10"/>
  <c r="V7" i="10"/>
  <c r="T7" i="10"/>
  <c r="U7" i="10" s="1"/>
  <c r="S7" i="10"/>
  <c r="AE6" i="10"/>
  <c r="AD6" i="10"/>
  <c r="AC6" i="10"/>
  <c r="AB6" i="10"/>
  <c r="X6" i="10"/>
  <c r="W6" i="10"/>
  <c r="V6" i="10"/>
  <c r="T6" i="10"/>
  <c r="U6" i="10" s="1"/>
  <c r="S6" i="10"/>
  <c r="AE5" i="10"/>
  <c r="AD5" i="10"/>
  <c r="AC5" i="10"/>
  <c r="AB5" i="10"/>
  <c r="Y5" i="10"/>
  <c r="AA5" i="10" s="1"/>
  <c r="X5" i="10"/>
  <c r="W5" i="10"/>
  <c r="V5" i="10"/>
  <c r="U5" i="10"/>
  <c r="T5" i="10"/>
  <c r="S5" i="10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AB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W14" i="11" s="1"/>
  <c r="C14" i="11"/>
  <c r="T14" i="11" s="1"/>
  <c r="B14" i="11"/>
  <c r="AE14" i="11" s="1"/>
  <c r="Q13" i="11"/>
  <c r="P13" i="11"/>
  <c r="O13" i="11"/>
  <c r="N13" i="11"/>
  <c r="M13" i="11"/>
  <c r="L13" i="11"/>
  <c r="K13" i="11"/>
  <c r="J13" i="11"/>
  <c r="I13" i="11"/>
  <c r="H13" i="11"/>
  <c r="AB13" i="11" s="1"/>
  <c r="G13" i="11"/>
  <c r="F13" i="11"/>
  <c r="X13" i="11" s="1"/>
  <c r="E13" i="11"/>
  <c r="D13" i="11"/>
  <c r="C13" i="11"/>
  <c r="T13" i="11" s="1"/>
  <c r="AE12" i="11"/>
  <c r="AB12" i="11"/>
  <c r="X12" i="11"/>
  <c r="W12" i="11"/>
  <c r="T12" i="11"/>
  <c r="S12" i="11"/>
  <c r="AB11" i="11"/>
  <c r="W11" i="11"/>
  <c r="T11" i="11"/>
  <c r="AC10" i="11"/>
  <c r="AB10" i="11"/>
  <c r="W10" i="11"/>
  <c r="V10" i="11"/>
  <c r="T10" i="11"/>
  <c r="AD9" i="11"/>
  <c r="AB9" i="11"/>
  <c r="X9" i="11"/>
  <c r="W9" i="11"/>
  <c r="T9" i="11"/>
  <c r="AC8" i="11"/>
  <c r="AB8" i="11"/>
  <c r="W8" i="11"/>
  <c r="V8" i="11"/>
  <c r="T8" i="11"/>
  <c r="AD7" i="11"/>
  <c r="AB7" i="11"/>
  <c r="W7" i="11"/>
  <c r="T7" i="11"/>
  <c r="AE6" i="11"/>
  <c r="AB6" i="11"/>
  <c r="X6" i="11"/>
  <c r="W6" i="11"/>
  <c r="T6" i="11"/>
  <c r="S6" i="11"/>
  <c r="AB5" i="11"/>
  <c r="W5" i="11"/>
  <c r="T5" i="11"/>
  <c r="AE7" i="11" l="1"/>
  <c r="V11" i="11"/>
  <c r="Y11" i="11" s="1"/>
  <c r="AA11" i="11" s="1"/>
  <c r="AC11" i="11"/>
  <c r="U12" i="11"/>
  <c r="X14" i="11"/>
  <c r="AD14" i="11"/>
  <c r="U6" i="11"/>
  <c r="S7" i="11"/>
  <c r="AE9" i="11"/>
  <c r="V6" i="11"/>
  <c r="Y6" i="11" s="1"/>
  <c r="U7" i="11"/>
  <c r="S8" i="11"/>
  <c r="V9" i="11"/>
  <c r="Y9" i="11" s="1"/>
  <c r="Z9" i="11" s="1"/>
  <c r="S10" i="11"/>
  <c r="U10" i="11" s="1"/>
  <c r="V12" i="11"/>
  <c r="Y12" i="11" s="1"/>
  <c r="AD13" i="11"/>
  <c r="Y8" i="11"/>
  <c r="V7" i="11"/>
  <c r="Y7" i="11" s="1"/>
  <c r="AA7" i="11" s="1"/>
  <c r="U8" i="11"/>
  <c r="S9" i="11"/>
  <c r="U9" i="11" s="1"/>
  <c r="S11" i="11"/>
  <c r="U11" i="11" s="1"/>
  <c r="AE13" i="11"/>
  <c r="V13" i="11"/>
  <c r="V5" i="11"/>
  <c r="Y5" i="11" s="1"/>
  <c r="AA5" i="11" s="1"/>
  <c r="AE5" i="11"/>
  <c r="AC13" i="11"/>
  <c r="B16" i="11"/>
  <c r="S5" i="11"/>
  <c r="U5" i="11" s="1"/>
  <c r="AC5" i="11"/>
  <c r="U11" i="10"/>
  <c r="U10" i="10"/>
  <c r="AC14" i="10"/>
  <c r="X14" i="10"/>
  <c r="Y8" i="10"/>
  <c r="AE14" i="10"/>
  <c r="AD14" i="10"/>
  <c r="AD13" i="10"/>
  <c r="V13" i="10"/>
  <c r="X13" i="10"/>
  <c r="AE13" i="10"/>
  <c r="T13" i="10"/>
  <c r="AA8" i="10"/>
  <c r="Z8" i="10"/>
  <c r="Z12" i="10"/>
  <c r="AA12" i="10"/>
  <c r="AC13" i="10"/>
  <c r="T14" i="10"/>
  <c r="Z5" i="10"/>
  <c r="Y10" i="10"/>
  <c r="Z10" i="10" s="1"/>
  <c r="Y7" i="10"/>
  <c r="AA7" i="10" s="1"/>
  <c r="AA9" i="10"/>
  <c r="Y11" i="10"/>
  <c r="AA11" i="10" s="1"/>
  <c r="S13" i="10"/>
  <c r="U13" i="10" s="1"/>
  <c r="V14" i="10"/>
  <c r="Y6" i="10"/>
  <c r="Z6" i="10" s="1"/>
  <c r="S14" i="10"/>
  <c r="AA8" i="11"/>
  <c r="Z8" i="11"/>
  <c r="AA12" i="11"/>
  <c r="Z12" i="11"/>
  <c r="AC14" i="11"/>
  <c r="AA9" i="11"/>
  <c r="S13" i="11"/>
  <c r="U13" i="11" s="1"/>
  <c r="W13" i="11"/>
  <c r="V14" i="11"/>
  <c r="Y14" i="11" s="1"/>
  <c r="AA14" i="11" s="1"/>
  <c r="Y10" i="11"/>
  <c r="Z10" i="11" s="1"/>
  <c r="S14" i="11"/>
  <c r="U14" i="11" s="1"/>
  <c r="Z6" i="11" l="1"/>
  <c r="AA6" i="11"/>
  <c r="Z14" i="11"/>
  <c r="Z5" i="11"/>
  <c r="Z11" i="10"/>
  <c r="Y14" i="10"/>
  <c r="Z14" i="10" s="1"/>
  <c r="Y13" i="10"/>
  <c r="Z13" i="10" s="1"/>
  <c r="U14" i="10"/>
  <c r="Z7" i="10"/>
  <c r="AA14" i="10"/>
  <c r="AA6" i="10"/>
  <c r="AA10" i="10"/>
  <c r="Z11" i="11"/>
  <c r="Y13" i="11"/>
  <c r="AA13" i="11" s="1"/>
  <c r="AA10" i="11"/>
  <c r="Z7" i="11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B13" i="9" s="1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Q14" i="9"/>
  <c r="P14" i="9"/>
  <c r="O14" i="9"/>
  <c r="N14" i="9"/>
  <c r="M14" i="9"/>
  <c r="L14" i="9"/>
  <c r="K14" i="9"/>
  <c r="J14" i="9"/>
  <c r="AD14" i="9" s="1"/>
  <c r="I14" i="9"/>
  <c r="H14" i="9"/>
  <c r="AB14" i="9" s="1"/>
  <c r="G14" i="9"/>
  <c r="F14" i="9"/>
  <c r="E14" i="9"/>
  <c r="D14" i="9"/>
  <c r="W14" i="9" s="1"/>
  <c r="C14" i="9"/>
  <c r="B14" i="9"/>
  <c r="AE14" i="9" s="1"/>
  <c r="Q13" i="9"/>
  <c r="P13" i="9"/>
  <c r="O13" i="9"/>
  <c r="N13" i="9"/>
  <c r="M13" i="9"/>
  <c r="L13" i="9"/>
  <c r="K13" i="9"/>
  <c r="J13" i="9"/>
  <c r="I13" i="9"/>
  <c r="H13" i="9"/>
  <c r="AB13" i="9" s="1"/>
  <c r="G13" i="9"/>
  <c r="F13" i="9"/>
  <c r="X13" i="9" s="1"/>
  <c r="E13" i="9"/>
  <c r="D13" i="9"/>
  <c r="C13" i="9"/>
  <c r="T13" i="9" s="1"/>
  <c r="AE12" i="9"/>
  <c r="AD12" i="9"/>
  <c r="AC12" i="9"/>
  <c r="AB12" i="9"/>
  <c r="X12" i="9"/>
  <c r="W12" i="9"/>
  <c r="V12" i="9"/>
  <c r="T12" i="9"/>
  <c r="S12" i="9"/>
  <c r="AE11" i="9"/>
  <c r="AD11" i="9"/>
  <c r="AC11" i="9"/>
  <c r="AB11" i="9"/>
  <c r="X11" i="9"/>
  <c r="W11" i="9"/>
  <c r="V11" i="9"/>
  <c r="T11" i="9"/>
  <c r="U11" i="9" s="1"/>
  <c r="S11" i="9"/>
  <c r="AE10" i="9"/>
  <c r="AD10" i="9"/>
  <c r="AC10" i="9"/>
  <c r="AB10" i="9"/>
  <c r="X10" i="9"/>
  <c r="W10" i="9"/>
  <c r="V10" i="9"/>
  <c r="T10" i="9"/>
  <c r="S10" i="9"/>
  <c r="AE9" i="9"/>
  <c r="AD9" i="9"/>
  <c r="AC9" i="9"/>
  <c r="AB9" i="9"/>
  <c r="X9" i="9"/>
  <c r="W9" i="9"/>
  <c r="V9" i="9"/>
  <c r="Y9" i="9" s="1"/>
  <c r="Z9" i="9" s="1"/>
  <c r="T9" i="9"/>
  <c r="U9" i="9" s="1"/>
  <c r="S9" i="9"/>
  <c r="AE8" i="9"/>
  <c r="AD8" i="9"/>
  <c r="AC8" i="9"/>
  <c r="AB8" i="9"/>
  <c r="X8" i="9"/>
  <c r="W8" i="9"/>
  <c r="V8" i="9"/>
  <c r="Y8" i="9" s="1"/>
  <c r="T8" i="9"/>
  <c r="U8" i="9" s="1"/>
  <c r="S8" i="9"/>
  <c r="AE7" i="9"/>
  <c r="AD7" i="9"/>
  <c r="AC7" i="9"/>
  <c r="AB7" i="9"/>
  <c r="X7" i="9"/>
  <c r="W7" i="9"/>
  <c r="V7" i="9"/>
  <c r="T7" i="9"/>
  <c r="S7" i="9"/>
  <c r="AE6" i="9"/>
  <c r="AD6" i="9"/>
  <c r="AC6" i="9"/>
  <c r="AB6" i="9"/>
  <c r="X6" i="9"/>
  <c r="W6" i="9"/>
  <c r="V6" i="9"/>
  <c r="T6" i="9"/>
  <c r="S6" i="9"/>
  <c r="AE5" i="9"/>
  <c r="AD5" i="9"/>
  <c r="AB5" i="9"/>
  <c r="X5" i="9"/>
  <c r="W5" i="9"/>
  <c r="V5" i="9"/>
  <c r="T5" i="9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E12" i="8"/>
  <c r="AD12" i="8"/>
  <c r="AC12" i="8"/>
  <c r="AB12" i="8"/>
  <c r="X12" i="8"/>
  <c r="W12" i="8"/>
  <c r="V12" i="8"/>
  <c r="T12" i="8"/>
  <c r="S12" i="8"/>
  <c r="AE11" i="8"/>
  <c r="AD11" i="8"/>
  <c r="AC11" i="8"/>
  <c r="AB11" i="8"/>
  <c r="X11" i="8"/>
  <c r="W11" i="8"/>
  <c r="V11" i="8"/>
  <c r="T11" i="8"/>
  <c r="S11" i="8"/>
  <c r="AE10" i="8"/>
  <c r="AD10" i="8"/>
  <c r="AC10" i="8"/>
  <c r="AB10" i="8"/>
  <c r="X10" i="8"/>
  <c r="W10" i="8"/>
  <c r="V10" i="8"/>
  <c r="T10" i="8"/>
  <c r="S10" i="8"/>
  <c r="AE9" i="8"/>
  <c r="AD9" i="8"/>
  <c r="AC9" i="8"/>
  <c r="AB9" i="8"/>
  <c r="X9" i="8"/>
  <c r="W9" i="8"/>
  <c r="V9" i="8"/>
  <c r="T9" i="8"/>
  <c r="S9" i="8"/>
  <c r="AE8" i="8"/>
  <c r="AD8" i="8"/>
  <c r="AC8" i="8"/>
  <c r="AB8" i="8"/>
  <c r="X8" i="8"/>
  <c r="W8" i="8"/>
  <c r="V8" i="8"/>
  <c r="T8" i="8"/>
  <c r="S8" i="8"/>
  <c r="AE7" i="8"/>
  <c r="AD7" i="8"/>
  <c r="AC7" i="8"/>
  <c r="AB7" i="8"/>
  <c r="X7" i="8"/>
  <c r="W7" i="8"/>
  <c r="V7" i="8"/>
  <c r="Y7" i="8" s="1"/>
  <c r="T7" i="8"/>
  <c r="S7" i="8"/>
  <c r="AE6" i="8"/>
  <c r="AD6" i="8"/>
  <c r="AC6" i="8"/>
  <c r="AB6" i="8"/>
  <c r="X6" i="8"/>
  <c r="W6" i="8"/>
  <c r="V6" i="8"/>
  <c r="T6" i="8"/>
  <c r="S6" i="8"/>
  <c r="AE5" i="8"/>
  <c r="AD5" i="8"/>
  <c r="AC5" i="8"/>
  <c r="AB5" i="8"/>
  <c r="X5" i="8"/>
  <c r="W5" i="8"/>
  <c r="V5" i="8"/>
  <c r="T5" i="8"/>
  <c r="S5" i="8"/>
  <c r="Q12" i="7"/>
  <c r="P12" i="7"/>
  <c r="O12" i="7"/>
  <c r="N12" i="7"/>
  <c r="M12" i="7"/>
  <c r="L12" i="7"/>
  <c r="K12" i="7"/>
  <c r="J12" i="7"/>
  <c r="AD12" i="7" s="1"/>
  <c r="I12" i="7"/>
  <c r="H12" i="7"/>
  <c r="G12" i="7"/>
  <c r="F12" i="7"/>
  <c r="X12" i="7" s="1"/>
  <c r="E12" i="7"/>
  <c r="D12" i="7"/>
  <c r="C12" i="7"/>
  <c r="B12" i="7"/>
  <c r="AE12" i="7" s="1"/>
  <c r="Q11" i="7"/>
  <c r="P11" i="7"/>
  <c r="O11" i="7"/>
  <c r="N11" i="7"/>
  <c r="M11" i="7"/>
  <c r="L11" i="7"/>
  <c r="K11" i="7"/>
  <c r="J11" i="7"/>
  <c r="I11" i="7"/>
  <c r="H11" i="7"/>
  <c r="G11" i="7"/>
  <c r="F11" i="7"/>
  <c r="X11" i="7" s="1"/>
  <c r="E11" i="7"/>
  <c r="D11" i="7"/>
  <c r="C11" i="7"/>
  <c r="B11" i="7"/>
  <c r="AC11" i="7" s="1"/>
  <c r="Q10" i="7"/>
  <c r="P10" i="7"/>
  <c r="O10" i="7"/>
  <c r="N10" i="7"/>
  <c r="M10" i="7"/>
  <c r="L10" i="7"/>
  <c r="K10" i="7"/>
  <c r="J10" i="7"/>
  <c r="AD10" i="7" s="1"/>
  <c r="I10" i="7"/>
  <c r="H10" i="7"/>
  <c r="G10" i="7"/>
  <c r="F10" i="7"/>
  <c r="E10" i="7"/>
  <c r="D10" i="7"/>
  <c r="C10" i="7"/>
  <c r="B10" i="7"/>
  <c r="AC10" i="7" s="1"/>
  <c r="Q9" i="7"/>
  <c r="P9" i="7"/>
  <c r="O9" i="7"/>
  <c r="N9" i="7"/>
  <c r="M9" i="7"/>
  <c r="L9" i="7"/>
  <c r="K9" i="7"/>
  <c r="J9" i="7"/>
  <c r="AD9" i="7" s="1"/>
  <c r="I9" i="7"/>
  <c r="H9" i="7"/>
  <c r="G9" i="7"/>
  <c r="F9" i="7"/>
  <c r="X9" i="7" s="1"/>
  <c r="E9" i="7"/>
  <c r="D9" i="7"/>
  <c r="C9" i="7"/>
  <c r="B9" i="7"/>
  <c r="AE9" i="7" s="1"/>
  <c r="Q8" i="7"/>
  <c r="P8" i="7"/>
  <c r="O8" i="7"/>
  <c r="N8" i="7"/>
  <c r="M8" i="7"/>
  <c r="L8" i="7"/>
  <c r="K8" i="7"/>
  <c r="J8" i="7"/>
  <c r="AD8" i="7" s="1"/>
  <c r="I8" i="7"/>
  <c r="H8" i="7"/>
  <c r="G8" i="7"/>
  <c r="F8" i="7"/>
  <c r="E8" i="7"/>
  <c r="D8" i="7"/>
  <c r="C8" i="7"/>
  <c r="B8" i="7"/>
  <c r="S8" i="7" s="1"/>
  <c r="Q7" i="7"/>
  <c r="P7" i="7"/>
  <c r="O7" i="7"/>
  <c r="N7" i="7"/>
  <c r="N14" i="7" s="1"/>
  <c r="M7" i="7"/>
  <c r="L7" i="7"/>
  <c r="K7" i="7"/>
  <c r="J7" i="7"/>
  <c r="J14" i="7" s="1"/>
  <c r="AD14" i="7" s="1"/>
  <c r="I7" i="7"/>
  <c r="H7" i="7"/>
  <c r="G7" i="7"/>
  <c r="F7" i="7"/>
  <c r="F14" i="7" s="1"/>
  <c r="E7" i="7"/>
  <c r="D7" i="7"/>
  <c r="C7" i="7"/>
  <c r="B7" i="7"/>
  <c r="B14" i="7" s="1"/>
  <c r="AE14" i="7" s="1"/>
  <c r="Q6" i="7"/>
  <c r="P6" i="7"/>
  <c r="O6" i="7"/>
  <c r="N6" i="7"/>
  <c r="M6" i="7"/>
  <c r="L6" i="7"/>
  <c r="K6" i="7"/>
  <c r="J6" i="7"/>
  <c r="I6" i="7"/>
  <c r="H6" i="7"/>
  <c r="G6" i="7"/>
  <c r="F6" i="7"/>
  <c r="X6" i="7" s="1"/>
  <c r="E6" i="7"/>
  <c r="D6" i="7"/>
  <c r="C6" i="7"/>
  <c r="B6" i="7"/>
  <c r="AC6" i="7" s="1"/>
  <c r="Q5" i="7"/>
  <c r="P5" i="7"/>
  <c r="O5" i="7"/>
  <c r="N5" i="7"/>
  <c r="N13" i="7" s="1"/>
  <c r="M5" i="7"/>
  <c r="L5" i="7"/>
  <c r="K5" i="7"/>
  <c r="J5" i="7"/>
  <c r="J13" i="7" s="1"/>
  <c r="AD13" i="7" s="1"/>
  <c r="I5" i="7"/>
  <c r="H5" i="7"/>
  <c r="G5" i="7"/>
  <c r="F5" i="7"/>
  <c r="F13" i="7" s="1"/>
  <c r="E5" i="7"/>
  <c r="D5" i="7"/>
  <c r="C5" i="7"/>
  <c r="B5" i="7"/>
  <c r="V5" i="7" s="1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B14" i="7"/>
  <c r="Q14" i="7"/>
  <c r="P14" i="7"/>
  <c r="O14" i="7"/>
  <c r="M14" i="7"/>
  <c r="L14" i="7"/>
  <c r="K14" i="7"/>
  <c r="I14" i="7"/>
  <c r="H14" i="7"/>
  <c r="G14" i="7"/>
  <c r="E14" i="7"/>
  <c r="D14" i="7"/>
  <c r="W14" i="7" s="1"/>
  <c r="C14" i="7"/>
  <c r="T14" i="7" s="1"/>
  <c r="Q13" i="7"/>
  <c r="P13" i="7"/>
  <c r="O13" i="7"/>
  <c r="M13" i="7"/>
  <c r="L13" i="7"/>
  <c r="K13" i="7"/>
  <c r="I13" i="7"/>
  <c r="H13" i="7"/>
  <c r="AB13" i="7" s="1"/>
  <c r="G13" i="7"/>
  <c r="E13" i="7"/>
  <c r="D13" i="7"/>
  <c r="W13" i="7" s="1"/>
  <c r="C13" i="7"/>
  <c r="T13" i="7" s="1"/>
  <c r="AB12" i="7"/>
  <c r="W12" i="7"/>
  <c r="T12" i="7"/>
  <c r="AD11" i="7"/>
  <c r="AB11" i="7"/>
  <c r="W11" i="7"/>
  <c r="T11" i="7"/>
  <c r="AE10" i="7"/>
  <c r="AB10" i="7"/>
  <c r="X10" i="7"/>
  <c r="W10" i="7"/>
  <c r="T10" i="7"/>
  <c r="S10" i="7"/>
  <c r="AB9" i="7"/>
  <c r="W9" i="7"/>
  <c r="V9" i="7"/>
  <c r="Y9" i="7" s="1"/>
  <c r="T9" i="7"/>
  <c r="AE8" i="7"/>
  <c r="AB8" i="7"/>
  <c r="X8" i="7"/>
  <c r="W8" i="7"/>
  <c r="T8" i="7"/>
  <c r="AC7" i="7"/>
  <c r="AB7" i="7"/>
  <c r="W7" i="7"/>
  <c r="V7" i="7"/>
  <c r="T7" i="7"/>
  <c r="AD6" i="7"/>
  <c r="AB6" i="7"/>
  <c r="W6" i="7"/>
  <c r="T6" i="7"/>
  <c r="AD5" i="7"/>
  <c r="AB5" i="7"/>
  <c r="W5" i="7"/>
  <c r="T5" i="7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B14" i="6"/>
  <c r="Q14" i="6"/>
  <c r="P14" i="6"/>
  <c r="O14" i="6"/>
  <c r="N14" i="6"/>
  <c r="M14" i="6"/>
  <c r="L14" i="6"/>
  <c r="W14" i="6" s="1"/>
  <c r="K14" i="6"/>
  <c r="J14" i="6"/>
  <c r="I14" i="6"/>
  <c r="H14" i="6"/>
  <c r="G14" i="6"/>
  <c r="X14" i="6" s="1"/>
  <c r="F14" i="6"/>
  <c r="E14" i="6"/>
  <c r="D14" i="6"/>
  <c r="C14" i="6"/>
  <c r="T14" i="6" s="1"/>
  <c r="B14" i="6"/>
  <c r="Q13" i="6"/>
  <c r="P13" i="6"/>
  <c r="O13" i="6"/>
  <c r="N13" i="6"/>
  <c r="M13" i="6"/>
  <c r="L13" i="6"/>
  <c r="K13" i="6"/>
  <c r="J13" i="6"/>
  <c r="I13" i="6"/>
  <c r="H13" i="6"/>
  <c r="AB13" i="6" s="1"/>
  <c r="G13" i="6"/>
  <c r="F13" i="6"/>
  <c r="E13" i="6"/>
  <c r="D13" i="6"/>
  <c r="W13" i="6" s="1"/>
  <c r="C13" i="6"/>
  <c r="T13" i="6" s="1"/>
  <c r="B13" i="6"/>
  <c r="AE12" i="6"/>
  <c r="AD12" i="6"/>
  <c r="AC12" i="6"/>
  <c r="AB12" i="6"/>
  <c r="X12" i="6"/>
  <c r="W12" i="6"/>
  <c r="V12" i="6"/>
  <c r="Y12" i="6" s="1"/>
  <c r="Z12" i="6" s="1"/>
  <c r="T12" i="6"/>
  <c r="U12" i="6" s="1"/>
  <c r="S12" i="6"/>
  <c r="AE11" i="6"/>
  <c r="AD11" i="6"/>
  <c r="AC11" i="6"/>
  <c r="AB11" i="6"/>
  <c r="X11" i="6"/>
  <c r="W11" i="6"/>
  <c r="Z11" i="6" s="1"/>
  <c r="V11" i="6"/>
  <c r="Y11" i="6" s="1"/>
  <c r="AA11" i="6" s="1"/>
  <c r="T11" i="6"/>
  <c r="S11" i="6"/>
  <c r="U11" i="6" s="1"/>
  <c r="AE10" i="6"/>
  <c r="AD10" i="6"/>
  <c r="AC10" i="6"/>
  <c r="AB10" i="6"/>
  <c r="X10" i="6"/>
  <c r="AA10" i="6" s="1"/>
  <c r="W10" i="6"/>
  <c r="Z10" i="6" s="1"/>
  <c r="V10" i="6"/>
  <c r="Y10" i="6" s="1"/>
  <c r="T10" i="6"/>
  <c r="U10" i="6" s="1"/>
  <c r="S10" i="6"/>
  <c r="AE9" i="6"/>
  <c r="AD9" i="6"/>
  <c r="AC9" i="6"/>
  <c r="AB9" i="6"/>
  <c r="Y9" i="6"/>
  <c r="X9" i="6"/>
  <c r="AA9" i="6" s="1"/>
  <c r="W9" i="6"/>
  <c r="Z9" i="6" s="1"/>
  <c r="V9" i="6"/>
  <c r="U9" i="6"/>
  <c r="T9" i="6"/>
  <c r="S9" i="6"/>
  <c r="AE8" i="6"/>
  <c r="AD8" i="6"/>
  <c r="AC8" i="6"/>
  <c r="AB8" i="6"/>
  <c r="X8" i="6"/>
  <c r="W8" i="6"/>
  <c r="V8" i="6"/>
  <c r="T8" i="6"/>
  <c r="S8" i="6"/>
  <c r="AE7" i="6"/>
  <c r="AD7" i="6"/>
  <c r="AC7" i="6"/>
  <c r="AB7" i="6"/>
  <c r="X7" i="6"/>
  <c r="W7" i="6"/>
  <c r="V7" i="6"/>
  <c r="T7" i="6"/>
  <c r="S7" i="6"/>
  <c r="AE6" i="6"/>
  <c r="AD6" i="6"/>
  <c r="AC6" i="6"/>
  <c r="AB6" i="6"/>
  <c r="X6" i="6"/>
  <c r="W6" i="6"/>
  <c r="V6" i="6"/>
  <c r="T6" i="6"/>
  <c r="S6" i="6"/>
  <c r="AE5" i="6"/>
  <c r="AD5" i="6"/>
  <c r="AC5" i="6"/>
  <c r="AB5" i="6"/>
  <c r="Y5" i="6"/>
  <c r="AA5" i="6" s="1"/>
  <c r="X5" i="6"/>
  <c r="W5" i="6"/>
  <c r="V5" i="6"/>
  <c r="T5" i="6"/>
  <c r="U5" i="6" s="1"/>
  <c r="S5" i="6"/>
  <c r="AB14" i="4"/>
  <c r="Q14" i="4"/>
  <c r="P14" i="4"/>
  <c r="O14" i="4"/>
  <c r="N14" i="4"/>
  <c r="M14" i="4"/>
  <c r="L14" i="4"/>
  <c r="K14" i="4"/>
  <c r="J14" i="4"/>
  <c r="AD14" i="4" s="1"/>
  <c r="I14" i="4"/>
  <c r="H14" i="4"/>
  <c r="G14" i="4"/>
  <c r="X14" i="4" s="1"/>
  <c r="F14" i="4"/>
  <c r="E14" i="4"/>
  <c r="D14" i="4"/>
  <c r="W14" i="4" s="1"/>
  <c r="C14" i="4"/>
  <c r="T14" i="4" s="1"/>
  <c r="B14" i="4"/>
  <c r="AE14" i="4" s="1"/>
  <c r="AB14" i="3"/>
  <c r="Q14" i="3"/>
  <c r="P14" i="3"/>
  <c r="O14" i="3"/>
  <c r="N14" i="3"/>
  <c r="M14" i="3"/>
  <c r="L14" i="3"/>
  <c r="K14" i="3"/>
  <c r="J14" i="3"/>
  <c r="AD14" i="3" s="1"/>
  <c r="I14" i="3"/>
  <c r="H14" i="3"/>
  <c r="G14" i="3"/>
  <c r="X14" i="3" s="1"/>
  <c r="F14" i="3"/>
  <c r="E14" i="3"/>
  <c r="D14" i="3"/>
  <c r="W14" i="3" s="1"/>
  <c r="C14" i="3"/>
  <c r="T14" i="3" s="1"/>
  <c r="B14" i="3"/>
  <c r="AE14" i="3" s="1"/>
  <c r="Q14" i="2"/>
  <c r="P14" i="2"/>
  <c r="O14" i="2"/>
  <c r="N14" i="2"/>
  <c r="M14" i="2"/>
  <c r="L14" i="2"/>
  <c r="K14" i="2"/>
  <c r="J14" i="2"/>
  <c r="AD14" i="2" s="1"/>
  <c r="I14" i="2"/>
  <c r="H14" i="2"/>
  <c r="AB14" i="2" s="1"/>
  <c r="G14" i="2"/>
  <c r="X14" i="2" s="1"/>
  <c r="F14" i="2"/>
  <c r="E14" i="2"/>
  <c r="D14" i="2"/>
  <c r="W14" i="2" s="1"/>
  <c r="C14" i="2"/>
  <c r="T14" i="2" s="1"/>
  <c r="B14" i="2"/>
  <c r="AE14" i="2" s="1"/>
  <c r="AB14" i="1"/>
  <c r="Q14" i="1"/>
  <c r="P14" i="1"/>
  <c r="O14" i="1"/>
  <c r="N14" i="1"/>
  <c r="M14" i="1"/>
  <c r="L14" i="1"/>
  <c r="K14" i="1"/>
  <c r="J14" i="1"/>
  <c r="AD14" i="1" s="1"/>
  <c r="I14" i="1"/>
  <c r="H14" i="1"/>
  <c r="G14" i="1"/>
  <c r="X14" i="1" s="1"/>
  <c r="F14" i="1"/>
  <c r="E14" i="1"/>
  <c r="D14" i="1"/>
  <c r="W14" i="1" s="1"/>
  <c r="C14" i="1"/>
  <c r="T14" i="1" s="1"/>
  <c r="B14" i="1"/>
  <c r="AE14" i="1" s="1"/>
  <c r="AE14" i="5"/>
  <c r="AD14" i="5"/>
  <c r="AC14" i="5"/>
  <c r="AB14" i="5"/>
  <c r="X14" i="5"/>
  <c r="W14" i="5"/>
  <c r="V14" i="5"/>
  <c r="Y14" i="5" s="1"/>
  <c r="T14" i="5"/>
  <c r="U14" i="5" s="1"/>
  <c r="S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Q13" i="5"/>
  <c r="AB13" i="5" s="1"/>
  <c r="P13" i="5"/>
  <c r="O13" i="5"/>
  <c r="N13" i="5"/>
  <c r="M13" i="5"/>
  <c r="L13" i="5"/>
  <c r="K13" i="5"/>
  <c r="J13" i="5"/>
  <c r="AD13" i="5" s="1"/>
  <c r="I13" i="5"/>
  <c r="H13" i="5"/>
  <c r="G13" i="5"/>
  <c r="X13" i="5" s="1"/>
  <c r="F13" i="5"/>
  <c r="E13" i="5"/>
  <c r="D13" i="5"/>
  <c r="C13" i="5"/>
  <c r="T13" i="5" s="1"/>
  <c r="B13" i="5"/>
  <c r="AE12" i="5"/>
  <c r="AD12" i="5"/>
  <c r="AC12" i="5"/>
  <c r="AB12" i="5"/>
  <c r="X12" i="5"/>
  <c r="W12" i="5"/>
  <c r="Y12" i="5" s="1"/>
  <c r="Z12" i="5" s="1"/>
  <c r="V12" i="5"/>
  <c r="T12" i="5"/>
  <c r="S12" i="5"/>
  <c r="AE11" i="5"/>
  <c r="AD11" i="5"/>
  <c r="AC11" i="5"/>
  <c r="AB11" i="5"/>
  <c r="X11" i="5"/>
  <c r="W11" i="5"/>
  <c r="V11" i="5"/>
  <c r="Y11" i="5" s="1"/>
  <c r="T11" i="5"/>
  <c r="S11" i="5"/>
  <c r="AE10" i="5"/>
  <c r="AD10" i="5"/>
  <c r="AC10" i="5"/>
  <c r="AB10" i="5"/>
  <c r="X10" i="5"/>
  <c r="W10" i="5"/>
  <c r="V10" i="5"/>
  <c r="Y10" i="5" s="1"/>
  <c r="AA10" i="5" s="1"/>
  <c r="T10" i="5"/>
  <c r="S10" i="5"/>
  <c r="AE9" i="5"/>
  <c r="AD9" i="5"/>
  <c r="AC9" i="5"/>
  <c r="AB9" i="5"/>
  <c r="X9" i="5"/>
  <c r="W9" i="5"/>
  <c r="V9" i="5"/>
  <c r="T9" i="5"/>
  <c r="S9" i="5"/>
  <c r="AE8" i="5"/>
  <c r="AD8" i="5"/>
  <c r="AC8" i="5"/>
  <c r="AB8" i="5"/>
  <c r="Y8" i="5"/>
  <c r="Z8" i="5" s="1"/>
  <c r="X8" i="5"/>
  <c r="W8" i="5"/>
  <c r="V8" i="5"/>
  <c r="U8" i="5"/>
  <c r="T8" i="5"/>
  <c r="S8" i="5"/>
  <c r="AE7" i="5"/>
  <c r="AD7" i="5"/>
  <c r="AC7" i="5"/>
  <c r="AB7" i="5"/>
  <c r="X7" i="5"/>
  <c r="W7" i="5"/>
  <c r="V7" i="5"/>
  <c r="Y7" i="5" s="1"/>
  <c r="T7" i="5"/>
  <c r="S7" i="5"/>
  <c r="AE6" i="5"/>
  <c r="AD6" i="5"/>
  <c r="AC6" i="5"/>
  <c r="AB6" i="5"/>
  <c r="X6" i="5"/>
  <c r="W6" i="5"/>
  <c r="V6" i="5"/>
  <c r="T6" i="5"/>
  <c r="S6" i="5"/>
  <c r="AE5" i="5"/>
  <c r="AD5" i="5"/>
  <c r="AC5" i="5"/>
  <c r="AB5" i="5"/>
  <c r="X5" i="5"/>
  <c r="W5" i="5"/>
  <c r="V5" i="5"/>
  <c r="T5" i="5"/>
  <c r="U5" i="5" s="1"/>
  <c r="S5" i="5"/>
  <c r="AA13" i="4"/>
  <c r="Z13" i="4"/>
  <c r="AA12" i="4"/>
  <c r="Z12" i="4"/>
  <c r="AA11" i="4"/>
  <c r="Z11" i="4"/>
  <c r="AA10" i="4"/>
  <c r="Z10" i="4"/>
  <c r="AA9" i="4"/>
  <c r="Z9" i="4"/>
  <c r="AA8" i="4"/>
  <c r="Z8" i="4"/>
  <c r="AA7" i="4"/>
  <c r="Z7" i="4"/>
  <c r="AA6" i="4"/>
  <c r="Z6" i="4"/>
  <c r="AA5" i="4"/>
  <c r="Z5" i="4"/>
  <c r="AA13" i="3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13" i="2"/>
  <c r="Z13" i="2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  <c r="AA13" i="1"/>
  <c r="AA12" i="1"/>
  <c r="AA11" i="1"/>
  <c r="AA10" i="1"/>
  <c r="AA9" i="1"/>
  <c r="AA8" i="1"/>
  <c r="AA7" i="1"/>
  <c r="AA6" i="1"/>
  <c r="AA5" i="1"/>
  <c r="Z13" i="1"/>
  <c r="Z12" i="1"/>
  <c r="Z11" i="1"/>
  <c r="Z10" i="1"/>
  <c r="Z9" i="1"/>
  <c r="Z8" i="1"/>
  <c r="Z7" i="1"/>
  <c r="Z6" i="1"/>
  <c r="Z5" i="1"/>
  <c r="AE13" i="1"/>
  <c r="AE12" i="1"/>
  <c r="AE11" i="1"/>
  <c r="AE10" i="1"/>
  <c r="AE9" i="1"/>
  <c r="AE8" i="1"/>
  <c r="AE7" i="1"/>
  <c r="AE6" i="1"/>
  <c r="AE5" i="1"/>
  <c r="AE13" i="4"/>
  <c r="AE12" i="4"/>
  <c r="AE11" i="4"/>
  <c r="AE10" i="4"/>
  <c r="AE9" i="4"/>
  <c r="AE8" i="4"/>
  <c r="AE7" i="4"/>
  <c r="AE6" i="4"/>
  <c r="AE5" i="4"/>
  <c r="AE13" i="3"/>
  <c r="AE12" i="3"/>
  <c r="AE11" i="3"/>
  <c r="AE10" i="3"/>
  <c r="AE9" i="3"/>
  <c r="AE8" i="3"/>
  <c r="AE7" i="3"/>
  <c r="AE6" i="3"/>
  <c r="AE5" i="3"/>
  <c r="AE13" i="2"/>
  <c r="AE12" i="2"/>
  <c r="AE11" i="2"/>
  <c r="AE10" i="2"/>
  <c r="AE9" i="2"/>
  <c r="AE8" i="2"/>
  <c r="AE7" i="2"/>
  <c r="AE6" i="2"/>
  <c r="AE5" i="2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7" i="2"/>
  <c r="B16" i="2"/>
  <c r="AA13" i="10" l="1"/>
  <c r="Z13" i="11"/>
  <c r="U6" i="9"/>
  <c r="U12" i="9"/>
  <c r="AC14" i="9"/>
  <c r="X14" i="9"/>
  <c r="Y5" i="9"/>
  <c r="Z5" i="9" s="1"/>
  <c r="U7" i="9"/>
  <c r="Y12" i="9"/>
  <c r="AA12" i="9" s="1"/>
  <c r="AD13" i="9"/>
  <c r="U10" i="9"/>
  <c r="AA9" i="9"/>
  <c r="AE13" i="9"/>
  <c r="V13" i="9"/>
  <c r="S5" i="9"/>
  <c r="U5" i="9" s="1"/>
  <c r="AC5" i="9"/>
  <c r="AA5" i="9"/>
  <c r="AC13" i="9"/>
  <c r="AA8" i="9"/>
  <c r="Z8" i="9"/>
  <c r="AA10" i="9"/>
  <c r="Z12" i="9"/>
  <c r="T14" i="9"/>
  <c r="Y6" i="9"/>
  <c r="Z6" i="9" s="1"/>
  <c r="Y10" i="9"/>
  <c r="Z10" i="9" s="1"/>
  <c r="Y7" i="9"/>
  <c r="AA7" i="9" s="1"/>
  <c r="Y11" i="9"/>
  <c r="AA11" i="9" s="1"/>
  <c r="S13" i="9"/>
  <c r="U13" i="9" s="1"/>
  <c r="W13" i="9"/>
  <c r="V14" i="9"/>
  <c r="S14" i="9"/>
  <c r="Y11" i="8"/>
  <c r="W13" i="8"/>
  <c r="Y12" i="8"/>
  <c r="Z12" i="8" s="1"/>
  <c r="U10" i="8"/>
  <c r="U12" i="8"/>
  <c r="U11" i="8"/>
  <c r="U9" i="8"/>
  <c r="T14" i="8"/>
  <c r="AD14" i="8"/>
  <c r="AD13" i="8"/>
  <c r="AB14" i="8"/>
  <c r="AB13" i="8"/>
  <c r="T13" i="8"/>
  <c r="Y8" i="8"/>
  <c r="Z8" i="8" s="1"/>
  <c r="X14" i="8"/>
  <c r="X13" i="8"/>
  <c r="U8" i="8"/>
  <c r="W14" i="8"/>
  <c r="Y6" i="8"/>
  <c r="AA6" i="8" s="1"/>
  <c r="AE14" i="8"/>
  <c r="U6" i="8"/>
  <c r="U7" i="8"/>
  <c r="AE13" i="8"/>
  <c r="U5" i="8"/>
  <c r="AA7" i="8"/>
  <c r="Z7" i="8"/>
  <c r="AA8" i="8"/>
  <c r="AA11" i="8"/>
  <c r="Z11" i="8"/>
  <c r="Y5" i="8"/>
  <c r="AA5" i="8" s="1"/>
  <c r="AC13" i="8"/>
  <c r="Y10" i="8"/>
  <c r="AA10" i="8" s="1"/>
  <c r="V13" i="8"/>
  <c r="AC14" i="8"/>
  <c r="Y9" i="8"/>
  <c r="Z9" i="8" s="1"/>
  <c r="S13" i="8"/>
  <c r="V14" i="8"/>
  <c r="S14" i="8"/>
  <c r="AA9" i="7"/>
  <c r="U8" i="7"/>
  <c r="U9" i="7"/>
  <c r="Y7" i="7"/>
  <c r="AA7" i="7" s="1"/>
  <c r="X13" i="7"/>
  <c r="S6" i="7"/>
  <c r="AE6" i="7"/>
  <c r="AD7" i="7"/>
  <c r="S9" i="7"/>
  <c r="Z9" i="7"/>
  <c r="AC9" i="7"/>
  <c r="U10" i="7"/>
  <c r="S11" i="7"/>
  <c r="AE11" i="7"/>
  <c r="V12" i="7"/>
  <c r="Y12" i="7" s="1"/>
  <c r="Z12" i="7" s="1"/>
  <c r="AC12" i="7"/>
  <c r="X5" i="7"/>
  <c r="U6" i="7"/>
  <c r="S7" i="7"/>
  <c r="X7" i="7"/>
  <c r="AE7" i="7"/>
  <c r="V8" i="7"/>
  <c r="Y8" i="7" s="1"/>
  <c r="Z8" i="7" s="1"/>
  <c r="AC8" i="7"/>
  <c r="V10" i="7"/>
  <c r="U11" i="7"/>
  <c r="S12" i="7"/>
  <c r="U12" i="7" s="1"/>
  <c r="X14" i="7"/>
  <c r="V6" i="7"/>
  <c r="U7" i="7"/>
  <c r="V11" i="7"/>
  <c r="Y11" i="7" s="1"/>
  <c r="AA11" i="7" s="1"/>
  <c r="S5" i="7"/>
  <c r="U5" i="7" s="1"/>
  <c r="AC5" i="7"/>
  <c r="B16" i="7"/>
  <c r="AE5" i="7"/>
  <c r="B13" i="7"/>
  <c r="AE13" i="7" s="1"/>
  <c r="Z10" i="7"/>
  <c r="Z7" i="7"/>
  <c r="Y6" i="7"/>
  <c r="Z6" i="7" s="1"/>
  <c r="Y10" i="7"/>
  <c r="AA10" i="7" s="1"/>
  <c r="AC14" i="7"/>
  <c r="V14" i="7"/>
  <c r="Y14" i="7" s="1"/>
  <c r="Z14" i="7" s="1"/>
  <c r="S14" i="7"/>
  <c r="U14" i="7" s="1"/>
  <c r="X13" i="6"/>
  <c r="Y8" i="6"/>
  <c r="Z8" i="6" s="1"/>
  <c r="AE14" i="6"/>
  <c r="AD13" i="6"/>
  <c r="Y6" i="6"/>
  <c r="Z6" i="6" s="1"/>
  <c r="U7" i="6"/>
  <c r="AD14" i="6"/>
  <c r="U6" i="6"/>
  <c r="U8" i="6"/>
  <c r="AE13" i="6"/>
  <c r="Z5" i="6"/>
  <c r="AA6" i="6"/>
  <c r="AA12" i="6"/>
  <c r="AC13" i="6"/>
  <c r="V13" i="6"/>
  <c r="AC14" i="6"/>
  <c r="Y7" i="6"/>
  <c r="AA7" i="6" s="1"/>
  <c r="S13" i="6"/>
  <c r="U13" i="6" s="1"/>
  <c r="V14" i="6"/>
  <c r="Y14" i="6" s="1"/>
  <c r="Z14" i="6" s="1"/>
  <c r="S14" i="6"/>
  <c r="U14" i="6" s="1"/>
  <c r="AA14" i="4"/>
  <c r="Z14" i="4"/>
  <c r="AC14" i="4"/>
  <c r="V14" i="4"/>
  <c r="Y14" i="4" s="1"/>
  <c r="S14" i="4"/>
  <c r="U14" i="4" s="1"/>
  <c r="Z14" i="3"/>
  <c r="AC14" i="3"/>
  <c r="V14" i="3"/>
  <c r="Y14" i="3" s="1"/>
  <c r="AA14" i="3" s="1"/>
  <c r="S14" i="3"/>
  <c r="U14" i="3" s="1"/>
  <c r="AC14" i="2"/>
  <c r="V14" i="2"/>
  <c r="Y14" i="2" s="1"/>
  <c r="AA14" i="2" s="1"/>
  <c r="S14" i="2"/>
  <c r="U14" i="2" s="1"/>
  <c r="AA14" i="1"/>
  <c r="AC14" i="1"/>
  <c r="V14" i="1"/>
  <c r="Y14" i="1" s="1"/>
  <c r="Z14" i="1" s="1"/>
  <c r="S14" i="1"/>
  <c r="U14" i="1" s="1"/>
  <c r="Z14" i="5"/>
  <c r="AA14" i="5"/>
  <c r="U11" i="5"/>
  <c r="U12" i="5"/>
  <c r="AA12" i="5"/>
  <c r="U9" i="5"/>
  <c r="U10" i="5"/>
  <c r="Y6" i="5"/>
  <c r="AA6" i="5" s="1"/>
  <c r="W13" i="5"/>
  <c r="AA8" i="5"/>
  <c r="AE13" i="5"/>
  <c r="U7" i="5"/>
  <c r="U6" i="5"/>
  <c r="Z10" i="5"/>
  <c r="Z11" i="5"/>
  <c r="AA11" i="5"/>
  <c r="AA7" i="5"/>
  <c r="Z7" i="5"/>
  <c r="AC13" i="5"/>
  <c r="V13" i="5"/>
  <c r="Y5" i="5"/>
  <c r="AA5" i="5" s="1"/>
  <c r="Y9" i="5"/>
  <c r="Z9" i="5" s="1"/>
  <c r="S13" i="5"/>
  <c r="U13" i="5" s="1"/>
  <c r="Y14" i="9" l="1"/>
  <c r="AA14" i="9" s="1"/>
  <c r="Y13" i="9"/>
  <c r="AA13" i="9" s="1"/>
  <c r="Z7" i="9"/>
  <c r="Z14" i="9"/>
  <c r="AA6" i="9"/>
  <c r="U14" i="9"/>
  <c r="Z11" i="9"/>
  <c r="AA12" i="8"/>
  <c r="U14" i="8"/>
  <c r="Y13" i="8"/>
  <c r="AA13" i="8" s="1"/>
  <c r="Z10" i="8"/>
  <c r="U13" i="8"/>
  <c r="Z6" i="8"/>
  <c r="Y14" i="8"/>
  <c r="Z14" i="8" s="1"/>
  <c r="AA9" i="8"/>
  <c r="Z5" i="8"/>
  <c r="AA8" i="7"/>
  <c r="Y5" i="7"/>
  <c r="Z5" i="7" s="1"/>
  <c r="AC13" i="7"/>
  <c r="AA14" i="7"/>
  <c r="AA12" i="7"/>
  <c r="Z11" i="7"/>
  <c r="V13" i="7"/>
  <c r="Y13" i="7" s="1"/>
  <c r="S13" i="7"/>
  <c r="U13" i="7" s="1"/>
  <c r="AA6" i="7"/>
  <c r="Y13" i="6"/>
  <c r="Z13" i="6" s="1"/>
  <c r="AA8" i="6"/>
  <c r="AA13" i="6"/>
  <c r="Z7" i="6"/>
  <c r="AA14" i="6"/>
  <c r="Z14" i="2"/>
  <c r="Y13" i="5"/>
  <c r="AA13" i="5" s="1"/>
  <c r="Z6" i="5"/>
  <c r="Z5" i="5"/>
  <c r="AA9" i="5"/>
  <c r="Z13" i="9" l="1"/>
  <c r="Z13" i="8"/>
  <c r="AA14" i="8"/>
  <c r="AA5" i="7"/>
  <c r="AA13" i="7"/>
  <c r="Z13" i="7"/>
  <c r="Z13" i="5"/>
  <c r="Q13" i="2"/>
  <c r="P13" i="2"/>
  <c r="O13" i="2"/>
  <c r="N13" i="2"/>
  <c r="M13" i="2"/>
  <c r="L13" i="2"/>
  <c r="K13" i="2"/>
  <c r="J13" i="2"/>
  <c r="AD13" i="2" s="1"/>
  <c r="I13" i="2"/>
  <c r="H13" i="2"/>
  <c r="G13" i="2"/>
  <c r="F13" i="2"/>
  <c r="E13" i="2"/>
  <c r="D13" i="2"/>
  <c r="C13" i="2"/>
  <c r="AC13" i="2" s="1"/>
  <c r="B13" i="2"/>
  <c r="Q13" i="3"/>
  <c r="P13" i="3"/>
  <c r="O13" i="3"/>
  <c r="N13" i="3"/>
  <c r="M13" i="3"/>
  <c r="L13" i="3"/>
  <c r="K13" i="3"/>
  <c r="J13" i="3"/>
  <c r="AD13" i="3" s="1"/>
  <c r="I13" i="3"/>
  <c r="H13" i="3"/>
  <c r="AB13" i="3" s="1"/>
  <c r="G13" i="3"/>
  <c r="F13" i="3"/>
  <c r="X13" i="3" s="1"/>
  <c r="E13" i="3"/>
  <c r="D13" i="3"/>
  <c r="C13" i="3"/>
  <c r="B13" i="3"/>
  <c r="AC13" i="3" s="1"/>
  <c r="Q13" i="1"/>
  <c r="P13" i="1"/>
  <c r="O13" i="1"/>
  <c r="N13" i="1"/>
  <c r="M13" i="1"/>
  <c r="L13" i="1"/>
  <c r="K13" i="1"/>
  <c r="J13" i="1"/>
  <c r="V13" i="1" s="1"/>
  <c r="I13" i="1"/>
  <c r="H13" i="1"/>
  <c r="G13" i="1"/>
  <c r="F13" i="1"/>
  <c r="X13" i="1" s="1"/>
  <c r="E13" i="1"/>
  <c r="D13" i="1"/>
  <c r="C13" i="1"/>
  <c r="B13" i="1"/>
  <c r="W13" i="3"/>
  <c r="T13" i="3"/>
  <c r="AD12" i="3"/>
  <c r="AC12" i="3"/>
  <c r="AB12" i="3"/>
  <c r="X12" i="3"/>
  <c r="W12" i="3"/>
  <c r="V12" i="3"/>
  <c r="T12" i="3"/>
  <c r="S12" i="3"/>
  <c r="U12" i="3" s="1"/>
  <c r="AD11" i="3"/>
  <c r="AC11" i="3"/>
  <c r="AB11" i="3"/>
  <c r="X11" i="3"/>
  <c r="W11" i="3"/>
  <c r="V11" i="3"/>
  <c r="Y11" i="3" s="1"/>
  <c r="T11" i="3"/>
  <c r="S11" i="3"/>
  <c r="U11" i="3" s="1"/>
  <c r="AD10" i="3"/>
  <c r="AC10" i="3"/>
  <c r="AB10" i="3"/>
  <c r="X10" i="3"/>
  <c r="W10" i="3"/>
  <c r="V10" i="3"/>
  <c r="T10" i="3"/>
  <c r="S10" i="3"/>
  <c r="U10" i="3" s="1"/>
  <c r="AD9" i="3"/>
  <c r="AC9" i="3"/>
  <c r="AB9" i="3"/>
  <c r="Y9" i="3"/>
  <c r="X9" i="3"/>
  <c r="W9" i="3"/>
  <c r="V9" i="3"/>
  <c r="U9" i="3"/>
  <c r="T9" i="3"/>
  <c r="S9" i="3"/>
  <c r="AD8" i="3"/>
  <c r="AC8" i="3"/>
  <c r="AB8" i="3"/>
  <c r="X8" i="3"/>
  <c r="W8" i="3"/>
  <c r="V8" i="3"/>
  <c r="T8" i="3"/>
  <c r="S8" i="3"/>
  <c r="AD7" i="3"/>
  <c r="AC7" i="3"/>
  <c r="AB7" i="3"/>
  <c r="Y7" i="3"/>
  <c r="X7" i="3"/>
  <c r="W7" i="3"/>
  <c r="V7" i="3"/>
  <c r="T7" i="3"/>
  <c r="S7" i="3"/>
  <c r="AD6" i="3"/>
  <c r="AC6" i="3"/>
  <c r="AB6" i="3"/>
  <c r="X6" i="3"/>
  <c r="W6" i="3"/>
  <c r="V6" i="3"/>
  <c r="T6" i="3"/>
  <c r="S6" i="3"/>
  <c r="U6" i="3" s="1"/>
  <c r="AD5" i="3"/>
  <c r="AC5" i="3"/>
  <c r="AB5" i="3"/>
  <c r="Y5" i="3"/>
  <c r="X5" i="3"/>
  <c r="W5" i="3"/>
  <c r="V5" i="3"/>
  <c r="T5" i="3"/>
  <c r="U5" i="3" s="1"/>
  <c r="S5" i="3"/>
  <c r="AB13" i="2"/>
  <c r="X13" i="2"/>
  <c r="W13" i="2"/>
  <c r="T13" i="2"/>
  <c r="S13" i="2"/>
  <c r="U13" i="2" s="1"/>
  <c r="AD12" i="2"/>
  <c r="AC12" i="2"/>
  <c r="AB12" i="2"/>
  <c r="X12" i="2"/>
  <c r="W12" i="2"/>
  <c r="V12" i="2"/>
  <c r="T12" i="2"/>
  <c r="S12" i="2"/>
  <c r="U12" i="2" s="1"/>
  <c r="AD11" i="2"/>
  <c r="AC11" i="2"/>
  <c r="AB11" i="2"/>
  <c r="X11" i="2"/>
  <c r="W11" i="2"/>
  <c r="V11" i="2"/>
  <c r="T11" i="2"/>
  <c r="S11" i="2"/>
  <c r="AD10" i="2"/>
  <c r="AC10" i="2"/>
  <c r="AB10" i="2"/>
  <c r="X10" i="2"/>
  <c r="W10" i="2"/>
  <c r="V10" i="2"/>
  <c r="T10" i="2"/>
  <c r="S10" i="2"/>
  <c r="AD9" i="2"/>
  <c r="AC9" i="2"/>
  <c r="AB9" i="2"/>
  <c r="X9" i="2"/>
  <c r="W9" i="2"/>
  <c r="V9" i="2"/>
  <c r="T9" i="2"/>
  <c r="S9" i="2"/>
  <c r="AD8" i="2"/>
  <c r="AC8" i="2"/>
  <c r="AB8" i="2"/>
  <c r="X8" i="2"/>
  <c r="W8" i="2"/>
  <c r="V8" i="2"/>
  <c r="T8" i="2"/>
  <c r="S8" i="2"/>
  <c r="AD7" i="2"/>
  <c r="AC7" i="2"/>
  <c r="AB7" i="2"/>
  <c r="X7" i="2"/>
  <c r="W7" i="2"/>
  <c r="V7" i="2"/>
  <c r="T7" i="2"/>
  <c r="S7" i="2"/>
  <c r="AD6" i="2"/>
  <c r="AC6" i="2"/>
  <c r="AB6" i="2"/>
  <c r="X6" i="2"/>
  <c r="W6" i="2"/>
  <c r="V6" i="2"/>
  <c r="T6" i="2"/>
  <c r="S6" i="2"/>
  <c r="AD5" i="2"/>
  <c r="AC5" i="2"/>
  <c r="AB5" i="2"/>
  <c r="X5" i="2"/>
  <c r="W5" i="2"/>
  <c r="V5" i="2"/>
  <c r="T5" i="2"/>
  <c r="S5" i="2"/>
  <c r="AB13" i="1"/>
  <c r="W13" i="1"/>
  <c r="T13" i="1"/>
  <c r="AC13" i="1"/>
  <c r="AD12" i="1"/>
  <c r="AC12" i="1"/>
  <c r="AB12" i="1"/>
  <c r="X12" i="1"/>
  <c r="W12" i="1"/>
  <c r="V12" i="1"/>
  <c r="T12" i="1"/>
  <c r="U12" i="1" s="1"/>
  <c r="S12" i="1"/>
  <c r="AD11" i="1"/>
  <c r="AC11" i="1"/>
  <c r="AB11" i="1"/>
  <c r="X11" i="1"/>
  <c r="W11" i="1"/>
  <c r="V11" i="1"/>
  <c r="Y11" i="1" s="1"/>
  <c r="T11" i="1"/>
  <c r="U11" i="1" s="1"/>
  <c r="S11" i="1"/>
  <c r="AD10" i="1"/>
  <c r="AC10" i="1"/>
  <c r="AB10" i="1"/>
  <c r="X10" i="1"/>
  <c r="W10" i="1"/>
  <c r="V10" i="1"/>
  <c r="T10" i="1"/>
  <c r="U10" i="1" s="1"/>
  <c r="S10" i="1"/>
  <c r="AD9" i="1"/>
  <c r="AC9" i="1"/>
  <c r="AB9" i="1"/>
  <c r="X9" i="1"/>
  <c r="W9" i="1"/>
  <c r="V9" i="1"/>
  <c r="Y9" i="1" s="1"/>
  <c r="U9" i="1"/>
  <c r="T9" i="1"/>
  <c r="S9" i="1"/>
  <c r="AD8" i="1"/>
  <c r="AC8" i="1"/>
  <c r="AB8" i="1"/>
  <c r="X8" i="1"/>
  <c r="W8" i="1"/>
  <c r="V8" i="1"/>
  <c r="T8" i="1"/>
  <c r="U8" i="1" s="1"/>
  <c r="S8" i="1"/>
  <c r="AD7" i="1"/>
  <c r="AC7" i="1"/>
  <c r="AB7" i="1"/>
  <c r="X7" i="1"/>
  <c r="W7" i="1"/>
  <c r="V7" i="1"/>
  <c r="Y7" i="1" s="1"/>
  <c r="T7" i="1"/>
  <c r="U7" i="1" s="1"/>
  <c r="S7" i="1"/>
  <c r="AD6" i="1"/>
  <c r="AC6" i="1"/>
  <c r="AB6" i="1"/>
  <c r="X6" i="1"/>
  <c r="W6" i="1"/>
  <c r="V6" i="1"/>
  <c r="T6" i="1"/>
  <c r="U6" i="1" s="1"/>
  <c r="S6" i="1"/>
  <c r="AD5" i="1"/>
  <c r="AC5" i="1"/>
  <c r="AB5" i="1"/>
  <c r="X5" i="1"/>
  <c r="W5" i="1"/>
  <c r="V5" i="1"/>
  <c r="Y5" i="1" s="1"/>
  <c r="U5" i="1"/>
  <c r="T5" i="1"/>
  <c r="S5" i="1"/>
  <c r="AD13" i="4"/>
  <c r="X13" i="4"/>
  <c r="W13" i="4"/>
  <c r="AD11" i="4"/>
  <c r="AC11" i="4"/>
  <c r="AB11" i="4"/>
  <c r="Y11" i="4"/>
  <c r="X11" i="4"/>
  <c r="W11" i="4"/>
  <c r="V11" i="4"/>
  <c r="U11" i="4"/>
  <c r="T11" i="4"/>
  <c r="S11" i="4"/>
  <c r="AD10" i="4"/>
  <c r="AC10" i="4"/>
  <c r="AB10" i="4"/>
  <c r="X10" i="4"/>
  <c r="W10" i="4"/>
  <c r="Y10" i="4" s="1"/>
  <c r="V10" i="4"/>
  <c r="T10" i="4"/>
  <c r="U10" i="4" s="1"/>
  <c r="S10" i="4"/>
  <c r="AD9" i="4"/>
  <c r="AC9" i="4"/>
  <c r="AB9" i="4"/>
  <c r="Y9" i="4"/>
  <c r="X9" i="4"/>
  <c r="W9" i="4"/>
  <c r="V9" i="4"/>
  <c r="U9" i="4"/>
  <c r="T9" i="4"/>
  <c r="S9" i="4"/>
  <c r="AD8" i="4"/>
  <c r="AC8" i="4"/>
  <c r="AB8" i="4"/>
  <c r="X8" i="4"/>
  <c r="W8" i="4"/>
  <c r="Y8" i="4" s="1"/>
  <c r="V8" i="4"/>
  <c r="T8" i="4"/>
  <c r="U8" i="4" s="1"/>
  <c r="S8" i="4"/>
  <c r="AD7" i="4"/>
  <c r="AC7" i="4"/>
  <c r="AB7" i="4"/>
  <c r="Y7" i="4"/>
  <c r="X7" i="4"/>
  <c r="W7" i="4"/>
  <c r="V7" i="4"/>
  <c r="T7" i="4"/>
  <c r="S7" i="4"/>
  <c r="AD6" i="4"/>
  <c r="AC6" i="4"/>
  <c r="AB6" i="4"/>
  <c r="X6" i="4"/>
  <c r="W6" i="4"/>
  <c r="V6" i="4"/>
  <c r="T6" i="4"/>
  <c r="U6" i="4" s="1"/>
  <c r="S6" i="4"/>
  <c r="AD5" i="4"/>
  <c r="AC5" i="4"/>
  <c r="AB5" i="4"/>
  <c r="X5" i="4"/>
  <c r="W5" i="4"/>
  <c r="V5" i="4"/>
  <c r="Y5" i="4" s="1"/>
  <c r="T5" i="4"/>
  <c r="S5" i="4"/>
  <c r="U5" i="4" s="1"/>
  <c r="AD12" i="4"/>
  <c r="AC12" i="4"/>
  <c r="AB12" i="4"/>
  <c r="Y12" i="4"/>
  <c r="X12" i="4"/>
  <c r="W12" i="4"/>
  <c r="V12" i="4"/>
  <c r="T12" i="4"/>
  <c r="S12" i="4"/>
  <c r="U12" i="4" s="1"/>
  <c r="Q13" i="4"/>
  <c r="P13" i="4"/>
  <c r="O13" i="4"/>
  <c r="N13" i="4"/>
  <c r="M13" i="4"/>
  <c r="L13" i="4"/>
  <c r="K13" i="4"/>
  <c r="J13" i="4"/>
  <c r="I13" i="4"/>
  <c r="H13" i="4"/>
  <c r="S13" i="4" s="1"/>
  <c r="G13" i="4"/>
  <c r="F13" i="4"/>
  <c r="E13" i="4"/>
  <c r="D13" i="4"/>
  <c r="C13" i="4"/>
  <c r="B13" i="4"/>
  <c r="U7" i="3" l="1"/>
  <c r="Y10" i="3"/>
  <c r="V13" i="2"/>
  <c r="Y13" i="2" s="1"/>
  <c r="U10" i="2"/>
  <c r="Y12" i="2"/>
  <c r="U11" i="2"/>
  <c r="Y11" i="2"/>
  <c r="Y9" i="2"/>
  <c r="U9" i="2"/>
  <c r="Y5" i="2"/>
  <c r="U8" i="2"/>
  <c r="Y8" i="2"/>
  <c r="U5" i="2"/>
  <c r="Y7" i="2"/>
  <c r="Y10" i="2"/>
  <c r="U7" i="2"/>
  <c r="U6" i="2"/>
  <c r="Y6" i="2"/>
  <c r="V13" i="3"/>
  <c r="Y13" i="3" s="1"/>
  <c r="S13" i="3"/>
  <c r="U13" i="3" s="1"/>
  <c r="AD13" i="1"/>
  <c r="Y12" i="3"/>
  <c r="U8" i="3"/>
  <c r="Y8" i="3"/>
  <c r="Y6" i="3"/>
  <c r="Y6" i="1"/>
  <c r="Y10" i="1"/>
  <c r="Y8" i="1"/>
  <c r="Y12" i="1"/>
  <c r="Y13" i="1"/>
  <c r="S13" i="1"/>
  <c r="U13" i="1" s="1"/>
  <c r="T13" i="4"/>
  <c r="U13" i="4" s="1"/>
  <c r="V13" i="4"/>
  <c r="Y13" i="4" s="1"/>
  <c r="U7" i="4"/>
  <c r="Y6" i="4"/>
  <c r="AC13" i="4"/>
  <c r="AB13" i="4"/>
</calcChain>
</file>

<file path=xl/sharedStrings.xml><?xml version="1.0" encoding="utf-8"?>
<sst xmlns="http://schemas.openxmlformats.org/spreadsheetml/2006/main" count="661" uniqueCount="45">
  <si>
    <t>Piéton/ne</t>
  </si>
  <si>
    <t>H</t>
  </si>
  <si>
    <t>F</t>
  </si>
  <si>
    <t>Heure</t>
  </si>
  <si>
    <t>Vélo traditionel</t>
  </si>
  <si>
    <t>France -&gt; Suisse</t>
  </si>
  <si>
    <t>Suisse -&gt; France</t>
  </si>
  <si>
    <t>VAE</t>
  </si>
  <si>
    <t xml:space="preserve">Mode Nouveau Electrique
</t>
  </si>
  <si>
    <t xml:space="preserve">Vélo traditionel </t>
  </si>
  <si>
    <t>Mode Nouveau Electrique
(trotinette, scateboard , …)</t>
  </si>
  <si>
    <t xml:space="preserve">Lieu: </t>
  </si>
  <si>
    <t>STGenis - CERN</t>
  </si>
  <si>
    <t>Total</t>
  </si>
  <si>
    <t>Totaux</t>
  </si>
  <si>
    <t>Femmes</t>
  </si>
  <si>
    <t>%Femmes</t>
  </si>
  <si>
    <t>VT</t>
  </si>
  <si>
    <t>Nouveau</t>
  </si>
  <si>
    <t>TotVelo</t>
  </si>
  <si>
    <t>Piétons</t>
  </si>
  <si>
    <t>Hommes</t>
  </si>
  <si>
    <t>&gt;CH</t>
  </si>
  <si>
    <t>&gt;FR</t>
  </si>
  <si>
    <t>StGenis -&gt; Bourdigny</t>
  </si>
  <si>
    <t>STGenis -&gt; Meyrin</t>
  </si>
  <si>
    <t>2r</t>
  </si>
  <si>
    <t>TOT</t>
  </si>
  <si>
    <t>%VAE</t>
  </si>
  <si>
    <t>%Nouveau</t>
  </si>
  <si>
    <t>Tot 7</t>
  </si>
  <si>
    <t>Tot 8</t>
  </si>
  <si>
    <t>Total HP</t>
  </si>
  <si>
    <t>Crassy-&gt;Crassier</t>
  </si>
  <si>
    <t>Mategnin Total</t>
  </si>
  <si>
    <t>Mategnin Anneaux</t>
  </si>
  <si>
    <t>Mategnin Douane</t>
  </si>
  <si>
    <t>StGenis Total</t>
  </si>
  <si>
    <t>Cyclistes</t>
  </si>
  <si>
    <t>Pietons</t>
  </si>
  <si>
    <t xml:space="preserve"> -&gt; CH</t>
  </si>
  <si>
    <t xml:space="preserve"> -&gt; FR</t>
  </si>
  <si>
    <t xml:space="preserve"> % femmes</t>
  </si>
  <si>
    <t>TOTAL</t>
  </si>
  <si>
    <t>Chanagement 2019 -&gt;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</si>
</sst>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theme="1"/>
      <name val="Ubuntu"/>
    </font>
    <font>
      <sz val="16"/>
      <color theme="1"/>
      <name val="Ubuntu"/>
    </font>
    <font>
      <b/>
      <sz val="12"/>
      <color theme="1"/>
      <name val="Ubuntu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Ubuntu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 style="double">
        <color auto="1"/>
      </right>
      <top style="medium">
        <color indexed="64"/>
      </top>
      <bottom/>
      <diagonal/>
    </border>
    <border>
      <left style="double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20" fontId="3" fillId="0" borderId="15" xfId="0" applyNumberFormat="1" applyFont="1" applyBorder="1" applyAlignment="1">
      <alignment horizontal="center" vertical="center"/>
    </xf>
    <xf numFmtId="20" fontId="3" fillId="0" borderId="20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21" xfId="0" applyBorder="1"/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0" borderId="25" xfId="0" applyFont="1" applyBorder="1"/>
    <xf numFmtId="10" fontId="0" fillId="0" borderId="21" xfId="0" applyNumberFormat="1" applyBorder="1"/>
    <xf numFmtId="0" fontId="0" fillId="0" borderId="16" xfId="0" applyBorder="1"/>
    <xf numFmtId="0" fontId="0" fillId="0" borderId="28" xfId="0" applyBorder="1"/>
    <xf numFmtId="0" fontId="0" fillId="0" borderId="17" xfId="0" applyBorder="1"/>
    <xf numFmtId="0" fontId="0" fillId="0" borderId="6" xfId="0" applyBorder="1"/>
    <xf numFmtId="0" fontId="0" fillId="0" borderId="7" xfId="0" applyBorder="1"/>
    <xf numFmtId="0" fontId="4" fillId="0" borderId="8" xfId="0" applyFont="1" applyBorder="1"/>
    <xf numFmtId="0" fontId="4" fillId="0" borderId="29" xfId="0" applyFont="1" applyBorder="1"/>
    <xf numFmtId="10" fontId="4" fillId="0" borderId="29" xfId="0" applyNumberFormat="1" applyFont="1" applyBorder="1"/>
    <xf numFmtId="0" fontId="4" fillId="0" borderId="9" xfId="0" applyFont="1" applyBorder="1"/>
    <xf numFmtId="0" fontId="4" fillId="0" borderId="26" xfId="0" applyFont="1" applyBorder="1"/>
    <xf numFmtId="0" fontId="4" fillId="0" borderId="27" xfId="0" applyFont="1" applyBorder="1"/>
    <xf numFmtId="0" fontId="8" fillId="0" borderId="0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4" fillId="0" borderId="33" xfId="0" applyFont="1" applyBorder="1"/>
    <xf numFmtId="0" fontId="5" fillId="0" borderId="34" xfId="0" applyFont="1" applyBorder="1"/>
    <xf numFmtId="0" fontId="0" fillId="0" borderId="35" xfId="0" applyBorder="1"/>
    <xf numFmtId="0" fontId="4" fillId="0" borderId="36" xfId="0" applyFont="1" applyBorder="1"/>
    <xf numFmtId="9" fontId="0" fillId="0" borderId="21" xfId="0" applyNumberFormat="1" applyBorder="1"/>
    <xf numFmtId="0" fontId="0" fillId="0" borderId="14" xfId="0" applyBorder="1"/>
    <xf numFmtId="0" fontId="0" fillId="0" borderId="37" xfId="0" applyBorder="1"/>
    <xf numFmtId="10" fontId="0" fillId="0" borderId="37" xfId="0" applyNumberFormat="1" applyBorder="1"/>
    <xf numFmtId="9" fontId="0" fillId="0" borderId="37" xfId="0" applyNumberFormat="1" applyBorder="1"/>
    <xf numFmtId="0" fontId="0" fillId="0" borderId="13" xfId="0" applyBorder="1"/>
    <xf numFmtId="0" fontId="0" fillId="0" borderId="38" xfId="0" applyBorder="1"/>
    <xf numFmtId="0" fontId="4" fillId="0" borderId="39" xfId="0" applyFont="1" applyBorder="1"/>
    <xf numFmtId="10" fontId="4" fillId="0" borderId="26" xfId="0" applyNumberFormat="1" applyFont="1" applyBorder="1"/>
    <xf numFmtId="9" fontId="0" fillId="0" borderId="26" xfId="0" applyNumberFormat="1" applyBorder="1"/>
    <xf numFmtId="0" fontId="4" fillId="0" borderId="22" xfId="0" applyFont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3" fillId="0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4" xfId="0" applyBorder="1"/>
    <xf numFmtId="0" fontId="0" fillId="0" borderId="41" xfId="0" applyBorder="1"/>
    <xf numFmtId="0" fontId="0" fillId="0" borderId="30" xfId="0" applyBorder="1"/>
    <xf numFmtId="0" fontId="0" fillId="0" borderId="42" xfId="0" applyBorder="1"/>
    <xf numFmtId="9" fontId="0" fillId="0" borderId="41" xfId="0" applyNumberFormat="1" applyBorder="1"/>
    <xf numFmtId="0" fontId="0" fillId="0" borderId="8" xfId="0" applyBorder="1"/>
    <xf numFmtId="0" fontId="0" fillId="0" borderId="29" xfId="0" applyBorder="1"/>
    <xf numFmtId="0" fontId="0" fillId="0" borderId="9" xfId="0" applyBorder="1"/>
    <xf numFmtId="9" fontId="0" fillId="0" borderId="8" xfId="0" applyNumberFormat="1" applyBorder="1"/>
    <xf numFmtId="9" fontId="0" fillId="0" borderId="29" xfId="0" applyNumberFormat="1" applyBorder="1"/>
    <xf numFmtId="9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854D-4450-4BC1-AB93-45771F1C85E7}">
  <dimension ref="A1:AW17"/>
  <sheetViews>
    <sheetView tabSelected="1" topLeftCell="AB1" workbookViewId="0">
      <selection activeCell="AL21" sqref="AL21"/>
    </sheetView>
  </sheetViews>
  <sheetFormatPr defaultRowHeight="14.4"/>
  <cols>
    <col min="1" max="1" width="10.33203125" customWidth="1"/>
    <col min="2" max="17" width="5" customWidth="1"/>
  </cols>
  <sheetData>
    <row r="1" spans="1:49" ht="30.6" customHeight="1" thickBot="1">
      <c r="B1" s="11" t="s">
        <v>11</v>
      </c>
      <c r="C1" s="12"/>
    </row>
    <row r="2" spans="1:49" s="10" customFormat="1" ht="16.2" customHeight="1" thickBot="1">
      <c r="A2" s="9"/>
      <c r="B2" s="55" t="s">
        <v>5</v>
      </c>
      <c r="C2" s="57"/>
      <c r="D2" s="57"/>
      <c r="E2" s="57"/>
      <c r="F2" s="57"/>
      <c r="G2" s="57"/>
      <c r="H2" s="57"/>
      <c r="I2" s="58"/>
      <c r="J2" s="55" t="s">
        <v>6</v>
      </c>
      <c r="K2" s="57"/>
      <c r="L2" s="57"/>
      <c r="M2" s="57"/>
      <c r="N2" s="57"/>
      <c r="O2" s="57"/>
      <c r="P2" s="57"/>
      <c r="Q2" s="58"/>
      <c r="R2"/>
      <c r="S2" s="59" t="s">
        <v>14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G2" s="61">
        <v>2019</v>
      </c>
      <c r="AH2" s="62"/>
      <c r="AI2" s="62"/>
      <c r="AJ2" s="62"/>
      <c r="AK2" s="62"/>
      <c r="AL2" s="62"/>
      <c r="AM2" s="62"/>
      <c r="AN2" s="63"/>
      <c r="AP2" s="61" t="s">
        <v>44</v>
      </c>
      <c r="AQ2" s="62"/>
      <c r="AR2" s="62"/>
      <c r="AS2" s="62"/>
      <c r="AT2" s="62"/>
      <c r="AU2" s="62"/>
      <c r="AV2" s="62"/>
      <c r="AW2" s="63"/>
    </row>
    <row r="3" spans="1:49" s="10" customFormat="1" ht="68.400000000000006" customHeight="1">
      <c r="A3" s="9"/>
      <c r="B3" s="55" t="s">
        <v>9</v>
      </c>
      <c r="C3" s="58"/>
      <c r="D3" s="60" t="s">
        <v>7</v>
      </c>
      <c r="E3" s="56"/>
      <c r="F3" s="60" t="s">
        <v>8</v>
      </c>
      <c r="G3" s="56"/>
      <c r="H3" s="55" t="s">
        <v>0</v>
      </c>
      <c r="I3" s="56"/>
      <c r="J3" s="55" t="s">
        <v>4</v>
      </c>
      <c r="K3" s="58"/>
      <c r="L3" s="60" t="s">
        <v>7</v>
      </c>
      <c r="M3" s="56"/>
      <c r="N3" s="60" t="s">
        <v>10</v>
      </c>
      <c r="O3" s="56"/>
      <c r="P3" s="55" t="s">
        <v>0</v>
      </c>
      <c r="Q3" s="56"/>
      <c r="R3"/>
      <c r="S3" s="26" t="s">
        <v>21</v>
      </c>
      <c r="T3" s="27" t="s">
        <v>15</v>
      </c>
      <c r="U3" s="27" t="s">
        <v>16</v>
      </c>
      <c r="V3" s="27" t="s">
        <v>17</v>
      </c>
      <c r="W3" s="27" t="s">
        <v>7</v>
      </c>
      <c r="X3" s="27" t="s">
        <v>18</v>
      </c>
      <c r="Y3" s="27" t="s">
        <v>26</v>
      </c>
      <c r="Z3" s="27" t="s">
        <v>28</v>
      </c>
      <c r="AA3" s="27" t="s">
        <v>29</v>
      </c>
      <c r="AB3" s="27" t="s">
        <v>20</v>
      </c>
      <c r="AC3" s="27" t="s">
        <v>22</v>
      </c>
      <c r="AD3" s="28" t="s">
        <v>23</v>
      </c>
      <c r="AE3" s="41" t="s">
        <v>27</v>
      </c>
      <c r="AG3" s="64" t="s">
        <v>38</v>
      </c>
      <c r="AH3" s="65" t="s">
        <v>39</v>
      </c>
      <c r="AI3" s="65" t="s">
        <v>21</v>
      </c>
      <c r="AJ3" s="65" t="s">
        <v>15</v>
      </c>
      <c r="AK3" s="65" t="s">
        <v>40</v>
      </c>
      <c r="AL3" s="65" t="s">
        <v>41</v>
      </c>
      <c r="AM3" s="65" t="s">
        <v>42</v>
      </c>
      <c r="AN3" s="66" t="s">
        <v>43</v>
      </c>
      <c r="AP3" s="64" t="s">
        <v>38</v>
      </c>
      <c r="AQ3" s="65" t="s">
        <v>39</v>
      </c>
      <c r="AR3" s="65" t="s">
        <v>21</v>
      </c>
      <c r="AS3" s="65" t="s">
        <v>15</v>
      </c>
      <c r="AT3" s="65" t="s">
        <v>40</v>
      </c>
      <c r="AU3" s="65" t="s">
        <v>41</v>
      </c>
      <c r="AV3" s="65" t="s">
        <v>42</v>
      </c>
      <c r="AW3" s="66" t="s">
        <v>43</v>
      </c>
    </row>
    <row r="4" spans="1:49" ht="21.6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2"/>
      <c r="AG4" s="64"/>
      <c r="AH4" s="65"/>
      <c r="AI4" s="65"/>
      <c r="AJ4" s="65"/>
      <c r="AK4" s="65"/>
      <c r="AL4" s="65"/>
      <c r="AM4" s="65"/>
      <c r="AN4" s="66"/>
      <c r="AP4" s="64"/>
      <c r="AQ4" s="65"/>
      <c r="AR4" s="65"/>
      <c r="AS4" s="65"/>
      <c r="AT4" s="65"/>
      <c r="AU4" s="65"/>
      <c r="AV4" s="65"/>
      <c r="AW4" s="66"/>
    </row>
    <row r="5" spans="1:49" ht="21" customHeight="1" thickBot="1">
      <c r="A5" s="13">
        <v>0.29166666666666669</v>
      </c>
      <c r="B5" s="15">
        <f>Ferney!B5+'StGenis total'!B5+Crassy!B5+'Mategnin Total'!B5</f>
        <v>24</v>
      </c>
      <c r="C5" s="15">
        <f>Ferney!C5+'StGenis total'!C5+Crassy!C5+'Mategnin Total'!C5</f>
        <v>7</v>
      </c>
      <c r="D5" s="15">
        <f>Ferney!D5+'StGenis total'!D5+Crassy!D5+'Mategnin Total'!D5</f>
        <v>8</v>
      </c>
      <c r="E5" s="15">
        <f>Ferney!E5+'StGenis total'!E5+Crassy!E5+'Mategnin Total'!E5</f>
        <v>15</v>
      </c>
      <c r="F5" s="15">
        <f>Ferney!F5+'StGenis total'!F5+Crassy!F5+'Mategnin Total'!F5</f>
        <v>2</v>
      </c>
      <c r="G5" s="15">
        <f>Ferney!G5+'StGenis total'!G5+Crassy!G5+'Mategnin Total'!G5</f>
        <v>1</v>
      </c>
      <c r="H5" s="15">
        <f>Ferney!H5+'StGenis total'!H5+Crassy!H5+'Mategnin Total'!H5</f>
        <v>5</v>
      </c>
      <c r="I5" s="15">
        <f>Ferney!I5+'StGenis total'!I5+Crassy!I5+'Mategnin Total'!I5</f>
        <v>1</v>
      </c>
      <c r="J5" s="15">
        <f>Ferney!J5+'StGenis total'!J5+Crassy!J5+'Mategnin Total'!J5</f>
        <v>3</v>
      </c>
      <c r="K5" s="15">
        <f>Ferney!K5+'StGenis total'!K5+Crassy!K5+'Mategnin Total'!K5</f>
        <v>1</v>
      </c>
      <c r="L5" s="15">
        <f>Ferney!L5+'StGenis total'!L5+Crassy!L5+'Mategnin Total'!L5</f>
        <v>1</v>
      </c>
      <c r="M5" s="15">
        <f>Ferney!M5+'StGenis total'!M5+Crassy!M5+'Mategnin Total'!M5</f>
        <v>1</v>
      </c>
      <c r="N5" s="15">
        <f>Ferney!N5+'StGenis total'!N5+Crassy!N5+'Mategnin Total'!N5</f>
        <v>0</v>
      </c>
      <c r="O5" s="15">
        <f>Ferney!O5+'StGenis total'!O5+Crassy!O5+'Mategnin Total'!O5</f>
        <v>0</v>
      </c>
      <c r="P5" s="15">
        <f>Ferney!P5+'StGenis total'!P5+Crassy!P5+'Mategnin Total'!P5</f>
        <v>0</v>
      </c>
      <c r="Q5" s="15">
        <f>Ferney!Q5+'StGenis total'!Q5+Crassy!Q5+'Mategnin Total'!Q5</f>
        <v>0</v>
      </c>
      <c r="S5" s="29">
        <f t="shared" ref="S5:T11" si="0">B5+D5+F5+H5+J5+L5+N5+P5</f>
        <v>43</v>
      </c>
      <c r="T5" s="19">
        <f t="shared" si="0"/>
        <v>26</v>
      </c>
      <c r="U5" s="25">
        <f t="shared" ref="U5:U11" si="1">T5/(T5+S5)</f>
        <v>0.37681159420289856</v>
      </c>
      <c r="V5" s="19">
        <f t="shared" ref="V5:V11" si="2">B5+C5+J5+K5</f>
        <v>35</v>
      </c>
      <c r="W5" s="19">
        <f t="shared" ref="W5:W11" si="3">D5+E5+L5+M5</f>
        <v>25</v>
      </c>
      <c r="X5" s="19">
        <f t="shared" ref="X5:X11" si="4">F5+G5+N5+O5</f>
        <v>3</v>
      </c>
      <c r="Y5" s="19">
        <f t="shared" ref="Y5:Y11" si="5">SUM(V5:X5)</f>
        <v>63</v>
      </c>
      <c r="Z5" s="44">
        <f>W5/Y5</f>
        <v>0.3968253968253968</v>
      </c>
      <c r="AA5" s="44">
        <f>X5/Y5</f>
        <v>4.7619047619047616E-2</v>
      </c>
      <c r="AB5" s="19">
        <f t="shared" ref="AB5:AB11" si="6">H5+I5+P5+Q5</f>
        <v>6</v>
      </c>
      <c r="AC5" s="19">
        <f t="shared" ref="AC5:AC11" si="7">SUM(B5:I5)</f>
        <v>63</v>
      </c>
      <c r="AD5" s="30">
        <f t="shared" ref="AD5:AD11" si="8">SUM(J5:Q5)</f>
        <v>6</v>
      </c>
      <c r="AE5" s="42">
        <f>SUM(B5:Q5)</f>
        <v>69</v>
      </c>
      <c r="AG5" s="64"/>
      <c r="AH5" s="65"/>
      <c r="AI5" s="65"/>
      <c r="AJ5" s="65"/>
      <c r="AK5" s="65"/>
      <c r="AL5" s="65"/>
      <c r="AM5" s="65"/>
      <c r="AN5" s="66"/>
      <c r="AP5" s="64"/>
      <c r="AQ5" s="65"/>
      <c r="AR5" s="65"/>
      <c r="AS5" s="65"/>
      <c r="AT5" s="65"/>
      <c r="AU5" s="65"/>
      <c r="AV5" s="65"/>
      <c r="AW5" s="66"/>
    </row>
    <row r="6" spans="1:49" ht="21" customHeight="1" thickBot="1">
      <c r="A6" s="14">
        <v>0.30208333333333331</v>
      </c>
      <c r="B6" s="15">
        <f>Ferney!B6+'StGenis total'!B6+Crassy!B6+'Mategnin Total'!B6</f>
        <v>36</v>
      </c>
      <c r="C6" s="15">
        <f>Ferney!C6+'StGenis total'!C6+Crassy!C6+'Mategnin Total'!C6</f>
        <v>11</v>
      </c>
      <c r="D6" s="15">
        <f>Ferney!D6+'StGenis total'!D6+Crassy!D6+'Mategnin Total'!D6</f>
        <v>14</v>
      </c>
      <c r="E6" s="15">
        <f>Ferney!E6+'StGenis total'!E6+Crassy!E6+'Mategnin Total'!E6</f>
        <v>12</v>
      </c>
      <c r="F6" s="15">
        <f>Ferney!F6+'StGenis total'!F6+Crassy!F6+'Mategnin Total'!F6</f>
        <v>3</v>
      </c>
      <c r="G6" s="15">
        <f>Ferney!G6+'StGenis total'!G6+Crassy!G6+'Mategnin Total'!G6</f>
        <v>1</v>
      </c>
      <c r="H6" s="15">
        <f>Ferney!H6+'StGenis total'!H6+Crassy!H6+'Mategnin Total'!H6</f>
        <v>7</v>
      </c>
      <c r="I6" s="15">
        <f>Ferney!I6+'StGenis total'!I6+Crassy!I6+'Mategnin Total'!I6</f>
        <v>3</v>
      </c>
      <c r="J6" s="15">
        <f>Ferney!J6+'StGenis total'!J6+Crassy!J6+'Mategnin Total'!J6</f>
        <v>5</v>
      </c>
      <c r="K6" s="15">
        <f>Ferney!K6+'StGenis total'!K6+Crassy!K6+'Mategnin Total'!K6</f>
        <v>2</v>
      </c>
      <c r="L6" s="15">
        <f>Ferney!L6+'StGenis total'!L6+Crassy!L6+'Mategnin Total'!L6</f>
        <v>2</v>
      </c>
      <c r="M6" s="15">
        <f>Ferney!M6+'StGenis total'!M6+Crassy!M6+'Mategnin Total'!M6</f>
        <v>0</v>
      </c>
      <c r="N6" s="15">
        <f>Ferney!N6+'StGenis total'!N6+Crassy!N6+'Mategnin Total'!N6</f>
        <v>0</v>
      </c>
      <c r="O6" s="15">
        <f>Ferney!O6+'StGenis total'!O6+Crassy!O6+'Mategnin Total'!O6</f>
        <v>1</v>
      </c>
      <c r="P6" s="15">
        <f>Ferney!P6+'StGenis total'!P6+Crassy!P6+'Mategnin Total'!P6</f>
        <v>0</v>
      </c>
      <c r="Q6" s="15">
        <f>Ferney!Q6+'StGenis total'!Q6+Crassy!Q6+'Mategnin Total'!Q6</f>
        <v>0</v>
      </c>
      <c r="S6" s="29">
        <f t="shared" si="0"/>
        <v>67</v>
      </c>
      <c r="T6" s="19">
        <f t="shared" si="0"/>
        <v>30</v>
      </c>
      <c r="U6" s="25">
        <f t="shared" si="1"/>
        <v>0.30927835051546393</v>
      </c>
      <c r="V6" s="19">
        <f t="shared" si="2"/>
        <v>54</v>
      </c>
      <c r="W6" s="19">
        <f t="shared" si="3"/>
        <v>28</v>
      </c>
      <c r="X6" s="19">
        <f t="shared" si="4"/>
        <v>5</v>
      </c>
      <c r="Y6" s="19">
        <f t="shared" si="5"/>
        <v>87</v>
      </c>
      <c r="Z6" s="44">
        <f t="shared" ref="Z6:Z14" si="9">W6/Y6</f>
        <v>0.32183908045977011</v>
      </c>
      <c r="AA6" s="44">
        <f t="shared" ref="AA6:AA14" si="10">X6/Y6</f>
        <v>5.7471264367816091E-2</v>
      </c>
      <c r="AB6" s="19">
        <f t="shared" si="6"/>
        <v>10</v>
      </c>
      <c r="AC6" s="19">
        <f t="shared" si="7"/>
        <v>87</v>
      </c>
      <c r="AD6" s="30">
        <f t="shared" si="8"/>
        <v>10</v>
      </c>
      <c r="AE6" s="42">
        <f t="shared" ref="AE6:AE14" si="11">SUM(B6:Q6)</f>
        <v>97</v>
      </c>
      <c r="AG6" s="64"/>
      <c r="AH6" s="65"/>
      <c r="AI6" s="65"/>
      <c r="AJ6" s="65"/>
      <c r="AK6" s="65"/>
      <c r="AL6" s="65"/>
      <c r="AM6" s="65"/>
      <c r="AN6" s="66"/>
      <c r="AP6" s="64"/>
      <c r="AQ6" s="65"/>
      <c r="AR6" s="65"/>
      <c r="AS6" s="65"/>
      <c r="AT6" s="65"/>
      <c r="AU6" s="65"/>
      <c r="AV6" s="65"/>
      <c r="AW6" s="66"/>
    </row>
    <row r="7" spans="1:49" ht="21" customHeight="1" thickBot="1">
      <c r="A7" s="14">
        <v>0.3125</v>
      </c>
      <c r="B7" s="15">
        <f>Ferney!B7+'StGenis total'!B7+Crassy!B7+'Mategnin Total'!B7</f>
        <v>34</v>
      </c>
      <c r="C7" s="15">
        <f>Ferney!C7+'StGenis total'!C7+Crassy!C7+'Mategnin Total'!C7</f>
        <v>14</v>
      </c>
      <c r="D7" s="15">
        <f>Ferney!D7+'StGenis total'!D7+Crassy!D7+'Mategnin Total'!D7</f>
        <v>10</v>
      </c>
      <c r="E7" s="15">
        <f>Ferney!E7+'StGenis total'!E7+Crassy!E7+'Mategnin Total'!E7</f>
        <v>7</v>
      </c>
      <c r="F7" s="15">
        <f>Ferney!F7+'StGenis total'!F7+Crassy!F7+'Mategnin Total'!F7</f>
        <v>1</v>
      </c>
      <c r="G7" s="15">
        <f>Ferney!G7+'StGenis total'!G7+Crassy!G7+'Mategnin Total'!G7</f>
        <v>1</v>
      </c>
      <c r="H7" s="15">
        <f>Ferney!H7+'StGenis total'!H7+Crassy!H7+'Mategnin Total'!H7</f>
        <v>3</v>
      </c>
      <c r="I7" s="15">
        <f>Ferney!I7+'StGenis total'!I7+Crassy!I7+'Mategnin Total'!I7</f>
        <v>0</v>
      </c>
      <c r="J7" s="15">
        <f>Ferney!J7+'StGenis total'!J7+Crassy!J7+'Mategnin Total'!J7</f>
        <v>3</v>
      </c>
      <c r="K7" s="15">
        <f>Ferney!K7+'StGenis total'!K7+Crassy!K7+'Mategnin Total'!K7</f>
        <v>1</v>
      </c>
      <c r="L7" s="15">
        <f>Ferney!L7+'StGenis total'!L7+Crassy!L7+'Mategnin Total'!L7</f>
        <v>3</v>
      </c>
      <c r="M7" s="15">
        <f>Ferney!M7+'StGenis total'!M7+Crassy!M7+'Mategnin Total'!M7</f>
        <v>0</v>
      </c>
      <c r="N7" s="15">
        <f>Ferney!N7+'StGenis total'!N7+Crassy!N7+'Mategnin Total'!N7</f>
        <v>0</v>
      </c>
      <c r="O7" s="15">
        <f>Ferney!O7+'StGenis total'!O7+Crassy!O7+'Mategnin Total'!O7</f>
        <v>0</v>
      </c>
      <c r="P7" s="15">
        <f>Ferney!P7+'StGenis total'!P7+Crassy!P7+'Mategnin Total'!P7</f>
        <v>1</v>
      </c>
      <c r="Q7" s="15">
        <f>Ferney!Q7+'StGenis total'!Q7+Crassy!Q7+'Mategnin Total'!Q7</f>
        <v>0</v>
      </c>
      <c r="S7" s="29">
        <f t="shared" si="0"/>
        <v>55</v>
      </c>
      <c r="T7" s="19">
        <f t="shared" si="0"/>
        <v>23</v>
      </c>
      <c r="U7" s="25">
        <f t="shared" si="1"/>
        <v>0.29487179487179488</v>
      </c>
      <c r="V7" s="19">
        <f t="shared" si="2"/>
        <v>52</v>
      </c>
      <c r="W7" s="19">
        <f t="shared" si="3"/>
        <v>20</v>
      </c>
      <c r="X7" s="19">
        <f t="shared" si="4"/>
        <v>2</v>
      </c>
      <c r="Y7" s="19">
        <f t="shared" si="5"/>
        <v>74</v>
      </c>
      <c r="Z7" s="44">
        <f t="shared" si="9"/>
        <v>0.27027027027027029</v>
      </c>
      <c r="AA7" s="44">
        <f t="shared" si="10"/>
        <v>2.7027027027027029E-2</v>
      </c>
      <c r="AB7" s="19">
        <f t="shared" si="6"/>
        <v>4</v>
      </c>
      <c r="AC7" s="19">
        <f t="shared" si="7"/>
        <v>70</v>
      </c>
      <c r="AD7" s="30">
        <f t="shared" si="8"/>
        <v>8</v>
      </c>
      <c r="AE7" s="42">
        <f t="shared" si="11"/>
        <v>78</v>
      </c>
      <c r="AG7" s="64"/>
      <c r="AH7" s="65"/>
      <c r="AI7" s="65"/>
      <c r="AJ7" s="65"/>
      <c r="AK7" s="65"/>
      <c r="AL7" s="65"/>
      <c r="AM7" s="65"/>
      <c r="AN7" s="66"/>
      <c r="AP7" s="64"/>
      <c r="AQ7" s="65"/>
      <c r="AR7" s="65"/>
      <c r="AS7" s="65"/>
      <c r="AT7" s="65"/>
      <c r="AU7" s="65"/>
      <c r="AV7" s="65"/>
      <c r="AW7" s="66"/>
    </row>
    <row r="8" spans="1:49" ht="21" customHeight="1" thickBot="1">
      <c r="A8" s="14">
        <v>0.32291666666666669</v>
      </c>
      <c r="B8" s="15">
        <f>Ferney!B8+'StGenis total'!B8+Crassy!B8+'Mategnin Total'!B8</f>
        <v>28</v>
      </c>
      <c r="C8" s="15">
        <f>Ferney!C8+'StGenis total'!C8+Crassy!C8+'Mategnin Total'!C8</f>
        <v>8</v>
      </c>
      <c r="D8" s="15">
        <f>Ferney!D8+'StGenis total'!D8+Crassy!D8+'Mategnin Total'!D8</f>
        <v>10</v>
      </c>
      <c r="E8" s="15">
        <f>Ferney!E8+'StGenis total'!E8+Crassy!E8+'Mategnin Total'!E8</f>
        <v>14</v>
      </c>
      <c r="F8" s="15">
        <f>Ferney!F8+'StGenis total'!F8+Crassy!F8+'Mategnin Total'!F8</f>
        <v>1</v>
      </c>
      <c r="G8" s="15">
        <f>Ferney!G8+'StGenis total'!G8+Crassy!G8+'Mategnin Total'!G8</f>
        <v>3</v>
      </c>
      <c r="H8" s="15">
        <f>Ferney!H8+'StGenis total'!H8+Crassy!H8+'Mategnin Total'!H8</f>
        <v>3</v>
      </c>
      <c r="I8" s="15">
        <f>Ferney!I8+'StGenis total'!I8+Crassy!I8+'Mategnin Total'!I8</f>
        <v>1</v>
      </c>
      <c r="J8" s="15">
        <f>Ferney!J8+'StGenis total'!J8+Crassy!J8+'Mategnin Total'!J8</f>
        <v>1</v>
      </c>
      <c r="K8" s="15">
        <f>Ferney!K8+'StGenis total'!K8+Crassy!K8+'Mategnin Total'!K8</f>
        <v>1</v>
      </c>
      <c r="L8" s="15">
        <f>Ferney!L8+'StGenis total'!L8+Crassy!L8+'Mategnin Total'!L8</f>
        <v>0</v>
      </c>
      <c r="M8" s="15">
        <f>Ferney!M8+'StGenis total'!M8+Crassy!M8+'Mategnin Total'!M8</f>
        <v>0</v>
      </c>
      <c r="N8" s="15">
        <f>Ferney!N8+'StGenis total'!N8+Crassy!N8+'Mategnin Total'!N8</f>
        <v>0</v>
      </c>
      <c r="O8" s="15">
        <f>Ferney!O8+'StGenis total'!O8+Crassy!O8+'Mategnin Total'!O8</f>
        <v>2</v>
      </c>
      <c r="P8" s="15">
        <f>Ferney!P8+'StGenis total'!P8+Crassy!P8+'Mategnin Total'!P8</f>
        <v>2</v>
      </c>
      <c r="Q8" s="15">
        <f>Ferney!Q8+'StGenis total'!Q8+Crassy!Q8+'Mategnin Total'!Q8</f>
        <v>1</v>
      </c>
      <c r="S8" s="29">
        <f t="shared" si="0"/>
        <v>45</v>
      </c>
      <c r="T8" s="19">
        <f t="shared" si="0"/>
        <v>30</v>
      </c>
      <c r="U8" s="25">
        <f t="shared" si="1"/>
        <v>0.4</v>
      </c>
      <c r="V8" s="19">
        <f t="shared" si="2"/>
        <v>38</v>
      </c>
      <c r="W8" s="19">
        <f t="shared" si="3"/>
        <v>24</v>
      </c>
      <c r="X8" s="19">
        <f t="shared" si="4"/>
        <v>6</v>
      </c>
      <c r="Y8" s="19">
        <f t="shared" si="5"/>
        <v>68</v>
      </c>
      <c r="Z8" s="44">
        <f t="shared" si="9"/>
        <v>0.35294117647058826</v>
      </c>
      <c r="AA8" s="44">
        <f t="shared" si="10"/>
        <v>8.8235294117647065E-2</v>
      </c>
      <c r="AB8" s="19">
        <f t="shared" si="6"/>
        <v>7</v>
      </c>
      <c r="AC8" s="19">
        <f t="shared" si="7"/>
        <v>68</v>
      </c>
      <c r="AD8" s="30">
        <f t="shared" si="8"/>
        <v>7</v>
      </c>
      <c r="AE8" s="42">
        <f t="shared" si="11"/>
        <v>75</v>
      </c>
      <c r="AG8" s="64"/>
      <c r="AH8" s="65"/>
      <c r="AI8" s="65"/>
      <c r="AJ8" s="65"/>
      <c r="AK8" s="65"/>
      <c r="AL8" s="65"/>
      <c r="AM8" s="65"/>
      <c r="AN8" s="66"/>
      <c r="AP8" s="64"/>
      <c r="AQ8" s="65"/>
      <c r="AR8" s="65"/>
      <c r="AS8" s="65"/>
      <c r="AT8" s="65"/>
      <c r="AU8" s="65"/>
      <c r="AV8" s="65"/>
      <c r="AW8" s="66"/>
    </row>
    <row r="9" spans="1:49" ht="21" customHeight="1" thickBot="1">
      <c r="A9" s="13">
        <v>0.33333333333333331</v>
      </c>
      <c r="B9" s="15">
        <f>Ferney!B9+'StGenis total'!B9+Crassy!B9+'Mategnin Total'!B9</f>
        <v>21</v>
      </c>
      <c r="C9" s="15">
        <f>Ferney!C9+'StGenis total'!C9+Crassy!C9+'Mategnin Total'!C9</f>
        <v>14</v>
      </c>
      <c r="D9" s="15">
        <f>Ferney!D9+'StGenis total'!D9+Crassy!D9+'Mategnin Total'!D9</f>
        <v>10</v>
      </c>
      <c r="E9" s="15">
        <f>Ferney!E9+'StGenis total'!E9+Crassy!E9+'Mategnin Total'!E9</f>
        <v>8</v>
      </c>
      <c r="F9" s="15">
        <f>Ferney!F9+'StGenis total'!F9+Crassy!F9+'Mategnin Total'!F9</f>
        <v>2</v>
      </c>
      <c r="G9" s="15">
        <f>Ferney!G9+'StGenis total'!G9+Crassy!G9+'Mategnin Total'!G9</f>
        <v>0</v>
      </c>
      <c r="H9" s="15">
        <f>Ferney!H9+'StGenis total'!H9+Crassy!H9+'Mategnin Total'!H9</f>
        <v>8</v>
      </c>
      <c r="I9" s="15">
        <f>Ferney!I9+'StGenis total'!I9+Crassy!I9+'Mategnin Total'!I9</f>
        <v>0</v>
      </c>
      <c r="J9" s="15">
        <f>Ferney!J9+'StGenis total'!J9+Crassy!J9+'Mategnin Total'!J9</f>
        <v>4</v>
      </c>
      <c r="K9" s="15">
        <f>Ferney!K9+'StGenis total'!K9+Crassy!K9+'Mategnin Total'!K9</f>
        <v>1</v>
      </c>
      <c r="L9" s="15">
        <f>Ferney!L9+'StGenis total'!L9+Crassy!L9+'Mategnin Total'!L9</f>
        <v>2</v>
      </c>
      <c r="M9" s="15">
        <f>Ferney!M9+'StGenis total'!M9+Crassy!M9+'Mategnin Total'!M9</f>
        <v>0</v>
      </c>
      <c r="N9" s="15">
        <f>Ferney!N9+'StGenis total'!N9+Crassy!N9+'Mategnin Total'!N9</f>
        <v>0</v>
      </c>
      <c r="O9" s="15">
        <f>Ferney!O9+'StGenis total'!O9+Crassy!O9+'Mategnin Total'!O9</f>
        <v>0</v>
      </c>
      <c r="P9" s="15">
        <f>Ferney!P9+'StGenis total'!P9+Crassy!P9+'Mategnin Total'!P9</f>
        <v>0</v>
      </c>
      <c r="Q9" s="15">
        <f>Ferney!Q9+'StGenis total'!Q9+Crassy!Q9+'Mategnin Total'!Q9</f>
        <v>1</v>
      </c>
      <c r="S9" s="29">
        <f t="shared" si="0"/>
        <v>47</v>
      </c>
      <c r="T9" s="19">
        <f t="shared" si="0"/>
        <v>24</v>
      </c>
      <c r="U9" s="25">
        <f t="shared" si="1"/>
        <v>0.3380281690140845</v>
      </c>
      <c r="V9" s="19">
        <f t="shared" si="2"/>
        <v>40</v>
      </c>
      <c r="W9" s="19">
        <f t="shared" si="3"/>
        <v>20</v>
      </c>
      <c r="X9" s="19">
        <f t="shared" si="4"/>
        <v>2</v>
      </c>
      <c r="Y9" s="19">
        <f t="shared" si="5"/>
        <v>62</v>
      </c>
      <c r="Z9" s="44">
        <f t="shared" si="9"/>
        <v>0.32258064516129031</v>
      </c>
      <c r="AA9" s="44">
        <f t="shared" si="10"/>
        <v>3.2258064516129031E-2</v>
      </c>
      <c r="AB9" s="19">
        <f t="shared" si="6"/>
        <v>9</v>
      </c>
      <c r="AC9" s="19">
        <f t="shared" si="7"/>
        <v>63</v>
      </c>
      <c r="AD9" s="30">
        <f t="shared" si="8"/>
        <v>8</v>
      </c>
      <c r="AE9" s="42">
        <f t="shared" si="11"/>
        <v>71</v>
      </c>
      <c r="AG9" s="64"/>
      <c r="AH9" s="65"/>
      <c r="AI9" s="65"/>
      <c r="AJ9" s="65"/>
      <c r="AK9" s="65"/>
      <c r="AL9" s="65"/>
      <c r="AM9" s="65"/>
      <c r="AN9" s="66"/>
      <c r="AP9" s="64"/>
      <c r="AQ9" s="65"/>
      <c r="AR9" s="65"/>
      <c r="AS9" s="65"/>
      <c r="AT9" s="65"/>
      <c r="AU9" s="65"/>
      <c r="AV9" s="65"/>
      <c r="AW9" s="66"/>
    </row>
    <row r="10" spans="1:49" ht="21" customHeight="1" thickBot="1">
      <c r="A10" s="14">
        <v>0.34375</v>
      </c>
      <c r="B10" s="15">
        <f>Ferney!B10+'StGenis total'!B10+Crassy!B10+'Mategnin Total'!B10</f>
        <v>24</v>
      </c>
      <c r="C10" s="15">
        <f>Ferney!C10+'StGenis total'!C10+Crassy!C10+'Mategnin Total'!C10</f>
        <v>13</v>
      </c>
      <c r="D10" s="15">
        <f>Ferney!D10+'StGenis total'!D10+Crassy!D10+'Mategnin Total'!D10</f>
        <v>8</v>
      </c>
      <c r="E10" s="15">
        <f>Ferney!E10+'StGenis total'!E10+Crassy!E10+'Mategnin Total'!E10</f>
        <v>16</v>
      </c>
      <c r="F10" s="15">
        <f>Ferney!F10+'StGenis total'!F10+Crassy!F10+'Mategnin Total'!F10</f>
        <v>3</v>
      </c>
      <c r="G10" s="15">
        <f>Ferney!G10+'StGenis total'!G10+Crassy!G10+'Mategnin Total'!G10</f>
        <v>3</v>
      </c>
      <c r="H10" s="15">
        <f>Ferney!H10+'StGenis total'!H10+Crassy!H10+'Mategnin Total'!H10</f>
        <v>5</v>
      </c>
      <c r="I10" s="15">
        <f>Ferney!I10+'StGenis total'!I10+Crassy!I10+'Mategnin Total'!I10</f>
        <v>2</v>
      </c>
      <c r="J10" s="15">
        <f>Ferney!J10+'StGenis total'!J10+Crassy!J10+'Mategnin Total'!J10</f>
        <v>3</v>
      </c>
      <c r="K10" s="15">
        <f>Ferney!K10+'StGenis total'!K10+Crassy!K10+'Mategnin Total'!K10</f>
        <v>0</v>
      </c>
      <c r="L10" s="15">
        <f>Ferney!L10+'StGenis total'!L10+Crassy!L10+'Mategnin Total'!L10</f>
        <v>2</v>
      </c>
      <c r="M10" s="15">
        <f>Ferney!M10+'StGenis total'!M10+Crassy!M10+'Mategnin Total'!M10</f>
        <v>1</v>
      </c>
      <c r="N10" s="15">
        <f>Ferney!N10+'StGenis total'!N10+Crassy!N10+'Mategnin Total'!N10</f>
        <v>0</v>
      </c>
      <c r="O10" s="15">
        <f>Ferney!O10+'StGenis total'!O10+Crassy!O10+'Mategnin Total'!O10</f>
        <v>0</v>
      </c>
      <c r="P10" s="15">
        <f>Ferney!P10+'StGenis total'!P10+Crassy!P10+'Mategnin Total'!P10</f>
        <v>3</v>
      </c>
      <c r="Q10" s="15">
        <f>Ferney!Q10+'StGenis total'!Q10+Crassy!Q10+'Mategnin Total'!Q10</f>
        <v>4</v>
      </c>
      <c r="S10" s="29">
        <f t="shared" si="0"/>
        <v>48</v>
      </c>
      <c r="T10" s="19">
        <f t="shared" si="0"/>
        <v>39</v>
      </c>
      <c r="U10" s="25">
        <f t="shared" si="1"/>
        <v>0.44827586206896552</v>
      </c>
      <c r="V10" s="19">
        <f t="shared" si="2"/>
        <v>40</v>
      </c>
      <c r="W10" s="19">
        <f t="shared" si="3"/>
        <v>27</v>
      </c>
      <c r="X10" s="19">
        <f t="shared" si="4"/>
        <v>6</v>
      </c>
      <c r="Y10" s="19">
        <f t="shared" si="5"/>
        <v>73</v>
      </c>
      <c r="Z10" s="44">
        <f t="shared" si="9"/>
        <v>0.36986301369863012</v>
      </c>
      <c r="AA10" s="44">
        <f t="shared" si="10"/>
        <v>8.2191780821917804E-2</v>
      </c>
      <c r="AB10" s="19">
        <f t="shared" si="6"/>
        <v>14</v>
      </c>
      <c r="AC10" s="19">
        <f t="shared" si="7"/>
        <v>74</v>
      </c>
      <c r="AD10" s="30">
        <f t="shared" si="8"/>
        <v>13</v>
      </c>
      <c r="AE10" s="42">
        <f t="shared" si="11"/>
        <v>87</v>
      </c>
      <c r="AG10" s="64"/>
      <c r="AH10" s="65"/>
      <c r="AI10" s="65"/>
      <c r="AJ10" s="65"/>
      <c r="AK10" s="65"/>
      <c r="AL10" s="65"/>
      <c r="AM10" s="65"/>
      <c r="AN10" s="66"/>
      <c r="AP10" s="64"/>
      <c r="AQ10" s="65"/>
      <c r="AR10" s="65"/>
      <c r="AS10" s="65"/>
      <c r="AT10" s="65"/>
      <c r="AU10" s="65"/>
      <c r="AV10" s="65"/>
      <c r="AW10" s="66"/>
    </row>
    <row r="11" spans="1:49" ht="21" customHeight="1" thickBot="1">
      <c r="A11" s="14">
        <v>0.35416666666666669</v>
      </c>
      <c r="B11" s="15">
        <f>Ferney!B11+'StGenis total'!B11+Crassy!B11+'Mategnin Total'!B11</f>
        <v>35</v>
      </c>
      <c r="C11" s="15">
        <f>Ferney!C11+'StGenis total'!C11+Crassy!C11+'Mategnin Total'!C11</f>
        <v>8</v>
      </c>
      <c r="D11" s="15">
        <f>Ferney!D11+'StGenis total'!D11+Crassy!D11+'Mategnin Total'!D11</f>
        <v>9</v>
      </c>
      <c r="E11" s="15">
        <f>Ferney!E11+'StGenis total'!E11+Crassy!E11+'Mategnin Total'!E11</f>
        <v>6</v>
      </c>
      <c r="F11" s="15">
        <f>Ferney!F11+'StGenis total'!F11+Crassy!F11+'Mategnin Total'!F11</f>
        <v>5</v>
      </c>
      <c r="G11" s="15">
        <f>Ferney!G11+'StGenis total'!G11+Crassy!G11+'Mategnin Total'!G11</f>
        <v>6</v>
      </c>
      <c r="H11" s="15">
        <f>Ferney!H11+'StGenis total'!H11+Crassy!H11+'Mategnin Total'!H11</f>
        <v>10</v>
      </c>
      <c r="I11" s="15">
        <f>Ferney!I11+'StGenis total'!I11+Crassy!I11+'Mategnin Total'!I11</f>
        <v>0</v>
      </c>
      <c r="J11" s="15">
        <f>Ferney!J11+'StGenis total'!J11+Crassy!J11+'Mategnin Total'!J11</f>
        <v>4</v>
      </c>
      <c r="K11" s="15">
        <f>Ferney!K11+'StGenis total'!K11+Crassy!K11+'Mategnin Total'!K11</f>
        <v>3</v>
      </c>
      <c r="L11" s="15">
        <f>Ferney!L11+'StGenis total'!L11+Crassy!L11+'Mategnin Total'!L11</f>
        <v>3</v>
      </c>
      <c r="M11" s="15">
        <f>Ferney!M11+'StGenis total'!M11+Crassy!M11+'Mategnin Total'!M11</f>
        <v>1</v>
      </c>
      <c r="N11" s="15">
        <f>Ferney!N11+'StGenis total'!N11+Crassy!N11+'Mategnin Total'!N11</f>
        <v>0</v>
      </c>
      <c r="O11" s="15">
        <f>Ferney!O11+'StGenis total'!O11+Crassy!O11+'Mategnin Total'!O11</f>
        <v>0</v>
      </c>
      <c r="P11" s="15">
        <f>Ferney!P11+'StGenis total'!P11+Crassy!P11+'Mategnin Total'!P11</f>
        <v>0</v>
      </c>
      <c r="Q11" s="15">
        <f>Ferney!Q11+'StGenis total'!Q11+Crassy!Q11+'Mategnin Total'!Q11</f>
        <v>0</v>
      </c>
      <c r="S11" s="29">
        <f t="shared" si="0"/>
        <v>66</v>
      </c>
      <c r="T11" s="19">
        <f t="shared" si="0"/>
        <v>24</v>
      </c>
      <c r="U11" s="25">
        <f t="shared" si="1"/>
        <v>0.26666666666666666</v>
      </c>
      <c r="V11" s="19">
        <f t="shared" si="2"/>
        <v>50</v>
      </c>
      <c r="W11" s="19">
        <f t="shared" si="3"/>
        <v>19</v>
      </c>
      <c r="X11" s="19">
        <f t="shared" si="4"/>
        <v>11</v>
      </c>
      <c r="Y11" s="19">
        <f t="shared" si="5"/>
        <v>80</v>
      </c>
      <c r="Z11" s="44">
        <f t="shared" si="9"/>
        <v>0.23749999999999999</v>
      </c>
      <c r="AA11" s="44">
        <f t="shared" si="10"/>
        <v>0.13750000000000001</v>
      </c>
      <c r="AB11" s="19">
        <f t="shared" si="6"/>
        <v>10</v>
      </c>
      <c r="AC11" s="19">
        <f t="shared" si="7"/>
        <v>79</v>
      </c>
      <c r="AD11" s="30">
        <f t="shared" si="8"/>
        <v>11</v>
      </c>
      <c r="AE11" s="42">
        <f t="shared" si="11"/>
        <v>90</v>
      </c>
      <c r="AG11" s="64"/>
      <c r="AH11" s="65"/>
      <c r="AI11" s="65"/>
      <c r="AJ11" s="65"/>
      <c r="AK11" s="65"/>
      <c r="AL11" s="65"/>
      <c r="AM11" s="65"/>
      <c r="AN11" s="66"/>
      <c r="AP11" s="64"/>
      <c r="AQ11" s="65"/>
      <c r="AR11" s="65"/>
      <c r="AS11" s="65"/>
      <c r="AT11" s="65"/>
      <c r="AU11" s="65"/>
      <c r="AV11" s="65"/>
      <c r="AW11" s="66"/>
    </row>
    <row r="12" spans="1:49" ht="21" customHeight="1" thickBot="1">
      <c r="A12" s="14">
        <v>0.36458333333333331</v>
      </c>
      <c r="B12" s="15">
        <f>Ferney!B12+'StGenis total'!B12+Crassy!B12+'Mategnin Total'!B12</f>
        <v>18</v>
      </c>
      <c r="C12" s="15">
        <f>Ferney!C12+'StGenis total'!C12+Crassy!C12+'Mategnin Total'!C12</f>
        <v>9</v>
      </c>
      <c r="D12" s="15">
        <f>Ferney!D12+'StGenis total'!D12+Crassy!D12+'Mategnin Total'!D12</f>
        <v>9</v>
      </c>
      <c r="E12" s="15">
        <f>Ferney!E12+'StGenis total'!E12+Crassy!E12+'Mategnin Total'!E12</f>
        <v>2</v>
      </c>
      <c r="F12" s="15">
        <f>Ferney!F12+'StGenis total'!F12+Crassy!F12+'Mategnin Total'!F12</f>
        <v>2</v>
      </c>
      <c r="G12" s="15">
        <f>Ferney!G12+'StGenis total'!G12+Crassy!G12+'Mategnin Total'!G12</f>
        <v>5</v>
      </c>
      <c r="H12" s="15">
        <f>Ferney!H12+'StGenis total'!H12+Crassy!H12+'Mategnin Total'!H12</f>
        <v>7</v>
      </c>
      <c r="I12" s="15">
        <f>Ferney!I12+'StGenis total'!I12+Crassy!I12+'Mategnin Total'!I12</f>
        <v>3</v>
      </c>
      <c r="J12" s="15">
        <f>Ferney!J12+'StGenis total'!J12+Crassy!J12+'Mategnin Total'!J12</f>
        <v>4</v>
      </c>
      <c r="K12" s="15">
        <f>Ferney!K12+'StGenis total'!K12+Crassy!K12+'Mategnin Total'!K12</f>
        <v>4</v>
      </c>
      <c r="L12" s="15">
        <f>Ferney!L12+'StGenis total'!L12+Crassy!L12+'Mategnin Total'!L12</f>
        <v>1</v>
      </c>
      <c r="M12" s="15">
        <f>Ferney!M12+'StGenis total'!M12+Crassy!M12+'Mategnin Total'!M12</f>
        <v>0</v>
      </c>
      <c r="N12" s="15">
        <f>Ferney!N12+'StGenis total'!N12+Crassy!N12+'Mategnin Total'!N12</f>
        <v>0</v>
      </c>
      <c r="O12" s="15">
        <f>Ferney!O12+'StGenis total'!O12+Crassy!O12+'Mategnin Total'!O12</f>
        <v>0</v>
      </c>
      <c r="P12" s="15">
        <f>Ferney!P12+'StGenis total'!P12+Crassy!P12+'Mategnin Total'!P12</f>
        <v>2</v>
      </c>
      <c r="Q12" s="15">
        <f>Ferney!Q12+'StGenis total'!Q12+Crassy!Q12+'Mategnin Total'!Q12</f>
        <v>5</v>
      </c>
      <c r="S12" s="29">
        <f t="shared" ref="S12:T14" si="12">B12+D12+F12+H12+J12+L12+N12+P12</f>
        <v>43</v>
      </c>
      <c r="T12" s="19">
        <f t="shared" si="12"/>
        <v>28</v>
      </c>
      <c r="U12" s="25">
        <f>T12/(T12+S12)</f>
        <v>0.39436619718309857</v>
      </c>
      <c r="V12" s="19">
        <f>B12+C12+J12+K12</f>
        <v>35</v>
      </c>
      <c r="W12" s="19">
        <f>D12+E12+L12+M12</f>
        <v>12</v>
      </c>
      <c r="X12" s="19">
        <f>F12+G12+N12+O12</f>
        <v>7</v>
      </c>
      <c r="Y12" s="19">
        <f>SUM(V12:X12)</f>
        <v>54</v>
      </c>
      <c r="Z12" s="44">
        <f t="shared" si="9"/>
        <v>0.22222222222222221</v>
      </c>
      <c r="AA12" s="44">
        <f t="shared" si="10"/>
        <v>0.12962962962962962</v>
      </c>
      <c r="AB12" s="19">
        <f>H12+I12+P12+Q12</f>
        <v>17</v>
      </c>
      <c r="AC12" s="19">
        <f>SUM(B12:I12)</f>
        <v>55</v>
      </c>
      <c r="AD12" s="30">
        <f>SUM(J12:Q12)</f>
        <v>16</v>
      </c>
      <c r="AE12" s="42">
        <f t="shared" si="11"/>
        <v>71</v>
      </c>
      <c r="AG12" s="64"/>
      <c r="AH12" s="65"/>
      <c r="AI12" s="65"/>
      <c r="AJ12" s="65"/>
      <c r="AK12" s="65"/>
      <c r="AL12" s="65"/>
      <c r="AM12" s="65"/>
      <c r="AN12" s="66"/>
      <c r="AP12" s="64"/>
      <c r="AQ12" s="65"/>
      <c r="AR12" s="65"/>
      <c r="AS12" s="65"/>
      <c r="AT12" s="65"/>
      <c r="AU12" s="65"/>
      <c r="AV12" s="65"/>
      <c r="AW12" s="66"/>
    </row>
    <row r="13" spans="1:49" ht="15" thickBot="1">
      <c r="A13" s="24" t="s">
        <v>13</v>
      </c>
      <c r="B13" s="35">
        <f>SUM(B5:B12)</f>
        <v>220</v>
      </c>
      <c r="C13" s="35">
        <f t="shared" ref="C13:Q13" si="13">SUM(C5:C12)</f>
        <v>84</v>
      </c>
      <c r="D13" s="35">
        <f t="shared" si="13"/>
        <v>78</v>
      </c>
      <c r="E13" s="35">
        <f t="shared" si="13"/>
        <v>80</v>
      </c>
      <c r="F13" s="35">
        <f t="shared" si="13"/>
        <v>19</v>
      </c>
      <c r="G13" s="35">
        <f t="shared" si="13"/>
        <v>20</v>
      </c>
      <c r="H13" s="35">
        <f t="shared" si="13"/>
        <v>48</v>
      </c>
      <c r="I13" s="35">
        <f t="shared" si="13"/>
        <v>10</v>
      </c>
      <c r="J13" s="35">
        <f t="shared" si="13"/>
        <v>27</v>
      </c>
      <c r="K13" s="35">
        <f t="shared" si="13"/>
        <v>13</v>
      </c>
      <c r="L13" s="35">
        <f t="shared" si="13"/>
        <v>14</v>
      </c>
      <c r="M13" s="35">
        <f t="shared" si="13"/>
        <v>3</v>
      </c>
      <c r="N13" s="35">
        <f t="shared" si="13"/>
        <v>0</v>
      </c>
      <c r="O13" s="35">
        <f t="shared" si="13"/>
        <v>3</v>
      </c>
      <c r="P13" s="35">
        <f t="shared" si="13"/>
        <v>8</v>
      </c>
      <c r="Q13" s="35">
        <f t="shared" si="13"/>
        <v>11</v>
      </c>
      <c r="S13" s="31">
        <f t="shared" si="12"/>
        <v>414</v>
      </c>
      <c r="T13" s="32">
        <f t="shared" si="12"/>
        <v>224</v>
      </c>
      <c r="U13" s="33">
        <f>T13/(T13+S13)</f>
        <v>0.35109717868338558</v>
      </c>
      <c r="V13" s="32">
        <f>B13+C13+J13+K13</f>
        <v>344</v>
      </c>
      <c r="W13" s="32">
        <f>D13+E13+L13+M13</f>
        <v>175</v>
      </c>
      <c r="X13" s="32">
        <f>F13+G13+N13+O13</f>
        <v>42</v>
      </c>
      <c r="Y13" s="32">
        <f>SUM(V13:X13)</f>
        <v>561</v>
      </c>
      <c r="Z13" s="44">
        <f t="shared" si="9"/>
        <v>0.31194295900178254</v>
      </c>
      <c r="AA13" s="44">
        <f t="shared" si="10"/>
        <v>7.4866310160427801E-2</v>
      </c>
      <c r="AB13" s="32">
        <f>H13+I13+P13+Q13</f>
        <v>77</v>
      </c>
      <c r="AC13" s="32">
        <f>SUM(B13:I13)</f>
        <v>559</v>
      </c>
      <c r="AD13" s="34">
        <f>SUM(J13:Q13)</f>
        <v>79</v>
      </c>
      <c r="AE13" s="43">
        <f t="shared" si="11"/>
        <v>638</v>
      </c>
      <c r="AG13" s="67">
        <f>Ferney!AG13+'StGenis total'!AG13+'Mategnin Total'!AG13</f>
        <v>1049</v>
      </c>
      <c r="AH13" s="67">
        <f>Ferney!AH13+'StGenis total'!AH13+'Mategnin Total'!AH13</f>
        <v>160</v>
      </c>
      <c r="AI13" s="67">
        <f>Ferney!AI13+'StGenis total'!AI13+'Mategnin Total'!AI13</f>
        <v>846</v>
      </c>
      <c r="AJ13" s="67">
        <f>Ferney!AJ13+'StGenis total'!AJ13+'Mategnin Total'!AJ13</f>
        <v>363</v>
      </c>
      <c r="AK13" s="67">
        <f>Ferney!AK13+'StGenis total'!AK13+'Mategnin Total'!AK13</f>
        <v>1105</v>
      </c>
      <c r="AL13" s="67">
        <f>Ferney!AL13+'StGenis total'!AL13+'Mategnin Total'!AL13</f>
        <v>104</v>
      </c>
      <c r="AM13" s="67">
        <f>AJ13/(AJ13+AI13)</f>
        <v>0.30024813895781638</v>
      </c>
      <c r="AN13" s="67">
        <f>Ferney!AN13+'StGenis total'!AN13+'Mategnin Total'!AN13</f>
        <v>1209</v>
      </c>
      <c r="AP13" s="70">
        <f>(Y13-AG13)/AG13</f>
        <v>-0.46520495710200188</v>
      </c>
      <c r="AQ13" s="70">
        <f>(AB13-AH13)/AH13</f>
        <v>-0.51875000000000004</v>
      </c>
      <c r="AR13" s="70">
        <f>(S13-AI13)/AI13</f>
        <v>-0.51063829787234039</v>
      </c>
      <c r="AS13" s="70">
        <f>(T13-AJ13)/AJ13</f>
        <v>-0.38292011019283745</v>
      </c>
      <c r="AT13" s="70">
        <f>(AC13-AK13)/AK13</f>
        <v>-0.49411764705882355</v>
      </c>
      <c r="AU13" s="70">
        <f>(AD13-AL13)/AL13</f>
        <v>-0.24038461538461539</v>
      </c>
      <c r="AV13" s="70">
        <f>(U13-AM13)/AM13</f>
        <v>0.16935671908598668</v>
      </c>
      <c r="AW13" s="70">
        <f>(AE13-AN13)/AN13</f>
        <v>-0.47229114971050457</v>
      </c>
    </row>
    <row r="14" spans="1:49" ht="15" thickBot="1">
      <c r="A14" s="24" t="s">
        <v>32</v>
      </c>
      <c r="B14" s="24">
        <f>SUM(B7:B10)</f>
        <v>107</v>
      </c>
      <c r="C14" s="24">
        <f t="shared" ref="C14:Q14" si="14">SUM(C7:C10)</f>
        <v>49</v>
      </c>
      <c r="D14" s="24">
        <f t="shared" si="14"/>
        <v>38</v>
      </c>
      <c r="E14" s="24">
        <f t="shared" si="14"/>
        <v>45</v>
      </c>
      <c r="F14" s="24">
        <f t="shared" si="14"/>
        <v>7</v>
      </c>
      <c r="G14" s="24">
        <f t="shared" si="14"/>
        <v>7</v>
      </c>
      <c r="H14" s="24">
        <f t="shared" si="14"/>
        <v>19</v>
      </c>
      <c r="I14" s="24">
        <f t="shared" si="14"/>
        <v>3</v>
      </c>
      <c r="J14" s="24">
        <f t="shared" si="14"/>
        <v>11</v>
      </c>
      <c r="K14" s="24">
        <f t="shared" si="14"/>
        <v>3</v>
      </c>
      <c r="L14" s="24">
        <f t="shared" si="14"/>
        <v>7</v>
      </c>
      <c r="M14" s="24">
        <f t="shared" si="14"/>
        <v>1</v>
      </c>
      <c r="N14" s="24">
        <f t="shared" si="14"/>
        <v>0</v>
      </c>
      <c r="O14" s="24">
        <f t="shared" si="14"/>
        <v>2</v>
      </c>
      <c r="P14" s="24">
        <f t="shared" si="14"/>
        <v>6</v>
      </c>
      <c r="Q14" s="24">
        <f t="shared" si="14"/>
        <v>6</v>
      </c>
      <c r="S14" s="51">
        <f t="shared" si="12"/>
        <v>195</v>
      </c>
      <c r="T14" s="35">
        <f t="shared" si="12"/>
        <v>116</v>
      </c>
      <c r="U14" s="52">
        <f>T14/(T14+S14)</f>
        <v>0.37299035369774919</v>
      </c>
      <c r="V14" s="35">
        <f>B14+C14+J14+K14</f>
        <v>170</v>
      </c>
      <c r="W14" s="35">
        <f>D14+E14+L14+M14</f>
        <v>91</v>
      </c>
      <c r="X14" s="35">
        <f>F14+G14+N14+O14</f>
        <v>16</v>
      </c>
      <c r="Y14" s="35">
        <f>SUM(V14:X14)</f>
        <v>277</v>
      </c>
      <c r="Z14" s="53">
        <f t="shared" si="9"/>
        <v>0.32851985559566788</v>
      </c>
      <c r="AA14" s="53">
        <f t="shared" si="10"/>
        <v>5.7761732851985562E-2</v>
      </c>
      <c r="AB14" s="35">
        <f>H14+I14+P14+Q14</f>
        <v>34</v>
      </c>
      <c r="AC14" s="35">
        <f>SUM(B14:I14)</f>
        <v>275</v>
      </c>
      <c r="AD14" s="36">
        <f>SUM(J14:Q14)</f>
        <v>36</v>
      </c>
      <c r="AE14" s="54">
        <f t="shared" si="11"/>
        <v>311</v>
      </c>
    </row>
    <row r="16" spans="1:49">
      <c r="A16" t="s">
        <v>30</v>
      </c>
      <c r="B16">
        <f>SUM(B5:B8)</f>
        <v>122</v>
      </c>
      <c r="C16">
        <f t="shared" ref="C16:Q16" si="15">SUM(C5:C8)</f>
        <v>40</v>
      </c>
      <c r="D16">
        <f t="shared" si="15"/>
        <v>42</v>
      </c>
      <c r="E16">
        <f t="shared" si="15"/>
        <v>48</v>
      </c>
      <c r="F16">
        <f t="shared" si="15"/>
        <v>7</v>
      </c>
      <c r="G16">
        <f t="shared" si="15"/>
        <v>6</v>
      </c>
      <c r="H16">
        <f t="shared" si="15"/>
        <v>18</v>
      </c>
      <c r="I16">
        <f t="shared" si="15"/>
        <v>5</v>
      </c>
      <c r="J16">
        <f t="shared" si="15"/>
        <v>12</v>
      </c>
      <c r="K16">
        <f t="shared" si="15"/>
        <v>5</v>
      </c>
      <c r="L16">
        <f t="shared" si="15"/>
        <v>6</v>
      </c>
      <c r="M16">
        <f t="shared" si="15"/>
        <v>1</v>
      </c>
      <c r="N16">
        <f t="shared" si="15"/>
        <v>0</v>
      </c>
      <c r="O16">
        <f t="shared" si="15"/>
        <v>3</v>
      </c>
      <c r="P16">
        <f t="shared" si="15"/>
        <v>3</v>
      </c>
      <c r="Q16">
        <f t="shared" si="15"/>
        <v>1</v>
      </c>
    </row>
    <row r="17" spans="1:17">
      <c r="A17" t="s">
        <v>31</v>
      </c>
      <c r="B17">
        <f>SUM(B9:B12)</f>
        <v>98</v>
      </c>
      <c r="C17">
        <f t="shared" ref="C17:Q17" si="16">SUM(C9:C12)</f>
        <v>44</v>
      </c>
      <c r="D17">
        <f t="shared" si="16"/>
        <v>36</v>
      </c>
      <c r="E17">
        <f t="shared" si="16"/>
        <v>32</v>
      </c>
      <c r="F17">
        <f t="shared" si="16"/>
        <v>12</v>
      </c>
      <c r="G17">
        <f t="shared" si="16"/>
        <v>14</v>
      </c>
      <c r="H17">
        <f t="shared" si="16"/>
        <v>30</v>
      </c>
      <c r="I17">
        <f t="shared" si="16"/>
        <v>5</v>
      </c>
      <c r="J17">
        <f t="shared" si="16"/>
        <v>15</v>
      </c>
      <c r="K17">
        <f t="shared" si="16"/>
        <v>8</v>
      </c>
      <c r="L17">
        <f t="shared" si="16"/>
        <v>8</v>
      </c>
      <c r="M17">
        <f t="shared" si="16"/>
        <v>2</v>
      </c>
      <c r="N17">
        <f t="shared" si="16"/>
        <v>0</v>
      </c>
      <c r="O17">
        <f t="shared" si="16"/>
        <v>0</v>
      </c>
      <c r="P17">
        <f t="shared" si="16"/>
        <v>5</v>
      </c>
      <c r="Q17">
        <f t="shared" si="16"/>
        <v>10</v>
      </c>
    </row>
  </sheetData>
  <mergeCells count="13">
    <mergeCell ref="AG2:AN2"/>
    <mergeCell ref="AP2:AW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5590-EA32-48BD-8DC9-3302B660604B}">
  <dimension ref="A1:AW17"/>
  <sheetViews>
    <sheetView topLeftCell="AB1" workbookViewId="0">
      <selection activeCell="AM13" sqref="AM13"/>
    </sheetView>
  </sheetViews>
  <sheetFormatPr defaultRowHeight="14.4"/>
  <cols>
    <col min="1" max="1" width="10.33203125" customWidth="1"/>
    <col min="2" max="17" width="5" customWidth="1"/>
  </cols>
  <sheetData>
    <row r="1" spans="1:49" ht="30.6" customHeight="1" thickBot="1">
      <c r="B1" s="11" t="s">
        <v>11</v>
      </c>
      <c r="C1" s="12"/>
    </row>
    <row r="2" spans="1:49" s="10" customFormat="1" ht="16.2" customHeight="1" thickBot="1">
      <c r="A2" s="9"/>
      <c r="B2" s="55" t="s">
        <v>5</v>
      </c>
      <c r="C2" s="57"/>
      <c r="D2" s="57"/>
      <c r="E2" s="57"/>
      <c r="F2" s="57"/>
      <c r="G2" s="57"/>
      <c r="H2" s="57"/>
      <c r="I2" s="58"/>
      <c r="J2" s="55" t="s">
        <v>6</v>
      </c>
      <c r="K2" s="57"/>
      <c r="L2" s="57"/>
      <c r="M2" s="57"/>
      <c r="N2" s="57"/>
      <c r="O2" s="57"/>
      <c r="P2" s="57"/>
      <c r="Q2" s="58"/>
      <c r="R2"/>
      <c r="S2" s="59" t="s">
        <v>14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G2" s="61">
        <v>2019</v>
      </c>
      <c r="AH2" s="62"/>
      <c r="AI2" s="62"/>
      <c r="AJ2" s="62"/>
      <c r="AK2" s="62"/>
      <c r="AL2" s="62"/>
      <c r="AM2" s="62"/>
      <c r="AN2" s="63"/>
      <c r="AP2" s="61" t="s">
        <v>44</v>
      </c>
      <c r="AQ2" s="62"/>
      <c r="AR2" s="62"/>
      <c r="AS2" s="62"/>
      <c r="AT2" s="62"/>
      <c r="AU2" s="62"/>
      <c r="AV2" s="62"/>
      <c r="AW2" s="63"/>
    </row>
    <row r="3" spans="1:49" s="10" customFormat="1" ht="68.400000000000006" customHeight="1">
      <c r="A3" s="9"/>
      <c r="B3" s="55" t="s">
        <v>9</v>
      </c>
      <c r="C3" s="58"/>
      <c r="D3" s="60" t="s">
        <v>7</v>
      </c>
      <c r="E3" s="56"/>
      <c r="F3" s="60" t="s">
        <v>8</v>
      </c>
      <c r="G3" s="56"/>
      <c r="H3" s="55" t="s">
        <v>0</v>
      </c>
      <c r="I3" s="56"/>
      <c r="J3" s="55" t="s">
        <v>4</v>
      </c>
      <c r="K3" s="58"/>
      <c r="L3" s="60" t="s">
        <v>7</v>
      </c>
      <c r="M3" s="56"/>
      <c r="N3" s="60" t="s">
        <v>10</v>
      </c>
      <c r="O3" s="56"/>
      <c r="P3" s="55" t="s">
        <v>0</v>
      </c>
      <c r="Q3" s="56"/>
      <c r="R3"/>
      <c r="S3" s="26" t="s">
        <v>21</v>
      </c>
      <c r="T3" s="27" t="s">
        <v>15</v>
      </c>
      <c r="U3" s="27" t="s">
        <v>16</v>
      </c>
      <c r="V3" s="27" t="s">
        <v>17</v>
      </c>
      <c r="W3" s="27" t="s">
        <v>7</v>
      </c>
      <c r="X3" s="27" t="s">
        <v>18</v>
      </c>
      <c r="Y3" s="27" t="s">
        <v>26</v>
      </c>
      <c r="Z3" s="27" t="s">
        <v>28</v>
      </c>
      <c r="AA3" s="27" t="s">
        <v>29</v>
      </c>
      <c r="AB3" s="27" t="s">
        <v>20</v>
      </c>
      <c r="AC3" s="27" t="s">
        <v>22</v>
      </c>
      <c r="AD3" s="28" t="s">
        <v>23</v>
      </c>
      <c r="AE3" s="41" t="s">
        <v>27</v>
      </c>
      <c r="AG3" s="64" t="s">
        <v>38</v>
      </c>
      <c r="AH3" s="65" t="s">
        <v>39</v>
      </c>
      <c r="AI3" s="65" t="s">
        <v>21</v>
      </c>
      <c r="AJ3" s="65" t="s">
        <v>15</v>
      </c>
      <c r="AK3" s="65" t="s">
        <v>40</v>
      </c>
      <c r="AL3" s="65" t="s">
        <v>41</v>
      </c>
      <c r="AM3" s="65" t="s">
        <v>42</v>
      </c>
      <c r="AN3" s="66" t="s">
        <v>43</v>
      </c>
      <c r="AP3" s="64" t="s">
        <v>38</v>
      </c>
      <c r="AQ3" s="65" t="s">
        <v>39</v>
      </c>
      <c r="AR3" s="65" t="s">
        <v>21</v>
      </c>
      <c r="AS3" s="65" t="s">
        <v>15</v>
      </c>
      <c r="AT3" s="65" t="s">
        <v>40</v>
      </c>
      <c r="AU3" s="65" t="s">
        <v>41</v>
      </c>
      <c r="AV3" s="65" t="s">
        <v>42</v>
      </c>
      <c r="AW3" s="66" t="s">
        <v>43</v>
      </c>
    </row>
    <row r="4" spans="1:49" ht="21.6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2"/>
      <c r="AG4" s="64"/>
      <c r="AH4" s="65"/>
      <c r="AI4" s="65"/>
      <c r="AJ4" s="65"/>
      <c r="AK4" s="65"/>
      <c r="AL4" s="65"/>
      <c r="AM4" s="65"/>
      <c r="AN4" s="66"/>
      <c r="AP4" s="64"/>
      <c r="AQ4" s="65"/>
      <c r="AR4" s="65"/>
      <c r="AS4" s="65"/>
      <c r="AT4" s="65"/>
      <c r="AU4" s="65"/>
      <c r="AV4" s="65"/>
      <c r="AW4" s="66"/>
    </row>
    <row r="5" spans="1:49" ht="21" customHeight="1" thickBot="1">
      <c r="A5" s="13">
        <v>0.29166666666666669</v>
      </c>
      <c r="B5" s="5">
        <v>3</v>
      </c>
      <c r="C5" s="6">
        <v>3</v>
      </c>
      <c r="D5" s="7">
        <v>1</v>
      </c>
      <c r="E5" s="8">
        <v>4</v>
      </c>
      <c r="F5" s="7"/>
      <c r="G5" s="8"/>
      <c r="H5" s="5"/>
      <c r="I5" s="6"/>
      <c r="J5" s="5"/>
      <c r="K5" s="6">
        <v>1</v>
      </c>
      <c r="L5" s="7"/>
      <c r="M5" s="8"/>
      <c r="N5" s="7"/>
      <c r="O5" s="8"/>
      <c r="P5" s="5"/>
      <c r="Q5" s="6"/>
      <c r="S5" s="29">
        <f t="shared" ref="S5:T11" si="0">B5+D5+F5+H5+J5+L5+N5+P5</f>
        <v>4</v>
      </c>
      <c r="T5" s="19">
        <f t="shared" si="0"/>
        <v>8</v>
      </c>
      <c r="U5" s="25">
        <f t="shared" ref="U5:U11" si="1">T5/(T5+S5)</f>
        <v>0.66666666666666663</v>
      </c>
      <c r="V5" s="19">
        <f t="shared" ref="V5:V11" si="2">B5+C5+J5+K5</f>
        <v>7</v>
      </c>
      <c r="W5" s="19">
        <f t="shared" ref="W5:W11" si="3">D5+E5+L5+M5</f>
        <v>5</v>
      </c>
      <c r="X5" s="19">
        <f t="shared" ref="X5:X11" si="4">F5+G5+N5+O5</f>
        <v>0</v>
      </c>
      <c r="Y5" s="19">
        <f t="shared" ref="Y5:Y11" si="5">SUM(V5:X5)</f>
        <v>12</v>
      </c>
      <c r="Z5" s="44">
        <f>W5/Y5</f>
        <v>0.41666666666666669</v>
      </c>
      <c r="AA5" s="44">
        <f>X5/Y5</f>
        <v>0</v>
      </c>
      <c r="AB5" s="19">
        <f t="shared" ref="AB5:AB11" si="6">H5+I5+P5+Q5</f>
        <v>0</v>
      </c>
      <c r="AC5" s="19">
        <f t="shared" ref="AC5:AC11" si="7">SUM(B5:I5)</f>
        <v>11</v>
      </c>
      <c r="AD5" s="30">
        <f t="shared" ref="AD5:AD11" si="8">SUM(J5:Q5)</f>
        <v>1</v>
      </c>
      <c r="AE5" s="42">
        <f>SUM(B5:Q5)</f>
        <v>12</v>
      </c>
      <c r="AG5" s="64"/>
      <c r="AH5" s="65"/>
      <c r="AI5" s="65"/>
      <c r="AJ5" s="65"/>
      <c r="AK5" s="65"/>
      <c r="AL5" s="65"/>
      <c r="AM5" s="65"/>
      <c r="AN5" s="66"/>
      <c r="AP5" s="64"/>
      <c r="AQ5" s="65"/>
      <c r="AR5" s="65"/>
      <c r="AS5" s="65"/>
      <c r="AT5" s="65"/>
      <c r="AU5" s="65"/>
      <c r="AV5" s="65"/>
      <c r="AW5" s="66"/>
    </row>
    <row r="6" spans="1:49" ht="21" customHeight="1" thickBot="1">
      <c r="A6" s="14">
        <v>0.30208333333333331</v>
      </c>
      <c r="B6" s="5">
        <v>6</v>
      </c>
      <c r="C6" s="6"/>
      <c r="D6" s="7">
        <v>2</v>
      </c>
      <c r="E6" s="8">
        <v>4</v>
      </c>
      <c r="F6" s="7"/>
      <c r="G6" s="8"/>
      <c r="H6" s="5">
        <v>1</v>
      </c>
      <c r="I6" s="6"/>
      <c r="J6" s="5"/>
      <c r="K6" s="6"/>
      <c r="L6" s="7"/>
      <c r="M6" s="8"/>
      <c r="N6" s="7"/>
      <c r="O6" s="8"/>
      <c r="P6" s="5"/>
      <c r="Q6" s="6"/>
      <c r="S6" s="29">
        <f t="shared" si="0"/>
        <v>9</v>
      </c>
      <c r="T6" s="19">
        <f t="shared" si="0"/>
        <v>4</v>
      </c>
      <c r="U6" s="25">
        <f t="shared" si="1"/>
        <v>0.30769230769230771</v>
      </c>
      <c r="V6" s="19">
        <f t="shared" si="2"/>
        <v>6</v>
      </c>
      <c r="W6" s="19">
        <f t="shared" si="3"/>
        <v>6</v>
      </c>
      <c r="X6" s="19">
        <f t="shared" si="4"/>
        <v>0</v>
      </c>
      <c r="Y6" s="19">
        <f t="shared" si="5"/>
        <v>12</v>
      </c>
      <c r="Z6" s="44">
        <f t="shared" ref="Z6:Z14" si="9">W6/Y6</f>
        <v>0.5</v>
      </c>
      <c r="AA6" s="44">
        <f t="shared" ref="AA6:AA14" si="10">X6/Y6</f>
        <v>0</v>
      </c>
      <c r="AB6" s="19">
        <f t="shared" si="6"/>
        <v>1</v>
      </c>
      <c r="AC6" s="19">
        <f t="shared" si="7"/>
        <v>13</v>
      </c>
      <c r="AD6" s="30">
        <f t="shared" si="8"/>
        <v>0</v>
      </c>
      <c r="AE6" s="42">
        <f t="shared" ref="AE6:AE14" si="11">SUM(B6:Q6)</f>
        <v>13</v>
      </c>
      <c r="AG6" s="64"/>
      <c r="AH6" s="65"/>
      <c r="AI6" s="65"/>
      <c r="AJ6" s="65"/>
      <c r="AK6" s="65"/>
      <c r="AL6" s="65"/>
      <c r="AM6" s="65"/>
      <c r="AN6" s="66"/>
      <c r="AP6" s="64"/>
      <c r="AQ6" s="65"/>
      <c r="AR6" s="65"/>
      <c r="AS6" s="65"/>
      <c r="AT6" s="65"/>
      <c r="AU6" s="65"/>
      <c r="AV6" s="65"/>
      <c r="AW6" s="66"/>
    </row>
    <row r="7" spans="1:49" ht="21" customHeight="1" thickBot="1">
      <c r="A7" s="14">
        <v>0.3125</v>
      </c>
      <c r="B7" s="5">
        <v>8</v>
      </c>
      <c r="C7" s="6">
        <v>4</v>
      </c>
      <c r="D7" s="7">
        <v>5</v>
      </c>
      <c r="E7" s="8">
        <v>1</v>
      </c>
      <c r="F7" s="7"/>
      <c r="G7" s="8"/>
      <c r="H7" s="5"/>
      <c r="I7" s="6"/>
      <c r="J7" s="5">
        <v>1</v>
      </c>
      <c r="K7" s="6"/>
      <c r="L7" s="7"/>
      <c r="M7" s="8"/>
      <c r="N7" s="7"/>
      <c r="O7" s="8"/>
      <c r="P7" s="5"/>
      <c r="Q7" s="6"/>
      <c r="S7" s="29">
        <f t="shared" si="0"/>
        <v>14</v>
      </c>
      <c r="T7" s="19">
        <f t="shared" si="0"/>
        <v>5</v>
      </c>
      <c r="U7" s="25">
        <f t="shared" si="1"/>
        <v>0.26315789473684209</v>
      </c>
      <c r="V7" s="19">
        <f t="shared" si="2"/>
        <v>13</v>
      </c>
      <c r="W7" s="19">
        <f t="shared" si="3"/>
        <v>6</v>
      </c>
      <c r="X7" s="19">
        <f t="shared" si="4"/>
        <v>0</v>
      </c>
      <c r="Y7" s="19">
        <f t="shared" si="5"/>
        <v>19</v>
      </c>
      <c r="Z7" s="44">
        <f t="shared" si="9"/>
        <v>0.31578947368421051</v>
      </c>
      <c r="AA7" s="44">
        <f t="shared" si="10"/>
        <v>0</v>
      </c>
      <c r="AB7" s="19">
        <f t="shared" si="6"/>
        <v>0</v>
      </c>
      <c r="AC7" s="19">
        <f t="shared" si="7"/>
        <v>18</v>
      </c>
      <c r="AD7" s="30">
        <f t="shared" si="8"/>
        <v>1</v>
      </c>
      <c r="AE7" s="42">
        <f t="shared" si="11"/>
        <v>19</v>
      </c>
      <c r="AG7" s="64"/>
      <c r="AH7" s="65"/>
      <c r="AI7" s="65"/>
      <c r="AJ7" s="65"/>
      <c r="AK7" s="65"/>
      <c r="AL7" s="65"/>
      <c r="AM7" s="65"/>
      <c r="AN7" s="66"/>
      <c r="AP7" s="64"/>
      <c r="AQ7" s="65"/>
      <c r="AR7" s="65"/>
      <c r="AS7" s="65"/>
      <c r="AT7" s="65"/>
      <c r="AU7" s="65"/>
      <c r="AV7" s="65"/>
      <c r="AW7" s="66"/>
    </row>
    <row r="8" spans="1:49" ht="21" customHeight="1" thickBot="1">
      <c r="A8" s="14">
        <v>0.32291666666666669</v>
      </c>
      <c r="B8" s="5">
        <v>10</v>
      </c>
      <c r="C8" s="6">
        <v>1</v>
      </c>
      <c r="D8" s="7">
        <v>1</v>
      </c>
      <c r="E8" s="8">
        <v>5</v>
      </c>
      <c r="F8" s="7"/>
      <c r="G8" s="8"/>
      <c r="H8" s="5"/>
      <c r="I8" s="6"/>
      <c r="J8" s="5"/>
      <c r="K8" s="6"/>
      <c r="L8" s="7"/>
      <c r="M8" s="8"/>
      <c r="N8" s="7"/>
      <c r="O8" s="8"/>
      <c r="P8" s="5"/>
      <c r="Q8" s="6"/>
      <c r="S8" s="29">
        <f t="shared" si="0"/>
        <v>11</v>
      </c>
      <c r="T8" s="19">
        <f t="shared" si="0"/>
        <v>6</v>
      </c>
      <c r="U8" s="25">
        <f t="shared" si="1"/>
        <v>0.35294117647058826</v>
      </c>
      <c r="V8" s="19">
        <f t="shared" si="2"/>
        <v>11</v>
      </c>
      <c r="W8" s="19">
        <f t="shared" si="3"/>
        <v>6</v>
      </c>
      <c r="X8" s="19">
        <f t="shared" si="4"/>
        <v>0</v>
      </c>
      <c r="Y8" s="19">
        <f t="shared" si="5"/>
        <v>17</v>
      </c>
      <c r="Z8" s="44">
        <f t="shared" si="9"/>
        <v>0.35294117647058826</v>
      </c>
      <c r="AA8" s="44">
        <f t="shared" si="10"/>
        <v>0</v>
      </c>
      <c r="AB8" s="19">
        <f t="shared" si="6"/>
        <v>0</v>
      </c>
      <c r="AC8" s="19">
        <f t="shared" si="7"/>
        <v>17</v>
      </c>
      <c r="AD8" s="30">
        <f t="shared" si="8"/>
        <v>0</v>
      </c>
      <c r="AE8" s="42">
        <f t="shared" si="11"/>
        <v>17</v>
      </c>
      <c r="AG8" s="64"/>
      <c r="AH8" s="65"/>
      <c r="AI8" s="65"/>
      <c r="AJ8" s="65"/>
      <c r="AK8" s="65"/>
      <c r="AL8" s="65"/>
      <c r="AM8" s="65"/>
      <c r="AN8" s="66"/>
      <c r="AP8" s="64"/>
      <c r="AQ8" s="65"/>
      <c r="AR8" s="65"/>
      <c r="AS8" s="65"/>
      <c r="AT8" s="65"/>
      <c r="AU8" s="65"/>
      <c r="AV8" s="65"/>
      <c r="AW8" s="66"/>
    </row>
    <row r="9" spans="1:49" ht="21" customHeight="1" thickBot="1">
      <c r="A9" s="13">
        <v>0.33333333333333331</v>
      </c>
      <c r="B9" s="5">
        <v>5</v>
      </c>
      <c r="C9" s="6">
        <v>7</v>
      </c>
      <c r="D9" s="7">
        <v>4</v>
      </c>
      <c r="E9" s="8">
        <v>5</v>
      </c>
      <c r="F9" s="7">
        <v>2</v>
      </c>
      <c r="G9" s="8"/>
      <c r="H9" s="5"/>
      <c r="I9" s="6"/>
      <c r="J9" s="5">
        <v>1</v>
      </c>
      <c r="K9" s="6"/>
      <c r="L9" s="7">
        <v>1</v>
      </c>
      <c r="M9" s="8"/>
      <c r="N9" s="7"/>
      <c r="O9" s="8"/>
      <c r="P9" s="5"/>
      <c r="Q9" s="6"/>
      <c r="S9" s="29">
        <f t="shared" si="0"/>
        <v>13</v>
      </c>
      <c r="T9" s="19">
        <f t="shared" si="0"/>
        <v>12</v>
      </c>
      <c r="U9" s="25">
        <f t="shared" si="1"/>
        <v>0.48</v>
      </c>
      <c r="V9" s="19">
        <f t="shared" si="2"/>
        <v>13</v>
      </c>
      <c r="W9" s="19">
        <f t="shared" si="3"/>
        <v>10</v>
      </c>
      <c r="X9" s="19">
        <f t="shared" si="4"/>
        <v>2</v>
      </c>
      <c r="Y9" s="19">
        <f t="shared" si="5"/>
        <v>25</v>
      </c>
      <c r="Z9" s="44">
        <f t="shared" si="9"/>
        <v>0.4</v>
      </c>
      <c r="AA9" s="44">
        <f t="shared" si="10"/>
        <v>0.08</v>
      </c>
      <c r="AB9" s="19">
        <f t="shared" si="6"/>
        <v>0</v>
      </c>
      <c r="AC9" s="19">
        <f t="shared" si="7"/>
        <v>23</v>
      </c>
      <c r="AD9" s="30">
        <f t="shared" si="8"/>
        <v>2</v>
      </c>
      <c r="AE9" s="42">
        <f t="shared" si="11"/>
        <v>25</v>
      </c>
      <c r="AG9" s="64"/>
      <c r="AH9" s="65"/>
      <c r="AI9" s="65"/>
      <c r="AJ9" s="65"/>
      <c r="AK9" s="65"/>
      <c r="AL9" s="65"/>
      <c r="AM9" s="65"/>
      <c r="AN9" s="66"/>
      <c r="AP9" s="64"/>
      <c r="AQ9" s="65"/>
      <c r="AR9" s="65"/>
      <c r="AS9" s="65"/>
      <c r="AT9" s="65"/>
      <c r="AU9" s="65"/>
      <c r="AV9" s="65"/>
      <c r="AW9" s="66"/>
    </row>
    <row r="10" spans="1:49" ht="21" customHeight="1" thickBot="1">
      <c r="A10" s="14">
        <v>0.34375</v>
      </c>
      <c r="B10" s="5">
        <v>3</v>
      </c>
      <c r="C10" s="6">
        <v>3</v>
      </c>
      <c r="D10" s="7">
        <v>3</v>
      </c>
      <c r="E10" s="8">
        <v>10</v>
      </c>
      <c r="F10" s="7">
        <v>2</v>
      </c>
      <c r="G10" s="8">
        <v>1</v>
      </c>
      <c r="H10" s="5">
        <v>1</v>
      </c>
      <c r="I10" s="6"/>
      <c r="J10" s="5">
        <v>3</v>
      </c>
      <c r="K10" s="6"/>
      <c r="L10" s="7">
        <v>1</v>
      </c>
      <c r="M10" s="8"/>
      <c r="N10" s="7"/>
      <c r="O10" s="8"/>
      <c r="P10" s="5"/>
      <c r="Q10" s="6"/>
      <c r="S10" s="29">
        <f t="shared" si="0"/>
        <v>13</v>
      </c>
      <c r="T10" s="19">
        <f t="shared" si="0"/>
        <v>14</v>
      </c>
      <c r="U10" s="25">
        <f t="shared" si="1"/>
        <v>0.51851851851851849</v>
      </c>
      <c r="V10" s="19">
        <f t="shared" si="2"/>
        <v>9</v>
      </c>
      <c r="W10" s="19">
        <f t="shared" si="3"/>
        <v>14</v>
      </c>
      <c r="X10" s="19">
        <f t="shared" si="4"/>
        <v>3</v>
      </c>
      <c r="Y10" s="19">
        <f t="shared" si="5"/>
        <v>26</v>
      </c>
      <c r="Z10" s="44">
        <f t="shared" si="9"/>
        <v>0.53846153846153844</v>
      </c>
      <c r="AA10" s="44">
        <f t="shared" si="10"/>
        <v>0.11538461538461539</v>
      </c>
      <c r="AB10" s="19">
        <f t="shared" si="6"/>
        <v>1</v>
      </c>
      <c r="AC10" s="19">
        <f t="shared" si="7"/>
        <v>23</v>
      </c>
      <c r="AD10" s="30">
        <f t="shared" si="8"/>
        <v>4</v>
      </c>
      <c r="AE10" s="42">
        <f t="shared" si="11"/>
        <v>27</v>
      </c>
      <c r="AG10" s="64"/>
      <c r="AH10" s="65"/>
      <c r="AI10" s="65"/>
      <c r="AJ10" s="65"/>
      <c r="AK10" s="65"/>
      <c r="AL10" s="65"/>
      <c r="AM10" s="65"/>
      <c r="AN10" s="66"/>
      <c r="AP10" s="64"/>
      <c r="AQ10" s="65"/>
      <c r="AR10" s="65"/>
      <c r="AS10" s="65"/>
      <c r="AT10" s="65"/>
      <c r="AU10" s="65"/>
      <c r="AV10" s="65"/>
      <c r="AW10" s="66"/>
    </row>
    <row r="11" spans="1:49" ht="21" customHeight="1" thickBot="1">
      <c r="A11" s="14">
        <v>0.35416666666666669</v>
      </c>
      <c r="B11" s="5">
        <v>13</v>
      </c>
      <c r="C11" s="6">
        <v>3</v>
      </c>
      <c r="D11" s="7">
        <v>5</v>
      </c>
      <c r="E11" s="8">
        <v>4</v>
      </c>
      <c r="F11" s="7"/>
      <c r="G11" s="8">
        <v>1</v>
      </c>
      <c r="H11" s="5">
        <v>1</v>
      </c>
      <c r="I11" s="6"/>
      <c r="J11" s="5"/>
      <c r="K11" s="6"/>
      <c r="L11" s="7">
        <v>2</v>
      </c>
      <c r="M11" s="8">
        <v>1</v>
      </c>
      <c r="N11" s="7"/>
      <c r="O11" s="8"/>
      <c r="P11" s="5"/>
      <c r="Q11" s="6"/>
      <c r="S11" s="29">
        <f t="shared" si="0"/>
        <v>21</v>
      </c>
      <c r="T11" s="19">
        <f t="shared" si="0"/>
        <v>9</v>
      </c>
      <c r="U11" s="25">
        <f t="shared" si="1"/>
        <v>0.3</v>
      </c>
      <c r="V11" s="19">
        <f t="shared" si="2"/>
        <v>16</v>
      </c>
      <c r="W11" s="19">
        <f t="shared" si="3"/>
        <v>12</v>
      </c>
      <c r="X11" s="19">
        <f t="shared" si="4"/>
        <v>1</v>
      </c>
      <c r="Y11" s="19">
        <f t="shared" si="5"/>
        <v>29</v>
      </c>
      <c r="Z11" s="44">
        <f t="shared" si="9"/>
        <v>0.41379310344827586</v>
      </c>
      <c r="AA11" s="44">
        <f t="shared" si="10"/>
        <v>3.4482758620689655E-2</v>
      </c>
      <c r="AB11" s="19">
        <f t="shared" si="6"/>
        <v>1</v>
      </c>
      <c r="AC11" s="19">
        <f t="shared" si="7"/>
        <v>27</v>
      </c>
      <c r="AD11" s="30">
        <f t="shared" si="8"/>
        <v>3</v>
      </c>
      <c r="AE11" s="42">
        <f t="shared" si="11"/>
        <v>30</v>
      </c>
      <c r="AG11" s="64"/>
      <c r="AH11" s="65"/>
      <c r="AI11" s="65"/>
      <c r="AJ11" s="65"/>
      <c r="AK11" s="65"/>
      <c r="AL11" s="65"/>
      <c r="AM11" s="65"/>
      <c r="AN11" s="66"/>
      <c r="AP11" s="64"/>
      <c r="AQ11" s="65"/>
      <c r="AR11" s="65"/>
      <c r="AS11" s="65"/>
      <c r="AT11" s="65"/>
      <c r="AU11" s="65"/>
      <c r="AV11" s="65"/>
      <c r="AW11" s="66"/>
    </row>
    <row r="12" spans="1:49" ht="21" customHeight="1" thickBot="1">
      <c r="A12" s="14">
        <v>0.36458333333333331</v>
      </c>
      <c r="B12" s="5">
        <v>6</v>
      </c>
      <c r="C12" s="6">
        <v>2</v>
      </c>
      <c r="D12" s="7">
        <v>4</v>
      </c>
      <c r="E12" s="8"/>
      <c r="F12" s="7"/>
      <c r="G12" s="8">
        <v>1</v>
      </c>
      <c r="H12" s="5">
        <v>1</v>
      </c>
      <c r="I12" s="6"/>
      <c r="J12" s="5">
        <v>2</v>
      </c>
      <c r="K12" s="6">
        <v>1</v>
      </c>
      <c r="L12" s="7"/>
      <c r="M12" s="8"/>
      <c r="N12" s="7"/>
      <c r="O12" s="8"/>
      <c r="P12" s="5"/>
      <c r="Q12" s="6"/>
      <c r="S12" s="29">
        <f t="shared" ref="S12:T14" si="12">B12+D12+F12+H12+J12+L12+N12+P12</f>
        <v>13</v>
      </c>
      <c r="T12" s="19">
        <f t="shared" si="12"/>
        <v>4</v>
      </c>
      <c r="U12" s="25">
        <f>T12/(T12+S12)</f>
        <v>0.23529411764705882</v>
      </c>
      <c r="V12" s="19">
        <f>B12+C12+J12+K12</f>
        <v>11</v>
      </c>
      <c r="W12" s="19">
        <f>D12+E12+L12+M12</f>
        <v>4</v>
      </c>
      <c r="X12" s="19">
        <f>F12+G12+N12+O12</f>
        <v>1</v>
      </c>
      <c r="Y12" s="19">
        <f>SUM(V12:X12)</f>
        <v>16</v>
      </c>
      <c r="Z12" s="44">
        <f t="shared" si="9"/>
        <v>0.25</v>
      </c>
      <c r="AA12" s="44">
        <f t="shared" si="10"/>
        <v>6.25E-2</v>
      </c>
      <c r="AB12" s="19">
        <f>H12+I12+P12+Q12</f>
        <v>1</v>
      </c>
      <c r="AC12" s="19">
        <f>SUM(B12:I12)</f>
        <v>14</v>
      </c>
      <c r="AD12" s="30">
        <f>SUM(J12:Q12)</f>
        <v>3</v>
      </c>
      <c r="AE12" s="42">
        <f t="shared" si="11"/>
        <v>17</v>
      </c>
      <c r="AG12" s="64"/>
      <c r="AH12" s="65"/>
      <c r="AI12" s="65"/>
      <c r="AJ12" s="65"/>
      <c r="AK12" s="65"/>
      <c r="AL12" s="65"/>
      <c r="AM12" s="65"/>
      <c r="AN12" s="66"/>
      <c r="AP12" s="64"/>
      <c r="AQ12" s="65"/>
      <c r="AR12" s="65"/>
      <c r="AS12" s="65"/>
      <c r="AT12" s="65"/>
      <c r="AU12" s="65"/>
      <c r="AV12" s="65"/>
      <c r="AW12" s="66"/>
    </row>
    <row r="13" spans="1:49" ht="15" thickBot="1">
      <c r="A13" s="24" t="s">
        <v>13</v>
      </c>
      <c r="B13" s="35">
        <f>SUM(B5:B12)</f>
        <v>54</v>
      </c>
      <c r="C13" s="35">
        <f t="shared" ref="C13:Q13" si="13">SUM(C5:C12)</f>
        <v>23</v>
      </c>
      <c r="D13" s="35">
        <f t="shared" si="13"/>
        <v>25</v>
      </c>
      <c r="E13" s="35">
        <f t="shared" si="13"/>
        <v>33</v>
      </c>
      <c r="F13" s="35">
        <f t="shared" si="13"/>
        <v>4</v>
      </c>
      <c r="G13" s="35">
        <f t="shared" si="13"/>
        <v>3</v>
      </c>
      <c r="H13" s="35">
        <f t="shared" si="13"/>
        <v>4</v>
      </c>
      <c r="I13" s="35">
        <f t="shared" si="13"/>
        <v>0</v>
      </c>
      <c r="J13" s="35">
        <f t="shared" si="13"/>
        <v>7</v>
      </c>
      <c r="K13" s="35">
        <f t="shared" si="13"/>
        <v>2</v>
      </c>
      <c r="L13" s="35">
        <f t="shared" si="13"/>
        <v>4</v>
      </c>
      <c r="M13" s="35">
        <f t="shared" si="13"/>
        <v>1</v>
      </c>
      <c r="N13" s="35">
        <f t="shared" si="13"/>
        <v>0</v>
      </c>
      <c r="O13" s="35">
        <f t="shared" si="13"/>
        <v>0</v>
      </c>
      <c r="P13" s="35">
        <f t="shared" si="13"/>
        <v>0</v>
      </c>
      <c r="Q13" s="35">
        <f t="shared" si="13"/>
        <v>0</v>
      </c>
      <c r="S13" s="31">
        <f t="shared" si="12"/>
        <v>98</v>
      </c>
      <c r="T13" s="32">
        <f t="shared" si="12"/>
        <v>62</v>
      </c>
      <c r="U13" s="33">
        <f>T13/(T13+S13)</f>
        <v>0.38750000000000001</v>
      </c>
      <c r="V13" s="32">
        <f>B13+C13+J13+K13</f>
        <v>86</v>
      </c>
      <c r="W13" s="32">
        <f>D13+E13+L13+M13</f>
        <v>63</v>
      </c>
      <c r="X13" s="32">
        <f>F13+G13+N13+O13</f>
        <v>7</v>
      </c>
      <c r="Y13" s="32">
        <f>SUM(V13:X13)</f>
        <v>156</v>
      </c>
      <c r="Z13" s="44">
        <f t="shared" si="9"/>
        <v>0.40384615384615385</v>
      </c>
      <c r="AA13" s="44">
        <f t="shared" si="10"/>
        <v>4.4871794871794872E-2</v>
      </c>
      <c r="AB13" s="32">
        <f>H13+I13+P13+Q13</f>
        <v>4</v>
      </c>
      <c r="AC13" s="32">
        <f>SUM(B13:I13)</f>
        <v>146</v>
      </c>
      <c r="AD13" s="34">
        <f>SUM(J13:Q13)</f>
        <v>14</v>
      </c>
      <c r="AE13" s="43">
        <f t="shared" si="11"/>
        <v>160</v>
      </c>
      <c r="AG13" s="67">
        <v>312</v>
      </c>
      <c r="AH13" s="68">
        <v>38</v>
      </c>
      <c r="AI13" s="68">
        <v>204</v>
      </c>
      <c r="AJ13" s="68">
        <v>146</v>
      </c>
      <c r="AK13" s="68">
        <v>342</v>
      </c>
      <c r="AL13" s="68">
        <v>8</v>
      </c>
      <c r="AM13" s="67">
        <f>AJ13/(AJ13+AI13)</f>
        <v>0.41714285714285715</v>
      </c>
      <c r="AN13" s="69">
        <v>350</v>
      </c>
      <c r="AP13" s="70">
        <f>(Y13-AG13)/AG13</f>
        <v>-0.5</v>
      </c>
      <c r="AQ13" s="70">
        <f>(AB13-AH13)/AH13</f>
        <v>-0.89473684210526316</v>
      </c>
      <c r="AR13" s="70">
        <f>(S13-AI13)/AI13</f>
        <v>-0.51960784313725494</v>
      </c>
      <c r="AS13" s="70">
        <f>(T13-AJ13)/AJ13</f>
        <v>-0.57534246575342463</v>
      </c>
      <c r="AT13" s="70">
        <f>(AC13-AK13)/AK13</f>
        <v>-0.57309941520467833</v>
      </c>
      <c r="AU13" s="70">
        <f>(AD13-AL13)/AL13</f>
        <v>0.75</v>
      </c>
      <c r="AV13" s="70">
        <f>(U13-AM13)/AM13</f>
        <v>-7.1061643835616431E-2</v>
      </c>
      <c r="AW13" s="70">
        <f>(AE13-AN13)/AN13</f>
        <v>-0.54285714285714282</v>
      </c>
    </row>
    <row r="14" spans="1:49" ht="15" thickBot="1">
      <c r="A14" s="24" t="s">
        <v>32</v>
      </c>
      <c r="B14" s="24">
        <f>SUM(B7:B10)</f>
        <v>26</v>
      </c>
      <c r="C14" s="24">
        <f t="shared" ref="C14:Q14" si="14">SUM(C7:C10)</f>
        <v>15</v>
      </c>
      <c r="D14" s="24">
        <f t="shared" si="14"/>
        <v>13</v>
      </c>
      <c r="E14" s="24">
        <f t="shared" si="14"/>
        <v>21</v>
      </c>
      <c r="F14" s="24">
        <f t="shared" si="14"/>
        <v>4</v>
      </c>
      <c r="G14" s="24">
        <f t="shared" si="14"/>
        <v>1</v>
      </c>
      <c r="H14" s="24">
        <f t="shared" si="14"/>
        <v>1</v>
      </c>
      <c r="I14" s="24">
        <f t="shared" si="14"/>
        <v>0</v>
      </c>
      <c r="J14" s="24">
        <f t="shared" si="14"/>
        <v>5</v>
      </c>
      <c r="K14" s="24">
        <f t="shared" si="14"/>
        <v>0</v>
      </c>
      <c r="L14" s="24">
        <f t="shared" si="14"/>
        <v>2</v>
      </c>
      <c r="M14" s="24">
        <f t="shared" si="14"/>
        <v>0</v>
      </c>
      <c r="N14" s="24">
        <f t="shared" si="14"/>
        <v>0</v>
      </c>
      <c r="O14" s="24">
        <f t="shared" si="14"/>
        <v>0</v>
      </c>
      <c r="P14" s="24">
        <f t="shared" si="14"/>
        <v>0</v>
      </c>
      <c r="Q14" s="24">
        <f t="shared" si="14"/>
        <v>0</v>
      </c>
      <c r="S14" s="51">
        <f t="shared" si="12"/>
        <v>51</v>
      </c>
      <c r="T14" s="35">
        <f t="shared" si="12"/>
        <v>37</v>
      </c>
      <c r="U14" s="52">
        <f>T14/(T14+S14)</f>
        <v>0.42045454545454547</v>
      </c>
      <c r="V14" s="35">
        <f>B14+C14+J14+K14</f>
        <v>46</v>
      </c>
      <c r="W14" s="35">
        <f>D14+E14+L14+M14</f>
        <v>36</v>
      </c>
      <c r="X14" s="35">
        <f>F14+G14+N14+O14</f>
        <v>5</v>
      </c>
      <c r="Y14" s="35">
        <f>SUM(V14:X14)</f>
        <v>87</v>
      </c>
      <c r="Z14" s="53">
        <f t="shared" si="9"/>
        <v>0.41379310344827586</v>
      </c>
      <c r="AA14" s="53">
        <f t="shared" si="10"/>
        <v>5.7471264367816091E-2</v>
      </c>
      <c r="AB14" s="35">
        <f>H14+I14+P14+Q14</f>
        <v>1</v>
      </c>
      <c r="AC14" s="35">
        <f>SUM(B14:I14)</f>
        <v>81</v>
      </c>
      <c r="AD14" s="36">
        <f>SUM(J14:Q14)</f>
        <v>7</v>
      </c>
      <c r="AE14" s="54">
        <f t="shared" si="11"/>
        <v>88</v>
      </c>
    </row>
    <row r="16" spans="1:49">
      <c r="A16" t="s">
        <v>30</v>
      </c>
      <c r="B16">
        <f>SUM(B5:B8)</f>
        <v>27</v>
      </c>
      <c r="C16">
        <f t="shared" ref="C16:Q16" si="15">SUM(C5:C8)</f>
        <v>8</v>
      </c>
      <c r="D16">
        <f t="shared" si="15"/>
        <v>9</v>
      </c>
      <c r="E16">
        <f t="shared" si="15"/>
        <v>14</v>
      </c>
      <c r="F16">
        <f t="shared" si="15"/>
        <v>0</v>
      </c>
      <c r="G16">
        <f t="shared" si="15"/>
        <v>0</v>
      </c>
      <c r="H16">
        <f t="shared" si="15"/>
        <v>1</v>
      </c>
      <c r="I16">
        <f t="shared" si="15"/>
        <v>0</v>
      </c>
      <c r="J16">
        <f t="shared" si="15"/>
        <v>1</v>
      </c>
      <c r="K16">
        <f t="shared" si="15"/>
        <v>1</v>
      </c>
      <c r="L16">
        <f t="shared" si="15"/>
        <v>0</v>
      </c>
      <c r="M16">
        <f t="shared" si="15"/>
        <v>0</v>
      </c>
      <c r="N16">
        <f t="shared" si="15"/>
        <v>0</v>
      </c>
      <c r="O16">
        <f t="shared" si="15"/>
        <v>0</v>
      </c>
      <c r="P16">
        <f t="shared" si="15"/>
        <v>0</v>
      </c>
      <c r="Q16">
        <f t="shared" si="15"/>
        <v>0</v>
      </c>
    </row>
    <row r="17" spans="1:17">
      <c r="A17" t="s">
        <v>31</v>
      </c>
      <c r="B17">
        <f>SUM(B9:B12)</f>
        <v>27</v>
      </c>
      <c r="C17">
        <f t="shared" ref="C17:Q17" si="16">SUM(C9:C12)</f>
        <v>15</v>
      </c>
      <c r="D17">
        <f t="shared" si="16"/>
        <v>16</v>
      </c>
      <c r="E17">
        <f t="shared" si="16"/>
        <v>19</v>
      </c>
      <c r="F17">
        <f t="shared" si="16"/>
        <v>4</v>
      </c>
      <c r="G17">
        <f t="shared" si="16"/>
        <v>3</v>
      </c>
      <c r="H17">
        <f t="shared" si="16"/>
        <v>3</v>
      </c>
      <c r="I17">
        <f t="shared" si="16"/>
        <v>0</v>
      </c>
      <c r="J17">
        <f t="shared" si="16"/>
        <v>6</v>
      </c>
      <c r="K17">
        <f t="shared" si="16"/>
        <v>1</v>
      </c>
      <c r="L17">
        <f t="shared" si="16"/>
        <v>4</v>
      </c>
      <c r="M17">
        <f t="shared" si="16"/>
        <v>1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</row>
  </sheetData>
  <mergeCells count="13">
    <mergeCell ref="AG2:AN2"/>
    <mergeCell ref="AP2:AW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154B-378C-4AFB-9BF8-49979D710B2F}">
  <dimension ref="A1:AW17"/>
  <sheetViews>
    <sheetView topLeftCell="AB1" workbookViewId="0">
      <selection activeCell="AM13" sqref="AM13"/>
    </sheetView>
  </sheetViews>
  <sheetFormatPr defaultRowHeight="14.4"/>
  <cols>
    <col min="1" max="1" width="10.33203125" customWidth="1"/>
    <col min="2" max="17" width="5" customWidth="1"/>
  </cols>
  <sheetData>
    <row r="1" spans="1:49" ht="30.6" customHeight="1" thickBot="1">
      <c r="B1" s="11" t="s">
        <v>11</v>
      </c>
      <c r="C1" s="12"/>
      <c r="D1" t="s">
        <v>37</v>
      </c>
    </row>
    <row r="2" spans="1:49" s="10" customFormat="1" ht="16.2" customHeight="1" thickBot="1">
      <c r="A2" s="9"/>
      <c r="B2" s="55" t="s">
        <v>5</v>
      </c>
      <c r="C2" s="57"/>
      <c r="D2" s="57"/>
      <c r="E2" s="57"/>
      <c r="F2" s="57"/>
      <c r="G2" s="57"/>
      <c r="H2" s="57"/>
      <c r="I2" s="58"/>
      <c r="J2" s="55" t="s">
        <v>6</v>
      </c>
      <c r="K2" s="57"/>
      <c r="L2" s="57"/>
      <c r="M2" s="57"/>
      <c r="N2" s="57"/>
      <c r="O2" s="57"/>
      <c r="P2" s="57"/>
      <c r="Q2" s="58"/>
      <c r="R2"/>
      <c r="S2" s="59" t="s">
        <v>14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G2" s="61">
        <v>2019</v>
      </c>
      <c r="AH2" s="62"/>
      <c r="AI2" s="62"/>
      <c r="AJ2" s="62"/>
      <c r="AK2" s="62"/>
      <c r="AL2" s="62"/>
      <c r="AM2" s="62"/>
      <c r="AN2" s="63"/>
      <c r="AP2" s="61" t="s">
        <v>44</v>
      </c>
      <c r="AQ2" s="62"/>
      <c r="AR2" s="62"/>
      <c r="AS2" s="62"/>
      <c r="AT2" s="62"/>
      <c r="AU2" s="62"/>
      <c r="AV2" s="62"/>
      <c r="AW2" s="63"/>
    </row>
    <row r="3" spans="1:49" s="10" customFormat="1" ht="68.400000000000006" customHeight="1">
      <c r="A3" s="9"/>
      <c r="B3" s="55" t="s">
        <v>9</v>
      </c>
      <c r="C3" s="58"/>
      <c r="D3" s="60" t="s">
        <v>7</v>
      </c>
      <c r="E3" s="56"/>
      <c r="F3" s="60" t="s">
        <v>8</v>
      </c>
      <c r="G3" s="56"/>
      <c r="H3" s="55" t="s">
        <v>0</v>
      </c>
      <c r="I3" s="56"/>
      <c r="J3" s="55" t="s">
        <v>4</v>
      </c>
      <c r="K3" s="58"/>
      <c r="L3" s="60" t="s">
        <v>7</v>
      </c>
      <c r="M3" s="56"/>
      <c r="N3" s="60" t="s">
        <v>10</v>
      </c>
      <c r="O3" s="56"/>
      <c r="P3" s="55" t="s">
        <v>0</v>
      </c>
      <c r="Q3" s="56"/>
      <c r="R3"/>
      <c r="S3" s="26" t="s">
        <v>21</v>
      </c>
      <c r="T3" s="27" t="s">
        <v>15</v>
      </c>
      <c r="U3" s="27" t="s">
        <v>16</v>
      </c>
      <c r="V3" s="27" t="s">
        <v>17</v>
      </c>
      <c r="W3" s="27" t="s">
        <v>7</v>
      </c>
      <c r="X3" s="27" t="s">
        <v>18</v>
      </c>
      <c r="Y3" s="27" t="s">
        <v>26</v>
      </c>
      <c r="Z3" s="27" t="s">
        <v>28</v>
      </c>
      <c r="AA3" s="27" t="s">
        <v>29</v>
      </c>
      <c r="AB3" s="27" t="s">
        <v>20</v>
      </c>
      <c r="AC3" s="27" t="s">
        <v>22</v>
      </c>
      <c r="AD3" s="28" t="s">
        <v>23</v>
      </c>
      <c r="AE3" s="41" t="s">
        <v>27</v>
      </c>
      <c r="AG3" s="64" t="s">
        <v>38</v>
      </c>
      <c r="AH3" s="65" t="s">
        <v>39</v>
      </c>
      <c r="AI3" s="65" t="s">
        <v>21</v>
      </c>
      <c r="AJ3" s="65" t="s">
        <v>15</v>
      </c>
      <c r="AK3" s="65" t="s">
        <v>40</v>
      </c>
      <c r="AL3" s="65" t="s">
        <v>41</v>
      </c>
      <c r="AM3" s="65" t="s">
        <v>42</v>
      </c>
      <c r="AN3" s="66" t="s">
        <v>43</v>
      </c>
      <c r="AP3" s="64" t="s">
        <v>38</v>
      </c>
      <c r="AQ3" s="65" t="s">
        <v>39</v>
      </c>
      <c r="AR3" s="65" t="s">
        <v>21</v>
      </c>
      <c r="AS3" s="65" t="s">
        <v>15</v>
      </c>
      <c r="AT3" s="65" t="s">
        <v>40</v>
      </c>
      <c r="AU3" s="65" t="s">
        <v>41</v>
      </c>
      <c r="AV3" s="65" t="s">
        <v>42</v>
      </c>
      <c r="AW3" s="66" t="s">
        <v>43</v>
      </c>
    </row>
    <row r="4" spans="1:49" ht="21.6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2"/>
      <c r="AG4" s="64"/>
      <c r="AH4" s="65"/>
      <c r="AI4" s="65"/>
      <c r="AJ4" s="65"/>
      <c r="AK4" s="65"/>
      <c r="AL4" s="65"/>
      <c r="AM4" s="65"/>
      <c r="AN4" s="66"/>
      <c r="AP4" s="64"/>
      <c r="AQ4" s="65"/>
      <c r="AR4" s="65"/>
      <c r="AS4" s="65"/>
      <c r="AT4" s="65"/>
      <c r="AU4" s="65"/>
      <c r="AV4" s="65"/>
      <c r="AW4" s="66"/>
    </row>
    <row r="5" spans="1:49" ht="21" customHeight="1" thickBot="1">
      <c r="A5" s="13">
        <v>0.29166666666666669</v>
      </c>
      <c r="B5" s="15">
        <f>'StGenis-&gt;Meyrin'!B5+'StGenis-&gt;Bourdigny'!B5+'StGenis-&gt;CERN'!B5</f>
        <v>13</v>
      </c>
      <c r="C5" s="15">
        <f>'StGenis-&gt;Meyrin'!C5+'StGenis-&gt;Bourdigny'!C5+'StGenis-&gt;CERN'!C5</f>
        <v>3</v>
      </c>
      <c r="D5" s="15">
        <f>'StGenis-&gt;Meyrin'!D5+'StGenis-&gt;Bourdigny'!D5+'StGenis-&gt;CERN'!D5</f>
        <v>4</v>
      </c>
      <c r="E5" s="15">
        <f>'StGenis-&gt;Meyrin'!E5+'StGenis-&gt;Bourdigny'!E5+'StGenis-&gt;CERN'!E5</f>
        <v>8</v>
      </c>
      <c r="F5" s="15">
        <f>'StGenis-&gt;Meyrin'!F5+'StGenis-&gt;Bourdigny'!F5+'StGenis-&gt;CERN'!F5</f>
        <v>2</v>
      </c>
      <c r="G5" s="15">
        <f>'StGenis-&gt;Meyrin'!G5+'StGenis-&gt;Bourdigny'!G5+'StGenis-&gt;CERN'!G5</f>
        <v>0</v>
      </c>
      <c r="H5" s="15">
        <f>'StGenis-&gt;Meyrin'!H5+'StGenis-&gt;Bourdigny'!H5+'StGenis-&gt;CERN'!H5</f>
        <v>1</v>
      </c>
      <c r="I5" s="15">
        <f>'StGenis-&gt;Meyrin'!I5+'StGenis-&gt;Bourdigny'!I5+'StGenis-&gt;CERN'!I5</f>
        <v>0</v>
      </c>
      <c r="J5" s="15">
        <f>'StGenis-&gt;Meyrin'!J5+'StGenis-&gt;Bourdigny'!J5+'StGenis-&gt;CERN'!J5</f>
        <v>1</v>
      </c>
      <c r="K5" s="15">
        <f>'StGenis-&gt;Meyrin'!K5+'StGenis-&gt;Bourdigny'!K5+'StGenis-&gt;CERN'!K5</f>
        <v>0</v>
      </c>
      <c r="L5" s="15">
        <f>'StGenis-&gt;Meyrin'!L5+'StGenis-&gt;Bourdigny'!L5+'StGenis-&gt;CERN'!L5</f>
        <v>0</v>
      </c>
      <c r="M5" s="15">
        <f>'StGenis-&gt;Meyrin'!M5+'StGenis-&gt;Bourdigny'!M5+'StGenis-&gt;CERN'!M5</f>
        <v>0</v>
      </c>
      <c r="N5" s="15">
        <f>'StGenis-&gt;Meyrin'!N5+'StGenis-&gt;Bourdigny'!N5+'StGenis-&gt;CERN'!N5</f>
        <v>0</v>
      </c>
      <c r="O5" s="15">
        <f>'StGenis-&gt;Meyrin'!O5+'StGenis-&gt;Bourdigny'!O5+'StGenis-&gt;CERN'!O5</f>
        <v>0</v>
      </c>
      <c r="P5" s="15">
        <f>'StGenis-&gt;Meyrin'!P5+'StGenis-&gt;Bourdigny'!P5+'StGenis-&gt;CERN'!P5</f>
        <v>0</v>
      </c>
      <c r="Q5" s="15">
        <f>'StGenis-&gt;Meyrin'!Q5+'StGenis-&gt;Bourdigny'!Q5+'StGenis-&gt;CERN'!Q5</f>
        <v>0</v>
      </c>
      <c r="S5" s="29">
        <f t="shared" ref="S5:T11" si="0">B5+D5+F5+H5+J5+L5+N5+P5</f>
        <v>21</v>
      </c>
      <c r="T5" s="19">
        <f t="shared" si="0"/>
        <v>11</v>
      </c>
      <c r="U5" s="25">
        <f t="shared" ref="U5:U11" si="1">T5/(T5+S5)</f>
        <v>0.34375</v>
      </c>
      <c r="V5" s="19">
        <f t="shared" ref="V5:V11" si="2">B5+C5+J5+K5</f>
        <v>17</v>
      </c>
      <c r="W5" s="19">
        <f t="shared" ref="W5:W11" si="3">D5+E5+L5+M5</f>
        <v>12</v>
      </c>
      <c r="X5" s="19">
        <f t="shared" ref="X5:X11" si="4">F5+G5+N5+O5</f>
        <v>2</v>
      </c>
      <c r="Y5" s="19">
        <f t="shared" ref="Y5:Y11" si="5">SUM(V5:X5)</f>
        <v>31</v>
      </c>
      <c r="Z5" s="44">
        <f>W5/Y5</f>
        <v>0.38709677419354838</v>
      </c>
      <c r="AA5" s="44">
        <f>X5/Y5</f>
        <v>6.4516129032258063E-2</v>
      </c>
      <c r="AB5" s="19">
        <f t="shared" ref="AB5:AB11" si="6">H5+I5+P5+Q5</f>
        <v>1</v>
      </c>
      <c r="AC5" s="19">
        <f t="shared" ref="AC5:AC11" si="7">SUM(B5:I5)</f>
        <v>31</v>
      </c>
      <c r="AD5" s="30">
        <f t="shared" ref="AD5:AD11" si="8">SUM(J5:Q5)</f>
        <v>1</v>
      </c>
      <c r="AE5" s="42">
        <f>SUM(B5:Q5)</f>
        <v>32</v>
      </c>
      <c r="AG5" s="64"/>
      <c r="AH5" s="65"/>
      <c r="AI5" s="65"/>
      <c r="AJ5" s="65"/>
      <c r="AK5" s="65"/>
      <c r="AL5" s="65"/>
      <c r="AM5" s="65"/>
      <c r="AN5" s="66"/>
      <c r="AP5" s="64"/>
      <c r="AQ5" s="65"/>
      <c r="AR5" s="65"/>
      <c r="AS5" s="65"/>
      <c r="AT5" s="65"/>
      <c r="AU5" s="65"/>
      <c r="AV5" s="65"/>
      <c r="AW5" s="66"/>
    </row>
    <row r="6" spans="1:49" ht="21" customHeight="1" thickBot="1">
      <c r="A6" s="14">
        <v>0.30208333333333331</v>
      </c>
      <c r="B6" s="15">
        <f>'StGenis-&gt;Meyrin'!B6+'StGenis-&gt;Bourdigny'!B6+'StGenis-&gt;CERN'!B6</f>
        <v>15</v>
      </c>
      <c r="C6" s="15">
        <f>'StGenis-&gt;Meyrin'!C6+'StGenis-&gt;Bourdigny'!C6+'StGenis-&gt;CERN'!C6</f>
        <v>3</v>
      </c>
      <c r="D6" s="15">
        <f>'StGenis-&gt;Meyrin'!D6+'StGenis-&gt;Bourdigny'!D6+'StGenis-&gt;CERN'!D6</f>
        <v>11</v>
      </c>
      <c r="E6" s="15">
        <f>'StGenis-&gt;Meyrin'!E6+'StGenis-&gt;Bourdigny'!E6+'StGenis-&gt;CERN'!E6</f>
        <v>5</v>
      </c>
      <c r="F6" s="15">
        <f>'StGenis-&gt;Meyrin'!F6+'StGenis-&gt;Bourdigny'!F6+'StGenis-&gt;CERN'!F6</f>
        <v>1</v>
      </c>
      <c r="G6" s="15">
        <f>'StGenis-&gt;Meyrin'!G6+'StGenis-&gt;Bourdigny'!G6+'StGenis-&gt;CERN'!G6</f>
        <v>1</v>
      </c>
      <c r="H6" s="15">
        <f>'StGenis-&gt;Meyrin'!H6+'StGenis-&gt;Bourdigny'!H6+'StGenis-&gt;CERN'!H6</f>
        <v>4</v>
      </c>
      <c r="I6" s="15">
        <f>'StGenis-&gt;Meyrin'!I6+'StGenis-&gt;Bourdigny'!I6+'StGenis-&gt;CERN'!I6</f>
        <v>0</v>
      </c>
      <c r="J6" s="15">
        <f>'StGenis-&gt;Meyrin'!J6+'StGenis-&gt;Bourdigny'!J6+'StGenis-&gt;CERN'!J6</f>
        <v>1</v>
      </c>
      <c r="K6" s="15">
        <f>'StGenis-&gt;Meyrin'!K6+'StGenis-&gt;Bourdigny'!K6+'StGenis-&gt;CERN'!K6</f>
        <v>0</v>
      </c>
      <c r="L6" s="15">
        <f>'StGenis-&gt;Meyrin'!L6+'StGenis-&gt;Bourdigny'!L6+'StGenis-&gt;CERN'!L6</f>
        <v>2</v>
      </c>
      <c r="M6" s="15">
        <f>'StGenis-&gt;Meyrin'!M6+'StGenis-&gt;Bourdigny'!M6+'StGenis-&gt;CERN'!M6</f>
        <v>0</v>
      </c>
      <c r="N6" s="15">
        <f>'StGenis-&gt;Meyrin'!N6+'StGenis-&gt;Bourdigny'!N6+'StGenis-&gt;CERN'!N6</f>
        <v>0</v>
      </c>
      <c r="O6" s="15">
        <f>'StGenis-&gt;Meyrin'!O6+'StGenis-&gt;Bourdigny'!O6+'StGenis-&gt;CERN'!O6</f>
        <v>0</v>
      </c>
      <c r="P6" s="15">
        <f>'StGenis-&gt;Meyrin'!P6+'StGenis-&gt;Bourdigny'!P6+'StGenis-&gt;CERN'!P6</f>
        <v>0</v>
      </c>
      <c r="Q6" s="15">
        <f>'StGenis-&gt;Meyrin'!Q6+'StGenis-&gt;Bourdigny'!Q6+'StGenis-&gt;CERN'!Q6</f>
        <v>0</v>
      </c>
      <c r="S6" s="29">
        <f t="shared" si="0"/>
        <v>34</v>
      </c>
      <c r="T6" s="19">
        <f t="shared" si="0"/>
        <v>9</v>
      </c>
      <c r="U6" s="25">
        <f t="shared" si="1"/>
        <v>0.20930232558139536</v>
      </c>
      <c r="V6" s="19">
        <f t="shared" si="2"/>
        <v>19</v>
      </c>
      <c r="W6" s="19">
        <f t="shared" si="3"/>
        <v>18</v>
      </c>
      <c r="X6" s="19">
        <f t="shared" si="4"/>
        <v>2</v>
      </c>
      <c r="Y6" s="19">
        <f t="shared" si="5"/>
        <v>39</v>
      </c>
      <c r="Z6" s="44">
        <f t="shared" ref="Z6:Z14" si="9">W6/Y6</f>
        <v>0.46153846153846156</v>
      </c>
      <c r="AA6" s="44">
        <f t="shared" ref="AA6:AA14" si="10">X6/Y6</f>
        <v>5.128205128205128E-2</v>
      </c>
      <c r="AB6" s="19">
        <f t="shared" si="6"/>
        <v>4</v>
      </c>
      <c r="AC6" s="19">
        <f t="shared" si="7"/>
        <v>40</v>
      </c>
      <c r="AD6" s="30">
        <f t="shared" si="8"/>
        <v>3</v>
      </c>
      <c r="AE6" s="42">
        <f t="shared" ref="AE6:AE14" si="11">SUM(B6:Q6)</f>
        <v>43</v>
      </c>
      <c r="AG6" s="64"/>
      <c r="AH6" s="65"/>
      <c r="AI6" s="65"/>
      <c r="AJ6" s="65"/>
      <c r="AK6" s="65"/>
      <c r="AL6" s="65"/>
      <c r="AM6" s="65"/>
      <c r="AN6" s="66"/>
      <c r="AP6" s="64"/>
      <c r="AQ6" s="65"/>
      <c r="AR6" s="65"/>
      <c r="AS6" s="65"/>
      <c r="AT6" s="65"/>
      <c r="AU6" s="65"/>
      <c r="AV6" s="65"/>
      <c r="AW6" s="66"/>
    </row>
    <row r="7" spans="1:49" ht="21" customHeight="1" thickBot="1">
      <c r="A7" s="14">
        <v>0.3125</v>
      </c>
      <c r="B7" s="15">
        <f>'StGenis-&gt;Meyrin'!B7+'StGenis-&gt;Bourdigny'!B7+'StGenis-&gt;CERN'!B7</f>
        <v>13</v>
      </c>
      <c r="C7" s="15">
        <f>'StGenis-&gt;Meyrin'!C7+'StGenis-&gt;Bourdigny'!C7+'StGenis-&gt;CERN'!C7</f>
        <v>4</v>
      </c>
      <c r="D7" s="15">
        <f>'StGenis-&gt;Meyrin'!D7+'StGenis-&gt;Bourdigny'!D7+'StGenis-&gt;CERN'!D7</f>
        <v>4</v>
      </c>
      <c r="E7" s="15">
        <f>'StGenis-&gt;Meyrin'!E7+'StGenis-&gt;Bourdigny'!E7+'StGenis-&gt;CERN'!E7</f>
        <v>4</v>
      </c>
      <c r="F7" s="15">
        <f>'StGenis-&gt;Meyrin'!F7+'StGenis-&gt;Bourdigny'!F7+'StGenis-&gt;CERN'!F7</f>
        <v>1</v>
      </c>
      <c r="G7" s="15">
        <f>'StGenis-&gt;Meyrin'!G7+'StGenis-&gt;Bourdigny'!G7+'StGenis-&gt;CERN'!G7</f>
        <v>1</v>
      </c>
      <c r="H7" s="15">
        <f>'StGenis-&gt;Meyrin'!H7+'StGenis-&gt;Bourdigny'!H7+'StGenis-&gt;CERN'!H7</f>
        <v>2</v>
      </c>
      <c r="I7" s="15">
        <f>'StGenis-&gt;Meyrin'!I7+'StGenis-&gt;Bourdigny'!I7+'StGenis-&gt;CERN'!I7</f>
        <v>0</v>
      </c>
      <c r="J7" s="15">
        <f>'StGenis-&gt;Meyrin'!J7+'StGenis-&gt;Bourdigny'!J7+'StGenis-&gt;CERN'!J7</f>
        <v>0</v>
      </c>
      <c r="K7" s="15">
        <f>'StGenis-&gt;Meyrin'!K7+'StGenis-&gt;Bourdigny'!K7+'StGenis-&gt;CERN'!K7</f>
        <v>0</v>
      </c>
      <c r="L7" s="15">
        <f>'StGenis-&gt;Meyrin'!L7+'StGenis-&gt;Bourdigny'!L7+'StGenis-&gt;CERN'!L7</f>
        <v>0</v>
      </c>
      <c r="M7" s="15">
        <f>'StGenis-&gt;Meyrin'!M7+'StGenis-&gt;Bourdigny'!M7+'StGenis-&gt;CERN'!M7</f>
        <v>0</v>
      </c>
      <c r="N7" s="15">
        <f>'StGenis-&gt;Meyrin'!N7+'StGenis-&gt;Bourdigny'!N7+'StGenis-&gt;CERN'!N7</f>
        <v>0</v>
      </c>
      <c r="O7" s="15">
        <f>'StGenis-&gt;Meyrin'!O7+'StGenis-&gt;Bourdigny'!O7+'StGenis-&gt;CERN'!O7</f>
        <v>0</v>
      </c>
      <c r="P7" s="15">
        <f>'StGenis-&gt;Meyrin'!P7+'StGenis-&gt;Bourdigny'!P7+'StGenis-&gt;CERN'!P7</f>
        <v>0</v>
      </c>
      <c r="Q7" s="15">
        <f>'StGenis-&gt;Meyrin'!Q7+'StGenis-&gt;Bourdigny'!Q7+'StGenis-&gt;CERN'!Q7</f>
        <v>0</v>
      </c>
      <c r="S7" s="29">
        <f t="shared" si="0"/>
        <v>20</v>
      </c>
      <c r="T7" s="19">
        <f t="shared" si="0"/>
        <v>9</v>
      </c>
      <c r="U7" s="25">
        <f t="shared" si="1"/>
        <v>0.31034482758620691</v>
      </c>
      <c r="V7" s="19">
        <f t="shared" si="2"/>
        <v>17</v>
      </c>
      <c r="W7" s="19">
        <f t="shared" si="3"/>
        <v>8</v>
      </c>
      <c r="X7" s="19">
        <f t="shared" si="4"/>
        <v>2</v>
      </c>
      <c r="Y7" s="19">
        <f t="shared" si="5"/>
        <v>27</v>
      </c>
      <c r="Z7" s="44">
        <f t="shared" si="9"/>
        <v>0.29629629629629628</v>
      </c>
      <c r="AA7" s="44">
        <f t="shared" si="10"/>
        <v>7.407407407407407E-2</v>
      </c>
      <c r="AB7" s="19">
        <f t="shared" si="6"/>
        <v>2</v>
      </c>
      <c r="AC7" s="19">
        <f t="shared" si="7"/>
        <v>29</v>
      </c>
      <c r="AD7" s="30">
        <f t="shared" si="8"/>
        <v>0</v>
      </c>
      <c r="AE7" s="42">
        <f t="shared" si="11"/>
        <v>29</v>
      </c>
      <c r="AG7" s="64"/>
      <c r="AH7" s="65"/>
      <c r="AI7" s="65"/>
      <c r="AJ7" s="65"/>
      <c r="AK7" s="65"/>
      <c r="AL7" s="65"/>
      <c r="AM7" s="65"/>
      <c r="AN7" s="66"/>
      <c r="AP7" s="64"/>
      <c r="AQ7" s="65"/>
      <c r="AR7" s="65"/>
      <c r="AS7" s="65"/>
      <c r="AT7" s="65"/>
      <c r="AU7" s="65"/>
      <c r="AV7" s="65"/>
      <c r="AW7" s="66"/>
    </row>
    <row r="8" spans="1:49" ht="21" customHeight="1" thickBot="1">
      <c r="A8" s="14">
        <v>0.32291666666666669</v>
      </c>
      <c r="B8" s="15">
        <f>'StGenis-&gt;Meyrin'!B8+'StGenis-&gt;Bourdigny'!B8+'StGenis-&gt;CERN'!B8</f>
        <v>7</v>
      </c>
      <c r="C8" s="15">
        <f>'StGenis-&gt;Meyrin'!C8+'StGenis-&gt;Bourdigny'!C8+'StGenis-&gt;CERN'!C8</f>
        <v>4</v>
      </c>
      <c r="D8" s="15">
        <f>'StGenis-&gt;Meyrin'!D8+'StGenis-&gt;Bourdigny'!D8+'StGenis-&gt;CERN'!D8</f>
        <v>4</v>
      </c>
      <c r="E8" s="15">
        <f>'StGenis-&gt;Meyrin'!E8+'StGenis-&gt;Bourdigny'!E8+'StGenis-&gt;CERN'!E8</f>
        <v>7</v>
      </c>
      <c r="F8" s="15">
        <f>'StGenis-&gt;Meyrin'!F8+'StGenis-&gt;Bourdigny'!F8+'StGenis-&gt;CERN'!F8</f>
        <v>1</v>
      </c>
      <c r="G8" s="15">
        <f>'StGenis-&gt;Meyrin'!G8+'StGenis-&gt;Bourdigny'!G8+'StGenis-&gt;CERN'!G8</f>
        <v>2</v>
      </c>
      <c r="H8" s="15">
        <f>'StGenis-&gt;Meyrin'!H8+'StGenis-&gt;Bourdigny'!H8+'StGenis-&gt;CERN'!H8</f>
        <v>0</v>
      </c>
      <c r="I8" s="15">
        <f>'StGenis-&gt;Meyrin'!I8+'StGenis-&gt;Bourdigny'!I8+'StGenis-&gt;CERN'!I8</f>
        <v>0</v>
      </c>
      <c r="J8" s="15">
        <f>'StGenis-&gt;Meyrin'!J8+'StGenis-&gt;Bourdigny'!J8+'StGenis-&gt;CERN'!J8</f>
        <v>0</v>
      </c>
      <c r="K8" s="15">
        <f>'StGenis-&gt;Meyrin'!K8+'StGenis-&gt;Bourdigny'!K8+'StGenis-&gt;CERN'!K8</f>
        <v>0</v>
      </c>
      <c r="L8" s="15">
        <f>'StGenis-&gt;Meyrin'!L8+'StGenis-&gt;Bourdigny'!L8+'StGenis-&gt;CERN'!L8</f>
        <v>0</v>
      </c>
      <c r="M8" s="15">
        <f>'StGenis-&gt;Meyrin'!M8+'StGenis-&gt;Bourdigny'!M8+'StGenis-&gt;CERN'!M8</f>
        <v>0</v>
      </c>
      <c r="N8" s="15">
        <f>'StGenis-&gt;Meyrin'!N8+'StGenis-&gt;Bourdigny'!N8+'StGenis-&gt;CERN'!N8</f>
        <v>0</v>
      </c>
      <c r="O8" s="15">
        <f>'StGenis-&gt;Meyrin'!O8+'StGenis-&gt;Bourdigny'!O8+'StGenis-&gt;CERN'!O8</f>
        <v>0</v>
      </c>
      <c r="P8" s="15">
        <f>'StGenis-&gt;Meyrin'!P8+'StGenis-&gt;Bourdigny'!P8+'StGenis-&gt;CERN'!P8</f>
        <v>0</v>
      </c>
      <c r="Q8" s="15">
        <f>'StGenis-&gt;Meyrin'!Q8+'StGenis-&gt;Bourdigny'!Q8+'StGenis-&gt;CERN'!Q8</f>
        <v>0</v>
      </c>
      <c r="S8" s="29">
        <f t="shared" si="0"/>
        <v>12</v>
      </c>
      <c r="T8" s="19">
        <f t="shared" si="0"/>
        <v>13</v>
      </c>
      <c r="U8" s="25">
        <f t="shared" si="1"/>
        <v>0.52</v>
      </c>
      <c r="V8" s="19">
        <f t="shared" si="2"/>
        <v>11</v>
      </c>
      <c r="W8" s="19">
        <f t="shared" si="3"/>
        <v>11</v>
      </c>
      <c r="X8" s="19">
        <f t="shared" si="4"/>
        <v>3</v>
      </c>
      <c r="Y8" s="19">
        <f t="shared" si="5"/>
        <v>25</v>
      </c>
      <c r="Z8" s="44">
        <f t="shared" si="9"/>
        <v>0.44</v>
      </c>
      <c r="AA8" s="44">
        <f t="shared" si="10"/>
        <v>0.12</v>
      </c>
      <c r="AB8" s="19">
        <f t="shared" si="6"/>
        <v>0</v>
      </c>
      <c r="AC8" s="19">
        <f t="shared" si="7"/>
        <v>25</v>
      </c>
      <c r="AD8" s="30">
        <f t="shared" si="8"/>
        <v>0</v>
      </c>
      <c r="AE8" s="42">
        <f t="shared" si="11"/>
        <v>25</v>
      </c>
      <c r="AG8" s="64"/>
      <c r="AH8" s="65"/>
      <c r="AI8" s="65"/>
      <c r="AJ8" s="65"/>
      <c r="AK8" s="65"/>
      <c r="AL8" s="65"/>
      <c r="AM8" s="65"/>
      <c r="AN8" s="66"/>
      <c r="AP8" s="64"/>
      <c r="AQ8" s="65"/>
      <c r="AR8" s="65"/>
      <c r="AS8" s="65"/>
      <c r="AT8" s="65"/>
      <c r="AU8" s="65"/>
      <c r="AV8" s="65"/>
      <c r="AW8" s="66"/>
    </row>
    <row r="9" spans="1:49" ht="21" customHeight="1" thickBot="1">
      <c r="A9" s="13">
        <v>0.33333333333333331</v>
      </c>
      <c r="B9" s="15">
        <f>'StGenis-&gt;Meyrin'!B9+'StGenis-&gt;Bourdigny'!B9+'StGenis-&gt;CERN'!B9</f>
        <v>10</v>
      </c>
      <c r="C9" s="15">
        <f>'StGenis-&gt;Meyrin'!C9+'StGenis-&gt;Bourdigny'!C9+'StGenis-&gt;CERN'!C9</f>
        <v>7</v>
      </c>
      <c r="D9" s="15">
        <f>'StGenis-&gt;Meyrin'!D9+'StGenis-&gt;Bourdigny'!D9+'StGenis-&gt;CERN'!D9</f>
        <v>2</v>
      </c>
      <c r="E9" s="15">
        <f>'StGenis-&gt;Meyrin'!E9+'StGenis-&gt;Bourdigny'!E9+'StGenis-&gt;CERN'!E9</f>
        <v>1</v>
      </c>
      <c r="F9" s="15">
        <f>'StGenis-&gt;Meyrin'!F9+'StGenis-&gt;Bourdigny'!F9+'StGenis-&gt;CERN'!F9</f>
        <v>0</v>
      </c>
      <c r="G9" s="15">
        <f>'StGenis-&gt;Meyrin'!G9+'StGenis-&gt;Bourdigny'!G9+'StGenis-&gt;CERN'!G9</f>
        <v>0</v>
      </c>
      <c r="H9" s="15">
        <f>'StGenis-&gt;Meyrin'!H9+'StGenis-&gt;Bourdigny'!H9+'StGenis-&gt;CERN'!H9</f>
        <v>8</v>
      </c>
      <c r="I9" s="15">
        <f>'StGenis-&gt;Meyrin'!I9+'StGenis-&gt;Bourdigny'!I9+'StGenis-&gt;CERN'!I9</f>
        <v>0</v>
      </c>
      <c r="J9" s="15">
        <f>'StGenis-&gt;Meyrin'!J9+'StGenis-&gt;Bourdigny'!J9+'StGenis-&gt;CERN'!J9</f>
        <v>1</v>
      </c>
      <c r="K9" s="15">
        <f>'StGenis-&gt;Meyrin'!K9+'StGenis-&gt;Bourdigny'!K9+'StGenis-&gt;CERN'!K9</f>
        <v>1</v>
      </c>
      <c r="L9" s="15">
        <f>'StGenis-&gt;Meyrin'!L9+'StGenis-&gt;Bourdigny'!L9+'StGenis-&gt;CERN'!L9</f>
        <v>0</v>
      </c>
      <c r="M9" s="15">
        <f>'StGenis-&gt;Meyrin'!M9+'StGenis-&gt;Bourdigny'!M9+'StGenis-&gt;CERN'!M9</f>
        <v>0</v>
      </c>
      <c r="N9" s="15">
        <f>'StGenis-&gt;Meyrin'!N9+'StGenis-&gt;Bourdigny'!N9+'StGenis-&gt;CERN'!N9</f>
        <v>0</v>
      </c>
      <c r="O9" s="15">
        <f>'StGenis-&gt;Meyrin'!O9+'StGenis-&gt;Bourdigny'!O9+'StGenis-&gt;CERN'!O9</f>
        <v>0</v>
      </c>
      <c r="P9" s="15">
        <f>'StGenis-&gt;Meyrin'!P9+'StGenis-&gt;Bourdigny'!P9+'StGenis-&gt;CERN'!P9</f>
        <v>0</v>
      </c>
      <c r="Q9" s="15">
        <f>'StGenis-&gt;Meyrin'!Q9+'StGenis-&gt;Bourdigny'!Q9+'StGenis-&gt;CERN'!Q9</f>
        <v>0</v>
      </c>
      <c r="S9" s="29">
        <f t="shared" si="0"/>
        <v>21</v>
      </c>
      <c r="T9" s="19">
        <f t="shared" si="0"/>
        <v>9</v>
      </c>
      <c r="U9" s="25">
        <f t="shared" si="1"/>
        <v>0.3</v>
      </c>
      <c r="V9" s="19">
        <f t="shared" si="2"/>
        <v>19</v>
      </c>
      <c r="W9" s="19">
        <f t="shared" si="3"/>
        <v>3</v>
      </c>
      <c r="X9" s="19">
        <f t="shared" si="4"/>
        <v>0</v>
      </c>
      <c r="Y9" s="19">
        <f t="shared" si="5"/>
        <v>22</v>
      </c>
      <c r="Z9" s="44">
        <f t="shared" si="9"/>
        <v>0.13636363636363635</v>
      </c>
      <c r="AA9" s="44">
        <f t="shared" si="10"/>
        <v>0</v>
      </c>
      <c r="AB9" s="19">
        <f t="shared" si="6"/>
        <v>8</v>
      </c>
      <c r="AC9" s="19">
        <f t="shared" si="7"/>
        <v>28</v>
      </c>
      <c r="AD9" s="30">
        <f t="shared" si="8"/>
        <v>2</v>
      </c>
      <c r="AE9" s="42">
        <f t="shared" si="11"/>
        <v>30</v>
      </c>
      <c r="AG9" s="64"/>
      <c r="AH9" s="65"/>
      <c r="AI9" s="65"/>
      <c r="AJ9" s="65"/>
      <c r="AK9" s="65"/>
      <c r="AL9" s="65"/>
      <c r="AM9" s="65"/>
      <c r="AN9" s="66"/>
      <c r="AP9" s="64"/>
      <c r="AQ9" s="65"/>
      <c r="AR9" s="65"/>
      <c r="AS9" s="65"/>
      <c r="AT9" s="65"/>
      <c r="AU9" s="65"/>
      <c r="AV9" s="65"/>
      <c r="AW9" s="66"/>
    </row>
    <row r="10" spans="1:49" ht="21" customHeight="1" thickBot="1">
      <c r="A10" s="14">
        <v>0.34375</v>
      </c>
      <c r="B10" s="15">
        <f>'StGenis-&gt;Meyrin'!B10+'StGenis-&gt;Bourdigny'!B10+'StGenis-&gt;CERN'!B10</f>
        <v>13</v>
      </c>
      <c r="C10" s="15">
        <f>'StGenis-&gt;Meyrin'!C10+'StGenis-&gt;Bourdigny'!C10+'StGenis-&gt;CERN'!C10</f>
        <v>3</v>
      </c>
      <c r="D10" s="15">
        <f>'StGenis-&gt;Meyrin'!D10+'StGenis-&gt;Bourdigny'!D10+'StGenis-&gt;CERN'!D10</f>
        <v>3</v>
      </c>
      <c r="E10" s="15">
        <f>'StGenis-&gt;Meyrin'!E10+'StGenis-&gt;Bourdigny'!E10+'StGenis-&gt;CERN'!E10</f>
        <v>4</v>
      </c>
      <c r="F10" s="15">
        <f>'StGenis-&gt;Meyrin'!F10+'StGenis-&gt;Bourdigny'!F10+'StGenis-&gt;CERN'!F10</f>
        <v>1</v>
      </c>
      <c r="G10" s="15">
        <f>'StGenis-&gt;Meyrin'!G10+'StGenis-&gt;Bourdigny'!G10+'StGenis-&gt;CERN'!G10</f>
        <v>2</v>
      </c>
      <c r="H10" s="15">
        <f>'StGenis-&gt;Meyrin'!H10+'StGenis-&gt;Bourdigny'!H10+'StGenis-&gt;CERN'!H10</f>
        <v>4</v>
      </c>
      <c r="I10" s="15">
        <f>'StGenis-&gt;Meyrin'!I10+'StGenis-&gt;Bourdigny'!I10+'StGenis-&gt;CERN'!I10</f>
        <v>0</v>
      </c>
      <c r="J10" s="15">
        <f>'StGenis-&gt;Meyrin'!J10+'StGenis-&gt;Bourdigny'!J10+'StGenis-&gt;CERN'!J10</f>
        <v>0</v>
      </c>
      <c r="K10" s="15">
        <f>'StGenis-&gt;Meyrin'!K10+'StGenis-&gt;Bourdigny'!K10+'StGenis-&gt;CERN'!K10</f>
        <v>0</v>
      </c>
      <c r="L10" s="15">
        <f>'StGenis-&gt;Meyrin'!L10+'StGenis-&gt;Bourdigny'!L10+'StGenis-&gt;CERN'!L10</f>
        <v>1</v>
      </c>
      <c r="M10" s="15">
        <f>'StGenis-&gt;Meyrin'!M10+'StGenis-&gt;Bourdigny'!M10+'StGenis-&gt;CERN'!M10</f>
        <v>1</v>
      </c>
      <c r="N10" s="15">
        <f>'StGenis-&gt;Meyrin'!N10+'StGenis-&gt;Bourdigny'!N10+'StGenis-&gt;CERN'!N10</f>
        <v>0</v>
      </c>
      <c r="O10" s="15">
        <f>'StGenis-&gt;Meyrin'!O10+'StGenis-&gt;Bourdigny'!O10+'StGenis-&gt;CERN'!O10</f>
        <v>0</v>
      </c>
      <c r="P10" s="15">
        <f>'StGenis-&gt;Meyrin'!P10+'StGenis-&gt;Bourdigny'!P10+'StGenis-&gt;CERN'!P10</f>
        <v>0</v>
      </c>
      <c r="Q10" s="15">
        <f>'StGenis-&gt;Meyrin'!Q10+'StGenis-&gt;Bourdigny'!Q10+'StGenis-&gt;CERN'!Q10</f>
        <v>0</v>
      </c>
      <c r="S10" s="29">
        <f t="shared" si="0"/>
        <v>22</v>
      </c>
      <c r="T10" s="19">
        <f t="shared" si="0"/>
        <v>10</v>
      </c>
      <c r="U10" s="25">
        <f t="shared" si="1"/>
        <v>0.3125</v>
      </c>
      <c r="V10" s="19">
        <f t="shared" si="2"/>
        <v>16</v>
      </c>
      <c r="W10" s="19">
        <f t="shared" si="3"/>
        <v>9</v>
      </c>
      <c r="X10" s="19">
        <f t="shared" si="4"/>
        <v>3</v>
      </c>
      <c r="Y10" s="19">
        <f t="shared" si="5"/>
        <v>28</v>
      </c>
      <c r="Z10" s="44">
        <f t="shared" si="9"/>
        <v>0.32142857142857145</v>
      </c>
      <c r="AA10" s="44">
        <f t="shared" si="10"/>
        <v>0.10714285714285714</v>
      </c>
      <c r="AB10" s="19">
        <f t="shared" si="6"/>
        <v>4</v>
      </c>
      <c r="AC10" s="19">
        <f t="shared" si="7"/>
        <v>30</v>
      </c>
      <c r="AD10" s="30">
        <f t="shared" si="8"/>
        <v>2</v>
      </c>
      <c r="AE10" s="42">
        <f t="shared" si="11"/>
        <v>32</v>
      </c>
      <c r="AG10" s="64"/>
      <c r="AH10" s="65"/>
      <c r="AI10" s="65"/>
      <c r="AJ10" s="65"/>
      <c r="AK10" s="65"/>
      <c r="AL10" s="65"/>
      <c r="AM10" s="65"/>
      <c r="AN10" s="66"/>
      <c r="AP10" s="64"/>
      <c r="AQ10" s="65"/>
      <c r="AR10" s="65"/>
      <c r="AS10" s="65"/>
      <c r="AT10" s="65"/>
      <c r="AU10" s="65"/>
      <c r="AV10" s="65"/>
      <c r="AW10" s="66"/>
    </row>
    <row r="11" spans="1:49" ht="21" customHeight="1" thickBot="1">
      <c r="A11" s="14">
        <v>0.35416666666666669</v>
      </c>
      <c r="B11" s="15">
        <f>'StGenis-&gt;Meyrin'!B11+'StGenis-&gt;Bourdigny'!B11+'StGenis-&gt;CERN'!B11</f>
        <v>13</v>
      </c>
      <c r="C11" s="15">
        <f>'StGenis-&gt;Meyrin'!C11+'StGenis-&gt;Bourdigny'!C11+'StGenis-&gt;CERN'!C11</f>
        <v>3</v>
      </c>
      <c r="D11" s="15">
        <f>'StGenis-&gt;Meyrin'!D11+'StGenis-&gt;Bourdigny'!D11+'StGenis-&gt;CERN'!D11</f>
        <v>1</v>
      </c>
      <c r="E11" s="15">
        <f>'StGenis-&gt;Meyrin'!E11+'StGenis-&gt;Bourdigny'!E11+'StGenis-&gt;CERN'!E11</f>
        <v>0</v>
      </c>
      <c r="F11" s="15">
        <f>'StGenis-&gt;Meyrin'!F11+'StGenis-&gt;Bourdigny'!F11+'StGenis-&gt;CERN'!F11</f>
        <v>5</v>
      </c>
      <c r="G11" s="15">
        <f>'StGenis-&gt;Meyrin'!G11+'StGenis-&gt;Bourdigny'!G11+'StGenis-&gt;CERN'!G11</f>
        <v>5</v>
      </c>
      <c r="H11" s="15">
        <f>'StGenis-&gt;Meyrin'!H11+'StGenis-&gt;Bourdigny'!H11+'StGenis-&gt;CERN'!H11</f>
        <v>6</v>
      </c>
      <c r="I11" s="15">
        <f>'StGenis-&gt;Meyrin'!I11+'StGenis-&gt;Bourdigny'!I11+'StGenis-&gt;CERN'!I11</f>
        <v>0</v>
      </c>
      <c r="J11" s="15">
        <f>'StGenis-&gt;Meyrin'!J11+'StGenis-&gt;Bourdigny'!J11+'StGenis-&gt;CERN'!J11</f>
        <v>0</v>
      </c>
      <c r="K11" s="15">
        <f>'StGenis-&gt;Meyrin'!K11+'StGenis-&gt;Bourdigny'!K11+'StGenis-&gt;CERN'!K11</f>
        <v>1</v>
      </c>
      <c r="L11" s="15">
        <f>'StGenis-&gt;Meyrin'!L11+'StGenis-&gt;Bourdigny'!L11+'StGenis-&gt;CERN'!L11</f>
        <v>0</v>
      </c>
      <c r="M11" s="15">
        <f>'StGenis-&gt;Meyrin'!M11+'StGenis-&gt;Bourdigny'!M11+'StGenis-&gt;CERN'!M11</f>
        <v>0</v>
      </c>
      <c r="N11" s="15">
        <f>'StGenis-&gt;Meyrin'!N11+'StGenis-&gt;Bourdigny'!N11+'StGenis-&gt;CERN'!N11</f>
        <v>0</v>
      </c>
      <c r="O11" s="15">
        <f>'StGenis-&gt;Meyrin'!O11+'StGenis-&gt;Bourdigny'!O11+'StGenis-&gt;CERN'!O11</f>
        <v>0</v>
      </c>
      <c r="P11" s="15">
        <f>'StGenis-&gt;Meyrin'!P11+'StGenis-&gt;Bourdigny'!P11+'StGenis-&gt;CERN'!P11</f>
        <v>0</v>
      </c>
      <c r="Q11" s="15">
        <f>'StGenis-&gt;Meyrin'!Q11+'StGenis-&gt;Bourdigny'!Q11+'StGenis-&gt;CERN'!Q11</f>
        <v>0</v>
      </c>
      <c r="S11" s="29">
        <f t="shared" si="0"/>
        <v>25</v>
      </c>
      <c r="T11" s="19">
        <f t="shared" si="0"/>
        <v>9</v>
      </c>
      <c r="U11" s="25">
        <f t="shared" si="1"/>
        <v>0.26470588235294118</v>
      </c>
      <c r="V11" s="19">
        <f t="shared" si="2"/>
        <v>17</v>
      </c>
      <c r="W11" s="19">
        <f t="shared" si="3"/>
        <v>1</v>
      </c>
      <c r="X11" s="19">
        <f t="shared" si="4"/>
        <v>10</v>
      </c>
      <c r="Y11" s="19">
        <f t="shared" si="5"/>
        <v>28</v>
      </c>
      <c r="Z11" s="44">
        <f t="shared" si="9"/>
        <v>3.5714285714285712E-2</v>
      </c>
      <c r="AA11" s="44">
        <f t="shared" si="10"/>
        <v>0.35714285714285715</v>
      </c>
      <c r="AB11" s="19">
        <f t="shared" si="6"/>
        <v>6</v>
      </c>
      <c r="AC11" s="19">
        <f t="shared" si="7"/>
        <v>33</v>
      </c>
      <c r="AD11" s="30">
        <f t="shared" si="8"/>
        <v>1</v>
      </c>
      <c r="AE11" s="42">
        <f t="shared" si="11"/>
        <v>34</v>
      </c>
      <c r="AG11" s="64"/>
      <c r="AH11" s="65"/>
      <c r="AI11" s="65"/>
      <c r="AJ11" s="65"/>
      <c r="AK11" s="65"/>
      <c r="AL11" s="65"/>
      <c r="AM11" s="65"/>
      <c r="AN11" s="66"/>
      <c r="AP11" s="64"/>
      <c r="AQ11" s="65"/>
      <c r="AR11" s="65"/>
      <c r="AS11" s="65"/>
      <c r="AT11" s="65"/>
      <c r="AU11" s="65"/>
      <c r="AV11" s="65"/>
      <c r="AW11" s="66"/>
    </row>
    <row r="12" spans="1:49" ht="21" customHeight="1" thickBot="1">
      <c r="A12" s="14">
        <v>0.36458333333333331</v>
      </c>
      <c r="B12" s="15">
        <f>'StGenis-&gt;Meyrin'!B12+'StGenis-&gt;Bourdigny'!B12+'StGenis-&gt;CERN'!B12</f>
        <v>9</v>
      </c>
      <c r="C12" s="15">
        <f>'StGenis-&gt;Meyrin'!C12+'StGenis-&gt;Bourdigny'!C12+'StGenis-&gt;CERN'!C12</f>
        <v>3</v>
      </c>
      <c r="D12" s="15">
        <f>'StGenis-&gt;Meyrin'!D12+'StGenis-&gt;Bourdigny'!D12+'StGenis-&gt;CERN'!D12</f>
        <v>0</v>
      </c>
      <c r="E12" s="15">
        <f>'StGenis-&gt;Meyrin'!E12+'StGenis-&gt;Bourdigny'!E12+'StGenis-&gt;CERN'!E12</f>
        <v>0</v>
      </c>
      <c r="F12" s="15">
        <f>'StGenis-&gt;Meyrin'!F12+'StGenis-&gt;Bourdigny'!F12+'StGenis-&gt;CERN'!F12</f>
        <v>1</v>
      </c>
      <c r="G12" s="15">
        <f>'StGenis-&gt;Meyrin'!G12+'StGenis-&gt;Bourdigny'!G12+'StGenis-&gt;CERN'!G12</f>
        <v>4</v>
      </c>
      <c r="H12" s="15">
        <f>'StGenis-&gt;Meyrin'!H12+'StGenis-&gt;Bourdigny'!H12+'StGenis-&gt;CERN'!H12</f>
        <v>6</v>
      </c>
      <c r="I12" s="15">
        <f>'StGenis-&gt;Meyrin'!I12+'StGenis-&gt;Bourdigny'!I12+'StGenis-&gt;CERN'!I12</f>
        <v>2</v>
      </c>
      <c r="J12" s="15">
        <f>'StGenis-&gt;Meyrin'!J12+'StGenis-&gt;Bourdigny'!J12+'StGenis-&gt;CERN'!J12</f>
        <v>0</v>
      </c>
      <c r="K12" s="15">
        <f>'StGenis-&gt;Meyrin'!K12+'StGenis-&gt;Bourdigny'!K12+'StGenis-&gt;CERN'!K12</f>
        <v>0</v>
      </c>
      <c r="L12" s="15">
        <f>'StGenis-&gt;Meyrin'!L12+'StGenis-&gt;Bourdigny'!L12+'StGenis-&gt;CERN'!L12</f>
        <v>0</v>
      </c>
      <c r="M12" s="15">
        <f>'StGenis-&gt;Meyrin'!M12+'StGenis-&gt;Bourdigny'!M12+'StGenis-&gt;CERN'!M12</f>
        <v>0</v>
      </c>
      <c r="N12" s="15">
        <f>'StGenis-&gt;Meyrin'!N12+'StGenis-&gt;Bourdigny'!N12+'StGenis-&gt;CERN'!N12</f>
        <v>0</v>
      </c>
      <c r="O12" s="15">
        <f>'StGenis-&gt;Meyrin'!O12+'StGenis-&gt;Bourdigny'!O12+'StGenis-&gt;CERN'!O12</f>
        <v>0</v>
      </c>
      <c r="P12" s="15">
        <f>'StGenis-&gt;Meyrin'!P12+'StGenis-&gt;Bourdigny'!P12+'StGenis-&gt;CERN'!P12</f>
        <v>0</v>
      </c>
      <c r="Q12" s="15">
        <f>'StGenis-&gt;Meyrin'!Q12+'StGenis-&gt;Bourdigny'!Q12+'StGenis-&gt;CERN'!Q12</f>
        <v>0</v>
      </c>
      <c r="S12" s="29">
        <f t="shared" ref="S12:T14" si="12">B12+D12+F12+H12+J12+L12+N12+P12</f>
        <v>16</v>
      </c>
      <c r="T12" s="19">
        <f t="shared" si="12"/>
        <v>9</v>
      </c>
      <c r="U12" s="25">
        <f>T12/(T12+S12)</f>
        <v>0.36</v>
      </c>
      <c r="V12" s="19">
        <f>B12+C12+J12+K12</f>
        <v>12</v>
      </c>
      <c r="W12" s="19">
        <f>D12+E12+L12+M12</f>
        <v>0</v>
      </c>
      <c r="X12" s="19">
        <f>F12+G12+N12+O12</f>
        <v>5</v>
      </c>
      <c r="Y12" s="19">
        <f>SUM(V12:X12)</f>
        <v>17</v>
      </c>
      <c r="Z12" s="44">
        <f t="shared" si="9"/>
        <v>0</v>
      </c>
      <c r="AA12" s="44">
        <f t="shared" si="10"/>
        <v>0.29411764705882354</v>
      </c>
      <c r="AB12" s="19">
        <f>H12+I12+P12+Q12</f>
        <v>8</v>
      </c>
      <c r="AC12" s="19">
        <f>SUM(B12:I12)</f>
        <v>25</v>
      </c>
      <c r="AD12" s="30">
        <f>SUM(J12:Q12)</f>
        <v>0</v>
      </c>
      <c r="AE12" s="42">
        <f t="shared" si="11"/>
        <v>25</v>
      </c>
      <c r="AG12" s="64"/>
      <c r="AH12" s="65"/>
      <c r="AI12" s="65"/>
      <c r="AJ12" s="65"/>
      <c r="AK12" s="65"/>
      <c r="AL12" s="65"/>
      <c r="AM12" s="65"/>
      <c r="AN12" s="66"/>
      <c r="AP12" s="64"/>
      <c r="AQ12" s="65"/>
      <c r="AR12" s="65"/>
      <c r="AS12" s="65"/>
      <c r="AT12" s="65"/>
      <c r="AU12" s="65"/>
      <c r="AV12" s="65"/>
      <c r="AW12" s="66"/>
    </row>
    <row r="13" spans="1:49" ht="15" thickBot="1">
      <c r="A13" s="24" t="s">
        <v>13</v>
      </c>
      <c r="B13" s="35">
        <f>SUM(B5:B12)</f>
        <v>93</v>
      </c>
      <c r="C13" s="35">
        <f t="shared" ref="C13:Q13" si="13">SUM(C5:C12)</f>
        <v>30</v>
      </c>
      <c r="D13" s="35">
        <f t="shared" si="13"/>
        <v>29</v>
      </c>
      <c r="E13" s="35">
        <f t="shared" si="13"/>
        <v>29</v>
      </c>
      <c r="F13" s="35">
        <f t="shared" si="13"/>
        <v>12</v>
      </c>
      <c r="G13" s="35">
        <f t="shared" si="13"/>
        <v>15</v>
      </c>
      <c r="H13" s="35">
        <f t="shared" si="13"/>
        <v>31</v>
      </c>
      <c r="I13" s="35">
        <f t="shared" si="13"/>
        <v>2</v>
      </c>
      <c r="J13" s="35">
        <f t="shared" si="13"/>
        <v>3</v>
      </c>
      <c r="K13" s="35">
        <f t="shared" si="13"/>
        <v>2</v>
      </c>
      <c r="L13" s="35">
        <f t="shared" si="13"/>
        <v>3</v>
      </c>
      <c r="M13" s="35">
        <f t="shared" si="13"/>
        <v>1</v>
      </c>
      <c r="N13" s="35">
        <f t="shared" si="13"/>
        <v>0</v>
      </c>
      <c r="O13" s="35">
        <f t="shared" si="13"/>
        <v>0</v>
      </c>
      <c r="P13" s="35">
        <f t="shared" si="13"/>
        <v>0</v>
      </c>
      <c r="Q13" s="35">
        <f t="shared" si="13"/>
        <v>0</v>
      </c>
      <c r="S13" s="31">
        <f t="shared" si="12"/>
        <v>171</v>
      </c>
      <c r="T13" s="32">
        <f t="shared" si="12"/>
        <v>79</v>
      </c>
      <c r="U13" s="33">
        <f>T13/(T13+S13)</f>
        <v>0.316</v>
      </c>
      <c r="V13" s="32">
        <f>B13+C13+J13+K13</f>
        <v>128</v>
      </c>
      <c r="W13" s="32">
        <f>D13+E13+L13+M13</f>
        <v>62</v>
      </c>
      <c r="X13" s="32">
        <f>F13+G13+N13+O13</f>
        <v>27</v>
      </c>
      <c r="Y13" s="32">
        <f>SUM(V13:X13)</f>
        <v>217</v>
      </c>
      <c r="Z13" s="44">
        <f t="shared" si="9"/>
        <v>0.2857142857142857</v>
      </c>
      <c r="AA13" s="44">
        <f t="shared" si="10"/>
        <v>0.12442396313364056</v>
      </c>
      <c r="AB13" s="32">
        <f>H13+I13+P13+Q13</f>
        <v>33</v>
      </c>
      <c r="AC13" s="32">
        <f>SUM(B13:I13)</f>
        <v>241</v>
      </c>
      <c r="AD13" s="34">
        <f>SUM(J13:Q13)</f>
        <v>9</v>
      </c>
      <c r="AE13" s="43">
        <f t="shared" si="11"/>
        <v>250</v>
      </c>
      <c r="AG13" s="71">
        <f>'StGenis-&gt;Meyrin'!AG13+'StGenis-&gt;Bourdigny'!AG13+'StGenis-&gt;CERN'!AG13</f>
        <v>400</v>
      </c>
      <c r="AH13" s="71">
        <f>'StGenis-&gt;Meyrin'!AH13+'StGenis-&gt;Bourdigny'!AH13+'StGenis-&gt;CERN'!AH13</f>
        <v>72</v>
      </c>
      <c r="AI13" s="71">
        <f>'StGenis-&gt;Meyrin'!AI13+'StGenis-&gt;Bourdigny'!AI13+'StGenis-&gt;CERN'!AI13</f>
        <v>366</v>
      </c>
      <c r="AJ13" s="71">
        <f>'StGenis-&gt;Meyrin'!AJ13+'StGenis-&gt;Bourdigny'!AJ13+'StGenis-&gt;CERN'!AJ13</f>
        <v>106</v>
      </c>
      <c r="AK13" s="71">
        <f>'StGenis-&gt;Meyrin'!AK13+'StGenis-&gt;Bourdigny'!AK13+'StGenis-&gt;CERN'!AK13</f>
        <v>455</v>
      </c>
      <c r="AL13" s="71">
        <f>'StGenis-&gt;Meyrin'!AL13+'StGenis-&gt;Bourdigny'!AL13+'StGenis-&gt;CERN'!AL13</f>
        <v>17</v>
      </c>
      <c r="AM13" s="67">
        <f>AJ13/(AJ13+AI13)</f>
        <v>0.22457627118644069</v>
      </c>
      <c r="AN13" s="71">
        <f>'StGenis-&gt;Meyrin'!AN13+'StGenis-&gt;Bourdigny'!AN13+'StGenis-&gt;CERN'!AN13</f>
        <v>472</v>
      </c>
      <c r="AP13" s="74">
        <f>(Y13-AG13)/AG13</f>
        <v>-0.45750000000000002</v>
      </c>
      <c r="AQ13" s="75">
        <f>(AB13-AH13)/AH13</f>
        <v>-0.54166666666666663</v>
      </c>
      <c r="AR13" s="75">
        <f>(S13-AI13)/AI13</f>
        <v>-0.53278688524590168</v>
      </c>
      <c r="AS13" s="75">
        <f>(T13-AJ13)/AJ13</f>
        <v>-0.25471698113207547</v>
      </c>
      <c r="AT13" s="75">
        <f>(AC13-AK13)/AK13</f>
        <v>-0.47032967032967032</v>
      </c>
      <c r="AU13" s="75">
        <f>(AD13-AL13)/AL13</f>
        <v>-0.47058823529411764</v>
      </c>
      <c r="AV13" s="75">
        <f>(U13-AM13)/AM13</f>
        <v>0.40709433962264147</v>
      </c>
      <c r="AW13" s="76">
        <f>(AE13-AN13)/AN13</f>
        <v>-0.47033898305084748</v>
      </c>
    </row>
    <row r="14" spans="1:49" ht="15" thickBot="1">
      <c r="A14" s="24" t="s">
        <v>32</v>
      </c>
      <c r="B14" s="24">
        <f>SUM(B7:B10)</f>
        <v>43</v>
      </c>
      <c r="C14" s="24">
        <f t="shared" ref="C14:Q14" si="14">SUM(C7:C10)</f>
        <v>18</v>
      </c>
      <c r="D14" s="24">
        <f t="shared" si="14"/>
        <v>13</v>
      </c>
      <c r="E14" s="24">
        <f t="shared" si="14"/>
        <v>16</v>
      </c>
      <c r="F14" s="24">
        <f t="shared" si="14"/>
        <v>3</v>
      </c>
      <c r="G14" s="24">
        <f t="shared" si="14"/>
        <v>5</v>
      </c>
      <c r="H14" s="24">
        <f t="shared" si="14"/>
        <v>14</v>
      </c>
      <c r="I14" s="24">
        <f t="shared" si="14"/>
        <v>0</v>
      </c>
      <c r="J14" s="24">
        <f t="shared" si="14"/>
        <v>1</v>
      </c>
      <c r="K14" s="24">
        <f t="shared" si="14"/>
        <v>1</v>
      </c>
      <c r="L14" s="24">
        <f t="shared" si="14"/>
        <v>1</v>
      </c>
      <c r="M14" s="24">
        <f t="shared" si="14"/>
        <v>1</v>
      </c>
      <c r="N14" s="24">
        <f t="shared" si="14"/>
        <v>0</v>
      </c>
      <c r="O14" s="24">
        <f t="shared" si="14"/>
        <v>0</v>
      </c>
      <c r="P14" s="24">
        <f t="shared" si="14"/>
        <v>0</v>
      </c>
      <c r="Q14" s="24">
        <f t="shared" si="14"/>
        <v>0</v>
      </c>
      <c r="S14" s="51">
        <f t="shared" si="12"/>
        <v>75</v>
      </c>
      <c r="T14" s="35">
        <f t="shared" si="12"/>
        <v>41</v>
      </c>
      <c r="U14" s="52">
        <f>T14/(T14+S14)</f>
        <v>0.35344827586206895</v>
      </c>
      <c r="V14" s="35">
        <f>B14+C14+J14+K14</f>
        <v>63</v>
      </c>
      <c r="W14" s="35">
        <f>D14+E14+L14+M14</f>
        <v>31</v>
      </c>
      <c r="X14" s="35">
        <f>F14+G14+N14+O14</f>
        <v>8</v>
      </c>
      <c r="Y14" s="35">
        <f>SUM(V14:X14)</f>
        <v>102</v>
      </c>
      <c r="Z14" s="53">
        <f t="shared" si="9"/>
        <v>0.30392156862745096</v>
      </c>
      <c r="AA14" s="53">
        <f t="shared" si="10"/>
        <v>7.8431372549019607E-2</v>
      </c>
      <c r="AB14" s="35">
        <f>H14+I14+P14+Q14</f>
        <v>14</v>
      </c>
      <c r="AC14" s="35">
        <f>SUM(B14:I14)</f>
        <v>112</v>
      </c>
      <c r="AD14" s="36">
        <f>SUM(J14:Q14)</f>
        <v>4</v>
      </c>
      <c r="AE14" s="54">
        <f t="shared" si="11"/>
        <v>116</v>
      </c>
    </row>
    <row r="16" spans="1:49">
      <c r="A16" t="s">
        <v>30</v>
      </c>
      <c r="B16">
        <f>SUM(B5:B8)</f>
        <v>48</v>
      </c>
      <c r="C16">
        <f t="shared" ref="C16:Q16" si="15">SUM(C5:C8)</f>
        <v>14</v>
      </c>
      <c r="D16">
        <f t="shared" si="15"/>
        <v>23</v>
      </c>
      <c r="E16">
        <f t="shared" si="15"/>
        <v>24</v>
      </c>
      <c r="F16">
        <f t="shared" si="15"/>
        <v>5</v>
      </c>
      <c r="G16">
        <f t="shared" si="15"/>
        <v>4</v>
      </c>
      <c r="H16">
        <f t="shared" si="15"/>
        <v>7</v>
      </c>
      <c r="I16">
        <f t="shared" si="15"/>
        <v>0</v>
      </c>
      <c r="J16">
        <f t="shared" si="15"/>
        <v>2</v>
      </c>
      <c r="K16">
        <f t="shared" si="15"/>
        <v>0</v>
      </c>
      <c r="L16">
        <f t="shared" si="15"/>
        <v>2</v>
      </c>
      <c r="M16">
        <f t="shared" si="15"/>
        <v>0</v>
      </c>
      <c r="N16">
        <f t="shared" si="15"/>
        <v>0</v>
      </c>
      <c r="O16">
        <f t="shared" si="15"/>
        <v>0</v>
      </c>
      <c r="P16">
        <f t="shared" si="15"/>
        <v>0</v>
      </c>
      <c r="Q16">
        <f t="shared" si="15"/>
        <v>0</v>
      </c>
    </row>
    <row r="17" spans="1:17">
      <c r="A17" t="s">
        <v>31</v>
      </c>
      <c r="B17">
        <f>SUM(B9:B12)</f>
        <v>45</v>
      </c>
      <c r="C17">
        <f t="shared" ref="C17:Q17" si="16">SUM(C9:C12)</f>
        <v>16</v>
      </c>
      <c r="D17">
        <f t="shared" si="16"/>
        <v>6</v>
      </c>
      <c r="E17">
        <f t="shared" si="16"/>
        <v>5</v>
      </c>
      <c r="F17">
        <f t="shared" si="16"/>
        <v>7</v>
      </c>
      <c r="G17">
        <f t="shared" si="16"/>
        <v>11</v>
      </c>
      <c r="H17">
        <f t="shared" si="16"/>
        <v>24</v>
      </c>
      <c r="I17">
        <f t="shared" si="16"/>
        <v>2</v>
      </c>
      <c r="J17">
        <f t="shared" si="16"/>
        <v>1</v>
      </c>
      <c r="K17">
        <f t="shared" si="16"/>
        <v>2</v>
      </c>
      <c r="L17">
        <f t="shared" si="16"/>
        <v>1</v>
      </c>
      <c r="M17">
        <f t="shared" si="16"/>
        <v>1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</row>
  </sheetData>
  <mergeCells count="13">
    <mergeCell ref="AG2:AN2"/>
    <mergeCell ref="AP2:AW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D0C2-0E4B-493B-9232-D2257A33DD66}">
  <dimension ref="A1:AW17"/>
  <sheetViews>
    <sheetView topLeftCell="AB1" workbookViewId="0">
      <selection activeCell="AM13" sqref="AM13"/>
    </sheetView>
  </sheetViews>
  <sheetFormatPr defaultRowHeight="14.4"/>
  <cols>
    <col min="1" max="1" width="10.33203125" customWidth="1"/>
    <col min="2" max="17" width="8.109375" customWidth="1"/>
  </cols>
  <sheetData>
    <row r="1" spans="1:49" ht="30.6" customHeight="1" thickBot="1">
      <c r="B1" s="11" t="s">
        <v>11</v>
      </c>
      <c r="C1" s="12" t="s">
        <v>25</v>
      </c>
    </row>
    <row r="2" spans="1:49" s="10" customFormat="1" ht="16.2" customHeight="1" thickBot="1">
      <c r="A2" s="9"/>
      <c r="B2" s="55" t="s">
        <v>5</v>
      </c>
      <c r="C2" s="57"/>
      <c r="D2" s="57"/>
      <c r="E2" s="57"/>
      <c r="F2" s="57"/>
      <c r="G2" s="57"/>
      <c r="H2" s="57"/>
      <c r="I2" s="58"/>
      <c r="J2" s="55" t="s">
        <v>6</v>
      </c>
      <c r="K2" s="57"/>
      <c r="L2" s="57"/>
      <c r="M2" s="57"/>
      <c r="N2" s="57"/>
      <c r="O2" s="57"/>
      <c r="P2" s="57"/>
      <c r="Q2" s="58"/>
      <c r="R2"/>
      <c r="S2" s="59" t="s">
        <v>14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G2" s="61">
        <v>2019</v>
      </c>
      <c r="AH2" s="62"/>
      <c r="AI2" s="62"/>
      <c r="AJ2" s="62"/>
      <c r="AK2" s="62"/>
      <c r="AL2" s="62"/>
      <c r="AM2" s="62"/>
      <c r="AN2" s="63"/>
      <c r="AP2" s="61" t="s">
        <v>44</v>
      </c>
      <c r="AQ2" s="62"/>
      <c r="AR2" s="62"/>
      <c r="AS2" s="62"/>
      <c r="AT2" s="62"/>
      <c r="AU2" s="62"/>
      <c r="AV2" s="62"/>
      <c r="AW2" s="63"/>
    </row>
    <row r="3" spans="1:49" s="10" customFormat="1" ht="68.400000000000006" customHeight="1">
      <c r="A3" s="9"/>
      <c r="B3" s="55" t="s">
        <v>9</v>
      </c>
      <c r="C3" s="58"/>
      <c r="D3" s="60" t="s">
        <v>7</v>
      </c>
      <c r="E3" s="56"/>
      <c r="F3" s="60" t="s">
        <v>8</v>
      </c>
      <c r="G3" s="56"/>
      <c r="H3" s="55" t="s">
        <v>0</v>
      </c>
      <c r="I3" s="56"/>
      <c r="J3" s="55" t="s">
        <v>4</v>
      </c>
      <c r="K3" s="58"/>
      <c r="L3" s="60" t="s">
        <v>7</v>
      </c>
      <c r="M3" s="56"/>
      <c r="N3" s="60" t="s">
        <v>10</v>
      </c>
      <c r="O3" s="56"/>
      <c r="P3" s="55" t="s">
        <v>0</v>
      </c>
      <c r="Q3" s="56"/>
      <c r="R3"/>
      <c r="S3" s="26" t="s">
        <v>21</v>
      </c>
      <c r="T3" s="27" t="s">
        <v>15</v>
      </c>
      <c r="U3" s="27" t="s">
        <v>16</v>
      </c>
      <c r="V3" s="27" t="s">
        <v>17</v>
      </c>
      <c r="W3" s="27" t="s">
        <v>7</v>
      </c>
      <c r="X3" s="27" t="s">
        <v>18</v>
      </c>
      <c r="Y3" s="27" t="s">
        <v>26</v>
      </c>
      <c r="Z3" s="27" t="s">
        <v>28</v>
      </c>
      <c r="AA3" s="27" t="s">
        <v>29</v>
      </c>
      <c r="AB3" s="27" t="s">
        <v>20</v>
      </c>
      <c r="AC3" s="27" t="s">
        <v>22</v>
      </c>
      <c r="AD3" s="38" t="s">
        <v>23</v>
      </c>
      <c r="AE3" s="41" t="s">
        <v>27</v>
      </c>
      <c r="AG3" s="64" t="s">
        <v>38</v>
      </c>
      <c r="AH3" s="65" t="s">
        <v>39</v>
      </c>
      <c r="AI3" s="65" t="s">
        <v>21</v>
      </c>
      <c r="AJ3" s="65" t="s">
        <v>15</v>
      </c>
      <c r="AK3" s="65" t="s">
        <v>40</v>
      </c>
      <c r="AL3" s="65" t="s">
        <v>41</v>
      </c>
      <c r="AM3" s="65" t="s">
        <v>42</v>
      </c>
      <c r="AN3" s="66" t="s">
        <v>43</v>
      </c>
      <c r="AP3" s="64" t="s">
        <v>38</v>
      </c>
      <c r="AQ3" s="65" t="s">
        <v>39</v>
      </c>
      <c r="AR3" s="65" t="s">
        <v>21</v>
      </c>
      <c r="AS3" s="65" t="s">
        <v>15</v>
      </c>
      <c r="AT3" s="65" t="s">
        <v>40</v>
      </c>
      <c r="AU3" s="65" t="s">
        <v>41</v>
      </c>
      <c r="AV3" s="65" t="s">
        <v>42</v>
      </c>
      <c r="AW3" s="66" t="s">
        <v>43</v>
      </c>
    </row>
    <row r="4" spans="1:49" ht="21.6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9"/>
      <c r="AE4" s="42"/>
      <c r="AG4" s="64"/>
      <c r="AH4" s="65"/>
      <c r="AI4" s="65"/>
      <c r="AJ4" s="65"/>
      <c r="AK4" s="65"/>
      <c r="AL4" s="65"/>
      <c r="AM4" s="65"/>
      <c r="AN4" s="66"/>
      <c r="AP4" s="64"/>
      <c r="AQ4" s="65"/>
      <c r="AR4" s="65"/>
      <c r="AS4" s="65"/>
      <c r="AT4" s="65"/>
      <c r="AU4" s="65"/>
      <c r="AV4" s="65"/>
      <c r="AW4" s="66"/>
    </row>
    <row r="5" spans="1:49" ht="21" customHeight="1" thickBot="1">
      <c r="A5" s="13">
        <v>0.29166666666666669</v>
      </c>
      <c r="B5" s="15">
        <v>10</v>
      </c>
      <c r="C5" s="16">
        <v>3</v>
      </c>
      <c r="D5" s="17">
        <v>3</v>
      </c>
      <c r="E5" s="18">
        <v>8</v>
      </c>
      <c r="F5" s="17">
        <v>2</v>
      </c>
      <c r="G5" s="18"/>
      <c r="H5" s="15"/>
      <c r="I5" s="16"/>
      <c r="J5" s="15">
        <v>1</v>
      </c>
      <c r="K5" s="16"/>
      <c r="L5" s="17"/>
      <c r="M5" s="18"/>
      <c r="N5" s="17"/>
      <c r="O5" s="18"/>
      <c r="P5" s="15"/>
      <c r="Q5" s="16"/>
      <c r="S5" s="29">
        <f t="shared" ref="S5:T11" si="0">B5+D5+F5+H5+J5+L5+N5+P5</f>
        <v>16</v>
      </c>
      <c r="T5" s="19">
        <f t="shared" si="0"/>
        <v>11</v>
      </c>
      <c r="U5" s="25">
        <f t="shared" ref="U5:U11" si="1">T5/(T5+S5)</f>
        <v>0.40740740740740738</v>
      </c>
      <c r="V5" s="19">
        <f t="shared" ref="V5:V11" si="2">B5+C5+J5+K5</f>
        <v>14</v>
      </c>
      <c r="W5" s="19">
        <f t="shared" ref="W5:W11" si="3">D5+E5+L5+M5</f>
        <v>11</v>
      </c>
      <c r="X5" s="19">
        <f t="shared" ref="X5:X11" si="4">F5+G5+N5+O5</f>
        <v>2</v>
      </c>
      <c r="Y5" s="19">
        <f t="shared" ref="Y5:Y11" si="5">SUM(V5:X5)</f>
        <v>27</v>
      </c>
      <c r="Z5" s="44">
        <f>W5/Y5</f>
        <v>0.40740740740740738</v>
      </c>
      <c r="AA5" s="44">
        <f>X5/Y5</f>
        <v>7.407407407407407E-2</v>
      </c>
      <c r="AB5" s="19">
        <f t="shared" ref="AB5:AB11" si="6">H5+I5+P5+Q5</f>
        <v>0</v>
      </c>
      <c r="AC5" s="19">
        <f t="shared" ref="AC5:AC11" si="7">SUM(B5:I5)</f>
        <v>26</v>
      </c>
      <c r="AD5" s="39">
        <f t="shared" ref="AD5:AD11" si="8">SUM(J5:Q5)</f>
        <v>1</v>
      </c>
      <c r="AE5" s="42">
        <f>SUM(B5:Q5)</f>
        <v>27</v>
      </c>
      <c r="AG5" s="64"/>
      <c r="AH5" s="65"/>
      <c r="AI5" s="65"/>
      <c r="AJ5" s="65"/>
      <c r="AK5" s="65"/>
      <c r="AL5" s="65"/>
      <c r="AM5" s="65"/>
      <c r="AN5" s="66"/>
      <c r="AP5" s="64"/>
      <c r="AQ5" s="65"/>
      <c r="AR5" s="65"/>
      <c r="AS5" s="65"/>
      <c r="AT5" s="65"/>
      <c r="AU5" s="65"/>
      <c r="AV5" s="65"/>
      <c r="AW5" s="66"/>
    </row>
    <row r="6" spans="1:49" ht="21" customHeight="1" thickBot="1">
      <c r="A6" s="14">
        <v>0.30208333333333331</v>
      </c>
      <c r="B6" s="15">
        <v>6</v>
      </c>
      <c r="C6" s="16">
        <v>2</v>
      </c>
      <c r="D6" s="17">
        <v>7</v>
      </c>
      <c r="E6" s="18">
        <v>5</v>
      </c>
      <c r="F6" s="15">
        <v>1</v>
      </c>
      <c r="G6" s="16">
        <v>1</v>
      </c>
      <c r="H6" s="37">
        <v>1</v>
      </c>
      <c r="I6" s="37"/>
      <c r="J6" s="15">
        <v>1</v>
      </c>
      <c r="K6" s="16"/>
      <c r="L6" s="17">
        <v>2</v>
      </c>
      <c r="M6" s="18"/>
      <c r="N6" s="17"/>
      <c r="O6" s="18"/>
      <c r="P6" s="15"/>
      <c r="Q6" s="16"/>
      <c r="S6" s="29" t="e">
        <f>B6+D6+#REF!+F6+J6+L6+N6+P6</f>
        <v>#REF!</v>
      </c>
      <c r="T6" s="19" t="e">
        <f>C6+E6+#REF!+G6+K6+M6+O6+Q6</f>
        <v>#REF!</v>
      </c>
      <c r="U6" s="25" t="e">
        <f t="shared" si="1"/>
        <v>#REF!</v>
      </c>
      <c r="V6" s="19">
        <f t="shared" si="2"/>
        <v>9</v>
      </c>
      <c r="W6" s="19">
        <f t="shared" si="3"/>
        <v>14</v>
      </c>
      <c r="X6" s="19" t="e">
        <f>#REF!+#REF!+N6+O6</f>
        <v>#REF!</v>
      </c>
      <c r="Y6" s="19" t="e">
        <f t="shared" si="5"/>
        <v>#REF!</v>
      </c>
      <c r="Z6" s="44" t="e">
        <f t="shared" ref="Z6:Z14" si="9">W6/Y6</f>
        <v>#REF!</v>
      </c>
      <c r="AA6" s="44" t="e">
        <f t="shared" ref="AA6:AA14" si="10">X6/Y6</f>
        <v>#REF!</v>
      </c>
      <c r="AB6" s="19">
        <f>F6+G6+P6+Q6</f>
        <v>2</v>
      </c>
      <c r="AC6" s="19">
        <f>SUM(B6:G6)</f>
        <v>22</v>
      </c>
      <c r="AD6" s="39">
        <f t="shared" si="8"/>
        <v>3</v>
      </c>
      <c r="AE6" s="42">
        <f t="shared" ref="AE6:AE14" si="11">SUM(B6:Q6)</f>
        <v>26</v>
      </c>
      <c r="AG6" s="64"/>
      <c r="AH6" s="65"/>
      <c r="AI6" s="65"/>
      <c r="AJ6" s="65"/>
      <c r="AK6" s="65"/>
      <c r="AL6" s="65"/>
      <c r="AM6" s="65"/>
      <c r="AN6" s="66"/>
      <c r="AP6" s="64"/>
      <c r="AQ6" s="65"/>
      <c r="AR6" s="65"/>
      <c r="AS6" s="65"/>
      <c r="AT6" s="65"/>
      <c r="AU6" s="65"/>
      <c r="AV6" s="65"/>
      <c r="AW6" s="66"/>
    </row>
    <row r="7" spans="1:49" ht="21" customHeight="1" thickBot="1">
      <c r="A7" s="14">
        <v>0.3125</v>
      </c>
      <c r="B7" s="15">
        <v>9</v>
      </c>
      <c r="C7" s="16">
        <v>3</v>
      </c>
      <c r="D7" s="17">
        <v>4</v>
      </c>
      <c r="E7" s="18">
        <v>4</v>
      </c>
      <c r="F7" s="17">
        <v>1</v>
      </c>
      <c r="G7" s="18">
        <v>1</v>
      </c>
      <c r="H7" s="15">
        <v>1</v>
      </c>
      <c r="I7" s="16"/>
      <c r="J7" s="15"/>
      <c r="K7" s="16"/>
      <c r="L7" s="17"/>
      <c r="M7" s="18"/>
      <c r="N7" s="17"/>
      <c r="O7" s="18"/>
      <c r="P7" s="15"/>
      <c r="Q7" s="16"/>
      <c r="S7" s="29">
        <f t="shared" si="0"/>
        <v>15</v>
      </c>
      <c r="T7" s="19">
        <f t="shared" si="0"/>
        <v>8</v>
      </c>
      <c r="U7" s="25">
        <f t="shared" si="1"/>
        <v>0.34782608695652173</v>
      </c>
      <c r="V7" s="19">
        <f t="shared" si="2"/>
        <v>12</v>
      </c>
      <c r="W7" s="19">
        <f t="shared" si="3"/>
        <v>8</v>
      </c>
      <c r="X7" s="19">
        <f t="shared" si="4"/>
        <v>2</v>
      </c>
      <c r="Y7" s="19">
        <f t="shared" si="5"/>
        <v>22</v>
      </c>
      <c r="Z7" s="44">
        <f t="shared" si="9"/>
        <v>0.36363636363636365</v>
      </c>
      <c r="AA7" s="44">
        <f t="shared" si="10"/>
        <v>9.0909090909090912E-2</v>
      </c>
      <c r="AB7" s="19">
        <f t="shared" si="6"/>
        <v>1</v>
      </c>
      <c r="AC7" s="19">
        <f t="shared" si="7"/>
        <v>23</v>
      </c>
      <c r="AD7" s="39">
        <f t="shared" si="8"/>
        <v>0</v>
      </c>
      <c r="AE7" s="42">
        <f t="shared" si="11"/>
        <v>23</v>
      </c>
      <c r="AG7" s="64"/>
      <c r="AH7" s="65"/>
      <c r="AI7" s="65"/>
      <c r="AJ7" s="65"/>
      <c r="AK7" s="65"/>
      <c r="AL7" s="65"/>
      <c r="AM7" s="65"/>
      <c r="AN7" s="66"/>
      <c r="AP7" s="64"/>
      <c r="AQ7" s="65"/>
      <c r="AR7" s="65"/>
      <c r="AS7" s="65"/>
      <c r="AT7" s="65"/>
      <c r="AU7" s="65"/>
      <c r="AV7" s="65"/>
      <c r="AW7" s="66"/>
    </row>
    <row r="8" spans="1:49" ht="21" customHeight="1" thickBot="1">
      <c r="A8" s="14">
        <v>0.32291666666666669</v>
      </c>
      <c r="B8" s="15">
        <v>6</v>
      </c>
      <c r="C8" s="16">
        <v>1</v>
      </c>
      <c r="D8" s="17">
        <v>4</v>
      </c>
      <c r="E8" s="18">
        <v>7</v>
      </c>
      <c r="F8" s="17">
        <v>1</v>
      </c>
      <c r="G8" s="18">
        <v>2</v>
      </c>
      <c r="H8" s="15"/>
      <c r="I8" s="16"/>
      <c r="J8" s="15"/>
      <c r="K8" s="16"/>
      <c r="L8" s="17"/>
      <c r="M8" s="18"/>
      <c r="N8" s="17"/>
      <c r="O8" s="18"/>
      <c r="P8" s="15"/>
      <c r="Q8" s="16"/>
      <c r="S8" s="29">
        <f t="shared" si="0"/>
        <v>11</v>
      </c>
      <c r="T8" s="19">
        <f t="shared" si="0"/>
        <v>10</v>
      </c>
      <c r="U8" s="25">
        <f t="shared" si="1"/>
        <v>0.47619047619047616</v>
      </c>
      <c r="V8" s="19">
        <f t="shared" si="2"/>
        <v>7</v>
      </c>
      <c r="W8" s="19">
        <f t="shared" si="3"/>
        <v>11</v>
      </c>
      <c r="X8" s="19">
        <f t="shared" si="4"/>
        <v>3</v>
      </c>
      <c r="Y8" s="19">
        <f t="shared" si="5"/>
        <v>21</v>
      </c>
      <c r="Z8" s="44">
        <f t="shared" si="9"/>
        <v>0.52380952380952384</v>
      </c>
      <c r="AA8" s="44">
        <f t="shared" si="10"/>
        <v>0.14285714285714285</v>
      </c>
      <c r="AB8" s="19">
        <f t="shared" si="6"/>
        <v>0</v>
      </c>
      <c r="AC8" s="19">
        <f t="shared" si="7"/>
        <v>21</v>
      </c>
      <c r="AD8" s="39">
        <f t="shared" si="8"/>
        <v>0</v>
      </c>
      <c r="AE8" s="42">
        <f t="shared" si="11"/>
        <v>21</v>
      </c>
      <c r="AG8" s="64"/>
      <c r="AH8" s="65"/>
      <c r="AI8" s="65"/>
      <c r="AJ8" s="65"/>
      <c r="AK8" s="65"/>
      <c r="AL8" s="65"/>
      <c r="AM8" s="65"/>
      <c r="AN8" s="66"/>
      <c r="AP8" s="64"/>
      <c r="AQ8" s="65"/>
      <c r="AR8" s="65"/>
      <c r="AS8" s="65"/>
      <c r="AT8" s="65"/>
      <c r="AU8" s="65"/>
      <c r="AV8" s="65"/>
      <c r="AW8" s="66"/>
    </row>
    <row r="9" spans="1:49" ht="21" customHeight="1" thickBot="1">
      <c r="A9" s="13">
        <v>0.33333333333333331</v>
      </c>
      <c r="B9" s="15">
        <v>8</v>
      </c>
      <c r="C9" s="16">
        <v>5</v>
      </c>
      <c r="D9" s="17">
        <v>1</v>
      </c>
      <c r="E9" s="18">
        <v>1</v>
      </c>
      <c r="F9" s="17"/>
      <c r="G9" s="18"/>
      <c r="H9" s="15">
        <v>5</v>
      </c>
      <c r="I9" s="16"/>
      <c r="J9" s="15">
        <v>1</v>
      </c>
      <c r="K9" s="16">
        <v>1</v>
      </c>
      <c r="L9" s="17"/>
      <c r="M9" s="18"/>
      <c r="N9" s="17"/>
      <c r="O9" s="18"/>
      <c r="P9" s="15"/>
      <c r="Q9" s="16"/>
      <c r="S9" s="29">
        <f t="shared" si="0"/>
        <v>15</v>
      </c>
      <c r="T9" s="19">
        <f t="shared" si="0"/>
        <v>7</v>
      </c>
      <c r="U9" s="25">
        <f t="shared" si="1"/>
        <v>0.31818181818181818</v>
      </c>
      <c r="V9" s="19">
        <f t="shared" si="2"/>
        <v>15</v>
      </c>
      <c r="W9" s="19">
        <f t="shared" si="3"/>
        <v>2</v>
      </c>
      <c r="X9" s="19">
        <f t="shared" si="4"/>
        <v>0</v>
      </c>
      <c r="Y9" s="19">
        <f t="shared" si="5"/>
        <v>17</v>
      </c>
      <c r="Z9" s="44">
        <f t="shared" si="9"/>
        <v>0.11764705882352941</v>
      </c>
      <c r="AA9" s="44">
        <f t="shared" si="10"/>
        <v>0</v>
      </c>
      <c r="AB9" s="19">
        <f t="shared" si="6"/>
        <v>5</v>
      </c>
      <c r="AC9" s="19">
        <f t="shared" si="7"/>
        <v>20</v>
      </c>
      <c r="AD9" s="39">
        <f t="shared" si="8"/>
        <v>2</v>
      </c>
      <c r="AE9" s="42">
        <f t="shared" si="11"/>
        <v>22</v>
      </c>
      <c r="AG9" s="64"/>
      <c r="AH9" s="65"/>
      <c r="AI9" s="65"/>
      <c r="AJ9" s="65"/>
      <c r="AK9" s="65"/>
      <c r="AL9" s="65"/>
      <c r="AM9" s="65"/>
      <c r="AN9" s="66"/>
      <c r="AP9" s="64"/>
      <c r="AQ9" s="65"/>
      <c r="AR9" s="65"/>
      <c r="AS9" s="65"/>
      <c r="AT9" s="65"/>
      <c r="AU9" s="65"/>
      <c r="AV9" s="65"/>
      <c r="AW9" s="66"/>
    </row>
    <row r="10" spans="1:49" ht="21" customHeight="1" thickBot="1">
      <c r="A10" s="14">
        <v>0.34375</v>
      </c>
      <c r="B10" s="15">
        <v>9</v>
      </c>
      <c r="C10" s="16">
        <v>2</v>
      </c>
      <c r="D10" s="17">
        <v>2</v>
      </c>
      <c r="E10" s="18">
        <v>3</v>
      </c>
      <c r="F10" s="17">
        <v>1</v>
      </c>
      <c r="G10" s="18">
        <v>2</v>
      </c>
      <c r="H10" s="10">
        <v>1</v>
      </c>
      <c r="I10" s="16"/>
      <c r="J10" s="15"/>
      <c r="K10" s="16"/>
      <c r="L10" s="17">
        <v>1</v>
      </c>
      <c r="M10" s="18">
        <v>1</v>
      </c>
      <c r="N10" s="17"/>
      <c r="O10" s="18"/>
      <c r="P10" s="15"/>
      <c r="Q10" s="16"/>
      <c r="S10" s="29">
        <f t="shared" si="0"/>
        <v>14</v>
      </c>
      <c r="T10" s="19">
        <f t="shared" si="0"/>
        <v>8</v>
      </c>
      <c r="U10" s="25">
        <f t="shared" si="1"/>
        <v>0.36363636363636365</v>
      </c>
      <c r="V10" s="19">
        <f t="shared" si="2"/>
        <v>11</v>
      </c>
      <c r="W10" s="19">
        <f t="shared" si="3"/>
        <v>7</v>
      </c>
      <c r="X10" s="19">
        <f t="shared" si="4"/>
        <v>3</v>
      </c>
      <c r="Y10" s="19">
        <f t="shared" si="5"/>
        <v>21</v>
      </c>
      <c r="Z10" s="44">
        <f t="shared" si="9"/>
        <v>0.33333333333333331</v>
      </c>
      <c r="AA10" s="44">
        <f t="shared" si="10"/>
        <v>0.14285714285714285</v>
      </c>
      <c r="AB10" s="19">
        <f t="shared" si="6"/>
        <v>1</v>
      </c>
      <c r="AC10" s="19">
        <f t="shared" si="7"/>
        <v>20</v>
      </c>
      <c r="AD10" s="39">
        <f t="shared" si="8"/>
        <v>2</v>
      </c>
      <c r="AE10" s="42">
        <f t="shared" si="11"/>
        <v>22</v>
      </c>
      <c r="AG10" s="64"/>
      <c r="AH10" s="65"/>
      <c r="AI10" s="65"/>
      <c r="AJ10" s="65"/>
      <c r="AK10" s="65"/>
      <c r="AL10" s="65"/>
      <c r="AM10" s="65"/>
      <c r="AN10" s="66"/>
      <c r="AP10" s="64"/>
      <c r="AQ10" s="65"/>
      <c r="AR10" s="65"/>
      <c r="AS10" s="65"/>
      <c r="AT10" s="65"/>
      <c r="AU10" s="65"/>
      <c r="AV10" s="65"/>
      <c r="AW10" s="66"/>
    </row>
    <row r="11" spans="1:49" ht="21" customHeight="1" thickBot="1">
      <c r="A11" s="14">
        <v>0.35416666666666669</v>
      </c>
      <c r="B11" s="15">
        <v>9</v>
      </c>
      <c r="C11" s="16">
        <v>2</v>
      </c>
      <c r="D11" s="17">
        <v>1</v>
      </c>
      <c r="E11" s="18"/>
      <c r="F11" s="17">
        <v>5</v>
      </c>
      <c r="G11" s="18">
        <v>5</v>
      </c>
      <c r="H11" s="15"/>
      <c r="I11" s="16"/>
      <c r="J11" s="15"/>
      <c r="K11" s="16">
        <v>1</v>
      </c>
      <c r="L11" s="17"/>
      <c r="M11" s="18"/>
      <c r="N11" s="17"/>
      <c r="O11" s="18"/>
      <c r="P11" s="15"/>
      <c r="Q11" s="16"/>
      <c r="S11" s="29">
        <f t="shared" si="0"/>
        <v>15</v>
      </c>
      <c r="T11" s="19">
        <f t="shared" si="0"/>
        <v>8</v>
      </c>
      <c r="U11" s="25">
        <f t="shared" si="1"/>
        <v>0.34782608695652173</v>
      </c>
      <c r="V11" s="19">
        <f t="shared" si="2"/>
        <v>12</v>
      </c>
      <c r="W11" s="19">
        <f t="shared" si="3"/>
        <v>1</v>
      </c>
      <c r="X11" s="19">
        <f t="shared" si="4"/>
        <v>10</v>
      </c>
      <c r="Y11" s="19">
        <f t="shared" si="5"/>
        <v>23</v>
      </c>
      <c r="Z11" s="44">
        <f t="shared" si="9"/>
        <v>4.3478260869565216E-2</v>
      </c>
      <c r="AA11" s="44">
        <f t="shared" si="10"/>
        <v>0.43478260869565216</v>
      </c>
      <c r="AB11" s="19">
        <f t="shared" si="6"/>
        <v>0</v>
      </c>
      <c r="AC11" s="19">
        <f t="shared" si="7"/>
        <v>22</v>
      </c>
      <c r="AD11" s="39">
        <f t="shared" si="8"/>
        <v>1</v>
      </c>
      <c r="AE11" s="42">
        <f t="shared" si="11"/>
        <v>23</v>
      </c>
      <c r="AG11" s="64"/>
      <c r="AH11" s="65"/>
      <c r="AI11" s="65"/>
      <c r="AJ11" s="65"/>
      <c r="AK11" s="65"/>
      <c r="AL11" s="65"/>
      <c r="AM11" s="65"/>
      <c r="AN11" s="66"/>
      <c r="AP11" s="64"/>
      <c r="AQ11" s="65"/>
      <c r="AR11" s="65"/>
      <c r="AS11" s="65"/>
      <c r="AT11" s="65"/>
      <c r="AU11" s="65"/>
      <c r="AV11" s="65"/>
      <c r="AW11" s="66"/>
    </row>
    <row r="12" spans="1:49" ht="21" customHeight="1" thickBot="1">
      <c r="A12" s="14">
        <v>0.36458333333333331</v>
      </c>
      <c r="B12" s="20">
        <v>4</v>
      </c>
      <c r="C12" s="21"/>
      <c r="D12" s="22"/>
      <c r="E12" s="23"/>
      <c r="F12" s="22">
        <v>1</v>
      </c>
      <c r="G12" s="23">
        <v>4</v>
      </c>
      <c r="H12" s="20"/>
      <c r="I12" s="21">
        <v>1</v>
      </c>
      <c r="J12" s="20"/>
      <c r="K12" s="21"/>
      <c r="L12" s="22"/>
      <c r="M12" s="23"/>
      <c r="N12" s="22"/>
      <c r="O12" s="23"/>
      <c r="P12" s="20"/>
      <c r="Q12" s="21"/>
      <c r="S12" s="29">
        <f t="shared" ref="S12:T14" si="12">B12+D12+F12+H12+J12+L12+N12+P12</f>
        <v>5</v>
      </c>
      <c r="T12" s="19">
        <f t="shared" si="12"/>
        <v>5</v>
      </c>
      <c r="U12" s="25">
        <f>T12/(T12+S12)</f>
        <v>0.5</v>
      </c>
      <c r="V12" s="19">
        <f>B12+C12+J12+K12</f>
        <v>4</v>
      </c>
      <c r="W12" s="19">
        <f>D12+E12+L12+M12</f>
        <v>0</v>
      </c>
      <c r="X12" s="19">
        <f>F12+G12+N12+O12</f>
        <v>5</v>
      </c>
      <c r="Y12" s="19">
        <f>SUM(V12:X12)</f>
        <v>9</v>
      </c>
      <c r="Z12" s="44">
        <f t="shared" si="9"/>
        <v>0</v>
      </c>
      <c r="AA12" s="44">
        <f t="shared" si="10"/>
        <v>0.55555555555555558</v>
      </c>
      <c r="AB12" s="19">
        <f>H12+I12+P12+Q12</f>
        <v>1</v>
      </c>
      <c r="AC12" s="19">
        <f>SUM(B12:I12)</f>
        <v>10</v>
      </c>
      <c r="AD12" s="39">
        <f>SUM(J12:Q12)</f>
        <v>0</v>
      </c>
      <c r="AE12" s="42">
        <f t="shared" si="11"/>
        <v>10</v>
      </c>
      <c r="AG12" s="64"/>
      <c r="AH12" s="65"/>
      <c r="AI12" s="65"/>
      <c r="AJ12" s="65"/>
      <c r="AK12" s="65"/>
      <c r="AL12" s="65"/>
      <c r="AM12" s="65"/>
      <c r="AN12" s="66"/>
      <c r="AP12" s="64"/>
      <c r="AQ12" s="65"/>
      <c r="AR12" s="65"/>
      <c r="AS12" s="65"/>
      <c r="AT12" s="65"/>
      <c r="AU12" s="65"/>
      <c r="AV12" s="65"/>
      <c r="AW12" s="66"/>
    </row>
    <row r="13" spans="1:49" ht="15" thickBot="1">
      <c r="A13" s="24" t="s">
        <v>13</v>
      </c>
      <c r="B13" s="35">
        <f>SUM(B5:B12)</f>
        <v>61</v>
      </c>
      <c r="C13" s="35">
        <f t="shared" ref="C13:Q13" si="13">SUM(C5:C12)</f>
        <v>18</v>
      </c>
      <c r="D13" s="35">
        <f t="shared" si="13"/>
        <v>22</v>
      </c>
      <c r="E13" s="35">
        <f t="shared" si="13"/>
        <v>28</v>
      </c>
      <c r="F13" s="35">
        <f t="shared" si="13"/>
        <v>12</v>
      </c>
      <c r="G13" s="35">
        <f t="shared" si="13"/>
        <v>15</v>
      </c>
      <c r="H13" s="35">
        <f t="shared" si="13"/>
        <v>8</v>
      </c>
      <c r="I13" s="35">
        <f t="shared" si="13"/>
        <v>1</v>
      </c>
      <c r="J13" s="35">
        <f t="shared" si="13"/>
        <v>3</v>
      </c>
      <c r="K13" s="35">
        <f t="shared" si="13"/>
        <v>2</v>
      </c>
      <c r="L13" s="35">
        <f t="shared" si="13"/>
        <v>3</v>
      </c>
      <c r="M13" s="35">
        <f t="shared" si="13"/>
        <v>1</v>
      </c>
      <c r="N13" s="35">
        <f t="shared" si="13"/>
        <v>0</v>
      </c>
      <c r="O13" s="35">
        <f t="shared" si="13"/>
        <v>0</v>
      </c>
      <c r="P13" s="35">
        <f t="shared" si="13"/>
        <v>0</v>
      </c>
      <c r="Q13" s="35">
        <f t="shared" si="13"/>
        <v>0</v>
      </c>
      <c r="S13" s="31">
        <f t="shared" si="12"/>
        <v>109</v>
      </c>
      <c r="T13" s="32">
        <f t="shared" si="12"/>
        <v>65</v>
      </c>
      <c r="U13" s="33">
        <f>T13/(T13+S13)</f>
        <v>0.37356321839080459</v>
      </c>
      <c r="V13" s="32">
        <f>B13+C13+J13+K13</f>
        <v>84</v>
      </c>
      <c r="W13" s="32">
        <f>D13+E13+L13+M13</f>
        <v>54</v>
      </c>
      <c r="X13" s="32">
        <f>F13+G13+N13+O13</f>
        <v>27</v>
      </c>
      <c r="Y13" s="32">
        <f>SUM(V13:X13)</f>
        <v>165</v>
      </c>
      <c r="Z13" s="44">
        <f t="shared" si="9"/>
        <v>0.32727272727272727</v>
      </c>
      <c r="AA13" s="44">
        <f t="shared" si="10"/>
        <v>0.16363636363636364</v>
      </c>
      <c r="AB13" s="32">
        <f>H13+I13+P13+Q13</f>
        <v>9</v>
      </c>
      <c r="AC13" s="32">
        <f>SUM(B13:I13)</f>
        <v>165</v>
      </c>
      <c r="AD13" s="40">
        <f>SUM(J13:Q13)</f>
        <v>9</v>
      </c>
      <c r="AE13" s="43">
        <f t="shared" si="11"/>
        <v>174</v>
      </c>
      <c r="AG13" s="71">
        <v>313</v>
      </c>
      <c r="AH13" s="72">
        <v>40</v>
      </c>
      <c r="AI13" s="72">
        <v>265</v>
      </c>
      <c r="AJ13" s="72">
        <v>88</v>
      </c>
      <c r="AK13" s="72">
        <v>341</v>
      </c>
      <c r="AL13" s="72">
        <v>12</v>
      </c>
      <c r="AM13" s="67">
        <f>AJ13/(AJ13+AI13)</f>
        <v>0.24929178470254956</v>
      </c>
      <c r="AN13" s="73">
        <v>353</v>
      </c>
      <c r="AP13" s="74">
        <f>(Y13-AG13)/AG13</f>
        <v>-0.47284345047923321</v>
      </c>
      <c r="AQ13" s="75">
        <f>(AB13-AH13)/AH13</f>
        <v>-0.77500000000000002</v>
      </c>
      <c r="AR13" s="75">
        <f>(S13-AI13)/AI13</f>
        <v>-0.58867924528301885</v>
      </c>
      <c r="AS13" s="75">
        <f>(T13-AJ13)/AJ13</f>
        <v>-0.26136363636363635</v>
      </c>
      <c r="AT13" s="75">
        <f>(AC13-AK13)/AK13</f>
        <v>-0.5161290322580645</v>
      </c>
      <c r="AU13" s="75">
        <f>(AD13-AL13)/AL13</f>
        <v>-0.25</v>
      </c>
      <c r="AV13" s="75">
        <f>(U13-AM13)/AM13</f>
        <v>0.49849791013584122</v>
      </c>
      <c r="AW13" s="76">
        <f>(AE13-AN13)/AN13</f>
        <v>-0.50708215297450421</v>
      </c>
    </row>
    <row r="14" spans="1:49" ht="15" thickBot="1">
      <c r="A14" s="24" t="s">
        <v>32</v>
      </c>
      <c r="B14" s="24">
        <f>SUM(B7:B10)</f>
        <v>32</v>
      </c>
      <c r="C14" s="24">
        <f t="shared" ref="C14:Q14" si="14">SUM(C7:C10)</f>
        <v>11</v>
      </c>
      <c r="D14" s="24">
        <f t="shared" si="14"/>
        <v>11</v>
      </c>
      <c r="E14" s="24">
        <f t="shared" si="14"/>
        <v>15</v>
      </c>
      <c r="F14" s="24">
        <f t="shared" si="14"/>
        <v>3</v>
      </c>
      <c r="G14" s="24">
        <f t="shared" si="14"/>
        <v>5</v>
      </c>
      <c r="H14" s="24">
        <f t="shared" si="14"/>
        <v>7</v>
      </c>
      <c r="I14" s="24">
        <f t="shared" si="14"/>
        <v>0</v>
      </c>
      <c r="J14" s="24">
        <f t="shared" si="14"/>
        <v>1</v>
      </c>
      <c r="K14" s="24">
        <f t="shared" si="14"/>
        <v>1</v>
      </c>
      <c r="L14" s="24">
        <f t="shared" si="14"/>
        <v>1</v>
      </c>
      <c r="M14" s="24">
        <f t="shared" si="14"/>
        <v>1</v>
      </c>
      <c r="N14" s="24">
        <f t="shared" si="14"/>
        <v>0</v>
      </c>
      <c r="O14" s="24">
        <f t="shared" si="14"/>
        <v>0</v>
      </c>
      <c r="P14" s="24">
        <f t="shared" si="14"/>
        <v>0</v>
      </c>
      <c r="Q14" s="24">
        <f t="shared" si="14"/>
        <v>0</v>
      </c>
      <c r="S14" s="51">
        <f t="shared" si="12"/>
        <v>55</v>
      </c>
      <c r="T14" s="35">
        <f t="shared" si="12"/>
        <v>33</v>
      </c>
      <c r="U14" s="52">
        <f>T14/(T14+S14)</f>
        <v>0.375</v>
      </c>
      <c r="V14" s="35">
        <f>B14+C14+J14+K14</f>
        <v>45</v>
      </c>
      <c r="W14" s="35">
        <f>D14+E14+L14+M14</f>
        <v>28</v>
      </c>
      <c r="X14" s="35">
        <f>F14+G14+N14+O14</f>
        <v>8</v>
      </c>
      <c r="Y14" s="35">
        <f>SUM(V14:X14)</f>
        <v>81</v>
      </c>
      <c r="Z14" s="53">
        <f t="shared" si="9"/>
        <v>0.34567901234567899</v>
      </c>
      <c r="AA14" s="53">
        <f t="shared" si="10"/>
        <v>9.8765432098765427E-2</v>
      </c>
      <c r="AB14" s="35">
        <f>H14+I14+P14+Q14</f>
        <v>7</v>
      </c>
      <c r="AC14" s="35">
        <f>SUM(B14:I14)</f>
        <v>84</v>
      </c>
      <c r="AD14" s="36">
        <f>SUM(J14:Q14)</f>
        <v>4</v>
      </c>
      <c r="AE14" s="54">
        <f t="shared" si="11"/>
        <v>88</v>
      </c>
    </row>
    <row r="16" spans="1:49">
      <c r="A16">
        <v>7</v>
      </c>
      <c r="B16">
        <f>SUM(B5:B8)</f>
        <v>31</v>
      </c>
      <c r="C16">
        <f t="shared" ref="C16:Q16" si="15">SUM(C5:C8)</f>
        <v>9</v>
      </c>
      <c r="D16">
        <f t="shared" si="15"/>
        <v>18</v>
      </c>
      <c r="E16">
        <f t="shared" si="15"/>
        <v>24</v>
      </c>
      <c r="F16">
        <f t="shared" si="15"/>
        <v>5</v>
      </c>
      <c r="G16">
        <f t="shared" si="15"/>
        <v>4</v>
      </c>
      <c r="H16">
        <f t="shared" si="15"/>
        <v>2</v>
      </c>
      <c r="I16">
        <f t="shared" si="15"/>
        <v>0</v>
      </c>
      <c r="J16">
        <f t="shared" si="15"/>
        <v>2</v>
      </c>
      <c r="K16">
        <f t="shared" si="15"/>
        <v>0</v>
      </c>
      <c r="L16">
        <f t="shared" si="15"/>
        <v>2</v>
      </c>
      <c r="M16">
        <f t="shared" si="15"/>
        <v>0</v>
      </c>
      <c r="N16">
        <f t="shared" si="15"/>
        <v>0</v>
      </c>
      <c r="O16">
        <f t="shared" si="15"/>
        <v>0</v>
      </c>
      <c r="P16">
        <f t="shared" si="15"/>
        <v>0</v>
      </c>
      <c r="Q16">
        <f t="shared" si="15"/>
        <v>0</v>
      </c>
    </row>
    <row r="17" spans="1:17">
      <c r="A17">
        <v>8</v>
      </c>
      <c r="B17">
        <f>SUM(B9:B12)</f>
        <v>30</v>
      </c>
      <c r="C17">
        <f t="shared" ref="C17:Q17" si="16">SUM(C9:C12)</f>
        <v>9</v>
      </c>
      <c r="D17">
        <f t="shared" si="16"/>
        <v>4</v>
      </c>
      <c r="E17">
        <f t="shared" si="16"/>
        <v>4</v>
      </c>
      <c r="F17">
        <f t="shared" si="16"/>
        <v>7</v>
      </c>
      <c r="G17">
        <f t="shared" si="16"/>
        <v>11</v>
      </c>
      <c r="H17">
        <f t="shared" si="16"/>
        <v>6</v>
      </c>
      <c r="I17">
        <f t="shared" si="16"/>
        <v>1</v>
      </c>
      <c r="J17">
        <f t="shared" si="16"/>
        <v>1</v>
      </c>
      <c r="K17">
        <f t="shared" si="16"/>
        <v>2</v>
      </c>
      <c r="L17">
        <f t="shared" si="16"/>
        <v>1</v>
      </c>
      <c r="M17">
        <f t="shared" si="16"/>
        <v>1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</row>
  </sheetData>
  <mergeCells count="13">
    <mergeCell ref="AG2:AN2"/>
    <mergeCell ref="AP2:AW2"/>
    <mergeCell ref="S2:AD2"/>
    <mergeCell ref="B2:I2"/>
    <mergeCell ref="J2:Q2"/>
    <mergeCell ref="B3:C3"/>
    <mergeCell ref="D3:E3"/>
    <mergeCell ref="F3:G3"/>
    <mergeCell ref="H3:I3"/>
    <mergeCell ref="J3:K3"/>
    <mergeCell ref="L3:M3"/>
    <mergeCell ref="N3:O3"/>
    <mergeCell ref="P3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B12F-3166-4A11-A863-AC45397BC04F}">
  <dimension ref="A1:AW17"/>
  <sheetViews>
    <sheetView topLeftCell="W1" workbookViewId="0">
      <selection activeCell="AK29" sqref="AK29"/>
    </sheetView>
  </sheetViews>
  <sheetFormatPr defaultRowHeight="14.4"/>
  <cols>
    <col min="2" max="17" width="5.44140625" customWidth="1"/>
  </cols>
  <sheetData>
    <row r="1" spans="1:49" ht="21.6" thickBot="1">
      <c r="B1" s="11" t="s">
        <v>11</v>
      </c>
      <c r="C1" s="12" t="s">
        <v>24</v>
      </c>
    </row>
    <row r="2" spans="1:49" ht="21.6" thickBot="1">
      <c r="A2" s="9"/>
      <c r="B2" s="55" t="s">
        <v>5</v>
      </c>
      <c r="C2" s="57"/>
      <c r="D2" s="57"/>
      <c r="E2" s="57"/>
      <c r="F2" s="57"/>
      <c r="G2" s="57"/>
      <c r="H2" s="57"/>
      <c r="I2" s="58"/>
      <c r="J2" s="55" t="s">
        <v>6</v>
      </c>
      <c r="K2" s="57"/>
      <c r="L2" s="57"/>
      <c r="M2" s="57"/>
      <c r="N2" s="57"/>
      <c r="O2" s="57"/>
      <c r="P2" s="57"/>
      <c r="Q2" s="58"/>
      <c r="S2" s="59" t="s">
        <v>14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G2" s="61">
        <v>2019</v>
      </c>
      <c r="AH2" s="62"/>
      <c r="AI2" s="62"/>
      <c r="AJ2" s="62"/>
      <c r="AK2" s="62"/>
      <c r="AL2" s="62"/>
      <c r="AM2" s="62"/>
      <c r="AN2" s="63"/>
      <c r="AO2" s="10"/>
      <c r="AP2" s="61" t="s">
        <v>44</v>
      </c>
      <c r="AQ2" s="62"/>
      <c r="AR2" s="62"/>
      <c r="AS2" s="62"/>
      <c r="AT2" s="62"/>
      <c r="AU2" s="62"/>
      <c r="AV2" s="62"/>
      <c r="AW2" s="63"/>
    </row>
    <row r="3" spans="1:49" ht="15.6">
      <c r="A3" s="9"/>
      <c r="B3" s="55" t="s">
        <v>9</v>
      </c>
      <c r="C3" s="58"/>
      <c r="D3" s="60" t="s">
        <v>7</v>
      </c>
      <c r="E3" s="56"/>
      <c r="F3" s="60" t="s">
        <v>8</v>
      </c>
      <c r="G3" s="56"/>
      <c r="H3" s="55" t="s">
        <v>0</v>
      </c>
      <c r="I3" s="56"/>
      <c r="J3" s="55" t="s">
        <v>4</v>
      </c>
      <c r="K3" s="58"/>
      <c r="L3" s="60" t="s">
        <v>7</v>
      </c>
      <c r="M3" s="56"/>
      <c r="N3" s="60" t="s">
        <v>10</v>
      </c>
      <c r="O3" s="56"/>
      <c r="P3" s="55" t="s">
        <v>0</v>
      </c>
      <c r="Q3" s="56"/>
      <c r="S3" s="26" t="s">
        <v>21</v>
      </c>
      <c r="T3" s="27" t="s">
        <v>15</v>
      </c>
      <c r="U3" s="27" t="s">
        <v>16</v>
      </c>
      <c r="V3" s="27" t="s">
        <v>17</v>
      </c>
      <c r="W3" s="27" t="s">
        <v>7</v>
      </c>
      <c r="X3" s="27" t="s">
        <v>18</v>
      </c>
      <c r="Y3" s="27" t="s">
        <v>19</v>
      </c>
      <c r="Z3" s="27" t="s">
        <v>28</v>
      </c>
      <c r="AA3" s="27" t="s">
        <v>29</v>
      </c>
      <c r="AB3" s="27" t="s">
        <v>20</v>
      </c>
      <c r="AC3" s="27" t="s">
        <v>22</v>
      </c>
      <c r="AD3" s="28" t="s">
        <v>23</v>
      </c>
      <c r="AE3" s="41" t="s">
        <v>27</v>
      </c>
      <c r="AG3" s="64" t="s">
        <v>38</v>
      </c>
      <c r="AH3" s="65" t="s">
        <v>39</v>
      </c>
      <c r="AI3" s="65" t="s">
        <v>21</v>
      </c>
      <c r="AJ3" s="65" t="s">
        <v>15</v>
      </c>
      <c r="AK3" s="65" t="s">
        <v>40</v>
      </c>
      <c r="AL3" s="65" t="s">
        <v>41</v>
      </c>
      <c r="AM3" s="65" t="s">
        <v>42</v>
      </c>
      <c r="AN3" s="66" t="s">
        <v>43</v>
      </c>
      <c r="AO3" s="10"/>
      <c r="AP3" s="64" t="s">
        <v>38</v>
      </c>
      <c r="AQ3" s="65" t="s">
        <v>39</v>
      </c>
      <c r="AR3" s="65" t="s">
        <v>21</v>
      </c>
      <c r="AS3" s="65" t="s">
        <v>15</v>
      </c>
      <c r="AT3" s="65" t="s">
        <v>40</v>
      </c>
      <c r="AU3" s="65" t="s">
        <v>41</v>
      </c>
      <c r="AV3" s="65" t="s">
        <v>42</v>
      </c>
      <c r="AW3" s="66" t="s">
        <v>43</v>
      </c>
    </row>
    <row r="4" spans="1:49" ht="21.6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2"/>
      <c r="AG4" s="64"/>
      <c r="AH4" s="65"/>
      <c r="AI4" s="65"/>
      <c r="AJ4" s="65"/>
      <c r="AK4" s="65"/>
      <c r="AL4" s="65"/>
      <c r="AM4" s="65"/>
      <c r="AN4" s="66"/>
      <c r="AP4" s="64"/>
      <c r="AQ4" s="65"/>
      <c r="AR4" s="65"/>
      <c r="AS4" s="65"/>
      <c r="AT4" s="65"/>
      <c r="AU4" s="65"/>
      <c r="AV4" s="65"/>
      <c r="AW4" s="66"/>
    </row>
    <row r="5" spans="1:49" ht="16.2" thickBot="1">
      <c r="A5" s="13">
        <v>0.29166666666666669</v>
      </c>
      <c r="B5" s="15"/>
      <c r="C5" s="16"/>
      <c r="D5" s="17">
        <v>1</v>
      </c>
      <c r="E5" s="18"/>
      <c r="F5" s="17"/>
      <c r="G5" s="18"/>
      <c r="H5" s="15"/>
      <c r="I5" s="16"/>
      <c r="J5" s="15"/>
      <c r="K5" s="16"/>
      <c r="L5" s="17"/>
      <c r="M5" s="18"/>
      <c r="N5" s="17"/>
      <c r="O5" s="18"/>
      <c r="P5" s="15"/>
      <c r="Q5" s="16"/>
      <c r="S5" s="29">
        <f t="shared" ref="S5:T11" si="0">B5+D5+F5+H5+J5+L5+N5+P5</f>
        <v>1</v>
      </c>
      <c r="T5" s="19">
        <f t="shared" si="0"/>
        <v>0</v>
      </c>
      <c r="U5" s="25">
        <f t="shared" ref="U5:U11" si="1">T5/(T5+S5)</f>
        <v>0</v>
      </c>
      <c r="V5" s="19">
        <f t="shared" ref="V5:V10" si="2">B5+C5+J5+K5</f>
        <v>0</v>
      </c>
      <c r="W5" s="19">
        <f t="shared" ref="W5:W11" si="3">D5+E5+L5+M5</f>
        <v>1</v>
      </c>
      <c r="X5" s="19">
        <f t="shared" ref="X5:X11" si="4">F5+G5+N5+O5</f>
        <v>0</v>
      </c>
      <c r="Y5" s="19">
        <f t="shared" ref="Y5:Y11" si="5">SUM(V5:X5)</f>
        <v>1</v>
      </c>
      <c r="Z5" s="44">
        <f>W5/Y5</f>
        <v>1</v>
      </c>
      <c r="AA5" s="44">
        <f>X5/Y5</f>
        <v>0</v>
      </c>
      <c r="AB5" s="19">
        <f t="shared" ref="AB5:AB10" si="6">H5+I5+P5+Q5</f>
        <v>0</v>
      </c>
      <c r="AC5" s="19">
        <f t="shared" ref="AC5:AC11" si="7">SUM(B5:I5)</f>
        <v>1</v>
      </c>
      <c r="AD5" s="30">
        <f t="shared" ref="AD5:AD10" si="8">SUM(J5:Q5)</f>
        <v>0</v>
      </c>
      <c r="AE5" s="42">
        <f>SUM(B5:Q5)</f>
        <v>1</v>
      </c>
      <c r="AG5" s="64"/>
      <c r="AH5" s="65"/>
      <c r="AI5" s="65"/>
      <c r="AJ5" s="65"/>
      <c r="AK5" s="65"/>
      <c r="AL5" s="65"/>
      <c r="AM5" s="65"/>
      <c r="AN5" s="66"/>
      <c r="AP5" s="64"/>
      <c r="AQ5" s="65"/>
      <c r="AR5" s="65"/>
      <c r="AS5" s="65"/>
      <c r="AT5" s="65"/>
      <c r="AU5" s="65"/>
      <c r="AV5" s="65"/>
      <c r="AW5" s="66"/>
    </row>
    <row r="6" spans="1:49" ht="16.2" thickBot="1">
      <c r="A6" s="14">
        <v>0.30208333333333331</v>
      </c>
      <c r="B6" s="15">
        <v>1</v>
      </c>
      <c r="C6" s="16">
        <v>1</v>
      </c>
      <c r="D6" s="17">
        <v>4</v>
      </c>
      <c r="E6" s="18"/>
      <c r="F6" s="17"/>
      <c r="G6" s="18"/>
      <c r="H6" s="15"/>
      <c r="I6" s="16"/>
      <c r="J6" s="15"/>
      <c r="K6" s="16"/>
      <c r="L6" s="17"/>
      <c r="M6" s="18"/>
      <c r="N6" s="17"/>
      <c r="O6" s="18"/>
      <c r="P6" s="15"/>
      <c r="Q6" s="16"/>
      <c r="S6" s="29">
        <f t="shared" si="0"/>
        <v>5</v>
      </c>
      <c r="T6" s="19">
        <f t="shared" si="0"/>
        <v>1</v>
      </c>
      <c r="U6" s="25">
        <f t="shared" si="1"/>
        <v>0.16666666666666666</v>
      </c>
      <c r="V6" s="19">
        <f t="shared" si="2"/>
        <v>2</v>
      </c>
      <c r="W6" s="19">
        <f t="shared" si="3"/>
        <v>4</v>
      </c>
      <c r="X6" s="19">
        <f t="shared" si="4"/>
        <v>0</v>
      </c>
      <c r="Y6" s="19">
        <f t="shared" si="5"/>
        <v>6</v>
      </c>
      <c r="Z6" s="44">
        <f t="shared" ref="Z6:Z14" si="9">W6/Y6</f>
        <v>0.66666666666666663</v>
      </c>
      <c r="AA6" s="44">
        <f t="shared" ref="AA6:AA14" si="10">X6/Y6</f>
        <v>0</v>
      </c>
      <c r="AB6" s="19">
        <f t="shared" si="6"/>
        <v>0</v>
      </c>
      <c r="AC6" s="19">
        <f t="shared" si="7"/>
        <v>6</v>
      </c>
      <c r="AD6" s="30">
        <f t="shared" si="8"/>
        <v>0</v>
      </c>
      <c r="AE6" s="42">
        <f t="shared" ref="AE6:AE14" si="11">SUM(B6:Q6)</f>
        <v>6</v>
      </c>
      <c r="AG6" s="64"/>
      <c r="AH6" s="65"/>
      <c r="AI6" s="65"/>
      <c r="AJ6" s="65"/>
      <c r="AK6" s="65"/>
      <c r="AL6" s="65"/>
      <c r="AM6" s="65"/>
      <c r="AN6" s="66"/>
      <c r="AP6" s="64"/>
      <c r="AQ6" s="65"/>
      <c r="AR6" s="65"/>
      <c r="AS6" s="65"/>
      <c r="AT6" s="65"/>
      <c r="AU6" s="65"/>
      <c r="AV6" s="65"/>
      <c r="AW6" s="66"/>
    </row>
    <row r="7" spans="1:49" ht="16.2" thickBot="1">
      <c r="A7" s="14">
        <v>0.3125</v>
      </c>
      <c r="B7" s="15">
        <v>1</v>
      </c>
      <c r="C7" s="16"/>
      <c r="D7" s="17"/>
      <c r="E7" s="18"/>
      <c r="F7" s="17"/>
      <c r="G7" s="18"/>
      <c r="H7" s="15"/>
      <c r="I7" s="16"/>
      <c r="J7" s="15"/>
      <c r="K7" s="16"/>
      <c r="L7" s="17"/>
      <c r="M7" s="18"/>
      <c r="N7" s="17"/>
      <c r="O7" s="18"/>
      <c r="P7" s="15"/>
      <c r="Q7" s="16"/>
      <c r="S7" s="29">
        <f t="shared" si="0"/>
        <v>1</v>
      </c>
      <c r="T7" s="19">
        <f t="shared" si="0"/>
        <v>0</v>
      </c>
      <c r="U7" s="25">
        <f t="shared" si="1"/>
        <v>0</v>
      </c>
      <c r="V7" s="19">
        <f t="shared" si="2"/>
        <v>1</v>
      </c>
      <c r="W7" s="19">
        <f t="shared" si="3"/>
        <v>0</v>
      </c>
      <c r="X7" s="19">
        <f t="shared" si="4"/>
        <v>0</v>
      </c>
      <c r="Y7" s="19">
        <f t="shared" si="5"/>
        <v>1</v>
      </c>
      <c r="Z7" s="44">
        <f t="shared" si="9"/>
        <v>0</v>
      </c>
      <c r="AA7" s="44">
        <f t="shared" si="10"/>
        <v>0</v>
      </c>
      <c r="AB7" s="19">
        <f t="shared" si="6"/>
        <v>0</v>
      </c>
      <c r="AC7" s="19">
        <f t="shared" si="7"/>
        <v>1</v>
      </c>
      <c r="AD7" s="30">
        <f t="shared" si="8"/>
        <v>0</v>
      </c>
      <c r="AE7" s="42">
        <f t="shared" si="11"/>
        <v>1</v>
      </c>
      <c r="AG7" s="64"/>
      <c r="AH7" s="65"/>
      <c r="AI7" s="65"/>
      <c r="AJ7" s="65"/>
      <c r="AK7" s="65"/>
      <c r="AL7" s="65"/>
      <c r="AM7" s="65"/>
      <c r="AN7" s="66"/>
      <c r="AP7" s="64"/>
      <c r="AQ7" s="65"/>
      <c r="AR7" s="65"/>
      <c r="AS7" s="65"/>
      <c r="AT7" s="65"/>
      <c r="AU7" s="65"/>
      <c r="AV7" s="65"/>
      <c r="AW7" s="66"/>
    </row>
    <row r="8" spans="1:49" ht="16.2" thickBot="1">
      <c r="A8" s="14">
        <v>0.32291666666666669</v>
      </c>
      <c r="B8" s="15">
        <v>1</v>
      </c>
      <c r="C8" s="16">
        <v>2</v>
      </c>
      <c r="D8" s="17"/>
      <c r="E8" s="18"/>
      <c r="F8" s="17"/>
      <c r="G8" s="18"/>
      <c r="H8" s="15"/>
      <c r="I8" s="16"/>
      <c r="J8" s="15"/>
      <c r="K8" s="16"/>
      <c r="L8" s="17"/>
      <c r="M8" s="18"/>
      <c r="N8" s="17"/>
      <c r="O8" s="18"/>
      <c r="P8" s="15"/>
      <c r="Q8" s="16"/>
      <c r="S8" s="29">
        <f t="shared" si="0"/>
        <v>1</v>
      </c>
      <c r="T8" s="19">
        <f t="shared" si="0"/>
        <v>2</v>
      </c>
      <c r="U8" s="25">
        <f t="shared" si="1"/>
        <v>0.66666666666666663</v>
      </c>
      <c r="V8" s="19">
        <f t="shared" si="2"/>
        <v>3</v>
      </c>
      <c r="W8" s="19">
        <f t="shared" si="3"/>
        <v>0</v>
      </c>
      <c r="X8" s="19">
        <f t="shared" si="4"/>
        <v>0</v>
      </c>
      <c r="Y8" s="19">
        <f t="shared" si="5"/>
        <v>3</v>
      </c>
      <c r="Z8" s="44">
        <f t="shared" si="9"/>
        <v>0</v>
      </c>
      <c r="AA8" s="44">
        <f t="shared" si="10"/>
        <v>0</v>
      </c>
      <c r="AB8" s="19">
        <f t="shared" si="6"/>
        <v>0</v>
      </c>
      <c r="AC8" s="19">
        <f t="shared" si="7"/>
        <v>3</v>
      </c>
      <c r="AD8" s="30">
        <f t="shared" si="8"/>
        <v>0</v>
      </c>
      <c r="AE8" s="42">
        <f t="shared" si="11"/>
        <v>3</v>
      </c>
      <c r="AG8" s="64"/>
      <c r="AH8" s="65"/>
      <c r="AI8" s="65"/>
      <c r="AJ8" s="65"/>
      <c r="AK8" s="65"/>
      <c r="AL8" s="65"/>
      <c r="AM8" s="65"/>
      <c r="AN8" s="66"/>
      <c r="AP8" s="64"/>
      <c r="AQ8" s="65"/>
      <c r="AR8" s="65"/>
      <c r="AS8" s="65"/>
      <c r="AT8" s="65"/>
      <c r="AU8" s="65"/>
      <c r="AV8" s="65"/>
      <c r="AW8" s="66"/>
    </row>
    <row r="9" spans="1:49" ht="16.2" thickBot="1">
      <c r="A9" s="13">
        <v>0.33333333333333331</v>
      </c>
      <c r="B9" s="15"/>
      <c r="C9" s="16"/>
      <c r="D9" s="17"/>
      <c r="E9" s="18"/>
      <c r="F9" s="17"/>
      <c r="G9" s="18"/>
      <c r="H9" s="15"/>
      <c r="I9" s="16"/>
      <c r="J9" s="15"/>
      <c r="K9" s="16"/>
      <c r="L9" s="17"/>
      <c r="M9" s="18"/>
      <c r="N9" s="17"/>
      <c r="O9" s="18"/>
      <c r="P9" s="15"/>
      <c r="Q9" s="16"/>
      <c r="S9" s="29">
        <f t="shared" si="0"/>
        <v>0</v>
      </c>
      <c r="T9" s="19">
        <f t="shared" si="0"/>
        <v>0</v>
      </c>
      <c r="U9" s="25" t="e">
        <f t="shared" si="1"/>
        <v>#DIV/0!</v>
      </c>
      <c r="V9" s="19">
        <f t="shared" si="2"/>
        <v>0</v>
      </c>
      <c r="W9" s="19">
        <f t="shared" si="3"/>
        <v>0</v>
      </c>
      <c r="X9" s="19">
        <f t="shared" si="4"/>
        <v>0</v>
      </c>
      <c r="Y9" s="19">
        <f t="shared" si="5"/>
        <v>0</v>
      </c>
      <c r="Z9" s="44" t="e">
        <f t="shared" si="9"/>
        <v>#DIV/0!</v>
      </c>
      <c r="AA9" s="44" t="e">
        <f t="shared" si="10"/>
        <v>#DIV/0!</v>
      </c>
      <c r="AB9" s="19">
        <f t="shared" si="6"/>
        <v>0</v>
      </c>
      <c r="AC9" s="19">
        <f t="shared" si="7"/>
        <v>0</v>
      </c>
      <c r="AD9" s="30">
        <f t="shared" si="8"/>
        <v>0</v>
      </c>
      <c r="AE9" s="42">
        <f t="shared" si="11"/>
        <v>0</v>
      </c>
      <c r="AG9" s="64"/>
      <c r="AH9" s="65"/>
      <c r="AI9" s="65"/>
      <c r="AJ9" s="65"/>
      <c r="AK9" s="65"/>
      <c r="AL9" s="65"/>
      <c r="AM9" s="65"/>
      <c r="AN9" s="66"/>
      <c r="AP9" s="64"/>
      <c r="AQ9" s="65"/>
      <c r="AR9" s="65"/>
      <c r="AS9" s="65"/>
      <c r="AT9" s="65"/>
      <c r="AU9" s="65"/>
      <c r="AV9" s="65"/>
      <c r="AW9" s="66"/>
    </row>
    <row r="10" spans="1:49" ht="16.2" thickBot="1">
      <c r="A10" s="14">
        <v>0.34375</v>
      </c>
      <c r="B10" s="15"/>
      <c r="C10" s="16"/>
      <c r="D10" s="17">
        <v>1</v>
      </c>
      <c r="E10" s="18">
        <v>1</v>
      </c>
      <c r="F10" s="17"/>
      <c r="G10" s="18"/>
      <c r="H10" s="10"/>
      <c r="I10" s="16"/>
      <c r="J10" s="15"/>
      <c r="K10" s="16"/>
      <c r="L10" s="17"/>
      <c r="M10" s="18"/>
      <c r="N10" s="17"/>
      <c r="O10" s="18"/>
      <c r="P10" s="15"/>
      <c r="Q10" s="16"/>
      <c r="S10" s="29">
        <f t="shared" si="0"/>
        <v>1</v>
      </c>
      <c r="T10" s="19">
        <f t="shared" si="0"/>
        <v>1</v>
      </c>
      <c r="U10" s="25">
        <f t="shared" si="1"/>
        <v>0.5</v>
      </c>
      <c r="V10" s="19">
        <f t="shared" si="2"/>
        <v>0</v>
      </c>
      <c r="W10" s="19">
        <f t="shared" si="3"/>
        <v>2</v>
      </c>
      <c r="X10" s="19">
        <f t="shared" si="4"/>
        <v>0</v>
      </c>
      <c r="Y10" s="19">
        <f t="shared" si="5"/>
        <v>2</v>
      </c>
      <c r="Z10" s="44">
        <f t="shared" si="9"/>
        <v>1</v>
      </c>
      <c r="AA10" s="44">
        <f t="shared" si="10"/>
        <v>0</v>
      </c>
      <c r="AB10" s="19">
        <f t="shared" si="6"/>
        <v>0</v>
      </c>
      <c r="AC10" s="19">
        <f t="shared" si="7"/>
        <v>2</v>
      </c>
      <c r="AD10" s="30">
        <f t="shared" si="8"/>
        <v>0</v>
      </c>
      <c r="AE10" s="42">
        <f t="shared" si="11"/>
        <v>2</v>
      </c>
      <c r="AG10" s="64"/>
      <c r="AH10" s="65"/>
      <c r="AI10" s="65"/>
      <c r="AJ10" s="65"/>
      <c r="AK10" s="65"/>
      <c r="AL10" s="65"/>
      <c r="AM10" s="65"/>
      <c r="AN10" s="66"/>
      <c r="AP10" s="64"/>
      <c r="AQ10" s="65"/>
      <c r="AR10" s="65"/>
      <c r="AS10" s="65"/>
      <c r="AT10" s="65"/>
      <c r="AU10" s="65"/>
      <c r="AV10" s="65"/>
      <c r="AW10" s="66"/>
    </row>
    <row r="11" spans="1:49" ht="16.2" thickBot="1">
      <c r="A11" s="14">
        <v>0.35416666666666669</v>
      </c>
      <c r="B11" s="15"/>
      <c r="C11" s="16"/>
      <c r="D11" s="17"/>
      <c r="E11" s="18"/>
      <c r="F11" s="17"/>
      <c r="G11" s="18"/>
      <c r="H11" s="15">
        <v>1</v>
      </c>
      <c r="I11" s="16"/>
      <c r="K11" s="16"/>
      <c r="L11" s="17"/>
      <c r="M11" s="18"/>
      <c r="N11" s="17"/>
      <c r="O11" s="18"/>
      <c r="P11" s="15"/>
      <c r="Q11" s="16"/>
      <c r="S11" s="29" t="e">
        <f>B11+D11+F11+#REF!+H11+L11+N11+P11</f>
        <v>#REF!</v>
      </c>
      <c r="T11" s="19">
        <f t="shared" si="0"/>
        <v>0</v>
      </c>
      <c r="U11" s="25" t="e">
        <f t="shared" si="1"/>
        <v>#REF!</v>
      </c>
      <c r="V11" s="19">
        <f>B11+C11+H11+K11</f>
        <v>1</v>
      </c>
      <c r="W11" s="19">
        <f t="shared" si="3"/>
        <v>0</v>
      </c>
      <c r="X11" s="19">
        <f t="shared" si="4"/>
        <v>0</v>
      </c>
      <c r="Y11" s="19">
        <f t="shared" si="5"/>
        <v>1</v>
      </c>
      <c r="Z11" s="44">
        <f t="shared" si="9"/>
        <v>0</v>
      </c>
      <c r="AA11" s="44">
        <f t="shared" si="10"/>
        <v>0</v>
      </c>
      <c r="AB11" s="19" t="e">
        <f>#REF!+I11+P11+Q11</f>
        <v>#REF!</v>
      </c>
      <c r="AC11" s="19">
        <f t="shared" si="7"/>
        <v>1</v>
      </c>
      <c r="AD11" s="30">
        <f>SUM(H11:Q11)</f>
        <v>1</v>
      </c>
      <c r="AE11" s="42">
        <f t="shared" si="11"/>
        <v>1</v>
      </c>
      <c r="AG11" s="64"/>
      <c r="AH11" s="65"/>
      <c r="AI11" s="65"/>
      <c r="AJ11" s="65"/>
      <c r="AK11" s="65"/>
      <c r="AL11" s="65"/>
      <c r="AM11" s="65"/>
      <c r="AN11" s="66"/>
      <c r="AP11" s="64"/>
      <c r="AQ11" s="65"/>
      <c r="AR11" s="65"/>
      <c r="AS11" s="65"/>
      <c r="AT11" s="65"/>
      <c r="AU11" s="65"/>
      <c r="AV11" s="65"/>
      <c r="AW11" s="66"/>
    </row>
    <row r="12" spans="1:49" ht="16.2" thickBot="1">
      <c r="A12" s="14">
        <v>0.36458333333333331</v>
      </c>
      <c r="B12" s="20"/>
      <c r="C12" s="21"/>
      <c r="D12" s="22"/>
      <c r="E12" s="23"/>
      <c r="F12" s="22"/>
      <c r="G12" s="23"/>
      <c r="H12" s="20">
        <v>1</v>
      </c>
      <c r="I12" s="21"/>
      <c r="K12" s="21"/>
      <c r="L12" s="22"/>
      <c r="M12" s="23"/>
      <c r="N12" s="22"/>
      <c r="O12" s="23"/>
      <c r="P12" s="20"/>
      <c r="Q12" s="21"/>
      <c r="S12" s="29" t="e">
        <f>B12+D12+F12+#REF!+H12+L12+N12+P12</f>
        <v>#REF!</v>
      </c>
      <c r="T12" s="19">
        <f>C12+E12+G12+I12+K12+M12+O12+Q12</f>
        <v>0</v>
      </c>
      <c r="U12" s="25" t="e">
        <f>T12/(T12+S12)</f>
        <v>#REF!</v>
      </c>
      <c r="V12" s="19">
        <f>B12+C12+H12+K12</f>
        <v>1</v>
      </c>
      <c r="W12" s="19">
        <f>D12+E12+L12+M12</f>
        <v>0</v>
      </c>
      <c r="X12" s="19">
        <f>F12+G12+N12+O12</f>
        <v>0</v>
      </c>
      <c r="Y12" s="19">
        <f>SUM(V12:X12)</f>
        <v>1</v>
      </c>
      <c r="Z12" s="44">
        <f t="shared" si="9"/>
        <v>0</v>
      </c>
      <c r="AA12" s="44">
        <f t="shared" si="10"/>
        <v>0</v>
      </c>
      <c r="AB12" s="19" t="e">
        <f>#REF!+I12+P12+Q12</f>
        <v>#REF!</v>
      </c>
      <c r="AC12" s="19">
        <f>SUM(B12:I12)</f>
        <v>1</v>
      </c>
      <c r="AD12" s="30">
        <f>SUM(H12:Q12)</f>
        <v>1</v>
      </c>
      <c r="AE12" s="42">
        <f t="shared" si="11"/>
        <v>1</v>
      </c>
      <c r="AG12" s="64"/>
      <c r="AH12" s="65"/>
      <c r="AI12" s="65"/>
      <c r="AJ12" s="65"/>
      <c r="AK12" s="65"/>
      <c r="AL12" s="65"/>
      <c r="AM12" s="65"/>
      <c r="AN12" s="66"/>
      <c r="AP12" s="64"/>
      <c r="AQ12" s="65"/>
      <c r="AR12" s="65"/>
      <c r="AS12" s="65"/>
      <c r="AT12" s="65"/>
      <c r="AU12" s="65"/>
      <c r="AV12" s="65"/>
      <c r="AW12" s="66"/>
    </row>
    <row r="13" spans="1:49" ht="15" thickBot="1">
      <c r="A13" s="24" t="s">
        <v>13</v>
      </c>
      <c r="B13" s="35">
        <f t="shared" ref="B13:Q13" si="12">SUM(B5:B12)</f>
        <v>3</v>
      </c>
      <c r="C13" s="35">
        <f t="shared" si="12"/>
        <v>3</v>
      </c>
      <c r="D13" s="35">
        <f t="shared" si="12"/>
        <v>6</v>
      </c>
      <c r="E13" s="35">
        <f t="shared" si="12"/>
        <v>1</v>
      </c>
      <c r="F13" s="35">
        <f t="shared" si="12"/>
        <v>0</v>
      </c>
      <c r="G13" s="35">
        <f t="shared" si="12"/>
        <v>0</v>
      </c>
      <c r="H13" s="35">
        <f t="shared" si="12"/>
        <v>2</v>
      </c>
      <c r="I13" s="35">
        <f t="shared" si="12"/>
        <v>0</v>
      </c>
      <c r="J13" s="35">
        <f t="shared" si="12"/>
        <v>0</v>
      </c>
      <c r="K13" s="35">
        <f t="shared" si="12"/>
        <v>0</v>
      </c>
      <c r="L13" s="35">
        <f t="shared" si="12"/>
        <v>0</v>
      </c>
      <c r="M13" s="35">
        <f t="shared" si="12"/>
        <v>0</v>
      </c>
      <c r="N13" s="35">
        <f t="shared" si="12"/>
        <v>0</v>
      </c>
      <c r="O13" s="35">
        <f t="shared" si="12"/>
        <v>0</v>
      </c>
      <c r="P13" s="35">
        <f t="shared" si="12"/>
        <v>0</v>
      </c>
      <c r="Q13" s="35">
        <f t="shared" si="12"/>
        <v>0</v>
      </c>
      <c r="S13" s="31">
        <f>B13+D13+F13+H13+J13+L13+N13+P13</f>
        <v>11</v>
      </c>
      <c r="T13" s="32">
        <f>C13+E13+G13+I13+K13+M13+O13+Q13</f>
        <v>4</v>
      </c>
      <c r="U13" s="33">
        <f>T13/(T13+S13)</f>
        <v>0.26666666666666666</v>
      </c>
      <c r="V13" s="32">
        <f>B13+C13+J13+K13</f>
        <v>6</v>
      </c>
      <c r="W13" s="32">
        <f>D13+E13+L13+M13</f>
        <v>7</v>
      </c>
      <c r="X13" s="32">
        <f>F13+G13+N13+O13</f>
        <v>0</v>
      </c>
      <c r="Y13" s="32">
        <f>SUM(V13:X13)</f>
        <v>13</v>
      </c>
      <c r="Z13" s="44">
        <f t="shared" si="9"/>
        <v>0.53846153846153844</v>
      </c>
      <c r="AA13" s="44">
        <f t="shared" si="10"/>
        <v>0</v>
      </c>
      <c r="AB13" s="32">
        <f>H13+I13+P13+Q13</f>
        <v>2</v>
      </c>
      <c r="AC13" s="32">
        <f>SUM(B13:I13)</f>
        <v>15</v>
      </c>
      <c r="AD13" s="34">
        <f>SUM(J13:Q13)</f>
        <v>0</v>
      </c>
      <c r="AE13" s="43">
        <f t="shared" si="11"/>
        <v>15</v>
      </c>
      <c r="AG13" s="71"/>
      <c r="AH13" s="72"/>
      <c r="AI13" s="72"/>
      <c r="AJ13" s="72"/>
      <c r="AK13" s="72"/>
      <c r="AL13" s="72"/>
      <c r="AM13" s="72"/>
      <c r="AN13" s="73"/>
      <c r="AP13" s="74" t="e">
        <f>(Y13-AG13)/AG13</f>
        <v>#DIV/0!</v>
      </c>
      <c r="AQ13" s="75" t="e">
        <f>(AB13-AH13)/AH13</f>
        <v>#DIV/0!</v>
      </c>
      <c r="AR13" s="75" t="e">
        <f>(S13-AI13)/AI13</f>
        <v>#DIV/0!</v>
      </c>
      <c r="AS13" s="75" t="e">
        <f>(T13-AJ13)/AJ13</f>
        <v>#DIV/0!</v>
      </c>
      <c r="AT13" s="75" t="e">
        <f>(AC13-AK13)/AK13</f>
        <v>#DIV/0!</v>
      </c>
      <c r="AU13" s="75" t="e">
        <f>(AD13-AL13)/AL13</f>
        <v>#DIV/0!</v>
      </c>
      <c r="AV13" s="75" t="e">
        <f>(U13-AM13)/AM13</f>
        <v>#DIV/0!</v>
      </c>
      <c r="AW13" s="76" t="e">
        <f>(AE13-AN13)/AN13</f>
        <v>#DIV/0!</v>
      </c>
    </row>
    <row r="14" spans="1:49" ht="15" thickBot="1">
      <c r="A14" s="24" t="s">
        <v>32</v>
      </c>
      <c r="B14" s="24">
        <f>SUM(B7:B10)</f>
        <v>2</v>
      </c>
      <c r="C14" s="24">
        <f t="shared" ref="C14:Q14" si="13">SUM(C7:C10)</f>
        <v>2</v>
      </c>
      <c r="D14" s="24">
        <f t="shared" si="13"/>
        <v>1</v>
      </c>
      <c r="E14" s="24">
        <f t="shared" si="13"/>
        <v>1</v>
      </c>
      <c r="F14" s="24">
        <f t="shared" si="13"/>
        <v>0</v>
      </c>
      <c r="G14" s="24">
        <f t="shared" si="13"/>
        <v>0</v>
      </c>
      <c r="H14" s="24">
        <f t="shared" si="13"/>
        <v>0</v>
      </c>
      <c r="I14" s="24">
        <f t="shared" si="13"/>
        <v>0</v>
      </c>
      <c r="J14" s="24">
        <f t="shared" si="13"/>
        <v>0</v>
      </c>
      <c r="K14" s="24">
        <f t="shared" si="13"/>
        <v>0</v>
      </c>
      <c r="L14" s="24">
        <f t="shared" si="13"/>
        <v>0</v>
      </c>
      <c r="M14" s="24">
        <f t="shared" si="13"/>
        <v>0</v>
      </c>
      <c r="N14" s="24">
        <f t="shared" si="13"/>
        <v>0</v>
      </c>
      <c r="O14" s="24">
        <f t="shared" si="13"/>
        <v>0</v>
      </c>
      <c r="P14" s="24">
        <f t="shared" si="13"/>
        <v>0</v>
      </c>
      <c r="Q14" s="24">
        <f t="shared" si="13"/>
        <v>0</v>
      </c>
      <c r="S14" s="51">
        <f>B14+D14+F14+H14+J14+L14+N14+P14</f>
        <v>3</v>
      </c>
      <c r="T14" s="35">
        <f>C14+E14+G14+I14+K14+M14+O14+Q14</f>
        <v>3</v>
      </c>
      <c r="U14" s="52">
        <f>T14/(T14+S14)</f>
        <v>0.5</v>
      </c>
      <c r="V14" s="35">
        <f>B14+C14+J14+K14</f>
        <v>4</v>
      </c>
      <c r="W14" s="35">
        <f>D14+E14+L14+M14</f>
        <v>2</v>
      </c>
      <c r="X14" s="35">
        <f>F14+G14+N14+O14</f>
        <v>0</v>
      </c>
      <c r="Y14" s="35">
        <f>SUM(V14:X14)</f>
        <v>6</v>
      </c>
      <c r="Z14" s="53">
        <f t="shared" si="9"/>
        <v>0.33333333333333331</v>
      </c>
      <c r="AA14" s="53">
        <f t="shared" si="10"/>
        <v>0</v>
      </c>
      <c r="AB14" s="35">
        <f>H14+I14+P14+Q14</f>
        <v>0</v>
      </c>
      <c r="AC14" s="35">
        <f>SUM(B14:I14)</f>
        <v>6</v>
      </c>
      <c r="AD14" s="36">
        <f>SUM(J14:Q14)</f>
        <v>0</v>
      </c>
      <c r="AE14" s="54">
        <f t="shared" si="11"/>
        <v>6</v>
      </c>
    </row>
    <row r="16" spans="1:49">
      <c r="A16">
        <v>7</v>
      </c>
      <c r="B16">
        <f>SUM(B5:B8)</f>
        <v>3</v>
      </c>
      <c r="C16">
        <f t="shared" ref="C16:Q16" si="14">SUM(C5:C8)</f>
        <v>3</v>
      </c>
      <c r="D16">
        <f t="shared" si="14"/>
        <v>5</v>
      </c>
      <c r="E16">
        <f t="shared" si="14"/>
        <v>0</v>
      </c>
      <c r="F16">
        <f t="shared" si="14"/>
        <v>0</v>
      </c>
      <c r="G16">
        <f t="shared" si="14"/>
        <v>0</v>
      </c>
      <c r="H16">
        <f t="shared" si="14"/>
        <v>0</v>
      </c>
      <c r="I16">
        <f t="shared" si="14"/>
        <v>0</v>
      </c>
      <c r="J16">
        <f t="shared" si="14"/>
        <v>0</v>
      </c>
      <c r="K16">
        <f t="shared" si="14"/>
        <v>0</v>
      </c>
      <c r="L16">
        <f t="shared" si="14"/>
        <v>0</v>
      </c>
      <c r="M16">
        <f t="shared" si="14"/>
        <v>0</v>
      </c>
      <c r="N16">
        <f t="shared" si="14"/>
        <v>0</v>
      </c>
      <c r="O16">
        <f t="shared" si="14"/>
        <v>0</v>
      </c>
      <c r="P16">
        <f t="shared" si="14"/>
        <v>0</v>
      </c>
      <c r="Q16">
        <f t="shared" si="14"/>
        <v>0</v>
      </c>
    </row>
    <row r="17" spans="1:17">
      <c r="A17">
        <v>8</v>
      </c>
      <c r="B17">
        <f>SUM(B9:B12)</f>
        <v>0</v>
      </c>
      <c r="C17">
        <f t="shared" ref="C17:Q17" si="15">SUM(C9:C12)</f>
        <v>0</v>
      </c>
      <c r="D17">
        <f t="shared" si="15"/>
        <v>1</v>
      </c>
      <c r="E17">
        <f t="shared" si="15"/>
        <v>1</v>
      </c>
      <c r="F17">
        <f t="shared" si="15"/>
        <v>0</v>
      </c>
      <c r="G17">
        <f t="shared" si="15"/>
        <v>0</v>
      </c>
      <c r="H17">
        <f>SUM(H9:H12)</f>
        <v>2</v>
      </c>
      <c r="I17">
        <f t="shared" si="15"/>
        <v>0</v>
      </c>
      <c r="J17">
        <f t="shared" si="15"/>
        <v>0</v>
      </c>
      <c r="K17">
        <f t="shared" si="15"/>
        <v>0</v>
      </c>
      <c r="L17">
        <f t="shared" si="15"/>
        <v>0</v>
      </c>
      <c r="M17">
        <f t="shared" si="15"/>
        <v>0</v>
      </c>
      <c r="N17">
        <f t="shared" si="15"/>
        <v>0</v>
      </c>
      <c r="O17">
        <f t="shared" si="15"/>
        <v>0</v>
      </c>
      <c r="P17">
        <f t="shared" si="15"/>
        <v>0</v>
      </c>
      <c r="Q17">
        <f t="shared" si="15"/>
        <v>0</v>
      </c>
    </row>
  </sheetData>
  <mergeCells count="13">
    <mergeCell ref="AG2:AN2"/>
    <mergeCell ref="AP2:AW2"/>
    <mergeCell ref="S2:AD2"/>
    <mergeCell ref="B2:I2"/>
    <mergeCell ref="J2:Q2"/>
    <mergeCell ref="B3:C3"/>
    <mergeCell ref="D3:E3"/>
    <mergeCell ref="F3:G3"/>
    <mergeCell ref="H3:I3"/>
    <mergeCell ref="J3:K3"/>
    <mergeCell ref="L3:M3"/>
    <mergeCell ref="N3:O3"/>
    <mergeCell ref="P3:Q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2C2D-C5D9-4B5B-B2B7-D0ADD39F46A8}">
  <dimension ref="A1:AW17"/>
  <sheetViews>
    <sheetView topLeftCell="W1" workbookViewId="0">
      <selection activeCell="AM13" sqref="AM13"/>
    </sheetView>
  </sheetViews>
  <sheetFormatPr defaultRowHeight="14.4"/>
  <cols>
    <col min="2" max="17" width="6.33203125" customWidth="1"/>
  </cols>
  <sheetData>
    <row r="1" spans="1:49" ht="21.6" thickBot="1">
      <c r="B1" s="11" t="s">
        <v>11</v>
      </c>
      <c r="C1" s="12" t="s">
        <v>12</v>
      </c>
    </row>
    <row r="2" spans="1:49" ht="21.6" thickBot="1">
      <c r="A2" s="9"/>
      <c r="B2" s="55" t="s">
        <v>5</v>
      </c>
      <c r="C2" s="57"/>
      <c r="D2" s="57"/>
      <c r="E2" s="57"/>
      <c r="F2" s="57"/>
      <c r="G2" s="57"/>
      <c r="H2" s="57"/>
      <c r="I2" s="58"/>
      <c r="J2" s="55" t="s">
        <v>6</v>
      </c>
      <c r="K2" s="57"/>
      <c r="L2" s="57"/>
      <c r="M2" s="57"/>
      <c r="N2" s="57"/>
      <c r="O2" s="57"/>
      <c r="P2" s="57"/>
      <c r="Q2" s="58"/>
      <c r="S2" s="59" t="s">
        <v>14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G2" s="61">
        <v>2019</v>
      </c>
      <c r="AH2" s="62"/>
      <c r="AI2" s="62"/>
      <c r="AJ2" s="62"/>
      <c r="AK2" s="62"/>
      <c r="AL2" s="62"/>
      <c r="AM2" s="62"/>
      <c r="AN2" s="63"/>
      <c r="AO2" s="10"/>
      <c r="AP2" s="61" t="s">
        <v>44</v>
      </c>
      <c r="AQ2" s="62"/>
      <c r="AR2" s="62"/>
      <c r="AS2" s="62"/>
      <c r="AT2" s="62"/>
      <c r="AU2" s="62"/>
      <c r="AV2" s="62"/>
      <c r="AW2" s="63"/>
    </row>
    <row r="3" spans="1:49" ht="15.6">
      <c r="A3" s="9"/>
      <c r="B3" s="55" t="s">
        <v>9</v>
      </c>
      <c r="C3" s="58"/>
      <c r="D3" s="60" t="s">
        <v>7</v>
      </c>
      <c r="E3" s="56"/>
      <c r="F3" s="60" t="s">
        <v>8</v>
      </c>
      <c r="G3" s="56"/>
      <c r="H3" s="55" t="s">
        <v>0</v>
      </c>
      <c r="I3" s="56"/>
      <c r="J3" s="55" t="s">
        <v>4</v>
      </c>
      <c r="K3" s="58"/>
      <c r="L3" s="60" t="s">
        <v>7</v>
      </c>
      <c r="M3" s="56"/>
      <c r="N3" s="60" t="s">
        <v>10</v>
      </c>
      <c r="O3" s="56"/>
      <c r="P3" s="55" t="s">
        <v>0</v>
      </c>
      <c r="Q3" s="56"/>
      <c r="S3" s="26" t="s">
        <v>21</v>
      </c>
      <c r="T3" s="27" t="s">
        <v>15</v>
      </c>
      <c r="U3" s="27" t="s">
        <v>16</v>
      </c>
      <c r="V3" s="27" t="s">
        <v>17</v>
      </c>
      <c r="W3" s="27" t="s">
        <v>7</v>
      </c>
      <c r="X3" s="27" t="s">
        <v>18</v>
      </c>
      <c r="Y3" s="27" t="s">
        <v>19</v>
      </c>
      <c r="Z3" s="27" t="s">
        <v>28</v>
      </c>
      <c r="AA3" s="27" t="s">
        <v>29</v>
      </c>
      <c r="AB3" s="27" t="s">
        <v>20</v>
      </c>
      <c r="AC3" s="27" t="s">
        <v>22</v>
      </c>
      <c r="AD3" s="28" t="s">
        <v>23</v>
      </c>
      <c r="AE3" s="41" t="s">
        <v>27</v>
      </c>
      <c r="AG3" s="64" t="s">
        <v>38</v>
      </c>
      <c r="AH3" s="65" t="s">
        <v>39</v>
      </c>
      <c r="AI3" s="65" t="s">
        <v>21</v>
      </c>
      <c r="AJ3" s="65" t="s">
        <v>15</v>
      </c>
      <c r="AK3" s="65" t="s">
        <v>40</v>
      </c>
      <c r="AL3" s="65" t="s">
        <v>41</v>
      </c>
      <c r="AM3" s="65" t="s">
        <v>42</v>
      </c>
      <c r="AN3" s="66" t="s">
        <v>43</v>
      </c>
      <c r="AO3" s="10"/>
      <c r="AP3" s="64" t="s">
        <v>38</v>
      </c>
      <c r="AQ3" s="65" t="s">
        <v>39</v>
      </c>
      <c r="AR3" s="65" t="s">
        <v>21</v>
      </c>
      <c r="AS3" s="65" t="s">
        <v>15</v>
      </c>
      <c r="AT3" s="65" t="s">
        <v>40</v>
      </c>
      <c r="AU3" s="65" t="s">
        <v>41</v>
      </c>
      <c r="AV3" s="65" t="s">
        <v>42</v>
      </c>
      <c r="AW3" s="66" t="s">
        <v>43</v>
      </c>
    </row>
    <row r="4" spans="1:49" ht="21.6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2"/>
      <c r="AG4" s="64"/>
      <c r="AH4" s="65"/>
      <c r="AI4" s="65"/>
      <c r="AJ4" s="65"/>
      <c r="AK4" s="65"/>
      <c r="AL4" s="65"/>
      <c r="AM4" s="65"/>
      <c r="AN4" s="66"/>
      <c r="AP4" s="64"/>
      <c r="AQ4" s="65"/>
      <c r="AR4" s="65"/>
      <c r="AS4" s="65"/>
      <c r="AT4" s="65"/>
      <c r="AU4" s="65"/>
      <c r="AV4" s="65"/>
      <c r="AW4" s="66"/>
    </row>
    <row r="5" spans="1:49" ht="16.2" thickBot="1">
      <c r="A5" s="13">
        <v>0.29166666666666669</v>
      </c>
      <c r="B5" s="15">
        <v>3</v>
      </c>
      <c r="C5" s="16"/>
      <c r="D5" s="17"/>
      <c r="E5" s="18"/>
      <c r="F5" s="17"/>
      <c r="G5" s="18"/>
      <c r="H5" s="15">
        <v>1</v>
      </c>
      <c r="I5" s="16"/>
      <c r="J5" s="15"/>
      <c r="K5" s="16"/>
      <c r="L5" s="17"/>
      <c r="M5" s="18"/>
      <c r="N5" s="17"/>
      <c r="O5" s="18"/>
      <c r="P5" s="15"/>
      <c r="Q5" s="16"/>
      <c r="S5" s="29">
        <f t="shared" ref="S5:S11" si="0">B5+D5+F5+H5+J5+L5+N5+P5</f>
        <v>4</v>
      </c>
      <c r="T5" s="19">
        <f t="shared" ref="T5:T11" si="1">C5+E5+G5+I5+K5+M5+O5+Q5</f>
        <v>0</v>
      </c>
      <c r="U5" s="25">
        <f t="shared" ref="U5:U11" si="2">T5/(T5+S5)</f>
        <v>0</v>
      </c>
      <c r="V5" s="19">
        <f t="shared" ref="V5:V11" si="3">B5+C5+J5+K5</f>
        <v>3</v>
      </c>
      <c r="W5" s="19">
        <f t="shared" ref="W5:W11" si="4">D5+E5+L5+M5</f>
        <v>0</v>
      </c>
      <c r="X5" s="19">
        <f t="shared" ref="X5:X11" si="5">F5+G5+N5+O5</f>
        <v>0</v>
      </c>
      <c r="Y5" s="19">
        <f t="shared" ref="Y5:Y11" si="6">SUM(V5:X5)</f>
        <v>3</v>
      </c>
      <c r="Z5" s="44">
        <f>W5/Y5</f>
        <v>0</v>
      </c>
      <c r="AA5" s="44">
        <f>X5/Y5</f>
        <v>0</v>
      </c>
      <c r="AB5" s="19">
        <f t="shared" ref="AB5:AB11" si="7">H5+I5+P5+Q5</f>
        <v>1</v>
      </c>
      <c r="AC5" s="19">
        <f t="shared" ref="AC5:AC11" si="8">SUM(B5:I5)</f>
        <v>4</v>
      </c>
      <c r="AD5" s="30">
        <f t="shared" ref="AD5:AD11" si="9">SUM(J5:Q5)</f>
        <v>0</v>
      </c>
      <c r="AE5" s="42">
        <f>SUM(B5:Q5)</f>
        <v>4</v>
      </c>
      <c r="AG5" s="64"/>
      <c r="AH5" s="65"/>
      <c r="AI5" s="65"/>
      <c r="AJ5" s="65"/>
      <c r="AK5" s="65"/>
      <c r="AL5" s="65"/>
      <c r="AM5" s="65"/>
      <c r="AN5" s="66"/>
      <c r="AP5" s="64"/>
      <c r="AQ5" s="65"/>
      <c r="AR5" s="65"/>
      <c r="AS5" s="65"/>
      <c r="AT5" s="65"/>
      <c r="AU5" s="65"/>
      <c r="AV5" s="65"/>
      <c r="AW5" s="66"/>
    </row>
    <row r="6" spans="1:49" ht="16.2" thickBot="1">
      <c r="A6" s="14">
        <v>0.30208333333333331</v>
      </c>
      <c r="B6" s="15">
        <v>8</v>
      </c>
      <c r="C6" s="16"/>
      <c r="D6" s="17"/>
      <c r="E6" s="18"/>
      <c r="F6" s="17"/>
      <c r="G6" s="18"/>
      <c r="H6" s="15">
        <v>3</v>
      </c>
      <c r="I6" s="16"/>
      <c r="J6" s="15"/>
      <c r="K6" s="16"/>
      <c r="L6" s="17"/>
      <c r="M6" s="18"/>
      <c r="N6" s="17"/>
      <c r="O6" s="18"/>
      <c r="P6" s="15"/>
      <c r="Q6" s="16"/>
      <c r="S6" s="29">
        <f t="shared" si="0"/>
        <v>11</v>
      </c>
      <c r="T6" s="19">
        <f t="shared" si="1"/>
        <v>0</v>
      </c>
      <c r="U6" s="25">
        <f t="shared" si="2"/>
        <v>0</v>
      </c>
      <c r="V6" s="19">
        <f t="shared" si="3"/>
        <v>8</v>
      </c>
      <c r="W6" s="19">
        <f t="shared" si="4"/>
        <v>0</v>
      </c>
      <c r="X6" s="19">
        <f t="shared" si="5"/>
        <v>0</v>
      </c>
      <c r="Y6" s="19">
        <f t="shared" si="6"/>
        <v>8</v>
      </c>
      <c r="Z6" s="44">
        <f t="shared" ref="Z6:Z14" si="10">W6/Y6</f>
        <v>0</v>
      </c>
      <c r="AA6" s="44">
        <f t="shared" ref="AA6:AA14" si="11">X6/Y6</f>
        <v>0</v>
      </c>
      <c r="AB6" s="19">
        <f t="shared" si="7"/>
        <v>3</v>
      </c>
      <c r="AC6" s="19">
        <f t="shared" si="8"/>
        <v>11</v>
      </c>
      <c r="AD6" s="30">
        <f t="shared" si="9"/>
        <v>0</v>
      </c>
      <c r="AE6" s="42">
        <f t="shared" ref="AE6:AE14" si="12">SUM(B6:Q6)</f>
        <v>11</v>
      </c>
      <c r="AG6" s="64"/>
      <c r="AH6" s="65"/>
      <c r="AI6" s="65"/>
      <c r="AJ6" s="65"/>
      <c r="AK6" s="65"/>
      <c r="AL6" s="65"/>
      <c r="AM6" s="65"/>
      <c r="AN6" s="66"/>
      <c r="AP6" s="64"/>
      <c r="AQ6" s="65"/>
      <c r="AR6" s="65"/>
      <c r="AS6" s="65"/>
      <c r="AT6" s="65"/>
      <c r="AU6" s="65"/>
      <c r="AV6" s="65"/>
      <c r="AW6" s="66"/>
    </row>
    <row r="7" spans="1:49" ht="16.2" thickBot="1">
      <c r="A7" s="14">
        <v>0.3125</v>
      </c>
      <c r="B7" s="15">
        <v>3</v>
      </c>
      <c r="C7" s="16">
        <v>1</v>
      </c>
      <c r="D7" s="17"/>
      <c r="E7" s="18"/>
      <c r="F7" s="17"/>
      <c r="G7" s="18"/>
      <c r="H7" s="15">
        <v>1</v>
      </c>
      <c r="I7" s="16"/>
      <c r="J7" s="15"/>
      <c r="K7" s="16"/>
      <c r="L7" s="17"/>
      <c r="M7" s="18"/>
      <c r="N7" s="17"/>
      <c r="O7" s="18"/>
      <c r="P7" s="15"/>
      <c r="Q7" s="16"/>
      <c r="S7" s="29">
        <f t="shared" si="0"/>
        <v>4</v>
      </c>
      <c r="T7" s="19">
        <f t="shared" si="1"/>
        <v>1</v>
      </c>
      <c r="U7" s="25">
        <f t="shared" si="2"/>
        <v>0.2</v>
      </c>
      <c r="V7" s="19">
        <f t="shared" si="3"/>
        <v>4</v>
      </c>
      <c r="W7" s="19">
        <f t="shared" si="4"/>
        <v>0</v>
      </c>
      <c r="X7" s="19">
        <f t="shared" si="5"/>
        <v>0</v>
      </c>
      <c r="Y7" s="19">
        <f t="shared" si="6"/>
        <v>4</v>
      </c>
      <c r="Z7" s="44">
        <f t="shared" si="10"/>
        <v>0</v>
      </c>
      <c r="AA7" s="44">
        <f t="shared" si="11"/>
        <v>0</v>
      </c>
      <c r="AB7" s="19">
        <f t="shared" si="7"/>
        <v>1</v>
      </c>
      <c r="AC7" s="19">
        <f t="shared" si="8"/>
        <v>5</v>
      </c>
      <c r="AD7" s="30">
        <f t="shared" si="9"/>
        <v>0</v>
      </c>
      <c r="AE7" s="42">
        <f t="shared" si="12"/>
        <v>5</v>
      </c>
      <c r="AG7" s="64"/>
      <c r="AH7" s="65"/>
      <c r="AI7" s="65"/>
      <c r="AJ7" s="65"/>
      <c r="AK7" s="65"/>
      <c r="AL7" s="65"/>
      <c r="AM7" s="65"/>
      <c r="AN7" s="66"/>
      <c r="AP7" s="64"/>
      <c r="AQ7" s="65"/>
      <c r="AR7" s="65"/>
      <c r="AS7" s="65"/>
      <c r="AT7" s="65"/>
      <c r="AU7" s="65"/>
      <c r="AV7" s="65"/>
      <c r="AW7" s="66"/>
    </row>
    <row r="8" spans="1:49" ht="16.2" thickBot="1">
      <c r="A8" s="14">
        <v>0.32291666666666669</v>
      </c>
      <c r="B8" s="15"/>
      <c r="C8" s="16">
        <v>1</v>
      </c>
      <c r="D8" s="17"/>
      <c r="E8" s="18"/>
      <c r="F8" s="17"/>
      <c r="G8" s="18"/>
      <c r="H8" s="15"/>
      <c r="I8" s="16"/>
      <c r="J8" s="15"/>
      <c r="K8" s="16"/>
      <c r="L8" s="17"/>
      <c r="M8" s="18"/>
      <c r="N8" s="17"/>
      <c r="O8" s="18"/>
      <c r="P8" s="15"/>
      <c r="Q8" s="16"/>
      <c r="S8" s="29">
        <f t="shared" si="0"/>
        <v>0</v>
      </c>
      <c r="T8" s="19">
        <f t="shared" si="1"/>
        <v>1</v>
      </c>
      <c r="U8" s="25">
        <f t="shared" si="2"/>
        <v>1</v>
      </c>
      <c r="V8" s="19">
        <f t="shared" si="3"/>
        <v>1</v>
      </c>
      <c r="W8" s="19">
        <f t="shared" si="4"/>
        <v>0</v>
      </c>
      <c r="X8" s="19">
        <f t="shared" si="5"/>
        <v>0</v>
      </c>
      <c r="Y8" s="19">
        <f t="shared" si="6"/>
        <v>1</v>
      </c>
      <c r="Z8" s="44">
        <f t="shared" si="10"/>
        <v>0</v>
      </c>
      <c r="AA8" s="44">
        <f t="shared" si="11"/>
        <v>0</v>
      </c>
      <c r="AB8" s="19">
        <f t="shared" si="7"/>
        <v>0</v>
      </c>
      <c r="AC8" s="19">
        <f t="shared" si="8"/>
        <v>1</v>
      </c>
      <c r="AD8" s="30">
        <f t="shared" si="9"/>
        <v>0</v>
      </c>
      <c r="AE8" s="42">
        <f t="shared" si="12"/>
        <v>1</v>
      </c>
      <c r="AG8" s="64"/>
      <c r="AH8" s="65"/>
      <c r="AI8" s="65"/>
      <c r="AJ8" s="65"/>
      <c r="AK8" s="65"/>
      <c r="AL8" s="65"/>
      <c r="AM8" s="65"/>
      <c r="AN8" s="66"/>
      <c r="AP8" s="64"/>
      <c r="AQ8" s="65"/>
      <c r="AR8" s="65"/>
      <c r="AS8" s="65"/>
      <c r="AT8" s="65"/>
      <c r="AU8" s="65"/>
      <c r="AV8" s="65"/>
      <c r="AW8" s="66"/>
    </row>
    <row r="9" spans="1:49" ht="16.2" thickBot="1">
      <c r="A9" s="13">
        <v>0.33333333333333331</v>
      </c>
      <c r="B9" s="15">
        <v>2</v>
      </c>
      <c r="C9" s="16">
        <v>2</v>
      </c>
      <c r="D9" s="17">
        <v>1</v>
      </c>
      <c r="E9" s="18"/>
      <c r="F9" s="17"/>
      <c r="G9" s="18"/>
      <c r="H9" s="15">
        <v>3</v>
      </c>
      <c r="I9" s="16"/>
      <c r="J9" s="15"/>
      <c r="K9" s="16"/>
      <c r="L9" s="17"/>
      <c r="M9" s="18"/>
      <c r="N9" s="17"/>
      <c r="O9" s="18"/>
      <c r="P9" s="15"/>
      <c r="Q9" s="16"/>
      <c r="S9" s="29">
        <f t="shared" si="0"/>
        <v>6</v>
      </c>
      <c r="T9" s="19">
        <f t="shared" si="1"/>
        <v>2</v>
      </c>
      <c r="U9" s="25">
        <f t="shared" si="2"/>
        <v>0.25</v>
      </c>
      <c r="V9" s="19">
        <f t="shared" si="3"/>
        <v>4</v>
      </c>
      <c r="W9" s="19">
        <f t="shared" si="4"/>
        <v>1</v>
      </c>
      <c r="X9" s="19">
        <f t="shared" si="5"/>
        <v>0</v>
      </c>
      <c r="Y9" s="19">
        <f t="shared" si="6"/>
        <v>5</v>
      </c>
      <c r="Z9" s="44">
        <f t="shared" si="10"/>
        <v>0.2</v>
      </c>
      <c r="AA9" s="44">
        <f t="shared" si="11"/>
        <v>0</v>
      </c>
      <c r="AB9" s="19">
        <f t="shared" si="7"/>
        <v>3</v>
      </c>
      <c r="AC9" s="19">
        <f t="shared" si="8"/>
        <v>8</v>
      </c>
      <c r="AD9" s="30">
        <f t="shared" si="9"/>
        <v>0</v>
      </c>
      <c r="AE9" s="42">
        <f t="shared" si="12"/>
        <v>8</v>
      </c>
      <c r="AG9" s="64"/>
      <c r="AH9" s="65"/>
      <c r="AI9" s="65"/>
      <c r="AJ9" s="65"/>
      <c r="AK9" s="65"/>
      <c r="AL9" s="65"/>
      <c r="AM9" s="65"/>
      <c r="AN9" s="66"/>
      <c r="AP9" s="64"/>
      <c r="AQ9" s="65"/>
      <c r="AR9" s="65"/>
      <c r="AS9" s="65"/>
      <c r="AT9" s="65"/>
      <c r="AU9" s="65"/>
      <c r="AV9" s="65"/>
      <c r="AW9" s="66"/>
    </row>
    <row r="10" spans="1:49" ht="16.2" thickBot="1">
      <c r="A10" s="14">
        <v>0.34375</v>
      </c>
      <c r="B10" s="15">
        <v>4</v>
      </c>
      <c r="C10" s="16">
        <v>1</v>
      </c>
      <c r="D10" s="17"/>
      <c r="E10" s="18"/>
      <c r="F10" s="17"/>
      <c r="G10" s="18"/>
      <c r="H10" s="10">
        <v>3</v>
      </c>
      <c r="I10" s="16"/>
      <c r="J10" s="15"/>
      <c r="K10" s="16"/>
      <c r="L10" s="17"/>
      <c r="M10" s="18"/>
      <c r="N10" s="17"/>
      <c r="O10" s="18"/>
      <c r="P10" s="15"/>
      <c r="Q10" s="16"/>
      <c r="S10" s="29">
        <f t="shared" si="0"/>
        <v>7</v>
      </c>
      <c r="T10" s="19">
        <f t="shared" si="1"/>
        <v>1</v>
      </c>
      <c r="U10" s="25">
        <f t="shared" si="2"/>
        <v>0.125</v>
      </c>
      <c r="V10" s="19">
        <f t="shared" si="3"/>
        <v>5</v>
      </c>
      <c r="W10" s="19">
        <f t="shared" si="4"/>
        <v>0</v>
      </c>
      <c r="X10" s="19">
        <f t="shared" si="5"/>
        <v>0</v>
      </c>
      <c r="Y10" s="19">
        <f t="shared" si="6"/>
        <v>5</v>
      </c>
      <c r="Z10" s="44">
        <f t="shared" si="10"/>
        <v>0</v>
      </c>
      <c r="AA10" s="44">
        <f t="shared" si="11"/>
        <v>0</v>
      </c>
      <c r="AB10" s="19">
        <f t="shared" si="7"/>
        <v>3</v>
      </c>
      <c r="AC10" s="19">
        <f t="shared" si="8"/>
        <v>8</v>
      </c>
      <c r="AD10" s="30">
        <f t="shared" si="9"/>
        <v>0</v>
      </c>
      <c r="AE10" s="42">
        <f t="shared" si="12"/>
        <v>8</v>
      </c>
      <c r="AG10" s="64"/>
      <c r="AH10" s="65"/>
      <c r="AI10" s="65"/>
      <c r="AJ10" s="65"/>
      <c r="AK10" s="65"/>
      <c r="AL10" s="65"/>
      <c r="AM10" s="65"/>
      <c r="AN10" s="66"/>
      <c r="AP10" s="64"/>
      <c r="AQ10" s="65"/>
      <c r="AR10" s="65"/>
      <c r="AS10" s="65"/>
      <c r="AT10" s="65"/>
      <c r="AU10" s="65"/>
      <c r="AV10" s="65"/>
      <c r="AW10" s="66"/>
    </row>
    <row r="11" spans="1:49" ht="16.2" thickBot="1">
      <c r="A11" s="14">
        <v>0.35416666666666669</v>
      </c>
      <c r="B11" s="15">
        <v>4</v>
      </c>
      <c r="C11" s="16">
        <v>1</v>
      </c>
      <c r="D11" s="17"/>
      <c r="E11" s="18"/>
      <c r="F11" s="17"/>
      <c r="G11" s="18"/>
      <c r="H11" s="15">
        <v>5</v>
      </c>
      <c r="I11" s="16"/>
      <c r="J11" s="15"/>
      <c r="K11" s="16"/>
      <c r="L11" s="17"/>
      <c r="M11" s="18"/>
      <c r="N11" s="17"/>
      <c r="O11" s="18"/>
      <c r="P11" s="15"/>
      <c r="Q11" s="16"/>
      <c r="S11" s="29">
        <f t="shared" si="0"/>
        <v>9</v>
      </c>
      <c r="T11" s="19">
        <f t="shared" si="1"/>
        <v>1</v>
      </c>
      <c r="U11" s="25">
        <f t="shared" si="2"/>
        <v>0.1</v>
      </c>
      <c r="V11" s="19">
        <f t="shared" si="3"/>
        <v>5</v>
      </c>
      <c r="W11" s="19">
        <f t="shared" si="4"/>
        <v>0</v>
      </c>
      <c r="X11" s="19">
        <f t="shared" si="5"/>
        <v>0</v>
      </c>
      <c r="Y11" s="19">
        <f t="shared" si="6"/>
        <v>5</v>
      </c>
      <c r="Z11" s="44">
        <f t="shared" si="10"/>
        <v>0</v>
      </c>
      <c r="AA11" s="44">
        <f t="shared" si="11"/>
        <v>0</v>
      </c>
      <c r="AB11" s="19">
        <f t="shared" si="7"/>
        <v>5</v>
      </c>
      <c r="AC11" s="19">
        <f t="shared" si="8"/>
        <v>10</v>
      </c>
      <c r="AD11" s="30">
        <f t="shared" si="9"/>
        <v>0</v>
      </c>
      <c r="AE11" s="42">
        <f t="shared" si="12"/>
        <v>10</v>
      </c>
      <c r="AG11" s="64"/>
      <c r="AH11" s="65"/>
      <c r="AI11" s="65"/>
      <c r="AJ11" s="65"/>
      <c r="AK11" s="65"/>
      <c r="AL11" s="65"/>
      <c r="AM11" s="65"/>
      <c r="AN11" s="66"/>
      <c r="AP11" s="64"/>
      <c r="AQ11" s="65"/>
      <c r="AR11" s="65"/>
      <c r="AS11" s="65"/>
      <c r="AT11" s="65"/>
      <c r="AU11" s="65"/>
      <c r="AV11" s="65"/>
      <c r="AW11" s="66"/>
    </row>
    <row r="12" spans="1:49" ht="16.2" thickBot="1">
      <c r="A12" s="14">
        <v>0.36458333333333331</v>
      </c>
      <c r="B12" s="20">
        <v>5</v>
      </c>
      <c r="C12" s="21">
        <v>3</v>
      </c>
      <c r="D12" s="22"/>
      <c r="E12" s="23"/>
      <c r="F12" s="22"/>
      <c r="G12" s="23"/>
      <c r="H12" s="20">
        <v>5</v>
      </c>
      <c r="I12" s="21">
        <v>1</v>
      </c>
      <c r="J12" s="20"/>
      <c r="K12" s="21"/>
      <c r="L12" s="22"/>
      <c r="M12" s="23"/>
      <c r="N12" s="22"/>
      <c r="O12" s="23"/>
      <c r="P12" s="20"/>
      <c r="Q12" s="21"/>
      <c r="S12" s="29">
        <f t="shared" ref="S12:T14" si="13">B12+D12+F12+H12+J12+L12+N12+P12</f>
        <v>10</v>
      </c>
      <c r="T12" s="19">
        <f t="shared" si="13"/>
        <v>4</v>
      </c>
      <c r="U12" s="25">
        <f>T12/(T12+S12)</f>
        <v>0.2857142857142857</v>
      </c>
      <c r="V12" s="19">
        <f>B12+C12+J12+K12</f>
        <v>8</v>
      </c>
      <c r="W12" s="19">
        <f>D12+E12+L12+M12</f>
        <v>0</v>
      </c>
      <c r="X12" s="19">
        <f>F12+G12+N12+O12</f>
        <v>0</v>
      </c>
      <c r="Y12" s="19">
        <f>SUM(V12:X12)</f>
        <v>8</v>
      </c>
      <c r="Z12" s="44">
        <f t="shared" si="10"/>
        <v>0</v>
      </c>
      <c r="AA12" s="44">
        <f t="shared" si="11"/>
        <v>0</v>
      </c>
      <c r="AB12" s="19">
        <f>H12+I12+P12+Q12</f>
        <v>6</v>
      </c>
      <c r="AC12" s="19">
        <f>SUM(B12:I12)</f>
        <v>14</v>
      </c>
      <c r="AD12" s="30">
        <f>SUM(J12:Q12)</f>
        <v>0</v>
      </c>
      <c r="AE12" s="42">
        <f t="shared" si="12"/>
        <v>14</v>
      </c>
      <c r="AG12" s="64"/>
      <c r="AH12" s="65"/>
      <c r="AI12" s="65"/>
      <c r="AJ12" s="65"/>
      <c r="AK12" s="65"/>
      <c r="AL12" s="65"/>
      <c r="AM12" s="65"/>
      <c r="AN12" s="66"/>
      <c r="AP12" s="64"/>
      <c r="AQ12" s="65"/>
      <c r="AR12" s="65"/>
      <c r="AS12" s="65"/>
      <c r="AT12" s="65"/>
      <c r="AU12" s="65"/>
      <c r="AV12" s="65"/>
      <c r="AW12" s="66"/>
    </row>
    <row r="13" spans="1:49" ht="15" thickBot="1">
      <c r="A13" s="24" t="s">
        <v>13</v>
      </c>
      <c r="B13" s="35">
        <f>SUM(B5:B12)</f>
        <v>29</v>
      </c>
      <c r="C13" s="35">
        <f t="shared" ref="C13:Q13" si="14">SUM(C5:C12)</f>
        <v>9</v>
      </c>
      <c r="D13" s="35">
        <f t="shared" si="14"/>
        <v>1</v>
      </c>
      <c r="E13" s="35">
        <f t="shared" si="14"/>
        <v>0</v>
      </c>
      <c r="F13" s="35">
        <f t="shared" si="14"/>
        <v>0</v>
      </c>
      <c r="G13" s="35">
        <f t="shared" si="14"/>
        <v>0</v>
      </c>
      <c r="H13" s="35">
        <f t="shared" si="14"/>
        <v>21</v>
      </c>
      <c r="I13" s="35">
        <f t="shared" si="14"/>
        <v>1</v>
      </c>
      <c r="J13" s="35">
        <f t="shared" si="14"/>
        <v>0</v>
      </c>
      <c r="K13" s="35">
        <f t="shared" si="14"/>
        <v>0</v>
      </c>
      <c r="L13" s="35">
        <f t="shared" si="14"/>
        <v>0</v>
      </c>
      <c r="M13" s="35">
        <f t="shared" si="14"/>
        <v>0</v>
      </c>
      <c r="N13" s="35">
        <f t="shared" si="14"/>
        <v>0</v>
      </c>
      <c r="O13" s="35">
        <f t="shared" si="14"/>
        <v>0</v>
      </c>
      <c r="P13" s="35">
        <f t="shared" si="14"/>
        <v>0</v>
      </c>
      <c r="Q13" s="36">
        <f t="shared" si="14"/>
        <v>0</v>
      </c>
      <c r="S13" s="31">
        <f t="shared" si="13"/>
        <v>51</v>
      </c>
      <c r="T13" s="32">
        <f t="shared" si="13"/>
        <v>10</v>
      </c>
      <c r="U13" s="33">
        <f>T13/(T13+S13)</f>
        <v>0.16393442622950818</v>
      </c>
      <c r="V13" s="32">
        <f>B13+C13+J13+K13</f>
        <v>38</v>
      </c>
      <c r="W13" s="32">
        <f>D13+E13+L13+M13</f>
        <v>1</v>
      </c>
      <c r="X13" s="32">
        <f>F13+G13+N13+O13</f>
        <v>0</v>
      </c>
      <c r="Y13" s="32">
        <f>SUM(V13:X13)</f>
        <v>39</v>
      </c>
      <c r="Z13" s="44">
        <f t="shared" si="10"/>
        <v>2.564102564102564E-2</v>
      </c>
      <c r="AA13" s="44">
        <f t="shared" si="11"/>
        <v>0</v>
      </c>
      <c r="AB13" s="32">
        <f>H13+I13+P13+Q13</f>
        <v>22</v>
      </c>
      <c r="AC13" s="32">
        <f>SUM(B13:I13)</f>
        <v>61</v>
      </c>
      <c r="AD13" s="34">
        <f>SUM(J13:Q13)</f>
        <v>0</v>
      </c>
      <c r="AE13" s="43">
        <f t="shared" si="12"/>
        <v>61</v>
      </c>
      <c r="AG13" s="71">
        <v>87</v>
      </c>
      <c r="AH13" s="72">
        <v>32</v>
      </c>
      <c r="AI13" s="72">
        <v>101</v>
      </c>
      <c r="AJ13" s="72">
        <v>18</v>
      </c>
      <c r="AK13" s="72">
        <v>114</v>
      </c>
      <c r="AL13" s="72">
        <v>5</v>
      </c>
      <c r="AM13" s="67">
        <f>AJ13/(AJ13+AI13)</f>
        <v>0.15126050420168066</v>
      </c>
      <c r="AN13" s="73">
        <v>119</v>
      </c>
      <c r="AP13" s="74">
        <f>(Y13-AG13)/AG13</f>
        <v>-0.55172413793103448</v>
      </c>
      <c r="AQ13" s="75">
        <f>(AB13-AH13)/AH13</f>
        <v>-0.3125</v>
      </c>
      <c r="AR13" s="75">
        <f>(S13-AI13)/AI13</f>
        <v>-0.49504950495049505</v>
      </c>
      <c r="AS13" s="75">
        <f>(T13-AJ13)/AJ13</f>
        <v>-0.44444444444444442</v>
      </c>
      <c r="AT13" s="75">
        <f>(AC13-AK13)/AK13</f>
        <v>-0.46491228070175439</v>
      </c>
      <c r="AU13" s="75">
        <f>(AD13-AL13)/AL13</f>
        <v>-1</v>
      </c>
      <c r="AV13" s="75">
        <f>(U13-AM13)/AM13</f>
        <v>8.3788706739526403E-2</v>
      </c>
      <c r="AW13" s="76">
        <f>(AE13-AN13)/AN13</f>
        <v>-0.48739495798319327</v>
      </c>
    </row>
    <row r="14" spans="1:49" ht="15" thickBot="1">
      <c r="A14" s="24" t="s">
        <v>32</v>
      </c>
      <c r="B14" s="24">
        <f>SUM(B7:B10)</f>
        <v>9</v>
      </c>
      <c r="C14" s="24">
        <f t="shared" ref="C14:Q14" si="15">SUM(C7:C10)</f>
        <v>5</v>
      </c>
      <c r="D14" s="24">
        <f t="shared" si="15"/>
        <v>1</v>
      </c>
      <c r="E14" s="24">
        <f t="shared" si="15"/>
        <v>0</v>
      </c>
      <c r="F14" s="24">
        <f t="shared" si="15"/>
        <v>0</v>
      </c>
      <c r="G14" s="24">
        <f t="shared" si="15"/>
        <v>0</v>
      </c>
      <c r="H14" s="24">
        <f t="shared" si="15"/>
        <v>7</v>
      </c>
      <c r="I14" s="24">
        <f t="shared" si="15"/>
        <v>0</v>
      </c>
      <c r="J14" s="24">
        <f t="shared" si="15"/>
        <v>0</v>
      </c>
      <c r="K14" s="24">
        <f t="shared" si="15"/>
        <v>0</v>
      </c>
      <c r="L14" s="24">
        <f t="shared" si="15"/>
        <v>0</v>
      </c>
      <c r="M14" s="24">
        <f t="shared" si="15"/>
        <v>0</v>
      </c>
      <c r="N14" s="24">
        <f t="shared" si="15"/>
        <v>0</v>
      </c>
      <c r="O14" s="24">
        <f t="shared" si="15"/>
        <v>0</v>
      </c>
      <c r="P14" s="24">
        <f t="shared" si="15"/>
        <v>0</v>
      </c>
      <c r="Q14" s="24">
        <f t="shared" si="15"/>
        <v>0</v>
      </c>
      <c r="S14" s="51">
        <f t="shared" si="13"/>
        <v>17</v>
      </c>
      <c r="T14" s="35">
        <f t="shared" si="13"/>
        <v>5</v>
      </c>
      <c r="U14" s="52">
        <f>T14/(T14+S14)</f>
        <v>0.22727272727272727</v>
      </c>
      <c r="V14" s="35">
        <f>B14+C14+J14+K14</f>
        <v>14</v>
      </c>
      <c r="W14" s="35">
        <f>D14+E14+L14+M14</f>
        <v>1</v>
      </c>
      <c r="X14" s="35">
        <f>F14+G14+N14+O14</f>
        <v>0</v>
      </c>
      <c r="Y14" s="35">
        <f>SUM(V14:X14)</f>
        <v>15</v>
      </c>
      <c r="Z14" s="53">
        <f t="shared" si="10"/>
        <v>6.6666666666666666E-2</v>
      </c>
      <c r="AA14" s="53">
        <f t="shared" si="11"/>
        <v>0</v>
      </c>
      <c r="AB14" s="35">
        <f>H14+I14+P14+Q14</f>
        <v>7</v>
      </c>
      <c r="AC14" s="35">
        <f>SUM(B14:I14)</f>
        <v>22</v>
      </c>
      <c r="AD14" s="36">
        <f>SUM(J14:Q14)</f>
        <v>0</v>
      </c>
      <c r="AE14" s="54">
        <f t="shared" si="12"/>
        <v>22</v>
      </c>
    </row>
    <row r="16" spans="1:49">
      <c r="A16">
        <v>7</v>
      </c>
      <c r="B16">
        <f>SUM(B5:B8)</f>
        <v>14</v>
      </c>
      <c r="C16">
        <f t="shared" ref="C16:Q16" si="16">SUM(C5:C8)</f>
        <v>2</v>
      </c>
      <c r="D16">
        <f t="shared" si="16"/>
        <v>0</v>
      </c>
      <c r="E16">
        <f t="shared" si="16"/>
        <v>0</v>
      </c>
      <c r="F16">
        <f t="shared" si="16"/>
        <v>0</v>
      </c>
      <c r="G16">
        <f t="shared" si="16"/>
        <v>0</v>
      </c>
      <c r="H16">
        <f t="shared" si="16"/>
        <v>5</v>
      </c>
      <c r="I16">
        <f t="shared" si="16"/>
        <v>0</v>
      </c>
      <c r="J16">
        <f t="shared" si="16"/>
        <v>0</v>
      </c>
      <c r="K16">
        <f t="shared" si="16"/>
        <v>0</v>
      </c>
      <c r="L16">
        <f t="shared" si="16"/>
        <v>0</v>
      </c>
      <c r="M16">
        <f t="shared" si="16"/>
        <v>0</v>
      </c>
      <c r="N16">
        <f t="shared" si="16"/>
        <v>0</v>
      </c>
      <c r="O16">
        <f t="shared" si="16"/>
        <v>0</v>
      </c>
      <c r="P16">
        <f t="shared" si="16"/>
        <v>0</v>
      </c>
      <c r="Q16">
        <f t="shared" si="16"/>
        <v>0</v>
      </c>
    </row>
    <row r="17" spans="1:17">
      <c r="A17">
        <v>8</v>
      </c>
      <c r="B17">
        <f>SUM(B9:B12)</f>
        <v>15</v>
      </c>
      <c r="C17">
        <f t="shared" ref="C17:Q17" si="17">SUM(C9:C12)</f>
        <v>7</v>
      </c>
      <c r="D17">
        <f t="shared" si="17"/>
        <v>1</v>
      </c>
      <c r="E17">
        <f t="shared" si="17"/>
        <v>0</v>
      </c>
      <c r="F17">
        <f t="shared" si="17"/>
        <v>0</v>
      </c>
      <c r="G17">
        <f t="shared" si="17"/>
        <v>0</v>
      </c>
      <c r="H17">
        <f>SUM(H9:H12)</f>
        <v>16</v>
      </c>
      <c r="I17">
        <f t="shared" si="17"/>
        <v>1</v>
      </c>
      <c r="J17">
        <f t="shared" si="17"/>
        <v>0</v>
      </c>
      <c r="K17">
        <f t="shared" si="17"/>
        <v>0</v>
      </c>
      <c r="L17">
        <f t="shared" si="17"/>
        <v>0</v>
      </c>
      <c r="M17">
        <f t="shared" si="17"/>
        <v>0</v>
      </c>
      <c r="N17">
        <f t="shared" si="17"/>
        <v>0</v>
      </c>
      <c r="O17">
        <f t="shared" si="17"/>
        <v>0</v>
      </c>
      <c r="P17">
        <f t="shared" si="17"/>
        <v>0</v>
      </c>
      <c r="Q17">
        <f t="shared" si="17"/>
        <v>0</v>
      </c>
    </row>
  </sheetData>
  <mergeCells count="13">
    <mergeCell ref="AG2:AN2"/>
    <mergeCell ref="AP2:AW2"/>
    <mergeCell ref="S2:AD2"/>
    <mergeCell ref="B2:I2"/>
    <mergeCell ref="J2:Q2"/>
    <mergeCell ref="B3:C3"/>
    <mergeCell ref="D3:E3"/>
    <mergeCell ref="F3:G3"/>
    <mergeCell ref="H3:I3"/>
    <mergeCell ref="J3:K3"/>
    <mergeCell ref="L3:M3"/>
    <mergeCell ref="N3:O3"/>
    <mergeCell ref="P3:Q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A766-9DF6-4C66-9D03-437BFDDD7BA5}">
  <dimension ref="A1:AF17"/>
  <sheetViews>
    <sheetView topLeftCell="K1" workbookViewId="0">
      <selection activeCell="C1" sqref="C1"/>
    </sheetView>
  </sheetViews>
  <sheetFormatPr defaultRowHeight="14.4"/>
  <sheetData>
    <row r="1" spans="1:32" ht="21.6" thickBot="1">
      <c r="B1" s="11" t="s">
        <v>11</v>
      </c>
      <c r="C1" s="12" t="s">
        <v>33</v>
      </c>
    </row>
    <row r="2" spans="1:32" ht="21.6" thickBot="1">
      <c r="A2" s="9"/>
      <c r="B2" s="55" t="s">
        <v>5</v>
      </c>
      <c r="C2" s="57"/>
      <c r="D2" s="57"/>
      <c r="E2" s="57"/>
      <c r="F2" s="57"/>
      <c r="G2" s="57"/>
      <c r="H2" s="57"/>
      <c r="I2" s="58"/>
      <c r="J2" s="55" t="s">
        <v>6</v>
      </c>
      <c r="K2" s="57"/>
      <c r="L2" s="57"/>
      <c r="M2" s="57"/>
      <c r="N2" s="57"/>
      <c r="O2" s="57"/>
      <c r="P2" s="57"/>
      <c r="Q2" s="58"/>
      <c r="S2" s="59" t="s">
        <v>14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10"/>
      <c r="AF2" s="10"/>
    </row>
    <row r="3" spans="1:32" ht="15.6">
      <c r="A3" s="9"/>
      <c r="B3" s="55" t="s">
        <v>9</v>
      </c>
      <c r="C3" s="58"/>
      <c r="D3" s="60" t="s">
        <v>7</v>
      </c>
      <c r="E3" s="56"/>
      <c r="F3" s="60" t="s">
        <v>8</v>
      </c>
      <c r="G3" s="56"/>
      <c r="H3" s="55" t="s">
        <v>0</v>
      </c>
      <c r="I3" s="56"/>
      <c r="J3" s="55" t="s">
        <v>4</v>
      </c>
      <c r="K3" s="58"/>
      <c r="L3" s="60" t="s">
        <v>7</v>
      </c>
      <c r="M3" s="56"/>
      <c r="N3" s="60" t="s">
        <v>10</v>
      </c>
      <c r="O3" s="56"/>
      <c r="P3" s="55" t="s">
        <v>0</v>
      </c>
      <c r="Q3" s="56"/>
      <c r="S3" s="26" t="s">
        <v>21</v>
      </c>
      <c r="T3" s="27" t="s">
        <v>15</v>
      </c>
      <c r="U3" s="27" t="s">
        <v>16</v>
      </c>
      <c r="V3" s="27" t="s">
        <v>17</v>
      </c>
      <c r="W3" s="27" t="s">
        <v>7</v>
      </c>
      <c r="X3" s="27" t="s">
        <v>18</v>
      </c>
      <c r="Y3" s="27" t="s">
        <v>26</v>
      </c>
      <c r="Z3" s="27" t="s">
        <v>28</v>
      </c>
      <c r="AA3" s="27" t="s">
        <v>29</v>
      </c>
      <c r="AB3" s="27" t="s">
        <v>20</v>
      </c>
      <c r="AC3" s="27" t="s">
        <v>22</v>
      </c>
      <c r="AD3" s="28" t="s">
        <v>23</v>
      </c>
      <c r="AE3" s="41" t="s">
        <v>27</v>
      </c>
      <c r="AF3" s="10"/>
    </row>
    <row r="4" spans="1:32" ht="21.6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2"/>
    </row>
    <row r="5" spans="1:32" ht="16.2" thickBot="1">
      <c r="A5" s="13">
        <v>0.29166666666666669</v>
      </c>
      <c r="B5" s="15">
        <v>2</v>
      </c>
      <c r="C5" s="16"/>
      <c r="D5" s="17"/>
      <c r="E5" s="18"/>
      <c r="F5" s="17"/>
      <c r="G5" s="18"/>
      <c r="H5" s="15"/>
      <c r="I5" s="16"/>
      <c r="J5" s="15">
        <v>1</v>
      </c>
      <c r="K5" s="16"/>
      <c r="L5" s="17"/>
      <c r="M5" s="18"/>
      <c r="N5" s="17"/>
      <c r="O5" s="18"/>
      <c r="P5" s="15"/>
      <c r="Q5" s="16"/>
      <c r="S5" s="29">
        <f t="shared" ref="S5:T11" si="0">B5+D5+F5+H5+J5+L5+N5+P5</f>
        <v>3</v>
      </c>
      <c r="T5" s="19">
        <f t="shared" si="0"/>
        <v>0</v>
      </c>
      <c r="U5" s="25">
        <f t="shared" ref="U5:U11" si="1">T5/(T5+S5)</f>
        <v>0</v>
      </c>
      <c r="V5" s="19">
        <f t="shared" ref="V5:V11" si="2">B5+C5+J5+K5</f>
        <v>3</v>
      </c>
      <c r="W5" s="19">
        <f t="shared" ref="W5:W11" si="3">D5+E5+L5+M5</f>
        <v>0</v>
      </c>
      <c r="X5" s="19">
        <f t="shared" ref="X5:X11" si="4">F5+G5+N5+O5</f>
        <v>0</v>
      </c>
      <c r="Y5" s="19">
        <f t="shared" ref="Y5:Y11" si="5">SUM(V5:X5)</f>
        <v>3</v>
      </c>
      <c r="Z5" s="44">
        <f>W5/Y5</f>
        <v>0</v>
      </c>
      <c r="AA5" s="44">
        <f>X5/Y5</f>
        <v>0</v>
      </c>
      <c r="AB5" s="19">
        <f t="shared" ref="AB5:AB11" si="6">H5+I5+P5+Q5</f>
        <v>0</v>
      </c>
      <c r="AC5" s="19">
        <f t="shared" ref="AC5:AC11" si="7">SUM(B5:I5)</f>
        <v>2</v>
      </c>
      <c r="AD5" s="30">
        <f t="shared" ref="AD5:AD11" si="8">SUM(J5:Q5)</f>
        <v>1</v>
      </c>
      <c r="AE5" s="42">
        <f>SUM(B5:Q5)</f>
        <v>3</v>
      </c>
    </row>
    <row r="6" spans="1:32" ht="16.2" thickBot="1">
      <c r="A6" s="14">
        <v>0.30208333333333331</v>
      </c>
      <c r="B6" s="15">
        <v>2</v>
      </c>
      <c r="C6" s="16"/>
      <c r="D6" s="17"/>
      <c r="E6" s="18"/>
      <c r="F6" s="17">
        <v>1</v>
      </c>
      <c r="G6" s="18"/>
      <c r="H6" s="15"/>
      <c r="I6" s="16"/>
      <c r="J6" s="15">
        <v>1</v>
      </c>
      <c r="K6" s="16"/>
      <c r="L6" s="17"/>
      <c r="M6" s="18"/>
      <c r="N6" s="17"/>
      <c r="O6" s="18"/>
      <c r="P6" s="15"/>
      <c r="Q6" s="16"/>
      <c r="S6" s="29">
        <f t="shared" si="0"/>
        <v>4</v>
      </c>
      <c r="T6" s="19">
        <f t="shared" si="0"/>
        <v>0</v>
      </c>
      <c r="U6" s="25">
        <f t="shared" si="1"/>
        <v>0</v>
      </c>
      <c r="V6" s="19">
        <f t="shared" si="2"/>
        <v>3</v>
      </c>
      <c r="W6" s="19">
        <f t="shared" si="3"/>
        <v>0</v>
      </c>
      <c r="X6" s="19">
        <f t="shared" si="4"/>
        <v>1</v>
      </c>
      <c r="Y6" s="19">
        <f t="shared" si="5"/>
        <v>4</v>
      </c>
      <c r="Z6" s="44">
        <f t="shared" ref="Z6:Z13" si="9">W6/Y6</f>
        <v>0</v>
      </c>
      <c r="AA6" s="44">
        <f t="shared" ref="AA6:AA13" si="10">X6/Y6</f>
        <v>0.25</v>
      </c>
      <c r="AB6" s="19">
        <f t="shared" si="6"/>
        <v>0</v>
      </c>
      <c r="AC6" s="19">
        <f t="shared" si="7"/>
        <v>3</v>
      </c>
      <c r="AD6" s="30">
        <f t="shared" si="8"/>
        <v>1</v>
      </c>
      <c r="AE6" s="42">
        <f t="shared" ref="AE6:AE13" si="11">SUM(B6:Q6)</f>
        <v>4</v>
      </c>
    </row>
    <row r="7" spans="1:32" ht="16.2" thickBot="1">
      <c r="A7" s="14">
        <v>0.3125</v>
      </c>
      <c r="B7" s="15">
        <v>1</v>
      </c>
      <c r="C7" s="16"/>
      <c r="D7" s="17"/>
      <c r="E7" s="18"/>
      <c r="F7" s="17"/>
      <c r="G7" s="18"/>
      <c r="H7" s="15"/>
      <c r="I7" s="16"/>
      <c r="J7" s="15"/>
      <c r="K7" s="16"/>
      <c r="L7" s="17"/>
      <c r="M7" s="18"/>
      <c r="N7" s="17"/>
      <c r="O7" s="18"/>
      <c r="P7" s="15"/>
      <c r="Q7" s="16"/>
      <c r="S7" s="29">
        <f t="shared" si="0"/>
        <v>1</v>
      </c>
      <c r="T7" s="19">
        <f t="shared" si="0"/>
        <v>0</v>
      </c>
      <c r="U7" s="25">
        <f t="shared" si="1"/>
        <v>0</v>
      </c>
      <c r="V7" s="19">
        <f t="shared" si="2"/>
        <v>1</v>
      </c>
      <c r="W7" s="19">
        <f t="shared" si="3"/>
        <v>0</v>
      </c>
      <c r="X7" s="19">
        <f t="shared" si="4"/>
        <v>0</v>
      </c>
      <c r="Y7" s="19">
        <f t="shared" si="5"/>
        <v>1</v>
      </c>
      <c r="Z7" s="44">
        <f t="shared" si="9"/>
        <v>0</v>
      </c>
      <c r="AA7" s="44">
        <f t="shared" si="10"/>
        <v>0</v>
      </c>
      <c r="AB7" s="19">
        <f t="shared" si="6"/>
        <v>0</v>
      </c>
      <c r="AC7" s="19">
        <f t="shared" si="7"/>
        <v>1</v>
      </c>
      <c r="AD7" s="30">
        <f t="shared" si="8"/>
        <v>0</v>
      </c>
      <c r="AE7" s="42">
        <f t="shared" si="11"/>
        <v>1</v>
      </c>
    </row>
    <row r="8" spans="1:32" ht="16.2" thickBot="1">
      <c r="A8" s="14">
        <v>0.32291666666666669</v>
      </c>
      <c r="B8" s="15"/>
      <c r="C8" s="16"/>
      <c r="D8" s="17">
        <v>1</v>
      </c>
      <c r="E8" s="18">
        <v>1</v>
      </c>
      <c r="F8" s="17"/>
      <c r="G8" s="18"/>
      <c r="H8" s="15"/>
      <c r="I8" s="16">
        <v>1</v>
      </c>
      <c r="J8" s="15"/>
      <c r="K8" s="16"/>
      <c r="L8" s="17"/>
      <c r="M8" s="18"/>
      <c r="N8" s="17"/>
      <c r="O8" s="18"/>
      <c r="P8" s="15"/>
      <c r="Q8" s="16"/>
      <c r="S8" s="29">
        <f t="shared" si="0"/>
        <v>1</v>
      </c>
      <c r="T8" s="19">
        <f t="shared" si="0"/>
        <v>2</v>
      </c>
      <c r="U8" s="25">
        <f t="shared" si="1"/>
        <v>0.66666666666666663</v>
      </c>
      <c r="V8" s="19">
        <f t="shared" si="2"/>
        <v>0</v>
      </c>
      <c r="W8" s="19">
        <f t="shared" si="3"/>
        <v>2</v>
      </c>
      <c r="X8" s="19">
        <f t="shared" si="4"/>
        <v>0</v>
      </c>
      <c r="Y8" s="19">
        <f t="shared" si="5"/>
        <v>2</v>
      </c>
      <c r="Z8" s="44">
        <f t="shared" si="9"/>
        <v>1</v>
      </c>
      <c r="AA8" s="44">
        <f t="shared" si="10"/>
        <v>0</v>
      </c>
      <c r="AB8" s="19">
        <f t="shared" si="6"/>
        <v>1</v>
      </c>
      <c r="AC8" s="19">
        <f t="shared" si="7"/>
        <v>3</v>
      </c>
      <c r="AD8" s="30">
        <f t="shared" si="8"/>
        <v>0</v>
      </c>
      <c r="AE8" s="42">
        <f t="shared" si="11"/>
        <v>3</v>
      </c>
    </row>
    <row r="9" spans="1:32" ht="16.2" thickBot="1">
      <c r="A9" s="13">
        <v>0.33333333333333331</v>
      </c>
      <c r="B9" s="15"/>
      <c r="C9" s="16"/>
      <c r="D9" s="17">
        <v>1</v>
      </c>
      <c r="E9" s="18"/>
      <c r="F9" s="17"/>
      <c r="G9" s="18"/>
      <c r="H9" s="15"/>
      <c r="I9" s="16"/>
      <c r="J9" s="15">
        <v>2</v>
      </c>
      <c r="K9" s="16"/>
      <c r="L9" s="17"/>
      <c r="M9" s="18"/>
      <c r="N9" s="17"/>
      <c r="O9" s="18"/>
      <c r="P9" s="15"/>
      <c r="Q9" s="16"/>
      <c r="S9" s="29">
        <f t="shared" si="0"/>
        <v>3</v>
      </c>
      <c r="T9" s="19">
        <f t="shared" si="0"/>
        <v>0</v>
      </c>
      <c r="U9" s="25">
        <f t="shared" si="1"/>
        <v>0</v>
      </c>
      <c r="V9" s="19">
        <f t="shared" si="2"/>
        <v>2</v>
      </c>
      <c r="W9" s="19">
        <f t="shared" si="3"/>
        <v>1</v>
      </c>
      <c r="X9" s="19">
        <f t="shared" si="4"/>
        <v>0</v>
      </c>
      <c r="Y9" s="19">
        <f t="shared" si="5"/>
        <v>3</v>
      </c>
      <c r="Z9" s="44">
        <f t="shared" si="9"/>
        <v>0.33333333333333331</v>
      </c>
      <c r="AA9" s="44">
        <f t="shared" si="10"/>
        <v>0</v>
      </c>
      <c r="AB9" s="19">
        <f t="shared" si="6"/>
        <v>0</v>
      </c>
      <c r="AC9" s="19">
        <f t="shared" si="7"/>
        <v>1</v>
      </c>
      <c r="AD9" s="30">
        <f t="shared" si="8"/>
        <v>2</v>
      </c>
      <c r="AE9" s="42">
        <f t="shared" si="11"/>
        <v>3</v>
      </c>
    </row>
    <row r="10" spans="1:32" ht="16.2" thickBot="1">
      <c r="A10" s="14">
        <v>0.34375</v>
      </c>
      <c r="B10" s="15">
        <v>2</v>
      </c>
      <c r="C10" s="16"/>
      <c r="D10" s="17"/>
      <c r="E10" s="18"/>
      <c r="F10" s="17"/>
      <c r="G10" s="18"/>
      <c r="H10" s="10"/>
      <c r="I10" s="16">
        <v>1</v>
      </c>
      <c r="J10" s="15"/>
      <c r="K10" s="16"/>
      <c r="L10" s="17"/>
      <c r="M10" s="18"/>
      <c r="N10" s="17"/>
      <c r="O10" s="18"/>
      <c r="P10" s="15"/>
      <c r="Q10" s="16">
        <v>3</v>
      </c>
      <c r="S10" s="29">
        <f t="shared" si="0"/>
        <v>2</v>
      </c>
      <c r="T10" s="19">
        <f t="shared" si="0"/>
        <v>4</v>
      </c>
      <c r="U10" s="25">
        <f t="shared" si="1"/>
        <v>0.66666666666666663</v>
      </c>
      <c r="V10" s="19">
        <f t="shared" si="2"/>
        <v>2</v>
      </c>
      <c r="W10" s="19">
        <f t="shared" si="3"/>
        <v>0</v>
      </c>
      <c r="X10" s="19">
        <f t="shared" si="4"/>
        <v>0</v>
      </c>
      <c r="Y10" s="19">
        <f t="shared" si="5"/>
        <v>2</v>
      </c>
      <c r="Z10" s="44">
        <f t="shared" si="9"/>
        <v>0</v>
      </c>
      <c r="AA10" s="44">
        <f t="shared" si="10"/>
        <v>0</v>
      </c>
      <c r="AB10" s="19">
        <f t="shared" si="6"/>
        <v>4</v>
      </c>
      <c r="AC10" s="19">
        <f t="shared" si="7"/>
        <v>3</v>
      </c>
      <c r="AD10" s="30">
        <f t="shared" si="8"/>
        <v>3</v>
      </c>
      <c r="AE10" s="42">
        <f t="shared" si="11"/>
        <v>6</v>
      </c>
    </row>
    <row r="11" spans="1:32" ht="16.2" thickBot="1">
      <c r="A11" s="14">
        <v>0.35416666666666669</v>
      </c>
      <c r="B11" s="15">
        <v>2</v>
      </c>
      <c r="C11" s="16"/>
      <c r="D11" s="17"/>
      <c r="E11" s="18"/>
      <c r="F11" s="17"/>
      <c r="G11" s="18"/>
      <c r="H11" s="15"/>
      <c r="I11" s="16"/>
      <c r="J11" s="15">
        <v>1</v>
      </c>
      <c r="K11" s="16"/>
      <c r="L11" s="17"/>
      <c r="M11" s="18"/>
      <c r="N11" s="17"/>
      <c r="O11" s="18"/>
      <c r="P11" s="15"/>
      <c r="Q11" s="16"/>
      <c r="S11" s="29">
        <f t="shared" si="0"/>
        <v>3</v>
      </c>
      <c r="T11" s="19">
        <f t="shared" si="0"/>
        <v>0</v>
      </c>
      <c r="U11" s="25">
        <f t="shared" si="1"/>
        <v>0</v>
      </c>
      <c r="V11" s="19">
        <f t="shared" si="2"/>
        <v>3</v>
      </c>
      <c r="W11" s="19">
        <f t="shared" si="3"/>
        <v>0</v>
      </c>
      <c r="X11" s="19">
        <f t="shared" si="4"/>
        <v>0</v>
      </c>
      <c r="Y11" s="19">
        <f t="shared" si="5"/>
        <v>3</v>
      </c>
      <c r="Z11" s="44">
        <f t="shared" si="9"/>
        <v>0</v>
      </c>
      <c r="AA11" s="44">
        <f t="shared" si="10"/>
        <v>0</v>
      </c>
      <c r="AB11" s="19">
        <f t="shared" si="6"/>
        <v>0</v>
      </c>
      <c r="AC11" s="19">
        <f t="shared" si="7"/>
        <v>2</v>
      </c>
      <c r="AD11" s="30">
        <f t="shared" si="8"/>
        <v>1</v>
      </c>
      <c r="AE11" s="42">
        <f t="shared" si="11"/>
        <v>3</v>
      </c>
    </row>
    <row r="12" spans="1:32" ht="16.2" thickBot="1">
      <c r="A12" s="14">
        <v>0.36458333333333331</v>
      </c>
      <c r="B12" s="20"/>
      <c r="C12" s="21"/>
      <c r="D12" s="22">
        <v>2</v>
      </c>
      <c r="E12" s="23">
        <v>1</v>
      </c>
      <c r="F12" s="22"/>
      <c r="G12" s="23"/>
      <c r="H12" s="20"/>
      <c r="I12" s="21">
        <v>1</v>
      </c>
      <c r="J12" s="20"/>
      <c r="K12" s="21"/>
      <c r="L12" s="22"/>
      <c r="M12" s="23"/>
      <c r="N12" s="22"/>
      <c r="O12" s="23"/>
      <c r="P12" s="20"/>
      <c r="Q12" s="21">
        <v>1</v>
      </c>
      <c r="S12" s="45">
        <f t="shared" ref="S12:T14" si="12">B12+D12+F12+H12+J12+L12+N12+P12</f>
        <v>2</v>
      </c>
      <c r="T12" s="46">
        <f t="shared" si="12"/>
        <v>3</v>
      </c>
      <c r="U12" s="47">
        <f>T12/(T12+S12)</f>
        <v>0.6</v>
      </c>
      <c r="V12" s="46">
        <f>B12+C12+J12+K12</f>
        <v>0</v>
      </c>
      <c r="W12" s="46">
        <f>D12+E12+L12+M12</f>
        <v>3</v>
      </c>
      <c r="X12" s="46">
        <f>F12+G12+N12+O12</f>
        <v>0</v>
      </c>
      <c r="Y12" s="46">
        <f>SUM(V12:X12)</f>
        <v>3</v>
      </c>
      <c r="Z12" s="48">
        <f t="shared" si="9"/>
        <v>1</v>
      </c>
      <c r="AA12" s="48">
        <f t="shared" si="10"/>
        <v>0</v>
      </c>
      <c r="AB12" s="46">
        <f>H12+I12+P12+Q12</f>
        <v>2</v>
      </c>
      <c r="AC12" s="46">
        <f>SUM(B12:I12)</f>
        <v>4</v>
      </c>
      <c r="AD12" s="49">
        <f>SUM(J12:Q12)</f>
        <v>1</v>
      </c>
      <c r="AE12" s="50">
        <f t="shared" si="11"/>
        <v>5</v>
      </c>
    </row>
    <row r="13" spans="1:32" ht="15" thickBot="1">
      <c r="A13" s="24" t="s">
        <v>13</v>
      </c>
      <c r="B13" s="35">
        <f>SUM(B5:B12)</f>
        <v>9</v>
      </c>
      <c r="C13" s="35">
        <f t="shared" ref="C13:Q13" si="13">SUM(C5:C12)</f>
        <v>0</v>
      </c>
      <c r="D13" s="35">
        <f t="shared" si="13"/>
        <v>4</v>
      </c>
      <c r="E13" s="35">
        <f t="shared" si="13"/>
        <v>2</v>
      </c>
      <c r="F13" s="35">
        <f t="shared" si="13"/>
        <v>1</v>
      </c>
      <c r="G13" s="35">
        <f t="shared" si="13"/>
        <v>0</v>
      </c>
      <c r="H13" s="35">
        <f t="shared" si="13"/>
        <v>0</v>
      </c>
      <c r="I13" s="35">
        <f t="shared" si="13"/>
        <v>3</v>
      </c>
      <c r="J13" s="35">
        <f t="shared" si="13"/>
        <v>5</v>
      </c>
      <c r="K13" s="35">
        <f t="shared" si="13"/>
        <v>0</v>
      </c>
      <c r="L13" s="35">
        <f t="shared" si="13"/>
        <v>0</v>
      </c>
      <c r="M13" s="35">
        <f t="shared" si="13"/>
        <v>0</v>
      </c>
      <c r="N13" s="35">
        <f t="shared" si="13"/>
        <v>0</v>
      </c>
      <c r="O13" s="35">
        <f t="shared" si="13"/>
        <v>0</v>
      </c>
      <c r="P13" s="35">
        <f t="shared" si="13"/>
        <v>0</v>
      </c>
      <c r="Q13" s="35">
        <f t="shared" si="13"/>
        <v>4</v>
      </c>
      <c r="S13" s="51">
        <f t="shared" si="12"/>
        <v>19</v>
      </c>
      <c r="T13" s="35">
        <f t="shared" si="12"/>
        <v>9</v>
      </c>
      <c r="U13" s="52">
        <f>T13/(T13+S13)</f>
        <v>0.32142857142857145</v>
      </c>
      <c r="V13" s="35">
        <f>B13+C13+J13+K13</f>
        <v>14</v>
      </c>
      <c r="W13" s="35">
        <f>D13+E13+L13+M13</f>
        <v>6</v>
      </c>
      <c r="X13" s="35">
        <f>F13+G13+N13+O13</f>
        <v>1</v>
      </c>
      <c r="Y13" s="35">
        <f>SUM(V13:X13)</f>
        <v>21</v>
      </c>
      <c r="Z13" s="53">
        <f t="shared" si="9"/>
        <v>0.2857142857142857</v>
      </c>
      <c r="AA13" s="53">
        <f t="shared" si="10"/>
        <v>4.7619047619047616E-2</v>
      </c>
      <c r="AB13" s="35">
        <f>H13+I13+P13+Q13</f>
        <v>7</v>
      </c>
      <c r="AC13" s="35">
        <f>SUM(B13:I13)</f>
        <v>19</v>
      </c>
      <c r="AD13" s="36">
        <f>SUM(J13:Q13)</f>
        <v>9</v>
      </c>
      <c r="AE13" s="54">
        <f t="shared" si="11"/>
        <v>28</v>
      </c>
    </row>
    <row r="14" spans="1:32" ht="15" thickBot="1">
      <c r="A14" s="24" t="s">
        <v>32</v>
      </c>
      <c r="B14" s="24">
        <f>SUM(B7:B10)</f>
        <v>3</v>
      </c>
      <c r="C14" s="24">
        <f t="shared" ref="C14:Q14" si="14">SUM(C7:C10)</f>
        <v>0</v>
      </c>
      <c r="D14" s="24">
        <f t="shared" si="14"/>
        <v>2</v>
      </c>
      <c r="E14" s="24">
        <f t="shared" si="14"/>
        <v>1</v>
      </c>
      <c r="F14" s="24">
        <f t="shared" si="14"/>
        <v>0</v>
      </c>
      <c r="G14" s="24">
        <f t="shared" si="14"/>
        <v>0</v>
      </c>
      <c r="H14" s="24">
        <f t="shared" si="14"/>
        <v>0</v>
      </c>
      <c r="I14" s="24">
        <f t="shared" si="14"/>
        <v>2</v>
      </c>
      <c r="J14" s="24">
        <f t="shared" si="14"/>
        <v>2</v>
      </c>
      <c r="K14" s="24">
        <f t="shared" si="14"/>
        <v>0</v>
      </c>
      <c r="L14" s="24">
        <f t="shared" si="14"/>
        <v>0</v>
      </c>
      <c r="M14" s="24">
        <f t="shared" si="14"/>
        <v>0</v>
      </c>
      <c r="N14" s="24">
        <f t="shared" si="14"/>
        <v>0</v>
      </c>
      <c r="O14" s="24">
        <f t="shared" si="14"/>
        <v>0</v>
      </c>
      <c r="P14" s="24">
        <f t="shared" si="14"/>
        <v>0</v>
      </c>
      <c r="Q14" s="24">
        <f t="shared" si="14"/>
        <v>3</v>
      </c>
      <c r="S14" s="51">
        <f t="shared" si="12"/>
        <v>7</v>
      </c>
      <c r="T14" s="35">
        <f t="shared" si="12"/>
        <v>6</v>
      </c>
      <c r="U14" s="52">
        <f>T14/(T14+S14)</f>
        <v>0.46153846153846156</v>
      </c>
      <c r="V14" s="35">
        <f>B14+C14+J14+K14</f>
        <v>5</v>
      </c>
      <c r="W14" s="35">
        <f>D14+E14+L14+M14</f>
        <v>3</v>
      </c>
      <c r="X14" s="35">
        <f>F14+G14+N14+O14</f>
        <v>0</v>
      </c>
      <c r="Y14" s="35">
        <f>SUM(V14:X14)</f>
        <v>8</v>
      </c>
      <c r="Z14" s="53">
        <f t="shared" ref="Z14" si="15">W14/Y14</f>
        <v>0.375</v>
      </c>
      <c r="AA14" s="53">
        <f t="shared" ref="AA14" si="16">X14/Y14</f>
        <v>0</v>
      </c>
      <c r="AB14" s="35">
        <f>H14+I14+P14+Q14</f>
        <v>5</v>
      </c>
      <c r="AC14" s="35">
        <f>SUM(B14:I14)</f>
        <v>8</v>
      </c>
      <c r="AD14" s="36">
        <f>SUM(J14:Q14)</f>
        <v>5</v>
      </c>
      <c r="AE14" s="54">
        <f t="shared" ref="AE14" si="17">SUM(B14:Q14)</f>
        <v>13</v>
      </c>
    </row>
    <row r="16" spans="1:32">
      <c r="A16" t="s">
        <v>30</v>
      </c>
      <c r="B16">
        <f>SUM(B5:B8)</f>
        <v>5</v>
      </c>
      <c r="C16">
        <f t="shared" ref="C16:Q16" si="18">SUM(C5:C8)</f>
        <v>0</v>
      </c>
      <c r="D16">
        <f t="shared" si="18"/>
        <v>1</v>
      </c>
      <c r="E16">
        <f t="shared" si="18"/>
        <v>1</v>
      </c>
      <c r="F16">
        <f t="shared" si="18"/>
        <v>1</v>
      </c>
      <c r="G16">
        <f t="shared" si="18"/>
        <v>0</v>
      </c>
      <c r="H16">
        <f t="shared" si="18"/>
        <v>0</v>
      </c>
      <c r="I16">
        <f t="shared" si="18"/>
        <v>1</v>
      </c>
      <c r="J16">
        <f t="shared" si="18"/>
        <v>2</v>
      </c>
      <c r="K16">
        <f t="shared" si="18"/>
        <v>0</v>
      </c>
      <c r="L16">
        <f t="shared" si="18"/>
        <v>0</v>
      </c>
      <c r="M16">
        <f t="shared" si="18"/>
        <v>0</v>
      </c>
      <c r="N16">
        <f t="shared" si="18"/>
        <v>0</v>
      </c>
      <c r="O16">
        <f t="shared" si="18"/>
        <v>0</v>
      </c>
      <c r="P16">
        <f t="shared" si="18"/>
        <v>0</v>
      </c>
      <c r="Q16">
        <f t="shared" si="18"/>
        <v>0</v>
      </c>
    </row>
    <row r="17" spans="1:17">
      <c r="A17" t="s">
        <v>31</v>
      </c>
      <c r="B17">
        <f>SUM(B9:B12)</f>
        <v>4</v>
      </c>
      <c r="C17">
        <f t="shared" ref="C17:Q17" si="19">SUM(C9:C12)</f>
        <v>0</v>
      </c>
      <c r="D17">
        <f t="shared" si="19"/>
        <v>3</v>
      </c>
      <c r="E17">
        <f t="shared" si="19"/>
        <v>1</v>
      </c>
      <c r="F17">
        <f t="shared" si="19"/>
        <v>0</v>
      </c>
      <c r="G17">
        <f t="shared" si="19"/>
        <v>0</v>
      </c>
      <c r="H17">
        <f t="shared" si="19"/>
        <v>0</v>
      </c>
      <c r="I17">
        <f t="shared" si="19"/>
        <v>2</v>
      </c>
      <c r="J17">
        <f t="shared" si="19"/>
        <v>3</v>
      </c>
      <c r="K17">
        <f t="shared" si="19"/>
        <v>0</v>
      </c>
      <c r="L17">
        <f t="shared" si="19"/>
        <v>0</v>
      </c>
      <c r="M17">
        <f t="shared" si="19"/>
        <v>0</v>
      </c>
      <c r="N17">
        <f t="shared" si="19"/>
        <v>0</v>
      </c>
      <c r="O17">
        <f t="shared" si="19"/>
        <v>0</v>
      </c>
      <c r="P17">
        <f t="shared" si="19"/>
        <v>0</v>
      </c>
      <c r="Q17">
        <f t="shared" si="19"/>
        <v>4</v>
      </c>
    </row>
  </sheetData>
  <mergeCells count="11"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39F9-0517-4C85-A4AD-AD657A623AE5}">
  <dimension ref="A1:AW17"/>
  <sheetViews>
    <sheetView topLeftCell="AB1" workbookViewId="0">
      <selection activeCell="AD22" sqref="AD22"/>
    </sheetView>
  </sheetViews>
  <sheetFormatPr defaultRowHeight="14.4"/>
  <cols>
    <col min="1" max="1" width="10.33203125" customWidth="1"/>
    <col min="2" max="17" width="5" customWidth="1"/>
  </cols>
  <sheetData>
    <row r="1" spans="1:49" ht="30.6" customHeight="1" thickBot="1">
      <c r="B1" s="11" t="s">
        <v>11</v>
      </c>
      <c r="C1" s="12"/>
      <c r="D1" t="s">
        <v>34</v>
      </c>
    </row>
    <row r="2" spans="1:49" s="10" customFormat="1" ht="16.2" customHeight="1" thickBot="1">
      <c r="A2" s="9"/>
      <c r="B2" s="55" t="s">
        <v>5</v>
      </c>
      <c r="C2" s="57"/>
      <c r="D2" s="57"/>
      <c r="E2" s="57"/>
      <c r="F2" s="57"/>
      <c r="G2" s="57"/>
      <c r="H2" s="57"/>
      <c r="I2" s="58"/>
      <c r="J2" s="55" t="s">
        <v>6</v>
      </c>
      <c r="K2" s="57"/>
      <c r="L2" s="57"/>
      <c r="M2" s="57"/>
      <c r="N2" s="57"/>
      <c r="O2" s="57"/>
      <c r="P2" s="57"/>
      <c r="Q2" s="58"/>
      <c r="R2"/>
      <c r="S2" s="59" t="s">
        <v>14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G2" s="61">
        <v>2019</v>
      </c>
      <c r="AH2" s="62"/>
      <c r="AI2" s="62"/>
      <c r="AJ2" s="62"/>
      <c r="AK2" s="62"/>
      <c r="AL2" s="62"/>
      <c r="AM2" s="62"/>
      <c r="AN2" s="63"/>
      <c r="AP2" s="61" t="s">
        <v>44</v>
      </c>
      <c r="AQ2" s="62"/>
      <c r="AR2" s="62"/>
      <c r="AS2" s="62"/>
      <c r="AT2" s="62"/>
      <c r="AU2" s="62"/>
      <c r="AV2" s="62"/>
      <c r="AW2" s="63"/>
    </row>
    <row r="3" spans="1:49" s="10" customFormat="1" ht="68.400000000000006" customHeight="1">
      <c r="A3" s="9"/>
      <c r="B3" s="55" t="s">
        <v>9</v>
      </c>
      <c r="C3" s="58"/>
      <c r="D3" s="60" t="s">
        <v>7</v>
      </c>
      <c r="E3" s="56"/>
      <c r="F3" s="60" t="s">
        <v>8</v>
      </c>
      <c r="G3" s="56"/>
      <c r="H3" s="55" t="s">
        <v>0</v>
      </c>
      <c r="I3" s="56"/>
      <c r="J3" s="55" t="s">
        <v>4</v>
      </c>
      <c r="K3" s="58"/>
      <c r="L3" s="60" t="s">
        <v>7</v>
      </c>
      <c r="M3" s="56"/>
      <c r="N3" s="60" t="s">
        <v>10</v>
      </c>
      <c r="O3" s="56"/>
      <c r="P3" s="55" t="s">
        <v>0</v>
      </c>
      <c r="Q3" s="56"/>
      <c r="R3"/>
      <c r="S3" s="26" t="s">
        <v>21</v>
      </c>
      <c r="T3" s="27" t="s">
        <v>15</v>
      </c>
      <c r="U3" s="27" t="s">
        <v>16</v>
      </c>
      <c r="V3" s="27" t="s">
        <v>17</v>
      </c>
      <c r="W3" s="27" t="s">
        <v>7</v>
      </c>
      <c r="X3" s="27" t="s">
        <v>18</v>
      </c>
      <c r="Y3" s="27" t="s">
        <v>26</v>
      </c>
      <c r="Z3" s="27" t="s">
        <v>28</v>
      </c>
      <c r="AA3" s="27" t="s">
        <v>29</v>
      </c>
      <c r="AB3" s="27" t="s">
        <v>20</v>
      </c>
      <c r="AC3" s="27" t="s">
        <v>22</v>
      </c>
      <c r="AD3" s="28" t="s">
        <v>23</v>
      </c>
      <c r="AE3" s="41" t="s">
        <v>27</v>
      </c>
      <c r="AG3" s="64" t="s">
        <v>38</v>
      </c>
      <c r="AH3" s="65" t="s">
        <v>39</v>
      </c>
      <c r="AI3" s="65" t="s">
        <v>21</v>
      </c>
      <c r="AJ3" s="65" t="s">
        <v>15</v>
      </c>
      <c r="AK3" s="65" t="s">
        <v>40</v>
      </c>
      <c r="AL3" s="65" t="s">
        <v>41</v>
      </c>
      <c r="AM3" s="65" t="s">
        <v>42</v>
      </c>
      <c r="AN3" s="66" t="s">
        <v>43</v>
      </c>
      <c r="AP3" s="64" t="s">
        <v>38</v>
      </c>
      <c r="AQ3" s="65" t="s">
        <v>39</v>
      </c>
      <c r="AR3" s="65" t="s">
        <v>21</v>
      </c>
      <c r="AS3" s="65" t="s">
        <v>15</v>
      </c>
      <c r="AT3" s="65" t="s">
        <v>40</v>
      </c>
      <c r="AU3" s="65" t="s">
        <v>41</v>
      </c>
      <c r="AV3" s="65" t="s">
        <v>42</v>
      </c>
      <c r="AW3" s="66" t="s">
        <v>43</v>
      </c>
    </row>
    <row r="4" spans="1:49" ht="21.6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2"/>
      <c r="AG4" s="64"/>
      <c r="AH4" s="65"/>
      <c r="AI4" s="65"/>
      <c r="AJ4" s="65"/>
      <c r="AK4" s="65"/>
      <c r="AL4" s="65"/>
      <c r="AM4" s="65"/>
      <c r="AN4" s="66"/>
      <c r="AP4" s="64"/>
      <c r="AQ4" s="65"/>
      <c r="AR4" s="65"/>
      <c r="AS4" s="65"/>
      <c r="AT4" s="65"/>
      <c r="AU4" s="65"/>
      <c r="AV4" s="65"/>
      <c r="AW4" s="66"/>
    </row>
    <row r="5" spans="1:49" ht="21" customHeight="1" thickBot="1">
      <c r="A5" s="13">
        <v>0.29166666666666669</v>
      </c>
      <c r="B5" s="15">
        <f>MategninAnneaux!B5+MategninDouane!B5</f>
        <v>6</v>
      </c>
      <c r="C5" s="15">
        <f>MategninAnneaux!C5+MategninDouane!C5</f>
        <v>1</v>
      </c>
      <c r="D5" s="15">
        <f>MategninAnneaux!D5+MategninDouane!D5</f>
        <v>3</v>
      </c>
      <c r="E5" s="15">
        <f>MategninAnneaux!E5+MategninDouane!E5</f>
        <v>3</v>
      </c>
      <c r="F5" s="15">
        <f>MategninAnneaux!F5+MategninDouane!F5</f>
        <v>0</v>
      </c>
      <c r="G5" s="15">
        <f>MategninAnneaux!G5+MategninDouane!G5</f>
        <v>1</v>
      </c>
      <c r="H5" s="15">
        <f>MategninAnneaux!H5+MategninDouane!H5</f>
        <v>4</v>
      </c>
      <c r="I5" s="15">
        <f>MategninAnneaux!I5+MategninDouane!I5</f>
        <v>1</v>
      </c>
      <c r="J5" s="15">
        <f>MategninAnneaux!J5+MategninDouane!J5</f>
        <v>1</v>
      </c>
      <c r="K5" s="15">
        <f>MategninAnneaux!K5+MategninDouane!K5</f>
        <v>0</v>
      </c>
      <c r="L5" s="15">
        <f>MategninAnneaux!L5+MategninDouane!L5</f>
        <v>1</v>
      </c>
      <c r="M5" s="15">
        <f>MategninAnneaux!M5+MategninDouane!M5</f>
        <v>1</v>
      </c>
      <c r="N5" s="15">
        <f>MategninAnneaux!N5+MategninDouane!N5</f>
        <v>0</v>
      </c>
      <c r="O5" s="15">
        <f>MategninAnneaux!O5+MategninDouane!O5</f>
        <v>0</v>
      </c>
      <c r="P5" s="15">
        <f>MategninAnneaux!P5+MategninDouane!P5</f>
        <v>0</v>
      </c>
      <c r="Q5" s="15">
        <f>MategninAnneaux!Q5+MategninDouane!Q5</f>
        <v>0</v>
      </c>
      <c r="S5" s="29">
        <f t="shared" ref="S5:T11" si="0">B5+D5+F5+H5+J5+L5+N5+P5</f>
        <v>15</v>
      </c>
      <c r="T5" s="19">
        <f t="shared" si="0"/>
        <v>7</v>
      </c>
      <c r="U5" s="25">
        <f t="shared" ref="U5:U11" si="1">T5/(T5+S5)</f>
        <v>0.31818181818181818</v>
      </c>
      <c r="V5" s="19">
        <f t="shared" ref="V5:V11" si="2">B5+C5+J5+K5</f>
        <v>8</v>
      </c>
      <c r="W5" s="19">
        <f t="shared" ref="W5:W11" si="3">D5+E5+L5+M5</f>
        <v>8</v>
      </c>
      <c r="X5" s="19">
        <f t="shared" ref="X5:X11" si="4">F5+G5+N5+O5</f>
        <v>1</v>
      </c>
      <c r="Y5" s="19">
        <f t="shared" ref="Y5:Y11" si="5">SUM(V5:X5)</f>
        <v>17</v>
      </c>
      <c r="Z5" s="44">
        <f>W5/Y5</f>
        <v>0.47058823529411764</v>
      </c>
      <c r="AA5" s="44">
        <f>X5/Y5</f>
        <v>5.8823529411764705E-2</v>
      </c>
      <c r="AB5" s="19">
        <f t="shared" ref="AB5:AB11" si="6">H5+I5+P5+Q5</f>
        <v>5</v>
      </c>
      <c r="AC5" s="19">
        <f t="shared" ref="AC5:AC11" si="7">SUM(B5:I5)</f>
        <v>19</v>
      </c>
      <c r="AD5" s="30">
        <f t="shared" ref="AD5:AD11" si="8">SUM(J5:Q5)</f>
        <v>3</v>
      </c>
      <c r="AE5" s="42">
        <f>SUM(B5:Q5)</f>
        <v>22</v>
      </c>
      <c r="AG5" s="64"/>
      <c r="AH5" s="65"/>
      <c r="AI5" s="65"/>
      <c r="AJ5" s="65"/>
      <c r="AK5" s="65"/>
      <c r="AL5" s="65"/>
      <c r="AM5" s="65"/>
      <c r="AN5" s="66"/>
      <c r="AP5" s="64"/>
      <c r="AQ5" s="65"/>
      <c r="AR5" s="65"/>
      <c r="AS5" s="65"/>
      <c r="AT5" s="65"/>
      <c r="AU5" s="65"/>
      <c r="AV5" s="65"/>
      <c r="AW5" s="66"/>
    </row>
    <row r="6" spans="1:49" ht="21" customHeight="1" thickBot="1">
      <c r="A6" s="14">
        <v>0.30208333333333331</v>
      </c>
      <c r="B6" s="15">
        <f>MategninAnneaux!B6+MategninDouane!B6</f>
        <v>13</v>
      </c>
      <c r="C6" s="15">
        <f>MategninAnneaux!C6+MategninDouane!C6</f>
        <v>8</v>
      </c>
      <c r="D6" s="15">
        <f>MategninAnneaux!D6+MategninDouane!D6</f>
        <v>1</v>
      </c>
      <c r="E6" s="15">
        <f>MategninAnneaux!E6+MategninDouane!E6</f>
        <v>3</v>
      </c>
      <c r="F6" s="15">
        <f>MategninAnneaux!F6+MategninDouane!F6</f>
        <v>1</v>
      </c>
      <c r="G6" s="15">
        <f>MategninAnneaux!G6+MategninDouane!G6</f>
        <v>0</v>
      </c>
      <c r="H6" s="15">
        <f>MategninAnneaux!H6+MategninDouane!H6</f>
        <v>2</v>
      </c>
      <c r="I6" s="15">
        <f>MategninAnneaux!I6+MategninDouane!I6</f>
        <v>3</v>
      </c>
      <c r="J6" s="15">
        <f>MategninAnneaux!J6+MategninDouane!J6</f>
        <v>3</v>
      </c>
      <c r="K6" s="15">
        <f>MategninAnneaux!K6+MategninDouane!K6</f>
        <v>2</v>
      </c>
      <c r="L6" s="15">
        <f>MategninAnneaux!L6+MategninDouane!L6</f>
        <v>0</v>
      </c>
      <c r="M6" s="15">
        <f>MategninAnneaux!M6+MategninDouane!M6</f>
        <v>0</v>
      </c>
      <c r="N6" s="15">
        <f>MategninAnneaux!N6+MategninDouane!N6</f>
        <v>0</v>
      </c>
      <c r="O6" s="15">
        <f>MategninAnneaux!O6+MategninDouane!O6</f>
        <v>1</v>
      </c>
      <c r="P6" s="15">
        <f>MategninAnneaux!P6+MategninDouane!P6</f>
        <v>0</v>
      </c>
      <c r="Q6" s="15">
        <f>MategninAnneaux!Q6+MategninDouane!Q6</f>
        <v>0</v>
      </c>
      <c r="S6" s="29">
        <f t="shared" si="0"/>
        <v>20</v>
      </c>
      <c r="T6" s="19">
        <f t="shared" si="0"/>
        <v>17</v>
      </c>
      <c r="U6" s="25">
        <f t="shared" si="1"/>
        <v>0.45945945945945948</v>
      </c>
      <c r="V6" s="19">
        <f t="shared" si="2"/>
        <v>26</v>
      </c>
      <c r="W6" s="19">
        <f t="shared" si="3"/>
        <v>4</v>
      </c>
      <c r="X6" s="19">
        <f t="shared" si="4"/>
        <v>2</v>
      </c>
      <c r="Y6" s="19">
        <f t="shared" si="5"/>
        <v>32</v>
      </c>
      <c r="Z6" s="44">
        <f t="shared" ref="Z6:Z14" si="9">W6/Y6</f>
        <v>0.125</v>
      </c>
      <c r="AA6" s="44">
        <f t="shared" ref="AA6:AA14" si="10">X6/Y6</f>
        <v>6.25E-2</v>
      </c>
      <c r="AB6" s="19">
        <f t="shared" si="6"/>
        <v>5</v>
      </c>
      <c r="AC6" s="19">
        <f t="shared" si="7"/>
        <v>31</v>
      </c>
      <c r="AD6" s="30">
        <f t="shared" si="8"/>
        <v>6</v>
      </c>
      <c r="AE6" s="42">
        <f t="shared" ref="AE6:AE14" si="11">SUM(B6:Q6)</f>
        <v>37</v>
      </c>
      <c r="AG6" s="64"/>
      <c r="AH6" s="65"/>
      <c r="AI6" s="65"/>
      <c r="AJ6" s="65"/>
      <c r="AK6" s="65"/>
      <c r="AL6" s="65"/>
      <c r="AM6" s="65"/>
      <c r="AN6" s="66"/>
      <c r="AP6" s="64"/>
      <c r="AQ6" s="65"/>
      <c r="AR6" s="65"/>
      <c r="AS6" s="65"/>
      <c r="AT6" s="65"/>
      <c r="AU6" s="65"/>
      <c r="AV6" s="65"/>
      <c r="AW6" s="66"/>
    </row>
    <row r="7" spans="1:49" ht="21" customHeight="1" thickBot="1">
      <c r="A7" s="14">
        <v>0.3125</v>
      </c>
      <c r="B7" s="15">
        <f>MategninAnneaux!B7+MategninDouane!B7</f>
        <v>12</v>
      </c>
      <c r="C7" s="15">
        <f>MategninAnneaux!C7+MategninDouane!C7</f>
        <v>6</v>
      </c>
      <c r="D7" s="15">
        <f>MategninAnneaux!D7+MategninDouane!D7</f>
        <v>1</v>
      </c>
      <c r="E7" s="15">
        <f>MategninAnneaux!E7+MategninDouane!E7</f>
        <v>2</v>
      </c>
      <c r="F7" s="15">
        <f>MategninAnneaux!F7+MategninDouane!F7</f>
        <v>0</v>
      </c>
      <c r="G7" s="15">
        <f>MategninAnneaux!G7+MategninDouane!G7</f>
        <v>0</v>
      </c>
      <c r="H7" s="15">
        <f>MategninAnneaux!H7+MategninDouane!H7</f>
        <v>1</v>
      </c>
      <c r="I7" s="15">
        <f>MategninAnneaux!I7+MategninDouane!I7</f>
        <v>0</v>
      </c>
      <c r="J7" s="15">
        <f>MategninAnneaux!J7+MategninDouane!J7</f>
        <v>2</v>
      </c>
      <c r="K7" s="15">
        <f>MategninAnneaux!K7+MategninDouane!K7</f>
        <v>1</v>
      </c>
      <c r="L7" s="15">
        <f>MategninAnneaux!L7+MategninDouane!L7</f>
        <v>3</v>
      </c>
      <c r="M7" s="15">
        <f>MategninAnneaux!M7+MategninDouane!M7</f>
        <v>0</v>
      </c>
      <c r="N7" s="15">
        <f>MategninAnneaux!N7+MategninDouane!N7</f>
        <v>0</v>
      </c>
      <c r="O7" s="15">
        <f>MategninAnneaux!O7+MategninDouane!O7</f>
        <v>0</v>
      </c>
      <c r="P7" s="15">
        <f>MategninAnneaux!P7+MategninDouane!P7</f>
        <v>1</v>
      </c>
      <c r="Q7" s="15">
        <f>MategninAnneaux!Q7+MategninDouane!Q7</f>
        <v>0</v>
      </c>
      <c r="S7" s="29">
        <f t="shared" si="0"/>
        <v>20</v>
      </c>
      <c r="T7" s="19">
        <f t="shared" si="0"/>
        <v>9</v>
      </c>
      <c r="U7" s="25">
        <f t="shared" si="1"/>
        <v>0.31034482758620691</v>
      </c>
      <c r="V7" s="19">
        <f t="shared" si="2"/>
        <v>21</v>
      </c>
      <c r="W7" s="19">
        <f t="shared" si="3"/>
        <v>6</v>
      </c>
      <c r="X7" s="19">
        <f t="shared" si="4"/>
        <v>0</v>
      </c>
      <c r="Y7" s="19">
        <f t="shared" si="5"/>
        <v>27</v>
      </c>
      <c r="Z7" s="44">
        <f t="shared" si="9"/>
        <v>0.22222222222222221</v>
      </c>
      <c r="AA7" s="44">
        <f t="shared" si="10"/>
        <v>0</v>
      </c>
      <c r="AB7" s="19">
        <f t="shared" si="6"/>
        <v>2</v>
      </c>
      <c r="AC7" s="19">
        <f t="shared" si="7"/>
        <v>22</v>
      </c>
      <c r="AD7" s="30">
        <f t="shared" si="8"/>
        <v>7</v>
      </c>
      <c r="AE7" s="42">
        <f t="shared" si="11"/>
        <v>29</v>
      </c>
      <c r="AG7" s="64"/>
      <c r="AH7" s="65"/>
      <c r="AI7" s="65"/>
      <c r="AJ7" s="65"/>
      <c r="AK7" s="65"/>
      <c r="AL7" s="65"/>
      <c r="AM7" s="65"/>
      <c r="AN7" s="66"/>
      <c r="AP7" s="64"/>
      <c r="AQ7" s="65"/>
      <c r="AR7" s="65"/>
      <c r="AS7" s="65"/>
      <c r="AT7" s="65"/>
      <c r="AU7" s="65"/>
      <c r="AV7" s="65"/>
      <c r="AW7" s="66"/>
    </row>
    <row r="8" spans="1:49" ht="21" customHeight="1" thickBot="1">
      <c r="A8" s="14">
        <v>0.32291666666666669</v>
      </c>
      <c r="B8" s="15">
        <f>MategninAnneaux!B8+MategninDouane!B8</f>
        <v>11</v>
      </c>
      <c r="C8" s="15">
        <f>MategninAnneaux!C8+MategninDouane!C8</f>
        <v>3</v>
      </c>
      <c r="D8" s="15">
        <f>MategninAnneaux!D8+MategninDouane!D8</f>
        <v>4</v>
      </c>
      <c r="E8" s="15">
        <f>MategninAnneaux!E8+MategninDouane!E8</f>
        <v>1</v>
      </c>
      <c r="F8" s="15">
        <f>MategninAnneaux!F8+MategninDouane!F8</f>
        <v>0</v>
      </c>
      <c r="G8" s="15">
        <f>MategninAnneaux!G8+MategninDouane!G8</f>
        <v>1</v>
      </c>
      <c r="H8" s="15">
        <f>MategninAnneaux!H8+MategninDouane!H8</f>
        <v>3</v>
      </c>
      <c r="I8" s="15">
        <f>MategninAnneaux!I8+MategninDouane!I8</f>
        <v>0</v>
      </c>
      <c r="J8" s="15">
        <f>MategninAnneaux!J8+MategninDouane!J8</f>
        <v>1</v>
      </c>
      <c r="K8" s="15">
        <f>MategninAnneaux!K8+MategninDouane!K8</f>
        <v>1</v>
      </c>
      <c r="L8" s="15">
        <f>MategninAnneaux!L8+MategninDouane!L8</f>
        <v>0</v>
      </c>
      <c r="M8" s="15">
        <f>MategninAnneaux!M8+MategninDouane!M8</f>
        <v>0</v>
      </c>
      <c r="N8" s="15">
        <f>MategninAnneaux!N8+MategninDouane!N8</f>
        <v>0</v>
      </c>
      <c r="O8" s="15">
        <f>MategninAnneaux!O8+MategninDouane!O8</f>
        <v>2</v>
      </c>
      <c r="P8" s="15">
        <f>MategninAnneaux!P8+MategninDouane!P8</f>
        <v>2</v>
      </c>
      <c r="Q8" s="15">
        <f>MategninAnneaux!Q8+MategninDouane!Q8</f>
        <v>1</v>
      </c>
      <c r="S8" s="29">
        <f t="shared" si="0"/>
        <v>21</v>
      </c>
      <c r="T8" s="19">
        <f t="shared" si="0"/>
        <v>9</v>
      </c>
      <c r="U8" s="25">
        <f t="shared" si="1"/>
        <v>0.3</v>
      </c>
      <c r="V8" s="19">
        <f t="shared" si="2"/>
        <v>16</v>
      </c>
      <c r="W8" s="19">
        <f t="shared" si="3"/>
        <v>5</v>
      </c>
      <c r="X8" s="19">
        <f t="shared" si="4"/>
        <v>3</v>
      </c>
      <c r="Y8" s="19">
        <f t="shared" si="5"/>
        <v>24</v>
      </c>
      <c r="Z8" s="44">
        <f t="shared" si="9"/>
        <v>0.20833333333333334</v>
      </c>
      <c r="AA8" s="44">
        <f t="shared" si="10"/>
        <v>0.125</v>
      </c>
      <c r="AB8" s="19">
        <f t="shared" si="6"/>
        <v>6</v>
      </c>
      <c r="AC8" s="19">
        <f t="shared" si="7"/>
        <v>23</v>
      </c>
      <c r="AD8" s="30">
        <f t="shared" si="8"/>
        <v>7</v>
      </c>
      <c r="AE8" s="42">
        <f t="shared" si="11"/>
        <v>30</v>
      </c>
      <c r="AG8" s="64"/>
      <c r="AH8" s="65"/>
      <c r="AI8" s="65"/>
      <c r="AJ8" s="65"/>
      <c r="AK8" s="65"/>
      <c r="AL8" s="65"/>
      <c r="AM8" s="65"/>
      <c r="AN8" s="66"/>
      <c r="AP8" s="64"/>
      <c r="AQ8" s="65"/>
      <c r="AR8" s="65"/>
      <c r="AS8" s="65"/>
      <c r="AT8" s="65"/>
      <c r="AU8" s="65"/>
      <c r="AV8" s="65"/>
      <c r="AW8" s="66"/>
    </row>
    <row r="9" spans="1:49" ht="21" customHeight="1" thickBot="1">
      <c r="A9" s="13">
        <v>0.33333333333333331</v>
      </c>
      <c r="B9" s="15">
        <f>MategninAnneaux!B9+MategninDouane!B9</f>
        <v>6</v>
      </c>
      <c r="C9" s="15">
        <f>MategninAnneaux!C9+MategninDouane!C9</f>
        <v>0</v>
      </c>
      <c r="D9" s="15">
        <f>MategninAnneaux!D9+MategninDouane!D9</f>
        <v>3</v>
      </c>
      <c r="E9" s="15">
        <f>MategninAnneaux!E9+MategninDouane!E9</f>
        <v>2</v>
      </c>
      <c r="F9" s="15">
        <f>MategninAnneaux!F9+MategninDouane!F9</f>
        <v>0</v>
      </c>
      <c r="G9" s="15">
        <f>MategninAnneaux!G9+MategninDouane!G9</f>
        <v>0</v>
      </c>
      <c r="H9" s="15">
        <f>MategninAnneaux!H9+MategninDouane!H9</f>
        <v>0</v>
      </c>
      <c r="I9" s="15">
        <f>MategninAnneaux!I9+MategninDouane!I9</f>
        <v>0</v>
      </c>
      <c r="J9" s="15">
        <f>MategninAnneaux!J9+MategninDouane!J9</f>
        <v>0</v>
      </c>
      <c r="K9" s="15">
        <f>MategninAnneaux!K9+MategninDouane!K9</f>
        <v>0</v>
      </c>
      <c r="L9" s="15">
        <f>MategninAnneaux!L9+MategninDouane!L9</f>
        <v>1</v>
      </c>
      <c r="M9" s="15">
        <f>MategninAnneaux!M9+MategninDouane!M9</f>
        <v>0</v>
      </c>
      <c r="N9" s="15">
        <f>MategninAnneaux!N9+MategninDouane!N9</f>
        <v>0</v>
      </c>
      <c r="O9" s="15">
        <f>MategninAnneaux!O9+MategninDouane!O9</f>
        <v>0</v>
      </c>
      <c r="P9" s="15">
        <f>MategninAnneaux!P9+MategninDouane!P9</f>
        <v>0</v>
      </c>
      <c r="Q9" s="15">
        <f>MategninAnneaux!Q9+MategninDouane!Q9</f>
        <v>1</v>
      </c>
      <c r="S9" s="29">
        <f t="shared" si="0"/>
        <v>10</v>
      </c>
      <c r="T9" s="19">
        <f t="shared" si="0"/>
        <v>3</v>
      </c>
      <c r="U9" s="25">
        <f t="shared" si="1"/>
        <v>0.23076923076923078</v>
      </c>
      <c r="V9" s="19">
        <f t="shared" si="2"/>
        <v>6</v>
      </c>
      <c r="W9" s="19">
        <f t="shared" si="3"/>
        <v>6</v>
      </c>
      <c r="X9" s="19">
        <f t="shared" si="4"/>
        <v>0</v>
      </c>
      <c r="Y9" s="19">
        <f t="shared" si="5"/>
        <v>12</v>
      </c>
      <c r="Z9" s="44">
        <f t="shared" si="9"/>
        <v>0.5</v>
      </c>
      <c r="AA9" s="44">
        <f t="shared" si="10"/>
        <v>0</v>
      </c>
      <c r="AB9" s="19">
        <f t="shared" si="6"/>
        <v>1</v>
      </c>
      <c r="AC9" s="19">
        <f t="shared" si="7"/>
        <v>11</v>
      </c>
      <c r="AD9" s="30">
        <f t="shared" si="8"/>
        <v>2</v>
      </c>
      <c r="AE9" s="42">
        <f t="shared" si="11"/>
        <v>13</v>
      </c>
      <c r="AG9" s="64"/>
      <c r="AH9" s="65"/>
      <c r="AI9" s="65"/>
      <c r="AJ9" s="65"/>
      <c r="AK9" s="65"/>
      <c r="AL9" s="65"/>
      <c r="AM9" s="65"/>
      <c r="AN9" s="66"/>
      <c r="AP9" s="64"/>
      <c r="AQ9" s="65"/>
      <c r="AR9" s="65"/>
      <c r="AS9" s="65"/>
      <c r="AT9" s="65"/>
      <c r="AU9" s="65"/>
      <c r="AV9" s="65"/>
      <c r="AW9" s="66"/>
    </row>
    <row r="10" spans="1:49" ht="21" customHeight="1" thickBot="1">
      <c r="A10" s="14">
        <v>0.34375</v>
      </c>
      <c r="B10" s="15">
        <f>MategninAnneaux!B10+MategninDouane!B10</f>
        <v>6</v>
      </c>
      <c r="C10" s="15">
        <f>MategninAnneaux!C10+MategninDouane!C10</f>
        <v>7</v>
      </c>
      <c r="D10" s="15">
        <f>MategninAnneaux!D10+MategninDouane!D10</f>
        <v>2</v>
      </c>
      <c r="E10" s="15">
        <f>MategninAnneaux!E10+MategninDouane!E10</f>
        <v>2</v>
      </c>
      <c r="F10" s="15">
        <f>MategninAnneaux!F10+MategninDouane!F10</f>
        <v>0</v>
      </c>
      <c r="G10" s="15">
        <f>MategninAnneaux!G10+MategninDouane!G10</f>
        <v>0</v>
      </c>
      <c r="H10" s="15">
        <f>MategninAnneaux!H10+MategninDouane!H10</f>
        <v>0</v>
      </c>
      <c r="I10" s="15">
        <f>MategninAnneaux!I10+MategninDouane!I10</f>
        <v>1</v>
      </c>
      <c r="J10" s="15">
        <f>MategninAnneaux!J10+MategninDouane!J10</f>
        <v>0</v>
      </c>
      <c r="K10" s="15">
        <f>MategninAnneaux!K10+MategninDouane!K10</f>
        <v>0</v>
      </c>
      <c r="L10" s="15">
        <f>MategninAnneaux!L10+MategninDouane!L10</f>
        <v>0</v>
      </c>
      <c r="M10" s="15">
        <f>MategninAnneaux!M10+MategninDouane!M10</f>
        <v>0</v>
      </c>
      <c r="N10" s="15">
        <f>MategninAnneaux!N10+MategninDouane!N10</f>
        <v>0</v>
      </c>
      <c r="O10" s="15">
        <f>MategninAnneaux!O10+MategninDouane!O10</f>
        <v>0</v>
      </c>
      <c r="P10" s="15">
        <f>MategninAnneaux!P10+MategninDouane!P10</f>
        <v>3</v>
      </c>
      <c r="Q10" s="15">
        <f>MategninAnneaux!Q10+MategninDouane!Q10</f>
        <v>1</v>
      </c>
      <c r="S10" s="29">
        <f t="shared" si="0"/>
        <v>11</v>
      </c>
      <c r="T10" s="19">
        <f t="shared" si="0"/>
        <v>11</v>
      </c>
      <c r="U10" s="25">
        <f t="shared" si="1"/>
        <v>0.5</v>
      </c>
      <c r="V10" s="19">
        <f t="shared" si="2"/>
        <v>13</v>
      </c>
      <c r="W10" s="19">
        <f t="shared" si="3"/>
        <v>4</v>
      </c>
      <c r="X10" s="19">
        <f t="shared" si="4"/>
        <v>0</v>
      </c>
      <c r="Y10" s="19">
        <f t="shared" si="5"/>
        <v>17</v>
      </c>
      <c r="Z10" s="44">
        <f t="shared" si="9"/>
        <v>0.23529411764705882</v>
      </c>
      <c r="AA10" s="44">
        <f t="shared" si="10"/>
        <v>0</v>
      </c>
      <c r="AB10" s="19">
        <f t="shared" si="6"/>
        <v>5</v>
      </c>
      <c r="AC10" s="19">
        <f t="shared" si="7"/>
        <v>18</v>
      </c>
      <c r="AD10" s="30">
        <f t="shared" si="8"/>
        <v>4</v>
      </c>
      <c r="AE10" s="42">
        <f t="shared" si="11"/>
        <v>22</v>
      </c>
      <c r="AG10" s="64"/>
      <c r="AH10" s="65"/>
      <c r="AI10" s="65"/>
      <c r="AJ10" s="65"/>
      <c r="AK10" s="65"/>
      <c r="AL10" s="65"/>
      <c r="AM10" s="65"/>
      <c r="AN10" s="66"/>
      <c r="AP10" s="64"/>
      <c r="AQ10" s="65"/>
      <c r="AR10" s="65"/>
      <c r="AS10" s="65"/>
      <c r="AT10" s="65"/>
      <c r="AU10" s="65"/>
      <c r="AV10" s="65"/>
      <c r="AW10" s="66"/>
    </row>
    <row r="11" spans="1:49" ht="21" customHeight="1" thickBot="1">
      <c r="A11" s="14">
        <v>0.35416666666666669</v>
      </c>
      <c r="B11" s="15">
        <f>MategninAnneaux!B11+MategninDouane!B11</f>
        <v>7</v>
      </c>
      <c r="C11" s="15">
        <f>MategninAnneaux!C11+MategninDouane!C11</f>
        <v>2</v>
      </c>
      <c r="D11" s="15">
        <f>MategninAnneaux!D11+MategninDouane!D11</f>
        <v>3</v>
      </c>
      <c r="E11" s="15">
        <f>MategninAnneaux!E11+MategninDouane!E11</f>
        <v>2</v>
      </c>
      <c r="F11" s="15">
        <f>MategninAnneaux!F11+MategninDouane!F11</f>
        <v>0</v>
      </c>
      <c r="G11" s="15">
        <f>MategninAnneaux!G11+MategninDouane!G11</f>
        <v>0</v>
      </c>
      <c r="H11" s="15">
        <f>MategninAnneaux!H11+MategninDouane!H11</f>
        <v>3</v>
      </c>
      <c r="I11" s="15">
        <f>MategninAnneaux!I11+MategninDouane!I11</f>
        <v>0</v>
      </c>
      <c r="J11" s="15">
        <f>MategninAnneaux!J11+MategninDouane!J11</f>
        <v>3</v>
      </c>
      <c r="K11" s="15">
        <f>MategninAnneaux!K11+MategninDouane!K11</f>
        <v>2</v>
      </c>
      <c r="L11" s="15">
        <f>MategninAnneaux!L11+MategninDouane!L11</f>
        <v>1</v>
      </c>
      <c r="M11" s="15">
        <f>MategninAnneaux!M11+MategninDouane!M11</f>
        <v>0</v>
      </c>
      <c r="N11" s="15">
        <f>MategninAnneaux!N11+MategninDouane!N11</f>
        <v>0</v>
      </c>
      <c r="O11" s="15">
        <f>MategninAnneaux!O11+MategninDouane!O11</f>
        <v>0</v>
      </c>
      <c r="P11" s="15">
        <f>MategninAnneaux!P11+MategninDouane!P11</f>
        <v>0</v>
      </c>
      <c r="Q11" s="15">
        <f>MategninAnneaux!Q11+MategninDouane!Q11</f>
        <v>0</v>
      </c>
      <c r="S11" s="29">
        <f t="shared" si="0"/>
        <v>17</v>
      </c>
      <c r="T11" s="19">
        <f t="shared" si="0"/>
        <v>6</v>
      </c>
      <c r="U11" s="25">
        <f t="shared" si="1"/>
        <v>0.2608695652173913</v>
      </c>
      <c r="V11" s="19">
        <f t="shared" si="2"/>
        <v>14</v>
      </c>
      <c r="W11" s="19">
        <f t="shared" si="3"/>
        <v>6</v>
      </c>
      <c r="X11" s="19">
        <f t="shared" si="4"/>
        <v>0</v>
      </c>
      <c r="Y11" s="19">
        <f t="shared" si="5"/>
        <v>20</v>
      </c>
      <c r="Z11" s="44">
        <f t="shared" si="9"/>
        <v>0.3</v>
      </c>
      <c r="AA11" s="44">
        <f t="shared" si="10"/>
        <v>0</v>
      </c>
      <c r="AB11" s="19">
        <f t="shared" si="6"/>
        <v>3</v>
      </c>
      <c r="AC11" s="19">
        <f t="shared" si="7"/>
        <v>17</v>
      </c>
      <c r="AD11" s="30">
        <f t="shared" si="8"/>
        <v>6</v>
      </c>
      <c r="AE11" s="42">
        <f t="shared" si="11"/>
        <v>23</v>
      </c>
      <c r="AG11" s="64"/>
      <c r="AH11" s="65"/>
      <c r="AI11" s="65"/>
      <c r="AJ11" s="65"/>
      <c r="AK11" s="65"/>
      <c r="AL11" s="65"/>
      <c r="AM11" s="65"/>
      <c r="AN11" s="66"/>
      <c r="AP11" s="64"/>
      <c r="AQ11" s="65"/>
      <c r="AR11" s="65"/>
      <c r="AS11" s="65"/>
      <c r="AT11" s="65"/>
      <c r="AU11" s="65"/>
      <c r="AV11" s="65"/>
      <c r="AW11" s="66"/>
    </row>
    <row r="12" spans="1:49" ht="21" customHeight="1" thickBot="1">
      <c r="A12" s="14">
        <v>0.36458333333333331</v>
      </c>
      <c r="B12" s="15">
        <f>MategninAnneaux!B12+MategninDouane!B12</f>
        <v>3</v>
      </c>
      <c r="C12" s="15">
        <f>MategninAnneaux!C12+MategninDouane!C12</f>
        <v>4</v>
      </c>
      <c r="D12" s="15">
        <f>MategninAnneaux!D12+MategninDouane!D12</f>
        <v>3</v>
      </c>
      <c r="E12" s="15">
        <f>MategninAnneaux!E12+MategninDouane!E12</f>
        <v>1</v>
      </c>
      <c r="F12" s="15">
        <f>MategninAnneaux!F12+MategninDouane!F12</f>
        <v>1</v>
      </c>
      <c r="G12" s="15">
        <f>MategninAnneaux!G12+MategninDouane!G12</f>
        <v>0</v>
      </c>
      <c r="H12" s="15">
        <f>MategninAnneaux!H12+MategninDouane!H12</f>
        <v>0</v>
      </c>
      <c r="I12" s="15">
        <f>MategninAnneaux!I12+MategninDouane!I12</f>
        <v>0</v>
      </c>
      <c r="J12" s="15">
        <f>MategninAnneaux!J12+MategninDouane!J12</f>
        <v>2</v>
      </c>
      <c r="K12" s="15">
        <f>MategninAnneaux!K12+MategninDouane!K12</f>
        <v>3</v>
      </c>
      <c r="L12" s="15">
        <f>MategninAnneaux!L12+MategninDouane!L12</f>
        <v>1</v>
      </c>
      <c r="M12" s="15">
        <f>MategninAnneaux!M12+MategninDouane!M12</f>
        <v>0</v>
      </c>
      <c r="N12" s="15">
        <f>MategninAnneaux!N12+MategninDouane!N12</f>
        <v>0</v>
      </c>
      <c r="O12" s="15">
        <f>MategninAnneaux!O12+MategninDouane!O12</f>
        <v>0</v>
      </c>
      <c r="P12" s="15">
        <f>MategninAnneaux!P12+MategninDouane!P12</f>
        <v>2</v>
      </c>
      <c r="Q12" s="15">
        <f>MategninAnneaux!Q12+MategninDouane!Q12</f>
        <v>4</v>
      </c>
      <c r="S12" s="29">
        <f t="shared" ref="S12:T14" si="12">B12+D12+F12+H12+J12+L12+N12+P12</f>
        <v>12</v>
      </c>
      <c r="T12" s="19">
        <f t="shared" si="12"/>
        <v>12</v>
      </c>
      <c r="U12" s="25">
        <f>T12/(T12+S12)</f>
        <v>0.5</v>
      </c>
      <c r="V12" s="19">
        <f>B12+C12+J12+K12</f>
        <v>12</v>
      </c>
      <c r="W12" s="19">
        <f>D12+E12+L12+M12</f>
        <v>5</v>
      </c>
      <c r="X12" s="19">
        <f>F12+G12+N12+O12</f>
        <v>1</v>
      </c>
      <c r="Y12" s="19">
        <f>SUM(V12:X12)</f>
        <v>18</v>
      </c>
      <c r="Z12" s="44">
        <f t="shared" si="9"/>
        <v>0.27777777777777779</v>
      </c>
      <c r="AA12" s="44">
        <f t="shared" si="10"/>
        <v>5.5555555555555552E-2</v>
      </c>
      <c r="AB12" s="19">
        <f>H12+I12+P12+Q12</f>
        <v>6</v>
      </c>
      <c r="AC12" s="19">
        <f>SUM(B12:I12)</f>
        <v>12</v>
      </c>
      <c r="AD12" s="30">
        <f>SUM(J12:Q12)</f>
        <v>12</v>
      </c>
      <c r="AE12" s="42">
        <f t="shared" si="11"/>
        <v>24</v>
      </c>
      <c r="AG12" s="64"/>
      <c r="AH12" s="65"/>
      <c r="AI12" s="65"/>
      <c r="AJ12" s="65"/>
      <c r="AK12" s="65"/>
      <c r="AL12" s="65"/>
      <c r="AM12" s="65"/>
      <c r="AN12" s="66"/>
      <c r="AP12" s="64"/>
      <c r="AQ12" s="65"/>
      <c r="AR12" s="65"/>
      <c r="AS12" s="65"/>
      <c r="AT12" s="65"/>
      <c r="AU12" s="65"/>
      <c r="AV12" s="65"/>
      <c r="AW12" s="66"/>
    </row>
    <row r="13" spans="1:49" ht="15" thickBot="1">
      <c r="A13" s="24" t="s">
        <v>13</v>
      </c>
      <c r="B13" s="35">
        <f>SUM(B5:B12)</f>
        <v>64</v>
      </c>
      <c r="C13" s="35">
        <f t="shared" ref="C13:Q13" si="13">SUM(C5:C12)</f>
        <v>31</v>
      </c>
      <c r="D13" s="35">
        <f t="shared" si="13"/>
        <v>20</v>
      </c>
      <c r="E13" s="35">
        <f t="shared" si="13"/>
        <v>16</v>
      </c>
      <c r="F13" s="35">
        <f t="shared" si="13"/>
        <v>2</v>
      </c>
      <c r="G13" s="35">
        <f t="shared" si="13"/>
        <v>2</v>
      </c>
      <c r="H13" s="35">
        <f t="shared" si="13"/>
        <v>13</v>
      </c>
      <c r="I13" s="35">
        <f t="shared" si="13"/>
        <v>5</v>
      </c>
      <c r="J13" s="35">
        <f t="shared" si="13"/>
        <v>12</v>
      </c>
      <c r="K13" s="35">
        <f t="shared" si="13"/>
        <v>9</v>
      </c>
      <c r="L13" s="35">
        <f t="shared" si="13"/>
        <v>7</v>
      </c>
      <c r="M13" s="35">
        <f t="shared" si="13"/>
        <v>1</v>
      </c>
      <c r="N13" s="35">
        <f t="shared" si="13"/>
        <v>0</v>
      </c>
      <c r="O13" s="35">
        <f t="shared" si="13"/>
        <v>3</v>
      </c>
      <c r="P13" s="35">
        <f t="shared" si="13"/>
        <v>8</v>
      </c>
      <c r="Q13" s="35">
        <f t="shared" si="13"/>
        <v>7</v>
      </c>
      <c r="S13" s="31">
        <f t="shared" si="12"/>
        <v>126</v>
      </c>
      <c r="T13" s="32">
        <f t="shared" si="12"/>
        <v>74</v>
      </c>
      <c r="U13" s="33">
        <f>T13/(T13+S13)</f>
        <v>0.37</v>
      </c>
      <c r="V13" s="32">
        <f>B13+C13+J13+K13</f>
        <v>116</v>
      </c>
      <c r="W13" s="32">
        <f>D13+E13+L13+M13</f>
        <v>44</v>
      </c>
      <c r="X13" s="32">
        <f>F13+G13+N13+O13</f>
        <v>7</v>
      </c>
      <c r="Y13" s="32">
        <f>SUM(V13:X13)</f>
        <v>167</v>
      </c>
      <c r="Z13" s="44">
        <f t="shared" si="9"/>
        <v>0.26347305389221559</v>
      </c>
      <c r="AA13" s="44">
        <f t="shared" si="10"/>
        <v>4.1916167664670656E-2</v>
      </c>
      <c r="AB13" s="32">
        <f>H13+I13+P13+Q13</f>
        <v>33</v>
      </c>
      <c r="AC13" s="32">
        <f>SUM(B13:I13)</f>
        <v>153</v>
      </c>
      <c r="AD13" s="34">
        <f>SUM(J13:Q13)</f>
        <v>47</v>
      </c>
      <c r="AE13" s="43">
        <f t="shared" si="11"/>
        <v>200</v>
      </c>
      <c r="AG13" s="67">
        <f>MategninAnneaux!AG13+MategninDouane!AG13</f>
        <v>337</v>
      </c>
      <c r="AH13" s="67">
        <f>MategninAnneaux!AH13+MategninDouane!AH13</f>
        <v>50</v>
      </c>
      <c r="AI13" s="67">
        <f>MategninAnneaux!AI13+MategninDouane!AI13</f>
        <v>276</v>
      </c>
      <c r="AJ13" s="67">
        <f>MategninAnneaux!AJ13+MategninDouane!AJ13</f>
        <v>111</v>
      </c>
      <c r="AK13" s="67">
        <f>MategninAnneaux!AK13+MategninDouane!AK13</f>
        <v>308</v>
      </c>
      <c r="AL13" s="67">
        <f>MategninAnneaux!AL13+MategninDouane!AL13</f>
        <v>79</v>
      </c>
      <c r="AM13" s="67">
        <f>AJ13/(AJ13+AI13)</f>
        <v>0.2868217054263566</v>
      </c>
      <c r="AN13" s="67">
        <f>MategninAnneaux!AN13+MategninDouane!AN13</f>
        <v>387</v>
      </c>
      <c r="AP13" s="70">
        <f>(Y13-AG13)/AG13</f>
        <v>-0.50445103857566764</v>
      </c>
      <c r="AQ13" s="70">
        <f>(AB13-AH13)/AH13</f>
        <v>-0.34</v>
      </c>
      <c r="AR13" s="70">
        <f>(S13-AI13)/AI13</f>
        <v>-0.54347826086956519</v>
      </c>
      <c r="AS13" s="70">
        <f>(T13-AJ13)/AJ13</f>
        <v>-0.33333333333333331</v>
      </c>
      <c r="AT13" s="70">
        <f>(AC13-AK13)/AK13</f>
        <v>-0.50324675324675328</v>
      </c>
      <c r="AU13" s="70">
        <f>(AD13-AL13)/AL13</f>
        <v>-0.4050632911392405</v>
      </c>
      <c r="AV13" s="70">
        <f>(U13-AM13)/AM13</f>
        <v>0.28999999999999992</v>
      </c>
      <c r="AW13" s="70">
        <f>(AE13-AN13)/AN13</f>
        <v>-0.48320413436692505</v>
      </c>
    </row>
    <row r="14" spans="1:49" ht="15" thickBot="1">
      <c r="A14" s="24" t="s">
        <v>32</v>
      </c>
      <c r="B14" s="24">
        <f>SUM(B7:B10)</f>
        <v>35</v>
      </c>
      <c r="C14" s="24">
        <f t="shared" ref="C14:Q14" si="14">SUM(C7:C10)</f>
        <v>16</v>
      </c>
      <c r="D14" s="24">
        <f t="shared" si="14"/>
        <v>10</v>
      </c>
      <c r="E14" s="24">
        <f t="shared" si="14"/>
        <v>7</v>
      </c>
      <c r="F14" s="24">
        <f t="shared" si="14"/>
        <v>0</v>
      </c>
      <c r="G14" s="24">
        <f t="shared" si="14"/>
        <v>1</v>
      </c>
      <c r="H14" s="24">
        <f t="shared" si="14"/>
        <v>4</v>
      </c>
      <c r="I14" s="24">
        <f t="shared" si="14"/>
        <v>1</v>
      </c>
      <c r="J14" s="24">
        <f t="shared" si="14"/>
        <v>3</v>
      </c>
      <c r="K14" s="24">
        <f t="shared" si="14"/>
        <v>2</v>
      </c>
      <c r="L14" s="24">
        <f t="shared" si="14"/>
        <v>4</v>
      </c>
      <c r="M14" s="24">
        <f t="shared" si="14"/>
        <v>0</v>
      </c>
      <c r="N14" s="24">
        <f t="shared" si="14"/>
        <v>0</v>
      </c>
      <c r="O14" s="24">
        <f t="shared" si="14"/>
        <v>2</v>
      </c>
      <c r="P14" s="24">
        <f t="shared" si="14"/>
        <v>6</v>
      </c>
      <c r="Q14" s="24">
        <f t="shared" si="14"/>
        <v>3</v>
      </c>
      <c r="S14" s="51">
        <f t="shared" si="12"/>
        <v>62</v>
      </c>
      <c r="T14" s="35">
        <f t="shared" si="12"/>
        <v>32</v>
      </c>
      <c r="U14" s="52">
        <f>T14/(T14+S14)</f>
        <v>0.34042553191489361</v>
      </c>
      <c r="V14" s="35">
        <f>B14+C14+J14+K14</f>
        <v>56</v>
      </c>
      <c r="W14" s="35">
        <f>D14+E14+L14+M14</f>
        <v>21</v>
      </c>
      <c r="X14" s="35">
        <f>F14+G14+N14+O14</f>
        <v>3</v>
      </c>
      <c r="Y14" s="35">
        <f>SUM(V14:X14)</f>
        <v>80</v>
      </c>
      <c r="Z14" s="53">
        <f t="shared" si="9"/>
        <v>0.26250000000000001</v>
      </c>
      <c r="AA14" s="53">
        <f t="shared" si="10"/>
        <v>3.7499999999999999E-2</v>
      </c>
      <c r="AB14" s="35">
        <f>H14+I14+P14+Q14</f>
        <v>14</v>
      </c>
      <c r="AC14" s="35">
        <f>SUM(B14:I14)</f>
        <v>74</v>
      </c>
      <c r="AD14" s="36">
        <f>SUM(J14:Q14)</f>
        <v>20</v>
      </c>
      <c r="AE14" s="54">
        <f t="shared" si="11"/>
        <v>94</v>
      </c>
    </row>
    <row r="16" spans="1:49">
      <c r="A16" t="s">
        <v>30</v>
      </c>
      <c r="B16">
        <f>SUM(B5:B8)</f>
        <v>42</v>
      </c>
      <c r="C16">
        <f t="shared" ref="C16:Q16" si="15">SUM(C5:C8)</f>
        <v>18</v>
      </c>
      <c r="D16">
        <f t="shared" si="15"/>
        <v>9</v>
      </c>
      <c r="E16">
        <f t="shared" si="15"/>
        <v>9</v>
      </c>
      <c r="F16">
        <f t="shared" si="15"/>
        <v>1</v>
      </c>
      <c r="G16">
        <f t="shared" si="15"/>
        <v>2</v>
      </c>
      <c r="H16">
        <f t="shared" si="15"/>
        <v>10</v>
      </c>
      <c r="I16">
        <f t="shared" si="15"/>
        <v>4</v>
      </c>
      <c r="J16">
        <f t="shared" si="15"/>
        <v>7</v>
      </c>
      <c r="K16">
        <f t="shared" si="15"/>
        <v>4</v>
      </c>
      <c r="L16">
        <f t="shared" si="15"/>
        <v>4</v>
      </c>
      <c r="M16">
        <f t="shared" si="15"/>
        <v>1</v>
      </c>
      <c r="N16">
        <f t="shared" si="15"/>
        <v>0</v>
      </c>
      <c r="O16">
        <f t="shared" si="15"/>
        <v>3</v>
      </c>
      <c r="P16">
        <f t="shared" si="15"/>
        <v>3</v>
      </c>
      <c r="Q16">
        <f t="shared" si="15"/>
        <v>1</v>
      </c>
    </row>
    <row r="17" spans="1:17">
      <c r="A17" t="s">
        <v>31</v>
      </c>
      <c r="B17">
        <f>SUM(B9:B12)</f>
        <v>22</v>
      </c>
      <c r="C17">
        <f t="shared" ref="C17:Q17" si="16">SUM(C9:C12)</f>
        <v>13</v>
      </c>
      <c r="D17">
        <f t="shared" si="16"/>
        <v>11</v>
      </c>
      <c r="E17">
        <f t="shared" si="16"/>
        <v>7</v>
      </c>
      <c r="F17">
        <f t="shared" si="16"/>
        <v>1</v>
      </c>
      <c r="G17">
        <f t="shared" si="16"/>
        <v>0</v>
      </c>
      <c r="H17">
        <f t="shared" si="16"/>
        <v>3</v>
      </c>
      <c r="I17">
        <f t="shared" si="16"/>
        <v>1</v>
      </c>
      <c r="J17">
        <f t="shared" si="16"/>
        <v>5</v>
      </c>
      <c r="K17">
        <f t="shared" si="16"/>
        <v>5</v>
      </c>
      <c r="L17">
        <f t="shared" si="16"/>
        <v>3</v>
      </c>
      <c r="M17">
        <f t="shared" si="16"/>
        <v>0</v>
      </c>
      <c r="N17">
        <f t="shared" si="16"/>
        <v>0</v>
      </c>
      <c r="O17">
        <f t="shared" si="16"/>
        <v>0</v>
      </c>
      <c r="P17">
        <f t="shared" si="16"/>
        <v>5</v>
      </c>
      <c r="Q17">
        <f t="shared" si="16"/>
        <v>6</v>
      </c>
    </row>
  </sheetData>
  <mergeCells count="13">
    <mergeCell ref="AG2:AN2"/>
    <mergeCell ref="AP2:AW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07AB-C17B-461E-AD0F-BD8B3719F73B}">
  <dimension ref="A1:AW17"/>
  <sheetViews>
    <sheetView topLeftCell="T1" workbookViewId="0">
      <selection activeCell="AG13" sqref="AG13:AN13"/>
    </sheetView>
  </sheetViews>
  <sheetFormatPr defaultRowHeight="14.4"/>
  <cols>
    <col min="1" max="1" width="10.33203125" customWidth="1"/>
    <col min="2" max="17" width="5" customWidth="1"/>
  </cols>
  <sheetData>
    <row r="1" spans="1:49" ht="30.6" customHeight="1" thickBot="1">
      <c r="B1" s="11" t="s">
        <v>11</v>
      </c>
      <c r="C1" s="12"/>
      <c r="D1" t="s">
        <v>35</v>
      </c>
    </row>
    <row r="2" spans="1:49" s="10" customFormat="1" ht="16.2" customHeight="1" thickBot="1">
      <c r="A2" s="9"/>
      <c r="B2" s="55" t="s">
        <v>5</v>
      </c>
      <c r="C2" s="57"/>
      <c r="D2" s="57"/>
      <c r="E2" s="57"/>
      <c r="F2" s="57"/>
      <c r="G2" s="57"/>
      <c r="H2" s="57"/>
      <c r="I2" s="58"/>
      <c r="J2" s="55" t="s">
        <v>6</v>
      </c>
      <c r="K2" s="57"/>
      <c r="L2" s="57"/>
      <c r="M2" s="57"/>
      <c r="N2" s="57"/>
      <c r="O2" s="57"/>
      <c r="P2" s="57"/>
      <c r="Q2" s="58"/>
      <c r="R2"/>
      <c r="S2" s="59" t="s">
        <v>14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G2" s="61">
        <v>2019</v>
      </c>
      <c r="AH2" s="62"/>
      <c r="AI2" s="62"/>
      <c r="AJ2" s="62"/>
      <c r="AK2" s="62"/>
      <c r="AL2" s="62"/>
      <c r="AM2" s="62"/>
      <c r="AN2" s="63"/>
      <c r="AP2" s="61" t="s">
        <v>44</v>
      </c>
      <c r="AQ2" s="62"/>
      <c r="AR2" s="62"/>
      <c r="AS2" s="62"/>
      <c r="AT2" s="62"/>
      <c r="AU2" s="62"/>
      <c r="AV2" s="62"/>
      <c r="AW2" s="63"/>
    </row>
    <row r="3" spans="1:49" s="10" customFormat="1" ht="68.400000000000006" customHeight="1">
      <c r="A3" s="9"/>
      <c r="B3" s="55" t="s">
        <v>9</v>
      </c>
      <c r="C3" s="58"/>
      <c r="D3" s="60" t="s">
        <v>7</v>
      </c>
      <c r="E3" s="56"/>
      <c r="F3" s="60" t="s">
        <v>8</v>
      </c>
      <c r="G3" s="56"/>
      <c r="H3" s="55" t="s">
        <v>0</v>
      </c>
      <c r="I3" s="56"/>
      <c r="J3" s="55" t="s">
        <v>4</v>
      </c>
      <c r="K3" s="58"/>
      <c r="L3" s="60" t="s">
        <v>7</v>
      </c>
      <c r="M3" s="56"/>
      <c r="N3" s="60" t="s">
        <v>10</v>
      </c>
      <c r="O3" s="56"/>
      <c r="P3" s="55" t="s">
        <v>0</v>
      </c>
      <c r="Q3" s="56"/>
      <c r="R3"/>
      <c r="S3" s="26" t="s">
        <v>21</v>
      </c>
      <c r="T3" s="27" t="s">
        <v>15</v>
      </c>
      <c r="U3" s="27" t="s">
        <v>16</v>
      </c>
      <c r="V3" s="27" t="s">
        <v>17</v>
      </c>
      <c r="W3" s="27" t="s">
        <v>7</v>
      </c>
      <c r="X3" s="27" t="s">
        <v>18</v>
      </c>
      <c r="Y3" s="27" t="s">
        <v>26</v>
      </c>
      <c r="Z3" s="27" t="s">
        <v>28</v>
      </c>
      <c r="AA3" s="27" t="s">
        <v>29</v>
      </c>
      <c r="AB3" s="27" t="s">
        <v>20</v>
      </c>
      <c r="AC3" s="27" t="s">
        <v>22</v>
      </c>
      <c r="AD3" s="28" t="s">
        <v>23</v>
      </c>
      <c r="AE3" s="41" t="s">
        <v>27</v>
      </c>
      <c r="AG3" s="64" t="s">
        <v>38</v>
      </c>
      <c r="AH3" s="65" t="s">
        <v>39</v>
      </c>
      <c r="AI3" s="65" t="s">
        <v>21</v>
      </c>
      <c r="AJ3" s="65" t="s">
        <v>15</v>
      </c>
      <c r="AK3" s="65" t="s">
        <v>40</v>
      </c>
      <c r="AL3" s="65" t="s">
        <v>41</v>
      </c>
      <c r="AM3" s="65" t="s">
        <v>42</v>
      </c>
      <c r="AN3" s="66" t="s">
        <v>43</v>
      </c>
      <c r="AP3" s="64" t="s">
        <v>38</v>
      </c>
      <c r="AQ3" s="65" t="s">
        <v>39</v>
      </c>
      <c r="AR3" s="65" t="s">
        <v>21</v>
      </c>
      <c r="AS3" s="65" t="s">
        <v>15</v>
      </c>
      <c r="AT3" s="65" t="s">
        <v>40</v>
      </c>
      <c r="AU3" s="65" t="s">
        <v>41</v>
      </c>
      <c r="AV3" s="65" t="s">
        <v>42</v>
      </c>
      <c r="AW3" s="66" t="s">
        <v>43</v>
      </c>
    </row>
    <row r="4" spans="1:49" ht="21.6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2"/>
      <c r="AG4" s="64"/>
      <c r="AH4" s="65"/>
      <c r="AI4" s="65"/>
      <c r="AJ4" s="65"/>
      <c r="AK4" s="65"/>
      <c r="AL4" s="65"/>
      <c r="AM4" s="65"/>
      <c r="AN4" s="66"/>
      <c r="AP4" s="64"/>
      <c r="AQ4" s="65"/>
      <c r="AR4" s="65"/>
      <c r="AS4" s="65"/>
      <c r="AT4" s="65"/>
      <c r="AU4" s="65"/>
      <c r="AV4" s="65"/>
      <c r="AW4" s="66"/>
    </row>
    <row r="5" spans="1:49" ht="21" customHeight="1" thickBot="1">
      <c r="A5" s="13">
        <v>0.29166666666666669</v>
      </c>
      <c r="B5" s="15">
        <v>4</v>
      </c>
      <c r="C5" s="16">
        <v>1</v>
      </c>
      <c r="D5" s="17">
        <v>3</v>
      </c>
      <c r="E5" s="18">
        <v>3</v>
      </c>
      <c r="F5" s="17"/>
      <c r="G5" s="18">
        <v>1</v>
      </c>
      <c r="H5" s="15">
        <v>3</v>
      </c>
      <c r="I5" s="16">
        <v>1</v>
      </c>
      <c r="J5" s="15">
        <v>1</v>
      </c>
      <c r="K5" s="16"/>
      <c r="L5" s="17">
        <v>1</v>
      </c>
      <c r="M5" s="18"/>
      <c r="N5" s="17"/>
      <c r="O5" s="18"/>
      <c r="P5" s="15"/>
      <c r="Q5" s="16"/>
      <c r="S5" s="29">
        <f t="shared" ref="S5:T11" si="0">B5+D5+F5+H5+J5+L5+N5+P5</f>
        <v>12</v>
      </c>
      <c r="T5" s="19">
        <f t="shared" si="0"/>
        <v>6</v>
      </c>
      <c r="U5" s="25">
        <f t="shared" ref="U5:U11" si="1">T5/(T5+S5)</f>
        <v>0.33333333333333331</v>
      </c>
      <c r="V5" s="19">
        <f t="shared" ref="V5:V11" si="2">B5+C5+J5+K5</f>
        <v>6</v>
      </c>
      <c r="W5" s="19">
        <f t="shared" ref="W5:W11" si="3">D5+E5+L5+M5</f>
        <v>7</v>
      </c>
      <c r="X5" s="19">
        <f t="shared" ref="X5:X11" si="4">F5+G5+N5+O5</f>
        <v>1</v>
      </c>
      <c r="Y5" s="19">
        <f t="shared" ref="Y5:Y11" si="5">SUM(V5:X5)</f>
        <v>14</v>
      </c>
      <c r="Z5" s="44">
        <f>W5/Y5</f>
        <v>0.5</v>
      </c>
      <c r="AA5" s="44">
        <f>X5/Y5</f>
        <v>7.1428571428571425E-2</v>
      </c>
      <c r="AB5" s="19">
        <f t="shared" ref="AB5:AB11" si="6">H5+I5+P5+Q5</f>
        <v>4</v>
      </c>
      <c r="AC5" s="19">
        <f t="shared" ref="AC5:AC11" si="7">SUM(B5:I5)</f>
        <v>16</v>
      </c>
      <c r="AD5" s="30">
        <f t="shared" ref="AD5:AD11" si="8">SUM(J5:Q5)</f>
        <v>2</v>
      </c>
      <c r="AE5" s="42">
        <f>SUM(B5:Q5)</f>
        <v>18</v>
      </c>
      <c r="AG5" s="64"/>
      <c r="AH5" s="65"/>
      <c r="AI5" s="65"/>
      <c r="AJ5" s="65"/>
      <c r="AK5" s="65"/>
      <c r="AL5" s="65"/>
      <c r="AM5" s="65"/>
      <c r="AN5" s="66"/>
      <c r="AP5" s="64"/>
      <c r="AQ5" s="65"/>
      <c r="AR5" s="65"/>
      <c r="AS5" s="65"/>
      <c r="AT5" s="65"/>
      <c r="AU5" s="65"/>
      <c r="AV5" s="65"/>
      <c r="AW5" s="66"/>
    </row>
    <row r="6" spans="1:49" ht="21" customHeight="1" thickBot="1">
      <c r="A6" s="14">
        <v>0.30208333333333331</v>
      </c>
      <c r="B6" s="15">
        <v>8</v>
      </c>
      <c r="C6" s="16">
        <v>6</v>
      </c>
      <c r="D6" s="17">
        <v>1</v>
      </c>
      <c r="E6" s="18">
        <v>3</v>
      </c>
      <c r="F6" s="17">
        <v>1</v>
      </c>
      <c r="G6" s="18"/>
      <c r="H6" s="15">
        <v>2</v>
      </c>
      <c r="I6" s="16">
        <v>2</v>
      </c>
      <c r="J6" s="15">
        <v>2</v>
      </c>
      <c r="K6" s="16">
        <v>1</v>
      </c>
      <c r="L6" s="17"/>
      <c r="M6" s="18"/>
      <c r="N6" s="17"/>
      <c r="O6" s="18"/>
      <c r="P6" s="15"/>
      <c r="Q6" s="16"/>
      <c r="S6" s="29">
        <f t="shared" si="0"/>
        <v>14</v>
      </c>
      <c r="T6" s="19">
        <f t="shared" si="0"/>
        <v>12</v>
      </c>
      <c r="U6" s="25">
        <f t="shared" si="1"/>
        <v>0.46153846153846156</v>
      </c>
      <c r="V6" s="19">
        <f t="shared" si="2"/>
        <v>17</v>
      </c>
      <c r="W6" s="19">
        <f t="shared" si="3"/>
        <v>4</v>
      </c>
      <c r="X6" s="19">
        <f t="shared" si="4"/>
        <v>1</v>
      </c>
      <c r="Y6" s="19">
        <f t="shared" si="5"/>
        <v>22</v>
      </c>
      <c r="Z6" s="44">
        <f t="shared" ref="Z6:Z14" si="9">W6/Y6</f>
        <v>0.18181818181818182</v>
      </c>
      <c r="AA6" s="44">
        <f t="shared" ref="AA6:AA14" si="10">X6/Y6</f>
        <v>4.5454545454545456E-2</v>
      </c>
      <c r="AB6" s="19">
        <f t="shared" si="6"/>
        <v>4</v>
      </c>
      <c r="AC6" s="19">
        <f t="shared" si="7"/>
        <v>23</v>
      </c>
      <c r="AD6" s="30">
        <f t="shared" si="8"/>
        <v>3</v>
      </c>
      <c r="AE6" s="42">
        <f t="shared" ref="AE6:AE14" si="11">SUM(B6:Q6)</f>
        <v>26</v>
      </c>
      <c r="AG6" s="64"/>
      <c r="AH6" s="65"/>
      <c r="AI6" s="65"/>
      <c r="AJ6" s="65"/>
      <c r="AK6" s="65"/>
      <c r="AL6" s="65"/>
      <c r="AM6" s="65"/>
      <c r="AN6" s="66"/>
      <c r="AP6" s="64"/>
      <c r="AQ6" s="65"/>
      <c r="AR6" s="65"/>
      <c r="AS6" s="65"/>
      <c r="AT6" s="65"/>
      <c r="AU6" s="65"/>
      <c r="AV6" s="65"/>
      <c r="AW6" s="66"/>
    </row>
    <row r="7" spans="1:49" ht="21" customHeight="1" thickBot="1">
      <c r="A7" s="14">
        <v>0.3125</v>
      </c>
      <c r="B7" s="15">
        <v>12</v>
      </c>
      <c r="C7" s="16">
        <v>6</v>
      </c>
      <c r="D7" s="17">
        <v>1</v>
      </c>
      <c r="E7" s="18">
        <v>2</v>
      </c>
      <c r="F7" s="17"/>
      <c r="G7" s="18"/>
      <c r="H7" s="15">
        <v>1</v>
      </c>
      <c r="I7" s="16"/>
      <c r="J7" s="15">
        <v>2</v>
      </c>
      <c r="K7" s="16"/>
      <c r="L7" s="17"/>
      <c r="M7" s="18"/>
      <c r="N7" s="17"/>
      <c r="O7" s="18"/>
      <c r="P7" s="15">
        <v>1</v>
      </c>
      <c r="Q7" s="16"/>
      <c r="S7" s="29">
        <f t="shared" si="0"/>
        <v>17</v>
      </c>
      <c r="T7" s="19">
        <f t="shared" si="0"/>
        <v>8</v>
      </c>
      <c r="U7" s="25">
        <f t="shared" si="1"/>
        <v>0.32</v>
      </c>
      <c r="V7" s="19">
        <f t="shared" si="2"/>
        <v>20</v>
      </c>
      <c r="W7" s="19">
        <f t="shared" si="3"/>
        <v>3</v>
      </c>
      <c r="X7" s="19">
        <f t="shared" si="4"/>
        <v>0</v>
      </c>
      <c r="Y7" s="19">
        <f t="shared" si="5"/>
        <v>23</v>
      </c>
      <c r="Z7" s="44">
        <f t="shared" si="9"/>
        <v>0.13043478260869565</v>
      </c>
      <c r="AA7" s="44">
        <f t="shared" si="10"/>
        <v>0</v>
      </c>
      <c r="AB7" s="19">
        <f t="shared" si="6"/>
        <v>2</v>
      </c>
      <c r="AC7" s="19">
        <f t="shared" si="7"/>
        <v>22</v>
      </c>
      <c r="AD7" s="30">
        <f t="shared" si="8"/>
        <v>3</v>
      </c>
      <c r="AE7" s="42">
        <f t="shared" si="11"/>
        <v>25</v>
      </c>
      <c r="AG7" s="64"/>
      <c r="AH7" s="65"/>
      <c r="AI7" s="65"/>
      <c r="AJ7" s="65"/>
      <c r="AK7" s="65"/>
      <c r="AL7" s="65"/>
      <c r="AM7" s="65"/>
      <c r="AN7" s="66"/>
      <c r="AP7" s="64"/>
      <c r="AQ7" s="65"/>
      <c r="AR7" s="65"/>
      <c r="AS7" s="65"/>
      <c r="AT7" s="65"/>
      <c r="AU7" s="65"/>
      <c r="AV7" s="65"/>
      <c r="AW7" s="66"/>
    </row>
    <row r="8" spans="1:49" ht="21" customHeight="1" thickBot="1">
      <c r="A8" s="14">
        <v>0.32291666666666669</v>
      </c>
      <c r="B8" s="15">
        <v>4</v>
      </c>
      <c r="C8" s="16">
        <v>1</v>
      </c>
      <c r="D8" s="17">
        <v>4</v>
      </c>
      <c r="E8" s="18">
        <v>1</v>
      </c>
      <c r="F8" s="17"/>
      <c r="G8" s="18">
        <v>1</v>
      </c>
      <c r="H8" s="15">
        <v>2</v>
      </c>
      <c r="I8" s="16"/>
      <c r="J8" s="15">
        <v>1</v>
      </c>
      <c r="K8" s="16"/>
      <c r="L8" s="17"/>
      <c r="M8" s="18"/>
      <c r="N8" s="17"/>
      <c r="O8" s="18"/>
      <c r="P8" s="15">
        <v>2</v>
      </c>
      <c r="Q8" s="16">
        <v>1</v>
      </c>
      <c r="S8" s="29">
        <f t="shared" si="0"/>
        <v>13</v>
      </c>
      <c r="T8" s="19">
        <f t="shared" si="0"/>
        <v>4</v>
      </c>
      <c r="U8" s="25">
        <f t="shared" si="1"/>
        <v>0.23529411764705882</v>
      </c>
      <c r="V8" s="19">
        <f t="shared" si="2"/>
        <v>6</v>
      </c>
      <c r="W8" s="19">
        <f t="shared" si="3"/>
        <v>5</v>
      </c>
      <c r="X8" s="19">
        <f t="shared" si="4"/>
        <v>1</v>
      </c>
      <c r="Y8" s="19">
        <f t="shared" si="5"/>
        <v>12</v>
      </c>
      <c r="Z8" s="44">
        <f t="shared" si="9"/>
        <v>0.41666666666666669</v>
      </c>
      <c r="AA8" s="44">
        <f t="shared" si="10"/>
        <v>8.3333333333333329E-2</v>
      </c>
      <c r="AB8" s="19">
        <f t="shared" si="6"/>
        <v>5</v>
      </c>
      <c r="AC8" s="19">
        <f t="shared" si="7"/>
        <v>13</v>
      </c>
      <c r="AD8" s="30">
        <f t="shared" si="8"/>
        <v>4</v>
      </c>
      <c r="AE8" s="42">
        <f t="shared" si="11"/>
        <v>17</v>
      </c>
      <c r="AG8" s="64"/>
      <c r="AH8" s="65"/>
      <c r="AI8" s="65"/>
      <c r="AJ8" s="65"/>
      <c r="AK8" s="65"/>
      <c r="AL8" s="65"/>
      <c r="AM8" s="65"/>
      <c r="AN8" s="66"/>
      <c r="AP8" s="64"/>
      <c r="AQ8" s="65"/>
      <c r="AR8" s="65"/>
      <c r="AS8" s="65"/>
      <c r="AT8" s="65"/>
      <c r="AU8" s="65"/>
      <c r="AV8" s="65"/>
      <c r="AW8" s="66"/>
    </row>
    <row r="9" spans="1:49" ht="21" customHeight="1" thickBot="1">
      <c r="A9" s="13">
        <v>0.33333333333333331</v>
      </c>
      <c r="B9" s="15">
        <v>6</v>
      </c>
      <c r="C9" s="16"/>
      <c r="D9" s="17">
        <v>3</v>
      </c>
      <c r="E9" s="18">
        <v>2</v>
      </c>
      <c r="F9" s="17"/>
      <c r="G9" s="18"/>
      <c r="H9" s="15"/>
      <c r="I9" s="16"/>
      <c r="J9" s="15"/>
      <c r="K9" s="16"/>
      <c r="L9" s="17">
        <v>1</v>
      </c>
      <c r="M9" s="18"/>
      <c r="N9" s="17"/>
      <c r="O9" s="18"/>
      <c r="P9" s="15"/>
      <c r="Q9" s="16">
        <v>1</v>
      </c>
      <c r="S9" s="29">
        <f t="shared" si="0"/>
        <v>10</v>
      </c>
      <c r="T9" s="19">
        <f t="shared" si="0"/>
        <v>3</v>
      </c>
      <c r="U9" s="25">
        <f t="shared" si="1"/>
        <v>0.23076923076923078</v>
      </c>
      <c r="V9" s="19">
        <f t="shared" si="2"/>
        <v>6</v>
      </c>
      <c r="W9" s="19">
        <f t="shared" si="3"/>
        <v>6</v>
      </c>
      <c r="X9" s="19">
        <f t="shared" si="4"/>
        <v>0</v>
      </c>
      <c r="Y9" s="19">
        <f t="shared" si="5"/>
        <v>12</v>
      </c>
      <c r="Z9" s="44">
        <f t="shared" si="9"/>
        <v>0.5</v>
      </c>
      <c r="AA9" s="44">
        <f t="shared" si="10"/>
        <v>0</v>
      </c>
      <c r="AB9" s="19">
        <f t="shared" si="6"/>
        <v>1</v>
      </c>
      <c r="AC9" s="19">
        <f t="shared" si="7"/>
        <v>11</v>
      </c>
      <c r="AD9" s="30">
        <f t="shared" si="8"/>
        <v>2</v>
      </c>
      <c r="AE9" s="42">
        <f t="shared" si="11"/>
        <v>13</v>
      </c>
      <c r="AG9" s="64"/>
      <c r="AH9" s="65"/>
      <c r="AI9" s="65"/>
      <c r="AJ9" s="65"/>
      <c r="AK9" s="65"/>
      <c r="AL9" s="65"/>
      <c r="AM9" s="65"/>
      <c r="AN9" s="66"/>
      <c r="AP9" s="64"/>
      <c r="AQ9" s="65"/>
      <c r="AR9" s="65"/>
      <c r="AS9" s="65"/>
      <c r="AT9" s="65"/>
      <c r="AU9" s="65"/>
      <c r="AV9" s="65"/>
      <c r="AW9" s="66"/>
    </row>
    <row r="10" spans="1:49" ht="21" customHeight="1" thickBot="1">
      <c r="A10" s="14">
        <v>0.34375</v>
      </c>
      <c r="B10" s="15">
        <v>6</v>
      </c>
      <c r="C10" s="16">
        <v>7</v>
      </c>
      <c r="D10" s="17">
        <v>2</v>
      </c>
      <c r="E10" s="18">
        <v>2</v>
      </c>
      <c r="F10" s="17"/>
      <c r="G10" s="18"/>
      <c r="H10" s="10"/>
      <c r="I10" s="16">
        <v>1</v>
      </c>
      <c r="J10" s="15"/>
      <c r="K10" s="16"/>
      <c r="L10" s="17"/>
      <c r="M10" s="18"/>
      <c r="N10" s="17"/>
      <c r="O10" s="18"/>
      <c r="P10" s="15">
        <v>3</v>
      </c>
      <c r="Q10" s="16">
        <v>1</v>
      </c>
      <c r="S10" s="29">
        <f t="shared" si="0"/>
        <v>11</v>
      </c>
      <c r="T10" s="19">
        <f t="shared" si="0"/>
        <v>11</v>
      </c>
      <c r="U10" s="25">
        <f t="shared" si="1"/>
        <v>0.5</v>
      </c>
      <c r="V10" s="19">
        <f t="shared" si="2"/>
        <v>13</v>
      </c>
      <c r="W10" s="19">
        <f t="shared" si="3"/>
        <v>4</v>
      </c>
      <c r="X10" s="19">
        <f t="shared" si="4"/>
        <v>0</v>
      </c>
      <c r="Y10" s="19">
        <f t="shared" si="5"/>
        <v>17</v>
      </c>
      <c r="Z10" s="44">
        <f t="shared" si="9"/>
        <v>0.23529411764705882</v>
      </c>
      <c r="AA10" s="44">
        <f t="shared" si="10"/>
        <v>0</v>
      </c>
      <c r="AB10" s="19">
        <f t="shared" si="6"/>
        <v>5</v>
      </c>
      <c r="AC10" s="19">
        <f t="shared" si="7"/>
        <v>18</v>
      </c>
      <c r="AD10" s="30">
        <f t="shared" si="8"/>
        <v>4</v>
      </c>
      <c r="AE10" s="42">
        <f t="shared" si="11"/>
        <v>22</v>
      </c>
      <c r="AG10" s="64"/>
      <c r="AH10" s="65"/>
      <c r="AI10" s="65"/>
      <c r="AJ10" s="65"/>
      <c r="AK10" s="65"/>
      <c r="AL10" s="65"/>
      <c r="AM10" s="65"/>
      <c r="AN10" s="66"/>
      <c r="AP10" s="64"/>
      <c r="AQ10" s="65"/>
      <c r="AR10" s="65"/>
      <c r="AS10" s="65"/>
      <c r="AT10" s="65"/>
      <c r="AU10" s="65"/>
      <c r="AV10" s="65"/>
      <c r="AW10" s="66"/>
    </row>
    <row r="11" spans="1:49" ht="21" customHeight="1" thickBot="1">
      <c r="A11" s="14">
        <v>0.35416666666666669</v>
      </c>
      <c r="B11" s="15">
        <v>7</v>
      </c>
      <c r="C11" s="16">
        <v>2</v>
      </c>
      <c r="D11" s="17">
        <v>3</v>
      </c>
      <c r="E11" s="18">
        <v>2</v>
      </c>
      <c r="F11" s="17"/>
      <c r="G11" s="18"/>
      <c r="H11" s="15">
        <v>3</v>
      </c>
      <c r="I11" s="16"/>
      <c r="J11" s="15">
        <v>3</v>
      </c>
      <c r="K11" s="16">
        <v>2</v>
      </c>
      <c r="L11" s="17">
        <v>1</v>
      </c>
      <c r="M11" s="18"/>
      <c r="N11" s="17"/>
      <c r="O11" s="18"/>
      <c r="P11" s="15"/>
      <c r="Q11" s="16"/>
      <c r="S11" s="29">
        <f t="shared" si="0"/>
        <v>17</v>
      </c>
      <c r="T11" s="19">
        <f t="shared" si="0"/>
        <v>6</v>
      </c>
      <c r="U11" s="25">
        <f t="shared" si="1"/>
        <v>0.2608695652173913</v>
      </c>
      <c r="V11" s="19">
        <f t="shared" si="2"/>
        <v>14</v>
      </c>
      <c r="W11" s="19">
        <f t="shared" si="3"/>
        <v>6</v>
      </c>
      <c r="X11" s="19">
        <f t="shared" si="4"/>
        <v>0</v>
      </c>
      <c r="Y11" s="19">
        <f t="shared" si="5"/>
        <v>20</v>
      </c>
      <c r="Z11" s="44">
        <f t="shared" si="9"/>
        <v>0.3</v>
      </c>
      <c r="AA11" s="44">
        <f t="shared" si="10"/>
        <v>0</v>
      </c>
      <c r="AB11" s="19">
        <f t="shared" si="6"/>
        <v>3</v>
      </c>
      <c r="AC11" s="19">
        <f t="shared" si="7"/>
        <v>17</v>
      </c>
      <c r="AD11" s="30">
        <f t="shared" si="8"/>
        <v>6</v>
      </c>
      <c r="AE11" s="42">
        <f t="shared" si="11"/>
        <v>23</v>
      </c>
      <c r="AG11" s="64"/>
      <c r="AH11" s="65"/>
      <c r="AI11" s="65"/>
      <c r="AJ11" s="65"/>
      <c r="AK11" s="65"/>
      <c r="AL11" s="65"/>
      <c r="AM11" s="65"/>
      <c r="AN11" s="66"/>
      <c r="AP11" s="64"/>
      <c r="AQ11" s="65"/>
      <c r="AR11" s="65"/>
      <c r="AS11" s="65"/>
      <c r="AT11" s="65"/>
      <c r="AU11" s="65"/>
      <c r="AV11" s="65"/>
      <c r="AW11" s="66"/>
    </row>
    <row r="12" spans="1:49" ht="21" customHeight="1" thickBot="1">
      <c r="A12" s="14">
        <v>0.36458333333333331</v>
      </c>
      <c r="B12" s="20">
        <v>3</v>
      </c>
      <c r="C12" s="21">
        <v>4</v>
      </c>
      <c r="D12" s="22">
        <v>3</v>
      </c>
      <c r="E12" s="23">
        <v>1</v>
      </c>
      <c r="F12" s="22">
        <v>1</v>
      </c>
      <c r="G12" s="23"/>
      <c r="H12" s="20"/>
      <c r="I12" s="21"/>
      <c r="J12" s="20">
        <v>2</v>
      </c>
      <c r="K12" s="21">
        <v>3</v>
      </c>
      <c r="L12" s="22">
        <v>1</v>
      </c>
      <c r="M12" s="23"/>
      <c r="N12" s="22"/>
      <c r="O12" s="23"/>
      <c r="P12" s="20">
        <v>2</v>
      </c>
      <c r="Q12" s="21">
        <v>4</v>
      </c>
      <c r="S12" s="29">
        <f t="shared" ref="S12:T14" si="12">B12+D12+F12+H12+J12+L12+N12+P12</f>
        <v>12</v>
      </c>
      <c r="T12" s="19">
        <f t="shared" si="12"/>
        <v>12</v>
      </c>
      <c r="U12" s="25">
        <f>T12/(T12+S12)</f>
        <v>0.5</v>
      </c>
      <c r="V12" s="19">
        <f>B12+C12+J12+K12</f>
        <v>12</v>
      </c>
      <c r="W12" s="19">
        <f>D12+E12+L12+M12</f>
        <v>5</v>
      </c>
      <c r="X12" s="19">
        <f>F12+G12+N12+O12</f>
        <v>1</v>
      </c>
      <c r="Y12" s="19">
        <f>SUM(V12:X12)</f>
        <v>18</v>
      </c>
      <c r="Z12" s="44">
        <f t="shared" si="9"/>
        <v>0.27777777777777779</v>
      </c>
      <c r="AA12" s="44">
        <f t="shared" si="10"/>
        <v>5.5555555555555552E-2</v>
      </c>
      <c r="AB12" s="19">
        <f>H12+I12+P12+Q12</f>
        <v>6</v>
      </c>
      <c r="AC12" s="19">
        <f>SUM(B12:I12)</f>
        <v>12</v>
      </c>
      <c r="AD12" s="30">
        <f>SUM(J12:Q12)</f>
        <v>12</v>
      </c>
      <c r="AE12" s="42">
        <f t="shared" si="11"/>
        <v>24</v>
      </c>
      <c r="AG12" s="64"/>
      <c r="AH12" s="65"/>
      <c r="AI12" s="65"/>
      <c r="AJ12" s="65"/>
      <c r="AK12" s="65"/>
      <c r="AL12" s="65"/>
      <c r="AM12" s="65"/>
      <c r="AN12" s="66"/>
      <c r="AP12" s="64"/>
      <c r="AQ12" s="65"/>
      <c r="AR12" s="65"/>
      <c r="AS12" s="65"/>
      <c r="AT12" s="65"/>
      <c r="AU12" s="65"/>
      <c r="AV12" s="65"/>
      <c r="AW12" s="66"/>
    </row>
    <row r="13" spans="1:49" ht="15" thickBot="1">
      <c r="A13" s="24" t="s">
        <v>13</v>
      </c>
      <c r="B13" s="35">
        <f>SUM(B5:B12)</f>
        <v>50</v>
      </c>
      <c r="C13" s="35">
        <f t="shared" ref="C13:Q13" si="13">SUM(C5:C12)</f>
        <v>27</v>
      </c>
      <c r="D13" s="35">
        <f t="shared" si="13"/>
        <v>20</v>
      </c>
      <c r="E13" s="35">
        <f t="shared" si="13"/>
        <v>16</v>
      </c>
      <c r="F13" s="35">
        <f t="shared" si="13"/>
        <v>2</v>
      </c>
      <c r="G13" s="35">
        <f t="shared" si="13"/>
        <v>2</v>
      </c>
      <c r="H13" s="35">
        <f t="shared" si="13"/>
        <v>11</v>
      </c>
      <c r="I13" s="35">
        <f t="shared" si="13"/>
        <v>4</v>
      </c>
      <c r="J13" s="35">
        <f t="shared" si="13"/>
        <v>11</v>
      </c>
      <c r="K13" s="35">
        <f t="shared" si="13"/>
        <v>6</v>
      </c>
      <c r="L13" s="35">
        <f t="shared" si="13"/>
        <v>4</v>
      </c>
      <c r="M13" s="35">
        <f t="shared" si="13"/>
        <v>0</v>
      </c>
      <c r="N13" s="35">
        <f t="shared" si="13"/>
        <v>0</v>
      </c>
      <c r="O13" s="35">
        <f t="shared" si="13"/>
        <v>0</v>
      </c>
      <c r="P13" s="35">
        <f t="shared" si="13"/>
        <v>8</v>
      </c>
      <c r="Q13" s="35">
        <f t="shared" si="13"/>
        <v>7</v>
      </c>
      <c r="S13" s="31">
        <f t="shared" si="12"/>
        <v>106</v>
      </c>
      <c r="T13" s="32">
        <f t="shared" si="12"/>
        <v>62</v>
      </c>
      <c r="U13" s="33">
        <f>T13/(T13+S13)</f>
        <v>0.36904761904761907</v>
      </c>
      <c r="V13" s="32">
        <f>B13+C13+J13+K13</f>
        <v>94</v>
      </c>
      <c r="W13" s="32">
        <f>D13+E13+L13+M13</f>
        <v>40</v>
      </c>
      <c r="X13" s="32">
        <f>F13+G13+N13+O13</f>
        <v>4</v>
      </c>
      <c r="Y13" s="32">
        <f>SUM(V13:X13)</f>
        <v>138</v>
      </c>
      <c r="Z13" s="44">
        <f t="shared" si="9"/>
        <v>0.28985507246376813</v>
      </c>
      <c r="AA13" s="44">
        <f t="shared" si="10"/>
        <v>2.8985507246376812E-2</v>
      </c>
      <c r="AB13" s="32">
        <f>H13+I13+P13+Q13</f>
        <v>30</v>
      </c>
      <c r="AC13" s="32">
        <f>SUM(B13:I13)</f>
        <v>132</v>
      </c>
      <c r="AD13" s="34">
        <f>SUM(J13:Q13)</f>
        <v>36</v>
      </c>
      <c r="AE13" s="43">
        <f t="shared" si="11"/>
        <v>168</v>
      </c>
      <c r="AG13" s="71">
        <v>226</v>
      </c>
      <c r="AH13" s="72">
        <v>19</v>
      </c>
      <c r="AI13" s="72">
        <v>175</v>
      </c>
      <c r="AJ13" s="72">
        <v>70</v>
      </c>
      <c r="AK13" s="72">
        <v>207</v>
      </c>
      <c r="AL13" s="72">
        <v>38</v>
      </c>
      <c r="AM13" s="72">
        <v>0.2857142857142857</v>
      </c>
      <c r="AN13" s="73">
        <v>245</v>
      </c>
      <c r="AP13" s="74">
        <f>(Y13-AG13)/AG13</f>
        <v>-0.38938053097345132</v>
      </c>
      <c r="AQ13" s="75">
        <f>(AB13-AH13)/AH13</f>
        <v>0.57894736842105265</v>
      </c>
      <c r="AR13" s="75">
        <f>(S13-AI13)/AI13</f>
        <v>-0.39428571428571429</v>
      </c>
      <c r="AS13" s="75">
        <f>(T13-AJ13)/AJ13</f>
        <v>-0.11428571428571428</v>
      </c>
      <c r="AT13" s="75">
        <f>(AC13-AK13)/AK13</f>
        <v>-0.36231884057971014</v>
      </c>
      <c r="AU13" s="75">
        <f>(AD13-AL13)/AL13</f>
        <v>-5.2631578947368418E-2</v>
      </c>
      <c r="AV13" s="75">
        <f>(U13-AM13)/AM13</f>
        <v>0.2916666666666668</v>
      </c>
      <c r="AW13" s="76">
        <f>(AE13-AN13)/AN13</f>
        <v>-0.31428571428571428</v>
      </c>
    </row>
    <row r="14" spans="1:49" ht="15" thickBot="1">
      <c r="A14" s="24" t="s">
        <v>32</v>
      </c>
      <c r="B14" s="24">
        <f>SUM(B7:B10)</f>
        <v>28</v>
      </c>
      <c r="C14" s="24">
        <f t="shared" ref="C14:Q14" si="14">SUM(C7:C10)</f>
        <v>14</v>
      </c>
      <c r="D14" s="24">
        <f t="shared" si="14"/>
        <v>10</v>
      </c>
      <c r="E14" s="24">
        <f t="shared" si="14"/>
        <v>7</v>
      </c>
      <c r="F14" s="24">
        <f t="shared" si="14"/>
        <v>0</v>
      </c>
      <c r="G14" s="24">
        <f t="shared" si="14"/>
        <v>1</v>
      </c>
      <c r="H14" s="24">
        <f t="shared" si="14"/>
        <v>3</v>
      </c>
      <c r="I14" s="24">
        <f t="shared" si="14"/>
        <v>1</v>
      </c>
      <c r="J14" s="24">
        <f t="shared" si="14"/>
        <v>3</v>
      </c>
      <c r="K14" s="24">
        <f t="shared" si="14"/>
        <v>0</v>
      </c>
      <c r="L14" s="24">
        <f t="shared" si="14"/>
        <v>1</v>
      </c>
      <c r="M14" s="24">
        <f t="shared" si="14"/>
        <v>0</v>
      </c>
      <c r="N14" s="24">
        <f t="shared" si="14"/>
        <v>0</v>
      </c>
      <c r="O14" s="24">
        <f t="shared" si="14"/>
        <v>0</v>
      </c>
      <c r="P14" s="24">
        <f t="shared" si="14"/>
        <v>6</v>
      </c>
      <c r="Q14" s="24">
        <f t="shared" si="14"/>
        <v>3</v>
      </c>
      <c r="S14" s="51">
        <f t="shared" si="12"/>
        <v>51</v>
      </c>
      <c r="T14" s="35">
        <f t="shared" si="12"/>
        <v>26</v>
      </c>
      <c r="U14" s="52">
        <f>T14/(T14+S14)</f>
        <v>0.33766233766233766</v>
      </c>
      <c r="V14" s="35">
        <f>B14+C14+J14+K14</f>
        <v>45</v>
      </c>
      <c r="W14" s="35">
        <f>D14+E14+L14+M14</f>
        <v>18</v>
      </c>
      <c r="X14" s="35">
        <f>F14+G14+N14+O14</f>
        <v>1</v>
      </c>
      <c r="Y14" s="35">
        <f>SUM(V14:X14)</f>
        <v>64</v>
      </c>
      <c r="Z14" s="53">
        <f t="shared" si="9"/>
        <v>0.28125</v>
      </c>
      <c r="AA14" s="53">
        <f t="shared" si="10"/>
        <v>1.5625E-2</v>
      </c>
      <c r="AB14" s="35">
        <f>H14+I14+P14+Q14</f>
        <v>13</v>
      </c>
      <c r="AC14" s="35">
        <f>SUM(B14:I14)</f>
        <v>64</v>
      </c>
      <c r="AD14" s="36">
        <f>SUM(J14:Q14)</f>
        <v>13</v>
      </c>
      <c r="AE14" s="54">
        <f t="shared" si="11"/>
        <v>77</v>
      </c>
    </row>
    <row r="16" spans="1:49">
      <c r="A16" t="s">
        <v>30</v>
      </c>
      <c r="B16">
        <f>SUM(B5:B8)</f>
        <v>28</v>
      </c>
      <c r="C16">
        <f t="shared" ref="C16:Q16" si="15">SUM(C5:C8)</f>
        <v>14</v>
      </c>
      <c r="D16">
        <f t="shared" si="15"/>
        <v>9</v>
      </c>
      <c r="E16">
        <f t="shared" si="15"/>
        <v>9</v>
      </c>
      <c r="F16">
        <f t="shared" si="15"/>
        <v>1</v>
      </c>
      <c r="G16">
        <f t="shared" si="15"/>
        <v>2</v>
      </c>
      <c r="H16">
        <f t="shared" si="15"/>
        <v>8</v>
      </c>
      <c r="I16">
        <f t="shared" si="15"/>
        <v>3</v>
      </c>
      <c r="J16">
        <f t="shared" si="15"/>
        <v>6</v>
      </c>
      <c r="K16">
        <f t="shared" si="15"/>
        <v>1</v>
      </c>
      <c r="L16">
        <f t="shared" si="15"/>
        <v>1</v>
      </c>
      <c r="M16">
        <f t="shared" si="15"/>
        <v>0</v>
      </c>
      <c r="N16">
        <f t="shared" si="15"/>
        <v>0</v>
      </c>
      <c r="O16">
        <f t="shared" si="15"/>
        <v>0</v>
      </c>
      <c r="P16">
        <f t="shared" si="15"/>
        <v>3</v>
      </c>
      <c r="Q16">
        <f t="shared" si="15"/>
        <v>1</v>
      </c>
    </row>
    <row r="17" spans="1:17">
      <c r="A17" t="s">
        <v>31</v>
      </c>
      <c r="B17">
        <f>SUM(B9:B12)</f>
        <v>22</v>
      </c>
      <c r="C17">
        <f t="shared" ref="C17:Q17" si="16">SUM(C9:C12)</f>
        <v>13</v>
      </c>
      <c r="D17">
        <f t="shared" si="16"/>
        <v>11</v>
      </c>
      <c r="E17">
        <f t="shared" si="16"/>
        <v>7</v>
      </c>
      <c r="F17">
        <f t="shared" si="16"/>
        <v>1</v>
      </c>
      <c r="G17">
        <f t="shared" si="16"/>
        <v>0</v>
      </c>
      <c r="H17">
        <f t="shared" si="16"/>
        <v>3</v>
      </c>
      <c r="I17">
        <f t="shared" si="16"/>
        <v>1</v>
      </c>
      <c r="J17">
        <f t="shared" si="16"/>
        <v>5</v>
      </c>
      <c r="K17">
        <f t="shared" si="16"/>
        <v>5</v>
      </c>
      <c r="L17">
        <f t="shared" si="16"/>
        <v>3</v>
      </c>
      <c r="M17">
        <f t="shared" si="16"/>
        <v>0</v>
      </c>
      <c r="N17">
        <f t="shared" si="16"/>
        <v>0</v>
      </c>
      <c r="O17">
        <f t="shared" si="16"/>
        <v>0</v>
      </c>
      <c r="P17">
        <f t="shared" si="16"/>
        <v>5</v>
      </c>
      <c r="Q17">
        <f t="shared" si="16"/>
        <v>6</v>
      </c>
    </row>
  </sheetData>
  <mergeCells count="13">
    <mergeCell ref="AG2:AN2"/>
    <mergeCell ref="AP2:AW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5832-8254-490F-ABB2-6A07B3FAFB6C}">
  <dimension ref="A1:AW17"/>
  <sheetViews>
    <sheetView topLeftCell="U1" workbookViewId="0">
      <selection activeCell="AG13" sqref="AG13:AN13"/>
    </sheetView>
  </sheetViews>
  <sheetFormatPr defaultRowHeight="14.4"/>
  <cols>
    <col min="1" max="1" width="10.33203125" customWidth="1"/>
    <col min="2" max="17" width="5" customWidth="1"/>
  </cols>
  <sheetData>
    <row r="1" spans="1:49" ht="30.6" customHeight="1" thickBot="1">
      <c r="B1" s="11" t="s">
        <v>11</v>
      </c>
      <c r="C1" s="12"/>
      <c r="D1" t="s">
        <v>36</v>
      </c>
    </row>
    <row r="2" spans="1:49" s="10" customFormat="1" ht="16.2" customHeight="1" thickBot="1">
      <c r="A2" s="9"/>
      <c r="B2" s="55" t="s">
        <v>5</v>
      </c>
      <c r="C2" s="57"/>
      <c r="D2" s="57"/>
      <c r="E2" s="57"/>
      <c r="F2" s="57"/>
      <c r="G2" s="57"/>
      <c r="H2" s="57"/>
      <c r="I2" s="58"/>
      <c r="J2" s="55" t="s">
        <v>6</v>
      </c>
      <c r="K2" s="57"/>
      <c r="L2" s="57"/>
      <c r="M2" s="57"/>
      <c r="N2" s="57"/>
      <c r="O2" s="57"/>
      <c r="P2" s="57"/>
      <c r="Q2" s="58"/>
      <c r="R2"/>
      <c r="S2" s="59" t="s">
        <v>14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G2" s="61">
        <v>2019</v>
      </c>
      <c r="AH2" s="62"/>
      <c r="AI2" s="62"/>
      <c r="AJ2" s="62"/>
      <c r="AK2" s="62"/>
      <c r="AL2" s="62"/>
      <c r="AM2" s="62"/>
      <c r="AN2" s="63"/>
      <c r="AP2" s="61" t="s">
        <v>44</v>
      </c>
      <c r="AQ2" s="62"/>
      <c r="AR2" s="62"/>
      <c r="AS2" s="62"/>
      <c r="AT2" s="62"/>
      <c r="AU2" s="62"/>
      <c r="AV2" s="62"/>
      <c r="AW2" s="63"/>
    </row>
    <row r="3" spans="1:49" s="10" customFormat="1" ht="68.400000000000006" customHeight="1">
      <c r="A3" s="9"/>
      <c r="B3" s="55" t="s">
        <v>9</v>
      </c>
      <c r="C3" s="58"/>
      <c r="D3" s="60" t="s">
        <v>7</v>
      </c>
      <c r="E3" s="56"/>
      <c r="F3" s="60" t="s">
        <v>8</v>
      </c>
      <c r="G3" s="56"/>
      <c r="H3" s="55" t="s">
        <v>0</v>
      </c>
      <c r="I3" s="56"/>
      <c r="J3" s="55" t="s">
        <v>4</v>
      </c>
      <c r="K3" s="58"/>
      <c r="L3" s="60" t="s">
        <v>7</v>
      </c>
      <c r="M3" s="56"/>
      <c r="N3" s="60" t="s">
        <v>10</v>
      </c>
      <c r="O3" s="56"/>
      <c r="P3" s="55" t="s">
        <v>0</v>
      </c>
      <c r="Q3" s="56"/>
      <c r="R3"/>
      <c r="S3" s="26" t="s">
        <v>21</v>
      </c>
      <c r="T3" s="27" t="s">
        <v>15</v>
      </c>
      <c r="U3" s="27" t="s">
        <v>16</v>
      </c>
      <c r="V3" s="27" t="s">
        <v>17</v>
      </c>
      <c r="W3" s="27" t="s">
        <v>7</v>
      </c>
      <c r="X3" s="27" t="s">
        <v>18</v>
      </c>
      <c r="Y3" s="27" t="s">
        <v>26</v>
      </c>
      <c r="Z3" s="27" t="s">
        <v>28</v>
      </c>
      <c r="AA3" s="27" t="s">
        <v>29</v>
      </c>
      <c r="AB3" s="27" t="s">
        <v>20</v>
      </c>
      <c r="AC3" s="27" t="s">
        <v>22</v>
      </c>
      <c r="AD3" s="28" t="s">
        <v>23</v>
      </c>
      <c r="AE3" s="41" t="s">
        <v>27</v>
      </c>
      <c r="AG3" s="64" t="s">
        <v>38</v>
      </c>
      <c r="AH3" s="65" t="s">
        <v>39</v>
      </c>
      <c r="AI3" s="65" t="s">
        <v>21</v>
      </c>
      <c r="AJ3" s="65" t="s">
        <v>15</v>
      </c>
      <c r="AK3" s="65" t="s">
        <v>40</v>
      </c>
      <c r="AL3" s="65" t="s">
        <v>41</v>
      </c>
      <c r="AM3" s="65" t="s">
        <v>42</v>
      </c>
      <c r="AN3" s="66" t="s">
        <v>43</v>
      </c>
      <c r="AP3" s="64" t="s">
        <v>38</v>
      </c>
      <c r="AQ3" s="65" t="s">
        <v>39</v>
      </c>
      <c r="AR3" s="65" t="s">
        <v>21</v>
      </c>
      <c r="AS3" s="65" t="s">
        <v>15</v>
      </c>
      <c r="AT3" s="65" t="s">
        <v>40</v>
      </c>
      <c r="AU3" s="65" t="s">
        <v>41</v>
      </c>
      <c r="AV3" s="65" t="s">
        <v>42</v>
      </c>
      <c r="AW3" s="66" t="s">
        <v>43</v>
      </c>
    </row>
    <row r="4" spans="1:49" ht="21.6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2"/>
      <c r="AG4" s="64"/>
      <c r="AH4" s="65"/>
      <c r="AI4" s="65"/>
      <c r="AJ4" s="65"/>
      <c r="AK4" s="65"/>
      <c r="AL4" s="65"/>
      <c r="AM4" s="65"/>
      <c r="AN4" s="66"/>
      <c r="AP4" s="64"/>
      <c r="AQ4" s="65"/>
      <c r="AR4" s="65"/>
      <c r="AS4" s="65"/>
      <c r="AT4" s="65"/>
      <c r="AU4" s="65"/>
      <c r="AV4" s="65"/>
      <c r="AW4" s="66"/>
    </row>
    <row r="5" spans="1:49" ht="21" customHeight="1" thickBot="1">
      <c r="A5" s="13">
        <v>0.29166666666666669</v>
      </c>
      <c r="B5" s="15">
        <v>2</v>
      </c>
      <c r="C5" s="16"/>
      <c r="D5" s="17"/>
      <c r="E5" s="18"/>
      <c r="F5" s="17"/>
      <c r="G5" s="18"/>
      <c r="H5" s="15">
        <v>1</v>
      </c>
      <c r="I5" s="16"/>
      <c r="J5" s="15"/>
      <c r="K5" s="16"/>
      <c r="L5" s="17"/>
      <c r="M5" s="18">
        <v>1</v>
      </c>
      <c r="N5" s="17"/>
      <c r="O5" s="18"/>
      <c r="P5" s="15"/>
      <c r="Q5" s="16"/>
      <c r="S5" s="29">
        <f t="shared" ref="S5:T11" si="0">B5+D5+F5+H5+J5+L5+N5+P5</f>
        <v>3</v>
      </c>
      <c r="T5" s="19">
        <f t="shared" si="0"/>
        <v>1</v>
      </c>
      <c r="U5" s="25">
        <f t="shared" ref="U5:U11" si="1">T5/(T5+S5)</f>
        <v>0.25</v>
      </c>
      <c r="V5" s="19">
        <f t="shared" ref="V5:V11" si="2">B5+C5+J5+K5</f>
        <v>2</v>
      </c>
      <c r="W5" s="19">
        <f t="shared" ref="W5:W11" si="3">D5+E5+L5+M5</f>
        <v>1</v>
      </c>
      <c r="X5" s="19">
        <f t="shared" ref="X5:X11" si="4">F5+G5+N5+O5</f>
        <v>0</v>
      </c>
      <c r="Y5" s="19">
        <f t="shared" ref="Y5:Y11" si="5">SUM(V5:X5)</f>
        <v>3</v>
      </c>
      <c r="Z5" s="44">
        <f>W5/Y5</f>
        <v>0.33333333333333331</v>
      </c>
      <c r="AA5" s="44">
        <f>X5/Y5</f>
        <v>0</v>
      </c>
      <c r="AB5" s="19">
        <f t="shared" ref="AB5:AB11" si="6">H5+I5+P5+Q5</f>
        <v>1</v>
      </c>
      <c r="AC5" s="19">
        <f t="shared" ref="AC5:AC11" si="7">SUM(B5:I5)</f>
        <v>3</v>
      </c>
      <c r="AD5" s="30">
        <f t="shared" ref="AD5:AD11" si="8">SUM(J5:Q5)</f>
        <v>1</v>
      </c>
      <c r="AE5" s="42">
        <f>SUM(B5:Q5)</f>
        <v>4</v>
      </c>
      <c r="AG5" s="64"/>
      <c r="AH5" s="65"/>
      <c r="AI5" s="65"/>
      <c r="AJ5" s="65"/>
      <c r="AK5" s="65"/>
      <c r="AL5" s="65"/>
      <c r="AM5" s="65"/>
      <c r="AN5" s="66"/>
      <c r="AP5" s="64"/>
      <c r="AQ5" s="65"/>
      <c r="AR5" s="65"/>
      <c r="AS5" s="65"/>
      <c r="AT5" s="65"/>
      <c r="AU5" s="65"/>
      <c r="AV5" s="65"/>
      <c r="AW5" s="66"/>
    </row>
    <row r="6" spans="1:49" ht="21" customHeight="1" thickBot="1">
      <c r="A6" s="14">
        <v>0.30208333333333331</v>
      </c>
      <c r="B6" s="15">
        <v>5</v>
      </c>
      <c r="C6" s="16">
        <v>2</v>
      </c>
      <c r="D6" s="17"/>
      <c r="E6" s="18"/>
      <c r="F6" s="17"/>
      <c r="G6" s="18"/>
      <c r="H6" s="15"/>
      <c r="I6" s="16">
        <v>1</v>
      </c>
      <c r="J6" s="15">
        <v>1</v>
      </c>
      <c r="K6" s="16">
        <v>1</v>
      </c>
      <c r="L6" s="17"/>
      <c r="M6" s="18"/>
      <c r="N6" s="17"/>
      <c r="O6" s="18">
        <v>1</v>
      </c>
      <c r="P6" s="15"/>
      <c r="Q6" s="16"/>
      <c r="S6" s="29">
        <f t="shared" si="0"/>
        <v>6</v>
      </c>
      <c r="T6" s="19">
        <f t="shared" si="0"/>
        <v>5</v>
      </c>
      <c r="U6" s="25">
        <f t="shared" si="1"/>
        <v>0.45454545454545453</v>
      </c>
      <c r="V6" s="19">
        <f t="shared" si="2"/>
        <v>9</v>
      </c>
      <c r="W6" s="19">
        <f t="shared" si="3"/>
        <v>0</v>
      </c>
      <c r="X6" s="19">
        <f t="shared" si="4"/>
        <v>1</v>
      </c>
      <c r="Y6" s="19">
        <f t="shared" si="5"/>
        <v>10</v>
      </c>
      <c r="Z6" s="44">
        <f t="shared" ref="Z6:Z14" si="9">W6/Y6</f>
        <v>0</v>
      </c>
      <c r="AA6" s="44">
        <f t="shared" ref="AA6:AA14" si="10">X6/Y6</f>
        <v>0.1</v>
      </c>
      <c r="AB6" s="19">
        <f t="shared" si="6"/>
        <v>1</v>
      </c>
      <c r="AC6" s="19">
        <f t="shared" si="7"/>
        <v>8</v>
      </c>
      <c r="AD6" s="30">
        <f t="shared" si="8"/>
        <v>3</v>
      </c>
      <c r="AE6" s="42">
        <f t="shared" ref="AE6:AE14" si="11">SUM(B6:Q6)</f>
        <v>11</v>
      </c>
      <c r="AG6" s="64"/>
      <c r="AH6" s="65"/>
      <c r="AI6" s="65"/>
      <c r="AJ6" s="65"/>
      <c r="AK6" s="65"/>
      <c r="AL6" s="65"/>
      <c r="AM6" s="65"/>
      <c r="AN6" s="66"/>
      <c r="AP6" s="64"/>
      <c r="AQ6" s="65"/>
      <c r="AR6" s="65"/>
      <c r="AS6" s="65"/>
      <c r="AT6" s="65"/>
      <c r="AU6" s="65"/>
      <c r="AV6" s="65"/>
      <c r="AW6" s="66"/>
    </row>
    <row r="7" spans="1:49" ht="21" customHeight="1" thickBot="1">
      <c r="A7" s="14">
        <v>0.3125</v>
      </c>
      <c r="B7" s="15"/>
      <c r="C7" s="16"/>
      <c r="D7" s="17"/>
      <c r="E7" s="18"/>
      <c r="F7" s="17"/>
      <c r="G7" s="18"/>
      <c r="H7" s="15"/>
      <c r="I7" s="16"/>
      <c r="J7" s="15"/>
      <c r="K7" s="16">
        <v>1</v>
      </c>
      <c r="L7" s="17">
        <v>3</v>
      </c>
      <c r="M7" s="18"/>
      <c r="N7" s="17"/>
      <c r="O7" s="18"/>
      <c r="P7" s="15"/>
      <c r="Q7" s="16"/>
      <c r="S7" s="29">
        <f t="shared" si="0"/>
        <v>3</v>
      </c>
      <c r="T7" s="19">
        <f t="shared" si="0"/>
        <v>1</v>
      </c>
      <c r="U7" s="25">
        <f t="shared" si="1"/>
        <v>0.25</v>
      </c>
      <c r="V7" s="19">
        <f t="shared" si="2"/>
        <v>1</v>
      </c>
      <c r="W7" s="19">
        <f t="shared" si="3"/>
        <v>3</v>
      </c>
      <c r="X7" s="19">
        <f t="shared" si="4"/>
        <v>0</v>
      </c>
      <c r="Y7" s="19">
        <f t="shared" si="5"/>
        <v>4</v>
      </c>
      <c r="Z7" s="44">
        <f t="shared" si="9"/>
        <v>0.75</v>
      </c>
      <c r="AA7" s="44">
        <f t="shared" si="10"/>
        <v>0</v>
      </c>
      <c r="AB7" s="19">
        <f t="shared" si="6"/>
        <v>0</v>
      </c>
      <c r="AC7" s="19">
        <f t="shared" si="7"/>
        <v>0</v>
      </c>
      <c r="AD7" s="30">
        <f t="shared" si="8"/>
        <v>4</v>
      </c>
      <c r="AE7" s="42">
        <f t="shared" si="11"/>
        <v>4</v>
      </c>
      <c r="AG7" s="64"/>
      <c r="AH7" s="65"/>
      <c r="AI7" s="65"/>
      <c r="AJ7" s="65"/>
      <c r="AK7" s="65"/>
      <c r="AL7" s="65"/>
      <c r="AM7" s="65"/>
      <c r="AN7" s="66"/>
      <c r="AP7" s="64"/>
      <c r="AQ7" s="65"/>
      <c r="AR7" s="65"/>
      <c r="AS7" s="65"/>
      <c r="AT7" s="65"/>
      <c r="AU7" s="65"/>
      <c r="AV7" s="65"/>
      <c r="AW7" s="66"/>
    </row>
    <row r="8" spans="1:49" ht="21" customHeight="1" thickBot="1">
      <c r="A8" s="14">
        <v>0.32291666666666669</v>
      </c>
      <c r="B8" s="15">
        <v>7</v>
      </c>
      <c r="C8" s="16">
        <v>2</v>
      </c>
      <c r="D8" s="17"/>
      <c r="E8" s="18"/>
      <c r="F8" s="17"/>
      <c r="G8" s="18"/>
      <c r="H8" s="15">
        <v>1</v>
      </c>
      <c r="I8" s="16"/>
      <c r="J8" s="15"/>
      <c r="K8" s="16">
        <v>1</v>
      </c>
      <c r="L8" s="17"/>
      <c r="M8" s="18"/>
      <c r="N8" s="17"/>
      <c r="O8" s="18">
        <v>2</v>
      </c>
      <c r="P8" s="15"/>
      <c r="Q8" s="16"/>
      <c r="S8" s="29">
        <f t="shared" si="0"/>
        <v>8</v>
      </c>
      <c r="T8" s="19">
        <f t="shared" si="0"/>
        <v>5</v>
      </c>
      <c r="U8" s="25">
        <f t="shared" si="1"/>
        <v>0.38461538461538464</v>
      </c>
      <c r="V8" s="19">
        <f t="shared" si="2"/>
        <v>10</v>
      </c>
      <c r="W8" s="19">
        <f t="shared" si="3"/>
        <v>0</v>
      </c>
      <c r="X8" s="19">
        <f t="shared" si="4"/>
        <v>2</v>
      </c>
      <c r="Y8" s="19">
        <f t="shared" si="5"/>
        <v>12</v>
      </c>
      <c r="Z8" s="44">
        <f t="shared" si="9"/>
        <v>0</v>
      </c>
      <c r="AA8" s="44">
        <f t="shared" si="10"/>
        <v>0.16666666666666666</v>
      </c>
      <c r="AB8" s="19">
        <f t="shared" si="6"/>
        <v>1</v>
      </c>
      <c r="AC8" s="19">
        <f t="shared" si="7"/>
        <v>10</v>
      </c>
      <c r="AD8" s="30">
        <f t="shared" si="8"/>
        <v>3</v>
      </c>
      <c r="AE8" s="42">
        <f t="shared" si="11"/>
        <v>13</v>
      </c>
      <c r="AG8" s="64"/>
      <c r="AH8" s="65"/>
      <c r="AI8" s="65"/>
      <c r="AJ8" s="65"/>
      <c r="AK8" s="65"/>
      <c r="AL8" s="65"/>
      <c r="AM8" s="65"/>
      <c r="AN8" s="66"/>
      <c r="AP8" s="64"/>
      <c r="AQ8" s="65"/>
      <c r="AR8" s="65"/>
      <c r="AS8" s="65"/>
      <c r="AT8" s="65"/>
      <c r="AU8" s="65"/>
      <c r="AV8" s="65"/>
      <c r="AW8" s="66"/>
    </row>
    <row r="9" spans="1:49" ht="21" customHeight="1" thickBot="1">
      <c r="A9" s="13">
        <v>0.33333333333333331</v>
      </c>
      <c r="B9" s="15"/>
      <c r="C9" s="16"/>
      <c r="D9" s="17"/>
      <c r="E9" s="18"/>
      <c r="F9" s="17"/>
      <c r="G9" s="18"/>
      <c r="H9" s="15"/>
      <c r="I9" s="16"/>
      <c r="J9" s="15"/>
      <c r="K9" s="16"/>
      <c r="L9" s="17"/>
      <c r="M9" s="18"/>
      <c r="N9" s="17"/>
      <c r="O9" s="18"/>
      <c r="P9" s="15"/>
      <c r="Q9" s="16"/>
      <c r="S9" s="29">
        <f t="shared" si="0"/>
        <v>0</v>
      </c>
      <c r="T9" s="19">
        <f t="shared" si="0"/>
        <v>0</v>
      </c>
      <c r="U9" s="25" t="e">
        <f t="shared" si="1"/>
        <v>#DIV/0!</v>
      </c>
      <c r="V9" s="19">
        <f t="shared" si="2"/>
        <v>0</v>
      </c>
      <c r="W9" s="19">
        <f t="shared" si="3"/>
        <v>0</v>
      </c>
      <c r="X9" s="19">
        <f t="shared" si="4"/>
        <v>0</v>
      </c>
      <c r="Y9" s="19">
        <f t="shared" si="5"/>
        <v>0</v>
      </c>
      <c r="Z9" s="44" t="e">
        <f t="shared" si="9"/>
        <v>#DIV/0!</v>
      </c>
      <c r="AA9" s="44" t="e">
        <f t="shared" si="10"/>
        <v>#DIV/0!</v>
      </c>
      <c r="AB9" s="19">
        <f t="shared" si="6"/>
        <v>0</v>
      </c>
      <c r="AC9" s="19">
        <f t="shared" si="7"/>
        <v>0</v>
      </c>
      <c r="AD9" s="30">
        <f t="shared" si="8"/>
        <v>0</v>
      </c>
      <c r="AE9" s="42">
        <f t="shared" si="11"/>
        <v>0</v>
      </c>
      <c r="AG9" s="64"/>
      <c r="AH9" s="65"/>
      <c r="AI9" s="65"/>
      <c r="AJ9" s="65"/>
      <c r="AK9" s="65"/>
      <c r="AL9" s="65"/>
      <c r="AM9" s="65"/>
      <c r="AN9" s="66"/>
      <c r="AP9" s="64"/>
      <c r="AQ9" s="65"/>
      <c r="AR9" s="65"/>
      <c r="AS9" s="65"/>
      <c r="AT9" s="65"/>
      <c r="AU9" s="65"/>
      <c r="AV9" s="65"/>
      <c r="AW9" s="66"/>
    </row>
    <row r="10" spans="1:49" ht="21" customHeight="1" thickBot="1">
      <c r="A10" s="14">
        <v>0.34375</v>
      </c>
      <c r="B10" s="15"/>
      <c r="C10" s="16"/>
      <c r="D10" s="17"/>
      <c r="E10" s="18"/>
      <c r="F10" s="17"/>
      <c r="G10" s="18"/>
      <c r="H10" s="10"/>
      <c r="I10" s="16"/>
      <c r="J10" s="15"/>
      <c r="K10" s="16"/>
      <c r="L10" s="17"/>
      <c r="M10" s="18"/>
      <c r="N10" s="17"/>
      <c r="O10" s="18"/>
      <c r="P10" s="15"/>
      <c r="Q10" s="16"/>
      <c r="S10" s="29">
        <f t="shared" si="0"/>
        <v>0</v>
      </c>
      <c r="T10" s="19">
        <f t="shared" si="0"/>
        <v>0</v>
      </c>
      <c r="U10" s="25" t="e">
        <f t="shared" si="1"/>
        <v>#DIV/0!</v>
      </c>
      <c r="V10" s="19">
        <f t="shared" si="2"/>
        <v>0</v>
      </c>
      <c r="W10" s="19">
        <f t="shared" si="3"/>
        <v>0</v>
      </c>
      <c r="X10" s="19">
        <f t="shared" si="4"/>
        <v>0</v>
      </c>
      <c r="Y10" s="19">
        <f t="shared" si="5"/>
        <v>0</v>
      </c>
      <c r="Z10" s="44" t="e">
        <f t="shared" si="9"/>
        <v>#DIV/0!</v>
      </c>
      <c r="AA10" s="44" t="e">
        <f t="shared" si="10"/>
        <v>#DIV/0!</v>
      </c>
      <c r="AB10" s="19">
        <f t="shared" si="6"/>
        <v>0</v>
      </c>
      <c r="AC10" s="19">
        <f t="shared" si="7"/>
        <v>0</v>
      </c>
      <c r="AD10" s="30">
        <f t="shared" si="8"/>
        <v>0</v>
      </c>
      <c r="AE10" s="42">
        <f t="shared" si="11"/>
        <v>0</v>
      </c>
      <c r="AG10" s="64"/>
      <c r="AH10" s="65"/>
      <c r="AI10" s="65"/>
      <c r="AJ10" s="65"/>
      <c r="AK10" s="65"/>
      <c r="AL10" s="65"/>
      <c r="AM10" s="65"/>
      <c r="AN10" s="66"/>
      <c r="AP10" s="64"/>
      <c r="AQ10" s="65"/>
      <c r="AR10" s="65"/>
      <c r="AS10" s="65"/>
      <c r="AT10" s="65"/>
      <c r="AU10" s="65"/>
      <c r="AV10" s="65"/>
      <c r="AW10" s="66"/>
    </row>
    <row r="11" spans="1:49" ht="21" customHeight="1" thickBot="1">
      <c r="A11" s="14">
        <v>0.35416666666666669</v>
      </c>
      <c r="B11" s="15"/>
      <c r="C11" s="16"/>
      <c r="D11" s="17"/>
      <c r="E11" s="18"/>
      <c r="F11" s="17"/>
      <c r="G11" s="18"/>
      <c r="H11" s="15"/>
      <c r="I11" s="16"/>
      <c r="J11" s="15"/>
      <c r="K11" s="16"/>
      <c r="L11" s="17"/>
      <c r="M11" s="18"/>
      <c r="N11" s="17"/>
      <c r="O11" s="18"/>
      <c r="P11" s="15"/>
      <c r="Q11" s="16"/>
      <c r="S11" s="29">
        <f t="shared" si="0"/>
        <v>0</v>
      </c>
      <c r="T11" s="19">
        <f t="shared" si="0"/>
        <v>0</v>
      </c>
      <c r="U11" s="25" t="e">
        <f t="shared" si="1"/>
        <v>#DIV/0!</v>
      </c>
      <c r="V11" s="19">
        <f t="shared" si="2"/>
        <v>0</v>
      </c>
      <c r="W11" s="19">
        <f t="shared" si="3"/>
        <v>0</v>
      </c>
      <c r="X11" s="19">
        <f t="shared" si="4"/>
        <v>0</v>
      </c>
      <c r="Y11" s="19">
        <f t="shared" si="5"/>
        <v>0</v>
      </c>
      <c r="Z11" s="44" t="e">
        <f t="shared" si="9"/>
        <v>#DIV/0!</v>
      </c>
      <c r="AA11" s="44" t="e">
        <f t="shared" si="10"/>
        <v>#DIV/0!</v>
      </c>
      <c r="AB11" s="19">
        <f t="shared" si="6"/>
        <v>0</v>
      </c>
      <c r="AC11" s="19">
        <f t="shared" si="7"/>
        <v>0</v>
      </c>
      <c r="AD11" s="30">
        <f t="shared" si="8"/>
        <v>0</v>
      </c>
      <c r="AE11" s="42">
        <f t="shared" si="11"/>
        <v>0</v>
      </c>
      <c r="AG11" s="64"/>
      <c r="AH11" s="65"/>
      <c r="AI11" s="65"/>
      <c r="AJ11" s="65"/>
      <c r="AK11" s="65"/>
      <c r="AL11" s="65"/>
      <c r="AM11" s="65"/>
      <c r="AN11" s="66"/>
      <c r="AP11" s="64"/>
      <c r="AQ11" s="65"/>
      <c r="AR11" s="65"/>
      <c r="AS11" s="65"/>
      <c r="AT11" s="65"/>
      <c r="AU11" s="65"/>
      <c r="AV11" s="65"/>
      <c r="AW11" s="66"/>
    </row>
    <row r="12" spans="1:49" ht="21" customHeight="1" thickBot="1">
      <c r="A12" s="14">
        <v>0.36458333333333331</v>
      </c>
      <c r="B12" s="20"/>
      <c r="C12" s="21"/>
      <c r="D12" s="22"/>
      <c r="E12" s="23"/>
      <c r="F12" s="22"/>
      <c r="G12" s="23"/>
      <c r="H12" s="20"/>
      <c r="I12" s="21"/>
      <c r="J12" s="20"/>
      <c r="K12" s="21"/>
      <c r="L12" s="22"/>
      <c r="M12" s="23"/>
      <c r="N12" s="22"/>
      <c r="O12" s="23"/>
      <c r="P12" s="20"/>
      <c r="Q12" s="21"/>
      <c r="S12" s="29">
        <f t="shared" ref="S12:T14" si="12">B12+D12+F12+H12+J12+L12+N12+P12</f>
        <v>0</v>
      </c>
      <c r="T12" s="19">
        <f t="shared" si="12"/>
        <v>0</v>
      </c>
      <c r="U12" s="25" t="e">
        <f>T12/(T12+S12)</f>
        <v>#DIV/0!</v>
      </c>
      <c r="V12" s="19">
        <f>B12+C12+J12+K12</f>
        <v>0</v>
      </c>
      <c r="W12" s="19">
        <f>D12+E12+L12+M12</f>
        <v>0</v>
      </c>
      <c r="X12" s="19">
        <f>F12+G12+N12+O12</f>
        <v>0</v>
      </c>
      <c r="Y12" s="19">
        <f>SUM(V12:X12)</f>
        <v>0</v>
      </c>
      <c r="Z12" s="44" t="e">
        <f t="shared" si="9"/>
        <v>#DIV/0!</v>
      </c>
      <c r="AA12" s="44" t="e">
        <f t="shared" si="10"/>
        <v>#DIV/0!</v>
      </c>
      <c r="AB12" s="19">
        <f>H12+I12+P12+Q12</f>
        <v>0</v>
      </c>
      <c r="AC12" s="19">
        <f>SUM(B12:I12)</f>
        <v>0</v>
      </c>
      <c r="AD12" s="30">
        <f>SUM(J12:Q12)</f>
        <v>0</v>
      </c>
      <c r="AE12" s="42">
        <f t="shared" si="11"/>
        <v>0</v>
      </c>
      <c r="AG12" s="64"/>
      <c r="AH12" s="65"/>
      <c r="AI12" s="65"/>
      <c r="AJ12" s="65"/>
      <c r="AK12" s="65"/>
      <c r="AL12" s="65"/>
      <c r="AM12" s="65"/>
      <c r="AN12" s="66"/>
      <c r="AP12" s="64"/>
      <c r="AQ12" s="65"/>
      <c r="AR12" s="65"/>
      <c r="AS12" s="65"/>
      <c r="AT12" s="65"/>
      <c r="AU12" s="65"/>
      <c r="AV12" s="65"/>
      <c r="AW12" s="66"/>
    </row>
    <row r="13" spans="1:49" ht="15" thickBot="1">
      <c r="A13" s="24" t="s">
        <v>13</v>
      </c>
      <c r="B13" s="35">
        <f>SUM(B5:B12)</f>
        <v>14</v>
      </c>
      <c r="C13" s="35">
        <f t="shared" ref="C13:Q13" si="13">SUM(C5:C12)</f>
        <v>4</v>
      </c>
      <c r="D13" s="35">
        <f t="shared" si="13"/>
        <v>0</v>
      </c>
      <c r="E13" s="35">
        <f t="shared" si="13"/>
        <v>0</v>
      </c>
      <c r="F13" s="35">
        <f t="shared" si="13"/>
        <v>0</v>
      </c>
      <c r="G13" s="35">
        <f t="shared" si="13"/>
        <v>0</v>
      </c>
      <c r="H13" s="35">
        <f t="shared" si="13"/>
        <v>2</v>
      </c>
      <c r="I13" s="35">
        <f t="shared" si="13"/>
        <v>1</v>
      </c>
      <c r="J13" s="35">
        <f t="shared" si="13"/>
        <v>1</v>
      </c>
      <c r="K13" s="35">
        <f t="shared" si="13"/>
        <v>3</v>
      </c>
      <c r="L13" s="35">
        <f t="shared" si="13"/>
        <v>3</v>
      </c>
      <c r="M13" s="35">
        <f t="shared" si="13"/>
        <v>1</v>
      </c>
      <c r="N13" s="35">
        <f t="shared" si="13"/>
        <v>0</v>
      </c>
      <c r="O13" s="35">
        <f t="shared" si="13"/>
        <v>3</v>
      </c>
      <c r="P13" s="35">
        <f t="shared" si="13"/>
        <v>0</v>
      </c>
      <c r="Q13" s="35">
        <f t="shared" si="13"/>
        <v>0</v>
      </c>
      <c r="S13" s="31">
        <f t="shared" si="12"/>
        <v>20</v>
      </c>
      <c r="T13" s="32">
        <f t="shared" si="12"/>
        <v>12</v>
      </c>
      <c r="U13" s="33">
        <f>T13/(T13+S13)</f>
        <v>0.375</v>
      </c>
      <c r="V13" s="32">
        <f>B13+C13+J13+K13</f>
        <v>22</v>
      </c>
      <c r="W13" s="32">
        <f>D13+E13+L13+M13</f>
        <v>4</v>
      </c>
      <c r="X13" s="32">
        <f>F13+G13+N13+O13</f>
        <v>3</v>
      </c>
      <c r="Y13" s="32">
        <f>SUM(V13:X13)</f>
        <v>29</v>
      </c>
      <c r="Z13" s="44">
        <f t="shared" si="9"/>
        <v>0.13793103448275862</v>
      </c>
      <c r="AA13" s="44">
        <f t="shared" si="10"/>
        <v>0.10344827586206896</v>
      </c>
      <c r="AB13" s="32">
        <f>H13+I13+P13+Q13</f>
        <v>3</v>
      </c>
      <c r="AC13" s="32">
        <f>SUM(B13:I13)</f>
        <v>21</v>
      </c>
      <c r="AD13" s="34">
        <f>SUM(J13:Q13)</f>
        <v>11</v>
      </c>
      <c r="AE13" s="43">
        <f t="shared" si="11"/>
        <v>32</v>
      </c>
      <c r="AG13" s="71">
        <v>111</v>
      </c>
      <c r="AH13" s="72">
        <v>31</v>
      </c>
      <c r="AI13" s="72">
        <v>101</v>
      </c>
      <c r="AJ13" s="72">
        <v>41</v>
      </c>
      <c r="AK13" s="72">
        <v>101</v>
      </c>
      <c r="AL13" s="72">
        <v>41</v>
      </c>
      <c r="AM13" s="72">
        <v>0.28873239436619719</v>
      </c>
      <c r="AN13" s="73">
        <v>142</v>
      </c>
      <c r="AP13" s="74">
        <f>(Y13-AG13)/AG13</f>
        <v>-0.73873873873873874</v>
      </c>
      <c r="AQ13" s="75">
        <f>(AB13-AH13)/AH13</f>
        <v>-0.90322580645161288</v>
      </c>
      <c r="AR13" s="75">
        <f>(S13-AI13)/AI13</f>
        <v>-0.80198019801980203</v>
      </c>
      <c r="AS13" s="75">
        <f>(T13-AJ13)/AJ13</f>
        <v>-0.70731707317073167</v>
      </c>
      <c r="AT13" s="75">
        <f>(AC13-AK13)/AK13</f>
        <v>-0.79207920792079212</v>
      </c>
      <c r="AU13" s="75">
        <f>(AD13-AL13)/AL13</f>
        <v>-0.73170731707317072</v>
      </c>
      <c r="AV13" s="75">
        <f>(U13-AM13)/AM13</f>
        <v>0.29878048780487804</v>
      </c>
      <c r="AW13" s="76">
        <f>(AE13-AN13)/AN13</f>
        <v>-0.77464788732394363</v>
      </c>
    </row>
    <row r="14" spans="1:49" ht="15" thickBot="1">
      <c r="A14" s="24" t="s">
        <v>32</v>
      </c>
      <c r="B14" s="24">
        <f>SUM(B7:B10)</f>
        <v>7</v>
      </c>
      <c r="C14" s="24">
        <f t="shared" ref="C14:Q14" si="14">SUM(C7:C10)</f>
        <v>2</v>
      </c>
      <c r="D14" s="24">
        <f t="shared" si="14"/>
        <v>0</v>
      </c>
      <c r="E14" s="24">
        <f t="shared" si="14"/>
        <v>0</v>
      </c>
      <c r="F14" s="24">
        <f t="shared" si="14"/>
        <v>0</v>
      </c>
      <c r="G14" s="24">
        <f t="shared" si="14"/>
        <v>0</v>
      </c>
      <c r="H14" s="24">
        <f t="shared" si="14"/>
        <v>1</v>
      </c>
      <c r="I14" s="24">
        <f t="shared" si="14"/>
        <v>0</v>
      </c>
      <c r="J14" s="24">
        <f t="shared" si="14"/>
        <v>0</v>
      </c>
      <c r="K14" s="24">
        <f t="shared" si="14"/>
        <v>2</v>
      </c>
      <c r="L14" s="24">
        <f t="shared" si="14"/>
        <v>3</v>
      </c>
      <c r="M14" s="24">
        <f t="shared" si="14"/>
        <v>0</v>
      </c>
      <c r="N14" s="24">
        <f t="shared" si="14"/>
        <v>0</v>
      </c>
      <c r="O14" s="24">
        <f t="shared" si="14"/>
        <v>2</v>
      </c>
      <c r="P14" s="24">
        <f t="shared" si="14"/>
        <v>0</v>
      </c>
      <c r="Q14" s="24">
        <f t="shared" si="14"/>
        <v>0</v>
      </c>
      <c r="S14" s="51">
        <f t="shared" si="12"/>
        <v>11</v>
      </c>
      <c r="T14" s="35">
        <f t="shared" si="12"/>
        <v>6</v>
      </c>
      <c r="U14" s="52">
        <f>T14/(T14+S14)</f>
        <v>0.35294117647058826</v>
      </c>
      <c r="V14" s="35">
        <f>B14+C14+J14+K14</f>
        <v>11</v>
      </c>
      <c r="W14" s="35">
        <f>D14+E14+L14+M14</f>
        <v>3</v>
      </c>
      <c r="X14" s="35">
        <f>F14+G14+N14+O14</f>
        <v>2</v>
      </c>
      <c r="Y14" s="35">
        <f>SUM(V14:X14)</f>
        <v>16</v>
      </c>
      <c r="Z14" s="53">
        <f t="shared" si="9"/>
        <v>0.1875</v>
      </c>
      <c r="AA14" s="53">
        <f t="shared" si="10"/>
        <v>0.125</v>
      </c>
      <c r="AB14" s="35">
        <f>H14+I14+P14+Q14</f>
        <v>1</v>
      </c>
      <c r="AC14" s="35">
        <f>SUM(B14:I14)</f>
        <v>10</v>
      </c>
      <c r="AD14" s="36">
        <f>SUM(J14:Q14)</f>
        <v>7</v>
      </c>
      <c r="AE14" s="54">
        <f t="shared" si="11"/>
        <v>17</v>
      </c>
    </row>
    <row r="16" spans="1:49">
      <c r="A16" t="s">
        <v>30</v>
      </c>
      <c r="B16">
        <f>SUM(B5:B8)</f>
        <v>14</v>
      </c>
      <c r="C16">
        <f t="shared" ref="C16:Q16" si="15">SUM(C5:C8)</f>
        <v>4</v>
      </c>
      <c r="D16">
        <f t="shared" si="15"/>
        <v>0</v>
      </c>
      <c r="E16">
        <f t="shared" si="15"/>
        <v>0</v>
      </c>
      <c r="F16">
        <f t="shared" si="15"/>
        <v>0</v>
      </c>
      <c r="G16">
        <f t="shared" si="15"/>
        <v>0</v>
      </c>
      <c r="H16">
        <f t="shared" si="15"/>
        <v>2</v>
      </c>
      <c r="I16">
        <f t="shared" si="15"/>
        <v>1</v>
      </c>
      <c r="J16">
        <f t="shared" si="15"/>
        <v>1</v>
      </c>
      <c r="K16">
        <f t="shared" si="15"/>
        <v>3</v>
      </c>
      <c r="L16">
        <f t="shared" si="15"/>
        <v>3</v>
      </c>
      <c r="M16">
        <f t="shared" si="15"/>
        <v>1</v>
      </c>
      <c r="N16">
        <f t="shared" si="15"/>
        <v>0</v>
      </c>
      <c r="O16">
        <f t="shared" si="15"/>
        <v>3</v>
      </c>
      <c r="P16">
        <f t="shared" si="15"/>
        <v>0</v>
      </c>
      <c r="Q16">
        <f t="shared" si="15"/>
        <v>0</v>
      </c>
    </row>
    <row r="17" spans="1:17">
      <c r="A17" t="s">
        <v>31</v>
      </c>
      <c r="B17">
        <f>SUM(B9:B12)</f>
        <v>0</v>
      </c>
      <c r="C17">
        <f t="shared" ref="C17:Q17" si="16">SUM(C9:C12)</f>
        <v>0</v>
      </c>
      <c r="D17">
        <f t="shared" si="16"/>
        <v>0</v>
      </c>
      <c r="E17">
        <f t="shared" si="16"/>
        <v>0</v>
      </c>
      <c r="F17">
        <f t="shared" si="16"/>
        <v>0</v>
      </c>
      <c r="G17">
        <f t="shared" si="16"/>
        <v>0</v>
      </c>
      <c r="H17">
        <f t="shared" si="16"/>
        <v>0</v>
      </c>
      <c r="I17">
        <f t="shared" si="16"/>
        <v>0</v>
      </c>
      <c r="J17">
        <f t="shared" si="16"/>
        <v>0</v>
      </c>
      <c r="K17">
        <f t="shared" si="16"/>
        <v>0</v>
      </c>
      <c r="L17">
        <f t="shared" si="16"/>
        <v>0</v>
      </c>
      <c r="M17">
        <f t="shared" si="16"/>
        <v>0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</row>
  </sheetData>
  <mergeCells count="13">
    <mergeCell ref="AG2:AN2"/>
    <mergeCell ref="AP2:AW2"/>
    <mergeCell ref="P3:Q3"/>
    <mergeCell ref="B2:I2"/>
    <mergeCell ref="J2:Q2"/>
    <mergeCell ref="S2:AD2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170E-218E-4EE5-AA8C-04E6CE30F20B}">
  <sheetPr>
    <pageSetUpPr fitToPage="1"/>
  </sheetPr>
  <dimension ref="A1:AE17"/>
  <sheetViews>
    <sheetView workbookViewId="0">
      <selection activeCell="G23" sqref="G23"/>
    </sheetView>
  </sheetViews>
  <sheetFormatPr defaultRowHeight="14.4"/>
  <cols>
    <col min="1" max="1" width="10.33203125" customWidth="1"/>
    <col min="2" max="17" width="5" customWidth="1"/>
  </cols>
  <sheetData>
    <row r="1" spans="1:31" ht="30.6" customHeight="1" thickBot="1">
      <c r="B1" s="11" t="s">
        <v>11</v>
      </c>
      <c r="C1" s="12"/>
    </row>
    <row r="2" spans="1:31" s="10" customFormat="1" ht="16.2" customHeight="1" thickBot="1">
      <c r="A2" s="9"/>
      <c r="B2" s="55" t="s">
        <v>5</v>
      </c>
      <c r="C2" s="57"/>
      <c r="D2" s="57"/>
      <c r="E2" s="57"/>
      <c r="F2" s="57"/>
      <c r="G2" s="57"/>
      <c r="H2" s="57"/>
      <c r="I2" s="58"/>
      <c r="J2" s="55" t="s">
        <v>6</v>
      </c>
      <c r="K2" s="57"/>
      <c r="L2" s="57"/>
      <c r="M2" s="57"/>
      <c r="N2" s="57"/>
      <c r="O2" s="57"/>
      <c r="P2" s="57"/>
      <c r="Q2" s="58"/>
      <c r="R2"/>
      <c r="S2" s="59" t="s">
        <v>14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1" s="10" customFormat="1" ht="68.400000000000006" customHeight="1">
      <c r="A3" s="9"/>
      <c r="B3" s="55" t="s">
        <v>9</v>
      </c>
      <c r="C3" s="58"/>
      <c r="D3" s="60" t="s">
        <v>7</v>
      </c>
      <c r="E3" s="56"/>
      <c r="F3" s="60" t="s">
        <v>8</v>
      </c>
      <c r="G3" s="56"/>
      <c r="H3" s="55" t="s">
        <v>0</v>
      </c>
      <c r="I3" s="56"/>
      <c r="J3" s="55" t="s">
        <v>4</v>
      </c>
      <c r="K3" s="58"/>
      <c r="L3" s="60" t="s">
        <v>7</v>
      </c>
      <c r="M3" s="56"/>
      <c r="N3" s="60" t="s">
        <v>10</v>
      </c>
      <c r="O3" s="56"/>
      <c r="P3" s="55" t="s">
        <v>0</v>
      </c>
      <c r="Q3" s="56"/>
      <c r="R3"/>
      <c r="S3" s="26" t="s">
        <v>21</v>
      </c>
      <c r="T3" s="27" t="s">
        <v>15</v>
      </c>
      <c r="U3" s="27" t="s">
        <v>16</v>
      </c>
      <c r="V3" s="27" t="s">
        <v>17</v>
      </c>
      <c r="W3" s="27" t="s">
        <v>7</v>
      </c>
      <c r="X3" s="27" t="s">
        <v>18</v>
      </c>
      <c r="Y3" s="27" t="s">
        <v>26</v>
      </c>
      <c r="Z3" s="27" t="s">
        <v>28</v>
      </c>
      <c r="AA3" s="27" t="s">
        <v>29</v>
      </c>
      <c r="AB3" s="27" t="s">
        <v>20</v>
      </c>
      <c r="AC3" s="27" t="s">
        <v>22</v>
      </c>
      <c r="AD3" s="28" t="s">
        <v>23</v>
      </c>
      <c r="AE3" s="41" t="s">
        <v>27</v>
      </c>
    </row>
    <row r="4" spans="1:31" ht="21.6" thickBot="1">
      <c r="A4" s="1" t="s">
        <v>3</v>
      </c>
      <c r="B4" s="2" t="s">
        <v>1</v>
      </c>
      <c r="C4" s="4" t="s">
        <v>2</v>
      </c>
      <c r="D4" s="2" t="s">
        <v>1</v>
      </c>
      <c r="E4" s="4" t="s">
        <v>2</v>
      </c>
      <c r="F4" s="2" t="s">
        <v>1</v>
      </c>
      <c r="G4" s="4" t="s">
        <v>2</v>
      </c>
      <c r="H4" s="2" t="s">
        <v>1</v>
      </c>
      <c r="I4" s="3" t="s">
        <v>2</v>
      </c>
      <c r="J4" s="2" t="s">
        <v>1</v>
      </c>
      <c r="K4" s="4" t="s">
        <v>2</v>
      </c>
      <c r="L4" s="2" t="s">
        <v>1</v>
      </c>
      <c r="M4" s="4" t="s">
        <v>2</v>
      </c>
      <c r="N4" s="2" t="s">
        <v>1</v>
      </c>
      <c r="O4" s="4" t="s">
        <v>2</v>
      </c>
      <c r="P4" s="2" t="s">
        <v>1</v>
      </c>
      <c r="Q4" s="3" t="s">
        <v>2</v>
      </c>
      <c r="S4" s="29"/>
      <c r="T4" s="19"/>
      <c r="U4" s="25"/>
      <c r="V4" s="19"/>
      <c r="W4" s="19"/>
      <c r="X4" s="19"/>
      <c r="Y4" s="19"/>
      <c r="Z4" s="19"/>
      <c r="AA4" s="19"/>
      <c r="AB4" s="19"/>
      <c r="AC4" s="19"/>
      <c r="AD4" s="30"/>
      <c r="AE4" s="42"/>
    </row>
    <row r="5" spans="1:31" ht="21" customHeight="1" thickBot="1">
      <c r="A5" s="13">
        <v>0.29166666666666669</v>
      </c>
      <c r="B5" s="15"/>
      <c r="C5" s="16"/>
      <c r="D5" s="17"/>
      <c r="E5" s="18"/>
      <c r="F5" s="17"/>
      <c r="G5" s="18"/>
      <c r="H5" s="15"/>
      <c r="I5" s="16"/>
      <c r="J5" s="15"/>
      <c r="K5" s="16"/>
      <c r="L5" s="17"/>
      <c r="M5" s="18"/>
      <c r="N5" s="17"/>
      <c r="O5" s="18"/>
      <c r="P5" s="15"/>
      <c r="Q5" s="16"/>
      <c r="S5" s="29">
        <f t="shared" ref="S5:T11" si="0">B5+D5+F5+H5+J5+L5+N5+P5</f>
        <v>0</v>
      </c>
      <c r="T5" s="19">
        <f t="shared" si="0"/>
        <v>0</v>
      </c>
      <c r="U5" s="25" t="e">
        <f t="shared" ref="U5:U11" si="1">T5/(T5+S5)</f>
        <v>#DIV/0!</v>
      </c>
      <c r="V5" s="19">
        <f t="shared" ref="V5:V11" si="2">B5+C5+J5+K5</f>
        <v>0</v>
      </c>
      <c r="W5" s="19">
        <f t="shared" ref="W5:W11" si="3">D5+E5+L5+M5</f>
        <v>0</v>
      </c>
      <c r="X5" s="19">
        <f t="shared" ref="X5:X11" si="4">F5+G5+N5+O5</f>
        <v>0</v>
      </c>
      <c r="Y5" s="19">
        <f t="shared" ref="Y5:Y11" si="5">SUM(V5:X5)</f>
        <v>0</v>
      </c>
      <c r="Z5" s="44" t="e">
        <f>W5/Y5</f>
        <v>#DIV/0!</v>
      </c>
      <c r="AA5" s="44" t="e">
        <f>X5/Y5</f>
        <v>#DIV/0!</v>
      </c>
      <c r="AB5" s="19">
        <f t="shared" ref="AB5:AB11" si="6">H5+I5+P5+Q5</f>
        <v>0</v>
      </c>
      <c r="AC5" s="19">
        <f t="shared" ref="AC5:AC11" si="7">SUM(B5:I5)</f>
        <v>0</v>
      </c>
      <c r="AD5" s="30">
        <f t="shared" ref="AD5:AD11" si="8">SUM(J5:Q5)</f>
        <v>0</v>
      </c>
      <c r="AE5" s="42">
        <f>SUM(B5:Q5)</f>
        <v>0</v>
      </c>
    </row>
    <row r="6" spans="1:31" ht="21" customHeight="1" thickBot="1">
      <c r="A6" s="14">
        <v>0.30208333333333331</v>
      </c>
      <c r="B6" s="15"/>
      <c r="C6" s="16"/>
      <c r="D6" s="17"/>
      <c r="E6" s="18"/>
      <c r="F6" s="17"/>
      <c r="G6" s="18"/>
      <c r="H6" s="15"/>
      <c r="I6" s="16"/>
      <c r="J6" s="15"/>
      <c r="K6" s="16"/>
      <c r="L6" s="17"/>
      <c r="M6" s="18"/>
      <c r="N6" s="17"/>
      <c r="O6" s="18"/>
      <c r="P6" s="15"/>
      <c r="Q6" s="16"/>
      <c r="S6" s="29">
        <f t="shared" si="0"/>
        <v>0</v>
      </c>
      <c r="T6" s="19">
        <f t="shared" si="0"/>
        <v>0</v>
      </c>
      <c r="U6" s="25" t="e">
        <f t="shared" si="1"/>
        <v>#DIV/0!</v>
      </c>
      <c r="V6" s="19">
        <f t="shared" si="2"/>
        <v>0</v>
      </c>
      <c r="W6" s="19">
        <f t="shared" si="3"/>
        <v>0</v>
      </c>
      <c r="X6" s="19">
        <f t="shared" si="4"/>
        <v>0</v>
      </c>
      <c r="Y6" s="19">
        <f t="shared" si="5"/>
        <v>0</v>
      </c>
      <c r="Z6" s="44" t="e">
        <f t="shared" ref="Z6:Z14" si="9">W6/Y6</f>
        <v>#DIV/0!</v>
      </c>
      <c r="AA6" s="44" t="e">
        <f t="shared" ref="AA6:AA14" si="10">X6/Y6</f>
        <v>#DIV/0!</v>
      </c>
      <c r="AB6" s="19">
        <f t="shared" si="6"/>
        <v>0</v>
      </c>
      <c r="AC6" s="19">
        <f t="shared" si="7"/>
        <v>0</v>
      </c>
      <c r="AD6" s="30">
        <f t="shared" si="8"/>
        <v>0</v>
      </c>
      <c r="AE6" s="42">
        <f t="shared" ref="AE6:AE14" si="11">SUM(B6:Q6)</f>
        <v>0</v>
      </c>
    </row>
    <row r="7" spans="1:31" ht="21" customHeight="1" thickBot="1">
      <c r="A7" s="14">
        <v>0.3125</v>
      </c>
      <c r="B7" s="15"/>
      <c r="C7" s="16"/>
      <c r="D7" s="17"/>
      <c r="E7" s="18"/>
      <c r="F7" s="17"/>
      <c r="G7" s="18"/>
      <c r="H7" s="15"/>
      <c r="I7" s="16"/>
      <c r="J7" s="15"/>
      <c r="K7" s="16"/>
      <c r="L7" s="17"/>
      <c r="M7" s="18"/>
      <c r="N7" s="17"/>
      <c r="O7" s="18"/>
      <c r="P7" s="15"/>
      <c r="Q7" s="16"/>
      <c r="S7" s="29">
        <f t="shared" si="0"/>
        <v>0</v>
      </c>
      <c r="T7" s="19">
        <f t="shared" si="0"/>
        <v>0</v>
      </c>
      <c r="U7" s="25" t="e">
        <f t="shared" si="1"/>
        <v>#DIV/0!</v>
      </c>
      <c r="V7" s="19">
        <f t="shared" si="2"/>
        <v>0</v>
      </c>
      <c r="W7" s="19">
        <f t="shared" si="3"/>
        <v>0</v>
      </c>
      <c r="X7" s="19">
        <f t="shared" si="4"/>
        <v>0</v>
      </c>
      <c r="Y7" s="19">
        <f t="shared" si="5"/>
        <v>0</v>
      </c>
      <c r="Z7" s="44" t="e">
        <f t="shared" si="9"/>
        <v>#DIV/0!</v>
      </c>
      <c r="AA7" s="44" t="e">
        <f t="shared" si="10"/>
        <v>#DIV/0!</v>
      </c>
      <c r="AB7" s="19">
        <f t="shared" si="6"/>
        <v>0</v>
      </c>
      <c r="AC7" s="19">
        <f t="shared" si="7"/>
        <v>0</v>
      </c>
      <c r="AD7" s="30">
        <f t="shared" si="8"/>
        <v>0</v>
      </c>
      <c r="AE7" s="42">
        <f t="shared" si="11"/>
        <v>0</v>
      </c>
    </row>
    <row r="8" spans="1:31" ht="21" customHeight="1" thickBot="1">
      <c r="A8" s="14">
        <v>0.32291666666666669</v>
      </c>
      <c r="B8" s="15"/>
      <c r="C8" s="16"/>
      <c r="D8" s="17"/>
      <c r="E8" s="18"/>
      <c r="F8" s="17"/>
      <c r="G8" s="18"/>
      <c r="H8" s="15"/>
      <c r="I8" s="16"/>
      <c r="J8" s="15"/>
      <c r="K8" s="16"/>
      <c r="L8" s="17"/>
      <c r="M8" s="18"/>
      <c r="N8" s="17"/>
      <c r="O8" s="18"/>
      <c r="P8" s="15"/>
      <c r="Q8" s="16"/>
      <c r="S8" s="29">
        <f t="shared" si="0"/>
        <v>0</v>
      </c>
      <c r="T8" s="19">
        <f t="shared" si="0"/>
        <v>0</v>
      </c>
      <c r="U8" s="25" t="e">
        <f t="shared" si="1"/>
        <v>#DIV/0!</v>
      </c>
      <c r="V8" s="19">
        <f t="shared" si="2"/>
        <v>0</v>
      </c>
      <c r="W8" s="19">
        <f t="shared" si="3"/>
        <v>0</v>
      </c>
      <c r="X8" s="19">
        <f t="shared" si="4"/>
        <v>0</v>
      </c>
      <c r="Y8" s="19">
        <f t="shared" si="5"/>
        <v>0</v>
      </c>
      <c r="Z8" s="44" t="e">
        <f t="shared" si="9"/>
        <v>#DIV/0!</v>
      </c>
      <c r="AA8" s="44" t="e">
        <f t="shared" si="10"/>
        <v>#DIV/0!</v>
      </c>
      <c r="AB8" s="19">
        <f t="shared" si="6"/>
        <v>0</v>
      </c>
      <c r="AC8" s="19">
        <f t="shared" si="7"/>
        <v>0</v>
      </c>
      <c r="AD8" s="30">
        <f t="shared" si="8"/>
        <v>0</v>
      </c>
      <c r="AE8" s="42">
        <f t="shared" si="11"/>
        <v>0</v>
      </c>
    </row>
    <row r="9" spans="1:31" ht="21" customHeight="1" thickBot="1">
      <c r="A9" s="13">
        <v>0.33333333333333331</v>
      </c>
      <c r="B9" s="15"/>
      <c r="C9" s="16"/>
      <c r="D9" s="17"/>
      <c r="E9" s="18"/>
      <c r="F9" s="17"/>
      <c r="G9" s="18"/>
      <c r="H9" s="15"/>
      <c r="I9" s="16"/>
      <c r="J9" s="15"/>
      <c r="K9" s="16"/>
      <c r="L9" s="17"/>
      <c r="M9" s="18"/>
      <c r="N9" s="17"/>
      <c r="O9" s="18"/>
      <c r="P9" s="15"/>
      <c r="Q9" s="16"/>
      <c r="S9" s="29">
        <f t="shared" si="0"/>
        <v>0</v>
      </c>
      <c r="T9" s="19">
        <f t="shared" si="0"/>
        <v>0</v>
      </c>
      <c r="U9" s="25" t="e">
        <f t="shared" si="1"/>
        <v>#DIV/0!</v>
      </c>
      <c r="V9" s="19">
        <f t="shared" si="2"/>
        <v>0</v>
      </c>
      <c r="W9" s="19">
        <f t="shared" si="3"/>
        <v>0</v>
      </c>
      <c r="X9" s="19">
        <f t="shared" si="4"/>
        <v>0</v>
      </c>
      <c r="Y9" s="19">
        <f t="shared" si="5"/>
        <v>0</v>
      </c>
      <c r="Z9" s="44" t="e">
        <f t="shared" si="9"/>
        <v>#DIV/0!</v>
      </c>
      <c r="AA9" s="44" t="e">
        <f t="shared" si="10"/>
        <v>#DIV/0!</v>
      </c>
      <c r="AB9" s="19">
        <f t="shared" si="6"/>
        <v>0</v>
      </c>
      <c r="AC9" s="19">
        <f t="shared" si="7"/>
        <v>0</v>
      </c>
      <c r="AD9" s="30">
        <f t="shared" si="8"/>
        <v>0</v>
      </c>
      <c r="AE9" s="42">
        <f t="shared" si="11"/>
        <v>0</v>
      </c>
    </row>
    <row r="10" spans="1:31" ht="21" customHeight="1" thickBot="1">
      <c r="A10" s="14">
        <v>0.34375</v>
      </c>
      <c r="B10" s="15"/>
      <c r="C10" s="16"/>
      <c r="D10" s="17"/>
      <c r="E10" s="18"/>
      <c r="F10" s="17"/>
      <c r="G10" s="18"/>
      <c r="H10" s="10"/>
      <c r="I10" s="16"/>
      <c r="J10" s="15"/>
      <c r="K10" s="16"/>
      <c r="L10" s="17"/>
      <c r="M10" s="18"/>
      <c r="N10" s="17"/>
      <c r="O10" s="18"/>
      <c r="P10" s="15"/>
      <c r="Q10" s="16"/>
      <c r="S10" s="29">
        <f t="shared" si="0"/>
        <v>0</v>
      </c>
      <c r="T10" s="19">
        <f t="shared" si="0"/>
        <v>0</v>
      </c>
      <c r="U10" s="25" t="e">
        <f t="shared" si="1"/>
        <v>#DIV/0!</v>
      </c>
      <c r="V10" s="19">
        <f t="shared" si="2"/>
        <v>0</v>
      </c>
      <c r="W10" s="19">
        <f t="shared" si="3"/>
        <v>0</v>
      </c>
      <c r="X10" s="19">
        <f t="shared" si="4"/>
        <v>0</v>
      </c>
      <c r="Y10" s="19">
        <f t="shared" si="5"/>
        <v>0</v>
      </c>
      <c r="Z10" s="44" t="e">
        <f t="shared" si="9"/>
        <v>#DIV/0!</v>
      </c>
      <c r="AA10" s="44" t="e">
        <f t="shared" si="10"/>
        <v>#DIV/0!</v>
      </c>
      <c r="AB10" s="19">
        <f t="shared" si="6"/>
        <v>0</v>
      </c>
      <c r="AC10" s="19">
        <f t="shared" si="7"/>
        <v>0</v>
      </c>
      <c r="AD10" s="30">
        <f t="shared" si="8"/>
        <v>0</v>
      </c>
      <c r="AE10" s="42">
        <f t="shared" si="11"/>
        <v>0</v>
      </c>
    </row>
    <row r="11" spans="1:31" ht="21" customHeight="1" thickBot="1">
      <c r="A11" s="14">
        <v>0.35416666666666669</v>
      </c>
      <c r="B11" s="15"/>
      <c r="C11" s="16"/>
      <c r="D11" s="17"/>
      <c r="E11" s="18"/>
      <c r="F11" s="17"/>
      <c r="G11" s="18"/>
      <c r="H11" s="15"/>
      <c r="I11" s="16"/>
      <c r="J11" s="15"/>
      <c r="K11" s="16"/>
      <c r="L11" s="17"/>
      <c r="M11" s="18"/>
      <c r="N11" s="17"/>
      <c r="O11" s="18"/>
      <c r="P11" s="15"/>
      <c r="Q11" s="16"/>
      <c r="S11" s="29">
        <f t="shared" si="0"/>
        <v>0</v>
      </c>
      <c r="T11" s="19">
        <f t="shared" si="0"/>
        <v>0</v>
      </c>
      <c r="U11" s="25" t="e">
        <f t="shared" si="1"/>
        <v>#DIV/0!</v>
      </c>
      <c r="V11" s="19">
        <f t="shared" si="2"/>
        <v>0</v>
      </c>
      <c r="W11" s="19">
        <f t="shared" si="3"/>
        <v>0</v>
      </c>
      <c r="X11" s="19">
        <f t="shared" si="4"/>
        <v>0</v>
      </c>
      <c r="Y11" s="19">
        <f t="shared" si="5"/>
        <v>0</v>
      </c>
      <c r="Z11" s="44" t="e">
        <f t="shared" si="9"/>
        <v>#DIV/0!</v>
      </c>
      <c r="AA11" s="44" t="e">
        <f t="shared" si="10"/>
        <v>#DIV/0!</v>
      </c>
      <c r="AB11" s="19">
        <f t="shared" si="6"/>
        <v>0</v>
      </c>
      <c r="AC11" s="19">
        <f t="shared" si="7"/>
        <v>0</v>
      </c>
      <c r="AD11" s="30">
        <f t="shared" si="8"/>
        <v>0</v>
      </c>
      <c r="AE11" s="42">
        <f t="shared" si="11"/>
        <v>0</v>
      </c>
    </row>
    <row r="12" spans="1:31" ht="21" customHeight="1" thickBot="1">
      <c r="A12" s="14">
        <v>0.36458333333333331</v>
      </c>
      <c r="B12" s="20"/>
      <c r="C12" s="21"/>
      <c r="D12" s="22"/>
      <c r="E12" s="23"/>
      <c r="F12" s="22"/>
      <c r="G12" s="23"/>
      <c r="H12" s="20"/>
      <c r="I12" s="21"/>
      <c r="J12" s="20"/>
      <c r="K12" s="21"/>
      <c r="L12" s="22"/>
      <c r="M12" s="23"/>
      <c r="N12" s="22"/>
      <c r="O12" s="23"/>
      <c r="P12" s="20"/>
      <c r="Q12" s="21"/>
      <c r="S12" s="29">
        <f t="shared" ref="S12:T14" si="12">B12+D12+F12+H12+J12+L12+N12+P12</f>
        <v>0</v>
      </c>
      <c r="T12" s="19">
        <f t="shared" si="12"/>
        <v>0</v>
      </c>
      <c r="U12" s="25" t="e">
        <f>T12/(T12+S12)</f>
        <v>#DIV/0!</v>
      </c>
      <c r="V12" s="19">
        <f>B12+C12+J12+K12</f>
        <v>0</v>
      </c>
      <c r="W12" s="19">
        <f>D12+E12+L12+M12</f>
        <v>0</v>
      </c>
      <c r="X12" s="19">
        <f>F12+G12+N12+O12</f>
        <v>0</v>
      </c>
      <c r="Y12" s="19">
        <f>SUM(V12:X12)</f>
        <v>0</v>
      </c>
      <c r="Z12" s="44" t="e">
        <f t="shared" si="9"/>
        <v>#DIV/0!</v>
      </c>
      <c r="AA12" s="44" t="e">
        <f t="shared" si="10"/>
        <v>#DIV/0!</v>
      </c>
      <c r="AB12" s="19">
        <f>H12+I12+P12+Q12</f>
        <v>0</v>
      </c>
      <c r="AC12" s="19">
        <f>SUM(B12:I12)</f>
        <v>0</v>
      </c>
      <c r="AD12" s="30">
        <f>SUM(J12:Q12)</f>
        <v>0</v>
      </c>
      <c r="AE12" s="42">
        <f t="shared" si="11"/>
        <v>0</v>
      </c>
    </row>
    <row r="13" spans="1:31" ht="15" thickBot="1">
      <c r="A13" s="24" t="s">
        <v>13</v>
      </c>
      <c r="B13" s="35">
        <f>SUM(B5:B12)</f>
        <v>0</v>
      </c>
      <c r="C13" s="35">
        <f t="shared" ref="C13:Q13" si="13">SUM(C5:C12)</f>
        <v>0</v>
      </c>
      <c r="D13" s="35">
        <f t="shared" si="13"/>
        <v>0</v>
      </c>
      <c r="E13" s="35">
        <f t="shared" si="13"/>
        <v>0</v>
      </c>
      <c r="F13" s="35">
        <f t="shared" si="13"/>
        <v>0</v>
      </c>
      <c r="G13" s="35">
        <f t="shared" si="13"/>
        <v>0</v>
      </c>
      <c r="H13" s="35">
        <f t="shared" si="13"/>
        <v>0</v>
      </c>
      <c r="I13" s="35">
        <f t="shared" si="13"/>
        <v>0</v>
      </c>
      <c r="J13" s="35">
        <f t="shared" si="13"/>
        <v>0</v>
      </c>
      <c r="K13" s="35">
        <f t="shared" si="13"/>
        <v>0</v>
      </c>
      <c r="L13" s="35">
        <f t="shared" si="13"/>
        <v>0</v>
      </c>
      <c r="M13" s="35">
        <f t="shared" si="13"/>
        <v>0</v>
      </c>
      <c r="N13" s="35">
        <f t="shared" si="13"/>
        <v>0</v>
      </c>
      <c r="O13" s="35">
        <f t="shared" si="13"/>
        <v>0</v>
      </c>
      <c r="P13" s="35">
        <f t="shared" si="13"/>
        <v>0</v>
      </c>
      <c r="Q13" s="35">
        <f t="shared" si="13"/>
        <v>0</v>
      </c>
      <c r="S13" s="31">
        <f t="shared" si="12"/>
        <v>0</v>
      </c>
      <c r="T13" s="32">
        <f t="shared" si="12"/>
        <v>0</v>
      </c>
      <c r="U13" s="33" t="e">
        <f>T13/(T13+S13)</f>
        <v>#DIV/0!</v>
      </c>
      <c r="V13" s="32">
        <f>B13+C13+J13+K13</f>
        <v>0</v>
      </c>
      <c r="W13" s="32">
        <f>D13+E13+L13+M13</f>
        <v>0</v>
      </c>
      <c r="X13" s="32">
        <f>F13+G13+N13+O13</f>
        <v>0</v>
      </c>
      <c r="Y13" s="32">
        <f>SUM(V13:X13)</f>
        <v>0</v>
      </c>
      <c r="Z13" s="44" t="e">
        <f t="shared" si="9"/>
        <v>#DIV/0!</v>
      </c>
      <c r="AA13" s="44" t="e">
        <f t="shared" si="10"/>
        <v>#DIV/0!</v>
      </c>
      <c r="AB13" s="32">
        <f>H13+I13+P13+Q13</f>
        <v>0</v>
      </c>
      <c r="AC13" s="32">
        <f>SUM(B13:I13)</f>
        <v>0</v>
      </c>
      <c r="AD13" s="34">
        <f>SUM(J13:Q13)</f>
        <v>0</v>
      </c>
      <c r="AE13" s="43">
        <f t="shared" si="11"/>
        <v>0</v>
      </c>
    </row>
    <row r="14" spans="1:31" ht="15" thickBot="1">
      <c r="A14" s="24" t="s">
        <v>32</v>
      </c>
      <c r="B14" s="24">
        <f>SUM(B7:B10)</f>
        <v>0</v>
      </c>
      <c r="C14" s="24">
        <f t="shared" ref="C14:Q14" si="14">SUM(C7:C10)</f>
        <v>0</v>
      </c>
      <c r="D14" s="24">
        <f t="shared" si="14"/>
        <v>0</v>
      </c>
      <c r="E14" s="24">
        <f t="shared" si="14"/>
        <v>0</v>
      </c>
      <c r="F14" s="24">
        <f t="shared" si="14"/>
        <v>0</v>
      </c>
      <c r="G14" s="24">
        <f t="shared" si="14"/>
        <v>0</v>
      </c>
      <c r="H14" s="24">
        <f t="shared" si="14"/>
        <v>0</v>
      </c>
      <c r="I14" s="24">
        <f t="shared" si="14"/>
        <v>0</v>
      </c>
      <c r="J14" s="24">
        <f t="shared" si="14"/>
        <v>0</v>
      </c>
      <c r="K14" s="24">
        <f t="shared" si="14"/>
        <v>0</v>
      </c>
      <c r="L14" s="24">
        <f t="shared" si="14"/>
        <v>0</v>
      </c>
      <c r="M14" s="24">
        <f t="shared" si="14"/>
        <v>0</v>
      </c>
      <c r="N14" s="24">
        <f t="shared" si="14"/>
        <v>0</v>
      </c>
      <c r="O14" s="24">
        <f t="shared" si="14"/>
        <v>0</v>
      </c>
      <c r="P14" s="24">
        <f t="shared" si="14"/>
        <v>0</v>
      </c>
      <c r="Q14" s="24">
        <f t="shared" si="14"/>
        <v>0</v>
      </c>
      <c r="S14" s="51">
        <f t="shared" si="12"/>
        <v>0</v>
      </c>
      <c r="T14" s="35">
        <f t="shared" si="12"/>
        <v>0</v>
      </c>
      <c r="U14" s="52" t="e">
        <f>T14/(T14+S14)</f>
        <v>#DIV/0!</v>
      </c>
      <c r="V14" s="35">
        <f>B14+C14+J14+K14</f>
        <v>0</v>
      </c>
      <c r="W14" s="35">
        <f>D14+E14+L14+M14</f>
        <v>0</v>
      </c>
      <c r="X14" s="35">
        <f>F14+G14+N14+O14</f>
        <v>0</v>
      </c>
      <c r="Y14" s="35">
        <f>SUM(V14:X14)</f>
        <v>0</v>
      </c>
      <c r="Z14" s="53" t="e">
        <f t="shared" si="9"/>
        <v>#DIV/0!</v>
      </c>
      <c r="AA14" s="53" t="e">
        <f t="shared" si="10"/>
        <v>#DIV/0!</v>
      </c>
      <c r="AB14" s="35">
        <f>H14+I14+P14+Q14</f>
        <v>0</v>
      </c>
      <c r="AC14" s="35">
        <f>SUM(B14:I14)</f>
        <v>0</v>
      </c>
      <c r="AD14" s="36">
        <f>SUM(J14:Q14)</f>
        <v>0</v>
      </c>
      <c r="AE14" s="54">
        <f t="shared" si="11"/>
        <v>0</v>
      </c>
    </row>
    <row r="16" spans="1:31">
      <c r="A16" t="s">
        <v>30</v>
      </c>
      <c r="B16">
        <f>SUM(B5:B8)</f>
        <v>0</v>
      </c>
      <c r="C16">
        <f t="shared" ref="C16:Q16" si="15">SUM(C5:C8)</f>
        <v>0</v>
      </c>
      <c r="D16">
        <f t="shared" si="15"/>
        <v>0</v>
      </c>
      <c r="E16">
        <f t="shared" si="15"/>
        <v>0</v>
      </c>
      <c r="F16">
        <f t="shared" si="15"/>
        <v>0</v>
      </c>
      <c r="G16">
        <f t="shared" si="15"/>
        <v>0</v>
      </c>
      <c r="H16">
        <f t="shared" si="15"/>
        <v>0</v>
      </c>
      <c r="I16">
        <f t="shared" si="15"/>
        <v>0</v>
      </c>
      <c r="J16">
        <f t="shared" si="15"/>
        <v>0</v>
      </c>
      <c r="K16">
        <f t="shared" si="15"/>
        <v>0</v>
      </c>
      <c r="L16">
        <f t="shared" si="15"/>
        <v>0</v>
      </c>
      <c r="M16">
        <f t="shared" si="15"/>
        <v>0</v>
      </c>
      <c r="N16">
        <f t="shared" si="15"/>
        <v>0</v>
      </c>
      <c r="O16">
        <f t="shared" si="15"/>
        <v>0</v>
      </c>
      <c r="P16">
        <f t="shared" si="15"/>
        <v>0</v>
      </c>
      <c r="Q16">
        <f t="shared" si="15"/>
        <v>0</v>
      </c>
    </row>
    <row r="17" spans="1:17">
      <c r="A17" t="s">
        <v>31</v>
      </c>
      <c r="B17">
        <f>SUM(B9:B12)</f>
        <v>0</v>
      </c>
      <c r="C17">
        <f t="shared" ref="C17:Q17" si="16">SUM(C9:C12)</f>
        <v>0</v>
      </c>
      <c r="D17">
        <f t="shared" si="16"/>
        <v>0</v>
      </c>
      <c r="E17">
        <f t="shared" si="16"/>
        <v>0</v>
      </c>
      <c r="F17">
        <f t="shared" si="16"/>
        <v>0</v>
      </c>
      <c r="G17">
        <f t="shared" si="16"/>
        <v>0</v>
      </c>
      <c r="H17">
        <f t="shared" si="16"/>
        <v>0</v>
      </c>
      <c r="I17">
        <f t="shared" si="16"/>
        <v>0</v>
      </c>
      <c r="J17">
        <f t="shared" si="16"/>
        <v>0</v>
      </c>
      <c r="K17">
        <f t="shared" si="16"/>
        <v>0</v>
      </c>
      <c r="L17">
        <f t="shared" si="16"/>
        <v>0</v>
      </c>
      <c r="M17">
        <f t="shared" si="16"/>
        <v>0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</row>
  </sheetData>
  <mergeCells count="11">
    <mergeCell ref="S2:AD2"/>
    <mergeCell ref="J3:K3"/>
    <mergeCell ref="L3:M3"/>
    <mergeCell ref="D3:E3"/>
    <mergeCell ref="F3:G3"/>
    <mergeCell ref="J2:Q2"/>
    <mergeCell ref="N3:O3"/>
    <mergeCell ref="P3:Q3"/>
    <mergeCell ref="B2:I2"/>
    <mergeCell ref="B3:C3"/>
    <mergeCell ref="H3:I3"/>
  </mergeCells>
  <pageMargins left="0.7" right="0.7" top="0.75" bottom="0.75" header="0.3" footer="0.3"/>
  <pageSetup paperSize="9" scale="5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D6D194BCE4BA4A92B2A852D517E666" ma:contentTypeVersion="13" ma:contentTypeDescription="Create a new document." ma:contentTypeScope="" ma:versionID="b321ad8600b22a1509f9391dbf96a809">
  <xsd:schema xmlns:xsd="http://www.w3.org/2001/XMLSchema" xmlns:xs="http://www.w3.org/2001/XMLSchema" xmlns:p="http://schemas.microsoft.com/office/2006/metadata/properties" xmlns:ns3="5ee44128-3d50-4b9c-aa09-37e8fa8fd955" xmlns:ns4="8dc1d2c1-2c17-48d1-98f5-1d9c4aad5262" targetNamespace="http://schemas.microsoft.com/office/2006/metadata/properties" ma:root="true" ma:fieldsID="6f25124abff97bf1941fc74abfe5dd0f" ns3:_="" ns4:_="">
    <xsd:import namespace="5ee44128-3d50-4b9c-aa09-37e8fa8fd955"/>
    <xsd:import namespace="8dc1d2c1-2c17-48d1-98f5-1d9c4aad52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e44128-3d50-4b9c-aa09-37e8fa8fd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1d2c1-2c17-48d1-98f5-1d9c4aad526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AA8A24-A1BB-4383-9E25-CFE3BE77A8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FA31BB-1145-48D7-92D8-0EEF41AFC528}">
  <ds:schemaRefs>
    <ds:schemaRef ds:uri="http://schemas.openxmlformats.org/package/2006/metadata/core-properties"/>
    <ds:schemaRef ds:uri="http://purl.org/dc/dcmitype/"/>
    <ds:schemaRef ds:uri="8dc1d2c1-2c17-48d1-98f5-1d9c4aad5262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5ee44128-3d50-4b9c-aa09-37e8fa8fd955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46AD7C5-3AAD-4065-8159-54F67FFD7F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e44128-3d50-4b9c-aa09-37e8fa8fd955"/>
    <ds:schemaRef ds:uri="8dc1d2c1-2c17-48d1-98f5-1d9c4aad52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APiCy total</vt:lpstr>
      <vt:lpstr>Ferney</vt:lpstr>
      <vt:lpstr>StGenis total</vt:lpstr>
      <vt:lpstr>StGenis-&gt;Meyrin</vt:lpstr>
      <vt:lpstr>StGenis-&gt;Bourdigny</vt:lpstr>
      <vt:lpstr>StGenis-&gt;CERN</vt:lpstr>
      <vt:lpstr>Crassy</vt:lpstr>
      <vt:lpstr>Mategnin Total</vt:lpstr>
      <vt:lpstr>MategninAnneaux</vt:lpstr>
      <vt:lpstr>MategninDouane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 BOTHNER</dc:creator>
  <cp:lastModifiedBy>Tor Bothner</cp:lastModifiedBy>
  <cp:lastPrinted>2020-06-10T16:47:32Z</cp:lastPrinted>
  <dcterms:created xsi:type="dcterms:W3CDTF">2019-06-12T14:39:01Z</dcterms:created>
  <dcterms:modified xsi:type="dcterms:W3CDTF">2020-06-21T21:10:27Z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0x0101000CD6D194BCE4BA4A92B2A852D517E666</vt:lpwstr>
  </property>
</Properties>
</file>