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11940" yWindow="0" windowWidth="12135" windowHeight="10125" activeTab="1"/>
  </bookViews>
  <sheets>
    <sheet name="Resume" sheetId="12" r:id="rId1"/>
    <sheet name="Resume (HP)" sheetId="19" r:id="rId2"/>
    <sheet name="APiCy total" sheetId="11" r:id="rId3"/>
    <sheet name="Ferney" sheetId="10" r:id="rId4"/>
    <sheet name="Ferney-BoisBrulé" sheetId="17" r:id="rId5"/>
    <sheet name="StGenis total" sheetId="7" r:id="rId6"/>
    <sheet name="StGenis-&gt;Meyrin" sheetId="2" r:id="rId7"/>
    <sheet name="StGenis-&gt;Bourdigny" sheetId="3" r:id="rId8"/>
    <sheet name="StGenis-&gt;CERN" sheetId="4" r:id="rId9"/>
    <sheet name="RteEurope-&gt;Meyrin" sheetId="16" r:id="rId10"/>
    <sheet name="Mategnin Total" sheetId="9" r:id="rId11"/>
    <sheet name="MategninAnneaux" sheetId="8" r:id="rId12"/>
    <sheet name="MategninDouane" sheetId="6" r:id="rId13"/>
    <sheet name="PdG Nord" sheetId="18" r:id="rId14"/>
    <sheet name="Versonnex" sheetId="14" r:id="rId15"/>
    <sheet name="Sauverny" sheetId="13" r:id="rId16"/>
    <sheet name="Divonne-&gt;Chavanne" sheetId="15" r:id="rId17"/>
    <sheet name="Crassy" sheetId="5" r:id="rId18"/>
    <sheet name="Template" sheetId="1" r:id="rId19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4" i="19" l="1"/>
  <c r="D14" i="19"/>
  <c r="E14" i="19"/>
  <c r="E18" i="19" s="1"/>
  <c r="F14" i="19"/>
  <c r="F18" i="19" s="1"/>
  <c r="G14" i="19"/>
  <c r="G18" i="19" s="1"/>
  <c r="J18" i="19" s="1"/>
  <c r="H14" i="19"/>
  <c r="I14" i="19"/>
  <c r="J14" i="19"/>
  <c r="K14" i="19"/>
  <c r="L14" i="19"/>
  <c r="M14" i="19"/>
  <c r="N14" i="19"/>
  <c r="C15" i="19"/>
  <c r="C18" i="19" s="1"/>
  <c r="D15" i="19"/>
  <c r="E15" i="19"/>
  <c r="F15" i="19"/>
  <c r="G15" i="19"/>
  <c r="H15" i="19"/>
  <c r="I15" i="19"/>
  <c r="J15" i="19"/>
  <c r="K15" i="19"/>
  <c r="K18" i="19" s="1"/>
  <c r="L15" i="19"/>
  <c r="M15" i="19"/>
  <c r="N15" i="19"/>
  <c r="C10" i="19"/>
  <c r="D10" i="19"/>
  <c r="E10" i="19"/>
  <c r="F10" i="19"/>
  <c r="F12" i="19" s="1"/>
  <c r="G10" i="19"/>
  <c r="G12" i="19" s="1"/>
  <c r="J12" i="19" s="1"/>
  <c r="H10" i="19"/>
  <c r="I10" i="19"/>
  <c r="J10" i="19"/>
  <c r="K10" i="19"/>
  <c r="L10" i="19"/>
  <c r="M10" i="19"/>
  <c r="N10" i="19"/>
  <c r="C11" i="19"/>
  <c r="C12" i="19" s="1"/>
  <c r="D11" i="19"/>
  <c r="E11" i="19"/>
  <c r="E12" i="19" s="1"/>
  <c r="F11" i="19"/>
  <c r="G11" i="19"/>
  <c r="H11" i="19"/>
  <c r="I11" i="19"/>
  <c r="J11" i="19"/>
  <c r="K11" i="19"/>
  <c r="L11" i="19"/>
  <c r="M11" i="19"/>
  <c r="M12" i="19" s="1"/>
  <c r="N11" i="19"/>
  <c r="C7" i="19"/>
  <c r="D7" i="19"/>
  <c r="E7" i="19"/>
  <c r="F7" i="19"/>
  <c r="G7" i="19"/>
  <c r="H7" i="19"/>
  <c r="I7" i="19"/>
  <c r="J7" i="19"/>
  <c r="K7" i="19"/>
  <c r="L7" i="19"/>
  <c r="M7" i="19"/>
  <c r="N7" i="19"/>
  <c r="B7" i="19"/>
  <c r="H8" i="19"/>
  <c r="C4" i="19"/>
  <c r="D4" i="19"/>
  <c r="E4" i="19"/>
  <c r="F4" i="19"/>
  <c r="G4" i="19"/>
  <c r="H4" i="19"/>
  <c r="I4" i="19"/>
  <c r="J4" i="19"/>
  <c r="K4" i="19"/>
  <c r="L4" i="19"/>
  <c r="M4" i="19"/>
  <c r="N4" i="19"/>
  <c r="C5" i="19"/>
  <c r="C8" i="19" s="1"/>
  <c r="D5" i="19"/>
  <c r="E5" i="19"/>
  <c r="E8" i="19" s="1"/>
  <c r="F5" i="19"/>
  <c r="G5" i="19"/>
  <c r="H5" i="19"/>
  <c r="I5" i="19"/>
  <c r="J5" i="19"/>
  <c r="K5" i="19"/>
  <c r="L5" i="19"/>
  <c r="M5" i="19"/>
  <c r="N5" i="19"/>
  <c r="C6" i="19"/>
  <c r="D6" i="19"/>
  <c r="E6" i="19"/>
  <c r="F6" i="19"/>
  <c r="G6" i="19"/>
  <c r="H6" i="19"/>
  <c r="I6" i="19"/>
  <c r="J6" i="19"/>
  <c r="K6" i="19"/>
  <c r="L6" i="19"/>
  <c r="M6" i="19"/>
  <c r="N6" i="19"/>
  <c r="C2" i="19"/>
  <c r="D2" i="19"/>
  <c r="E2" i="19"/>
  <c r="F2" i="19"/>
  <c r="G2" i="19"/>
  <c r="H2" i="19"/>
  <c r="I2" i="19"/>
  <c r="J2" i="19"/>
  <c r="K2" i="19"/>
  <c r="L2" i="19"/>
  <c r="M2" i="19"/>
  <c r="N2" i="19"/>
  <c r="B17" i="19"/>
  <c r="B16" i="19"/>
  <c r="B15" i="19"/>
  <c r="B14" i="19"/>
  <c r="B11" i="19"/>
  <c r="B10" i="19"/>
  <c r="B8" i="19"/>
  <c r="B6" i="19"/>
  <c r="B5" i="19"/>
  <c r="B4" i="19"/>
  <c r="B2" i="19"/>
  <c r="H18" i="19"/>
  <c r="N18" i="19"/>
  <c r="M18" i="19"/>
  <c r="L18" i="19"/>
  <c r="H12" i="19"/>
  <c r="N12" i="19"/>
  <c r="L12" i="19"/>
  <c r="K12" i="19"/>
  <c r="M8" i="19"/>
  <c r="L8" i="19"/>
  <c r="T6" i="10"/>
  <c r="T7" i="10"/>
  <c r="T8" i="10"/>
  <c r="T9" i="10"/>
  <c r="T10" i="10"/>
  <c r="T11" i="10"/>
  <c r="T12" i="10"/>
  <c r="S6" i="10"/>
  <c r="S7" i="10"/>
  <c r="S8" i="10"/>
  <c r="S9" i="10"/>
  <c r="S10" i="10"/>
  <c r="S11" i="10"/>
  <c r="S12" i="10"/>
  <c r="Y6" i="10"/>
  <c r="Y7" i="10"/>
  <c r="Y8" i="10"/>
  <c r="Y9" i="10"/>
  <c r="Y10" i="10"/>
  <c r="Y11" i="10"/>
  <c r="Y12" i="10"/>
  <c r="X6" i="10"/>
  <c r="X7" i="10"/>
  <c r="X8" i="10"/>
  <c r="X9" i="10"/>
  <c r="X10" i="10"/>
  <c r="X11" i="10"/>
  <c r="X12" i="10"/>
  <c r="W6" i="10"/>
  <c r="W7" i="10"/>
  <c r="W8" i="10"/>
  <c r="W9" i="10"/>
  <c r="W10" i="10"/>
  <c r="W11" i="10"/>
  <c r="W12" i="10"/>
  <c r="V6" i="10"/>
  <c r="V7" i="10"/>
  <c r="V8" i="10"/>
  <c r="V9" i="10"/>
  <c r="V10" i="10"/>
  <c r="V11" i="10"/>
  <c r="V12" i="10"/>
  <c r="V5" i="10"/>
  <c r="S14" i="10"/>
  <c r="I12" i="19" l="1"/>
  <c r="K8" i="19"/>
  <c r="G8" i="19"/>
  <c r="J8" i="19" s="1"/>
  <c r="N8" i="19"/>
  <c r="F8" i="19"/>
  <c r="I8" i="19" s="1"/>
  <c r="H19" i="19"/>
  <c r="B18" i="19"/>
  <c r="D18" i="19" s="1"/>
  <c r="B12" i="19"/>
  <c r="D12" i="19" s="1"/>
  <c r="C19" i="19"/>
  <c r="K19" i="19"/>
  <c r="L19" i="19"/>
  <c r="E19" i="19"/>
  <c r="M19" i="19"/>
  <c r="F19" i="19"/>
  <c r="I19" i="19" s="1"/>
  <c r="I18" i="19"/>
  <c r="N19" i="19"/>
  <c r="N8" i="12"/>
  <c r="M8" i="12"/>
  <c r="L8" i="12"/>
  <c r="K8" i="12"/>
  <c r="H8" i="12"/>
  <c r="G8" i="12"/>
  <c r="F8" i="12"/>
  <c r="E8" i="12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Q13" i="18"/>
  <c r="P13" i="18"/>
  <c r="O13" i="18"/>
  <c r="N13" i="18"/>
  <c r="M13" i="18"/>
  <c r="L13" i="18"/>
  <c r="K13" i="18"/>
  <c r="J13" i="18"/>
  <c r="I13" i="18"/>
  <c r="H13" i="18"/>
  <c r="G13" i="18"/>
  <c r="F13" i="18"/>
  <c r="E13" i="18"/>
  <c r="D13" i="18"/>
  <c r="C13" i="18"/>
  <c r="B13" i="18"/>
  <c r="Q12" i="18"/>
  <c r="P12" i="18"/>
  <c r="O12" i="18"/>
  <c r="N12" i="18"/>
  <c r="M12" i="18"/>
  <c r="L12" i="18"/>
  <c r="K12" i="18"/>
  <c r="J12" i="18"/>
  <c r="AD12" i="18" s="1"/>
  <c r="BF12" i="18" s="1"/>
  <c r="I12" i="18"/>
  <c r="H12" i="18"/>
  <c r="AB12" i="18" s="1"/>
  <c r="BD12" i="18" s="1"/>
  <c r="G12" i="18"/>
  <c r="F12" i="18"/>
  <c r="X12" i="18" s="1"/>
  <c r="AZ12" i="18" s="1"/>
  <c r="E12" i="18"/>
  <c r="D12" i="18"/>
  <c r="C12" i="18"/>
  <c r="T12" i="18" s="1"/>
  <c r="AV12" i="18" s="1"/>
  <c r="B12" i="18"/>
  <c r="V12" i="18" s="1"/>
  <c r="Q11" i="18"/>
  <c r="P11" i="18"/>
  <c r="O11" i="18"/>
  <c r="N11" i="18"/>
  <c r="M11" i="18"/>
  <c r="L11" i="18"/>
  <c r="K11" i="18"/>
  <c r="J11" i="18"/>
  <c r="AD11" i="18" s="1"/>
  <c r="BF11" i="18" s="1"/>
  <c r="I11" i="18"/>
  <c r="H11" i="18"/>
  <c r="AB11" i="18" s="1"/>
  <c r="BD11" i="18" s="1"/>
  <c r="G11" i="18"/>
  <c r="F11" i="18"/>
  <c r="X11" i="18" s="1"/>
  <c r="AZ11" i="18" s="1"/>
  <c r="E11" i="18"/>
  <c r="D11" i="18"/>
  <c r="C11" i="18"/>
  <c r="T11" i="18" s="1"/>
  <c r="AV11" i="18" s="1"/>
  <c r="B11" i="18"/>
  <c r="AE11" i="18" s="1"/>
  <c r="BG11" i="18" s="1"/>
  <c r="Q10" i="18"/>
  <c r="P10" i="18"/>
  <c r="O10" i="18"/>
  <c r="N10" i="18"/>
  <c r="M10" i="18"/>
  <c r="L10" i="18"/>
  <c r="K10" i="18"/>
  <c r="J10" i="18"/>
  <c r="AD10" i="18" s="1"/>
  <c r="BF10" i="18" s="1"/>
  <c r="I10" i="18"/>
  <c r="H10" i="18"/>
  <c r="G10" i="18"/>
  <c r="F10" i="18"/>
  <c r="X10" i="18" s="1"/>
  <c r="AZ10" i="18" s="1"/>
  <c r="E10" i="18"/>
  <c r="D10" i="18"/>
  <c r="C10" i="18"/>
  <c r="B10" i="18"/>
  <c r="AE10" i="18" s="1"/>
  <c r="BG10" i="18" s="1"/>
  <c r="Q9" i="18"/>
  <c r="P9" i="18"/>
  <c r="O9" i="18"/>
  <c r="N9" i="18"/>
  <c r="N18" i="18" s="1"/>
  <c r="M9" i="18"/>
  <c r="L9" i="18"/>
  <c r="K9" i="18"/>
  <c r="J9" i="18"/>
  <c r="J18" i="18" s="1"/>
  <c r="I9" i="18"/>
  <c r="H9" i="18"/>
  <c r="G9" i="18"/>
  <c r="F9" i="18"/>
  <c r="F18" i="18" s="1"/>
  <c r="E9" i="18"/>
  <c r="D9" i="18"/>
  <c r="C9" i="18"/>
  <c r="T9" i="18" s="1"/>
  <c r="AV9" i="18" s="1"/>
  <c r="B9" i="18"/>
  <c r="B18" i="18" s="1"/>
  <c r="Q8" i="18"/>
  <c r="P8" i="18"/>
  <c r="O8" i="18"/>
  <c r="N8" i="18"/>
  <c r="M8" i="18"/>
  <c r="L8" i="18"/>
  <c r="K8" i="18"/>
  <c r="J8" i="18"/>
  <c r="AD8" i="18" s="1"/>
  <c r="BF8" i="18" s="1"/>
  <c r="I8" i="18"/>
  <c r="H8" i="18"/>
  <c r="G8" i="18"/>
  <c r="F8" i="18"/>
  <c r="X8" i="18" s="1"/>
  <c r="E8" i="18"/>
  <c r="D8" i="18"/>
  <c r="C8" i="18"/>
  <c r="B8" i="18"/>
  <c r="AE8" i="18" s="1"/>
  <c r="BG8" i="18" s="1"/>
  <c r="Q7" i="18"/>
  <c r="P7" i="18"/>
  <c r="O7" i="18"/>
  <c r="N7" i="18"/>
  <c r="N15" i="18" s="1"/>
  <c r="M7" i="18"/>
  <c r="L7" i="18"/>
  <c r="K7" i="18"/>
  <c r="J7" i="18"/>
  <c r="J15" i="18" s="1"/>
  <c r="AD15" i="18" s="1"/>
  <c r="BF15" i="18" s="1"/>
  <c r="I7" i="18"/>
  <c r="H7" i="18"/>
  <c r="G7" i="18"/>
  <c r="F7" i="18"/>
  <c r="F15" i="18" s="1"/>
  <c r="X15" i="18" s="1"/>
  <c r="E7" i="18"/>
  <c r="D7" i="18"/>
  <c r="W7" i="18" s="1"/>
  <c r="C7" i="18"/>
  <c r="B7" i="18"/>
  <c r="B15" i="18" s="1"/>
  <c r="AE15" i="18" s="1"/>
  <c r="BG15" i="18" s="1"/>
  <c r="Q6" i="18"/>
  <c r="P6" i="18"/>
  <c r="O6" i="18"/>
  <c r="N6" i="18"/>
  <c r="M6" i="18"/>
  <c r="L6" i="18"/>
  <c r="K6" i="18"/>
  <c r="J6" i="18"/>
  <c r="I6" i="18"/>
  <c r="H6" i="18"/>
  <c r="G6" i="18"/>
  <c r="F6" i="18"/>
  <c r="X6" i="18" s="1"/>
  <c r="AZ6" i="18" s="1"/>
  <c r="E6" i="18"/>
  <c r="D6" i="18"/>
  <c r="C6" i="18"/>
  <c r="T6" i="18" s="1"/>
  <c r="B6" i="18"/>
  <c r="B14" i="18" s="1"/>
  <c r="Q5" i="18"/>
  <c r="P5" i="18"/>
  <c r="O5" i="18"/>
  <c r="O14" i="18" s="1"/>
  <c r="N5" i="18"/>
  <c r="N17" i="18" s="1"/>
  <c r="M5" i="18"/>
  <c r="L5" i="18"/>
  <c r="K5" i="18"/>
  <c r="K14" i="18" s="1"/>
  <c r="J5" i="18"/>
  <c r="J17" i="18" s="1"/>
  <c r="I5" i="18"/>
  <c r="H5" i="18"/>
  <c r="G5" i="18"/>
  <c r="G14" i="18" s="1"/>
  <c r="F5" i="18"/>
  <c r="F17" i="18" s="1"/>
  <c r="E5" i="18"/>
  <c r="D5" i="18"/>
  <c r="S5" i="18" s="1"/>
  <c r="C5" i="18"/>
  <c r="C14" i="18" s="1"/>
  <c r="T14" i="18" s="1"/>
  <c r="B5" i="18"/>
  <c r="Q18" i="18"/>
  <c r="P18" i="18"/>
  <c r="O18" i="18"/>
  <c r="M18" i="18"/>
  <c r="L18" i="18"/>
  <c r="K18" i="18"/>
  <c r="I18" i="18"/>
  <c r="H18" i="18"/>
  <c r="G18" i="18"/>
  <c r="E18" i="18"/>
  <c r="D18" i="18"/>
  <c r="C18" i="18"/>
  <c r="Q17" i="18"/>
  <c r="P17" i="18"/>
  <c r="O17" i="18"/>
  <c r="M17" i="18"/>
  <c r="L17" i="18"/>
  <c r="K17" i="18"/>
  <c r="I17" i="18"/>
  <c r="H17" i="18"/>
  <c r="G17" i="18"/>
  <c r="E17" i="18"/>
  <c r="D17" i="18"/>
  <c r="C17" i="18"/>
  <c r="Q15" i="18"/>
  <c r="P15" i="18"/>
  <c r="O15" i="18"/>
  <c r="M15" i="18"/>
  <c r="L15" i="18"/>
  <c r="K15" i="18"/>
  <c r="I15" i="18"/>
  <c r="H15" i="18"/>
  <c r="AB15" i="18" s="1"/>
  <c r="BD15" i="18" s="1"/>
  <c r="G15" i="18"/>
  <c r="E15" i="18"/>
  <c r="D15" i="18"/>
  <c r="W15" i="18" s="1"/>
  <c r="C15" i="18"/>
  <c r="T15" i="18" s="1"/>
  <c r="Q14" i="18"/>
  <c r="P14" i="18"/>
  <c r="M14" i="18"/>
  <c r="L14" i="18"/>
  <c r="I14" i="18"/>
  <c r="H14" i="18"/>
  <c r="AB14" i="18" s="1"/>
  <c r="BD14" i="18" s="1"/>
  <c r="E14" i="18"/>
  <c r="D14" i="18"/>
  <c r="W14" i="18" s="1"/>
  <c r="AC12" i="18"/>
  <c r="BE12" i="18" s="1"/>
  <c r="W12" i="18"/>
  <c r="AY12" i="18" s="1"/>
  <c r="AC11" i="18"/>
  <c r="BE11" i="18" s="1"/>
  <c r="W11" i="18"/>
  <c r="V11" i="18"/>
  <c r="AX11" i="18" s="1"/>
  <c r="AB10" i="18"/>
  <c r="BD10" i="18" s="1"/>
  <c r="W10" i="18"/>
  <c r="AY10" i="18" s="1"/>
  <c r="T10" i="18"/>
  <c r="AD9" i="18"/>
  <c r="BF9" i="18" s="1"/>
  <c r="AB9" i="18"/>
  <c r="BD9" i="18" s="1"/>
  <c r="W9" i="18"/>
  <c r="AB8" i="18"/>
  <c r="BD8" i="18" s="1"/>
  <c r="W8" i="18"/>
  <c r="AY8" i="18" s="1"/>
  <c r="T8" i="18"/>
  <c r="AV8" i="18" s="1"/>
  <c r="AE7" i="18"/>
  <c r="BG7" i="18" s="1"/>
  <c r="AB7" i="18"/>
  <c r="BD7" i="18" s="1"/>
  <c r="X7" i="18"/>
  <c r="AZ7" i="18" s="1"/>
  <c r="T7" i="18"/>
  <c r="AV7" i="18" s="1"/>
  <c r="S7" i="18"/>
  <c r="U7" i="18" s="1"/>
  <c r="AW7" i="18" s="1"/>
  <c r="AD6" i="18"/>
  <c r="BF6" i="18" s="1"/>
  <c r="AB6" i="18"/>
  <c r="BD6" i="18" s="1"/>
  <c r="W6" i="18"/>
  <c r="AY6" i="18" s="1"/>
  <c r="AB5" i="18"/>
  <c r="BD5" i="18" s="1"/>
  <c r="W5" i="18"/>
  <c r="T5" i="18"/>
  <c r="AV5" i="18" s="1"/>
  <c r="AU2" i="18"/>
  <c r="AG2" i="18"/>
  <c r="S2" i="18"/>
  <c r="N15" i="12"/>
  <c r="M15" i="12"/>
  <c r="L15" i="12"/>
  <c r="K15" i="12"/>
  <c r="J15" i="12"/>
  <c r="I15" i="12"/>
  <c r="H15" i="12"/>
  <c r="G15" i="12"/>
  <c r="F15" i="12"/>
  <c r="E15" i="12"/>
  <c r="D15" i="12"/>
  <c r="C15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B17" i="12"/>
  <c r="B16" i="12"/>
  <c r="B15" i="12"/>
  <c r="B14" i="12"/>
  <c r="Q13" i="9"/>
  <c r="P13" i="9"/>
  <c r="O13" i="9"/>
  <c r="N13" i="9"/>
  <c r="M13" i="9"/>
  <c r="L13" i="9"/>
  <c r="K13" i="9"/>
  <c r="J13" i="9"/>
  <c r="I13" i="9"/>
  <c r="H13" i="9"/>
  <c r="G13" i="9"/>
  <c r="F13" i="9"/>
  <c r="X13" i="9" s="1"/>
  <c r="E13" i="9"/>
  <c r="D13" i="9"/>
  <c r="C13" i="9"/>
  <c r="B13" i="9"/>
  <c r="AC13" i="9" s="1"/>
  <c r="N11" i="12"/>
  <c r="M11" i="12"/>
  <c r="L11" i="12"/>
  <c r="K11" i="12"/>
  <c r="J11" i="12"/>
  <c r="I11" i="12"/>
  <c r="H11" i="12"/>
  <c r="G11" i="12"/>
  <c r="F11" i="12"/>
  <c r="E11" i="12"/>
  <c r="D11" i="12"/>
  <c r="C11" i="12"/>
  <c r="B11" i="12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Q14" i="8"/>
  <c r="AB13" i="9"/>
  <c r="W13" i="9"/>
  <c r="T13" i="9"/>
  <c r="S13" i="9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B14" i="8"/>
  <c r="M7" i="12"/>
  <c r="L7" i="12"/>
  <c r="K7" i="12"/>
  <c r="H7" i="12"/>
  <c r="G7" i="12"/>
  <c r="F7" i="12"/>
  <c r="E7" i="12"/>
  <c r="M6" i="12"/>
  <c r="L6" i="12"/>
  <c r="K6" i="12"/>
  <c r="H6" i="12"/>
  <c r="G6" i="12"/>
  <c r="F6" i="12"/>
  <c r="E6" i="12"/>
  <c r="M5" i="12"/>
  <c r="L5" i="12"/>
  <c r="K5" i="12"/>
  <c r="H5" i="12"/>
  <c r="G5" i="12"/>
  <c r="F5" i="12"/>
  <c r="E5" i="12"/>
  <c r="D5" i="12"/>
  <c r="C5" i="12"/>
  <c r="M4" i="12"/>
  <c r="L4" i="12"/>
  <c r="K4" i="12"/>
  <c r="H4" i="12"/>
  <c r="G4" i="12"/>
  <c r="F4" i="12"/>
  <c r="E4" i="12"/>
  <c r="B5" i="12"/>
  <c r="M2" i="12"/>
  <c r="L2" i="12"/>
  <c r="K2" i="12"/>
  <c r="H2" i="12"/>
  <c r="G2" i="12"/>
  <c r="F2" i="12"/>
  <c r="E2" i="12"/>
  <c r="G19" i="19" l="1"/>
  <c r="J19" i="19" s="1"/>
  <c r="B19" i="19"/>
  <c r="D19" i="19" s="1"/>
  <c r="D8" i="19"/>
  <c r="AV6" i="18"/>
  <c r="AX12" i="18"/>
  <c r="Y12" i="18"/>
  <c r="AA12" i="18" s="1"/>
  <c r="BC12" i="18" s="1"/>
  <c r="V5" i="18"/>
  <c r="AX5" i="18" s="1"/>
  <c r="S6" i="18"/>
  <c r="AU6" i="18" s="1"/>
  <c r="AE6" i="18"/>
  <c r="BG6" i="18" s="1"/>
  <c r="V8" i="18"/>
  <c r="AX8" i="18" s="1"/>
  <c r="S9" i="18"/>
  <c r="X9" i="18"/>
  <c r="AZ9" i="18" s="1"/>
  <c r="AC10" i="18"/>
  <c r="BE10" i="18" s="1"/>
  <c r="AD5" i="18"/>
  <c r="BF5" i="18" s="1"/>
  <c r="F14" i="18"/>
  <c r="N14" i="18"/>
  <c r="AV10" i="18"/>
  <c r="AC5" i="18"/>
  <c r="BE5" i="18" s="1"/>
  <c r="AC8" i="18"/>
  <c r="BE8" i="18" s="1"/>
  <c r="AE9" i="18"/>
  <c r="BG9" i="18" s="1"/>
  <c r="V10" i="18"/>
  <c r="Y10" i="18" s="1"/>
  <c r="AA10" i="18" s="1"/>
  <c r="BC10" i="18" s="1"/>
  <c r="S12" i="18"/>
  <c r="AU12" i="18" s="1"/>
  <c r="V7" i="18"/>
  <c r="AX7" i="18" s="1"/>
  <c r="AC7" i="18"/>
  <c r="BE7" i="18" s="1"/>
  <c r="S11" i="18"/>
  <c r="U11" i="18" s="1"/>
  <c r="AW11" i="18" s="1"/>
  <c r="AE12" i="18"/>
  <c r="BG12" i="18" s="1"/>
  <c r="J14" i="18"/>
  <c r="AD14" i="18" s="1"/>
  <c r="BF14" i="18" s="1"/>
  <c r="X5" i="18"/>
  <c r="AZ5" i="18" s="1"/>
  <c r="AE5" i="18"/>
  <c r="BG5" i="18" s="1"/>
  <c r="V6" i="18"/>
  <c r="Y6" i="18" s="1"/>
  <c r="AA6" i="18" s="1"/>
  <c r="BC6" i="18" s="1"/>
  <c r="AC6" i="18"/>
  <c r="BE6" i="18" s="1"/>
  <c r="AD7" i="18"/>
  <c r="BF7" i="18" s="1"/>
  <c r="S8" i="18"/>
  <c r="AU8" i="18" s="1"/>
  <c r="V9" i="18"/>
  <c r="AX9" i="18" s="1"/>
  <c r="AC9" i="18"/>
  <c r="BE9" i="18" s="1"/>
  <c r="S10" i="18"/>
  <c r="AU10" i="18" s="1"/>
  <c r="B17" i="18"/>
  <c r="AZ8" i="18"/>
  <c r="AX6" i="18"/>
  <c r="U8" i="18"/>
  <c r="AW8" i="18" s="1"/>
  <c r="AX10" i="18"/>
  <c r="U12" i="18"/>
  <c r="AW12" i="18" s="1"/>
  <c r="U5" i="18"/>
  <c r="AW5" i="18" s="1"/>
  <c r="U9" i="18"/>
  <c r="AW9" i="18" s="1"/>
  <c r="AV14" i="18"/>
  <c r="AV15" i="18"/>
  <c r="AY15" i="18"/>
  <c r="AZ15" i="18"/>
  <c r="AC15" i="18"/>
  <c r="BE15" i="18" s="1"/>
  <c r="AU5" i="18"/>
  <c r="AY5" i="18"/>
  <c r="Z6" i="18"/>
  <c r="BB6" i="18" s="1"/>
  <c r="BA6" i="18"/>
  <c r="AU7" i="18"/>
  <c r="AY7" i="18"/>
  <c r="AU9" i="18"/>
  <c r="AY9" i="18"/>
  <c r="Z10" i="18"/>
  <c r="BB10" i="18" s="1"/>
  <c r="BA10" i="18"/>
  <c r="AU11" i="18"/>
  <c r="AY11" i="18"/>
  <c r="Z12" i="18"/>
  <c r="BB12" i="18" s="1"/>
  <c r="BA12" i="18"/>
  <c r="AY14" i="18"/>
  <c r="V15" i="18"/>
  <c r="Y5" i="18"/>
  <c r="Z5" i="18" s="1"/>
  <c r="BB5" i="18" s="1"/>
  <c r="Y11" i="18"/>
  <c r="Z11" i="18" s="1"/>
  <c r="BB11" i="18" s="1"/>
  <c r="AC14" i="18"/>
  <c r="BE14" i="18" s="1"/>
  <c r="S15" i="18"/>
  <c r="AU15" i="18" s="1"/>
  <c r="V13" i="9"/>
  <c r="Y13" i="9" s="1"/>
  <c r="AA13" i="9" s="1"/>
  <c r="U13" i="9"/>
  <c r="Z13" i="9"/>
  <c r="N18" i="12"/>
  <c r="M18" i="12"/>
  <c r="L18" i="12"/>
  <c r="K18" i="12"/>
  <c r="H18" i="12"/>
  <c r="G18" i="12"/>
  <c r="F18" i="12"/>
  <c r="E18" i="12"/>
  <c r="C18" i="12"/>
  <c r="B18" i="12"/>
  <c r="AU2" i="7"/>
  <c r="BF15" i="2"/>
  <c r="BE15" i="2"/>
  <c r="BD15" i="2"/>
  <c r="BA15" i="2"/>
  <c r="AZ15" i="2"/>
  <c r="AY15" i="2"/>
  <c r="AX15" i="2"/>
  <c r="BF14" i="2"/>
  <c r="BE14" i="2"/>
  <c r="BD14" i="2"/>
  <c r="BA14" i="2"/>
  <c r="AZ14" i="2"/>
  <c r="AY14" i="2"/>
  <c r="AX14" i="2"/>
  <c r="BF12" i="2"/>
  <c r="BE12" i="2"/>
  <c r="BD12" i="2"/>
  <c r="BA12" i="2"/>
  <c r="AZ12" i="2"/>
  <c r="AY12" i="2"/>
  <c r="AX12" i="2"/>
  <c r="BE6" i="2"/>
  <c r="BD6" i="2"/>
  <c r="AZ6" i="2"/>
  <c r="BG5" i="2"/>
  <c r="AU2" i="2"/>
  <c r="BF15" i="3"/>
  <c r="BE15" i="3"/>
  <c r="BD15" i="3"/>
  <c r="BA15" i="3"/>
  <c r="AZ15" i="3"/>
  <c r="AY15" i="3"/>
  <c r="AX15" i="3"/>
  <c r="AW15" i="3"/>
  <c r="AV15" i="3"/>
  <c r="AU15" i="3"/>
  <c r="BF14" i="3"/>
  <c r="BE14" i="3"/>
  <c r="BD14" i="3"/>
  <c r="BA14" i="3"/>
  <c r="AZ14" i="3"/>
  <c r="AY14" i="3"/>
  <c r="AX14" i="3"/>
  <c r="AW14" i="3"/>
  <c r="AV14" i="3"/>
  <c r="AU14" i="3"/>
  <c r="BF12" i="3"/>
  <c r="BE12" i="3"/>
  <c r="BD12" i="3"/>
  <c r="BA12" i="3"/>
  <c r="AZ12" i="3"/>
  <c r="AY12" i="3"/>
  <c r="AX12" i="3"/>
  <c r="AW12" i="3"/>
  <c r="AV12" i="3"/>
  <c r="AU12" i="3"/>
  <c r="BF11" i="3"/>
  <c r="BD11" i="3"/>
  <c r="AX11" i="3"/>
  <c r="AU11" i="3"/>
  <c r="BG5" i="3"/>
  <c r="AU2" i="3"/>
  <c r="BF15" i="16"/>
  <c r="BE15" i="16"/>
  <c r="BD15" i="16"/>
  <c r="BA15" i="16"/>
  <c r="AZ15" i="16"/>
  <c r="AY15" i="16"/>
  <c r="AX15" i="16"/>
  <c r="BF14" i="16"/>
  <c r="BE14" i="16"/>
  <c r="BD14" i="16"/>
  <c r="BA14" i="16"/>
  <c r="AZ14" i="16"/>
  <c r="AY14" i="16"/>
  <c r="AX14" i="16"/>
  <c r="BF12" i="16"/>
  <c r="BE12" i="16"/>
  <c r="BD12" i="16"/>
  <c r="BA12" i="16"/>
  <c r="AZ12" i="16"/>
  <c r="AY12" i="16"/>
  <c r="AX12" i="16"/>
  <c r="BG5" i="16"/>
  <c r="AU2" i="16"/>
  <c r="BF15" i="4"/>
  <c r="BE15" i="4"/>
  <c r="BD15" i="4"/>
  <c r="BA15" i="4"/>
  <c r="AZ15" i="4"/>
  <c r="AY15" i="4"/>
  <c r="AX15" i="4"/>
  <c r="BF14" i="4"/>
  <c r="BE14" i="4"/>
  <c r="BD14" i="4"/>
  <c r="BA14" i="4"/>
  <c r="AZ14" i="4"/>
  <c r="AY14" i="4"/>
  <c r="AX14" i="4"/>
  <c r="BF12" i="4"/>
  <c r="BE12" i="4"/>
  <c r="BD12" i="4"/>
  <c r="BA12" i="4"/>
  <c r="AZ12" i="4"/>
  <c r="AY12" i="4"/>
  <c r="AX12" i="4"/>
  <c r="BG5" i="4"/>
  <c r="AU2" i="4"/>
  <c r="AU2" i="9"/>
  <c r="AU2" i="8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BG12" i="6"/>
  <c r="BF12" i="6"/>
  <c r="BE12" i="6"/>
  <c r="BD12" i="6"/>
  <c r="BC12" i="6"/>
  <c r="BB12" i="6"/>
  <c r="BA12" i="6"/>
  <c r="AZ12" i="6"/>
  <c r="AY12" i="6"/>
  <c r="AX12" i="6"/>
  <c r="AW12" i="6"/>
  <c r="AV12" i="6"/>
  <c r="AU12" i="6"/>
  <c r="BG11" i="6"/>
  <c r="BF11" i="6"/>
  <c r="BE11" i="6"/>
  <c r="BD11" i="6"/>
  <c r="BC11" i="6"/>
  <c r="BB11" i="6"/>
  <c r="BA11" i="6"/>
  <c r="AZ11" i="6"/>
  <c r="AY11" i="6"/>
  <c r="AX11" i="6"/>
  <c r="AW11" i="6"/>
  <c r="AV11" i="6"/>
  <c r="AU11" i="6"/>
  <c r="BG10" i="6"/>
  <c r="BF10" i="6"/>
  <c r="BE10" i="6"/>
  <c r="BD10" i="6"/>
  <c r="BC10" i="6"/>
  <c r="BB10" i="6"/>
  <c r="BA10" i="6"/>
  <c r="AZ10" i="6"/>
  <c r="AY10" i="6"/>
  <c r="AX10" i="6"/>
  <c r="AW10" i="6"/>
  <c r="AV10" i="6"/>
  <c r="AU10" i="6"/>
  <c r="BG9" i="6"/>
  <c r="BF9" i="6"/>
  <c r="BE9" i="6"/>
  <c r="BD9" i="6"/>
  <c r="BC9" i="6"/>
  <c r="BB9" i="6"/>
  <c r="BA9" i="6"/>
  <c r="AZ9" i="6"/>
  <c r="AY9" i="6"/>
  <c r="AX9" i="6"/>
  <c r="AW9" i="6"/>
  <c r="AV9" i="6"/>
  <c r="AU9" i="6"/>
  <c r="BG8" i="6"/>
  <c r="BF8" i="6"/>
  <c r="BE8" i="6"/>
  <c r="BD8" i="6"/>
  <c r="BC8" i="6"/>
  <c r="BB8" i="6"/>
  <c r="BA8" i="6"/>
  <c r="AZ8" i="6"/>
  <c r="AY8" i="6"/>
  <c r="AX8" i="6"/>
  <c r="AW8" i="6"/>
  <c r="AV8" i="6"/>
  <c r="AU8" i="6"/>
  <c r="BG7" i="6"/>
  <c r="BF7" i="6"/>
  <c r="BE7" i="6"/>
  <c r="BD7" i="6"/>
  <c r="BC7" i="6"/>
  <c r="BB7" i="6"/>
  <c r="BA7" i="6"/>
  <c r="AZ7" i="6"/>
  <c r="AY7" i="6"/>
  <c r="AX7" i="6"/>
  <c r="AW7" i="6"/>
  <c r="AV7" i="6"/>
  <c r="AU7" i="6"/>
  <c r="BG6" i="6"/>
  <c r="BF6" i="6"/>
  <c r="BE6" i="6"/>
  <c r="BD6" i="6"/>
  <c r="BC6" i="6"/>
  <c r="BB6" i="6"/>
  <c r="BA6" i="6"/>
  <c r="AZ6" i="6"/>
  <c r="AY6" i="6"/>
  <c r="AX6" i="6"/>
  <c r="AW6" i="6"/>
  <c r="AV6" i="6"/>
  <c r="AU6" i="6"/>
  <c r="BG5" i="6"/>
  <c r="BF5" i="6"/>
  <c r="BE5" i="6"/>
  <c r="BD5" i="6"/>
  <c r="BC5" i="6"/>
  <c r="BB5" i="6"/>
  <c r="BA5" i="6"/>
  <c r="AZ5" i="6"/>
  <c r="AY5" i="6"/>
  <c r="AX5" i="6"/>
  <c r="AW5" i="6"/>
  <c r="AV5" i="6"/>
  <c r="AU5" i="6"/>
  <c r="AU2" i="6"/>
  <c r="BF15" i="14"/>
  <c r="BE15" i="14"/>
  <c r="BD15" i="14"/>
  <c r="BA15" i="14"/>
  <c r="AZ15" i="14"/>
  <c r="AY15" i="14"/>
  <c r="AX15" i="14"/>
  <c r="BF14" i="14"/>
  <c r="BE14" i="14"/>
  <c r="BD14" i="14"/>
  <c r="BA14" i="14"/>
  <c r="AZ14" i="14"/>
  <c r="AY14" i="14"/>
  <c r="AX14" i="14"/>
  <c r="BF12" i="14"/>
  <c r="BE12" i="14"/>
  <c r="BD12" i="14"/>
  <c r="BA12" i="14"/>
  <c r="AZ12" i="14"/>
  <c r="AY12" i="14"/>
  <c r="AX12" i="14"/>
  <c r="BG5" i="14"/>
  <c r="AU2" i="14"/>
  <c r="BF15" i="13"/>
  <c r="BE15" i="13"/>
  <c r="BD15" i="13"/>
  <c r="BA15" i="13"/>
  <c r="AZ15" i="13"/>
  <c r="AY15" i="13"/>
  <c r="AX15" i="13"/>
  <c r="BF14" i="13"/>
  <c r="BE14" i="13"/>
  <c r="BD14" i="13"/>
  <c r="BA14" i="13"/>
  <c r="AZ14" i="13"/>
  <c r="AY14" i="13"/>
  <c r="AX14" i="13"/>
  <c r="BF12" i="13"/>
  <c r="BE12" i="13"/>
  <c r="BD12" i="13"/>
  <c r="BA12" i="13"/>
  <c r="AZ12" i="13"/>
  <c r="AY12" i="13"/>
  <c r="AX12" i="13"/>
  <c r="BG5" i="13"/>
  <c r="AU2" i="13"/>
  <c r="BF15" i="15"/>
  <c r="BE15" i="15"/>
  <c r="BD15" i="15"/>
  <c r="BA15" i="15"/>
  <c r="AZ15" i="15"/>
  <c r="AY15" i="15"/>
  <c r="AX15" i="15"/>
  <c r="BF14" i="15"/>
  <c r="BE14" i="15"/>
  <c r="BD14" i="15"/>
  <c r="BA14" i="15"/>
  <c r="AZ14" i="15"/>
  <c r="AY14" i="15"/>
  <c r="AX14" i="15"/>
  <c r="BF12" i="15"/>
  <c r="BE12" i="15"/>
  <c r="BD12" i="15"/>
  <c r="BA12" i="15"/>
  <c r="AZ12" i="15"/>
  <c r="AY12" i="15"/>
  <c r="AX12" i="15"/>
  <c r="BG5" i="15"/>
  <c r="AU2" i="15"/>
  <c r="BG15" i="5"/>
  <c r="BF15" i="5"/>
  <c r="BE15" i="5"/>
  <c r="BD15" i="5"/>
  <c r="BC15" i="5"/>
  <c r="BB15" i="5"/>
  <c r="BA15" i="5"/>
  <c r="AZ15" i="5"/>
  <c r="AY15" i="5"/>
  <c r="AX15" i="5"/>
  <c r="BF14" i="5"/>
  <c r="BE14" i="5"/>
  <c r="BD14" i="5"/>
  <c r="BA14" i="5"/>
  <c r="AZ14" i="5"/>
  <c r="AY14" i="5"/>
  <c r="AX14" i="5"/>
  <c r="BF12" i="5"/>
  <c r="BE12" i="5"/>
  <c r="BD12" i="5"/>
  <c r="BA12" i="5"/>
  <c r="AZ12" i="5"/>
  <c r="AY12" i="5"/>
  <c r="AX12" i="5"/>
  <c r="BG5" i="5"/>
  <c r="AU2" i="5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U2" i="1"/>
  <c r="AU2" i="11"/>
  <c r="BF15" i="10"/>
  <c r="BE15" i="10"/>
  <c r="BD15" i="10"/>
  <c r="BA15" i="10"/>
  <c r="AZ15" i="10"/>
  <c r="AY15" i="10"/>
  <c r="AX15" i="10"/>
  <c r="BF14" i="10"/>
  <c r="BE14" i="10"/>
  <c r="BD14" i="10"/>
  <c r="BA14" i="10"/>
  <c r="AZ14" i="10"/>
  <c r="AY14" i="10"/>
  <c r="AX14" i="10"/>
  <c r="BF12" i="10"/>
  <c r="BE12" i="10"/>
  <c r="BD12" i="10"/>
  <c r="AZ12" i="10"/>
  <c r="AY12" i="10"/>
  <c r="AX12" i="10"/>
  <c r="BG5" i="10"/>
  <c r="AU2" i="10"/>
  <c r="AG2" i="11"/>
  <c r="S2" i="11"/>
  <c r="AG2" i="16"/>
  <c r="S2" i="16"/>
  <c r="AG2" i="4"/>
  <c r="S2" i="4"/>
  <c r="AG2" i="9"/>
  <c r="S2" i="9"/>
  <c r="AG2" i="8"/>
  <c r="S2" i="8"/>
  <c r="AG2" i="6"/>
  <c r="S2" i="6"/>
  <c r="AG2" i="14"/>
  <c r="S2" i="14"/>
  <c r="AG2" i="13"/>
  <c r="S2" i="13"/>
  <c r="AG2" i="15"/>
  <c r="S2" i="15"/>
  <c r="AG2" i="5"/>
  <c r="S2" i="5"/>
  <c r="AG2" i="1"/>
  <c r="S2" i="1"/>
  <c r="AG2" i="2"/>
  <c r="S2" i="2"/>
  <c r="AG2" i="3"/>
  <c r="S2" i="3"/>
  <c r="AG2" i="7"/>
  <c r="S2" i="7"/>
  <c r="AG2" i="17"/>
  <c r="S2" i="17"/>
  <c r="AG2" i="10"/>
  <c r="S2" i="10"/>
  <c r="S14" i="18" l="1"/>
  <c r="AU14" i="18" s="1"/>
  <c r="Y9" i="18"/>
  <c r="X14" i="18"/>
  <c r="AZ14" i="18" s="1"/>
  <c r="Y7" i="18"/>
  <c r="BA7" i="18" s="1"/>
  <c r="Y8" i="18"/>
  <c r="U6" i="18"/>
  <c r="AW6" i="18" s="1"/>
  <c r="AE14" i="18"/>
  <c r="BG14" i="18" s="1"/>
  <c r="U10" i="18"/>
  <c r="AW10" i="18" s="1"/>
  <c r="V14" i="18"/>
  <c r="U14" i="18"/>
  <c r="AW14" i="18" s="1"/>
  <c r="BA5" i="18"/>
  <c r="AA5" i="18"/>
  <c r="BC5" i="18" s="1"/>
  <c r="U15" i="18"/>
  <c r="AW15" i="18" s="1"/>
  <c r="BA9" i="18"/>
  <c r="AA9" i="18"/>
  <c r="BC9" i="18" s="1"/>
  <c r="Z9" i="18"/>
  <c r="BB9" i="18" s="1"/>
  <c r="BA11" i="18"/>
  <c r="AA11" i="18"/>
  <c r="BC11" i="18" s="1"/>
  <c r="AX15" i="18"/>
  <c r="Y15" i="18"/>
  <c r="I18" i="12"/>
  <c r="J18" i="12"/>
  <c r="D18" i="12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Q15" i="17"/>
  <c r="P15" i="17"/>
  <c r="O15" i="17"/>
  <c r="N15" i="17"/>
  <c r="M15" i="17"/>
  <c r="L15" i="17"/>
  <c r="K15" i="17"/>
  <c r="J15" i="17"/>
  <c r="I15" i="17"/>
  <c r="H15" i="17"/>
  <c r="AB15" i="17" s="1"/>
  <c r="G15" i="17"/>
  <c r="X15" i="17" s="1"/>
  <c r="F15" i="17"/>
  <c r="E15" i="17"/>
  <c r="D15" i="17"/>
  <c r="W15" i="17" s="1"/>
  <c r="C15" i="17"/>
  <c r="B15" i="17"/>
  <c r="Q14" i="17"/>
  <c r="P14" i="17"/>
  <c r="O14" i="17"/>
  <c r="N14" i="17"/>
  <c r="M14" i="17"/>
  <c r="L14" i="17"/>
  <c r="K14" i="17"/>
  <c r="J14" i="17"/>
  <c r="I14" i="17"/>
  <c r="H14" i="17"/>
  <c r="AB14" i="17" s="1"/>
  <c r="G14" i="17"/>
  <c r="F14" i="17"/>
  <c r="E14" i="17"/>
  <c r="D14" i="17"/>
  <c r="C14" i="17"/>
  <c r="T14" i="17" s="1"/>
  <c r="B14" i="17"/>
  <c r="AE12" i="17"/>
  <c r="AD12" i="17"/>
  <c r="AC12" i="17"/>
  <c r="AB12" i="17"/>
  <c r="X12" i="17"/>
  <c r="W12" i="17"/>
  <c r="V12" i="17"/>
  <c r="Y12" i="17" s="1"/>
  <c r="Z12" i="17" s="1"/>
  <c r="T12" i="17"/>
  <c r="S12" i="17"/>
  <c r="AE11" i="17"/>
  <c r="AD11" i="17"/>
  <c r="AC11" i="17"/>
  <c r="AB11" i="17"/>
  <c r="X11" i="17"/>
  <c r="W11" i="17"/>
  <c r="V11" i="17"/>
  <c r="T11" i="17"/>
  <c r="S11" i="17"/>
  <c r="AE10" i="17"/>
  <c r="AD10" i="17"/>
  <c r="AC10" i="17"/>
  <c r="AB10" i="17"/>
  <c r="X10" i="17"/>
  <c r="W10" i="17"/>
  <c r="V10" i="17"/>
  <c r="T10" i="17"/>
  <c r="S10" i="17"/>
  <c r="AE9" i="17"/>
  <c r="AD9" i="17"/>
  <c r="AC9" i="17"/>
  <c r="AB9" i="17"/>
  <c r="X9" i="17"/>
  <c r="W9" i="17"/>
  <c r="V9" i="17"/>
  <c r="T9" i="17"/>
  <c r="S9" i="17"/>
  <c r="AE8" i="17"/>
  <c r="AD8" i="17"/>
  <c r="AC8" i="17"/>
  <c r="AB8" i="17"/>
  <c r="X8" i="17"/>
  <c r="W8" i="17"/>
  <c r="V8" i="17"/>
  <c r="Y8" i="17" s="1"/>
  <c r="Z8" i="17" s="1"/>
  <c r="T8" i="17"/>
  <c r="U8" i="17" s="1"/>
  <c r="S8" i="17"/>
  <c r="AE7" i="17"/>
  <c r="AD7" i="17"/>
  <c r="AC7" i="17"/>
  <c r="AB7" i="17"/>
  <c r="X7" i="17"/>
  <c r="W7" i="17"/>
  <c r="V7" i="17"/>
  <c r="T7" i="17"/>
  <c r="S7" i="17"/>
  <c r="AE6" i="17"/>
  <c r="AD6" i="17"/>
  <c r="AC6" i="17"/>
  <c r="AB6" i="17"/>
  <c r="X6" i="17"/>
  <c r="W6" i="17"/>
  <c r="V6" i="17"/>
  <c r="T6" i="17"/>
  <c r="S6" i="17"/>
  <c r="AE5" i="17"/>
  <c r="AD5" i="17"/>
  <c r="AC5" i="17"/>
  <c r="AB5" i="17"/>
  <c r="X5" i="17"/>
  <c r="W5" i="17"/>
  <c r="V5" i="17"/>
  <c r="T5" i="17"/>
  <c r="S5" i="17"/>
  <c r="U5" i="17" s="1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B9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B8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B7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5" i="7"/>
  <c r="AA7" i="18" l="1"/>
  <c r="BC7" i="18" s="1"/>
  <c r="Z7" i="18"/>
  <c r="BB7" i="18" s="1"/>
  <c r="Y14" i="18"/>
  <c r="AX14" i="18"/>
  <c r="AA8" i="18"/>
  <c r="BC8" i="18" s="1"/>
  <c r="Z8" i="18"/>
  <c r="BB8" i="18" s="1"/>
  <c r="BA8" i="18"/>
  <c r="BA15" i="18"/>
  <c r="Z15" i="18"/>
  <c r="BB15" i="18" s="1"/>
  <c r="AA15" i="18"/>
  <c r="BC15" i="18" s="1"/>
  <c r="U9" i="17"/>
  <c r="Y5" i="17"/>
  <c r="AA5" i="17" s="1"/>
  <c r="Y6" i="17"/>
  <c r="Z6" i="17" s="1"/>
  <c r="Y10" i="17"/>
  <c r="Z10" i="17" s="1"/>
  <c r="X14" i="17"/>
  <c r="Y9" i="17"/>
  <c r="AA9" i="17" s="1"/>
  <c r="U11" i="17"/>
  <c r="T15" i="17"/>
  <c r="AD14" i="17"/>
  <c r="AD15" i="17"/>
  <c r="U12" i="17"/>
  <c r="U7" i="17"/>
  <c r="W14" i="17"/>
  <c r="U6" i="17"/>
  <c r="AE15" i="17"/>
  <c r="AE14" i="17"/>
  <c r="U10" i="17"/>
  <c r="Z9" i="17"/>
  <c r="AA8" i="17"/>
  <c r="Z5" i="17"/>
  <c r="AA12" i="17"/>
  <c r="AC14" i="17"/>
  <c r="V14" i="17"/>
  <c r="AC15" i="17"/>
  <c r="Y7" i="17"/>
  <c r="AA7" i="17" s="1"/>
  <c r="Y11" i="17"/>
  <c r="AA11" i="17" s="1"/>
  <c r="S14" i="17"/>
  <c r="U14" i="17" s="1"/>
  <c r="V15" i="17"/>
  <c r="Y15" i="17" s="1"/>
  <c r="Z15" i="17" s="1"/>
  <c r="S15" i="17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Q15" i="16"/>
  <c r="P15" i="16"/>
  <c r="O15" i="16"/>
  <c r="N15" i="16"/>
  <c r="M15" i="16"/>
  <c r="L15" i="16"/>
  <c r="K15" i="16"/>
  <c r="J15" i="16"/>
  <c r="I15" i="16"/>
  <c r="H15" i="16"/>
  <c r="AB15" i="16" s="1"/>
  <c r="G15" i="16"/>
  <c r="F15" i="16"/>
  <c r="E15" i="16"/>
  <c r="D15" i="16"/>
  <c r="W15" i="16" s="1"/>
  <c r="C15" i="16"/>
  <c r="B15" i="16"/>
  <c r="Q14" i="16"/>
  <c r="P14" i="16"/>
  <c r="O14" i="16"/>
  <c r="N14" i="16"/>
  <c r="M14" i="16"/>
  <c r="L14" i="16"/>
  <c r="AD14" i="16" s="1"/>
  <c r="K14" i="16"/>
  <c r="J14" i="16"/>
  <c r="I14" i="16"/>
  <c r="H14" i="16"/>
  <c r="AB14" i="16" s="1"/>
  <c r="G14" i="16"/>
  <c r="F14" i="16"/>
  <c r="X14" i="16" s="1"/>
  <c r="E14" i="16"/>
  <c r="D14" i="16"/>
  <c r="C14" i="16"/>
  <c r="T14" i="16" s="1"/>
  <c r="B14" i="16"/>
  <c r="AE12" i="16"/>
  <c r="BG12" i="16" s="1"/>
  <c r="AD12" i="16"/>
  <c r="AC12" i="16"/>
  <c r="AB12" i="16"/>
  <c r="X12" i="16"/>
  <c r="W12" i="16"/>
  <c r="V12" i="16"/>
  <c r="T12" i="16"/>
  <c r="S12" i="16"/>
  <c r="AU12" i="16" s="1"/>
  <c r="AE11" i="16"/>
  <c r="BG11" i="16" s="1"/>
  <c r="AD11" i="16"/>
  <c r="BF11" i="16" s="1"/>
  <c r="AC11" i="16"/>
  <c r="BE11" i="16" s="1"/>
  <c r="AB11" i="16"/>
  <c r="BD11" i="16" s="1"/>
  <c r="X11" i="16"/>
  <c r="AZ11" i="16" s="1"/>
  <c r="W11" i="16"/>
  <c r="AY11" i="16" s="1"/>
  <c r="V11" i="16"/>
  <c r="AX11" i="16" s="1"/>
  <c r="T11" i="16"/>
  <c r="AV11" i="16" s="1"/>
  <c r="S11" i="16"/>
  <c r="AU11" i="16" s="1"/>
  <c r="AE10" i="16"/>
  <c r="BG10" i="16" s="1"/>
  <c r="AD10" i="16"/>
  <c r="BF10" i="16" s="1"/>
  <c r="AC10" i="16"/>
  <c r="BE10" i="16" s="1"/>
  <c r="AB10" i="16"/>
  <c r="BD10" i="16" s="1"/>
  <c r="X10" i="16"/>
  <c r="AZ10" i="16" s="1"/>
  <c r="W10" i="16"/>
  <c r="AY10" i="16" s="1"/>
  <c r="V10" i="16"/>
  <c r="AX10" i="16" s="1"/>
  <c r="T10" i="16"/>
  <c r="S10" i="16"/>
  <c r="AU10" i="16" s="1"/>
  <c r="AE9" i="16"/>
  <c r="BG9" i="16" s="1"/>
  <c r="AD9" i="16"/>
  <c r="BF9" i="16" s="1"/>
  <c r="AC9" i="16"/>
  <c r="BE9" i="16" s="1"/>
  <c r="AB9" i="16"/>
  <c r="BD9" i="16" s="1"/>
  <c r="X9" i="16"/>
  <c r="AZ9" i="16" s="1"/>
  <c r="W9" i="16"/>
  <c r="AY9" i="16" s="1"/>
  <c r="V9" i="16"/>
  <c r="AX9" i="16" s="1"/>
  <c r="T9" i="16"/>
  <c r="AV9" i="16" s="1"/>
  <c r="S9" i="16"/>
  <c r="AE8" i="16"/>
  <c r="BG8" i="16" s="1"/>
  <c r="AD8" i="16"/>
  <c r="BF8" i="16" s="1"/>
  <c r="AC8" i="16"/>
  <c r="BE8" i="16" s="1"/>
  <c r="AB8" i="16"/>
  <c r="BD8" i="16" s="1"/>
  <c r="X8" i="16"/>
  <c r="AZ8" i="16" s="1"/>
  <c r="W8" i="16"/>
  <c r="AY8" i="16" s="1"/>
  <c r="V8" i="16"/>
  <c r="AX8" i="16" s="1"/>
  <c r="T8" i="16"/>
  <c r="AV8" i="16" s="1"/>
  <c r="S8" i="16"/>
  <c r="AU8" i="16" s="1"/>
  <c r="AE7" i="16"/>
  <c r="BG7" i="16" s="1"/>
  <c r="AD7" i="16"/>
  <c r="BF7" i="16" s="1"/>
  <c r="AC7" i="16"/>
  <c r="BE7" i="16" s="1"/>
  <c r="AB7" i="16"/>
  <c r="BD7" i="16" s="1"/>
  <c r="X7" i="16"/>
  <c r="AZ7" i="16" s="1"/>
  <c r="W7" i="16"/>
  <c r="AY7" i="16" s="1"/>
  <c r="V7" i="16"/>
  <c r="AX7" i="16" s="1"/>
  <c r="T7" i="16"/>
  <c r="AV7" i="16" s="1"/>
  <c r="S7" i="16"/>
  <c r="AU7" i="16" s="1"/>
  <c r="AE6" i="16"/>
  <c r="BG6" i="16" s="1"/>
  <c r="AD6" i="16"/>
  <c r="BF6" i="16" s="1"/>
  <c r="AC6" i="16"/>
  <c r="BE6" i="16" s="1"/>
  <c r="AB6" i="16"/>
  <c r="BD6" i="16" s="1"/>
  <c r="X6" i="16"/>
  <c r="AZ6" i="16" s="1"/>
  <c r="W6" i="16"/>
  <c r="AY6" i="16" s="1"/>
  <c r="V6" i="16"/>
  <c r="AX6" i="16" s="1"/>
  <c r="T6" i="16"/>
  <c r="AV6" i="16" s="1"/>
  <c r="S6" i="16"/>
  <c r="AU6" i="16" s="1"/>
  <c r="AE5" i="16"/>
  <c r="AD5" i="16"/>
  <c r="BF5" i="16" s="1"/>
  <c r="AC5" i="16"/>
  <c r="BE5" i="16" s="1"/>
  <c r="AB5" i="16"/>
  <c r="BD5" i="16" s="1"/>
  <c r="X5" i="16"/>
  <c r="AZ5" i="16" s="1"/>
  <c r="W5" i="16"/>
  <c r="V5" i="16"/>
  <c r="AX5" i="16" s="1"/>
  <c r="T5" i="16"/>
  <c r="AV5" i="16" s="1"/>
  <c r="S5" i="16"/>
  <c r="W13" i="6"/>
  <c r="T13" i="6"/>
  <c r="B14" i="6"/>
  <c r="S13" i="6"/>
  <c r="V13" i="6"/>
  <c r="AC13" i="6"/>
  <c r="AE13" i="6"/>
  <c r="BA14" i="18" l="1"/>
  <c r="AA14" i="18"/>
  <c r="BC14" i="18" s="1"/>
  <c r="Z14" i="18"/>
  <c r="BB14" i="18" s="1"/>
  <c r="C7" i="12"/>
  <c r="AV14" i="16"/>
  <c r="U10" i="16"/>
  <c r="AW10" i="16" s="1"/>
  <c r="AV10" i="16"/>
  <c r="Y5" i="16"/>
  <c r="AY5" i="16"/>
  <c r="U5" i="16"/>
  <c r="AW5" i="16" s="1"/>
  <c r="AU5" i="16"/>
  <c r="U9" i="16"/>
  <c r="AW9" i="16" s="1"/>
  <c r="AU9" i="16"/>
  <c r="U12" i="16"/>
  <c r="AW12" i="16" s="1"/>
  <c r="AV12" i="16"/>
  <c r="AA6" i="17"/>
  <c r="AA5" i="16"/>
  <c r="BC5" i="16" s="1"/>
  <c r="U11" i="16"/>
  <c r="AW11" i="16" s="1"/>
  <c r="AA10" i="17"/>
  <c r="AD15" i="16"/>
  <c r="Y12" i="16"/>
  <c r="X15" i="16"/>
  <c r="U15" i="17"/>
  <c r="Y14" i="17"/>
  <c r="Z14" i="17" s="1"/>
  <c r="Z7" i="17"/>
  <c r="AA15" i="17"/>
  <c r="Z11" i="17"/>
  <c r="AC15" i="16"/>
  <c r="U7" i="16"/>
  <c r="AW7" i="16" s="1"/>
  <c r="Y9" i="16"/>
  <c r="Y8" i="16"/>
  <c r="AE14" i="16"/>
  <c r="AE15" i="16"/>
  <c r="BG15" i="16" s="1"/>
  <c r="U8" i="16"/>
  <c r="AW8" i="16" s="1"/>
  <c r="AC14" i="16"/>
  <c r="V14" i="16"/>
  <c r="U6" i="16"/>
  <c r="AW6" i="16" s="1"/>
  <c r="Z12" i="16"/>
  <c r="BB12" i="16" s="1"/>
  <c r="AA12" i="16"/>
  <c r="BC12" i="16" s="1"/>
  <c r="T15" i="16"/>
  <c r="AV15" i="16" s="1"/>
  <c r="Y6" i="16"/>
  <c r="Y7" i="16"/>
  <c r="Y11" i="16"/>
  <c r="S14" i="16"/>
  <c r="W14" i="16"/>
  <c r="V15" i="16"/>
  <c r="Y15" i="16" s="1"/>
  <c r="AA15" i="16" s="1"/>
  <c r="BC15" i="16" s="1"/>
  <c r="Y10" i="16"/>
  <c r="S15" i="16"/>
  <c r="AU15" i="16" s="1"/>
  <c r="U13" i="6"/>
  <c r="T6" i="2"/>
  <c r="AV6" i="2" s="1"/>
  <c r="S6" i="2"/>
  <c r="AU6" i="2" s="1"/>
  <c r="S5" i="2"/>
  <c r="AU5" i="2" s="1"/>
  <c r="T5" i="2"/>
  <c r="AV5" i="2" s="1"/>
  <c r="AA7" i="16" l="1"/>
  <c r="BC7" i="16" s="1"/>
  <c r="BA7" i="16"/>
  <c r="AA8" i="16"/>
  <c r="BC8" i="16" s="1"/>
  <c r="BA8" i="16"/>
  <c r="Z8" i="16"/>
  <c r="BB8" i="16" s="1"/>
  <c r="U14" i="16"/>
  <c r="B7" i="12"/>
  <c r="AU14" i="16"/>
  <c r="Z6" i="16"/>
  <c r="BB6" i="16" s="1"/>
  <c r="BA6" i="16"/>
  <c r="Z9" i="16"/>
  <c r="BB9" i="16" s="1"/>
  <c r="BA9" i="16"/>
  <c r="Z10" i="16"/>
  <c r="BB10" i="16" s="1"/>
  <c r="BA10" i="16"/>
  <c r="AA11" i="16"/>
  <c r="BC11" i="16" s="1"/>
  <c r="BA11" i="16"/>
  <c r="N7" i="12"/>
  <c r="BG14" i="16"/>
  <c r="Z5" i="16"/>
  <c r="BB5" i="16" s="1"/>
  <c r="BA5" i="16"/>
  <c r="AA14" i="17"/>
  <c r="AA9" i="16"/>
  <c r="BC9" i="16" s="1"/>
  <c r="AA10" i="16"/>
  <c r="BC10" i="16" s="1"/>
  <c r="Z15" i="16"/>
  <c r="BB15" i="16" s="1"/>
  <c r="Y14" i="16"/>
  <c r="AA14" i="16" s="1"/>
  <c r="AA6" i="16"/>
  <c r="BC6" i="16" s="1"/>
  <c r="Z7" i="16"/>
  <c r="BB7" i="16" s="1"/>
  <c r="U15" i="16"/>
  <c r="AW15" i="16" s="1"/>
  <c r="Z11" i="16"/>
  <c r="BB11" i="16" s="1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Q15" i="15"/>
  <c r="P15" i="15"/>
  <c r="O15" i="15"/>
  <c r="N15" i="15"/>
  <c r="M15" i="15"/>
  <c r="L15" i="15"/>
  <c r="K15" i="15"/>
  <c r="J15" i="15"/>
  <c r="I15" i="15"/>
  <c r="H15" i="15"/>
  <c r="AB15" i="15" s="1"/>
  <c r="G15" i="15"/>
  <c r="F15" i="15"/>
  <c r="E15" i="15"/>
  <c r="D15" i="15"/>
  <c r="W15" i="15" s="1"/>
  <c r="C15" i="15"/>
  <c r="B15" i="15"/>
  <c r="Q14" i="15"/>
  <c r="P14" i="15"/>
  <c r="O14" i="15"/>
  <c r="N14" i="15"/>
  <c r="M14" i="15"/>
  <c r="L14" i="15"/>
  <c r="K14" i="15"/>
  <c r="J14" i="15"/>
  <c r="I14" i="15"/>
  <c r="H14" i="15"/>
  <c r="AB14" i="15" s="1"/>
  <c r="G14" i="15"/>
  <c r="F14" i="15"/>
  <c r="X14" i="15" s="1"/>
  <c r="E14" i="15"/>
  <c r="D14" i="15"/>
  <c r="W14" i="15" s="1"/>
  <c r="C14" i="15"/>
  <c r="B14" i="15"/>
  <c r="AE12" i="15"/>
  <c r="BG12" i="15" s="1"/>
  <c r="AD12" i="15"/>
  <c r="AC12" i="15"/>
  <c r="AB12" i="15"/>
  <c r="X12" i="15"/>
  <c r="W12" i="15"/>
  <c r="V12" i="15"/>
  <c r="T12" i="15"/>
  <c r="AV12" i="15" s="1"/>
  <c r="S12" i="15"/>
  <c r="AU12" i="15" s="1"/>
  <c r="AE11" i="15"/>
  <c r="BG11" i="15" s="1"/>
  <c r="AD11" i="15"/>
  <c r="BF11" i="15" s="1"/>
  <c r="AC11" i="15"/>
  <c r="BE11" i="15" s="1"/>
  <c r="AB11" i="15"/>
  <c r="BD11" i="15" s="1"/>
  <c r="X11" i="15"/>
  <c r="AZ11" i="15" s="1"/>
  <c r="W11" i="15"/>
  <c r="AY11" i="15" s="1"/>
  <c r="V11" i="15"/>
  <c r="AX11" i="15" s="1"/>
  <c r="T11" i="15"/>
  <c r="AV11" i="15" s="1"/>
  <c r="S11" i="15"/>
  <c r="AU11" i="15" s="1"/>
  <c r="AE10" i="15"/>
  <c r="BG10" i="15" s="1"/>
  <c r="AD10" i="15"/>
  <c r="BF10" i="15" s="1"/>
  <c r="AC10" i="15"/>
  <c r="BE10" i="15" s="1"/>
  <c r="AB10" i="15"/>
  <c r="BD10" i="15" s="1"/>
  <c r="X10" i="15"/>
  <c r="AZ10" i="15" s="1"/>
  <c r="W10" i="15"/>
  <c r="AY10" i="15" s="1"/>
  <c r="V10" i="15"/>
  <c r="T10" i="15"/>
  <c r="S10" i="15"/>
  <c r="AU10" i="15" s="1"/>
  <c r="AE9" i="15"/>
  <c r="BG9" i="15" s="1"/>
  <c r="AD9" i="15"/>
  <c r="BF9" i="15" s="1"/>
  <c r="AC9" i="15"/>
  <c r="BE9" i="15" s="1"/>
  <c r="AB9" i="15"/>
  <c r="BD9" i="15" s="1"/>
  <c r="X9" i="15"/>
  <c r="AZ9" i="15" s="1"/>
  <c r="W9" i="15"/>
  <c r="AY9" i="15" s="1"/>
  <c r="V9" i="15"/>
  <c r="AX9" i="15" s="1"/>
  <c r="T9" i="15"/>
  <c r="S9" i="15"/>
  <c r="AU9" i="15" s="1"/>
  <c r="AE8" i="15"/>
  <c r="BG8" i="15" s="1"/>
  <c r="AD8" i="15"/>
  <c r="BF8" i="15" s="1"/>
  <c r="AC8" i="15"/>
  <c r="BE8" i="15" s="1"/>
  <c r="AB8" i="15"/>
  <c r="BD8" i="15" s="1"/>
  <c r="X8" i="15"/>
  <c r="AZ8" i="15" s="1"/>
  <c r="W8" i="15"/>
  <c r="AY8" i="15" s="1"/>
  <c r="V8" i="15"/>
  <c r="T8" i="15"/>
  <c r="S8" i="15"/>
  <c r="AU8" i="15" s="1"/>
  <c r="AE7" i="15"/>
  <c r="BG7" i="15" s="1"/>
  <c r="AD7" i="15"/>
  <c r="BF7" i="15" s="1"/>
  <c r="AC7" i="15"/>
  <c r="BE7" i="15" s="1"/>
  <c r="AB7" i="15"/>
  <c r="BD7" i="15" s="1"/>
  <c r="X7" i="15"/>
  <c r="AZ7" i="15" s="1"/>
  <c r="W7" i="15"/>
  <c r="AY7" i="15" s="1"/>
  <c r="V7" i="15"/>
  <c r="AX7" i="15" s="1"/>
  <c r="T7" i="15"/>
  <c r="AV7" i="15" s="1"/>
  <c r="S7" i="15"/>
  <c r="AE6" i="15"/>
  <c r="BG6" i="15" s="1"/>
  <c r="AD6" i="15"/>
  <c r="BF6" i="15" s="1"/>
  <c r="AC6" i="15"/>
  <c r="BE6" i="15" s="1"/>
  <c r="AB6" i="15"/>
  <c r="BD6" i="15" s="1"/>
  <c r="X6" i="15"/>
  <c r="AZ6" i="15" s="1"/>
  <c r="W6" i="15"/>
  <c r="AY6" i="15" s="1"/>
  <c r="V6" i="15"/>
  <c r="AX6" i="15" s="1"/>
  <c r="T6" i="15"/>
  <c r="AV6" i="15" s="1"/>
  <c r="S6" i="15"/>
  <c r="AU6" i="15" s="1"/>
  <c r="AE5" i="15"/>
  <c r="AD5" i="15"/>
  <c r="BF5" i="15" s="1"/>
  <c r="AC5" i="15"/>
  <c r="BE5" i="15" s="1"/>
  <c r="AB5" i="15"/>
  <c r="BD5" i="15" s="1"/>
  <c r="X5" i="15"/>
  <c r="AZ5" i="15" s="1"/>
  <c r="W5" i="15"/>
  <c r="AY5" i="15" s="1"/>
  <c r="V5" i="15"/>
  <c r="AX5" i="15" s="1"/>
  <c r="T5" i="15"/>
  <c r="AV5" i="15" s="1"/>
  <c r="S5" i="15"/>
  <c r="AU5" i="15" s="1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W15" i="13" s="1"/>
  <c r="C15" i="13"/>
  <c r="B15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W14" i="13" s="1"/>
  <c r="C14" i="13"/>
  <c r="B14" i="13"/>
  <c r="AE12" i="13"/>
  <c r="BG12" i="13" s="1"/>
  <c r="AD12" i="13"/>
  <c r="AC12" i="13"/>
  <c r="AB12" i="13"/>
  <c r="X12" i="13"/>
  <c r="W12" i="13"/>
  <c r="V12" i="13"/>
  <c r="T12" i="13"/>
  <c r="AV12" i="13" s="1"/>
  <c r="S12" i="13"/>
  <c r="AU12" i="13" s="1"/>
  <c r="AE11" i="13"/>
  <c r="BG11" i="13" s="1"/>
  <c r="AD11" i="13"/>
  <c r="BF11" i="13" s="1"/>
  <c r="AC11" i="13"/>
  <c r="BE11" i="13" s="1"/>
  <c r="AB11" i="13"/>
  <c r="BD11" i="13" s="1"/>
  <c r="X11" i="13"/>
  <c r="AZ11" i="13" s="1"/>
  <c r="W11" i="13"/>
  <c r="AY11" i="13" s="1"/>
  <c r="V11" i="13"/>
  <c r="AX11" i="13" s="1"/>
  <c r="T11" i="13"/>
  <c r="AV11" i="13" s="1"/>
  <c r="S11" i="13"/>
  <c r="AU11" i="13" s="1"/>
  <c r="AE10" i="13"/>
  <c r="BG10" i="13" s="1"/>
  <c r="AD10" i="13"/>
  <c r="BF10" i="13" s="1"/>
  <c r="AC10" i="13"/>
  <c r="BE10" i="13" s="1"/>
  <c r="AB10" i="13"/>
  <c r="BD10" i="13" s="1"/>
  <c r="X10" i="13"/>
  <c r="AZ10" i="13" s="1"/>
  <c r="W10" i="13"/>
  <c r="AY10" i="13" s="1"/>
  <c r="V10" i="13"/>
  <c r="AX10" i="13" s="1"/>
  <c r="T10" i="13"/>
  <c r="S10" i="13"/>
  <c r="AU10" i="13" s="1"/>
  <c r="AE9" i="13"/>
  <c r="BG9" i="13" s="1"/>
  <c r="AD9" i="13"/>
  <c r="BF9" i="13" s="1"/>
  <c r="AC9" i="13"/>
  <c r="BE9" i="13" s="1"/>
  <c r="AB9" i="13"/>
  <c r="BD9" i="13" s="1"/>
  <c r="X9" i="13"/>
  <c r="AZ9" i="13" s="1"/>
  <c r="W9" i="13"/>
  <c r="AY9" i="13" s="1"/>
  <c r="V9" i="13"/>
  <c r="T9" i="13"/>
  <c r="AV9" i="13" s="1"/>
  <c r="S9" i="13"/>
  <c r="AE8" i="13"/>
  <c r="BG8" i="13" s="1"/>
  <c r="AD8" i="13"/>
  <c r="BF8" i="13" s="1"/>
  <c r="AC8" i="13"/>
  <c r="BE8" i="13" s="1"/>
  <c r="AB8" i="13"/>
  <c r="BD8" i="13" s="1"/>
  <c r="X8" i="13"/>
  <c r="AZ8" i="13" s="1"/>
  <c r="W8" i="13"/>
  <c r="AY8" i="13" s="1"/>
  <c r="V8" i="13"/>
  <c r="AX8" i="13" s="1"/>
  <c r="T8" i="13"/>
  <c r="AV8" i="13" s="1"/>
  <c r="S8" i="13"/>
  <c r="AU8" i="13" s="1"/>
  <c r="AE7" i="13"/>
  <c r="BG7" i="13" s="1"/>
  <c r="AD7" i="13"/>
  <c r="BF7" i="13" s="1"/>
  <c r="AC7" i="13"/>
  <c r="BE7" i="13" s="1"/>
  <c r="AB7" i="13"/>
  <c r="BD7" i="13" s="1"/>
  <c r="X7" i="13"/>
  <c r="AZ7" i="13" s="1"/>
  <c r="W7" i="13"/>
  <c r="AY7" i="13" s="1"/>
  <c r="V7" i="13"/>
  <c r="AX7" i="13" s="1"/>
  <c r="T7" i="13"/>
  <c r="AV7" i="13" s="1"/>
  <c r="S7" i="13"/>
  <c r="AU7" i="13" s="1"/>
  <c r="AE6" i="13"/>
  <c r="BG6" i="13" s="1"/>
  <c r="AD6" i="13"/>
  <c r="BF6" i="13" s="1"/>
  <c r="AC6" i="13"/>
  <c r="BE6" i="13" s="1"/>
  <c r="AB6" i="13"/>
  <c r="BD6" i="13" s="1"/>
  <c r="X6" i="13"/>
  <c r="AZ6" i="13" s="1"/>
  <c r="W6" i="13"/>
  <c r="AY6" i="13" s="1"/>
  <c r="V6" i="13"/>
  <c r="AX6" i="13" s="1"/>
  <c r="T6" i="13"/>
  <c r="AV6" i="13" s="1"/>
  <c r="S6" i="13"/>
  <c r="AU6" i="13" s="1"/>
  <c r="AE5" i="13"/>
  <c r="AD5" i="13"/>
  <c r="BF5" i="13" s="1"/>
  <c r="AC5" i="13"/>
  <c r="BE5" i="13" s="1"/>
  <c r="AB5" i="13"/>
  <c r="BD5" i="13" s="1"/>
  <c r="X5" i="13"/>
  <c r="AZ5" i="13" s="1"/>
  <c r="W5" i="13"/>
  <c r="AY5" i="13" s="1"/>
  <c r="V5" i="13"/>
  <c r="AX5" i="13" s="1"/>
  <c r="T5" i="13"/>
  <c r="AV5" i="13" s="1"/>
  <c r="S5" i="13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E12" i="14"/>
  <c r="BG12" i="14" s="1"/>
  <c r="AD12" i="14"/>
  <c r="AC12" i="14"/>
  <c r="AB12" i="14"/>
  <c r="X12" i="14"/>
  <c r="W12" i="14"/>
  <c r="V12" i="14"/>
  <c r="T12" i="14"/>
  <c r="AV12" i="14" s="1"/>
  <c r="S12" i="14"/>
  <c r="AU12" i="14" s="1"/>
  <c r="AE11" i="14"/>
  <c r="BG11" i="14" s="1"/>
  <c r="AD11" i="14"/>
  <c r="BF11" i="14" s="1"/>
  <c r="AC11" i="14"/>
  <c r="BE11" i="14" s="1"/>
  <c r="AB11" i="14"/>
  <c r="BD11" i="14" s="1"/>
  <c r="X11" i="14"/>
  <c r="AZ11" i="14" s="1"/>
  <c r="W11" i="14"/>
  <c r="AY11" i="14" s="1"/>
  <c r="V11" i="14"/>
  <c r="AX11" i="14" s="1"/>
  <c r="T11" i="14"/>
  <c r="AV11" i="14" s="1"/>
  <c r="S11" i="14"/>
  <c r="AU11" i="14" s="1"/>
  <c r="AE10" i="14"/>
  <c r="BG10" i="14" s="1"/>
  <c r="AD10" i="14"/>
  <c r="BF10" i="14" s="1"/>
  <c r="AC10" i="14"/>
  <c r="BE10" i="14" s="1"/>
  <c r="AB10" i="14"/>
  <c r="BD10" i="14" s="1"/>
  <c r="X10" i="14"/>
  <c r="AZ10" i="14" s="1"/>
  <c r="W10" i="14"/>
  <c r="AY10" i="14" s="1"/>
  <c r="V10" i="14"/>
  <c r="AX10" i="14" s="1"/>
  <c r="T10" i="14"/>
  <c r="AV10" i="14" s="1"/>
  <c r="S10" i="14"/>
  <c r="AU10" i="14" s="1"/>
  <c r="AE9" i="14"/>
  <c r="BG9" i="14" s="1"/>
  <c r="AD9" i="14"/>
  <c r="BF9" i="14" s="1"/>
  <c r="AC9" i="14"/>
  <c r="BE9" i="14" s="1"/>
  <c r="AB9" i="14"/>
  <c r="BD9" i="14" s="1"/>
  <c r="X9" i="14"/>
  <c r="AZ9" i="14" s="1"/>
  <c r="W9" i="14"/>
  <c r="AY9" i="14" s="1"/>
  <c r="V9" i="14"/>
  <c r="T9" i="14"/>
  <c r="AV9" i="14" s="1"/>
  <c r="S9" i="14"/>
  <c r="AU9" i="14" s="1"/>
  <c r="AE8" i="14"/>
  <c r="BG8" i="14" s="1"/>
  <c r="AD8" i="14"/>
  <c r="BF8" i="14" s="1"/>
  <c r="AC8" i="14"/>
  <c r="BE8" i="14" s="1"/>
  <c r="AB8" i="14"/>
  <c r="BD8" i="14" s="1"/>
  <c r="X8" i="14"/>
  <c r="AZ8" i="14" s="1"/>
  <c r="W8" i="14"/>
  <c r="AY8" i="14" s="1"/>
  <c r="V8" i="14"/>
  <c r="AX8" i="14" s="1"/>
  <c r="T8" i="14"/>
  <c r="AV8" i="14" s="1"/>
  <c r="S8" i="14"/>
  <c r="AU8" i="14" s="1"/>
  <c r="AE7" i="14"/>
  <c r="BG7" i="14" s="1"/>
  <c r="AD7" i="14"/>
  <c r="BF7" i="14" s="1"/>
  <c r="AC7" i="14"/>
  <c r="BE7" i="14" s="1"/>
  <c r="AB7" i="14"/>
  <c r="BD7" i="14" s="1"/>
  <c r="X7" i="14"/>
  <c r="AZ7" i="14" s="1"/>
  <c r="W7" i="14"/>
  <c r="AY7" i="14" s="1"/>
  <c r="V7" i="14"/>
  <c r="AX7" i="14" s="1"/>
  <c r="T7" i="14"/>
  <c r="AV7" i="14" s="1"/>
  <c r="S7" i="14"/>
  <c r="AU7" i="14" s="1"/>
  <c r="AE6" i="14"/>
  <c r="BG6" i="14" s="1"/>
  <c r="AD6" i="14"/>
  <c r="BF6" i="14" s="1"/>
  <c r="AC6" i="14"/>
  <c r="BE6" i="14" s="1"/>
  <c r="AB6" i="14"/>
  <c r="BD6" i="14" s="1"/>
  <c r="X6" i="14"/>
  <c r="AZ6" i="14" s="1"/>
  <c r="W6" i="14"/>
  <c r="AY6" i="14" s="1"/>
  <c r="V6" i="14"/>
  <c r="AX6" i="14" s="1"/>
  <c r="T6" i="14"/>
  <c r="AV6" i="14" s="1"/>
  <c r="S6" i="14"/>
  <c r="AU6" i="14" s="1"/>
  <c r="AE5" i="14"/>
  <c r="AD5" i="14"/>
  <c r="BF5" i="14" s="1"/>
  <c r="AC5" i="14"/>
  <c r="BE5" i="14" s="1"/>
  <c r="AB5" i="14"/>
  <c r="BD5" i="14" s="1"/>
  <c r="X5" i="14"/>
  <c r="AZ5" i="14" s="1"/>
  <c r="W5" i="14"/>
  <c r="AY5" i="14" s="1"/>
  <c r="V5" i="14"/>
  <c r="T5" i="14"/>
  <c r="AV5" i="14" s="1"/>
  <c r="S5" i="14"/>
  <c r="AU5" i="14" s="1"/>
  <c r="U7" i="15" l="1"/>
  <c r="AW7" i="15" s="1"/>
  <c r="AU7" i="15"/>
  <c r="U10" i="15"/>
  <c r="AW10" i="15" s="1"/>
  <c r="AV10" i="15"/>
  <c r="Y8" i="15"/>
  <c r="AX8" i="15"/>
  <c r="U9" i="15"/>
  <c r="AW9" i="15" s="1"/>
  <c r="AV9" i="15"/>
  <c r="Y10" i="15"/>
  <c r="AX10" i="15"/>
  <c r="U5" i="15"/>
  <c r="AW5" i="15" s="1"/>
  <c r="Y5" i="15"/>
  <c r="BA5" i="15" s="1"/>
  <c r="U8" i="15"/>
  <c r="AW8" i="15" s="1"/>
  <c r="AV8" i="15"/>
  <c r="Y9" i="13"/>
  <c r="AX9" i="13"/>
  <c r="U10" i="13"/>
  <c r="AW10" i="13" s="1"/>
  <c r="AV10" i="13"/>
  <c r="U5" i="13"/>
  <c r="AW5" i="13" s="1"/>
  <c r="AU5" i="13"/>
  <c r="U9" i="13"/>
  <c r="AW9" i="13" s="1"/>
  <c r="AU9" i="13"/>
  <c r="Y9" i="14"/>
  <c r="AX9" i="14"/>
  <c r="Y5" i="14"/>
  <c r="AX5" i="14"/>
  <c r="D7" i="12"/>
  <c r="AW14" i="16"/>
  <c r="J7" i="12"/>
  <c r="BC14" i="16"/>
  <c r="U11" i="13"/>
  <c r="AW11" i="13" s="1"/>
  <c r="U11" i="15"/>
  <c r="AW11" i="15" s="1"/>
  <c r="AB15" i="13"/>
  <c r="U12" i="13"/>
  <c r="AW12" i="13" s="1"/>
  <c r="U6" i="15"/>
  <c r="AW6" i="15" s="1"/>
  <c r="Y9" i="15"/>
  <c r="U12" i="15"/>
  <c r="AW12" i="15" s="1"/>
  <c r="AE14" i="15"/>
  <c r="BG14" i="15" s="1"/>
  <c r="AD14" i="15"/>
  <c r="AE15" i="15"/>
  <c r="BG15" i="15" s="1"/>
  <c r="AD15" i="15"/>
  <c r="Y5" i="13"/>
  <c r="U5" i="14"/>
  <c r="AW5" i="14" s="1"/>
  <c r="U9" i="14"/>
  <c r="AW9" i="14" s="1"/>
  <c r="Y12" i="14"/>
  <c r="Y12" i="13"/>
  <c r="X15" i="13"/>
  <c r="Y6" i="15"/>
  <c r="AA8" i="15"/>
  <c r="BC8" i="15" s="1"/>
  <c r="AA10" i="15"/>
  <c r="BC10" i="15" s="1"/>
  <c r="Y12" i="15"/>
  <c r="Z12" i="15" s="1"/>
  <c r="BB12" i="15" s="1"/>
  <c r="T14" i="15"/>
  <c r="AV14" i="15" s="1"/>
  <c r="T15" i="15"/>
  <c r="AV15" i="15" s="1"/>
  <c r="X15" i="15"/>
  <c r="Z14" i="16"/>
  <c r="U12" i="14"/>
  <c r="AW12" i="14" s="1"/>
  <c r="U11" i="14"/>
  <c r="AW11" i="14" s="1"/>
  <c r="U10" i="14"/>
  <c r="AW10" i="14" s="1"/>
  <c r="W15" i="14"/>
  <c r="AB15" i="14"/>
  <c r="U8" i="14"/>
  <c r="AW8" i="14" s="1"/>
  <c r="Y8" i="14"/>
  <c r="X14" i="14"/>
  <c r="AE15" i="14"/>
  <c r="BG15" i="14" s="1"/>
  <c r="AD15" i="14"/>
  <c r="U7" i="14"/>
  <c r="AW7" i="14" s="1"/>
  <c r="AC15" i="14"/>
  <c r="X15" i="14"/>
  <c r="U6" i="14"/>
  <c r="AW6" i="14" s="1"/>
  <c r="AE14" i="14"/>
  <c r="BG14" i="14" s="1"/>
  <c r="V14" i="14"/>
  <c r="T14" i="14"/>
  <c r="AV14" i="14" s="1"/>
  <c r="W14" i="14"/>
  <c r="AB14" i="14"/>
  <c r="AD14" i="14"/>
  <c r="AD15" i="13"/>
  <c r="AD14" i="13"/>
  <c r="AB14" i="13"/>
  <c r="X14" i="13"/>
  <c r="T14" i="13"/>
  <c r="AV14" i="13" s="1"/>
  <c r="U8" i="13"/>
  <c r="AW8" i="13" s="1"/>
  <c r="Y8" i="13"/>
  <c r="U7" i="13"/>
  <c r="AW7" i="13" s="1"/>
  <c r="AE15" i="13"/>
  <c r="BG15" i="13" s="1"/>
  <c r="AE14" i="13"/>
  <c r="BG14" i="13" s="1"/>
  <c r="AC15" i="13"/>
  <c r="U6" i="13"/>
  <c r="AW6" i="13" s="1"/>
  <c r="V14" i="13"/>
  <c r="Y14" i="13" s="1"/>
  <c r="AA6" i="15"/>
  <c r="BC6" i="15" s="1"/>
  <c r="AA12" i="15"/>
  <c r="BC12" i="15" s="1"/>
  <c r="AC14" i="15"/>
  <c r="V14" i="15"/>
  <c r="Y14" i="15" s="1"/>
  <c r="Z14" i="15" s="1"/>
  <c r="BB14" i="15" s="1"/>
  <c r="AC15" i="15"/>
  <c r="Y7" i="15"/>
  <c r="Y11" i="15"/>
  <c r="S14" i="15"/>
  <c r="V15" i="15"/>
  <c r="Y15" i="15" s="1"/>
  <c r="AA15" i="15" s="1"/>
  <c r="BC15" i="15" s="1"/>
  <c r="S15" i="15"/>
  <c r="AA12" i="13"/>
  <c r="BC12" i="13" s="1"/>
  <c r="Z12" i="13"/>
  <c r="BB12" i="13" s="1"/>
  <c r="AC14" i="13"/>
  <c r="T15" i="13"/>
  <c r="AV15" i="13" s="1"/>
  <c r="Z5" i="13"/>
  <c r="BB5" i="13" s="1"/>
  <c r="Y6" i="13"/>
  <c r="Y7" i="13"/>
  <c r="AA9" i="13"/>
  <c r="BC9" i="13" s="1"/>
  <c r="Y11" i="13"/>
  <c r="S14" i="13"/>
  <c r="V15" i="13"/>
  <c r="Y10" i="13"/>
  <c r="S15" i="13"/>
  <c r="AU15" i="13" s="1"/>
  <c r="Z8" i="14"/>
  <c r="BB8" i="14" s="1"/>
  <c r="Z12" i="14"/>
  <c r="BB12" i="14" s="1"/>
  <c r="AA12" i="14"/>
  <c r="BC12" i="14" s="1"/>
  <c r="AC14" i="14"/>
  <c r="T15" i="14"/>
  <c r="AV15" i="14" s="1"/>
  <c r="Y6" i="14"/>
  <c r="Z9" i="14"/>
  <c r="BB9" i="14" s="1"/>
  <c r="Y10" i="14"/>
  <c r="Y7" i="14"/>
  <c r="Y11" i="14"/>
  <c r="S14" i="14"/>
  <c r="AU14" i="14" s="1"/>
  <c r="V15" i="14"/>
  <c r="Y15" i="14" s="1"/>
  <c r="Z15" i="14" s="1"/>
  <c r="BB15" i="14" s="1"/>
  <c r="S15" i="14"/>
  <c r="AU15" i="14" s="1"/>
  <c r="AA7" i="15" l="1"/>
  <c r="BC7" i="15" s="1"/>
  <c r="BA7" i="15"/>
  <c r="U14" i="15"/>
  <c r="AW14" i="15" s="1"/>
  <c r="AU14" i="15"/>
  <c r="Z6" i="15"/>
  <c r="BB6" i="15" s="1"/>
  <c r="BA6" i="15"/>
  <c r="U15" i="15"/>
  <c r="AW15" i="15" s="1"/>
  <c r="AU15" i="15"/>
  <c r="Z5" i="15"/>
  <c r="BB5" i="15" s="1"/>
  <c r="AA11" i="15"/>
  <c r="BC11" i="15" s="1"/>
  <c r="BA11" i="15"/>
  <c r="AA5" i="15"/>
  <c r="BC5" i="15" s="1"/>
  <c r="Z9" i="15"/>
  <c r="BB9" i="15" s="1"/>
  <c r="BA9" i="15"/>
  <c r="Z10" i="15"/>
  <c r="BB10" i="15" s="1"/>
  <c r="BA10" i="15"/>
  <c r="Z8" i="15"/>
  <c r="BB8" i="15" s="1"/>
  <c r="BA8" i="15"/>
  <c r="U14" i="13"/>
  <c r="AW14" i="13" s="1"/>
  <c r="AU14" i="13"/>
  <c r="Z6" i="13"/>
  <c r="BB6" i="13" s="1"/>
  <c r="BA6" i="13"/>
  <c r="AA11" i="13"/>
  <c r="BC11" i="13" s="1"/>
  <c r="BA11" i="13"/>
  <c r="AA8" i="13"/>
  <c r="BC8" i="13" s="1"/>
  <c r="BA8" i="13"/>
  <c r="Z10" i="13"/>
  <c r="BB10" i="13" s="1"/>
  <c r="BA10" i="13"/>
  <c r="AA7" i="13"/>
  <c r="BC7" i="13" s="1"/>
  <c r="BA7" i="13"/>
  <c r="AA5" i="13"/>
  <c r="BC5" i="13" s="1"/>
  <c r="BA5" i="13"/>
  <c r="Z9" i="13"/>
  <c r="BB9" i="13" s="1"/>
  <c r="BA9" i="13"/>
  <c r="AA11" i="14"/>
  <c r="BC11" i="14" s="1"/>
  <c r="BA11" i="14"/>
  <c r="Z6" i="14"/>
  <c r="BB6" i="14" s="1"/>
  <c r="BA6" i="14"/>
  <c r="AA8" i="14"/>
  <c r="BC8" i="14" s="1"/>
  <c r="BA8" i="14"/>
  <c r="Z10" i="14"/>
  <c r="BB10" i="14" s="1"/>
  <c r="BA10" i="14"/>
  <c r="AA5" i="14"/>
  <c r="BC5" i="14" s="1"/>
  <c r="BA5" i="14"/>
  <c r="AA7" i="14"/>
  <c r="BC7" i="14" s="1"/>
  <c r="BA7" i="14"/>
  <c r="Z5" i="14"/>
  <c r="BB5" i="14" s="1"/>
  <c r="AA9" i="14"/>
  <c r="BC9" i="14" s="1"/>
  <c r="BA9" i="14"/>
  <c r="I7" i="12"/>
  <c r="BB14" i="16"/>
  <c r="I8" i="12"/>
  <c r="J8" i="12"/>
  <c r="AA9" i="15"/>
  <c r="BC9" i="15" s="1"/>
  <c r="Z11" i="14"/>
  <c r="BB11" i="14" s="1"/>
  <c r="Z11" i="13"/>
  <c r="BB11" i="13" s="1"/>
  <c r="Y15" i="13"/>
  <c r="AA15" i="13" s="1"/>
  <c r="BC15" i="13" s="1"/>
  <c r="Z11" i="15"/>
  <c r="BB11" i="15" s="1"/>
  <c r="Z7" i="14"/>
  <c r="BB7" i="14" s="1"/>
  <c r="U15" i="14"/>
  <c r="AW15" i="14" s="1"/>
  <c r="AA6" i="14"/>
  <c r="BC6" i="14" s="1"/>
  <c r="U14" i="14"/>
  <c r="AW14" i="14" s="1"/>
  <c r="Y14" i="14"/>
  <c r="AA14" i="14" s="1"/>
  <c r="BC14" i="14" s="1"/>
  <c r="Z8" i="13"/>
  <c r="BB8" i="13" s="1"/>
  <c r="AA14" i="13"/>
  <c r="BC14" i="13" s="1"/>
  <c r="Z14" i="13"/>
  <c r="BB14" i="13" s="1"/>
  <c r="U15" i="13"/>
  <c r="AW15" i="13" s="1"/>
  <c r="AA6" i="13"/>
  <c r="BC6" i="13" s="1"/>
  <c r="Z15" i="15"/>
  <c r="BB15" i="15" s="1"/>
  <c r="AA14" i="15"/>
  <c r="BC14" i="15" s="1"/>
  <c r="Z7" i="15"/>
  <c r="BB7" i="15" s="1"/>
  <c r="Z7" i="13"/>
  <c r="BB7" i="13" s="1"/>
  <c r="AA10" i="13"/>
  <c r="BC10" i="13" s="1"/>
  <c r="AA10" i="14"/>
  <c r="BC10" i="14" s="1"/>
  <c r="AA15" i="14"/>
  <c r="BC15" i="14" s="1"/>
  <c r="Z15" i="13" l="1"/>
  <c r="BB15" i="13" s="1"/>
  <c r="Z14" i="14"/>
  <c r="BB14" i="14" s="1"/>
  <c r="Q18" i="10" l="1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E12" i="10"/>
  <c r="BG12" i="10" s="1"/>
  <c r="AD12" i="10"/>
  <c r="AC12" i="10"/>
  <c r="AB12" i="10"/>
  <c r="AV12" i="10"/>
  <c r="AU12" i="10"/>
  <c r="AE11" i="10"/>
  <c r="BG11" i="10" s="1"/>
  <c r="AD11" i="10"/>
  <c r="BF11" i="10" s="1"/>
  <c r="AC11" i="10"/>
  <c r="BE11" i="10" s="1"/>
  <c r="AB11" i="10"/>
  <c r="BD11" i="10" s="1"/>
  <c r="AZ11" i="10"/>
  <c r="AY11" i="10"/>
  <c r="AX11" i="10"/>
  <c r="AV11" i="10"/>
  <c r="AU11" i="10"/>
  <c r="AE10" i="10"/>
  <c r="BG10" i="10" s="1"/>
  <c r="AD10" i="10"/>
  <c r="BF10" i="10" s="1"/>
  <c r="AC10" i="10"/>
  <c r="BE10" i="10" s="1"/>
  <c r="AB10" i="10"/>
  <c r="BD10" i="10" s="1"/>
  <c r="AZ10" i="10"/>
  <c r="AY10" i="10"/>
  <c r="AX10" i="10"/>
  <c r="AV10" i="10"/>
  <c r="AU10" i="10"/>
  <c r="AE9" i="10"/>
  <c r="BG9" i="10" s="1"/>
  <c r="AD9" i="10"/>
  <c r="BF9" i="10" s="1"/>
  <c r="AC9" i="10"/>
  <c r="BE9" i="10" s="1"/>
  <c r="AB9" i="10"/>
  <c r="BD9" i="10" s="1"/>
  <c r="AZ9" i="10"/>
  <c r="AY9" i="10"/>
  <c r="AX9" i="10"/>
  <c r="AV9" i="10"/>
  <c r="AU9" i="10"/>
  <c r="AE8" i="10"/>
  <c r="BG8" i="10" s="1"/>
  <c r="AD8" i="10"/>
  <c r="BF8" i="10" s="1"/>
  <c r="AC8" i="10"/>
  <c r="BE8" i="10" s="1"/>
  <c r="AB8" i="10"/>
  <c r="BD8" i="10" s="1"/>
  <c r="AZ8" i="10"/>
  <c r="AY8" i="10"/>
  <c r="AX8" i="10"/>
  <c r="AV8" i="10"/>
  <c r="AU8" i="10"/>
  <c r="AE7" i="10"/>
  <c r="BG7" i="10" s="1"/>
  <c r="AD7" i="10"/>
  <c r="BF7" i="10" s="1"/>
  <c r="AC7" i="10"/>
  <c r="BE7" i="10" s="1"/>
  <c r="AB7" i="10"/>
  <c r="BD7" i="10" s="1"/>
  <c r="AZ7" i="10"/>
  <c r="AY7" i="10"/>
  <c r="AX7" i="10"/>
  <c r="AV7" i="10"/>
  <c r="AU7" i="10"/>
  <c r="AE6" i="10"/>
  <c r="BG6" i="10" s="1"/>
  <c r="AD6" i="10"/>
  <c r="BF6" i="10" s="1"/>
  <c r="AC6" i="10"/>
  <c r="BE6" i="10" s="1"/>
  <c r="AB6" i="10"/>
  <c r="BD6" i="10" s="1"/>
  <c r="AZ6" i="10"/>
  <c r="AY6" i="10"/>
  <c r="AX6" i="10"/>
  <c r="AV6" i="10"/>
  <c r="AU6" i="10"/>
  <c r="AE5" i="10"/>
  <c r="AD5" i="10"/>
  <c r="BF5" i="10" s="1"/>
  <c r="AC5" i="10"/>
  <c r="BE5" i="10" s="1"/>
  <c r="AB5" i="10"/>
  <c r="BD5" i="10" s="1"/>
  <c r="X5" i="10"/>
  <c r="AZ5" i="10" s="1"/>
  <c r="W5" i="10"/>
  <c r="AY5" i="10" s="1"/>
  <c r="AX5" i="10"/>
  <c r="T5" i="10"/>
  <c r="AV5" i="10" s="1"/>
  <c r="S5" i="10"/>
  <c r="AU5" i="10" s="1"/>
  <c r="AB15" i="10" l="1"/>
  <c r="AB14" i="10"/>
  <c r="W15" i="10"/>
  <c r="W14" i="10"/>
  <c r="AA9" i="10"/>
  <c r="BC9" i="10" s="1"/>
  <c r="Y5" i="10"/>
  <c r="U9" i="10"/>
  <c r="AW9" i="10" s="1"/>
  <c r="U5" i="10"/>
  <c r="AW5" i="10" s="1"/>
  <c r="U7" i="10"/>
  <c r="AW7" i="10" s="1"/>
  <c r="U8" i="10"/>
  <c r="AW8" i="10" s="1"/>
  <c r="U6" i="10"/>
  <c r="AW6" i="10" s="1"/>
  <c r="U12" i="10"/>
  <c r="AW12" i="10" s="1"/>
  <c r="U11" i="10"/>
  <c r="AW11" i="10" s="1"/>
  <c r="U10" i="10"/>
  <c r="AW10" i="10" s="1"/>
  <c r="AC15" i="10"/>
  <c r="X15" i="10"/>
  <c r="AE15" i="10"/>
  <c r="BG15" i="10" s="1"/>
  <c r="AD15" i="10"/>
  <c r="AD14" i="10"/>
  <c r="V14" i="10"/>
  <c r="X14" i="10"/>
  <c r="AE14" i="10"/>
  <c r="T14" i="10"/>
  <c r="AC14" i="10"/>
  <c r="T15" i="10"/>
  <c r="AV15" i="10" s="1"/>
  <c r="V15" i="10"/>
  <c r="S15" i="10"/>
  <c r="AU15" i="10" s="1"/>
  <c r="Z12" i="10" l="1"/>
  <c r="BB12" i="10" s="1"/>
  <c r="BA12" i="10"/>
  <c r="Z10" i="10"/>
  <c r="BB10" i="10" s="1"/>
  <c r="BA10" i="10"/>
  <c r="N2" i="12"/>
  <c r="BG14" i="10"/>
  <c r="AA11" i="10"/>
  <c r="BC11" i="10" s="1"/>
  <c r="BA11" i="10"/>
  <c r="S20" i="10"/>
  <c r="B2" i="12"/>
  <c r="AU14" i="10"/>
  <c r="Z6" i="10"/>
  <c r="BB6" i="10" s="1"/>
  <c r="BA6" i="10"/>
  <c r="Z8" i="10"/>
  <c r="BB8" i="10" s="1"/>
  <c r="BA8" i="10"/>
  <c r="AA5" i="10"/>
  <c r="BC5" i="10" s="1"/>
  <c r="BA5" i="10"/>
  <c r="AA7" i="10"/>
  <c r="BC7" i="10" s="1"/>
  <c r="BA7" i="10"/>
  <c r="C2" i="12"/>
  <c r="AV14" i="10"/>
  <c r="Z9" i="10"/>
  <c r="BB9" i="10" s="1"/>
  <c r="BA9" i="10"/>
  <c r="AA8" i="10"/>
  <c r="BC8" i="10" s="1"/>
  <c r="Z5" i="10"/>
  <c r="BB5" i="10" s="1"/>
  <c r="AA12" i="10"/>
  <c r="BC12" i="10" s="1"/>
  <c r="AE20" i="10"/>
  <c r="T20" i="10"/>
  <c r="U14" i="10"/>
  <c r="Z11" i="10"/>
  <c r="BB11" i="10" s="1"/>
  <c r="Y15" i="10"/>
  <c r="Z15" i="10" s="1"/>
  <c r="BB15" i="10" s="1"/>
  <c r="Y14" i="10"/>
  <c r="U15" i="10"/>
  <c r="AW15" i="10" s="1"/>
  <c r="Z7" i="10"/>
  <c r="BB7" i="10" s="1"/>
  <c r="AA6" i="10"/>
  <c r="BC6" i="10" s="1"/>
  <c r="AA10" i="10"/>
  <c r="BC10" i="10" s="1"/>
  <c r="Q12" i="9"/>
  <c r="P12" i="9"/>
  <c r="O12" i="9"/>
  <c r="N12" i="9"/>
  <c r="M12" i="9"/>
  <c r="L12" i="9"/>
  <c r="K12" i="9"/>
  <c r="J12" i="9"/>
  <c r="I12" i="9"/>
  <c r="H12" i="9"/>
  <c r="AB12" i="9" s="1"/>
  <c r="BD12" i="9" s="1"/>
  <c r="G12" i="9"/>
  <c r="F12" i="9"/>
  <c r="E12" i="9"/>
  <c r="D12" i="9"/>
  <c r="C12" i="9"/>
  <c r="B12" i="9"/>
  <c r="Q11" i="9"/>
  <c r="P11" i="9"/>
  <c r="O11" i="9"/>
  <c r="N11" i="9"/>
  <c r="M11" i="9"/>
  <c r="L11" i="9"/>
  <c r="K11" i="9"/>
  <c r="J11" i="9"/>
  <c r="I11" i="9"/>
  <c r="H11" i="9"/>
  <c r="AB11" i="9" s="1"/>
  <c r="BD11" i="9" s="1"/>
  <c r="G11" i="9"/>
  <c r="F11" i="9"/>
  <c r="E11" i="9"/>
  <c r="D11" i="9"/>
  <c r="C11" i="9"/>
  <c r="B11" i="9"/>
  <c r="Q10" i="9"/>
  <c r="P10" i="9"/>
  <c r="O10" i="9"/>
  <c r="N10" i="9"/>
  <c r="M10" i="9"/>
  <c r="L10" i="9"/>
  <c r="K10" i="9"/>
  <c r="J10" i="9"/>
  <c r="I10" i="9"/>
  <c r="H10" i="9"/>
  <c r="G10" i="9"/>
  <c r="X10" i="9" s="1"/>
  <c r="AZ10" i="9" s="1"/>
  <c r="F10" i="9"/>
  <c r="E10" i="9"/>
  <c r="D10" i="9"/>
  <c r="W10" i="9" s="1"/>
  <c r="AY10" i="9" s="1"/>
  <c r="C10" i="9"/>
  <c r="B10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Q7" i="9"/>
  <c r="P7" i="9"/>
  <c r="O7" i="9"/>
  <c r="O15" i="9" s="1"/>
  <c r="N7" i="9"/>
  <c r="N15" i="9" s="1"/>
  <c r="M7" i="9"/>
  <c r="M15" i="9" s="1"/>
  <c r="L7" i="9"/>
  <c r="K7" i="9"/>
  <c r="J7" i="9"/>
  <c r="J15" i="9" s="1"/>
  <c r="I7" i="9"/>
  <c r="H7" i="9"/>
  <c r="AB7" i="9" s="1"/>
  <c r="BD7" i="9" s="1"/>
  <c r="G7" i="9"/>
  <c r="F7" i="9"/>
  <c r="E7" i="9"/>
  <c r="D7" i="9"/>
  <c r="C7" i="9"/>
  <c r="C15" i="9" s="1"/>
  <c r="B7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W6" i="9" s="1"/>
  <c r="AY6" i="9" s="1"/>
  <c r="C6" i="9"/>
  <c r="B6" i="9"/>
  <c r="Q5" i="9"/>
  <c r="Q14" i="9" s="1"/>
  <c r="P5" i="9"/>
  <c r="P14" i="9" s="1"/>
  <c r="O5" i="9"/>
  <c r="N5" i="9"/>
  <c r="N14" i="9" s="1"/>
  <c r="M5" i="9"/>
  <c r="M14" i="9" s="1"/>
  <c r="L5" i="9"/>
  <c r="L14" i="9" s="1"/>
  <c r="K5" i="9"/>
  <c r="J5" i="9"/>
  <c r="J14" i="9" s="1"/>
  <c r="I5" i="9"/>
  <c r="I14" i="9" s="1"/>
  <c r="H5" i="9"/>
  <c r="H14" i="9" s="1"/>
  <c r="G5" i="9"/>
  <c r="F5" i="9"/>
  <c r="F14" i="9" s="1"/>
  <c r="E5" i="9"/>
  <c r="E14" i="9" s="1"/>
  <c r="D5" i="9"/>
  <c r="D14" i="9" s="1"/>
  <c r="C5" i="9"/>
  <c r="B5" i="9"/>
  <c r="B14" i="9" s="1"/>
  <c r="Q18" i="9"/>
  <c r="P18" i="9"/>
  <c r="O18" i="9"/>
  <c r="N18" i="9"/>
  <c r="M18" i="9"/>
  <c r="L18" i="9"/>
  <c r="K18" i="9"/>
  <c r="J18" i="9"/>
  <c r="I18" i="9"/>
  <c r="H18" i="9"/>
  <c r="G18" i="9"/>
  <c r="F18" i="9"/>
  <c r="B18" i="9"/>
  <c r="N17" i="9"/>
  <c r="M17" i="9"/>
  <c r="J17" i="9"/>
  <c r="I17" i="9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B18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B15" i="8"/>
  <c r="AE12" i="8"/>
  <c r="BG12" i="8" s="1"/>
  <c r="AD12" i="8"/>
  <c r="BF12" i="8" s="1"/>
  <c r="AC12" i="8"/>
  <c r="BE12" i="8" s="1"/>
  <c r="AB12" i="8"/>
  <c r="BD12" i="8" s="1"/>
  <c r="X12" i="8"/>
  <c r="AZ12" i="8" s="1"/>
  <c r="W12" i="8"/>
  <c r="AY12" i="8" s="1"/>
  <c r="V12" i="8"/>
  <c r="AX12" i="8" s="1"/>
  <c r="T12" i="8"/>
  <c r="AV12" i="8" s="1"/>
  <c r="S12" i="8"/>
  <c r="AU12" i="8" s="1"/>
  <c r="AE11" i="8"/>
  <c r="BG11" i="8" s="1"/>
  <c r="AD11" i="8"/>
  <c r="BF11" i="8" s="1"/>
  <c r="AC11" i="8"/>
  <c r="BE11" i="8" s="1"/>
  <c r="AB11" i="8"/>
  <c r="BD11" i="8" s="1"/>
  <c r="X11" i="8"/>
  <c r="AZ11" i="8" s="1"/>
  <c r="W11" i="8"/>
  <c r="AY11" i="8" s="1"/>
  <c r="V11" i="8"/>
  <c r="AX11" i="8" s="1"/>
  <c r="T11" i="8"/>
  <c r="AV11" i="8" s="1"/>
  <c r="S11" i="8"/>
  <c r="AU11" i="8" s="1"/>
  <c r="AE10" i="8"/>
  <c r="BG10" i="8" s="1"/>
  <c r="AD10" i="8"/>
  <c r="BF10" i="8" s="1"/>
  <c r="AC10" i="8"/>
  <c r="BE10" i="8" s="1"/>
  <c r="AB10" i="8"/>
  <c r="BD10" i="8" s="1"/>
  <c r="X10" i="8"/>
  <c r="AZ10" i="8" s="1"/>
  <c r="W10" i="8"/>
  <c r="AY10" i="8" s="1"/>
  <c r="V10" i="8"/>
  <c r="AX10" i="8" s="1"/>
  <c r="T10" i="8"/>
  <c r="AV10" i="8" s="1"/>
  <c r="S10" i="8"/>
  <c r="AU10" i="8" s="1"/>
  <c r="AE9" i="8"/>
  <c r="BG9" i="8" s="1"/>
  <c r="AD9" i="8"/>
  <c r="BF9" i="8" s="1"/>
  <c r="AC9" i="8"/>
  <c r="BE9" i="8" s="1"/>
  <c r="AB9" i="8"/>
  <c r="BD9" i="8" s="1"/>
  <c r="X9" i="8"/>
  <c r="AZ9" i="8" s="1"/>
  <c r="W9" i="8"/>
  <c r="AY9" i="8" s="1"/>
  <c r="V9" i="8"/>
  <c r="AX9" i="8" s="1"/>
  <c r="T9" i="8"/>
  <c r="AV9" i="8" s="1"/>
  <c r="S9" i="8"/>
  <c r="AU9" i="8" s="1"/>
  <c r="AE8" i="8"/>
  <c r="BG8" i="8" s="1"/>
  <c r="AD8" i="8"/>
  <c r="BF8" i="8" s="1"/>
  <c r="AC8" i="8"/>
  <c r="BE8" i="8" s="1"/>
  <c r="AB8" i="8"/>
  <c r="BD8" i="8" s="1"/>
  <c r="X8" i="8"/>
  <c r="AZ8" i="8" s="1"/>
  <c r="W8" i="8"/>
  <c r="AY8" i="8" s="1"/>
  <c r="V8" i="8"/>
  <c r="AX8" i="8" s="1"/>
  <c r="T8" i="8"/>
  <c r="AV8" i="8" s="1"/>
  <c r="S8" i="8"/>
  <c r="AU8" i="8" s="1"/>
  <c r="AE7" i="8"/>
  <c r="BG7" i="8" s="1"/>
  <c r="AD7" i="8"/>
  <c r="BF7" i="8" s="1"/>
  <c r="AC7" i="8"/>
  <c r="BE7" i="8" s="1"/>
  <c r="AB7" i="8"/>
  <c r="BD7" i="8" s="1"/>
  <c r="X7" i="8"/>
  <c r="AZ7" i="8" s="1"/>
  <c r="W7" i="8"/>
  <c r="AY7" i="8" s="1"/>
  <c r="V7" i="8"/>
  <c r="AX7" i="8" s="1"/>
  <c r="T7" i="8"/>
  <c r="AV7" i="8" s="1"/>
  <c r="S7" i="8"/>
  <c r="AU7" i="8" s="1"/>
  <c r="AE6" i="8"/>
  <c r="BG6" i="8" s="1"/>
  <c r="AD6" i="8"/>
  <c r="BF6" i="8" s="1"/>
  <c r="AC6" i="8"/>
  <c r="BE6" i="8" s="1"/>
  <c r="AB6" i="8"/>
  <c r="BD6" i="8" s="1"/>
  <c r="X6" i="8"/>
  <c r="AZ6" i="8" s="1"/>
  <c r="W6" i="8"/>
  <c r="AY6" i="8" s="1"/>
  <c r="V6" i="8"/>
  <c r="AX6" i="8" s="1"/>
  <c r="T6" i="8"/>
  <c r="AV6" i="8" s="1"/>
  <c r="S6" i="8"/>
  <c r="AU6" i="8" s="1"/>
  <c r="AE5" i="8"/>
  <c r="BG5" i="8" s="1"/>
  <c r="AD5" i="8"/>
  <c r="BF5" i="8" s="1"/>
  <c r="AC5" i="8"/>
  <c r="BE5" i="8" s="1"/>
  <c r="AB5" i="8"/>
  <c r="BD5" i="8" s="1"/>
  <c r="X5" i="8"/>
  <c r="AZ5" i="8" s="1"/>
  <c r="W5" i="8"/>
  <c r="AY5" i="8" s="1"/>
  <c r="V5" i="8"/>
  <c r="AX5" i="8" s="1"/>
  <c r="T5" i="8"/>
  <c r="AV5" i="8" s="1"/>
  <c r="S5" i="8"/>
  <c r="AU5" i="8" s="1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Q15" i="7"/>
  <c r="P15" i="7"/>
  <c r="O15" i="7"/>
  <c r="L15" i="7"/>
  <c r="K15" i="7"/>
  <c r="H15" i="7"/>
  <c r="G15" i="7"/>
  <c r="D15" i="7"/>
  <c r="C15" i="7"/>
  <c r="Q14" i="7"/>
  <c r="P14" i="7"/>
  <c r="O14" i="7"/>
  <c r="L14" i="7"/>
  <c r="K14" i="7"/>
  <c r="H14" i="7"/>
  <c r="G14" i="7"/>
  <c r="D14" i="7"/>
  <c r="C14" i="7"/>
  <c r="AB12" i="7"/>
  <c r="BD12" i="7" s="1"/>
  <c r="AB11" i="7"/>
  <c r="BD11" i="7" s="1"/>
  <c r="AB10" i="7"/>
  <c r="BD10" i="7" s="1"/>
  <c r="X10" i="7"/>
  <c r="AZ10" i="7" s="1"/>
  <c r="S10" i="7"/>
  <c r="AU10" i="7" s="1"/>
  <c r="V9" i="7"/>
  <c r="AX9" i="7" s="1"/>
  <c r="T9" i="7"/>
  <c r="AV9" i="7" s="1"/>
  <c r="X8" i="7"/>
  <c r="AZ8" i="7" s="1"/>
  <c r="W8" i="7"/>
  <c r="AY8" i="7" s="1"/>
  <c r="W7" i="7"/>
  <c r="AY7" i="7" s="1"/>
  <c r="V7" i="7"/>
  <c r="AX7" i="7" s="1"/>
  <c r="AB6" i="7"/>
  <c r="BD6" i="7" s="1"/>
  <c r="AB5" i="7"/>
  <c r="BD5" i="7" s="1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AE12" i="6"/>
  <c r="AD12" i="6"/>
  <c r="AC12" i="6"/>
  <c r="AB12" i="6"/>
  <c r="X12" i="6"/>
  <c r="W12" i="6"/>
  <c r="V12" i="6"/>
  <c r="T12" i="6"/>
  <c r="S12" i="6"/>
  <c r="AE11" i="6"/>
  <c r="AD11" i="6"/>
  <c r="AC11" i="6"/>
  <c r="AB11" i="6"/>
  <c r="X11" i="6"/>
  <c r="W11" i="6"/>
  <c r="V11" i="6"/>
  <c r="T11" i="6"/>
  <c r="S11" i="6"/>
  <c r="AE10" i="6"/>
  <c r="AD10" i="6"/>
  <c r="AC10" i="6"/>
  <c r="AB10" i="6"/>
  <c r="X10" i="6"/>
  <c r="W10" i="6"/>
  <c r="V10" i="6"/>
  <c r="T10" i="6"/>
  <c r="S10" i="6"/>
  <c r="AE9" i="6"/>
  <c r="AD9" i="6"/>
  <c r="AC9" i="6"/>
  <c r="AB9" i="6"/>
  <c r="X9" i="6"/>
  <c r="W9" i="6"/>
  <c r="V9" i="6"/>
  <c r="T9" i="6"/>
  <c r="S9" i="6"/>
  <c r="AE8" i="6"/>
  <c r="AD8" i="6"/>
  <c r="AC8" i="6"/>
  <c r="AB8" i="6"/>
  <c r="X8" i="6"/>
  <c r="W8" i="6"/>
  <c r="V8" i="6"/>
  <c r="T8" i="6"/>
  <c r="S8" i="6"/>
  <c r="AE7" i="6"/>
  <c r="AD7" i="6"/>
  <c r="AC7" i="6"/>
  <c r="AB7" i="6"/>
  <c r="X7" i="6"/>
  <c r="W7" i="6"/>
  <c r="V7" i="6"/>
  <c r="T7" i="6"/>
  <c r="S7" i="6"/>
  <c r="AE6" i="6"/>
  <c r="AD6" i="6"/>
  <c r="AC6" i="6"/>
  <c r="AB6" i="6"/>
  <c r="X6" i="6"/>
  <c r="W6" i="6"/>
  <c r="V6" i="6"/>
  <c r="T6" i="6"/>
  <c r="S6" i="6"/>
  <c r="AE5" i="6"/>
  <c r="AD5" i="6"/>
  <c r="AC5" i="6"/>
  <c r="AB5" i="6"/>
  <c r="X5" i="6"/>
  <c r="W5" i="6"/>
  <c r="V5" i="6"/>
  <c r="T5" i="6"/>
  <c r="S5" i="6"/>
  <c r="Q15" i="4"/>
  <c r="P15" i="4"/>
  <c r="O15" i="4"/>
  <c r="N15" i="4"/>
  <c r="M15" i="4"/>
  <c r="L15" i="4"/>
  <c r="K15" i="4"/>
  <c r="J15" i="4"/>
  <c r="I15" i="4"/>
  <c r="H15" i="4"/>
  <c r="AB15" i="4" s="1"/>
  <c r="G15" i="4"/>
  <c r="F15" i="4"/>
  <c r="E15" i="4"/>
  <c r="D15" i="4"/>
  <c r="W15" i="4" s="1"/>
  <c r="C15" i="4"/>
  <c r="B15" i="4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Q14" i="1"/>
  <c r="P14" i="1"/>
  <c r="O14" i="1"/>
  <c r="N14" i="1"/>
  <c r="M14" i="1"/>
  <c r="L14" i="1"/>
  <c r="K14" i="1"/>
  <c r="J14" i="1"/>
  <c r="I14" i="1"/>
  <c r="H14" i="1"/>
  <c r="AB14" i="1" s="1"/>
  <c r="G14" i="1"/>
  <c r="F14" i="1"/>
  <c r="E14" i="1"/>
  <c r="D14" i="1"/>
  <c r="W14" i="1" s="1"/>
  <c r="C14" i="1"/>
  <c r="B14" i="1"/>
  <c r="Q15" i="5"/>
  <c r="P15" i="5"/>
  <c r="O15" i="5"/>
  <c r="N15" i="5"/>
  <c r="M15" i="5"/>
  <c r="L15" i="5"/>
  <c r="K15" i="5"/>
  <c r="J15" i="5"/>
  <c r="I15" i="5"/>
  <c r="H15" i="5"/>
  <c r="AB15" i="5" s="1"/>
  <c r="G15" i="5"/>
  <c r="F15" i="5"/>
  <c r="E15" i="5"/>
  <c r="D15" i="5"/>
  <c r="C15" i="5"/>
  <c r="B15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Q14" i="5"/>
  <c r="P14" i="5"/>
  <c r="O14" i="5"/>
  <c r="N14" i="5"/>
  <c r="M14" i="5"/>
  <c r="L14" i="5"/>
  <c r="K14" i="5"/>
  <c r="J14" i="5"/>
  <c r="I14" i="5"/>
  <c r="H14" i="5"/>
  <c r="G14" i="5"/>
  <c r="X14" i="5" s="1"/>
  <c r="F14" i="5"/>
  <c r="E14" i="5"/>
  <c r="D14" i="5"/>
  <c r="C14" i="5"/>
  <c r="B14" i="5"/>
  <c r="AE12" i="5"/>
  <c r="BG12" i="5" s="1"/>
  <c r="AD12" i="5"/>
  <c r="AC12" i="5"/>
  <c r="AB12" i="5"/>
  <c r="X12" i="5"/>
  <c r="W12" i="5"/>
  <c r="V12" i="5"/>
  <c r="T12" i="5"/>
  <c r="AV12" i="5" s="1"/>
  <c r="S12" i="5"/>
  <c r="AU12" i="5" s="1"/>
  <c r="AE11" i="5"/>
  <c r="BG11" i="5" s="1"/>
  <c r="AD11" i="5"/>
  <c r="BF11" i="5" s="1"/>
  <c r="AC11" i="5"/>
  <c r="BE11" i="5" s="1"/>
  <c r="AB11" i="5"/>
  <c r="BD11" i="5" s="1"/>
  <c r="X11" i="5"/>
  <c r="AZ11" i="5" s="1"/>
  <c r="W11" i="5"/>
  <c r="AY11" i="5" s="1"/>
  <c r="V11" i="5"/>
  <c r="AX11" i="5" s="1"/>
  <c r="T11" i="5"/>
  <c r="AV11" i="5" s="1"/>
  <c r="S11" i="5"/>
  <c r="AU11" i="5" s="1"/>
  <c r="AE10" i="5"/>
  <c r="BG10" i="5" s="1"/>
  <c r="AD10" i="5"/>
  <c r="BF10" i="5" s="1"/>
  <c r="AC10" i="5"/>
  <c r="BE10" i="5" s="1"/>
  <c r="AB10" i="5"/>
  <c r="BD10" i="5" s="1"/>
  <c r="X10" i="5"/>
  <c r="AZ10" i="5" s="1"/>
  <c r="W10" i="5"/>
  <c r="AY10" i="5" s="1"/>
  <c r="V10" i="5"/>
  <c r="AX10" i="5" s="1"/>
  <c r="T10" i="5"/>
  <c r="AV10" i="5" s="1"/>
  <c r="S10" i="5"/>
  <c r="AU10" i="5" s="1"/>
  <c r="AE9" i="5"/>
  <c r="BG9" i="5" s="1"/>
  <c r="AD9" i="5"/>
  <c r="BF9" i="5" s="1"/>
  <c r="AC9" i="5"/>
  <c r="BE9" i="5" s="1"/>
  <c r="AB9" i="5"/>
  <c r="BD9" i="5" s="1"/>
  <c r="X9" i="5"/>
  <c r="AZ9" i="5" s="1"/>
  <c r="W9" i="5"/>
  <c r="AY9" i="5" s="1"/>
  <c r="V9" i="5"/>
  <c r="AX9" i="5" s="1"/>
  <c r="T9" i="5"/>
  <c r="AV9" i="5" s="1"/>
  <c r="S9" i="5"/>
  <c r="AU9" i="5" s="1"/>
  <c r="AE8" i="5"/>
  <c r="BG8" i="5" s="1"/>
  <c r="AD8" i="5"/>
  <c r="BF8" i="5" s="1"/>
  <c r="AC8" i="5"/>
  <c r="BE8" i="5" s="1"/>
  <c r="AB8" i="5"/>
  <c r="BD8" i="5" s="1"/>
  <c r="X8" i="5"/>
  <c r="AZ8" i="5" s="1"/>
  <c r="W8" i="5"/>
  <c r="AY8" i="5" s="1"/>
  <c r="V8" i="5"/>
  <c r="AX8" i="5" s="1"/>
  <c r="T8" i="5"/>
  <c r="AV8" i="5" s="1"/>
  <c r="S8" i="5"/>
  <c r="AU8" i="5" s="1"/>
  <c r="AE7" i="5"/>
  <c r="BG7" i="5" s="1"/>
  <c r="AD7" i="5"/>
  <c r="BF7" i="5" s="1"/>
  <c r="AC7" i="5"/>
  <c r="BE7" i="5" s="1"/>
  <c r="AB7" i="5"/>
  <c r="BD7" i="5" s="1"/>
  <c r="X7" i="5"/>
  <c r="AZ7" i="5" s="1"/>
  <c r="W7" i="5"/>
  <c r="AY7" i="5" s="1"/>
  <c r="V7" i="5"/>
  <c r="AX7" i="5" s="1"/>
  <c r="T7" i="5"/>
  <c r="AV7" i="5" s="1"/>
  <c r="S7" i="5"/>
  <c r="AU7" i="5" s="1"/>
  <c r="AE6" i="5"/>
  <c r="BG6" i="5" s="1"/>
  <c r="AD6" i="5"/>
  <c r="BF6" i="5" s="1"/>
  <c r="AC6" i="5"/>
  <c r="BE6" i="5" s="1"/>
  <c r="AB6" i="5"/>
  <c r="BD6" i="5" s="1"/>
  <c r="X6" i="5"/>
  <c r="AZ6" i="5" s="1"/>
  <c r="W6" i="5"/>
  <c r="AY6" i="5" s="1"/>
  <c r="V6" i="5"/>
  <c r="AX6" i="5" s="1"/>
  <c r="T6" i="5"/>
  <c r="AV6" i="5" s="1"/>
  <c r="S6" i="5"/>
  <c r="AU6" i="5" s="1"/>
  <c r="AE5" i="5"/>
  <c r="AD5" i="5"/>
  <c r="BF5" i="5" s="1"/>
  <c r="AC5" i="5"/>
  <c r="BE5" i="5" s="1"/>
  <c r="AB5" i="5"/>
  <c r="BD5" i="5" s="1"/>
  <c r="X5" i="5"/>
  <c r="AZ5" i="5" s="1"/>
  <c r="W5" i="5"/>
  <c r="AY5" i="5" s="1"/>
  <c r="V5" i="5"/>
  <c r="AX5" i="5" s="1"/>
  <c r="T5" i="5"/>
  <c r="AV5" i="5" s="1"/>
  <c r="S5" i="5"/>
  <c r="AU5" i="5" s="1"/>
  <c r="AE12" i="1"/>
  <c r="AE11" i="1"/>
  <c r="AE10" i="1"/>
  <c r="AE9" i="1"/>
  <c r="AE8" i="1"/>
  <c r="AE7" i="1"/>
  <c r="AE6" i="1"/>
  <c r="AE5" i="1"/>
  <c r="AE12" i="4"/>
  <c r="BG12" i="4" s="1"/>
  <c r="AE11" i="4"/>
  <c r="BG11" i="4" s="1"/>
  <c r="AE10" i="4"/>
  <c r="BG10" i="4" s="1"/>
  <c r="AE9" i="4"/>
  <c r="BG9" i="4" s="1"/>
  <c r="AE8" i="4"/>
  <c r="BG8" i="4" s="1"/>
  <c r="AE7" i="4"/>
  <c r="BG7" i="4" s="1"/>
  <c r="AE6" i="4"/>
  <c r="BG6" i="4" s="1"/>
  <c r="AE5" i="4"/>
  <c r="AE12" i="3"/>
  <c r="BG12" i="3" s="1"/>
  <c r="AE11" i="3"/>
  <c r="BG11" i="3" s="1"/>
  <c r="AE10" i="3"/>
  <c r="BG10" i="3" s="1"/>
  <c r="AE9" i="3"/>
  <c r="BG9" i="3" s="1"/>
  <c r="AE8" i="3"/>
  <c r="BG8" i="3" s="1"/>
  <c r="AE7" i="3"/>
  <c r="BG7" i="3" s="1"/>
  <c r="AE6" i="3"/>
  <c r="BG6" i="3" s="1"/>
  <c r="AE5" i="3"/>
  <c r="AE12" i="2"/>
  <c r="BG12" i="2" s="1"/>
  <c r="AE11" i="2"/>
  <c r="BG11" i="2" s="1"/>
  <c r="AE10" i="2"/>
  <c r="BG10" i="2" s="1"/>
  <c r="AE9" i="2"/>
  <c r="BG9" i="2" s="1"/>
  <c r="AE8" i="2"/>
  <c r="BG8" i="2" s="1"/>
  <c r="AE7" i="2"/>
  <c r="BG7" i="2" s="1"/>
  <c r="AE6" i="2"/>
  <c r="BG6" i="2" s="1"/>
  <c r="AE5" i="2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8" i="2"/>
  <c r="B17" i="2"/>
  <c r="C17" i="9" l="1"/>
  <c r="C14" i="9"/>
  <c r="G17" i="9"/>
  <c r="G14" i="9"/>
  <c r="K14" i="9"/>
  <c r="O14" i="9"/>
  <c r="X14" i="9" s="1"/>
  <c r="AZ14" i="9" s="1"/>
  <c r="D2" i="12"/>
  <c r="AW14" i="10"/>
  <c r="M15" i="11"/>
  <c r="G15" i="9"/>
  <c r="T7" i="9"/>
  <c r="AV7" i="9" s="1"/>
  <c r="O17" i="9"/>
  <c r="AD11" i="9"/>
  <c r="BF11" i="9" s="1"/>
  <c r="T9" i="9"/>
  <c r="AV9" i="9" s="1"/>
  <c r="AE14" i="1"/>
  <c r="AD14" i="1"/>
  <c r="AB15" i="3"/>
  <c r="G17" i="11"/>
  <c r="G15" i="11"/>
  <c r="C18" i="9"/>
  <c r="T6" i="9"/>
  <c r="AV6" i="9" s="1"/>
  <c r="T11" i="9"/>
  <c r="AV11" i="9" s="1"/>
  <c r="T12" i="9"/>
  <c r="AV12" i="9" s="1"/>
  <c r="T14" i="1"/>
  <c r="Y11" i="6"/>
  <c r="AA11" i="6" s="1"/>
  <c r="X6" i="9"/>
  <c r="AZ6" i="9" s="1"/>
  <c r="X7" i="9"/>
  <c r="AZ7" i="9" s="1"/>
  <c r="X8" i="9"/>
  <c r="AZ8" i="9" s="1"/>
  <c r="V11" i="9"/>
  <c r="AX11" i="9" s="1"/>
  <c r="X11" i="9"/>
  <c r="AZ11" i="9" s="1"/>
  <c r="AA15" i="10"/>
  <c r="BC15" i="10" s="1"/>
  <c r="Y7" i="8"/>
  <c r="X5" i="9"/>
  <c r="AZ5" i="9" s="1"/>
  <c r="F17" i="9"/>
  <c r="L17" i="9"/>
  <c r="Q17" i="9"/>
  <c r="AB10" i="9"/>
  <c r="BD10" i="9" s="1"/>
  <c r="AB9" i="9"/>
  <c r="BD9" i="9" s="1"/>
  <c r="AB8" i="9"/>
  <c r="BD8" i="9" s="1"/>
  <c r="P15" i="9"/>
  <c r="AB6" i="9"/>
  <c r="BD6" i="9" s="1"/>
  <c r="AB5" i="9"/>
  <c r="BD5" i="9" s="1"/>
  <c r="P17" i="9"/>
  <c r="L15" i="9"/>
  <c r="AD10" i="9"/>
  <c r="BF10" i="9" s="1"/>
  <c r="T10" i="9"/>
  <c r="AV10" i="9" s="1"/>
  <c r="V10" i="9"/>
  <c r="AX10" i="9" s="1"/>
  <c r="K15" i="9"/>
  <c r="T8" i="9"/>
  <c r="AV8" i="9" s="1"/>
  <c r="K17" i="9"/>
  <c r="K15" i="11"/>
  <c r="AE12" i="9"/>
  <c r="BG12" i="9" s="1"/>
  <c r="H17" i="9"/>
  <c r="X12" i="9"/>
  <c r="AZ12" i="9" s="1"/>
  <c r="E18" i="9"/>
  <c r="E15" i="9"/>
  <c r="T6" i="11"/>
  <c r="AV6" i="11" s="1"/>
  <c r="D17" i="9"/>
  <c r="E17" i="9"/>
  <c r="T5" i="9"/>
  <c r="AV5" i="9" s="1"/>
  <c r="D18" i="9"/>
  <c r="D15" i="9"/>
  <c r="V12" i="9"/>
  <c r="AX12" i="9" s="1"/>
  <c r="AC11" i="9"/>
  <c r="BE11" i="9" s="1"/>
  <c r="V9" i="9"/>
  <c r="AX9" i="9" s="1"/>
  <c r="V7" i="9"/>
  <c r="AX7" i="9" s="1"/>
  <c r="Y5" i="6"/>
  <c r="AA5" i="6" s="1"/>
  <c r="AD7" i="9"/>
  <c r="BF7" i="9" s="1"/>
  <c r="H15" i="9"/>
  <c r="W11" i="9"/>
  <c r="AY11" i="9" s="1"/>
  <c r="U5" i="6"/>
  <c r="AB14" i="9"/>
  <c r="BD14" i="9" s="1"/>
  <c r="I15" i="9"/>
  <c r="Q15" i="9"/>
  <c r="AE6" i="9"/>
  <c r="BG6" i="9" s="1"/>
  <c r="AC8" i="9"/>
  <c r="BE8" i="9" s="1"/>
  <c r="X9" i="9"/>
  <c r="AZ9" i="9" s="1"/>
  <c r="U10" i="6"/>
  <c r="V8" i="9"/>
  <c r="AX8" i="9" s="1"/>
  <c r="F15" i="9"/>
  <c r="B15" i="9"/>
  <c r="B17" i="9"/>
  <c r="AE5" i="9"/>
  <c r="BG5" i="9" s="1"/>
  <c r="AD5" i="9"/>
  <c r="BF5" i="9" s="1"/>
  <c r="AD6" i="9"/>
  <c r="BF6" i="9" s="1"/>
  <c r="AC7" i="9"/>
  <c r="BE7" i="9" s="1"/>
  <c r="AE8" i="9"/>
  <c r="BG8" i="9" s="1"/>
  <c r="AD8" i="9"/>
  <c r="BF8" i="9" s="1"/>
  <c r="AE9" i="9"/>
  <c r="BG9" i="9" s="1"/>
  <c r="AD9" i="9"/>
  <c r="BF9" i="9" s="1"/>
  <c r="AD12" i="9"/>
  <c r="BF12" i="9" s="1"/>
  <c r="Y10" i="6"/>
  <c r="AA10" i="6" s="1"/>
  <c r="AB15" i="6"/>
  <c r="U9" i="6"/>
  <c r="O18" i="11"/>
  <c r="V5" i="9"/>
  <c r="AX5" i="9" s="1"/>
  <c r="V6" i="9"/>
  <c r="AX6" i="9" s="1"/>
  <c r="S10" i="9"/>
  <c r="AE10" i="9"/>
  <c r="BG10" i="9" s="1"/>
  <c r="N18" i="11"/>
  <c r="W7" i="9"/>
  <c r="AY7" i="9" s="1"/>
  <c r="AC12" i="9"/>
  <c r="BE12" i="9" s="1"/>
  <c r="S6" i="9"/>
  <c r="AU6" i="9" s="1"/>
  <c r="Y7" i="5"/>
  <c r="U8" i="5"/>
  <c r="AW8" i="5" s="1"/>
  <c r="AE15" i="5"/>
  <c r="X15" i="5"/>
  <c r="T14" i="5"/>
  <c r="AV14" i="5" s="1"/>
  <c r="AC15" i="5"/>
  <c r="AD15" i="5"/>
  <c r="Y8" i="5"/>
  <c r="W15" i="5"/>
  <c r="I18" i="11"/>
  <c r="X8" i="11"/>
  <c r="AZ8" i="11" s="1"/>
  <c r="K18" i="11"/>
  <c r="Q15" i="11"/>
  <c r="M18" i="11"/>
  <c r="I15" i="11"/>
  <c r="Q18" i="11"/>
  <c r="T15" i="5"/>
  <c r="AV15" i="5" s="1"/>
  <c r="Y12" i="5"/>
  <c r="Z12" i="5" s="1"/>
  <c r="BB12" i="5" s="1"/>
  <c r="V15" i="5"/>
  <c r="X14" i="1"/>
  <c r="AD15" i="2"/>
  <c r="AE15" i="3"/>
  <c r="BG15" i="3" s="1"/>
  <c r="U12" i="6"/>
  <c r="AD5" i="7"/>
  <c r="BF5" i="7" s="1"/>
  <c r="AD6" i="7"/>
  <c r="BF6" i="7" s="1"/>
  <c r="AB7" i="7"/>
  <c r="BD7" i="7" s="1"/>
  <c r="T10" i="7"/>
  <c r="AE10" i="7"/>
  <c r="BG10" i="7" s="1"/>
  <c r="AD11" i="7"/>
  <c r="BF11" i="7" s="1"/>
  <c r="M14" i="7"/>
  <c r="M15" i="7"/>
  <c r="V5" i="7"/>
  <c r="AX5" i="7" s="1"/>
  <c r="F14" i="7"/>
  <c r="J14" i="7"/>
  <c r="N14" i="7"/>
  <c r="AC6" i="7"/>
  <c r="BE6" i="7" s="1"/>
  <c r="X6" i="7"/>
  <c r="AZ6" i="7" s="1"/>
  <c r="X6" i="11"/>
  <c r="AZ6" i="11" s="1"/>
  <c r="B15" i="7"/>
  <c r="F15" i="7"/>
  <c r="J15" i="7"/>
  <c r="N15" i="7"/>
  <c r="N15" i="11"/>
  <c r="S8" i="7"/>
  <c r="AU8" i="7" s="1"/>
  <c r="AD8" i="7"/>
  <c r="BF8" i="7" s="1"/>
  <c r="AE9" i="7"/>
  <c r="BG9" i="7" s="1"/>
  <c r="X9" i="7"/>
  <c r="AZ9" i="7" s="1"/>
  <c r="AD9" i="7"/>
  <c r="BF9" i="7" s="1"/>
  <c r="AC10" i="7"/>
  <c r="BE10" i="7" s="1"/>
  <c r="AD10" i="7"/>
  <c r="BF10" i="7" s="1"/>
  <c r="AC11" i="7"/>
  <c r="BE11" i="7" s="1"/>
  <c r="X11" i="7"/>
  <c r="AZ11" i="7" s="1"/>
  <c r="X11" i="11"/>
  <c r="AZ11" i="11" s="1"/>
  <c r="AE12" i="7"/>
  <c r="BG12" i="7" s="1"/>
  <c r="X12" i="7"/>
  <c r="AZ12" i="7" s="1"/>
  <c r="X12" i="11"/>
  <c r="AZ12" i="11" s="1"/>
  <c r="AD12" i="7"/>
  <c r="BF12" i="7" s="1"/>
  <c r="S7" i="9"/>
  <c r="AE7" i="9"/>
  <c r="BG7" i="9" s="1"/>
  <c r="W8" i="9"/>
  <c r="AY8" i="9" s="1"/>
  <c r="AC9" i="9"/>
  <c r="BE9" i="9" s="1"/>
  <c r="S11" i="9"/>
  <c r="AU11" i="9" s="1"/>
  <c r="AE11" i="9"/>
  <c r="BG11" i="9" s="1"/>
  <c r="W12" i="9"/>
  <c r="AY12" i="9" s="1"/>
  <c r="AE15" i="2"/>
  <c r="BG15" i="2" s="1"/>
  <c r="AD15" i="3"/>
  <c r="U5" i="5"/>
  <c r="AW5" i="5" s="1"/>
  <c r="Y10" i="5"/>
  <c r="AB14" i="5"/>
  <c r="T15" i="2"/>
  <c r="AV15" i="2" s="1"/>
  <c r="X15" i="2"/>
  <c r="T15" i="3"/>
  <c r="X15" i="3"/>
  <c r="AE15" i="4"/>
  <c r="BG15" i="4" s="1"/>
  <c r="AD15" i="4"/>
  <c r="Y9" i="6"/>
  <c r="AA9" i="6" s="1"/>
  <c r="Y11" i="5"/>
  <c r="AD14" i="5"/>
  <c r="S15" i="5"/>
  <c r="AU15" i="5" s="1"/>
  <c r="W15" i="2"/>
  <c r="AB15" i="2"/>
  <c r="W15" i="3"/>
  <c r="T15" i="4"/>
  <c r="AV15" i="4" s="1"/>
  <c r="X15" i="4"/>
  <c r="Z11" i="6"/>
  <c r="Y12" i="6"/>
  <c r="Z12" i="6" s="1"/>
  <c r="T14" i="6"/>
  <c r="AV14" i="6" s="1"/>
  <c r="T15" i="6"/>
  <c r="X15" i="6"/>
  <c r="T5" i="7"/>
  <c r="AV5" i="7" s="1"/>
  <c r="T6" i="7"/>
  <c r="AV6" i="7" s="1"/>
  <c r="T7" i="7"/>
  <c r="AV7" i="7" s="1"/>
  <c r="AC7" i="7"/>
  <c r="BE7" i="7" s="1"/>
  <c r="AB8" i="7"/>
  <c r="BD8" i="7" s="1"/>
  <c r="W9" i="7"/>
  <c r="AY9" i="7" s="1"/>
  <c r="W10" i="7"/>
  <c r="AY10" i="7" s="1"/>
  <c r="T11" i="7"/>
  <c r="AV11" i="7" s="1"/>
  <c r="T12" i="7"/>
  <c r="AV12" i="7" s="1"/>
  <c r="I14" i="7"/>
  <c r="AB14" i="7" s="1"/>
  <c r="BD14" i="7" s="1"/>
  <c r="I15" i="7"/>
  <c r="AB15" i="7" s="1"/>
  <c r="BD15" i="7" s="1"/>
  <c r="C18" i="11"/>
  <c r="T9" i="11"/>
  <c r="AV9" i="11" s="1"/>
  <c r="T11" i="11"/>
  <c r="AV11" i="11" s="1"/>
  <c r="T12" i="11"/>
  <c r="AV12" i="11" s="1"/>
  <c r="AC6" i="9"/>
  <c r="BE6" i="9" s="1"/>
  <c r="S8" i="9"/>
  <c r="AU8" i="9" s="1"/>
  <c r="W9" i="9"/>
  <c r="AY9" i="9" s="1"/>
  <c r="AC10" i="9"/>
  <c r="BE10" i="9" s="1"/>
  <c r="S12" i="9"/>
  <c r="AU12" i="9" s="1"/>
  <c r="U11" i="6"/>
  <c r="W14" i="6"/>
  <c r="AY14" i="6" s="1"/>
  <c r="AB14" i="6"/>
  <c r="BD14" i="6" s="1"/>
  <c r="W15" i="6"/>
  <c r="W5" i="7"/>
  <c r="AY5" i="7" s="1"/>
  <c r="W6" i="7"/>
  <c r="AY6" i="7" s="1"/>
  <c r="T8" i="7"/>
  <c r="AV8" i="7" s="1"/>
  <c r="AE8" i="7"/>
  <c r="BG8" i="7" s="1"/>
  <c r="AB9" i="7"/>
  <c r="BD9" i="7" s="1"/>
  <c r="W11" i="7"/>
  <c r="AY11" i="7" s="1"/>
  <c r="W12" i="7"/>
  <c r="AY12" i="7" s="1"/>
  <c r="E14" i="7"/>
  <c r="E15" i="7"/>
  <c r="W5" i="9"/>
  <c r="AY5" i="9" s="1"/>
  <c r="S9" i="9"/>
  <c r="AU9" i="9" s="1"/>
  <c r="Z14" i="10"/>
  <c r="AA14" i="10"/>
  <c r="S5" i="9"/>
  <c r="AU5" i="9" s="1"/>
  <c r="AC5" i="9"/>
  <c r="BE5" i="9" s="1"/>
  <c r="Y10" i="9"/>
  <c r="Y11" i="8"/>
  <c r="W14" i="8"/>
  <c r="Y12" i="8"/>
  <c r="U10" i="8"/>
  <c r="AW10" i="8" s="1"/>
  <c r="U12" i="8"/>
  <c r="AW12" i="8" s="1"/>
  <c r="U11" i="8"/>
  <c r="AW11" i="8" s="1"/>
  <c r="U9" i="8"/>
  <c r="AW9" i="8" s="1"/>
  <c r="T15" i="8"/>
  <c r="AV15" i="8" s="1"/>
  <c r="AD15" i="8"/>
  <c r="BF15" i="8" s="1"/>
  <c r="AD14" i="8"/>
  <c r="AB15" i="8"/>
  <c r="BD15" i="8" s="1"/>
  <c r="AB14" i="8"/>
  <c r="T14" i="8"/>
  <c r="Y8" i="8"/>
  <c r="X15" i="8"/>
  <c r="AZ15" i="8" s="1"/>
  <c r="X14" i="8"/>
  <c r="U8" i="8"/>
  <c r="AW8" i="8" s="1"/>
  <c r="W15" i="8"/>
  <c r="AY15" i="8" s="1"/>
  <c r="Y6" i="8"/>
  <c r="AE15" i="8"/>
  <c r="BG15" i="8" s="1"/>
  <c r="U6" i="8"/>
  <c r="AW6" i="8" s="1"/>
  <c r="U7" i="8"/>
  <c r="AW7" i="8" s="1"/>
  <c r="AE14" i="8"/>
  <c r="U5" i="8"/>
  <c r="AW5" i="8" s="1"/>
  <c r="Z7" i="8"/>
  <c r="BB7" i="8" s="1"/>
  <c r="Y5" i="8"/>
  <c r="AC14" i="8"/>
  <c r="Y10" i="8"/>
  <c r="V14" i="8"/>
  <c r="AC15" i="8"/>
  <c r="BE15" i="8" s="1"/>
  <c r="Y9" i="8"/>
  <c r="S14" i="8"/>
  <c r="V15" i="8"/>
  <c r="AX15" i="8" s="1"/>
  <c r="S15" i="8"/>
  <c r="AU15" i="8" s="1"/>
  <c r="X14" i="7"/>
  <c r="AZ14" i="7" s="1"/>
  <c r="S6" i="7"/>
  <c r="AU6" i="7" s="1"/>
  <c r="AE6" i="7"/>
  <c r="BG6" i="7" s="1"/>
  <c r="AD7" i="7"/>
  <c r="BF7" i="7" s="1"/>
  <c r="S9" i="7"/>
  <c r="AC9" i="7"/>
  <c r="BE9" i="7" s="1"/>
  <c r="S11" i="7"/>
  <c r="AE11" i="7"/>
  <c r="BG11" i="7" s="1"/>
  <c r="V12" i="7"/>
  <c r="AX12" i="7" s="1"/>
  <c r="AC12" i="7"/>
  <c r="BE12" i="7" s="1"/>
  <c r="X5" i="7"/>
  <c r="AZ5" i="7" s="1"/>
  <c r="S7" i="7"/>
  <c r="AU7" i="7" s="1"/>
  <c r="X7" i="7"/>
  <c r="AE7" i="7"/>
  <c r="BG7" i="7" s="1"/>
  <c r="V8" i="7"/>
  <c r="AC8" i="7"/>
  <c r="BE8" i="7" s="1"/>
  <c r="V10" i="7"/>
  <c r="AX10" i="7" s="1"/>
  <c r="S12" i="7"/>
  <c r="V6" i="7"/>
  <c r="AX6" i="7" s="1"/>
  <c r="V11" i="7"/>
  <c r="AX11" i="7" s="1"/>
  <c r="S5" i="7"/>
  <c r="AU5" i="7" s="1"/>
  <c r="AC5" i="7"/>
  <c r="BE5" i="7" s="1"/>
  <c r="B17" i="7"/>
  <c r="AE5" i="7"/>
  <c r="BG5" i="7" s="1"/>
  <c r="B14" i="7"/>
  <c r="V15" i="7"/>
  <c r="AX15" i="7" s="1"/>
  <c r="X14" i="6"/>
  <c r="AZ14" i="6" s="1"/>
  <c r="Y8" i="6"/>
  <c r="Z8" i="6" s="1"/>
  <c r="AE15" i="6"/>
  <c r="AD14" i="6"/>
  <c r="BF14" i="6" s="1"/>
  <c r="Y6" i="6"/>
  <c r="Z6" i="6" s="1"/>
  <c r="U7" i="6"/>
  <c r="AD15" i="6"/>
  <c r="U6" i="6"/>
  <c r="U8" i="6"/>
  <c r="AE14" i="6"/>
  <c r="BG14" i="6" s="1"/>
  <c r="AC14" i="6"/>
  <c r="BE14" i="6" s="1"/>
  <c r="V14" i="6"/>
  <c r="AX14" i="6" s="1"/>
  <c r="AC15" i="6"/>
  <c r="Y7" i="6"/>
  <c r="AA7" i="6" s="1"/>
  <c r="S14" i="6"/>
  <c r="AU14" i="6" s="1"/>
  <c r="V15" i="6"/>
  <c r="S15" i="6"/>
  <c r="AC15" i="4"/>
  <c r="V15" i="4"/>
  <c r="Y15" i="4" s="1"/>
  <c r="AA15" i="4" s="1"/>
  <c r="BC15" i="4" s="1"/>
  <c r="S15" i="4"/>
  <c r="AU15" i="4" s="1"/>
  <c r="AC15" i="3"/>
  <c r="V15" i="3"/>
  <c r="S15" i="3"/>
  <c r="AC15" i="2"/>
  <c r="V15" i="2"/>
  <c r="S15" i="2"/>
  <c r="AC14" i="1"/>
  <c r="V14" i="1"/>
  <c r="Y14" i="1" s="1"/>
  <c r="Z14" i="1" s="1"/>
  <c r="S14" i="1"/>
  <c r="U14" i="1" s="1"/>
  <c r="U11" i="5"/>
  <c r="AW11" i="5" s="1"/>
  <c r="U12" i="5"/>
  <c r="AW12" i="5" s="1"/>
  <c r="U9" i="5"/>
  <c r="AW9" i="5" s="1"/>
  <c r="U10" i="5"/>
  <c r="AW10" i="5" s="1"/>
  <c r="Y6" i="5"/>
  <c r="W14" i="5"/>
  <c r="AE14" i="5"/>
  <c r="BG14" i="5" s="1"/>
  <c r="U7" i="5"/>
  <c r="AW7" i="5" s="1"/>
  <c r="U6" i="5"/>
  <c r="AW6" i="5" s="1"/>
  <c r="AA7" i="5"/>
  <c r="BC7" i="5" s="1"/>
  <c r="AC14" i="5"/>
  <c r="V14" i="5"/>
  <c r="Y5" i="5"/>
  <c r="Y9" i="5"/>
  <c r="S14" i="5"/>
  <c r="AD14" i="9" l="1"/>
  <c r="BF14" i="9" s="1"/>
  <c r="BE14" i="8"/>
  <c r="L10" i="12"/>
  <c r="L12" i="12" s="1"/>
  <c r="L19" i="12" s="1"/>
  <c r="BG14" i="8"/>
  <c r="N10" i="12"/>
  <c r="N12" i="12" s="1"/>
  <c r="Z12" i="8"/>
  <c r="BB12" i="8" s="1"/>
  <c r="BA12" i="8"/>
  <c r="AU14" i="8"/>
  <c r="B10" i="12"/>
  <c r="B12" i="12" s="1"/>
  <c r="D12" i="12" s="1"/>
  <c r="BD14" i="8"/>
  <c r="K10" i="12"/>
  <c r="K12" i="12" s="1"/>
  <c r="K19" i="12" s="1"/>
  <c r="BF14" i="8"/>
  <c r="M10" i="12"/>
  <c r="M12" i="12" s="1"/>
  <c r="M19" i="12" s="1"/>
  <c r="AY14" i="8"/>
  <c r="F10" i="12"/>
  <c r="F12" i="12" s="1"/>
  <c r="AZ14" i="8"/>
  <c r="G10" i="12"/>
  <c r="G12" i="12" s="1"/>
  <c r="AX14" i="8"/>
  <c r="E10" i="12"/>
  <c r="E12" i="12" s="1"/>
  <c r="E19" i="12" s="1"/>
  <c r="AV14" i="8"/>
  <c r="C10" i="12"/>
  <c r="C12" i="12" s="1"/>
  <c r="AA10" i="5"/>
  <c r="BC10" i="5" s="1"/>
  <c r="BA10" i="5"/>
  <c r="AA6" i="5"/>
  <c r="BC6" i="5" s="1"/>
  <c r="BA6" i="5"/>
  <c r="Z7" i="5"/>
  <c r="BB7" i="5" s="1"/>
  <c r="BA7" i="5"/>
  <c r="Z9" i="5"/>
  <c r="BB9" i="5" s="1"/>
  <c r="BA9" i="5"/>
  <c r="AA5" i="5"/>
  <c r="BC5" i="5" s="1"/>
  <c r="BA5" i="5"/>
  <c r="U14" i="5"/>
  <c r="AW14" i="5" s="1"/>
  <c r="AU14" i="5"/>
  <c r="Z11" i="5"/>
  <c r="BB11" i="5" s="1"/>
  <c r="BA11" i="5"/>
  <c r="Z8" i="5"/>
  <c r="BB8" i="5" s="1"/>
  <c r="BA8" i="5"/>
  <c r="U15" i="2"/>
  <c r="AW15" i="2" s="1"/>
  <c r="AU15" i="2"/>
  <c r="Q17" i="11"/>
  <c r="U12" i="7"/>
  <c r="AW12" i="7" s="1"/>
  <c r="AU12" i="7"/>
  <c r="Y7" i="7"/>
  <c r="BA7" i="7" s="1"/>
  <c r="AZ7" i="7"/>
  <c r="U9" i="7"/>
  <c r="AW9" i="7" s="1"/>
  <c r="AU9" i="7"/>
  <c r="U10" i="7"/>
  <c r="AW10" i="7" s="1"/>
  <c r="AV10" i="7"/>
  <c r="U8" i="7"/>
  <c r="AW8" i="7" s="1"/>
  <c r="Y8" i="7"/>
  <c r="AX8" i="7"/>
  <c r="U11" i="7"/>
  <c r="AW11" i="7" s="1"/>
  <c r="AU11" i="7"/>
  <c r="M17" i="11"/>
  <c r="J2" i="12"/>
  <c r="BC14" i="10"/>
  <c r="I2" i="12"/>
  <c r="BB14" i="10"/>
  <c r="V15" i="9"/>
  <c r="AX15" i="9" s="1"/>
  <c r="AA10" i="8"/>
  <c r="BC10" i="8" s="1"/>
  <c r="BA10" i="8"/>
  <c r="AA11" i="8"/>
  <c r="BC11" i="8" s="1"/>
  <c r="BA11" i="8"/>
  <c r="Z9" i="8"/>
  <c r="BB9" i="8" s="1"/>
  <c r="BA9" i="8"/>
  <c r="Z10" i="9"/>
  <c r="BB10" i="9" s="1"/>
  <c r="BA10" i="9"/>
  <c r="U7" i="9"/>
  <c r="AW7" i="9" s="1"/>
  <c r="AU7" i="9"/>
  <c r="AA5" i="8"/>
  <c r="BC5" i="8" s="1"/>
  <c r="BA5" i="8"/>
  <c r="AA6" i="8"/>
  <c r="BC6" i="8" s="1"/>
  <c r="BA6" i="8"/>
  <c r="O17" i="11"/>
  <c r="U10" i="9"/>
  <c r="AW10" i="9" s="1"/>
  <c r="AU10" i="9"/>
  <c r="Z11" i="8"/>
  <c r="BB11" i="8" s="1"/>
  <c r="Z8" i="8"/>
  <c r="BB8" i="8" s="1"/>
  <c r="BA8" i="8"/>
  <c r="AA7" i="8"/>
  <c r="BC7" i="8" s="1"/>
  <c r="BA7" i="8"/>
  <c r="O15" i="11"/>
  <c r="C17" i="11"/>
  <c r="U6" i="9"/>
  <c r="AW6" i="9" s="1"/>
  <c r="U9" i="9"/>
  <c r="AW9" i="9" s="1"/>
  <c r="U12" i="9"/>
  <c r="AW12" i="9" s="1"/>
  <c r="C15" i="11"/>
  <c r="Y9" i="9"/>
  <c r="I17" i="11"/>
  <c r="X10" i="11"/>
  <c r="AZ10" i="11" s="1"/>
  <c r="G18" i="11"/>
  <c r="Y11" i="9"/>
  <c r="Y6" i="7"/>
  <c r="U5" i="9"/>
  <c r="AW5" i="9" s="1"/>
  <c r="T7" i="11"/>
  <c r="AV7" i="11" s="1"/>
  <c r="Y10" i="7"/>
  <c r="U7" i="7"/>
  <c r="AW7" i="7" s="1"/>
  <c r="S15" i="7"/>
  <c r="AU15" i="7" s="1"/>
  <c r="Y6" i="9"/>
  <c r="AA6" i="9" s="1"/>
  <c r="BC6" i="9" s="1"/>
  <c r="V14" i="9"/>
  <c r="AX14" i="9" s="1"/>
  <c r="U6" i="7"/>
  <c r="AW6" i="7" s="1"/>
  <c r="AA8" i="8"/>
  <c r="BC8" i="8" s="1"/>
  <c r="U11" i="9"/>
  <c r="AW11" i="9" s="1"/>
  <c r="T10" i="11"/>
  <c r="AV10" i="11" s="1"/>
  <c r="T14" i="9"/>
  <c r="AV14" i="9" s="1"/>
  <c r="Y11" i="7"/>
  <c r="Z11" i="7" s="1"/>
  <c r="BB11" i="7" s="1"/>
  <c r="W14" i="7"/>
  <c r="AY14" i="7" s="1"/>
  <c r="T15" i="7"/>
  <c r="E17" i="11"/>
  <c r="T5" i="11"/>
  <c r="AV5" i="11" s="1"/>
  <c r="AE15" i="9"/>
  <c r="BG15" i="9" s="1"/>
  <c r="W15" i="9"/>
  <c r="AY15" i="9" s="1"/>
  <c r="AD15" i="9"/>
  <c r="BF15" i="9" s="1"/>
  <c r="T15" i="9"/>
  <c r="AV15" i="9" s="1"/>
  <c r="U8" i="9"/>
  <c r="AW8" i="9" s="1"/>
  <c r="T8" i="11"/>
  <c r="AV8" i="11" s="1"/>
  <c r="K17" i="11"/>
  <c r="Y5" i="9"/>
  <c r="AC14" i="9"/>
  <c r="BE14" i="9" s="1"/>
  <c r="Y12" i="9"/>
  <c r="Z10" i="6"/>
  <c r="E18" i="11"/>
  <c r="E15" i="11"/>
  <c r="Y7" i="9"/>
  <c r="W14" i="9"/>
  <c r="AY14" i="9" s="1"/>
  <c r="AE14" i="9"/>
  <c r="BG14" i="9" s="1"/>
  <c r="Y15" i="6"/>
  <c r="Z15" i="6" s="1"/>
  <c r="U15" i="6"/>
  <c r="Z5" i="6"/>
  <c r="S15" i="9"/>
  <c r="AU15" i="9" s="1"/>
  <c r="S14" i="9"/>
  <c r="AU14" i="9" s="1"/>
  <c r="AC15" i="9"/>
  <c r="BE15" i="9" s="1"/>
  <c r="AB15" i="9"/>
  <c r="BD15" i="9" s="1"/>
  <c r="X15" i="9"/>
  <c r="Y8" i="9"/>
  <c r="AA6" i="6"/>
  <c r="Y15" i="2"/>
  <c r="AA15" i="2" s="1"/>
  <c r="BC15" i="2" s="1"/>
  <c r="AA20" i="6"/>
  <c r="AE20" i="8"/>
  <c r="AA11" i="5"/>
  <c r="BC11" i="5" s="1"/>
  <c r="Y15" i="5"/>
  <c r="Z15" i="5" s="1"/>
  <c r="AA8" i="5"/>
  <c r="BC8" i="5" s="1"/>
  <c r="Y15" i="3"/>
  <c r="AA15" i="3" s="1"/>
  <c r="BC15" i="3" s="1"/>
  <c r="X15" i="7"/>
  <c r="AZ15" i="7" s="1"/>
  <c r="T14" i="7"/>
  <c r="AV14" i="7" s="1"/>
  <c r="Y9" i="7"/>
  <c r="AE14" i="7"/>
  <c r="BG14" i="7" s="1"/>
  <c r="W12" i="11"/>
  <c r="AY12" i="11" s="1"/>
  <c r="W11" i="11"/>
  <c r="AY11" i="11" s="1"/>
  <c r="W10" i="11"/>
  <c r="AY10" i="11" s="1"/>
  <c r="W8" i="11"/>
  <c r="AY8" i="11" s="1"/>
  <c r="W6" i="11"/>
  <c r="AY6" i="11" s="1"/>
  <c r="AD11" i="11"/>
  <c r="BF11" i="11" s="1"/>
  <c r="AD6" i="11"/>
  <c r="BF6" i="11" s="1"/>
  <c r="AD10" i="11"/>
  <c r="BF10" i="11" s="1"/>
  <c r="AA7" i="7"/>
  <c r="BC7" i="7" s="1"/>
  <c r="Z7" i="7"/>
  <c r="BB7" i="7" s="1"/>
  <c r="D15" i="11"/>
  <c r="W7" i="11"/>
  <c r="AY7" i="11" s="1"/>
  <c r="AC9" i="11"/>
  <c r="BE9" i="11" s="1"/>
  <c r="B18" i="11"/>
  <c r="S9" i="11"/>
  <c r="AE9" i="11"/>
  <c r="BG9" i="11" s="1"/>
  <c r="V9" i="11"/>
  <c r="AX9" i="11" s="1"/>
  <c r="N17" i="11"/>
  <c r="P18" i="11"/>
  <c r="P15" i="11"/>
  <c r="P17" i="11"/>
  <c r="W15" i="7"/>
  <c r="AD12" i="11"/>
  <c r="BF12" i="11" s="1"/>
  <c r="AC12" i="11"/>
  <c r="BE12" i="11" s="1"/>
  <c r="AE12" i="11"/>
  <c r="BG12" i="11" s="1"/>
  <c r="S12" i="11"/>
  <c r="V12" i="11"/>
  <c r="AX12" i="11" s="1"/>
  <c r="AE8" i="11"/>
  <c r="BG8" i="11" s="1"/>
  <c r="AC8" i="11"/>
  <c r="BE8" i="11" s="1"/>
  <c r="V8" i="11"/>
  <c r="AX8" i="11" s="1"/>
  <c r="S8" i="11"/>
  <c r="AU8" i="11" s="1"/>
  <c r="J15" i="11"/>
  <c r="AD7" i="11"/>
  <c r="BF7" i="11" s="1"/>
  <c r="AC7" i="11"/>
  <c r="BE7" i="11" s="1"/>
  <c r="B15" i="11"/>
  <c r="S7" i="11"/>
  <c r="AU7" i="11" s="1"/>
  <c r="V7" i="11"/>
  <c r="AX7" i="11" s="1"/>
  <c r="AE7" i="11"/>
  <c r="BG7" i="11" s="1"/>
  <c r="U15" i="5"/>
  <c r="AW15" i="5" s="1"/>
  <c r="W5" i="11"/>
  <c r="AY5" i="11" s="1"/>
  <c r="D17" i="11"/>
  <c r="Z10" i="5"/>
  <c r="BB10" i="5" s="1"/>
  <c r="Z15" i="4"/>
  <c r="BB15" i="4" s="1"/>
  <c r="U14" i="6"/>
  <c r="AW14" i="6" s="1"/>
  <c r="AC15" i="7"/>
  <c r="BE15" i="7" s="1"/>
  <c r="Z10" i="7"/>
  <c r="BB10" i="7" s="1"/>
  <c r="AA10" i="9"/>
  <c r="BC10" i="9" s="1"/>
  <c r="L18" i="11"/>
  <c r="L15" i="11"/>
  <c r="L17" i="11"/>
  <c r="AE11" i="11"/>
  <c r="BG11" i="11" s="1"/>
  <c r="AC11" i="11"/>
  <c r="BE11" i="11" s="1"/>
  <c r="V11" i="11"/>
  <c r="AX11" i="11" s="1"/>
  <c r="S11" i="11"/>
  <c r="AE10" i="11"/>
  <c r="BG10" i="11" s="1"/>
  <c r="V10" i="11"/>
  <c r="AX10" i="11" s="1"/>
  <c r="AC10" i="11"/>
  <c r="BE10" i="11" s="1"/>
  <c r="S10" i="11"/>
  <c r="AU10" i="11" s="1"/>
  <c r="F18" i="11"/>
  <c r="X9" i="11"/>
  <c r="AZ9" i="11" s="1"/>
  <c r="AD8" i="11"/>
  <c r="BF8" i="11" s="1"/>
  <c r="AD15" i="7"/>
  <c r="BF15" i="7" s="1"/>
  <c r="AE15" i="7"/>
  <c r="BG15" i="7" s="1"/>
  <c r="AC6" i="11"/>
  <c r="BE6" i="11" s="1"/>
  <c r="AE6" i="11"/>
  <c r="BG6" i="11" s="1"/>
  <c r="S6" i="11"/>
  <c r="V6" i="11"/>
  <c r="AX6" i="11" s="1"/>
  <c r="AD5" i="11"/>
  <c r="BF5" i="11" s="1"/>
  <c r="J17" i="11"/>
  <c r="B17" i="11"/>
  <c r="V5" i="11"/>
  <c r="AX5" i="11" s="1"/>
  <c r="S5" i="11"/>
  <c r="AE5" i="11"/>
  <c r="BG5" i="11" s="1"/>
  <c r="AC5" i="11"/>
  <c r="BE5" i="11" s="1"/>
  <c r="W9" i="11"/>
  <c r="AY9" i="11" s="1"/>
  <c r="D18" i="11"/>
  <c r="Z9" i="6"/>
  <c r="J18" i="11"/>
  <c r="AD9" i="11"/>
  <c r="BF9" i="11" s="1"/>
  <c r="X5" i="11"/>
  <c r="AZ5" i="11" s="1"/>
  <c r="F17" i="11"/>
  <c r="AA12" i="5"/>
  <c r="BC12" i="5" s="1"/>
  <c r="AA14" i="1"/>
  <c r="U15" i="3"/>
  <c r="U15" i="4"/>
  <c r="AW15" i="4" s="1"/>
  <c r="AA12" i="6"/>
  <c r="U5" i="7"/>
  <c r="AW5" i="7" s="1"/>
  <c r="Y12" i="7"/>
  <c r="AB12" i="11"/>
  <c r="BD12" i="11" s="1"/>
  <c r="AB11" i="11"/>
  <c r="BD11" i="11" s="1"/>
  <c r="AB10" i="11"/>
  <c r="BD10" i="11" s="1"/>
  <c r="AB9" i="11"/>
  <c r="BD9" i="11" s="1"/>
  <c r="H18" i="11"/>
  <c r="AB8" i="11"/>
  <c r="BD8" i="11" s="1"/>
  <c r="H15" i="11"/>
  <c r="AB7" i="11"/>
  <c r="BD7" i="11" s="1"/>
  <c r="AB6" i="11"/>
  <c r="BD6" i="11" s="1"/>
  <c r="H17" i="11"/>
  <c r="AB5" i="11"/>
  <c r="BD5" i="11" s="1"/>
  <c r="X7" i="11"/>
  <c r="AZ7" i="11" s="1"/>
  <c r="F15" i="11"/>
  <c r="AD14" i="7"/>
  <c r="BF14" i="7" s="1"/>
  <c r="AA12" i="8"/>
  <c r="BC12" i="8" s="1"/>
  <c r="U15" i="8"/>
  <c r="AW15" i="8" s="1"/>
  <c r="Y14" i="8"/>
  <c r="Z10" i="8"/>
  <c r="BB10" i="8" s="1"/>
  <c r="U14" i="8"/>
  <c r="Z6" i="8"/>
  <c r="BB6" i="8" s="1"/>
  <c r="Y15" i="8"/>
  <c r="AA9" i="8"/>
  <c r="BC9" i="8" s="1"/>
  <c r="Z5" i="8"/>
  <c r="BB5" i="8" s="1"/>
  <c r="AA8" i="7"/>
  <c r="BC8" i="7" s="1"/>
  <c r="Y5" i="7"/>
  <c r="AC14" i="7"/>
  <c r="BE14" i="7" s="1"/>
  <c r="AA12" i="7"/>
  <c r="BC12" i="7" s="1"/>
  <c r="V14" i="7"/>
  <c r="S14" i="7"/>
  <c r="AU14" i="7" s="1"/>
  <c r="Y14" i="6"/>
  <c r="AA8" i="6"/>
  <c r="Z7" i="6"/>
  <c r="Y14" i="5"/>
  <c r="AA14" i="5" s="1"/>
  <c r="BC14" i="5" s="1"/>
  <c r="Z6" i="5"/>
  <c r="BB6" i="5" s="1"/>
  <c r="Z5" i="5"/>
  <c r="BB5" i="5" s="1"/>
  <c r="AA9" i="5"/>
  <c r="BC9" i="5" s="1"/>
  <c r="Z15" i="8" l="1"/>
  <c r="BB15" i="8" s="1"/>
  <c r="BA15" i="8"/>
  <c r="BA14" i="8"/>
  <c r="H10" i="12"/>
  <c r="H12" i="12" s="1"/>
  <c r="H19" i="12" s="1"/>
  <c r="G19" i="12"/>
  <c r="F19" i="12"/>
  <c r="AW14" i="8"/>
  <c r="D10" i="12"/>
  <c r="AA14" i="6"/>
  <c r="BC14" i="6" s="1"/>
  <c r="BA14" i="6"/>
  <c r="Y15" i="7"/>
  <c r="BA15" i="7" s="1"/>
  <c r="AY15" i="7"/>
  <c r="Z6" i="7"/>
  <c r="BB6" i="7" s="1"/>
  <c r="BA6" i="7"/>
  <c r="AA6" i="7"/>
  <c r="BC6" i="7" s="1"/>
  <c r="Z12" i="7"/>
  <c r="BB12" i="7" s="1"/>
  <c r="BA12" i="7"/>
  <c r="AA9" i="7"/>
  <c r="BC9" i="7" s="1"/>
  <c r="BA9" i="7"/>
  <c r="U15" i="7"/>
  <c r="AW15" i="7" s="1"/>
  <c r="AV15" i="7"/>
  <c r="AA10" i="7"/>
  <c r="BC10" i="7" s="1"/>
  <c r="BA10" i="7"/>
  <c r="Z8" i="7"/>
  <c r="BB8" i="7" s="1"/>
  <c r="BA8" i="7"/>
  <c r="Y14" i="7"/>
  <c r="BA14" i="7" s="1"/>
  <c r="AX14" i="7"/>
  <c r="Z5" i="7"/>
  <c r="BB5" i="7" s="1"/>
  <c r="BA5" i="7"/>
  <c r="AA11" i="7"/>
  <c r="BC11" i="7" s="1"/>
  <c r="BA11" i="7"/>
  <c r="T14" i="11"/>
  <c r="AV14" i="11" s="1"/>
  <c r="Z8" i="9"/>
  <c r="BB8" i="9" s="1"/>
  <c r="BA8" i="9"/>
  <c r="AA12" i="9"/>
  <c r="BC12" i="9" s="1"/>
  <c r="BA12" i="9"/>
  <c r="U11" i="11"/>
  <c r="AW11" i="11" s="1"/>
  <c r="AU11" i="11"/>
  <c r="U9" i="11"/>
  <c r="AW9" i="11" s="1"/>
  <c r="AU9" i="11"/>
  <c r="AA9" i="9"/>
  <c r="BC9" i="9" s="1"/>
  <c r="BA9" i="9"/>
  <c r="U12" i="11"/>
  <c r="AW12" i="11" s="1"/>
  <c r="AU12" i="11"/>
  <c r="AA7" i="9"/>
  <c r="BC7" i="9" s="1"/>
  <c r="BA7" i="9"/>
  <c r="U5" i="11"/>
  <c r="AW5" i="11" s="1"/>
  <c r="AU5" i="11"/>
  <c r="U6" i="11"/>
  <c r="AW6" i="11" s="1"/>
  <c r="AU6" i="11"/>
  <c r="Y15" i="9"/>
  <c r="AZ15" i="9"/>
  <c r="AA11" i="9"/>
  <c r="BC11" i="9" s="1"/>
  <c r="BA11" i="9"/>
  <c r="X15" i="11"/>
  <c r="AZ15" i="11" s="1"/>
  <c r="Z5" i="9"/>
  <c r="BB5" i="9" s="1"/>
  <c r="BA5" i="9"/>
  <c r="Z6" i="9"/>
  <c r="BB6" i="9" s="1"/>
  <c r="BA6" i="9"/>
  <c r="T15" i="11"/>
  <c r="AV15" i="11" s="1"/>
  <c r="AA5" i="9"/>
  <c r="BC5" i="9" s="1"/>
  <c r="Z9" i="9"/>
  <c r="BB9" i="9" s="1"/>
  <c r="Z11" i="9"/>
  <c r="BB11" i="9" s="1"/>
  <c r="U7" i="11"/>
  <c r="AW7" i="11" s="1"/>
  <c r="U10" i="11"/>
  <c r="AW10" i="11" s="1"/>
  <c r="Y14" i="9"/>
  <c r="Z14" i="9" s="1"/>
  <c r="BB14" i="9" s="1"/>
  <c r="U8" i="11"/>
  <c r="AW8" i="11" s="1"/>
  <c r="Z15" i="3"/>
  <c r="BB15" i="3" s="1"/>
  <c r="AC20" i="9"/>
  <c r="AC21" i="9" s="1"/>
  <c r="U15" i="9"/>
  <c r="AW15" i="9" s="1"/>
  <c r="Y12" i="11"/>
  <c r="Z7" i="9"/>
  <c r="BB7" i="9" s="1"/>
  <c r="AA15" i="6"/>
  <c r="Z12" i="9"/>
  <c r="BB12" i="9" s="1"/>
  <c r="Y8" i="11"/>
  <c r="AA8" i="9"/>
  <c r="BC8" i="9" s="1"/>
  <c r="U14" i="9"/>
  <c r="AW14" i="9" s="1"/>
  <c r="Y6" i="11"/>
  <c r="Z15" i="2"/>
  <c r="BB15" i="2" s="1"/>
  <c r="Z15" i="9"/>
  <c r="BB15" i="9" s="1"/>
  <c r="AB14" i="11"/>
  <c r="BD14" i="11" s="1"/>
  <c r="X14" i="11"/>
  <c r="AZ14" i="11" s="1"/>
  <c r="Y10" i="11"/>
  <c r="Y11" i="11"/>
  <c r="AA15" i="5"/>
  <c r="Z9" i="7"/>
  <c r="BB9" i="7" s="1"/>
  <c r="AB15" i="11"/>
  <c r="BD15" i="11" s="1"/>
  <c r="T21" i="11"/>
  <c r="Z15" i="7"/>
  <c r="BB15" i="7" s="1"/>
  <c r="AA15" i="7"/>
  <c r="BC15" i="7" s="1"/>
  <c r="AD14" i="11"/>
  <c r="BF14" i="11" s="1"/>
  <c r="Y7" i="11"/>
  <c r="W15" i="11"/>
  <c r="AY15" i="11" s="1"/>
  <c r="V14" i="11"/>
  <c r="AX14" i="11" s="1"/>
  <c r="S14" i="11"/>
  <c r="AE14" i="11"/>
  <c r="BG14" i="11" s="1"/>
  <c r="AC14" i="11"/>
  <c r="BE14" i="11" s="1"/>
  <c r="Z14" i="6"/>
  <c r="BB14" i="6" s="1"/>
  <c r="AA14" i="8"/>
  <c r="Y5" i="11"/>
  <c r="AD15" i="11"/>
  <c r="BF15" i="11" s="1"/>
  <c r="U14" i="7"/>
  <c r="AW14" i="7" s="1"/>
  <c r="W14" i="11"/>
  <c r="AY14" i="11" s="1"/>
  <c r="AE15" i="11"/>
  <c r="BG15" i="11" s="1"/>
  <c r="S15" i="11"/>
  <c r="V15" i="11"/>
  <c r="AX15" i="11" s="1"/>
  <c r="AC15" i="11"/>
  <c r="BE15" i="11" s="1"/>
  <c r="Y9" i="11"/>
  <c r="Z14" i="8"/>
  <c r="AA15" i="8"/>
  <c r="BC15" i="8" s="1"/>
  <c r="AA5" i="7"/>
  <c r="BC5" i="7" s="1"/>
  <c r="Z14" i="5"/>
  <c r="BB14" i="5" s="1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Q13" i="1"/>
  <c r="P13" i="1"/>
  <c r="O13" i="1"/>
  <c r="N13" i="1"/>
  <c r="M13" i="1"/>
  <c r="L13" i="1"/>
  <c r="K13" i="1"/>
  <c r="J13" i="1"/>
  <c r="I13" i="1"/>
  <c r="H13" i="1"/>
  <c r="G13" i="1"/>
  <c r="F13" i="1"/>
  <c r="X13" i="1" s="1"/>
  <c r="E13" i="1"/>
  <c r="D13" i="1"/>
  <c r="C13" i="1"/>
  <c r="B13" i="1"/>
  <c r="AE13" i="1" s="1"/>
  <c r="AD12" i="3"/>
  <c r="AC12" i="3"/>
  <c r="AB12" i="3"/>
  <c r="X12" i="3"/>
  <c r="W12" i="3"/>
  <c r="V12" i="3"/>
  <c r="T12" i="3"/>
  <c r="S12" i="3"/>
  <c r="AD11" i="3"/>
  <c r="AC11" i="3"/>
  <c r="BE11" i="3" s="1"/>
  <c r="AB11" i="3"/>
  <c r="X11" i="3"/>
  <c r="AZ11" i="3" s="1"/>
  <c r="W11" i="3"/>
  <c r="AY11" i="3" s="1"/>
  <c r="V11" i="3"/>
  <c r="T11" i="3"/>
  <c r="AV11" i="3" s="1"/>
  <c r="S11" i="3"/>
  <c r="AD10" i="3"/>
  <c r="BF10" i="3" s="1"/>
  <c r="AC10" i="3"/>
  <c r="BE10" i="3" s="1"/>
  <c r="AB10" i="3"/>
  <c r="BD10" i="3" s="1"/>
  <c r="X10" i="3"/>
  <c r="AZ10" i="3" s="1"/>
  <c r="W10" i="3"/>
  <c r="AY10" i="3" s="1"/>
  <c r="V10" i="3"/>
  <c r="AX10" i="3" s="1"/>
  <c r="T10" i="3"/>
  <c r="AV10" i="3" s="1"/>
  <c r="S10" i="3"/>
  <c r="AD9" i="3"/>
  <c r="BF9" i="3" s="1"/>
  <c r="AC9" i="3"/>
  <c r="BE9" i="3" s="1"/>
  <c r="AB9" i="3"/>
  <c r="BD9" i="3" s="1"/>
  <c r="X9" i="3"/>
  <c r="AZ9" i="3" s="1"/>
  <c r="W9" i="3"/>
  <c r="AY9" i="3" s="1"/>
  <c r="V9" i="3"/>
  <c r="AX9" i="3" s="1"/>
  <c r="T9" i="3"/>
  <c r="AV9" i="3" s="1"/>
  <c r="S9" i="3"/>
  <c r="AU9" i="3" s="1"/>
  <c r="AD8" i="3"/>
  <c r="BF8" i="3" s="1"/>
  <c r="AC8" i="3"/>
  <c r="BE8" i="3" s="1"/>
  <c r="AB8" i="3"/>
  <c r="BD8" i="3" s="1"/>
  <c r="X8" i="3"/>
  <c r="AZ8" i="3" s="1"/>
  <c r="W8" i="3"/>
  <c r="AY8" i="3" s="1"/>
  <c r="V8" i="3"/>
  <c r="AX8" i="3" s="1"/>
  <c r="T8" i="3"/>
  <c r="AV8" i="3" s="1"/>
  <c r="S8" i="3"/>
  <c r="AU8" i="3" s="1"/>
  <c r="AD7" i="3"/>
  <c r="BF7" i="3" s="1"/>
  <c r="AC7" i="3"/>
  <c r="BE7" i="3" s="1"/>
  <c r="AB7" i="3"/>
  <c r="BD7" i="3" s="1"/>
  <c r="X7" i="3"/>
  <c r="AZ7" i="3" s="1"/>
  <c r="W7" i="3"/>
  <c r="AY7" i="3" s="1"/>
  <c r="V7" i="3"/>
  <c r="AX7" i="3" s="1"/>
  <c r="T7" i="3"/>
  <c r="AV7" i="3" s="1"/>
  <c r="S7" i="3"/>
  <c r="AU7" i="3" s="1"/>
  <c r="AD6" i="3"/>
  <c r="BF6" i="3" s="1"/>
  <c r="AC6" i="3"/>
  <c r="BE6" i="3" s="1"/>
  <c r="AB6" i="3"/>
  <c r="BD6" i="3" s="1"/>
  <c r="X6" i="3"/>
  <c r="AZ6" i="3" s="1"/>
  <c r="W6" i="3"/>
  <c r="AY6" i="3" s="1"/>
  <c r="V6" i="3"/>
  <c r="AX6" i="3" s="1"/>
  <c r="T6" i="3"/>
  <c r="AV6" i="3" s="1"/>
  <c r="S6" i="3"/>
  <c r="AU6" i="3" s="1"/>
  <c r="AD5" i="3"/>
  <c r="BF5" i="3" s="1"/>
  <c r="AC5" i="3"/>
  <c r="BE5" i="3" s="1"/>
  <c r="AB5" i="3"/>
  <c r="BD5" i="3" s="1"/>
  <c r="X5" i="3"/>
  <c r="AZ5" i="3" s="1"/>
  <c r="W5" i="3"/>
  <c r="AY5" i="3" s="1"/>
  <c r="V5" i="3"/>
  <c r="AX5" i="3" s="1"/>
  <c r="T5" i="3"/>
  <c r="AV5" i="3" s="1"/>
  <c r="S5" i="3"/>
  <c r="AU5" i="3" s="1"/>
  <c r="W14" i="2"/>
  <c r="AD12" i="2"/>
  <c r="AC12" i="2"/>
  <c r="AB12" i="2"/>
  <c r="X12" i="2"/>
  <c r="W12" i="2"/>
  <c r="V12" i="2"/>
  <c r="T12" i="2"/>
  <c r="AV12" i="2" s="1"/>
  <c r="S12" i="2"/>
  <c r="AU12" i="2" s="1"/>
  <c r="AD11" i="2"/>
  <c r="BF11" i="2" s="1"/>
  <c r="AC11" i="2"/>
  <c r="BE11" i="2" s="1"/>
  <c r="AB11" i="2"/>
  <c r="BD11" i="2" s="1"/>
  <c r="X11" i="2"/>
  <c r="AZ11" i="2" s="1"/>
  <c r="W11" i="2"/>
  <c r="AY11" i="2" s="1"/>
  <c r="V11" i="2"/>
  <c r="AX11" i="2" s="1"/>
  <c r="T11" i="2"/>
  <c r="AV11" i="2" s="1"/>
  <c r="S11" i="2"/>
  <c r="AU11" i="2" s="1"/>
  <c r="AD10" i="2"/>
  <c r="BF10" i="2" s="1"/>
  <c r="AC10" i="2"/>
  <c r="BE10" i="2" s="1"/>
  <c r="AB10" i="2"/>
  <c r="BD10" i="2" s="1"/>
  <c r="X10" i="2"/>
  <c r="AZ10" i="2" s="1"/>
  <c r="W10" i="2"/>
  <c r="AY10" i="2" s="1"/>
  <c r="V10" i="2"/>
  <c r="AX10" i="2" s="1"/>
  <c r="T10" i="2"/>
  <c r="AV10" i="2" s="1"/>
  <c r="S10" i="2"/>
  <c r="AU10" i="2" s="1"/>
  <c r="AD9" i="2"/>
  <c r="BF9" i="2" s="1"/>
  <c r="AC9" i="2"/>
  <c r="BE9" i="2" s="1"/>
  <c r="AB9" i="2"/>
  <c r="BD9" i="2" s="1"/>
  <c r="X9" i="2"/>
  <c r="AZ9" i="2" s="1"/>
  <c r="W9" i="2"/>
  <c r="AY9" i="2" s="1"/>
  <c r="V9" i="2"/>
  <c r="AX9" i="2" s="1"/>
  <c r="T9" i="2"/>
  <c r="AV9" i="2" s="1"/>
  <c r="S9" i="2"/>
  <c r="AU9" i="2" s="1"/>
  <c r="AD8" i="2"/>
  <c r="BF8" i="2" s="1"/>
  <c r="AC8" i="2"/>
  <c r="BE8" i="2" s="1"/>
  <c r="AB8" i="2"/>
  <c r="BD8" i="2" s="1"/>
  <c r="X8" i="2"/>
  <c r="AZ8" i="2" s="1"/>
  <c r="W8" i="2"/>
  <c r="AY8" i="2" s="1"/>
  <c r="V8" i="2"/>
  <c r="AX8" i="2" s="1"/>
  <c r="T8" i="2"/>
  <c r="AV8" i="2" s="1"/>
  <c r="S8" i="2"/>
  <c r="AU8" i="2" s="1"/>
  <c r="AD7" i="2"/>
  <c r="BF7" i="2" s="1"/>
  <c r="AC7" i="2"/>
  <c r="BE7" i="2" s="1"/>
  <c r="AB7" i="2"/>
  <c r="BD7" i="2" s="1"/>
  <c r="X7" i="2"/>
  <c r="AZ7" i="2" s="1"/>
  <c r="W7" i="2"/>
  <c r="AY7" i="2" s="1"/>
  <c r="V7" i="2"/>
  <c r="AX7" i="2" s="1"/>
  <c r="T7" i="2"/>
  <c r="AV7" i="2" s="1"/>
  <c r="S7" i="2"/>
  <c r="AU7" i="2" s="1"/>
  <c r="AD6" i="2"/>
  <c r="BF6" i="2" s="1"/>
  <c r="AC6" i="2"/>
  <c r="AB6" i="2"/>
  <c r="X6" i="2"/>
  <c r="W6" i="2"/>
  <c r="AY6" i="2" s="1"/>
  <c r="V6" i="2"/>
  <c r="AX6" i="2" s="1"/>
  <c r="AD5" i="2"/>
  <c r="BF5" i="2" s="1"/>
  <c r="AC5" i="2"/>
  <c r="BE5" i="2" s="1"/>
  <c r="AB5" i="2"/>
  <c r="BD5" i="2" s="1"/>
  <c r="X5" i="2"/>
  <c r="AZ5" i="2" s="1"/>
  <c r="W5" i="2"/>
  <c r="AY5" i="2" s="1"/>
  <c r="V5" i="2"/>
  <c r="AX5" i="2" s="1"/>
  <c r="AB13" i="1"/>
  <c r="W13" i="1"/>
  <c r="T13" i="1"/>
  <c r="AD12" i="1"/>
  <c r="AC12" i="1"/>
  <c r="AB12" i="1"/>
  <c r="X12" i="1"/>
  <c r="W12" i="1"/>
  <c r="V12" i="1"/>
  <c r="T12" i="1"/>
  <c r="U12" i="1" s="1"/>
  <c r="S12" i="1"/>
  <c r="AD11" i="1"/>
  <c r="AC11" i="1"/>
  <c r="AB11" i="1"/>
  <c r="X11" i="1"/>
  <c r="W11" i="1"/>
  <c r="V11" i="1"/>
  <c r="Y11" i="1" s="1"/>
  <c r="T11" i="1"/>
  <c r="U11" i="1" s="1"/>
  <c r="S11" i="1"/>
  <c r="AD10" i="1"/>
  <c r="AC10" i="1"/>
  <c r="AB10" i="1"/>
  <c r="X10" i="1"/>
  <c r="W10" i="1"/>
  <c r="V10" i="1"/>
  <c r="T10" i="1"/>
  <c r="U10" i="1" s="1"/>
  <c r="S10" i="1"/>
  <c r="AD9" i="1"/>
  <c r="AC9" i="1"/>
  <c r="AB9" i="1"/>
  <c r="X9" i="1"/>
  <c r="W9" i="1"/>
  <c r="V9" i="1"/>
  <c r="Y9" i="1" s="1"/>
  <c r="U9" i="1"/>
  <c r="T9" i="1"/>
  <c r="S9" i="1"/>
  <c r="AD8" i="1"/>
  <c r="AC8" i="1"/>
  <c r="AB8" i="1"/>
  <c r="X8" i="1"/>
  <c r="W8" i="1"/>
  <c r="V8" i="1"/>
  <c r="T8" i="1"/>
  <c r="S8" i="1"/>
  <c r="AD7" i="1"/>
  <c r="AC7" i="1"/>
  <c r="AB7" i="1"/>
  <c r="X7" i="1"/>
  <c r="W7" i="1"/>
  <c r="V7" i="1"/>
  <c r="Y7" i="1" s="1"/>
  <c r="T7" i="1"/>
  <c r="S7" i="1"/>
  <c r="AD6" i="1"/>
  <c r="AC6" i="1"/>
  <c r="AB6" i="1"/>
  <c r="X6" i="1"/>
  <c r="W6" i="1"/>
  <c r="V6" i="1"/>
  <c r="T6" i="1"/>
  <c r="S6" i="1"/>
  <c r="AD5" i="1"/>
  <c r="AC5" i="1"/>
  <c r="AB5" i="1"/>
  <c r="X5" i="1"/>
  <c r="W5" i="1"/>
  <c r="V5" i="1"/>
  <c r="Y5" i="1" s="1"/>
  <c r="T5" i="1"/>
  <c r="S5" i="1"/>
  <c r="U5" i="1" s="1"/>
  <c r="AD11" i="4"/>
  <c r="BF11" i="4" s="1"/>
  <c r="AC11" i="4"/>
  <c r="BE11" i="4" s="1"/>
  <c r="AB11" i="4"/>
  <c r="BD11" i="4" s="1"/>
  <c r="X11" i="4"/>
  <c r="AZ11" i="4" s="1"/>
  <c r="W11" i="4"/>
  <c r="AY11" i="4" s="1"/>
  <c r="V11" i="4"/>
  <c r="AX11" i="4" s="1"/>
  <c r="T11" i="4"/>
  <c r="AV11" i="4" s="1"/>
  <c r="S11" i="4"/>
  <c r="AU11" i="4" s="1"/>
  <c r="AD10" i="4"/>
  <c r="BF10" i="4" s="1"/>
  <c r="AC10" i="4"/>
  <c r="BE10" i="4" s="1"/>
  <c r="AB10" i="4"/>
  <c r="BD10" i="4" s="1"/>
  <c r="X10" i="4"/>
  <c r="AZ10" i="4" s="1"/>
  <c r="W10" i="4"/>
  <c r="AY10" i="4" s="1"/>
  <c r="V10" i="4"/>
  <c r="AX10" i="4" s="1"/>
  <c r="T10" i="4"/>
  <c r="AV10" i="4" s="1"/>
  <c r="S10" i="4"/>
  <c r="AU10" i="4" s="1"/>
  <c r="AD9" i="4"/>
  <c r="BF9" i="4" s="1"/>
  <c r="AC9" i="4"/>
  <c r="BE9" i="4" s="1"/>
  <c r="AB9" i="4"/>
  <c r="BD9" i="4" s="1"/>
  <c r="X9" i="4"/>
  <c r="AZ9" i="4" s="1"/>
  <c r="W9" i="4"/>
  <c r="AY9" i="4" s="1"/>
  <c r="V9" i="4"/>
  <c r="AX9" i="4" s="1"/>
  <c r="T9" i="4"/>
  <c r="AV9" i="4" s="1"/>
  <c r="S9" i="4"/>
  <c r="AU9" i="4" s="1"/>
  <c r="AD8" i="4"/>
  <c r="BF8" i="4" s="1"/>
  <c r="AC8" i="4"/>
  <c r="BE8" i="4" s="1"/>
  <c r="AB8" i="4"/>
  <c r="BD8" i="4" s="1"/>
  <c r="X8" i="4"/>
  <c r="AZ8" i="4" s="1"/>
  <c r="W8" i="4"/>
  <c r="AY8" i="4" s="1"/>
  <c r="V8" i="4"/>
  <c r="AX8" i="4" s="1"/>
  <c r="T8" i="4"/>
  <c r="AV8" i="4" s="1"/>
  <c r="S8" i="4"/>
  <c r="AU8" i="4" s="1"/>
  <c r="AD7" i="4"/>
  <c r="BF7" i="4" s="1"/>
  <c r="AC7" i="4"/>
  <c r="BE7" i="4" s="1"/>
  <c r="AB7" i="4"/>
  <c r="BD7" i="4" s="1"/>
  <c r="X7" i="4"/>
  <c r="AZ7" i="4" s="1"/>
  <c r="W7" i="4"/>
  <c r="AY7" i="4" s="1"/>
  <c r="V7" i="4"/>
  <c r="AX7" i="4" s="1"/>
  <c r="T7" i="4"/>
  <c r="AV7" i="4" s="1"/>
  <c r="S7" i="4"/>
  <c r="AU7" i="4" s="1"/>
  <c r="AD6" i="4"/>
  <c r="BF6" i="4" s="1"/>
  <c r="AC6" i="4"/>
  <c r="BE6" i="4" s="1"/>
  <c r="AB6" i="4"/>
  <c r="BD6" i="4" s="1"/>
  <c r="X6" i="4"/>
  <c r="AZ6" i="4" s="1"/>
  <c r="W6" i="4"/>
  <c r="AY6" i="4" s="1"/>
  <c r="V6" i="4"/>
  <c r="AX6" i="4" s="1"/>
  <c r="T6" i="4"/>
  <c r="AV6" i="4" s="1"/>
  <c r="S6" i="4"/>
  <c r="AU6" i="4" s="1"/>
  <c r="AD5" i="4"/>
  <c r="BF5" i="4" s="1"/>
  <c r="AC5" i="4"/>
  <c r="BE5" i="4" s="1"/>
  <c r="AB5" i="4"/>
  <c r="BD5" i="4" s="1"/>
  <c r="X5" i="4"/>
  <c r="AZ5" i="4" s="1"/>
  <c r="W5" i="4"/>
  <c r="AY5" i="4" s="1"/>
  <c r="V5" i="4"/>
  <c r="AX5" i="4" s="1"/>
  <c r="T5" i="4"/>
  <c r="AV5" i="4" s="1"/>
  <c r="S5" i="4"/>
  <c r="AU5" i="4" s="1"/>
  <c r="AD12" i="4"/>
  <c r="AC12" i="4"/>
  <c r="AB12" i="4"/>
  <c r="X12" i="4"/>
  <c r="W12" i="4"/>
  <c r="V12" i="4"/>
  <c r="T12" i="4"/>
  <c r="AV12" i="4" s="1"/>
  <c r="S12" i="4"/>
  <c r="AU12" i="4" s="1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I19" i="12" l="1"/>
  <c r="BB14" i="8"/>
  <c r="I10" i="12"/>
  <c r="I12" i="12"/>
  <c r="J19" i="12"/>
  <c r="BC14" i="8"/>
  <c r="J10" i="12"/>
  <c r="J12" i="12"/>
  <c r="U10" i="3"/>
  <c r="AW10" i="3" s="1"/>
  <c r="AU10" i="3"/>
  <c r="Z14" i="7"/>
  <c r="BB14" i="7" s="1"/>
  <c r="AA14" i="7"/>
  <c r="BC14" i="7" s="1"/>
  <c r="AA5" i="11"/>
  <c r="BC5" i="11" s="1"/>
  <c r="BA5" i="11"/>
  <c r="AA11" i="11"/>
  <c r="BC11" i="11" s="1"/>
  <c r="BA11" i="11"/>
  <c r="Z10" i="11"/>
  <c r="BB10" i="11" s="1"/>
  <c r="BA10" i="11"/>
  <c r="Z12" i="11"/>
  <c r="BB12" i="11" s="1"/>
  <c r="BA12" i="11"/>
  <c r="Z6" i="11"/>
  <c r="BB6" i="11" s="1"/>
  <c r="BA6" i="11"/>
  <c r="AA14" i="9"/>
  <c r="BC14" i="9" s="1"/>
  <c r="BA14" i="9"/>
  <c r="Z9" i="11"/>
  <c r="BB9" i="11" s="1"/>
  <c r="BA9" i="11"/>
  <c r="AA7" i="11"/>
  <c r="BC7" i="11" s="1"/>
  <c r="BA7" i="11"/>
  <c r="S21" i="11"/>
  <c r="AU14" i="11"/>
  <c r="AA8" i="11"/>
  <c r="BC8" i="11" s="1"/>
  <c r="BA8" i="11"/>
  <c r="AA15" i="9"/>
  <c r="BC15" i="9" s="1"/>
  <c r="BA15" i="9"/>
  <c r="U15" i="11"/>
  <c r="AW15" i="11" s="1"/>
  <c r="AU15" i="11"/>
  <c r="U9" i="3"/>
  <c r="AW9" i="3" s="1"/>
  <c r="U6" i="1"/>
  <c r="U7" i="1"/>
  <c r="U8" i="1"/>
  <c r="AC13" i="1"/>
  <c r="Y9" i="3"/>
  <c r="BA9" i="3" s="1"/>
  <c r="U9" i="4"/>
  <c r="AW9" i="4" s="1"/>
  <c r="Y9" i="4"/>
  <c r="U11" i="4"/>
  <c r="AW11" i="4" s="1"/>
  <c r="U8" i="4"/>
  <c r="AW8" i="4" s="1"/>
  <c r="AA12" i="11"/>
  <c r="BC12" i="11" s="1"/>
  <c r="Z8" i="11"/>
  <c r="BB8" i="11" s="1"/>
  <c r="AA6" i="11"/>
  <c r="BC6" i="11" s="1"/>
  <c r="AA10" i="11"/>
  <c r="BC10" i="11" s="1"/>
  <c r="X14" i="2"/>
  <c r="T14" i="2"/>
  <c r="S14" i="2"/>
  <c r="AB14" i="2"/>
  <c r="Z7" i="11"/>
  <c r="BB7" i="11" s="1"/>
  <c r="Z11" i="11"/>
  <c r="BB11" i="11" s="1"/>
  <c r="W14" i="4"/>
  <c r="Y7" i="4"/>
  <c r="AE14" i="4"/>
  <c r="X14" i="4"/>
  <c r="AD14" i="4"/>
  <c r="U12" i="4"/>
  <c r="AW12" i="4" s="1"/>
  <c r="Y12" i="4"/>
  <c r="AA12" i="4" s="1"/>
  <c r="BC12" i="4" s="1"/>
  <c r="U5" i="4"/>
  <c r="AW5" i="4" s="1"/>
  <c r="Y11" i="4"/>
  <c r="U11" i="3"/>
  <c r="AW11" i="3" s="1"/>
  <c r="U12" i="3"/>
  <c r="X14" i="3"/>
  <c r="AD14" i="3"/>
  <c r="Y7" i="3"/>
  <c r="T14" i="3"/>
  <c r="Y5" i="3"/>
  <c r="U6" i="3"/>
  <c r="AW6" i="3" s="1"/>
  <c r="W14" i="3"/>
  <c r="AB14" i="3"/>
  <c r="AE14" i="2"/>
  <c r="AD14" i="2"/>
  <c r="Z5" i="11"/>
  <c r="BB5" i="11" s="1"/>
  <c r="Y15" i="11"/>
  <c r="AE18" i="11"/>
  <c r="Z5" i="1"/>
  <c r="Z7" i="1"/>
  <c r="U5" i="3"/>
  <c r="AW5" i="3" s="1"/>
  <c r="S14" i="4"/>
  <c r="U6" i="4"/>
  <c r="AW6" i="4" s="1"/>
  <c r="AA5" i="1"/>
  <c r="AA7" i="1"/>
  <c r="Z9" i="1"/>
  <c r="Z11" i="1"/>
  <c r="Z9" i="3"/>
  <c r="BB9" i="3" s="1"/>
  <c r="Y11" i="3"/>
  <c r="AA13" i="1"/>
  <c r="V13" i="1"/>
  <c r="AC14" i="3"/>
  <c r="AE14" i="3"/>
  <c r="Y14" i="11"/>
  <c r="BA14" i="11" s="1"/>
  <c r="Y8" i="4"/>
  <c r="U10" i="4"/>
  <c r="AW10" i="4" s="1"/>
  <c r="Y5" i="4"/>
  <c r="AA9" i="4"/>
  <c r="BC9" i="4" s="1"/>
  <c r="Y10" i="4"/>
  <c r="AA9" i="1"/>
  <c r="AA11" i="1"/>
  <c r="U12" i="2"/>
  <c r="AW12" i="2" s="1"/>
  <c r="AA9" i="3"/>
  <c r="BC9" i="3" s="1"/>
  <c r="AC14" i="2"/>
  <c r="AA9" i="11"/>
  <c r="BC9" i="11" s="1"/>
  <c r="U14" i="11"/>
  <c r="AW14" i="11" s="1"/>
  <c r="U7" i="3"/>
  <c r="AW7" i="3" s="1"/>
  <c r="Y10" i="3"/>
  <c r="V14" i="2"/>
  <c r="U10" i="2"/>
  <c r="AW10" i="2" s="1"/>
  <c r="Y12" i="2"/>
  <c r="Z12" i="2" s="1"/>
  <c r="BB12" i="2" s="1"/>
  <c r="U11" i="2"/>
  <c r="AW11" i="2" s="1"/>
  <c r="Y11" i="2"/>
  <c r="Y9" i="2"/>
  <c r="U9" i="2"/>
  <c r="AW9" i="2" s="1"/>
  <c r="Y5" i="2"/>
  <c r="U8" i="2"/>
  <c r="AW8" i="2" s="1"/>
  <c r="Y8" i="2"/>
  <c r="U5" i="2"/>
  <c r="AW5" i="2" s="1"/>
  <c r="Y7" i="2"/>
  <c r="Y10" i="2"/>
  <c r="U7" i="2"/>
  <c r="AW7" i="2" s="1"/>
  <c r="U6" i="2"/>
  <c r="AW6" i="2" s="1"/>
  <c r="Y6" i="2"/>
  <c r="V14" i="3"/>
  <c r="S14" i="3"/>
  <c r="AD13" i="1"/>
  <c r="Y12" i="3"/>
  <c r="AA12" i="3" s="1"/>
  <c r="BC12" i="3" s="1"/>
  <c r="U8" i="3"/>
  <c r="AW8" i="3" s="1"/>
  <c r="Y8" i="3"/>
  <c r="Y6" i="3"/>
  <c r="Y6" i="1"/>
  <c r="AA6" i="1" s="1"/>
  <c r="Y10" i="1"/>
  <c r="Z10" i="1" s="1"/>
  <c r="Y8" i="1"/>
  <c r="Z8" i="1" s="1"/>
  <c r="Y12" i="1"/>
  <c r="Z12" i="1" s="1"/>
  <c r="Y13" i="1"/>
  <c r="Z13" i="1" s="1"/>
  <c r="S13" i="1"/>
  <c r="U13" i="1" s="1"/>
  <c r="T14" i="4"/>
  <c r="V14" i="4"/>
  <c r="U7" i="4"/>
  <c r="AW7" i="4" s="1"/>
  <c r="Y6" i="4"/>
  <c r="AC14" i="4"/>
  <c r="AB14" i="4"/>
  <c r="Z6" i="4" l="1"/>
  <c r="BB6" i="4" s="1"/>
  <c r="BA6" i="4"/>
  <c r="AA5" i="4"/>
  <c r="BC5" i="4" s="1"/>
  <c r="BA5" i="4"/>
  <c r="N6" i="12"/>
  <c r="BG14" i="4"/>
  <c r="AA7" i="4"/>
  <c r="BC7" i="4" s="1"/>
  <c r="BA7" i="4"/>
  <c r="C6" i="12"/>
  <c r="AV14" i="4"/>
  <c r="B6" i="12"/>
  <c r="AU14" i="4"/>
  <c r="Z9" i="4"/>
  <c r="BB9" i="4" s="1"/>
  <c r="BA9" i="4"/>
  <c r="AA10" i="4"/>
  <c r="BC10" i="4" s="1"/>
  <c r="BA10" i="4"/>
  <c r="Z8" i="4"/>
  <c r="BB8" i="4" s="1"/>
  <c r="BA8" i="4"/>
  <c r="Z11" i="4"/>
  <c r="BB11" i="4" s="1"/>
  <c r="BA11" i="4"/>
  <c r="AA8" i="3"/>
  <c r="BC8" i="3" s="1"/>
  <c r="BA8" i="3"/>
  <c r="N5" i="12"/>
  <c r="BG14" i="3"/>
  <c r="AA11" i="3"/>
  <c r="BC11" i="3" s="1"/>
  <c r="BA11" i="3"/>
  <c r="AA5" i="3"/>
  <c r="BC5" i="3" s="1"/>
  <c r="BA5" i="3"/>
  <c r="Z10" i="3"/>
  <c r="BB10" i="3" s="1"/>
  <c r="BA10" i="3"/>
  <c r="AA7" i="3"/>
  <c r="BC7" i="3" s="1"/>
  <c r="BA7" i="3"/>
  <c r="AA6" i="3"/>
  <c r="BC6" i="3" s="1"/>
  <c r="BA6" i="3"/>
  <c r="Z7" i="2"/>
  <c r="BB7" i="2" s="1"/>
  <c r="BA7" i="2"/>
  <c r="S19" i="2"/>
  <c r="B4" i="12"/>
  <c r="AU14" i="2"/>
  <c r="N4" i="12"/>
  <c r="N19" i="12" s="1"/>
  <c r="BG14" i="2"/>
  <c r="T19" i="2"/>
  <c r="C4" i="12"/>
  <c r="C8" i="12" s="1"/>
  <c r="AV14" i="2"/>
  <c r="Z6" i="2"/>
  <c r="BB6" i="2" s="1"/>
  <c r="BA6" i="2"/>
  <c r="AA5" i="2"/>
  <c r="BC5" i="2" s="1"/>
  <c r="BA5" i="2"/>
  <c r="Z8" i="2"/>
  <c r="BB8" i="2" s="1"/>
  <c r="BA8" i="2"/>
  <c r="Z9" i="2"/>
  <c r="BB9" i="2" s="1"/>
  <c r="BA9" i="2"/>
  <c r="Z10" i="2"/>
  <c r="BB10" i="2" s="1"/>
  <c r="BA10" i="2"/>
  <c r="Z11" i="2"/>
  <c r="BB11" i="2" s="1"/>
  <c r="BA11" i="2"/>
  <c r="AA15" i="11"/>
  <c r="BC15" i="11" s="1"/>
  <c r="BA15" i="11"/>
  <c r="Z5" i="3"/>
  <c r="BB5" i="3" s="1"/>
  <c r="AA12" i="2"/>
  <c r="BC12" i="2" s="1"/>
  <c r="AA10" i="3"/>
  <c r="BC10" i="3" s="1"/>
  <c r="Y14" i="3"/>
  <c r="Z7" i="3"/>
  <c r="BB7" i="3" s="1"/>
  <c r="AA11" i="4"/>
  <c r="BC11" i="4" s="1"/>
  <c r="Z7" i="4"/>
  <c r="BB7" i="4" s="1"/>
  <c r="Z10" i="4"/>
  <c r="BB10" i="4" s="1"/>
  <c r="Z12" i="4"/>
  <c r="BB12" i="4" s="1"/>
  <c r="Z15" i="11"/>
  <c r="BB15" i="11" s="1"/>
  <c r="Y14" i="2"/>
  <c r="U14" i="2"/>
  <c r="Y14" i="4"/>
  <c r="AA9" i="2"/>
  <c r="BC9" i="2" s="1"/>
  <c r="AA8" i="2"/>
  <c r="BC8" i="2" s="1"/>
  <c r="Z5" i="2"/>
  <c r="BB5" i="2" s="1"/>
  <c r="AA14" i="2"/>
  <c r="Z12" i="3"/>
  <c r="BB12" i="3" s="1"/>
  <c r="AA12" i="1"/>
  <c r="AA8" i="1"/>
  <c r="Z8" i="3"/>
  <c r="BB8" i="3" s="1"/>
  <c r="Z14" i="2"/>
  <c r="Z6" i="1"/>
  <c r="AA6" i="4"/>
  <c r="BC6" i="4" s="1"/>
  <c r="Z6" i="3"/>
  <c r="BB6" i="3" s="1"/>
  <c r="Z5" i="4"/>
  <c r="BB5" i="4" s="1"/>
  <c r="Z11" i="3"/>
  <c r="BB11" i="3" s="1"/>
  <c r="AA11" i="2"/>
  <c r="BC11" i="2" s="1"/>
  <c r="AA7" i="2"/>
  <c r="BC7" i="2" s="1"/>
  <c r="AA14" i="11"/>
  <c r="BC14" i="11" s="1"/>
  <c r="AA8" i="4"/>
  <c r="BC8" i="4" s="1"/>
  <c r="U14" i="4"/>
  <c r="U14" i="3"/>
  <c r="AA10" i="2"/>
  <c r="BC10" i="2" s="1"/>
  <c r="AA6" i="2"/>
  <c r="BC6" i="2" s="1"/>
  <c r="AA10" i="1"/>
  <c r="Z14" i="11"/>
  <c r="BB14" i="11" s="1"/>
  <c r="D6" i="12" l="1"/>
  <c r="AW14" i="4"/>
  <c r="B8" i="12"/>
  <c r="B19" i="12" s="1"/>
  <c r="I4" i="12"/>
  <c r="BB14" i="2"/>
  <c r="D4" i="12"/>
  <c r="AW14" i="2"/>
  <c r="J4" i="12"/>
  <c r="BC14" i="2"/>
  <c r="C19" i="12"/>
  <c r="AA14" i="3"/>
  <c r="Z14" i="3"/>
  <c r="Z14" i="4"/>
  <c r="AA14" i="4"/>
  <c r="D19" i="12" l="1"/>
  <c r="J6" i="12"/>
  <c r="BC14" i="4"/>
  <c r="I6" i="12"/>
  <c r="BB14" i="4"/>
  <c r="D8" i="12"/>
  <c r="I5" i="12"/>
  <c r="BB14" i="3"/>
  <c r="J5" i="12"/>
  <c r="BC14" i="3"/>
</calcChain>
</file>

<file path=xl/sharedStrings.xml><?xml version="1.0" encoding="utf-8"?>
<sst xmlns="http://schemas.openxmlformats.org/spreadsheetml/2006/main" count="1155" uniqueCount="57">
  <si>
    <t>Piéton/ne</t>
  </si>
  <si>
    <t>H</t>
  </si>
  <si>
    <t>F</t>
  </si>
  <si>
    <t>Heure</t>
  </si>
  <si>
    <t>Vélo traditionel</t>
  </si>
  <si>
    <t>France -&gt; Suisse</t>
  </si>
  <si>
    <t>Suisse -&gt; France</t>
  </si>
  <si>
    <t>VAE</t>
  </si>
  <si>
    <t xml:space="preserve">Mode Nouveau Electrique
</t>
  </si>
  <si>
    <t xml:space="preserve">Vélo traditionel </t>
  </si>
  <si>
    <t>Mode Nouveau Electrique
(trotinette, scateboard , …)</t>
  </si>
  <si>
    <t xml:space="preserve">Lieu: </t>
  </si>
  <si>
    <t>STGenis - CERN</t>
  </si>
  <si>
    <t>Total</t>
  </si>
  <si>
    <t>Femmes</t>
  </si>
  <si>
    <t>%Femmes</t>
  </si>
  <si>
    <t>VT</t>
  </si>
  <si>
    <t>Nouveau</t>
  </si>
  <si>
    <t>TotVelo</t>
  </si>
  <si>
    <t>Piétons</t>
  </si>
  <si>
    <t>Hommes</t>
  </si>
  <si>
    <t>&gt;CH</t>
  </si>
  <si>
    <t>&gt;FR</t>
  </si>
  <si>
    <t>StGenis -&gt; Bourdigny</t>
  </si>
  <si>
    <t>STGenis -&gt; Meyrin</t>
  </si>
  <si>
    <t>2r</t>
  </si>
  <si>
    <t>TOT</t>
  </si>
  <si>
    <t>%VAE</t>
  </si>
  <si>
    <t>%Nouveau</t>
  </si>
  <si>
    <t>Tot 7</t>
  </si>
  <si>
    <t>Tot 8</t>
  </si>
  <si>
    <t>Total HP</t>
  </si>
  <si>
    <t>Crassy-&gt;Crassier</t>
  </si>
  <si>
    <t>Mategnin Total</t>
  </si>
  <si>
    <t>Mategnin Anneaux</t>
  </si>
  <si>
    <t>Mategnin Douane</t>
  </si>
  <si>
    <t>StGenis Total</t>
  </si>
  <si>
    <t>TOTAL</t>
  </si>
  <si>
    <t>Ferney</t>
  </si>
  <si>
    <t>StGenis-&gt; Meyrin</t>
  </si>
  <si>
    <t>StGenis-&gt;Bourdigny</t>
  </si>
  <si>
    <t>Total StGenis</t>
  </si>
  <si>
    <t>MategninAnneaux</t>
  </si>
  <si>
    <t>MategninDouane</t>
  </si>
  <si>
    <t>Total Mategnin</t>
  </si>
  <si>
    <t>Crassy</t>
  </si>
  <si>
    <t>Ferney-Tunnel</t>
  </si>
  <si>
    <t>Ferney-BoisBrûlé</t>
  </si>
  <si>
    <t>Versonnex</t>
  </si>
  <si>
    <t>Sauverny</t>
  </si>
  <si>
    <t>Divonne-Chavanne</t>
  </si>
  <si>
    <t>APiCy Frontière Total</t>
  </si>
  <si>
    <t>Divonne (Chavanne)</t>
  </si>
  <si>
    <t>Total Pays de Gex Nord</t>
  </si>
  <si>
    <t>RteEurope-Meyrin</t>
  </si>
  <si>
    <t>StGenis-&gt;CERN</t>
  </si>
  <si>
    <t>RteEurope-&gt;Meyrin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</si>
</sst>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Calibri"/>
      <family val="2"/>
      <scheme val="minor"/>
    </font>
    <font>
      <b/>
      <sz val="16"/>
      <color theme="1"/>
      <name val="Ubuntu"/>
    </font>
    <font>
      <sz val="16"/>
      <color theme="1"/>
      <name val="Ubuntu"/>
    </font>
    <font>
      <b/>
      <sz val="12"/>
      <color theme="1"/>
      <name val="Ubuntu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2"/>
      <color theme="1"/>
      <name val="Ubuntu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Ubuntu"/>
    </font>
    <font>
      <sz val="10"/>
      <color theme="1"/>
      <name val="Ubuntu"/>
    </font>
    <font>
      <sz val="10"/>
      <color theme="1"/>
      <name val="Calibri"/>
      <family val="2"/>
      <scheme val="minor"/>
    </font>
    <font>
      <b/>
      <sz val="20"/>
      <color theme="1"/>
      <name val="Ubuntu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double">
        <color auto="1"/>
      </right>
      <top style="medium">
        <color indexed="64"/>
      </top>
      <bottom/>
      <diagonal/>
    </border>
    <border>
      <left style="double">
        <color auto="1"/>
      </left>
      <right style="double">
        <color auto="1"/>
      </right>
      <top style="medium">
        <color indexed="64"/>
      </top>
      <bottom/>
      <diagonal/>
    </border>
    <border>
      <left style="double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20" fontId="3" fillId="0" borderId="15" xfId="0" applyNumberFormat="1" applyFont="1" applyBorder="1" applyAlignment="1">
      <alignment horizontal="center" vertical="center"/>
    </xf>
    <xf numFmtId="20" fontId="3" fillId="0" borderId="20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0" fillId="0" borderId="21" xfId="0" applyBorder="1"/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4" fillId="0" borderId="25" xfId="0" applyFont="1" applyBorder="1"/>
    <xf numFmtId="10" fontId="0" fillId="0" borderId="21" xfId="0" applyNumberFormat="1" applyBorder="1"/>
    <xf numFmtId="0" fontId="0" fillId="0" borderId="16" xfId="0" applyBorder="1"/>
    <xf numFmtId="0" fontId="0" fillId="0" borderId="28" xfId="0" applyBorder="1"/>
    <xf numFmtId="0" fontId="0" fillId="0" borderId="17" xfId="0" applyBorder="1"/>
    <xf numFmtId="0" fontId="0" fillId="0" borderId="6" xfId="0" applyBorder="1"/>
    <xf numFmtId="0" fontId="0" fillId="0" borderId="7" xfId="0" applyBorder="1"/>
    <xf numFmtId="0" fontId="4" fillId="0" borderId="8" xfId="0" applyFont="1" applyBorder="1"/>
    <xf numFmtId="0" fontId="4" fillId="0" borderId="29" xfId="0" applyFont="1" applyBorder="1"/>
    <xf numFmtId="10" fontId="4" fillId="0" borderId="29" xfId="0" applyNumberFormat="1" applyFont="1" applyBorder="1"/>
    <xf numFmtId="0" fontId="4" fillId="0" borderId="9" xfId="0" applyFont="1" applyBorder="1"/>
    <xf numFmtId="0" fontId="4" fillId="0" borderId="26" xfId="0" applyFont="1" applyBorder="1"/>
    <xf numFmtId="0" fontId="4" fillId="0" borderId="27" xfId="0" applyFont="1" applyBorder="1"/>
    <xf numFmtId="0" fontId="0" fillId="0" borderId="31" xfId="0" applyBorder="1"/>
    <xf numFmtId="0" fontId="0" fillId="0" borderId="32" xfId="0" applyBorder="1"/>
    <xf numFmtId="0" fontId="4" fillId="0" borderId="33" xfId="0" applyFont="1" applyBorder="1"/>
    <xf numFmtId="0" fontId="5" fillId="0" borderId="34" xfId="0" applyFont="1" applyBorder="1"/>
    <xf numFmtId="0" fontId="0" fillId="0" borderId="35" xfId="0" applyBorder="1"/>
    <xf numFmtId="0" fontId="4" fillId="0" borderId="36" xfId="0" applyFont="1" applyBorder="1"/>
    <xf numFmtId="9" fontId="0" fillId="0" borderId="21" xfId="0" applyNumberFormat="1" applyBorder="1"/>
    <xf numFmtId="0" fontId="0" fillId="0" borderId="14" xfId="0" applyBorder="1"/>
    <xf numFmtId="0" fontId="0" fillId="0" borderId="37" xfId="0" applyBorder="1"/>
    <xf numFmtId="10" fontId="0" fillId="0" borderId="37" xfId="0" applyNumberFormat="1" applyBorder="1"/>
    <xf numFmtId="9" fontId="0" fillId="0" borderId="37" xfId="0" applyNumberFormat="1" applyBorder="1"/>
    <xf numFmtId="0" fontId="0" fillId="0" borderId="13" xfId="0" applyBorder="1"/>
    <xf numFmtId="0" fontId="0" fillId="0" borderId="38" xfId="0" applyBorder="1"/>
    <xf numFmtId="0" fontId="4" fillId="0" borderId="39" xfId="0" applyFont="1" applyBorder="1"/>
    <xf numFmtId="10" fontId="4" fillId="0" borderId="26" xfId="0" applyNumberFormat="1" applyFont="1" applyBorder="1"/>
    <xf numFmtId="9" fontId="0" fillId="0" borderId="26" xfId="0" applyNumberFormat="1" applyBorder="1"/>
    <xf numFmtId="0" fontId="4" fillId="0" borderId="22" xfId="0" applyFont="1" applyBorder="1"/>
    <xf numFmtId="0" fontId="0" fillId="0" borderId="5" xfId="0" applyBorder="1"/>
    <xf numFmtId="0" fontId="0" fillId="0" borderId="4" xfId="0" applyBorder="1"/>
    <xf numFmtId="9" fontId="0" fillId="0" borderId="8" xfId="0" applyNumberFormat="1" applyBorder="1"/>
    <xf numFmtId="9" fontId="0" fillId="0" borderId="29" xfId="0" applyNumberFormat="1" applyBorder="1"/>
    <xf numFmtId="9" fontId="0" fillId="0" borderId="9" xfId="0" applyNumberFormat="1" applyBorder="1"/>
    <xf numFmtId="0" fontId="0" fillId="0" borderId="15" xfId="0" applyBorder="1"/>
    <xf numFmtId="0" fontId="0" fillId="0" borderId="34" xfId="0" applyBorder="1"/>
    <xf numFmtId="0" fontId="0" fillId="0" borderId="18" xfId="0" applyBorder="1"/>
    <xf numFmtId="9" fontId="0" fillId="0" borderId="34" xfId="0" applyNumberFormat="1" applyBorder="1"/>
    <xf numFmtId="0" fontId="0" fillId="0" borderId="19" xfId="0" applyBorder="1"/>
    <xf numFmtId="0" fontId="0" fillId="0" borderId="20" xfId="0" applyBorder="1"/>
    <xf numFmtId="9" fontId="0" fillId="0" borderId="20" xfId="0" applyNumberFormat="1" applyBorder="1"/>
    <xf numFmtId="0" fontId="9" fillId="0" borderId="20" xfId="0" applyFont="1" applyBorder="1" applyAlignment="1">
      <alignment horizontal="right"/>
    </xf>
    <xf numFmtId="0" fontId="9" fillId="0" borderId="20" xfId="0" applyFont="1" applyBorder="1"/>
    <xf numFmtId="0" fontId="9" fillId="0" borderId="5" xfId="0" applyFont="1" applyBorder="1"/>
    <xf numFmtId="9" fontId="10" fillId="0" borderId="20" xfId="0" applyNumberFormat="1" applyFont="1" applyBorder="1"/>
    <xf numFmtId="0" fontId="9" fillId="0" borderId="4" xfId="0" applyFont="1" applyBorder="1"/>
    <xf numFmtId="9" fontId="9" fillId="0" borderId="20" xfId="0" applyNumberFormat="1" applyFont="1" applyBorder="1"/>
    <xf numFmtId="0" fontId="0" fillId="0" borderId="41" xfId="0" applyBorder="1"/>
    <xf numFmtId="0" fontId="4" fillId="0" borderId="41" xfId="0" applyFont="1" applyBorder="1"/>
    <xf numFmtId="9" fontId="4" fillId="0" borderId="41" xfId="0" applyNumberFormat="1" applyFont="1" applyBorder="1"/>
    <xf numFmtId="0" fontId="11" fillId="0" borderId="5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2" fillId="2" borderId="18" xfId="0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14" fillId="0" borderId="42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4" fillId="0" borderId="22" xfId="0" applyFont="1" applyBorder="1"/>
    <xf numFmtId="0" fontId="6" fillId="0" borderId="10" xfId="0" applyFont="1" applyBorder="1" applyAlignment="1">
      <alignment horizontal="center"/>
    </xf>
    <xf numFmtId="0" fontId="5" fillId="0" borderId="21" xfId="0" applyFont="1" applyBorder="1"/>
    <xf numFmtId="0" fontId="5" fillId="0" borderId="6" xfId="0" applyFont="1" applyBorder="1"/>
    <xf numFmtId="0" fontId="5" fillId="0" borderId="7" xfId="0" applyFont="1" applyBorder="1"/>
    <xf numFmtId="9" fontId="0" fillId="0" borderId="6" xfId="0" applyNumberFormat="1" applyBorder="1"/>
    <xf numFmtId="9" fontId="0" fillId="0" borderId="7" xfId="0" applyNumberFormat="1" applyBorder="1"/>
    <xf numFmtId="20" fontId="3" fillId="0" borderId="5" xfId="0" applyNumberFormat="1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12" fillId="2" borderId="46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40" xfId="0" applyFont="1" applyFill="1" applyBorder="1" applyAlignment="1">
      <alignment horizontal="center" vertical="center"/>
    </xf>
    <xf numFmtId="0" fontId="0" fillId="0" borderId="52" xfId="0" applyBorder="1"/>
    <xf numFmtId="0" fontId="14" fillId="0" borderId="53" xfId="0" applyFont="1" applyBorder="1" applyAlignment="1">
      <alignment horizontal="center" vertical="center"/>
    </xf>
    <xf numFmtId="0" fontId="14" fillId="0" borderId="54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0" fillId="0" borderId="42" xfId="0" applyBorder="1"/>
    <xf numFmtId="0" fontId="0" fillId="0" borderId="55" xfId="0" applyBorder="1"/>
    <xf numFmtId="10" fontId="0" fillId="0" borderId="55" xfId="0" applyNumberFormat="1" applyBorder="1"/>
    <xf numFmtId="9" fontId="0" fillId="0" borderId="55" xfId="0" applyNumberFormat="1" applyBorder="1"/>
    <xf numFmtId="0" fontId="0" fillId="0" borderId="43" xfId="0" applyBorder="1"/>
    <xf numFmtId="9" fontId="0" fillId="0" borderId="0" xfId="0" applyNumberFormat="1"/>
    <xf numFmtId="0" fontId="6" fillId="0" borderId="30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right"/>
    </xf>
    <xf numFmtId="0" fontId="9" fillId="3" borderId="20" xfId="0" applyFont="1" applyFill="1" applyBorder="1"/>
    <xf numFmtId="0" fontId="9" fillId="3" borderId="5" xfId="0" applyFont="1" applyFill="1" applyBorder="1"/>
    <xf numFmtId="9" fontId="10" fillId="3" borderId="20" xfId="0" applyNumberFormat="1" applyFont="1" applyFill="1" applyBorder="1"/>
    <xf numFmtId="0" fontId="9" fillId="3" borderId="4" xfId="0" applyFont="1" applyFill="1" applyBorder="1"/>
    <xf numFmtId="9" fontId="9" fillId="3" borderId="20" xfId="0" applyNumberFormat="1" applyFont="1" applyFill="1" applyBorder="1"/>
    <xf numFmtId="0" fontId="0" fillId="3" borderId="20" xfId="0" applyFill="1" applyBorder="1"/>
    <xf numFmtId="9" fontId="0" fillId="3" borderId="2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selection activeCell="L25" sqref="L25"/>
    </sheetView>
  </sheetViews>
  <sheetFormatPr baseColWidth="10" defaultColWidth="9.140625" defaultRowHeight="15"/>
  <cols>
    <col min="1" max="1" width="25.85546875" customWidth="1"/>
    <col min="4" max="4" width="8.85546875" style="137"/>
    <col min="9" max="10" width="8.85546875" style="137"/>
  </cols>
  <sheetData>
    <row r="1" spans="1:14" ht="15.75">
      <c r="A1" s="59"/>
      <c r="B1" s="60" t="s">
        <v>20</v>
      </c>
      <c r="C1" s="61" t="s">
        <v>14</v>
      </c>
      <c r="D1" s="62" t="s">
        <v>15</v>
      </c>
      <c r="E1" s="63" t="s">
        <v>16</v>
      </c>
      <c r="F1" s="60" t="s">
        <v>7</v>
      </c>
      <c r="G1" s="60" t="s">
        <v>17</v>
      </c>
      <c r="H1" s="60" t="s">
        <v>25</v>
      </c>
      <c r="I1" s="62" t="s">
        <v>27</v>
      </c>
      <c r="J1" s="62" t="s">
        <v>28</v>
      </c>
      <c r="K1" s="60" t="s">
        <v>19</v>
      </c>
      <c r="L1" s="60" t="s">
        <v>21</v>
      </c>
      <c r="M1" s="60" t="s">
        <v>22</v>
      </c>
      <c r="N1" s="40" t="s">
        <v>26</v>
      </c>
    </row>
    <row r="2" spans="1:14">
      <c r="A2" s="152" t="s">
        <v>38</v>
      </c>
      <c r="B2" s="152">
        <f>Ferney!S14</f>
        <v>140</v>
      </c>
      <c r="C2" s="152">
        <f>Ferney!T14</f>
        <v>71</v>
      </c>
      <c r="D2" s="153">
        <f>Ferney!U14</f>
        <v>0.33649289099526064</v>
      </c>
      <c r="E2" s="152">
        <f>Ferney!V14</f>
        <v>102</v>
      </c>
      <c r="F2" s="152">
        <f>Ferney!W14</f>
        <v>85</v>
      </c>
      <c r="G2" s="152">
        <f>Ferney!X14</f>
        <v>20</v>
      </c>
      <c r="H2" s="152">
        <f>Ferney!Y14</f>
        <v>207</v>
      </c>
      <c r="I2" s="153">
        <f>Ferney!Z14</f>
        <v>0.41062801932367149</v>
      </c>
      <c r="J2" s="153">
        <f>Ferney!AA14</f>
        <v>9.6618357487922704E-2</v>
      </c>
      <c r="K2" s="152">
        <f>Ferney!AB14</f>
        <v>4</v>
      </c>
      <c r="L2" s="152">
        <f>Ferney!AC14</f>
        <v>203</v>
      </c>
      <c r="M2" s="152">
        <f>Ferney!AD14</f>
        <v>8</v>
      </c>
      <c r="N2" s="152">
        <f>Ferney!AE14</f>
        <v>211</v>
      </c>
    </row>
    <row r="3" spans="1:14">
      <c r="A3" s="64"/>
      <c r="B3" s="64"/>
      <c r="C3" s="54"/>
      <c r="D3" s="65"/>
      <c r="E3" s="55"/>
      <c r="F3" s="64"/>
      <c r="G3" s="64"/>
      <c r="H3" s="64"/>
      <c r="I3" s="65"/>
      <c r="J3" s="65"/>
      <c r="K3" s="64"/>
      <c r="L3" s="64"/>
      <c r="M3" s="64"/>
      <c r="N3" s="64"/>
    </row>
    <row r="4" spans="1:14">
      <c r="A4" s="64" t="s">
        <v>39</v>
      </c>
      <c r="B4" s="64">
        <f>'StGenis-&gt;Meyrin'!S14</f>
        <v>145</v>
      </c>
      <c r="C4" s="64">
        <f>'StGenis-&gt;Meyrin'!T14</f>
        <v>61</v>
      </c>
      <c r="D4" s="65">
        <f>'StGenis-&gt;Meyrin'!U14</f>
        <v>0.29611650485436891</v>
      </c>
      <c r="E4" s="64">
        <f>'StGenis-&gt;Meyrin'!V14</f>
        <v>98</v>
      </c>
      <c r="F4" s="64">
        <f>'StGenis-&gt;Meyrin'!W14</f>
        <v>87</v>
      </c>
      <c r="G4" s="64">
        <f>'StGenis-&gt;Meyrin'!X14</f>
        <v>8</v>
      </c>
      <c r="H4" s="64">
        <f>'StGenis-&gt;Meyrin'!Y14</f>
        <v>193</v>
      </c>
      <c r="I4" s="65">
        <f>'StGenis-&gt;Meyrin'!Z14</f>
        <v>0.45077720207253885</v>
      </c>
      <c r="J4" s="65">
        <f>'StGenis-&gt;Meyrin'!AA14</f>
        <v>4.145077720207254E-2</v>
      </c>
      <c r="K4" s="64">
        <f>'StGenis-&gt;Meyrin'!AB14</f>
        <v>13</v>
      </c>
      <c r="L4" s="64">
        <f>'StGenis-&gt;Meyrin'!AC14</f>
        <v>191</v>
      </c>
      <c r="M4" s="64">
        <f>'StGenis-&gt;Meyrin'!AD14</f>
        <v>15</v>
      </c>
      <c r="N4" s="64">
        <f>'StGenis-&gt;Meyrin'!AE14</f>
        <v>206</v>
      </c>
    </row>
    <row r="5" spans="1:14">
      <c r="A5" s="64" t="s">
        <v>40</v>
      </c>
      <c r="B5" s="64">
        <f>'StGenis-&gt;Bourdigny'!S14</f>
        <v>24</v>
      </c>
      <c r="C5" s="64">
        <f>'StGenis-&gt;Bourdigny'!T14</f>
        <v>4</v>
      </c>
      <c r="D5" s="65">
        <f>'StGenis-&gt;Bourdigny'!U14</f>
        <v>0.14285714285714285</v>
      </c>
      <c r="E5" s="64">
        <f>'StGenis-&gt;Bourdigny'!V14</f>
        <v>19</v>
      </c>
      <c r="F5" s="64">
        <f>'StGenis-&gt;Bourdigny'!W14</f>
        <v>9</v>
      </c>
      <c r="G5" s="64">
        <f>'StGenis-&gt;Bourdigny'!X14</f>
        <v>0</v>
      </c>
      <c r="H5" s="64">
        <f>'StGenis-&gt;Bourdigny'!Y14</f>
        <v>28</v>
      </c>
      <c r="I5" s="65">
        <f>'StGenis-&gt;Bourdigny'!Z14</f>
        <v>0.32142857142857145</v>
      </c>
      <c r="J5" s="65">
        <f>'StGenis-&gt;Bourdigny'!AA14</f>
        <v>0</v>
      </c>
      <c r="K5" s="64">
        <f>'StGenis-&gt;Bourdigny'!AB14</f>
        <v>0</v>
      </c>
      <c r="L5" s="64">
        <f>'StGenis-&gt;Bourdigny'!AC14</f>
        <v>26</v>
      </c>
      <c r="M5" s="64">
        <f>'StGenis-&gt;Bourdigny'!AD14</f>
        <v>2</v>
      </c>
      <c r="N5" s="64">
        <f>'StGenis-&gt;Bourdigny'!AE14</f>
        <v>28</v>
      </c>
    </row>
    <row r="6" spans="1:14">
      <c r="A6" s="64" t="s">
        <v>55</v>
      </c>
      <c r="B6" s="64">
        <f>'StGenis-&gt;CERN'!S14</f>
        <v>125</v>
      </c>
      <c r="C6" s="64">
        <f>'StGenis-&gt;CERN'!T14</f>
        <v>25</v>
      </c>
      <c r="D6" s="65">
        <f>'StGenis-&gt;CERN'!U14</f>
        <v>0.16666666666666666</v>
      </c>
      <c r="E6" s="64">
        <f>'StGenis-&gt;CERN'!V14</f>
        <v>100</v>
      </c>
      <c r="F6" s="64">
        <f>'StGenis-&gt;CERN'!W14</f>
        <v>10</v>
      </c>
      <c r="G6" s="64">
        <f>'StGenis-&gt;CERN'!X14</f>
        <v>3</v>
      </c>
      <c r="H6" s="64">
        <f>'StGenis-&gt;CERN'!Y14</f>
        <v>113</v>
      </c>
      <c r="I6" s="65">
        <f>'StGenis-&gt;CERN'!Z14</f>
        <v>8.8495575221238937E-2</v>
      </c>
      <c r="J6" s="65">
        <f>'StGenis-&gt;CERN'!AA14</f>
        <v>2.6548672566371681E-2</v>
      </c>
      <c r="K6" s="64">
        <f>'StGenis-&gt;CERN'!AB14</f>
        <v>37</v>
      </c>
      <c r="L6" s="64">
        <f>'StGenis-&gt;CERN'!AC14</f>
        <v>150</v>
      </c>
      <c r="M6" s="64">
        <f>'StGenis-&gt;CERN'!AD14</f>
        <v>0</v>
      </c>
      <c r="N6" s="64">
        <f>'StGenis-&gt;CERN'!AE14</f>
        <v>150</v>
      </c>
    </row>
    <row r="7" spans="1:14" s="97" customFormat="1">
      <c r="A7" s="64" t="s">
        <v>56</v>
      </c>
      <c r="B7" s="64">
        <f>'RteEurope-&gt;Meyrin'!S14</f>
        <v>12</v>
      </c>
      <c r="C7" s="64">
        <f>'RteEurope-&gt;Meyrin'!T14</f>
        <v>0</v>
      </c>
      <c r="D7" s="65">
        <f>'RteEurope-&gt;Meyrin'!U14</f>
        <v>0</v>
      </c>
      <c r="E7" s="64">
        <f>'RteEurope-&gt;Meyrin'!V14</f>
        <v>9</v>
      </c>
      <c r="F7" s="64">
        <f>'RteEurope-&gt;Meyrin'!W14</f>
        <v>3</v>
      </c>
      <c r="G7" s="64">
        <f>'RteEurope-&gt;Meyrin'!X14</f>
        <v>0</v>
      </c>
      <c r="H7" s="64">
        <f>'RteEurope-&gt;Meyrin'!Y14</f>
        <v>12</v>
      </c>
      <c r="I7" s="65">
        <f>'RteEurope-&gt;Meyrin'!Z14</f>
        <v>0.25</v>
      </c>
      <c r="J7" s="65">
        <f>'RteEurope-&gt;Meyrin'!AA14</f>
        <v>0</v>
      </c>
      <c r="K7" s="64">
        <f>'RteEurope-&gt;Meyrin'!AB14</f>
        <v>0</v>
      </c>
      <c r="L7" s="64">
        <f>'RteEurope-&gt;Meyrin'!AC14</f>
        <v>7</v>
      </c>
      <c r="M7" s="64">
        <f>'RteEurope-&gt;Meyrin'!AD14</f>
        <v>5</v>
      </c>
      <c r="N7" s="64">
        <f>'RteEurope-&gt;Meyrin'!AE14</f>
        <v>12</v>
      </c>
    </row>
    <row r="8" spans="1:14">
      <c r="A8" s="146" t="s">
        <v>41</v>
      </c>
      <c r="B8" s="147">
        <f>SUM(B4:B7)</f>
        <v>306</v>
      </c>
      <c r="C8" s="148">
        <f>SUM(C4:C6)</f>
        <v>90</v>
      </c>
      <c r="D8" s="149">
        <f>C8/(C8+B8)</f>
        <v>0.22727272727272727</v>
      </c>
      <c r="E8" s="150">
        <f>SUM(E4:E7)</f>
        <v>226</v>
      </c>
      <c r="F8" s="150">
        <f>SUM(F4:F7)</f>
        <v>109</v>
      </c>
      <c r="G8" s="150">
        <f t="shared" ref="G8:H8" si="0">SUM(G4:G7)</f>
        <v>11</v>
      </c>
      <c r="H8" s="150">
        <f t="shared" si="0"/>
        <v>346</v>
      </c>
      <c r="I8" s="151">
        <f t="shared" ref="I8" si="1">F8/H8</f>
        <v>0.31502890173410403</v>
      </c>
      <c r="J8" s="151">
        <f t="shared" ref="J8" si="2">G8/H8</f>
        <v>3.1791907514450865E-2</v>
      </c>
      <c r="K8" s="150">
        <f t="shared" ref="K8:N8" si="3">SUM(K4:K7)</f>
        <v>50</v>
      </c>
      <c r="L8" s="150">
        <f t="shared" si="3"/>
        <v>374</v>
      </c>
      <c r="M8" s="150">
        <f t="shared" si="3"/>
        <v>22</v>
      </c>
      <c r="N8" s="150">
        <f t="shared" si="3"/>
        <v>396</v>
      </c>
    </row>
    <row r="9" spans="1:14">
      <c r="A9" s="64"/>
      <c r="B9" s="64"/>
      <c r="C9" s="54"/>
      <c r="D9" s="65"/>
      <c r="E9" s="55"/>
      <c r="F9" s="64"/>
      <c r="G9" s="64"/>
      <c r="H9" s="64"/>
      <c r="I9" s="65"/>
      <c r="J9" s="65"/>
      <c r="K9" s="64"/>
      <c r="L9" s="64"/>
      <c r="M9" s="64"/>
      <c r="N9" s="64"/>
    </row>
    <row r="10" spans="1:14">
      <c r="A10" s="64" t="s">
        <v>42</v>
      </c>
      <c r="B10" s="64">
        <f>MategninAnneaux!S14</f>
        <v>111</v>
      </c>
      <c r="C10" s="64">
        <f>MategninAnneaux!T14</f>
        <v>66</v>
      </c>
      <c r="D10" s="65">
        <f>MategninAnneaux!U14</f>
        <v>0.3728813559322034</v>
      </c>
      <c r="E10" s="64">
        <f>MategninAnneaux!V14</f>
        <v>85</v>
      </c>
      <c r="F10" s="64">
        <f>MategninAnneaux!W14</f>
        <v>61</v>
      </c>
      <c r="G10" s="64">
        <f>MategninAnneaux!X14</f>
        <v>11</v>
      </c>
      <c r="H10" s="64">
        <f>MategninAnneaux!Y14</f>
        <v>157</v>
      </c>
      <c r="I10" s="65">
        <f>MategninAnneaux!Z14</f>
        <v>0.38853503184713378</v>
      </c>
      <c r="J10" s="65">
        <f>MategninAnneaux!AA14</f>
        <v>7.0063694267515922E-2</v>
      </c>
      <c r="K10" s="64">
        <f>MategninAnneaux!AB14</f>
        <v>20</v>
      </c>
      <c r="L10" s="64">
        <f>MategninAnneaux!AC14</f>
        <v>156</v>
      </c>
      <c r="M10" s="64">
        <f>MategninAnneaux!AD14</f>
        <v>21</v>
      </c>
      <c r="N10" s="64">
        <f>MategninAnneaux!AE14</f>
        <v>177</v>
      </c>
    </row>
    <row r="11" spans="1:14">
      <c r="A11" s="64" t="s">
        <v>43</v>
      </c>
      <c r="B11" s="64">
        <f>MategninDouane!S14</f>
        <v>70</v>
      </c>
      <c r="C11" s="64">
        <f>MategninDouane!T14</f>
        <v>28</v>
      </c>
      <c r="D11" s="65">
        <f>MategninDouane!U14</f>
        <v>0.2857142857142857</v>
      </c>
      <c r="E11" s="64">
        <f>MategninDouane!V14</f>
        <v>56</v>
      </c>
      <c r="F11" s="64">
        <f>MategninDouane!W14</f>
        <v>24</v>
      </c>
      <c r="G11" s="64">
        <f>MategninDouane!X14</f>
        <v>2</v>
      </c>
      <c r="H11" s="64">
        <f>MategninDouane!Y14</f>
        <v>82</v>
      </c>
      <c r="I11" s="65">
        <f>MategninDouane!Z14</f>
        <v>0.29268292682926828</v>
      </c>
      <c r="J11" s="65">
        <f>MategninDouane!AA14</f>
        <v>2.4390243902439025E-2</v>
      </c>
      <c r="K11" s="64">
        <f>MategninDouane!AB14</f>
        <v>16</v>
      </c>
      <c r="L11" s="64">
        <f>MategninDouane!AC14</f>
        <v>72</v>
      </c>
      <c r="M11" s="64">
        <f>MategninDouane!AD14</f>
        <v>26</v>
      </c>
      <c r="N11" s="64">
        <f>MategninDouane!AE14</f>
        <v>98</v>
      </c>
    </row>
    <row r="12" spans="1:14">
      <c r="A12" s="146" t="s">
        <v>44</v>
      </c>
      <c r="B12" s="152">
        <f>SUM(B10:B11)</f>
        <v>181</v>
      </c>
      <c r="C12" s="152">
        <f t="shared" ref="C12:N12" si="4">SUM(C10:C11)</f>
        <v>94</v>
      </c>
      <c r="D12" s="149">
        <f>C12/(C12+B12)</f>
        <v>0.3418181818181818</v>
      </c>
      <c r="E12" s="152">
        <f t="shared" si="4"/>
        <v>141</v>
      </c>
      <c r="F12" s="152">
        <f t="shared" si="4"/>
        <v>85</v>
      </c>
      <c r="G12" s="152">
        <f t="shared" si="4"/>
        <v>13</v>
      </c>
      <c r="H12" s="152">
        <f t="shared" si="4"/>
        <v>239</v>
      </c>
      <c r="I12" s="151">
        <f t="shared" ref="I12" si="5">F12/H12</f>
        <v>0.35564853556485354</v>
      </c>
      <c r="J12" s="151">
        <f t="shared" ref="J12" si="6">G12/H12</f>
        <v>5.4393305439330547E-2</v>
      </c>
      <c r="K12" s="152">
        <f t="shared" si="4"/>
        <v>36</v>
      </c>
      <c r="L12" s="152">
        <f t="shared" si="4"/>
        <v>228</v>
      </c>
      <c r="M12" s="152">
        <f t="shared" si="4"/>
        <v>47</v>
      </c>
      <c r="N12" s="152">
        <f t="shared" si="4"/>
        <v>275</v>
      </c>
    </row>
    <row r="13" spans="1:14">
      <c r="A13" s="64"/>
      <c r="B13" s="64"/>
      <c r="C13" s="54"/>
      <c r="D13" s="65"/>
      <c r="E13" s="55"/>
      <c r="F13" s="64"/>
      <c r="G13" s="64"/>
      <c r="H13" s="64"/>
      <c r="I13" s="65"/>
      <c r="J13" s="65"/>
      <c r="K13" s="64"/>
      <c r="L13" s="64"/>
      <c r="M13" s="64"/>
      <c r="N13" s="64"/>
    </row>
    <row r="14" spans="1:14" s="97" customFormat="1">
      <c r="A14" s="64" t="s">
        <v>48</v>
      </c>
      <c r="B14" s="64">
        <f>Versonnex!S14</f>
        <v>27</v>
      </c>
      <c r="C14" s="64">
        <f>Versonnex!T14</f>
        <v>13</v>
      </c>
      <c r="D14" s="65">
        <f>Versonnex!U14</f>
        <v>0.32500000000000001</v>
      </c>
      <c r="E14" s="64">
        <f>Versonnex!V14</f>
        <v>25</v>
      </c>
      <c r="F14" s="64">
        <f>Versonnex!W14</f>
        <v>15</v>
      </c>
      <c r="G14" s="64">
        <f>Versonnex!X14</f>
        <v>0</v>
      </c>
      <c r="H14" s="64">
        <f>Versonnex!Y14</f>
        <v>40</v>
      </c>
      <c r="I14" s="65">
        <f>Versonnex!Z14</f>
        <v>0.375</v>
      </c>
      <c r="J14" s="65">
        <f>Versonnex!AA14</f>
        <v>0</v>
      </c>
      <c r="K14" s="64">
        <f>Versonnex!AB14</f>
        <v>0</v>
      </c>
      <c r="L14" s="64">
        <f>Versonnex!AC14</f>
        <v>28</v>
      </c>
      <c r="M14" s="64">
        <f>Versonnex!AD14</f>
        <v>12</v>
      </c>
      <c r="N14" s="64">
        <f>Versonnex!AE14</f>
        <v>40</v>
      </c>
    </row>
    <row r="15" spans="1:14" s="97" customFormat="1">
      <c r="A15" s="64" t="s">
        <v>49</v>
      </c>
      <c r="B15" s="64">
        <f>Sauverny!S14</f>
        <v>22</v>
      </c>
      <c r="C15" s="64">
        <f>Sauverny!T14</f>
        <v>12</v>
      </c>
      <c r="D15" s="65">
        <f>Sauverny!U14</f>
        <v>0.35294117647058826</v>
      </c>
      <c r="E15" s="64">
        <f>Sauverny!V14</f>
        <v>12</v>
      </c>
      <c r="F15" s="64">
        <f>Sauverny!W14</f>
        <v>11</v>
      </c>
      <c r="G15" s="64">
        <f>Sauverny!X14</f>
        <v>1</v>
      </c>
      <c r="H15" s="64">
        <f>Sauverny!Y14</f>
        <v>24</v>
      </c>
      <c r="I15" s="65">
        <f>Sauverny!Z14</f>
        <v>0.45833333333333331</v>
      </c>
      <c r="J15" s="65">
        <f>Sauverny!AA14</f>
        <v>4.1666666666666664E-2</v>
      </c>
      <c r="K15" s="64">
        <f>Sauverny!AB14</f>
        <v>10</v>
      </c>
      <c r="L15" s="64">
        <f>Sauverny!AC14</f>
        <v>32</v>
      </c>
      <c r="M15" s="64">
        <f>Sauverny!AD14</f>
        <v>2</v>
      </c>
      <c r="N15" s="64">
        <f>Sauverny!AE14</f>
        <v>34</v>
      </c>
    </row>
    <row r="16" spans="1:14" s="97" customFormat="1">
      <c r="A16" s="64" t="s">
        <v>52</v>
      </c>
      <c r="B16" s="64">
        <f>'Divonne-&gt;Chavanne'!S14</f>
        <v>0</v>
      </c>
      <c r="C16" s="54"/>
      <c r="D16" s="65"/>
      <c r="E16" s="55"/>
      <c r="F16" s="64"/>
      <c r="G16" s="64"/>
      <c r="H16" s="64"/>
      <c r="I16" s="65"/>
      <c r="J16" s="65"/>
      <c r="K16" s="64"/>
      <c r="L16" s="64"/>
      <c r="M16" s="64"/>
      <c r="N16" s="64"/>
    </row>
    <row r="17" spans="1:14">
      <c r="A17" s="64" t="s">
        <v>45</v>
      </c>
      <c r="B17" s="64">
        <f>Crassy!S14</f>
        <v>0</v>
      </c>
      <c r="C17" s="54"/>
      <c r="D17" s="65"/>
      <c r="E17" s="55"/>
      <c r="F17" s="64"/>
      <c r="G17" s="64"/>
      <c r="H17" s="64"/>
      <c r="I17" s="65"/>
      <c r="J17" s="65"/>
      <c r="K17" s="64"/>
      <c r="L17" s="64"/>
      <c r="M17" s="64"/>
      <c r="N17" s="64"/>
    </row>
    <row r="18" spans="1:14">
      <c r="A18" s="66" t="s">
        <v>53</v>
      </c>
      <c r="B18" s="67">
        <f>SUM(B14:B17)</f>
        <v>49</v>
      </c>
      <c r="C18" s="68">
        <f>SUM(C14:C16)</f>
        <v>25</v>
      </c>
      <c r="D18" s="69">
        <f>C18/(C18+B18)</f>
        <v>0.33783783783783783</v>
      </c>
      <c r="E18" s="70">
        <f t="shared" ref="E18:H18" si="7">SUM(E14:E16)</f>
        <v>37</v>
      </c>
      <c r="F18" s="67">
        <f t="shared" si="7"/>
        <v>26</v>
      </c>
      <c r="G18" s="67">
        <f t="shared" si="7"/>
        <v>1</v>
      </c>
      <c r="H18" s="67">
        <f t="shared" si="7"/>
        <v>64</v>
      </c>
      <c r="I18" s="71">
        <f t="shared" ref="I18" si="8">F18/H18</f>
        <v>0.40625</v>
      </c>
      <c r="J18" s="71">
        <f t="shared" ref="J18" si="9">G18/H18</f>
        <v>1.5625E-2</v>
      </c>
      <c r="K18" s="67">
        <f t="shared" ref="K18:N18" si="10">SUM(K14:K16)</f>
        <v>10</v>
      </c>
      <c r="L18" s="67">
        <f t="shared" si="10"/>
        <v>60</v>
      </c>
      <c r="M18" s="67">
        <f t="shared" si="10"/>
        <v>14</v>
      </c>
      <c r="N18" s="67">
        <f t="shared" si="10"/>
        <v>74</v>
      </c>
    </row>
    <row r="19" spans="1:14" ht="15.75" thickBot="1">
      <c r="A19" s="72" t="s">
        <v>37</v>
      </c>
      <c r="B19" s="73">
        <f>B18+B12+B8+B2</f>
        <v>676</v>
      </c>
      <c r="C19" s="73">
        <f>C18+C12+C8+C2</f>
        <v>280</v>
      </c>
      <c r="D19" s="74">
        <f>C19/(C19+B19)</f>
        <v>0.29288702928870292</v>
      </c>
      <c r="E19" s="73">
        <f>E18+E12+E8+E2</f>
        <v>506</v>
      </c>
      <c r="F19" s="73">
        <f>F18+F12+F8+F2</f>
        <v>305</v>
      </c>
      <c r="G19" s="73">
        <f>G18+G12+G8+G2</f>
        <v>45</v>
      </c>
      <c r="H19" s="73">
        <f>H18+H12+H8+H2</f>
        <v>856</v>
      </c>
      <c r="I19" s="74">
        <f t="shared" ref="I19" si="11">F19/H19</f>
        <v>0.35630841121495327</v>
      </c>
      <c r="J19" s="74">
        <f t="shared" ref="J19" si="12">G19/H19</f>
        <v>5.2570093457943924E-2</v>
      </c>
      <c r="K19" s="73">
        <f>K18+K12+K8+K2</f>
        <v>100</v>
      </c>
      <c r="L19" s="73">
        <f>L18+L12+L8+L2</f>
        <v>865</v>
      </c>
      <c r="M19" s="73">
        <f>M18+M12+M8+M2</f>
        <v>91</v>
      </c>
      <c r="N19" s="73">
        <f>N18+N12+N8+N2</f>
        <v>956</v>
      </c>
    </row>
    <row r="23" spans="1:14">
      <c r="L23" s="1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abSelected="1" workbookViewId="0">
      <selection activeCell="O24" sqref="O24"/>
    </sheetView>
  </sheetViews>
  <sheetFormatPr baseColWidth="10" defaultColWidth="9.140625" defaultRowHeight="15"/>
  <cols>
    <col min="1" max="1" width="25.85546875" style="97" customWidth="1"/>
    <col min="2" max="3" width="9.140625" style="97"/>
    <col min="4" max="4" width="9.140625" style="137"/>
    <col min="5" max="5" width="0" style="97" hidden="1" customWidth="1"/>
    <col min="6" max="6" width="9.140625" style="97"/>
    <col min="7" max="8" width="0" style="97" hidden="1" customWidth="1"/>
    <col min="9" max="9" width="9.140625" style="137"/>
    <col min="10" max="10" width="0" style="137" hidden="1" customWidth="1"/>
    <col min="11" max="11" width="0" style="97" hidden="1" customWidth="1"/>
    <col min="12" max="13" width="9.140625" style="97"/>
    <col min="14" max="14" width="0" style="97" hidden="1" customWidth="1"/>
    <col min="15" max="16384" width="9.140625" style="97"/>
  </cols>
  <sheetData>
    <row r="1" spans="1:14" ht="15.75">
      <c r="A1" s="59"/>
      <c r="B1" s="60" t="s">
        <v>20</v>
      </c>
      <c r="C1" s="61" t="s">
        <v>14</v>
      </c>
      <c r="D1" s="62" t="s">
        <v>15</v>
      </c>
      <c r="E1" s="63" t="s">
        <v>16</v>
      </c>
      <c r="F1" s="60" t="s">
        <v>7</v>
      </c>
      <c r="G1" s="60" t="s">
        <v>17</v>
      </c>
      <c r="H1" s="60" t="s">
        <v>25</v>
      </c>
      <c r="I1" s="62" t="s">
        <v>27</v>
      </c>
      <c r="J1" s="62" t="s">
        <v>28</v>
      </c>
      <c r="K1" s="60" t="s">
        <v>19</v>
      </c>
      <c r="L1" s="60" t="s">
        <v>21</v>
      </c>
      <c r="M1" s="60" t="s">
        <v>22</v>
      </c>
      <c r="N1" s="40" t="s">
        <v>26</v>
      </c>
    </row>
    <row r="2" spans="1:14">
      <c r="A2" s="152" t="s">
        <v>38</v>
      </c>
      <c r="B2" s="147">
        <f>Ferney!S15</f>
        <v>66</v>
      </c>
      <c r="C2" s="148">
        <f>Ferney!T15</f>
        <v>36</v>
      </c>
      <c r="D2" s="149">
        <f>Ferney!U15</f>
        <v>0.35294117647058826</v>
      </c>
      <c r="E2" s="150">
        <f>Ferney!V15</f>
        <v>44</v>
      </c>
      <c r="F2" s="150">
        <f>Ferney!W15</f>
        <v>46</v>
      </c>
      <c r="G2" s="150">
        <f>Ferney!X15</f>
        <v>9</v>
      </c>
      <c r="H2" s="150">
        <f>Ferney!Y15</f>
        <v>99</v>
      </c>
      <c r="I2" s="151">
        <f>Ferney!Z15</f>
        <v>0.46464646464646464</v>
      </c>
      <c r="J2" s="151">
        <f>Ferney!AA15</f>
        <v>9.0909090909090912E-2</v>
      </c>
      <c r="K2" s="150">
        <f>Ferney!AB15</f>
        <v>3</v>
      </c>
      <c r="L2" s="150">
        <f>Ferney!AC15</f>
        <v>97</v>
      </c>
      <c r="M2" s="150">
        <f>Ferney!AD15</f>
        <v>5</v>
      </c>
      <c r="N2" s="150">
        <f>Ferney!AE15</f>
        <v>102</v>
      </c>
    </row>
    <row r="3" spans="1:14">
      <c r="A3" s="64"/>
      <c r="B3" s="64"/>
      <c r="C3" s="54"/>
      <c r="D3" s="65"/>
      <c r="E3" s="55"/>
      <c r="F3" s="64"/>
      <c r="G3" s="64"/>
      <c r="H3" s="64"/>
      <c r="I3" s="65"/>
      <c r="J3" s="65"/>
      <c r="K3" s="64"/>
      <c r="L3" s="64"/>
      <c r="M3" s="64"/>
      <c r="N3" s="64"/>
    </row>
    <row r="4" spans="1:14">
      <c r="A4" s="64" t="s">
        <v>39</v>
      </c>
      <c r="B4" s="64">
        <f>'StGenis-&gt;Meyrin'!S15</f>
        <v>78</v>
      </c>
      <c r="C4" s="64">
        <f>'StGenis-&gt;Meyrin'!T15</f>
        <v>33</v>
      </c>
      <c r="D4" s="65">
        <f>'StGenis-&gt;Meyrin'!U15</f>
        <v>0.29729729729729731</v>
      </c>
      <c r="E4" s="64">
        <f>'StGenis-&gt;Meyrin'!V15</f>
        <v>43</v>
      </c>
      <c r="F4" s="64">
        <f>'StGenis-&gt;Meyrin'!W15</f>
        <v>53</v>
      </c>
      <c r="G4" s="64">
        <f>'StGenis-&gt;Meyrin'!X15</f>
        <v>6</v>
      </c>
      <c r="H4" s="64">
        <f>'StGenis-&gt;Meyrin'!Y15</f>
        <v>102</v>
      </c>
      <c r="I4" s="65">
        <f>'StGenis-&gt;Meyrin'!Z15</f>
        <v>0.51960784313725494</v>
      </c>
      <c r="J4" s="65">
        <f>'StGenis-&gt;Meyrin'!AA15</f>
        <v>5.8823529411764705E-2</v>
      </c>
      <c r="K4" s="64">
        <f>'StGenis-&gt;Meyrin'!AB15</f>
        <v>9</v>
      </c>
      <c r="L4" s="64">
        <f>'StGenis-&gt;Meyrin'!AC15</f>
        <v>103</v>
      </c>
      <c r="M4" s="64">
        <f>'StGenis-&gt;Meyrin'!AD15</f>
        <v>8</v>
      </c>
      <c r="N4" s="64">
        <f>'StGenis-&gt;Meyrin'!AE15</f>
        <v>111</v>
      </c>
    </row>
    <row r="5" spans="1:14">
      <c r="A5" s="64" t="s">
        <v>40</v>
      </c>
      <c r="B5" s="64">
        <f>'StGenis-&gt;Bourdigny'!S15</f>
        <v>12</v>
      </c>
      <c r="C5" s="64">
        <f>'StGenis-&gt;Bourdigny'!T15</f>
        <v>2</v>
      </c>
      <c r="D5" s="65">
        <f>'StGenis-&gt;Bourdigny'!U15</f>
        <v>0.14285714285714285</v>
      </c>
      <c r="E5" s="64">
        <f>'StGenis-&gt;Bourdigny'!V15</f>
        <v>12</v>
      </c>
      <c r="F5" s="64">
        <f>'StGenis-&gt;Bourdigny'!W15</f>
        <v>2</v>
      </c>
      <c r="G5" s="64">
        <f>'StGenis-&gt;Bourdigny'!X15</f>
        <v>0</v>
      </c>
      <c r="H5" s="64">
        <f>'StGenis-&gt;Bourdigny'!Y15</f>
        <v>14</v>
      </c>
      <c r="I5" s="65">
        <f>'StGenis-&gt;Bourdigny'!Z15</f>
        <v>0.14285714285714285</v>
      </c>
      <c r="J5" s="65">
        <f>'StGenis-&gt;Bourdigny'!AA15</f>
        <v>0</v>
      </c>
      <c r="K5" s="64">
        <f>'StGenis-&gt;Bourdigny'!AB15</f>
        <v>0</v>
      </c>
      <c r="L5" s="64">
        <f>'StGenis-&gt;Bourdigny'!AC15</f>
        <v>12</v>
      </c>
      <c r="M5" s="64">
        <f>'StGenis-&gt;Bourdigny'!AD15</f>
        <v>2</v>
      </c>
      <c r="N5" s="64">
        <f>'StGenis-&gt;Bourdigny'!AE15</f>
        <v>14</v>
      </c>
    </row>
    <row r="6" spans="1:14">
      <c r="A6" s="64" t="s">
        <v>55</v>
      </c>
      <c r="B6" s="64">
        <f>'StGenis-&gt;CERN'!S15</f>
        <v>67</v>
      </c>
      <c r="C6" s="64">
        <f>'StGenis-&gt;CERN'!T15</f>
        <v>11</v>
      </c>
      <c r="D6" s="65">
        <f>'StGenis-&gt;CERN'!U15</f>
        <v>0.14102564102564102</v>
      </c>
      <c r="E6" s="64">
        <f>'StGenis-&gt;CERN'!V15</f>
        <v>48</v>
      </c>
      <c r="F6" s="64">
        <f>'StGenis-&gt;CERN'!W15</f>
        <v>2</v>
      </c>
      <c r="G6" s="64">
        <f>'StGenis-&gt;CERN'!X15</f>
        <v>1</v>
      </c>
      <c r="H6" s="64">
        <f>'StGenis-&gt;CERN'!Y15</f>
        <v>51</v>
      </c>
      <c r="I6" s="65">
        <f>'StGenis-&gt;CERN'!Z15</f>
        <v>3.9215686274509803E-2</v>
      </c>
      <c r="J6" s="65">
        <f>'StGenis-&gt;CERN'!AA15</f>
        <v>1.9607843137254902E-2</v>
      </c>
      <c r="K6" s="64">
        <f>'StGenis-&gt;CERN'!AB15</f>
        <v>27</v>
      </c>
      <c r="L6" s="64">
        <f>'StGenis-&gt;CERN'!AC15</f>
        <v>78</v>
      </c>
      <c r="M6" s="64">
        <f>'StGenis-&gt;CERN'!AD15</f>
        <v>0</v>
      </c>
      <c r="N6" s="64">
        <f>'StGenis-&gt;CERN'!AE15</f>
        <v>78</v>
      </c>
    </row>
    <row r="7" spans="1:14">
      <c r="A7" s="64" t="s">
        <v>56</v>
      </c>
      <c r="B7" s="64">
        <f>'RteEurope-&gt;Meyrin'!S15</f>
        <v>7</v>
      </c>
      <c r="C7" s="64">
        <f>'RteEurope-&gt;Meyrin'!T15</f>
        <v>0</v>
      </c>
      <c r="D7" s="65">
        <f>'RteEurope-&gt;Meyrin'!U15</f>
        <v>0</v>
      </c>
      <c r="E7" s="64">
        <f>'RteEurope-&gt;Meyrin'!V15</f>
        <v>6</v>
      </c>
      <c r="F7" s="64">
        <f>'RteEurope-&gt;Meyrin'!W15</f>
        <v>1</v>
      </c>
      <c r="G7" s="64">
        <f>'RteEurope-&gt;Meyrin'!X15</f>
        <v>0</v>
      </c>
      <c r="H7" s="64">
        <f>'RteEurope-&gt;Meyrin'!Y15</f>
        <v>7</v>
      </c>
      <c r="I7" s="65">
        <f>'RteEurope-&gt;Meyrin'!Z15</f>
        <v>0.14285714285714285</v>
      </c>
      <c r="J7" s="65">
        <f>'RteEurope-&gt;Meyrin'!AA15</f>
        <v>0</v>
      </c>
      <c r="K7" s="64">
        <f>'RteEurope-&gt;Meyrin'!AB15</f>
        <v>0</v>
      </c>
      <c r="L7" s="64">
        <f>'RteEurope-&gt;Meyrin'!AC15</f>
        <v>2</v>
      </c>
      <c r="M7" s="64">
        <f>'RteEurope-&gt;Meyrin'!AD15</f>
        <v>5</v>
      </c>
      <c r="N7" s="64">
        <f>'RteEurope-&gt;Meyrin'!AE15</f>
        <v>7</v>
      </c>
    </row>
    <row r="8" spans="1:14">
      <c r="A8" s="146" t="s">
        <v>41</v>
      </c>
      <c r="B8" s="147">
        <f>SUM(B4:B7)</f>
        <v>164</v>
      </c>
      <c r="C8" s="148">
        <f>SUM(C4:C6)</f>
        <v>46</v>
      </c>
      <c r="D8" s="149">
        <f>C8/(C8+B8)</f>
        <v>0.21904761904761905</v>
      </c>
      <c r="E8" s="150">
        <f>SUM(E4:E7)</f>
        <v>109</v>
      </c>
      <c r="F8" s="150">
        <f>SUM(F4:F7)</f>
        <v>58</v>
      </c>
      <c r="G8" s="150">
        <f t="shared" ref="G8:H8" si="0">SUM(G4:G7)</f>
        <v>7</v>
      </c>
      <c r="H8" s="150">
        <f t="shared" si="0"/>
        <v>174</v>
      </c>
      <c r="I8" s="151">
        <f t="shared" ref="I8" si="1">F8/H8</f>
        <v>0.33333333333333331</v>
      </c>
      <c r="J8" s="151">
        <f t="shared" ref="J8" si="2">G8/H8</f>
        <v>4.0229885057471264E-2</v>
      </c>
      <c r="K8" s="150">
        <f t="shared" ref="K8:N8" si="3">SUM(K4:K7)</f>
        <v>36</v>
      </c>
      <c r="L8" s="150">
        <f t="shared" si="3"/>
        <v>195</v>
      </c>
      <c r="M8" s="150">
        <f t="shared" si="3"/>
        <v>15</v>
      </c>
      <c r="N8" s="150">
        <f t="shared" si="3"/>
        <v>210</v>
      </c>
    </row>
    <row r="9" spans="1:14">
      <c r="A9" s="64"/>
      <c r="B9" s="64"/>
      <c r="C9" s="54"/>
      <c r="D9" s="65"/>
      <c r="E9" s="55"/>
      <c r="F9" s="64"/>
      <c r="G9" s="64"/>
      <c r="H9" s="64"/>
      <c r="I9" s="65"/>
      <c r="J9" s="65"/>
      <c r="K9" s="64"/>
      <c r="L9" s="64"/>
      <c r="M9" s="64"/>
      <c r="N9" s="64"/>
    </row>
    <row r="10" spans="1:14">
      <c r="A10" s="64" t="s">
        <v>42</v>
      </c>
      <c r="B10" s="64">
        <f>MategninAnneaux!S15</f>
        <v>58</v>
      </c>
      <c r="C10" s="64">
        <f>MategninAnneaux!T15</f>
        <v>28</v>
      </c>
      <c r="D10" s="65">
        <f>MategninAnneaux!U15</f>
        <v>0.32558139534883723</v>
      </c>
      <c r="E10" s="64">
        <f>MategninAnneaux!V15</f>
        <v>39</v>
      </c>
      <c r="F10" s="64">
        <f>MategninAnneaux!W15</f>
        <v>34</v>
      </c>
      <c r="G10" s="64">
        <f>MategninAnneaux!X15</f>
        <v>5</v>
      </c>
      <c r="H10" s="64">
        <f>MategninAnneaux!Y15</f>
        <v>78</v>
      </c>
      <c r="I10" s="65">
        <f>MategninAnneaux!Z15</f>
        <v>0.4358974358974359</v>
      </c>
      <c r="J10" s="65">
        <f>MategninAnneaux!AA15</f>
        <v>6.4102564102564097E-2</v>
      </c>
      <c r="K10" s="64">
        <f>MategninAnneaux!AB15</f>
        <v>8</v>
      </c>
      <c r="L10" s="64">
        <f>MategninAnneaux!AC15</f>
        <v>72</v>
      </c>
      <c r="M10" s="64">
        <f>MategninAnneaux!AD15</f>
        <v>14</v>
      </c>
      <c r="N10" s="64">
        <f>MategninAnneaux!AE15</f>
        <v>86</v>
      </c>
    </row>
    <row r="11" spans="1:14">
      <c r="A11" s="64" t="s">
        <v>43</v>
      </c>
      <c r="B11" s="64">
        <f>MategninDouane!S15</f>
        <v>30</v>
      </c>
      <c r="C11" s="64">
        <f>MategninDouane!T15</f>
        <v>15</v>
      </c>
      <c r="D11" s="65">
        <f>MategninDouane!U15</f>
        <v>0.33333333333333331</v>
      </c>
      <c r="E11" s="64">
        <f>MategninDouane!V15</f>
        <v>25</v>
      </c>
      <c r="F11" s="64">
        <f>MategninDouane!W15</f>
        <v>11</v>
      </c>
      <c r="G11" s="64">
        <f>MategninDouane!X15</f>
        <v>0</v>
      </c>
      <c r="H11" s="64">
        <f>MategninDouane!Y15</f>
        <v>36</v>
      </c>
      <c r="I11" s="65">
        <f>MategninDouane!Z15</f>
        <v>0.30555555555555558</v>
      </c>
      <c r="J11" s="65">
        <f>MategninDouane!AA15</f>
        <v>0</v>
      </c>
      <c r="K11" s="64">
        <f>MategninDouane!AB15</f>
        <v>9</v>
      </c>
      <c r="L11" s="64">
        <f>MategninDouane!AC15</f>
        <v>33</v>
      </c>
      <c r="M11" s="64">
        <f>MategninDouane!AD15</f>
        <v>12</v>
      </c>
      <c r="N11" s="64">
        <f>MategninDouane!AE15</f>
        <v>45</v>
      </c>
    </row>
    <row r="12" spans="1:14">
      <c r="A12" s="146" t="s">
        <v>44</v>
      </c>
      <c r="B12" s="152">
        <f>SUM(B10:B11)</f>
        <v>88</v>
      </c>
      <c r="C12" s="152">
        <f t="shared" ref="C12:N12" si="4">SUM(C10:C11)</f>
        <v>43</v>
      </c>
      <c r="D12" s="149">
        <f>C12/(C12+B12)</f>
        <v>0.3282442748091603</v>
      </c>
      <c r="E12" s="152">
        <f t="shared" si="4"/>
        <v>64</v>
      </c>
      <c r="F12" s="152">
        <f t="shared" si="4"/>
        <v>45</v>
      </c>
      <c r="G12" s="152">
        <f t="shared" si="4"/>
        <v>5</v>
      </c>
      <c r="H12" s="152">
        <f t="shared" si="4"/>
        <v>114</v>
      </c>
      <c r="I12" s="151">
        <f t="shared" ref="I12" si="5">F12/H12</f>
        <v>0.39473684210526316</v>
      </c>
      <c r="J12" s="151">
        <f t="shared" ref="J12" si="6">G12/H12</f>
        <v>4.3859649122807015E-2</v>
      </c>
      <c r="K12" s="152">
        <f t="shared" si="4"/>
        <v>17</v>
      </c>
      <c r="L12" s="152">
        <f t="shared" si="4"/>
        <v>105</v>
      </c>
      <c r="M12" s="152">
        <f t="shared" si="4"/>
        <v>26</v>
      </c>
      <c r="N12" s="152">
        <f t="shared" si="4"/>
        <v>131</v>
      </c>
    </row>
    <row r="13" spans="1:14">
      <c r="A13" s="64"/>
      <c r="B13" s="64"/>
      <c r="C13" s="54"/>
      <c r="D13" s="65"/>
      <c r="E13" s="55"/>
      <c r="F13" s="64"/>
      <c r="G13" s="64"/>
      <c r="H13" s="64"/>
      <c r="I13" s="65"/>
      <c r="J13" s="65"/>
      <c r="K13" s="64"/>
      <c r="L13" s="64"/>
      <c r="M13" s="64"/>
      <c r="N13" s="64"/>
    </row>
    <row r="14" spans="1:14">
      <c r="A14" s="64" t="s">
        <v>48</v>
      </c>
      <c r="B14" s="64">
        <f>Versonnex!S15</f>
        <v>11</v>
      </c>
      <c r="C14" s="64">
        <f>Versonnex!T15</f>
        <v>9</v>
      </c>
      <c r="D14" s="65">
        <f>Versonnex!U15</f>
        <v>0.45</v>
      </c>
      <c r="E14" s="64">
        <f>Versonnex!V15</f>
        <v>10</v>
      </c>
      <c r="F14" s="64">
        <f>Versonnex!W15</f>
        <v>10</v>
      </c>
      <c r="G14" s="64">
        <f>Versonnex!X15</f>
        <v>0</v>
      </c>
      <c r="H14" s="64">
        <f>Versonnex!Y15</f>
        <v>20</v>
      </c>
      <c r="I14" s="65">
        <f>Versonnex!Z15</f>
        <v>0.5</v>
      </c>
      <c r="J14" s="65">
        <f>Versonnex!AA15</f>
        <v>0</v>
      </c>
      <c r="K14" s="64">
        <f>Versonnex!AB15</f>
        <v>0</v>
      </c>
      <c r="L14" s="64">
        <f>Versonnex!AC15</f>
        <v>15</v>
      </c>
      <c r="M14" s="64">
        <f>Versonnex!AD15</f>
        <v>5</v>
      </c>
      <c r="N14" s="64">
        <f>Versonnex!AE15</f>
        <v>20</v>
      </c>
    </row>
    <row r="15" spans="1:14">
      <c r="A15" s="64" t="s">
        <v>49</v>
      </c>
      <c r="B15" s="64">
        <f>Sauverny!S15</f>
        <v>19</v>
      </c>
      <c r="C15" s="64">
        <f>Sauverny!T15</f>
        <v>8</v>
      </c>
      <c r="D15" s="65">
        <f>Sauverny!U15</f>
        <v>0.29629629629629628</v>
      </c>
      <c r="E15" s="64">
        <f>Sauverny!V15</f>
        <v>9</v>
      </c>
      <c r="F15" s="64">
        <f>Sauverny!W15</f>
        <v>8</v>
      </c>
      <c r="G15" s="64">
        <f>Sauverny!X15</f>
        <v>1</v>
      </c>
      <c r="H15" s="64">
        <f>Sauverny!Y15</f>
        <v>18</v>
      </c>
      <c r="I15" s="65">
        <f>Sauverny!Z15</f>
        <v>0.44444444444444442</v>
      </c>
      <c r="J15" s="65">
        <f>Sauverny!AA15</f>
        <v>5.5555555555555552E-2</v>
      </c>
      <c r="K15" s="64">
        <f>Sauverny!AB15</f>
        <v>9</v>
      </c>
      <c r="L15" s="64">
        <f>Sauverny!AC15</f>
        <v>25</v>
      </c>
      <c r="M15" s="64">
        <f>Sauverny!AD15</f>
        <v>2</v>
      </c>
      <c r="N15" s="64">
        <f>Sauverny!AE15</f>
        <v>27</v>
      </c>
    </row>
    <row r="16" spans="1:14">
      <c r="A16" s="64" t="s">
        <v>52</v>
      </c>
      <c r="B16" s="64">
        <f>'Divonne-&gt;Chavanne'!S15</f>
        <v>0</v>
      </c>
      <c r="C16" s="54"/>
      <c r="D16" s="65"/>
      <c r="E16" s="55"/>
      <c r="F16" s="64"/>
      <c r="G16" s="64"/>
      <c r="H16" s="64"/>
      <c r="I16" s="65"/>
      <c r="J16" s="65"/>
      <c r="K16" s="64"/>
      <c r="L16" s="64"/>
      <c r="M16" s="64"/>
      <c r="N16" s="64"/>
    </row>
    <row r="17" spans="1:14">
      <c r="A17" s="64" t="s">
        <v>45</v>
      </c>
      <c r="B17" s="64">
        <f>Crassy!S15</f>
        <v>0</v>
      </c>
      <c r="C17" s="54"/>
      <c r="D17" s="65"/>
      <c r="E17" s="55"/>
      <c r="F17" s="64"/>
      <c r="G17" s="64"/>
      <c r="H17" s="64"/>
      <c r="I17" s="65"/>
      <c r="J17" s="65"/>
      <c r="K17" s="64"/>
      <c r="L17" s="64"/>
      <c r="M17" s="64"/>
      <c r="N17" s="64"/>
    </row>
    <row r="18" spans="1:14">
      <c r="A18" s="66" t="s">
        <v>53</v>
      </c>
      <c r="B18" s="67">
        <f>SUM(B14:B17)</f>
        <v>30</v>
      </c>
      <c r="C18" s="68">
        <f>SUM(C14:C16)</f>
        <v>17</v>
      </c>
      <c r="D18" s="69">
        <f>C18/(C18+B18)</f>
        <v>0.36170212765957449</v>
      </c>
      <c r="E18" s="70">
        <f t="shared" ref="E18:H18" si="7">SUM(E14:E16)</f>
        <v>19</v>
      </c>
      <c r="F18" s="67">
        <f t="shared" si="7"/>
        <v>18</v>
      </c>
      <c r="G18" s="67">
        <f t="shared" si="7"/>
        <v>1</v>
      </c>
      <c r="H18" s="67">
        <f t="shared" si="7"/>
        <v>38</v>
      </c>
      <c r="I18" s="71">
        <f t="shared" ref="I18:I19" si="8">F18/H18</f>
        <v>0.47368421052631576</v>
      </c>
      <c r="J18" s="71">
        <f t="shared" ref="J18:J19" si="9">G18/H18</f>
        <v>2.6315789473684209E-2</v>
      </c>
      <c r="K18" s="67">
        <f t="shared" ref="K18:N18" si="10">SUM(K14:K16)</f>
        <v>9</v>
      </c>
      <c r="L18" s="67">
        <f t="shared" si="10"/>
        <v>40</v>
      </c>
      <c r="M18" s="67">
        <f t="shared" si="10"/>
        <v>7</v>
      </c>
      <c r="N18" s="67">
        <f t="shared" si="10"/>
        <v>47</v>
      </c>
    </row>
    <row r="19" spans="1:14" ht="15.75" thickBot="1">
      <c r="A19" s="72" t="s">
        <v>37</v>
      </c>
      <c r="B19" s="73">
        <f>B18+B12+B8+B2</f>
        <v>348</v>
      </c>
      <c r="C19" s="73">
        <f>C18+C12+C8+C2</f>
        <v>142</v>
      </c>
      <c r="D19" s="74">
        <f>C19/(C19+B19)</f>
        <v>0.28979591836734692</v>
      </c>
      <c r="E19" s="73">
        <f>E18+E12+E8+E2</f>
        <v>236</v>
      </c>
      <c r="F19" s="73">
        <f>F18+F12+F8+F2</f>
        <v>167</v>
      </c>
      <c r="G19" s="73">
        <f>G18+G12+G8+G2</f>
        <v>22</v>
      </c>
      <c r="H19" s="73">
        <f>H18+H12+H8+H2</f>
        <v>425</v>
      </c>
      <c r="I19" s="74">
        <f t="shared" si="8"/>
        <v>0.39294117647058824</v>
      </c>
      <c r="J19" s="74">
        <f t="shared" si="9"/>
        <v>5.1764705882352942E-2</v>
      </c>
      <c r="K19" s="73">
        <f>K18+K12+K8+K2</f>
        <v>65</v>
      </c>
      <c r="L19" s="73">
        <f>L18+L12+L8+L2</f>
        <v>437</v>
      </c>
      <c r="M19" s="73">
        <f>M18+M12+M8+M2</f>
        <v>53</v>
      </c>
      <c r="N19" s="73">
        <f>N18+N12+N8+N2</f>
        <v>490</v>
      </c>
    </row>
    <row r="23" spans="1:14">
      <c r="L23" s="137"/>
    </row>
  </sheetData>
  <pageMargins left="0.7" right="0.7" top="0.75" bottom="0.75" header="0.3" footer="0.3"/>
  <ignoredErrors>
    <ignoredError sqref="D18:D1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1"/>
  <sheetViews>
    <sheetView workbookViewId="0">
      <selection activeCell="L10" sqref="L10"/>
    </sheetView>
  </sheetViews>
  <sheetFormatPr baseColWidth="10" defaultColWidth="9.140625" defaultRowHeight="15"/>
  <cols>
    <col min="1" max="1" width="10.28515625" customWidth="1"/>
    <col min="2" max="17" width="5" customWidth="1"/>
    <col min="47" max="59" width="8.85546875" style="97"/>
  </cols>
  <sheetData>
    <row r="1" spans="1:59" ht="30.6" customHeight="1" thickBot="1">
      <c r="B1" s="11" t="s">
        <v>11</v>
      </c>
      <c r="C1" s="12" t="s">
        <v>51</v>
      </c>
    </row>
    <row r="2" spans="1:59" s="10" customFormat="1" ht="21.75" thickBot="1">
      <c r="A2" s="9"/>
      <c r="B2" s="141" t="s">
        <v>5</v>
      </c>
      <c r="C2" s="143"/>
      <c r="D2" s="143"/>
      <c r="E2" s="143"/>
      <c r="F2" s="143"/>
      <c r="G2" s="143"/>
      <c r="H2" s="143"/>
      <c r="I2" s="144"/>
      <c r="J2" s="141" t="s">
        <v>6</v>
      </c>
      <c r="K2" s="143"/>
      <c r="L2" s="143"/>
      <c r="M2" s="143"/>
      <c r="N2" s="143"/>
      <c r="O2" s="143"/>
      <c r="P2" s="143"/>
      <c r="Q2" s="144"/>
      <c r="R2" s="97"/>
      <c r="S2" s="138" t="str">
        <f xml:space="preserve"> "Totaux 2021 " &amp; $C1</f>
        <v>Totaux 2021 APiCy Frontière Total</v>
      </c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G2" s="138" t="str">
        <f xml:space="preserve"> "Totaux 2020 " &amp; $C1</f>
        <v>Totaux 2020 APiCy Frontière Total</v>
      </c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U2" s="139" t="str">
        <f xml:space="preserve"> "Changement depuis 2020 " &amp; $C1</f>
        <v>Changement depuis 2020 APiCy Frontière Total</v>
      </c>
      <c r="AV2" s="140"/>
      <c r="AW2" s="140"/>
      <c r="AX2" s="140"/>
      <c r="AY2" s="140"/>
      <c r="AZ2" s="140"/>
      <c r="BA2" s="140"/>
      <c r="BB2" s="140"/>
      <c r="BC2" s="140"/>
      <c r="BD2" s="140"/>
      <c r="BE2" s="140"/>
      <c r="BF2" s="140"/>
      <c r="BG2" s="115"/>
    </row>
    <row r="3" spans="1:59" s="10" customFormat="1" ht="68.45" customHeight="1">
      <c r="A3" s="9"/>
      <c r="B3" s="141" t="s">
        <v>9</v>
      </c>
      <c r="C3" s="144"/>
      <c r="D3" s="145" t="s">
        <v>7</v>
      </c>
      <c r="E3" s="142"/>
      <c r="F3" s="145" t="s">
        <v>8</v>
      </c>
      <c r="G3" s="142"/>
      <c r="H3" s="141" t="s">
        <v>0</v>
      </c>
      <c r="I3" s="142"/>
      <c r="J3" s="141" t="s">
        <v>4</v>
      </c>
      <c r="K3" s="144"/>
      <c r="L3" s="145" t="s">
        <v>7</v>
      </c>
      <c r="M3" s="142"/>
      <c r="N3" s="145" t="s">
        <v>10</v>
      </c>
      <c r="O3" s="142"/>
      <c r="P3" s="141" t="s">
        <v>0</v>
      </c>
      <c r="Q3" s="142"/>
      <c r="R3"/>
      <c r="S3" s="26" t="s">
        <v>20</v>
      </c>
      <c r="T3" s="27" t="s">
        <v>14</v>
      </c>
      <c r="U3" s="27" t="s">
        <v>15</v>
      </c>
      <c r="V3" s="27" t="s">
        <v>16</v>
      </c>
      <c r="W3" s="27" t="s">
        <v>7</v>
      </c>
      <c r="X3" s="27" t="s">
        <v>17</v>
      </c>
      <c r="Y3" s="27" t="s">
        <v>25</v>
      </c>
      <c r="Z3" s="27" t="s">
        <v>27</v>
      </c>
      <c r="AA3" s="27" t="s">
        <v>28</v>
      </c>
      <c r="AB3" s="27" t="s">
        <v>19</v>
      </c>
      <c r="AC3" s="27" t="s">
        <v>21</v>
      </c>
      <c r="AD3" s="28" t="s">
        <v>22</v>
      </c>
      <c r="AE3" s="40" t="s">
        <v>26</v>
      </c>
      <c r="AG3" s="10" t="s">
        <v>20</v>
      </c>
      <c r="AH3" s="10" t="s">
        <v>14</v>
      </c>
      <c r="AI3" s="10" t="s">
        <v>15</v>
      </c>
      <c r="AJ3" s="10" t="s">
        <v>16</v>
      </c>
      <c r="AK3" s="10" t="s">
        <v>7</v>
      </c>
      <c r="AL3" s="10" t="s">
        <v>17</v>
      </c>
      <c r="AM3" s="10" t="s">
        <v>25</v>
      </c>
      <c r="AN3" s="10" t="s">
        <v>27</v>
      </c>
      <c r="AO3" s="10" t="s">
        <v>28</v>
      </c>
      <c r="AP3" s="10" t="s">
        <v>19</v>
      </c>
      <c r="AQ3" s="10" t="s">
        <v>21</v>
      </c>
      <c r="AR3" s="10" t="s">
        <v>22</v>
      </c>
      <c r="AS3" s="10" t="s">
        <v>26</v>
      </c>
      <c r="AU3" s="117" t="s">
        <v>20</v>
      </c>
      <c r="AV3" s="116" t="s">
        <v>14</v>
      </c>
      <c r="AW3" s="116" t="s">
        <v>15</v>
      </c>
      <c r="AX3" s="116" t="s">
        <v>16</v>
      </c>
      <c r="AY3" s="116" t="s">
        <v>7</v>
      </c>
      <c r="AZ3" s="116" t="s">
        <v>17</v>
      </c>
      <c r="BA3" s="116" t="s">
        <v>25</v>
      </c>
      <c r="BB3" s="116" t="s">
        <v>27</v>
      </c>
      <c r="BC3" s="116" t="s">
        <v>28</v>
      </c>
      <c r="BD3" s="116" t="s">
        <v>19</v>
      </c>
      <c r="BE3" s="116" t="s">
        <v>21</v>
      </c>
      <c r="BF3" s="116" t="s">
        <v>22</v>
      </c>
      <c r="BG3" s="118" t="s">
        <v>26</v>
      </c>
    </row>
    <row r="4" spans="1:59" ht="21" thickBot="1">
      <c r="A4" s="1" t="s">
        <v>3</v>
      </c>
      <c r="B4" s="2" t="s">
        <v>1</v>
      </c>
      <c r="C4" s="4" t="s">
        <v>2</v>
      </c>
      <c r="D4" s="2" t="s">
        <v>1</v>
      </c>
      <c r="E4" s="4" t="s">
        <v>2</v>
      </c>
      <c r="F4" s="2" t="s">
        <v>1</v>
      </c>
      <c r="G4" s="4" t="s">
        <v>2</v>
      </c>
      <c r="H4" s="2" t="s">
        <v>1</v>
      </c>
      <c r="I4" s="3" t="s">
        <v>2</v>
      </c>
      <c r="J4" s="2" t="s">
        <v>1</v>
      </c>
      <c r="K4" s="4" t="s">
        <v>2</v>
      </c>
      <c r="L4" s="2" t="s">
        <v>1</v>
      </c>
      <c r="M4" s="4" t="s">
        <v>2</v>
      </c>
      <c r="N4" s="2" t="s">
        <v>1</v>
      </c>
      <c r="O4" s="4" t="s">
        <v>2</v>
      </c>
      <c r="P4" s="2" t="s">
        <v>1</v>
      </c>
      <c r="Q4" s="3" t="s">
        <v>2</v>
      </c>
      <c r="S4" s="29"/>
      <c r="T4" s="19"/>
      <c r="U4" s="25"/>
      <c r="V4" s="19"/>
      <c r="W4" s="19"/>
      <c r="X4" s="19"/>
      <c r="Y4" s="19"/>
      <c r="Z4" s="19"/>
      <c r="AA4" s="19"/>
      <c r="AB4" s="19"/>
      <c r="AC4" s="19"/>
      <c r="AD4" s="30"/>
      <c r="AE4" s="41"/>
      <c r="AU4" s="2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30"/>
    </row>
    <row r="5" spans="1:59" ht="21" customHeight="1" thickBot="1">
      <c r="A5" s="13">
        <v>0.29166666666666669</v>
      </c>
      <c r="B5" s="15">
        <f>Ferney!B5+'StGenis total'!B5+'PdG Nord'!B5+'Mategnin Total'!B5</f>
        <v>33</v>
      </c>
      <c r="C5" s="15">
        <f>Ferney!C5+'StGenis total'!C5+'PdG Nord'!C5+'Mategnin Total'!C5</f>
        <v>10</v>
      </c>
      <c r="D5" s="15">
        <f>Ferney!D5+'StGenis total'!D5+'PdG Nord'!D5+'Mategnin Total'!D5</f>
        <v>17</v>
      </c>
      <c r="E5" s="15">
        <f>Ferney!E5+'StGenis total'!E5+'PdG Nord'!E5+'Mategnin Total'!E5</f>
        <v>11</v>
      </c>
      <c r="F5" s="15">
        <f>Ferney!F5+'StGenis total'!F5+'PdG Nord'!F5+'Mategnin Total'!F5</f>
        <v>6</v>
      </c>
      <c r="G5" s="15">
        <f>Ferney!G5+'StGenis total'!G5+'PdG Nord'!G5+'Mategnin Total'!G5</f>
        <v>0</v>
      </c>
      <c r="H5" s="15">
        <f>Ferney!H5+'StGenis total'!H5+'PdG Nord'!H5+'Mategnin Total'!H5</f>
        <v>2</v>
      </c>
      <c r="I5" s="15">
        <f>Ferney!I5+'StGenis total'!I5+'PdG Nord'!I5+'Mategnin Total'!I5</f>
        <v>0</v>
      </c>
      <c r="J5" s="15">
        <f>Ferney!J5+'StGenis total'!J5+'PdG Nord'!J5+'Mategnin Total'!J5</f>
        <v>2</v>
      </c>
      <c r="K5" s="15">
        <f>Ferney!K5+'StGenis total'!K5+'PdG Nord'!K5+'Mategnin Total'!K5</f>
        <v>1</v>
      </c>
      <c r="L5" s="15">
        <f>Ferney!L5+'StGenis total'!L5+'PdG Nord'!L5+'Mategnin Total'!L5</f>
        <v>1</v>
      </c>
      <c r="M5" s="15">
        <f>Ferney!M5+'StGenis total'!M5+'PdG Nord'!M5+'Mategnin Total'!M5</f>
        <v>1</v>
      </c>
      <c r="N5" s="15">
        <f>Ferney!N5+'StGenis total'!N5+'PdG Nord'!N5+'Mategnin Total'!N5</f>
        <v>0</v>
      </c>
      <c r="O5" s="15">
        <f>Ferney!O5+'StGenis total'!O5+'PdG Nord'!O5+'Mategnin Total'!O5</f>
        <v>0</v>
      </c>
      <c r="P5" s="15">
        <f>Ferney!P5+'StGenis total'!P5+'PdG Nord'!P5+'Mategnin Total'!P5</f>
        <v>0</v>
      </c>
      <c r="Q5" s="15">
        <f>Ferney!Q5+'StGenis total'!Q5+'PdG Nord'!Q5+'Mategnin Total'!Q5</f>
        <v>0</v>
      </c>
      <c r="S5" s="29">
        <f t="shared" ref="S5:T11" si="0">B5+D5+F5+H5+J5+L5+N5+P5</f>
        <v>61</v>
      </c>
      <c r="T5" s="19">
        <f t="shared" si="0"/>
        <v>23</v>
      </c>
      <c r="U5" s="25">
        <f t="shared" ref="U5:U11" si="1">T5/(T5+S5)</f>
        <v>0.27380952380952384</v>
      </c>
      <c r="V5" s="19">
        <f t="shared" ref="V5:V11" si="2">B5+C5+J5+K5</f>
        <v>46</v>
      </c>
      <c r="W5" s="19">
        <f t="shared" ref="W5:W11" si="3">D5+E5+L5+M5</f>
        <v>30</v>
      </c>
      <c r="X5" s="19">
        <f t="shared" ref="X5:X11" si="4">F5+G5+N5+O5</f>
        <v>6</v>
      </c>
      <c r="Y5" s="19">
        <f t="shared" ref="Y5:Y11" si="5">SUM(V5:X5)</f>
        <v>82</v>
      </c>
      <c r="Z5" s="43">
        <f>W5/Y5</f>
        <v>0.36585365853658536</v>
      </c>
      <c r="AA5" s="43">
        <f>X5/Y5</f>
        <v>7.3170731707317069E-2</v>
      </c>
      <c r="AB5" s="19">
        <f t="shared" ref="AB5:AB11" si="6">H5+I5+P5+Q5</f>
        <v>2</v>
      </c>
      <c r="AC5" s="19">
        <f t="shared" ref="AC5:AC11" si="7">SUM(B5:I5)</f>
        <v>79</v>
      </c>
      <c r="AD5" s="30">
        <f t="shared" ref="AD5:AD11" si="8">SUM(J5:Q5)</f>
        <v>5</v>
      </c>
      <c r="AE5" s="41">
        <f>SUM(B5:Q5)</f>
        <v>84</v>
      </c>
      <c r="AG5">
        <v>43</v>
      </c>
      <c r="AH5">
        <v>26</v>
      </c>
      <c r="AI5">
        <v>0.37681159420289856</v>
      </c>
      <c r="AJ5">
        <v>35</v>
      </c>
      <c r="AK5">
        <v>25</v>
      </c>
      <c r="AL5">
        <v>3</v>
      </c>
      <c r="AM5">
        <v>63</v>
      </c>
      <c r="AN5">
        <v>0.3968253968253968</v>
      </c>
      <c r="AO5">
        <v>4.7619047619047616E-2</v>
      </c>
      <c r="AP5">
        <v>6</v>
      </c>
      <c r="AQ5">
        <v>63</v>
      </c>
      <c r="AR5">
        <v>6</v>
      </c>
      <c r="AS5">
        <v>69</v>
      </c>
      <c r="AU5" s="119">
        <f>(S5/AG5) - 1</f>
        <v>0.41860465116279078</v>
      </c>
      <c r="AV5" s="43">
        <f t="shared" ref="AV5:BG15" si="9">(T5/AH5) - 1</f>
        <v>-0.11538461538461542</v>
      </c>
      <c r="AW5" s="43">
        <f t="shared" si="9"/>
        <v>-0.27335164835164827</v>
      </c>
      <c r="AX5" s="43">
        <f t="shared" si="9"/>
        <v>0.31428571428571428</v>
      </c>
      <c r="AY5" s="43">
        <f t="shared" si="9"/>
        <v>0.19999999999999996</v>
      </c>
      <c r="AZ5" s="43">
        <f t="shared" si="9"/>
        <v>1</v>
      </c>
      <c r="BA5" s="43">
        <f t="shared" si="9"/>
        <v>0.30158730158730163</v>
      </c>
      <c r="BB5" s="43">
        <f t="shared" si="9"/>
        <v>-7.8048780487804836E-2</v>
      </c>
      <c r="BC5" s="43">
        <f t="shared" si="9"/>
        <v>0.53658536585365857</v>
      </c>
      <c r="BD5" s="43">
        <f t="shared" si="9"/>
        <v>-0.66666666666666674</v>
      </c>
      <c r="BE5" s="43">
        <f t="shared" si="9"/>
        <v>0.25396825396825395</v>
      </c>
      <c r="BF5" s="43">
        <f t="shared" si="9"/>
        <v>-0.16666666666666663</v>
      </c>
      <c r="BG5" s="120">
        <f t="shared" si="9"/>
        <v>0.21739130434782616</v>
      </c>
    </row>
    <row r="6" spans="1:59" ht="21" customHeight="1" thickBot="1">
      <c r="A6" s="14">
        <v>0.30208333333333331</v>
      </c>
      <c r="B6" s="15">
        <f>Ferney!B6+'StGenis total'!B6+'PdG Nord'!B6+'Mategnin Total'!B6</f>
        <v>43</v>
      </c>
      <c r="C6" s="15">
        <f>Ferney!C6+'StGenis total'!C6+'PdG Nord'!C6+'Mategnin Total'!C6</f>
        <v>11</v>
      </c>
      <c r="D6" s="15">
        <f>Ferney!D6+'StGenis total'!D6+'PdG Nord'!D6+'Mategnin Total'!D6</f>
        <v>23</v>
      </c>
      <c r="E6" s="15">
        <f>Ferney!E6+'StGenis total'!E6+'PdG Nord'!E6+'Mategnin Total'!E6</f>
        <v>15</v>
      </c>
      <c r="F6" s="15">
        <f>Ferney!F6+'StGenis total'!F6+'PdG Nord'!F6+'Mategnin Total'!F6</f>
        <v>2</v>
      </c>
      <c r="G6" s="15">
        <f>Ferney!G6+'StGenis total'!G6+'PdG Nord'!G6+'Mategnin Total'!G6</f>
        <v>3</v>
      </c>
      <c r="H6" s="15">
        <f>Ferney!H6+'StGenis total'!H6+'PdG Nord'!H6+'Mategnin Total'!H6</f>
        <v>2</v>
      </c>
      <c r="I6" s="15">
        <f>Ferney!I6+'StGenis total'!I6+'PdG Nord'!I6+'Mategnin Total'!I6</f>
        <v>1</v>
      </c>
      <c r="J6" s="15">
        <f>Ferney!J6+'StGenis total'!J6+'PdG Nord'!J6+'Mategnin Total'!J6</f>
        <v>4</v>
      </c>
      <c r="K6" s="15">
        <f>Ferney!K6+'StGenis total'!K6+'PdG Nord'!K6+'Mategnin Total'!K6</f>
        <v>0</v>
      </c>
      <c r="L6" s="15">
        <f>Ferney!L6+'StGenis total'!L6+'PdG Nord'!L6+'Mategnin Total'!L6</f>
        <v>2</v>
      </c>
      <c r="M6" s="15">
        <f>Ferney!M6+'StGenis total'!M6+'PdG Nord'!M6+'Mategnin Total'!M6</f>
        <v>0</v>
      </c>
      <c r="N6" s="15">
        <f>Ferney!N6+'StGenis total'!N6+'PdG Nord'!N6+'Mategnin Total'!N6</f>
        <v>0</v>
      </c>
      <c r="O6" s="15">
        <f>Ferney!O6+'StGenis total'!O6+'PdG Nord'!O6+'Mategnin Total'!O6</f>
        <v>0</v>
      </c>
      <c r="P6" s="15">
        <f>Ferney!P6+'StGenis total'!P6+'PdG Nord'!P6+'Mategnin Total'!P6</f>
        <v>1</v>
      </c>
      <c r="Q6" s="15">
        <f>Ferney!Q6+'StGenis total'!Q6+'PdG Nord'!Q6+'Mategnin Total'!Q6</f>
        <v>0</v>
      </c>
      <c r="S6" s="29">
        <f t="shared" si="0"/>
        <v>77</v>
      </c>
      <c r="T6" s="19">
        <f t="shared" si="0"/>
        <v>30</v>
      </c>
      <c r="U6" s="25">
        <f t="shared" si="1"/>
        <v>0.28037383177570091</v>
      </c>
      <c r="V6" s="19">
        <f t="shared" si="2"/>
        <v>58</v>
      </c>
      <c r="W6" s="19">
        <f t="shared" si="3"/>
        <v>40</v>
      </c>
      <c r="X6" s="19">
        <f t="shared" si="4"/>
        <v>5</v>
      </c>
      <c r="Y6" s="19">
        <f t="shared" si="5"/>
        <v>103</v>
      </c>
      <c r="Z6" s="43">
        <f t="shared" ref="Z6:Z15" si="10">W6/Y6</f>
        <v>0.38834951456310679</v>
      </c>
      <c r="AA6" s="43">
        <f t="shared" ref="AA6:AA15" si="11">X6/Y6</f>
        <v>4.8543689320388349E-2</v>
      </c>
      <c r="AB6" s="19">
        <f t="shared" si="6"/>
        <v>4</v>
      </c>
      <c r="AC6" s="19">
        <f t="shared" si="7"/>
        <v>100</v>
      </c>
      <c r="AD6" s="30">
        <f t="shared" si="8"/>
        <v>7</v>
      </c>
      <c r="AE6" s="41">
        <f t="shared" ref="AE6:AE15" si="12">SUM(B6:Q6)</f>
        <v>107</v>
      </c>
      <c r="AG6">
        <v>67</v>
      </c>
      <c r="AH6">
        <v>30</v>
      </c>
      <c r="AI6">
        <v>0.30927835051546393</v>
      </c>
      <c r="AJ6">
        <v>54</v>
      </c>
      <c r="AK6">
        <v>28</v>
      </c>
      <c r="AL6">
        <v>5</v>
      </c>
      <c r="AM6">
        <v>87</v>
      </c>
      <c r="AN6">
        <v>0.32183908045977011</v>
      </c>
      <c r="AO6">
        <v>5.7471264367816091E-2</v>
      </c>
      <c r="AP6">
        <v>10</v>
      </c>
      <c r="AQ6">
        <v>87</v>
      </c>
      <c r="AR6">
        <v>10</v>
      </c>
      <c r="AS6">
        <v>97</v>
      </c>
      <c r="AU6" s="119">
        <f t="shared" ref="AU6:AU15" si="13">(S6/AG6) - 1</f>
        <v>0.14925373134328357</v>
      </c>
      <c r="AV6" s="43">
        <f t="shared" si="9"/>
        <v>0</v>
      </c>
      <c r="AW6" s="43">
        <f t="shared" si="9"/>
        <v>-9.3457943925233766E-2</v>
      </c>
      <c r="AX6" s="43">
        <f t="shared" si="9"/>
        <v>7.4074074074074181E-2</v>
      </c>
      <c r="AY6" s="43">
        <f t="shared" si="9"/>
        <v>0.4285714285714286</v>
      </c>
      <c r="AZ6" s="43">
        <f t="shared" si="9"/>
        <v>0</v>
      </c>
      <c r="BA6" s="43">
        <f t="shared" si="9"/>
        <v>0.18390804597701149</v>
      </c>
      <c r="BB6" s="43">
        <f t="shared" si="9"/>
        <v>0.20665742024965317</v>
      </c>
      <c r="BC6" s="43">
        <f t="shared" si="9"/>
        <v>-0.15533980582524276</v>
      </c>
      <c r="BD6" s="43">
        <f t="shared" si="9"/>
        <v>-0.6</v>
      </c>
      <c r="BE6" s="43">
        <f t="shared" si="9"/>
        <v>0.14942528735632177</v>
      </c>
      <c r="BF6" s="43">
        <f t="shared" si="9"/>
        <v>-0.30000000000000004</v>
      </c>
      <c r="BG6" s="120">
        <f t="shared" si="9"/>
        <v>0.10309278350515472</v>
      </c>
    </row>
    <row r="7" spans="1:59" ht="21" customHeight="1" thickBot="1">
      <c r="A7" s="14">
        <v>0.3125</v>
      </c>
      <c r="B7" s="15">
        <f>Ferney!B7+'StGenis total'!B7+'PdG Nord'!B7+'Mategnin Total'!B7</f>
        <v>32</v>
      </c>
      <c r="C7" s="15">
        <f>Ferney!C7+'StGenis total'!C7+'PdG Nord'!C7+'Mategnin Total'!C7</f>
        <v>11</v>
      </c>
      <c r="D7" s="15">
        <f>Ferney!D7+'StGenis total'!D7+'PdG Nord'!D7+'Mategnin Total'!D7</f>
        <v>22</v>
      </c>
      <c r="E7" s="15">
        <f>Ferney!E7+'StGenis total'!E7+'PdG Nord'!E7+'Mategnin Total'!E7</f>
        <v>17</v>
      </c>
      <c r="F7" s="15">
        <f>Ferney!F7+'StGenis total'!F7+'PdG Nord'!F7+'Mategnin Total'!F7</f>
        <v>4</v>
      </c>
      <c r="G7" s="15">
        <f>Ferney!G7+'StGenis total'!G7+'PdG Nord'!G7+'Mategnin Total'!G7</f>
        <v>0</v>
      </c>
      <c r="H7" s="15">
        <f>Ferney!H7+'StGenis total'!H7+'PdG Nord'!H7+'Mategnin Total'!H7</f>
        <v>10</v>
      </c>
      <c r="I7" s="15">
        <f>Ferney!I7+'StGenis total'!I7+'PdG Nord'!I7+'Mategnin Total'!I7</f>
        <v>1</v>
      </c>
      <c r="J7" s="15">
        <f>Ferney!J7+'StGenis total'!J7+'PdG Nord'!J7+'Mategnin Total'!J7</f>
        <v>9</v>
      </c>
      <c r="K7" s="15">
        <f>Ferney!K7+'StGenis total'!K7+'PdG Nord'!K7+'Mategnin Total'!K7</f>
        <v>0</v>
      </c>
      <c r="L7" s="15">
        <f>Ferney!L7+'StGenis total'!L7+'PdG Nord'!L7+'Mategnin Total'!L7</f>
        <v>2</v>
      </c>
      <c r="M7" s="15">
        <f>Ferney!M7+'StGenis total'!M7+'PdG Nord'!M7+'Mategnin Total'!M7</f>
        <v>1</v>
      </c>
      <c r="N7" s="15">
        <f>Ferney!N7+'StGenis total'!N7+'PdG Nord'!N7+'Mategnin Total'!N7</f>
        <v>0</v>
      </c>
      <c r="O7" s="15">
        <f>Ferney!O7+'StGenis total'!O7+'PdG Nord'!O7+'Mategnin Total'!O7</f>
        <v>0</v>
      </c>
      <c r="P7" s="15">
        <f>Ferney!P7+'StGenis total'!P7+'PdG Nord'!P7+'Mategnin Total'!P7</f>
        <v>1</v>
      </c>
      <c r="Q7" s="15">
        <f>Ferney!Q7+'StGenis total'!Q7+'PdG Nord'!Q7+'Mategnin Total'!Q7</f>
        <v>0</v>
      </c>
      <c r="S7" s="29">
        <f t="shared" si="0"/>
        <v>80</v>
      </c>
      <c r="T7" s="19">
        <f t="shared" si="0"/>
        <v>30</v>
      </c>
      <c r="U7" s="25">
        <f t="shared" si="1"/>
        <v>0.27272727272727271</v>
      </c>
      <c r="V7" s="19">
        <f t="shared" si="2"/>
        <v>52</v>
      </c>
      <c r="W7" s="19">
        <f t="shared" si="3"/>
        <v>42</v>
      </c>
      <c r="X7" s="19">
        <f t="shared" si="4"/>
        <v>4</v>
      </c>
      <c r="Y7" s="19">
        <f t="shared" si="5"/>
        <v>98</v>
      </c>
      <c r="Z7" s="43">
        <f t="shared" si="10"/>
        <v>0.42857142857142855</v>
      </c>
      <c r="AA7" s="43">
        <f t="shared" si="11"/>
        <v>4.0816326530612242E-2</v>
      </c>
      <c r="AB7" s="19">
        <f t="shared" si="6"/>
        <v>12</v>
      </c>
      <c r="AC7" s="19">
        <f t="shared" si="7"/>
        <v>97</v>
      </c>
      <c r="AD7" s="30">
        <f t="shared" si="8"/>
        <v>13</v>
      </c>
      <c r="AE7" s="41">
        <f t="shared" si="12"/>
        <v>110</v>
      </c>
      <c r="AG7">
        <v>55</v>
      </c>
      <c r="AH7">
        <v>23</v>
      </c>
      <c r="AI7">
        <v>0.29487179487179488</v>
      </c>
      <c r="AJ7">
        <v>52</v>
      </c>
      <c r="AK7">
        <v>20</v>
      </c>
      <c r="AL7">
        <v>2</v>
      </c>
      <c r="AM7">
        <v>74</v>
      </c>
      <c r="AN7">
        <v>0.27027027027027029</v>
      </c>
      <c r="AO7">
        <v>2.7027027027027029E-2</v>
      </c>
      <c r="AP7">
        <v>4</v>
      </c>
      <c r="AQ7">
        <v>70</v>
      </c>
      <c r="AR7">
        <v>8</v>
      </c>
      <c r="AS7">
        <v>78</v>
      </c>
      <c r="AU7" s="119">
        <f t="shared" si="13"/>
        <v>0.45454545454545459</v>
      </c>
      <c r="AV7" s="43">
        <f t="shared" si="9"/>
        <v>0.30434782608695654</v>
      </c>
      <c r="AW7" s="43">
        <f t="shared" si="9"/>
        <v>-7.5098814229249133E-2</v>
      </c>
      <c r="AX7" s="43">
        <f t="shared" si="9"/>
        <v>0</v>
      </c>
      <c r="AY7" s="43">
        <f t="shared" si="9"/>
        <v>1.1000000000000001</v>
      </c>
      <c r="AZ7" s="43">
        <f t="shared" si="9"/>
        <v>1</v>
      </c>
      <c r="BA7" s="43">
        <f t="shared" si="9"/>
        <v>0.32432432432432434</v>
      </c>
      <c r="BB7" s="43">
        <f t="shared" si="9"/>
        <v>0.58571428571428563</v>
      </c>
      <c r="BC7" s="43">
        <f t="shared" si="9"/>
        <v>0.51020408163265296</v>
      </c>
      <c r="BD7" s="43">
        <f t="shared" si="9"/>
        <v>2</v>
      </c>
      <c r="BE7" s="43">
        <f t="shared" si="9"/>
        <v>0.38571428571428568</v>
      </c>
      <c r="BF7" s="43">
        <f t="shared" si="9"/>
        <v>0.625</v>
      </c>
      <c r="BG7" s="120">
        <f t="shared" si="9"/>
        <v>0.41025641025641035</v>
      </c>
    </row>
    <row r="8" spans="1:59" ht="21" customHeight="1" thickBot="1">
      <c r="A8" s="14">
        <v>0.32291666666666669</v>
      </c>
      <c r="B8" s="15">
        <f>Ferney!B8+'StGenis total'!B8+'PdG Nord'!B8+'Mategnin Total'!B8</f>
        <v>40</v>
      </c>
      <c r="C8" s="15">
        <f>Ferney!C8+'StGenis total'!C8+'PdG Nord'!C8+'Mategnin Total'!C8</f>
        <v>13</v>
      </c>
      <c r="D8" s="15">
        <f>Ferney!D8+'StGenis total'!D8+'PdG Nord'!D8+'Mategnin Total'!D8</f>
        <v>25</v>
      </c>
      <c r="E8" s="15">
        <f>Ferney!E8+'StGenis total'!E8+'PdG Nord'!E8+'Mategnin Total'!E8</f>
        <v>23</v>
      </c>
      <c r="F8" s="15">
        <f>Ferney!F8+'StGenis total'!F8+'PdG Nord'!F8+'Mategnin Total'!F8</f>
        <v>6</v>
      </c>
      <c r="G8" s="15">
        <f>Ferney!G8+'StGenis total'!G8+'PdG Nord'!G8+'Mategnin Total'!G8</f>
        <v>1</v>
      </c>
      <c r="H8" s="15">
        <f>Ferney!H8+'StGenis total'!H8+'PdG Nord'!H8+'Mategnin Total'!H8</f>
        <v>6</v>
      </c>
      <c r="I8" s="15">
        <f>Ferney!I8+'StGenis total'!I8+'PdG Nord'!I8+'Mategnin Total'!I8</f>
        <v>6</v>
      </c>
      <c r="J8" s="15">
        <f>Ferney!J8+'StGenis total'!J8+'PdG Nord'!J8+'Mategnin Total'!J8</f>
        <v>5</v>
      </c>
      <c r="K8" s="15">
        <f>Ferney!K8+'StGenis total'!K8+'PdG Nord'!K8+'Mategnin Total'!K8</f>
        <v>1</v>
      </c>
      <c r="L8" s="15">
        <f>Ferney!L8+'StGenis total'!L8+'PdG Nord'!L8+'Mategnin Total'!L8</f>
        <v>2</v>
      </c>
      <c r="M8" s="15">
        <f>Ferney!M8+'StGenis total'!M8+'PdG Nord'!M8+'Mategnin Total'!M8</f>
        <v>1</v>
      </c>
      <c r="N8" s="15">
        <f>Ferney!N8+'StGenis total'!N8+'PdG Nord'!N8+'Mategnin Total'!N8</f>
        <v>0</v>
      </c>
      <c r="O8" s="15">
        <f>Ferney!O8+'StGenis total'!O8+'PdG Nord'!O8+'Mategnin Total'!O8</f>
        <v>0</v>
      </c>
      <c r="P8" s="15">
        <f>Ferney!P8+'StGenis total'!P8+'PdG Nord'!P8+'Mategnin Total'!P8</f>
        <v>1</v>
      </c>
      <c r="Q8" s="15">
        <f>Ferney!Q8+'StGenis total'!Q8+'PdG Nord'!Q8+'Mategnin Total'!Q8</f>
        <v>1</v>
      </c>
      <c r="S8" s="29">
        <f t="shared" si="0"/>
        <v>85</v>
      </c>
      <c r="T8" s="19">
        <f t="shared" si="0"/>
        <v>46</v>
      </c>
      <c r="U8" s="25">
        <f t="shared" si="1"/>
        <v>0.35114503816793891</v>
      </c>
      <c r="V8" s="19">
        <f t="shared" si="2"/>
        <v>59</v>
      </c>
      <c r="W8" s="19">
        <f t="shared" si="3"/>
        <v>51</v>
      </c>
      <c r="X8" s="19">
        <f t="shared" si="4"/>
        <v>7</v>
      </c>
      <c r="Y8" s="19">
        <f t="shared" si="5"/>
        <v>117</v>
      </c>
      <c r="Z8" s="43">
        <f t="shared" si="10"/>
        <v>0.4358974358974359</v>
      </c>
      <c r="AA8" s="43">
        <f t="shared" si="11"/>
        <v>5.9829059829059832E-2</v>
      </c>
      <c r="AB8" s="19">
        <f t="shared" si="6"/>
        <v>14</v>
      </c>
      <c r="AC8" s="19">
        <f t="shared" si="7"/>
        <v>120</v>
      </c>
      <c r="AD8" s="30">
        <f t="shared" si="8"/>
        <v>11</v>
      </c>
      <c r="AE8" s="41">
        <f t="shared" si="12"/>
        <v>131</v>
      </c>
      <c r="AG8">
        <v>45</v>
      </c>
      <c r="AH8">
        <v>30</v>
      </c>
      <c r="AI8">
        <v>0.4</v>
      </c>
      <c r="AJ8">
        <v>38</v>
      </c>
      <c r="AK8">
        <v>24</v>
      </c>
      <c r="AL8">
        <v>6</v>
      </c>
      <c r="AM8">
        <v>68</v>
      </c>
      <c r="AN8">
        <v>0.35294117647058826</v>
      </c>
      <c r="AO8">
        <v>8.8235294117647065E-2</v>
      </c>
      <c r="AP8">
        <v>7</v>
      </c>
      <c r="AQ8">
        <v>68</v>
      </c>
      <c r="AR8">
        <v>7</v>
      </c>
      <c r="AS8">
        <v>75</v>
      </c>
      <c r="AU8" s="119">
        <f t="shared" si="13"/>
        <v>0.88888888888888884</v>
      </c>
      <c r="AV8" s="43">
        <f t="shared" si="9"/>
        <v>0.53333333333333344</v>
      </c>
      <c r="AW8" s="43">
        <f t="shared" si="9"/>
        <v>-0.12213740458015276</v>
      </c>
      <c r="AX8" s="43">
        <f t="shared" si="9"/>
        <v>0.55263157894736836</v>
      </c>
      <c r="AY8" s="43">
        <f t="shared" si="9"/>
        <v>1.125</v>
      </c>
      <c r="AZ8" s="43">
        <f t="shared" si="9"/>
        <v>0.16666666666666674</v>
      </c>
      <c r="BA8" s="43">
        <f t="shared" si="9"/>
        <v>0.72058823529411775</v>
      </c>
      <c r="BB8" s="43">
        <f t="shared" si="9"/>
        <v>0.23504273504273487</v>
      </c>
      <c r="BC8" s="43">
        <f t="shared" si="9"/>
        <v>-0.32193732193732194</v>
      </c>
      <c r="BD8" s="43">
        <f t="shared" si="9"/>
        <v>1</v>
      </c>
      <c r="BE8" s="43">
        <f t="shared" si="9"/>
        <v>0.76470588235294112</v>
      </c>
      <c r="BF8" s="43">
        <f t="shared" si="9"/>
        <v>0.5714285714285714</v>
      </c>
      <c r="BG8" s="120">
        <f t="shared" si="9"/>
        <v>0.74666666666666659</v>
      </c>
    </row>
    <row r="9" spans="1:59" ht="21" customHeight="1" thickBot="1">
      <c r="A9" s="13">
        <v>0.33333333333333331</v>
      </c>
      <c r="B9" s="15">
        <f>Ferney!B9+'StGenis total'!B9+'PdG Nord'!B9+'Mategnin Total'!B9</f>
        <v>47</v>
      </c>
      <c r="C9" s="15">
        <f>Ferney!C9+'StGenis total'!C9+'PdG Nord'!C9+'Mategnin Total'!C9</f>
        <v>15</v>
      </c>
      <c r="D9" s="15">
        <f>Ferney!D9+'StGenis total'!D9+'PdG Nord'!D9+'Mategnin Total'!D9</f>
        <v>19</v>
      </c>
      <c r="E9" s="15">
        <f>Ferney!E9+'StGenis total'!E9+'PdG Nord'!E9+'Mategnin Total'!E9</f>
        <v>9</v>
      </c>
      <c r="F9" s="15">
        <f>Ferney!F9+'StGenis total'!F9+'PdG Nord'!F9+'Mategnin Total'!F9</f>
        <v>2</v>
      </c>
      <c r="G9" s="15">
        <f>Ferney!G9+'StGenis total'!G9+'PdG Nord'!G9+'Mategnin Total'!G9</f>
        <v>3</v>
      </c>
      <c r="H9" s="15">
        <f>Ferney!H9+'StGenis total'!H9+'PdG Nord'!H9+'Mategnin Total'!H9</f>
        <v>11</v>
      </c>
      <c r="I9" s="15">
        <f>Ferney!I9+'StGenis total'!I9+'PdG Nord'!I9+'Mategnin Total'!I9</f>
        <v>2</v>
      </c>
      <c r="J9" s="15">
        <f>Ferney!J9+'StGenis total'!J9+'PdG Nord'!J9+'Mategnin Total'!J9</f>
        <v>2</v>
      </c>
      <c r="K9" s="15">
        <f>Ferney!K9+'StGenis total'!K9+'PdG Nord'!K9+'Mategnin Total'!K9</f>
        <v>1</v>
      </c>
      <c r="L9" s="15">
        <f>Ferney!L9+'StGenis total'!L9+'PdG Nord'!L9+'Mategnin Total'!L9</f>
        <v>5</v>
      </c>
      <c r="M9" s="15">
        <f>Ferney!M9+'StGenis total'!M9+'PdG Nord'!M9+'Mategnin Total'!M9</f>
        <v>1</v>
      </c>
      <c r="N9" s="15">
        <f>Ferney!N9+'StGenis total'!N9+'PdG Nord'!N9+'Mategnin Total'!N9</f>
        <v>0</v>
      </c>
      <c r="O9" s="15">
        <f>Ferney!O9+'StGenis total'!O9+'PdG Nord'!O9+'Mategnin Total'!O9</f>
        <v>0</v>
      </c>
      <c r="P9" s="15">
        <f>Ferney!P9+'StGenis total'!P9+'PdG Nord'!P9+'Mategnin Total'!P9</f>
        <v>0</v>
      </c>
      <c r="Q9" s="15">
        <f>Ferney!Q9+'StGenis total'!Q9+'PdG Nord'!Q9+'Mategnin Total'!Q9</f>
        <v>1</v>
      </c>
      <c r="S9" s="29">
        <f t="shared" si="0"/>
        <v>86</v>
      </c>
      <c r="T9" s="19">
        <f t="shared" si="0"/>
        <v>32</v>
      </c>
      <c r="U9" s="25">
        <f t="shared" si="1"/>
        <v>0.2711864406779661</v>
      </c>
      <c r="V9" s="19">
        <f t="shared" si="2"/>
        <v>65</v>
      </c>
      <c r="W9" s="19">
        <f t="shared" si="3"/>
        <v>34</v>
      </c>
      <c r="X9" s="19">
        <f t="shared" si="4"/>
        <v>5</v>
      </c>
      <c r="Y9" s="19">
        <f t="shared" si="5"/>
        <v>104</v>
      </c>
      <c r="Z9" s="43">
        <f t="shared" si="10"/>
        <v>0.32692307692307693</v>
      </c>
      <c r="AA9" s="43">
        <f t="shared" si="11"/>
        <v>4.807692307692308E-2</v>
      </c>
      <c r="AB9" s="19">
        <f t="shared" si="6"/>
        <v>14</v>
      </c>
      <c r="AC9" s="19">
        <f t="shared" si="7"/>
        <v>108</v>
      </c>
      <c r="AD9" s="30">
        <f t="shared" si="8"/>
        <v>10</v>
      </c>
      <c r="AE9" s="41">
        <f t="shared" si="12"/>
        <v>118</v>
      </c>
      <c r="AG9">
        <v>47</v>
      </c>
      <c r="AH9">
        <v>24</v>
      </c>
      <c r="AI9">
        <v>0.3380281690140845</v>
      </c>
      <c r="AJ9">
        <v>40</v>
      </c>
      <c r="AK9">
        <v>20</v>
      </c>
      <c r="AL9">
        <v>2</v>
      </c>
      <c r="AM9">
        <v>62</v>
      </c>
      <c r="AN9">
        <v>0.32258064516129031</v>
      </c>
      <c r="AO9">
        <v>3.2258064516129031E-2</v>
      </c>
      <c r="AP9">
        <v>9</v>
      </c>
      <c r="AQ9">
        <v>63</v>
      </c>
      <c r="AR9">
        <v>8</v>
      </c>
      <c r="AS9">
        <v>71</v>
      </c>
      <c r="AU9" s="119">
        <f t="shared" si="13"/>
        <v>0.82978723404255317</v>
      </c>
      <c r="AV9" s="43">
        <f t="shared" si="9"/>
        <v>0.33333333333333326</v>
      </c>
      <c r="AW9" s="43">
        <f t="shared" si="9"/>
        <v>-0.19774011299435024</v>
      </c>
      <c r="AX9" s="43">
        <f t="shared" si="9"/>
        <v>0.625</v>
      </c>
      <c r="AY9" s="43">
        <f t="shared" si="9"/>
        <v>0.7</v>
      </c>
      <c r="AZ9" s="43">
        <f t="shared" si="9"/>
        <v>1.5</v>
      </c>
      <c r="BA9" s="43">
        <f t="shared" si="9"/>
        <v>0.67741935483870974</v>
      </c>
      <c r="BB9" s="43">
        <f t="shared" si="9"/>
        <v>1.3461538461538414E-2</v>
      </c>
      <c r="BC9" s="43">
        <f t="shared" si="9"/>
        <v>0.49038461538461542</v>
      </c>
      <c r="BD9" s="43">
        <f t="shared" si="9"/>
        <v>0.55555555555555558</v>
      </c>
      <c r="BE9" s="43">
        <f t="shared" si="9"/>
        <v>0.71428571428571419</v>
      </c>
      <c r="BF9" s="43">
        <f t="shared" si="9"/>
        <v>0.25</v>
      </c>
      <c r="BG9" s="120">
        <f t="shared" si="9"/>
        <v>0.6619718309859155</v>
      </c>
    </row>
    <row r="10" spans="1:59" ht="21" customHeight="1" thickBot="1">
      <c r="A10" s="14">
        <v>0.34375</v>
      </c>
      <c r="B10" s="15">
        <f>Ferney!B10+'StGenis total'!B10+'PdG Nord'!B10+'Mategnin Total'!B10</f>
        <v>39</v>
      </c>
      <c r="C10" s="15">
        <f>Ferney!C10+'StGenis total'!C10+'PdG Nord'!C10+'Mategnin Total'!C10</f>
        <v>12</v>
      </c>
      <c r="D10" s="15">
        <f>Ferney!D10+'StGenis total'!D10+'PdG Nord'!D10+'Mategnin Total'!D10</f>
        <v>22</v>
      </c>
      <c r="E10" s="15">
        <f>Ferney!E10+'StGenis total'!E10+'PdG Nord'!E10+'Mategnin Total'!E10</f>
        <v>12</v>
      </c>
      <c r="F10" s="15">
        <f>Ferney!F10+'StGenis total'!F10+'PdG Nord'!F10+'Mategnin Total'!F10</f>
        <v>6</v>
      </c>
      <c r="G10" s="15">
        <f>Ferney!G10+'StGenis total'!G10+'PdG Nord'!G10+'Mategnin Total'!G10</f>
        <v>0</v>
      </c>
      <c r="H10" s="15">
        <f>Ferney!H10+'StGenis total'!H10+'PdG Nord'!H10+'Mategnin Total'!H10</f>
        <v>19</v>
      </c>
      <c r="I10" s="15">
        <f>Ferney!I10+'StGenis total'!I10+'PdG Nord'!I10+'Mategnin Total'!I10</f>
        <v>2</v>
      </c>
      <c r="J10" s="15">
        <f>Ferney!J10+'StGenis total'!J10+'PdG Nord'!J10+'Mategnin Total'!J10</f>
        <v>5</v>
      </c>
      <c r="K10" s="15">
        <f>Ferney!K10+'StGenis total'!K10+'PdG Nord'!K10+'Mategnin Total'!K10</f>
        <v>4</v>
      </c>
      <c r="L10" s="15">
        <f>Ferney!L10+'StGenis total'!L10+'PdG Nord'!L10+'Mategnin Total'!L10</f>
        <v>4</v>
      </c>
      <c r="M10" s="15">
        <f>Ferney!M10+'StGenis total'!M10+'PdG Nord'!M10+'Mategnin Total'!M10</f>
        <v>2</v>
      </c>
      <c r="N10" s="15">
        <f>Ferney!N10+'StGenis total'!N10+'PdG Nord'!N10+'Mategnin Total'!N10</f>
        <v>0</v>
      </c>
      <c r="O10" s="15">
        <f>Ferney!O10+'StGenis total'!O10+'PdG Nord'!O10+'Mategnin Total'!O10</f>
        <v>0</v>
      </c>
      <c r="P10" s="15">
        <f>Ferney!P10+'StGenis total'!P10+'PdG Nord'!P10+'Mategnin Total'!P10</f>
        <v>2</v>
      </c>
      <c r="Q10" s="15">
        <f>Ferney!Q10+'StGenis total'!Q10+'PdG Nord'!Q10+'Mategnin Total'!Q10</f>
        <v>2</v>
      </c>
      <c r="S10" s="29">
        <f t="shared" si="0"/>
        <v>97</v>
      </c>
      <c r="T10" s="19">
        <f t="shared" si="0"/>
        <v>34</v>
      </c>
      <c r="U10" s="25">
        <f t="shared" si="1"/>
        <v>0.25954198473282442</v>
      </c>
      <c r="V10" s="19">
        <f t="shared" si="2"/>
        <v>60</v>
      </c>
      <c r="W10" s="19">
        <f t="shared" si="3"/>
        <v>40</v>
      </c>
      <c r="X10" s="19">
        <f t="shared" si="4"/>
        <v>6</v>
      </c>
      <c r="Y10" s="19">
        <f t="shared" si="5"/>
        <v>106</v>
      </c>
      <c r="Z10" s="43">
        <f t="shared" si="10"/>
        <v>0.37735849056603776</v>
      </c>
      <c r="AA10" s="43">
        <f t="shared" si="11"/>
        <v>5.6603773584905662E-2</v>
      </c>
      <c r="AB10" s="19">
        <f t="shared" si="6"/>
        <v>25</v>
      </c>
      <c r="AC10" s="19">
        <f t="shared" si="7"/>
        <v>112</v>
      </c>
      <c r="AD10" s="30">
        <f t="shared" si="8"/>
        <v>19</v>
      </c>
      <c r="AE10" s="41">
        <f t="shared" si="12"/>
        <v>131</v>
      </c>
      <c r="AG10">
        <v>48</v>
      </c>
      <c r="AH10">
        <v>39</v>
      </c>
      <c r="AI10">
        <v>0.44827586206896552</v>
      </c>
      <c r="AJ10">
        <v>40</v>
      </c>
      <c r="AK10">
        <v>27</v>
      </c>
      <c r="AL10">
        <v>6</v>
      </c>
      <c r="AM10">
        <v>73</v>
      </c>
      <c r="AN10">
        <v>0.36986301369863012</v>
      </c>
      <c r="AO10">
        <v>8.2191780821917804E-2</v>
      </c>
      <c r="AP10">
        <v>14</v>
      </c>
      <c r="AQ10">
        <v>74</v>
      </c>
      <c r="AR10">
        <v>13</v>
      </c>
      <c r="AS10">
        <v>87</v>
      </c>
      <c r="AU10" s="119">
        <f t="shared" si="13"/>
        <v>1.0208333333333335</v>
      </c>
      <c r="AV10" s="43">
        <f t="shared" si="9"/>
        <v>-0.12820512820512819</v>
      </c>
      <c r="AW10" s="43">
        <f t="shared" si="9"/>
        <v>-0.42102172636523783</v>
      </c>
      <c r="AX10" s="43">
        <f t="shared" si="9"/>
        <v>0.5</v>
      </c>
      <c r="AY10" s="43">
        <f t="shared" si="9"/>
        <v>0.4814814814814814</v>
      </c>
      <c r="AZ10" s="43">
        <f t="shared" si="9"/>
        <v>0</v>
      </c>
      <c r="BA10" s="43">
        <f t="shared" si="9"/>
        <v>0.45205479452054798</v>
      </c>
      <c r="BB10" s="43">
        <f t="shared" si="9"/>
        <v>2.0265548567435454E-2</v>
      </c>
      <c r="BC10" s="43">
        <f t="shared" si="9"/>
        <v>-0.31132075471698106</v>
      </c>
      <c r="BD10" s="43">
        <f t="shared" si="9"/>
        <v>0.78571428571428581</v>
      </c>
      <c r="BE10" s="43">
        <f t="shared" si="9"/>
        <v>0.5135135135135136</v>
      </c>
      <c r="BF10" s="43">
        <f t="shared" si="9"/>
        <v>0.46153846153846145</v>
      </c>
      <c r="BG10" s="120">
        <f t="shared" si="9"/>
        <v>0.50574712643678166</v>
      </c>
    </row>
    <row r="11" spans="1:59" ht="21" customHeight="1" thickBot="1">
      <c r="A11" s="14">
        <v>0.35416666666666669</v>
      </c>
      <c r="B11" s="15">
        <f>Ferney!B11+'StGenis total'!B11+'PdG Nord'!B11+'Mategnin Total'!B11</f>
        <v>57</v>
      </c>
      <c r="C11" s="15">
        <f>Ferney!C11+'StGenis total'!C11+'PdG Nord'!C11+'Mategnin Total'!C11</f>
        <v>10</v>
      </c>
      <c r="D11" s="15">
        <f>Ferney!D11+'StGenis total'!D11+'PdG Nord'!D11+'Mategnin Total'!D11</f>
        <v>23</v>
      </c>
      <c r="E11" s="15">
        <f>Ferney!E11+'StGenis total'!E11+'PdG Nord'!E11+'Mategnin Total'!E11</f>
        <v>9</v>
      </c>
      <c r="F11" s="15">
        <f>Ferney!F11+'StGenis total'!F11+'PdG Nord'!F11+'Mategnin Total'!F11</f>
        <v>4</v>
      </c>
      <c r="G11" s="15">
        <f>Ferney!G11+'StGenis total'!G11+'PdG Nord'!G11+'Mategnin Total'!G11</f>
        <v>3</v>
      </c>
      <c r="H11" s="15">
        <f>Ferney!H11+'StGenis total'!H11+'PdG Nord'!H11+'Mategnin Total'!H11</f>
        <v>6</v>
      </c>
      <c r="I11" s="15">
        <f>Ferney!I11+'StGenis total'!I11+'PdG Nord'!I11+'Mategnin Total'!I11</f>
        <v>7</v>
      </c>
      <c r="J11" s="15">
        <f>Ferney!J11+'StGenis total'!J11+'PdG Nord'!J11+'Mategnin Total'!J11</f>
        <v>5</v>
      </c>
      <c r="K11" s="15">
        <f>Ferney!K11+'StGenis total'!K11+'PdG Nord'!K11+'Mategnin Total'!K11</f>
        <v>2</v>
      </c>
      <c r="L11" s="15">
        <f>Ferney!L11+'StGenis total'!L11+'PdG Nord'!L11+'Mategnin Total'!L11</f>
        <v>1</v>
      </c>
      <c r="M11" s="15">
        <f>Ferney!M11+'StGenis total'!M11+'PdG Nord'!M11+'Mategnin Total'!M11</f>
        <v>0</v>
      </c>
      <c r="N11" s="15">
        <f>Ferney!N11+'StGenis total'!N11+'PdG Nord'!N11+'Mategnin Total'!N11</f>
        <v>0</v>
      </c>
      <c r="O11" s="15">
        <f>Ferney!O11+'StGenis total'!O11+'PdG Nord'!O11+'Mategnin Total'!O11</f>
        <v>0</v>
      </c>
      <c r="P11" s="15">
        <f>Ferney!P11+'StGenis total'!P11+'PdG Nord'!P11+'Mategnin Total'!P11</f>
        <v>2</v>
      </c>
      <c r="Q11" s="15">
        <f>Ferney!Q11+'StGenis total'!Q11+'PdG Nord'!Q11+'Mategnin Total'!Q11</f>
        <v>0</v>
      </c>
      <c r="S11" s="29">
        <f t="shared" si="0"/>
        <v>98</v>
      </c>
      <c r="T11" s="19">
        <f t="shared" si="0"/>
        <v>31</v>
      </c>
      <c r="U11" s="25">
        <f t="shared" si="1"/>
        <v>0.24031007751937986</v>
      </c>
      <c r="V11" s="19">
        <f t="shared" si="2"/>
        <v>74</v>
      </c>
      <c r="W11" s="19">
        <f t="shared" si="3"/>
        <v>33</v>
      </c>
      <c r="X11" s="19">
        <f t="shared" si="4"/>
        <v>7</v>
      </c>
      <c r="Y11" s="19">
        <f t="shared" si="5"/>
        <v>114</v>
      </c>
      <c r="Z11" s="43">
        <f t="shared" si="10"/>
        <v>0.28947368421052633</v>
      </c>
      <c r="AA11" s="43">
        <f t="shared" si="11"/>
        <v>6.1403508771929821E-2</v>
      </c>
      <c r="AB11" s="19">
        <f t="shared" si="6"/>
        <v>15</v>
      </c>
      <c r="AC11" s="19">
        <f t="shared" si="7"/>
        <v>119</v>
      </c>
      <c r="AD11" s="30">
        <f t="shared" si="8"/>
        <v>10</v>
      </c>
      <c r="AE11" s="41">
        <f t="shared" si="12"/>
        <v>129</v>
      </c>
      <c r="AG11">
        <v>66</v>
      </c>
      <c r="AH11">
        <v>24</v>
      </c>
      <c r="AI11">
        <v>0.26666666666666666</v>
      </c>
      <c r="AJ11">
        <v>50</v>
      </c>
      <c r="AK11">
        <v>19</v>
      </c>
      <c r="AL11">
        <v>11</v>
      </c>
      <c r="AM11">
        <v>80</v>
      </c>
      <c r="AN11">
        <v>0.23749999999999999</v>
      </c>
      <c r="AO11">
        <v>0.13750000000000001</v>
      </c>
      <c r="AP11">
        <v>10</v>
      </c>
      <c r="AQ11">
        <v>79</v>
      </c>
      <c r="AR11">
        <v>11</v>
      </c>
      <c r="AS11">
        <v>90</v>
      </c>
      <c r="AU11" s="119">
        <f t="shared" si="13"/>
        <v>0.48484848484848486</v>
      </c>
      <c r="AV11" s="43">
        <f t="shared" si="9"/>
        <v>0.29166666666666674</v>
      </c>
      <c r="AW11" s="43">
        <f t="shared" si="9"/>
        <v>-9.8837209302325535E-2</v>
      </c>
      <c r="AX11" s="43">
        <f t="shared" si="9"/>
        <v>0.48</v>
      </c>
      <c r="AY11" s="43">
        <f t="shared" si="9"/>
        <v>0.73684210526315796</v>
      </c>
      <c r="AZ11" s="43">
        <f t="shared" si="9"/>
        <v>-0.36363636363636365</v>
      </c>
      <c r="BA11" s="43">
        <f t="shared" si="9"/>
        <v>0.42500000000000004</v>
      </c>
      <c r="BB11" s="43">
        <f t="shared" si="9"/>
        <v>0.21883656509695304</v>
      </c>
      <c r="BC11" s="43">
        <f t="shared" si="9"/>
        <v>-0.55342902711323771</v>
      </c>
      <c r="BD11" s="43">
        <f t="shared" si="9"/>
        <v>0.5</v>
      </c>
      <c r="BE11" s="43">
        <f t="shared" si="9"/>
        <v>0.50632911392405067</v>
      </c>
      <c r="BF11" s="43">
        <f t="shared" si="9"/>
        <v>-9.0909090909090939E-2</v>
      </c>
      <c r="BG11" s="120">
        <f t="shared" si="9"/>
        <v>0.43333333333333335</v>
      </c>
    </row>
    <row r="12" spans="1:59" ht="21" customHeight="1" thickBot="1">
      <c r="A12" s="14">
        <v>0.36458333333333331</v>
      </c>
      <c r="B12" s="15">
        <f>Ferney!B12+'StGenis total'!B12+'PdG Nord'!B12+'Mategnin Total'!B12</f>
        <v>47</v>
      </c>
      <c r="C12" s="15">
        <f>Ferney!C12+'StGenis total'!C12+'PdG Nord'!C12+'Mategnin Total'!C12</f>
        <v>24</v>
      </c>
      <c r="D12" s="15">
        <f>Ferney!D12+'StGenis total'!D12+'PdG Nord'!D12+'Mategnin Total'!D12</f>
        <v>18</v>
      </c>
      <c r="E12" s="15">
        <f>Ferney!E12+'StGenis total'!E12+'PdG Nord'!E12+'Mategnin Total'!E12</f>
        <v>12</v>
      </c>
      <c r="F12" s="15">
        <f>Ferney!F12+'StGenis total'!F12+'PdG Nord'!F12+'Mategnin Total'!F12</f>
        <v>3</v>
      </c>
      <c r="G12" s="15">
        <f>Ferney!G12+'StGenis total'!G12+'PdG Nord'!G12+'Mategnin Total'!G12</f>
        <v>1</v>
      </c>
      <c r="H12" s="15">
        <f>Ferney!H12+'StGenis total'!H12+'PdG Nord'!H12+'Mategnin Total'!H12</f>
        <v>4</v>
      </c>
      <c r="I12" s="15">
        <f>Ferney!I12+'StGenis total'!I12+'PdG Nord'!I12+'Mategnin Total'!I12</f>
        <v>6</v>
      </c>
      <c r="J12" s="15">
        <f>Ferney!J12+'StGenis total'!J12+'PdG Nord'!J12+'Mategnin Total'!J12</f>
        <v>6</v>
      </c>
      <c r="K12" s="15">
        <f>Ferney!K12+'StGenis total'!K12+'PdG Nord'!K12+'Mategnin Total'!K12</f>
        <v>1</v>
      </c>
      <c r="L12" s="15">
        <f>Ferney!L12+'StGenis total'!L12+'PdG Nord'!L12+'Mategnin Total'!L12</f>
        <v>2</v>
      </c>
      <c r="M12" s="15">
        <f>Ferney!M12+'StGenis total'!M12+'PdG Nord'!M12+'Mategnin Total'!M12</f>
        <v>0</v>
      </c>
      <c r="N12" s="15">
        <f>Ferney!N12+'StGenis total'!N12+'PdG Nord'!N12+'Mategnin Total'!N12</f>
        <v>0</v>
      </c>
      <c r="O12" s="15">
        <f>Ferney!O12+'StGenis total'!O12+'PdG Nord'!O12+'Mategnin Total'!O12</f>
        <v>0</v>
      </c>
      <c r="P12" s="15">
        <f>Ferney!P12+'StGenis total'!P12+'PdG Nord'!P12+'Mategnin Total'!P12</f>
        <v>0</v>
      </c>
      <c r="Q12" s="15">
        <f>Ferney!Q12+'StGenis total'!Q12+'PdG Nord'!Q12+'Mategnin Total'!Q12</f>
        <v>1</v>
      </c>
      <c r="S12" s="29">
        <f t="shared" ref="S12:T15" si="14">B12+D12+F12+H12+J12+L12+N12+P12</f>
        <v>80</v>
      </c>
      <c r="T12" s="19">
        <f t="shared" si="14"/>
        <v>45</v>
      </c>
      <c r="U12" s="25">
        <f>T12/(T12+S12)</f>
        <v>0.36</v>
      </c>
      <c r="V12" s="19">
        <f>B12+C12+J12+K12</f>
        <v>78</v>
      </c>
      <c r="W12" s="19">
        <f>D12+E12+L12+M12</f>
        <v>32</v>
      </c>
      <c r="X12" s="19">
        <f>F12+G12+N12+O12</f>
        <v>4</v>
      </c>
      <c r="Y12" s="19">
        <f>SUM(V12:X12)</f>
        <v>114</v>
      </c>
      <c r="Z12" s="43">
        <f t="shared" si="10"/>
        <v>0.2807017543859649</v>
      </c>
      <c r="AA12" s="43">
        <f t="shared" si="11"/>
        <v>3.5087719298245612E-2</v>
      </c>
      <c r="AB12" s="19">
        <f>H12+I12+P12+Q12</f>
        <v>11</v>
      </c>
      <c r="AC12" s="19">
        <f>SUM(B12:I12)</f>
        <v>115</v>
      </c>
      <c r="AD12" s="30">
        <f>SUM(J12:Q12)</f>
        <v>10</v>
      </c>
      <c r="AE12" s="41">
        <f t="shared" si="12"/>
        <v>125</v>
      </c>
      <c r="AG12">
        <v>43</v>
      </c>
      <c r="AH12">
        <v>28</v>
      </c>
      <c r="AI12">
        <v>0.39436619718309857</v>
      </c>
      <c r="AJ12">
        <v>35</v>
      </c>
      <c r="AK12">
        <v>12</v>
      </c>
      <c r="AL12">
        <v>7</v>
      </c>
      <c r="AM12">
        <v>54</v>
      </c>
      <c r="AN12">
        <v>0.22222222222222221</v>
      </c>
      <c r="AO12">
        <v>0.12962962962962962</v>
      </c>
      <c r="AP12">
        <v>17</v>
      </c>
      <c r="AQ12">
        <v>55</v>
      </c>
      <c r="AR12">
        <v>16</v>
      </c>
      <c r="AS12">
        <v>71</v>
      </c>
      <c r="AU12" s="119">
        <f t="shared" si="13"/>
        <v>0.86046511627906974</v>
      </c>
      <c r="AV12" s="43">
        <f t="shared" si="9"/>
        <v>0.60714285714285721</v>
      </c>
      <c r="AW12" s="43">
        <f t="shared" si="9"/>
        <v>-8.7142857142857078E-2</v>
      </c>
      <c r="AX12" s="43">
        <f t="shared" si="9"/>
        <v>1.2285714285714286</v>
      </c>
      <c r="AY12" s="43">
        <f t="shared" si="9"/>
        <v>1.6666666666666665</v>
      </c>
      <c r="AZ12" s="43">
        <f t="shared" si="9"/>
        <v>-0.4285714285714286</v>
      </c>
      <c r="BA12" s="43">
        <f t="shared" si="9"/>
        <v>1.1111111111111112</v>
      </c>
      <c r="BB12" s="43">
        <f t="shared" si="9"/>
        <v>0.26315789473684204</v>
      </c>
      <c r="BC12" s="43">
        <f t="shared" si="9"/>
        <v>-0.72932330827067671</v>
      </c>
      <c r="BD12" s="43">
        <f t="shared" si="9"/>
        <v>-0.3529411764705882</v>
      </c>
      <c r="BE12" s="43">
        <f t="shared" si="9"/>
        <v>1.0909090909090908</v>
      </c>
      <c r="BF12" s="43">
        <f t="shared" si="9"/>
        <v>-0.375</v>
      </c>
      <c r="BG12" s="120">
        <f t="shared" si="9"/>
        <v>0.76056338028169024</v>
      </c>
    </row>
    <row r="13" spans="1:59" s="97" customFormat="1" ht="21" customHeight="1" thickBot="1">
      <c r="A13" s="14">
        <v>0.375</v>
      </c>
      <c r="B13" s="15">
        <f>Ferney!B13+'StGenis total'!B13+'PdG Nord'!B13+'Mategnin Total'!B13</f>
        <v>4</v>
      </c>
      <c r="C13" s="15">
        <f>Ferney!C13+'StGenis total'!C13+'PdG Nord'!C13+'Mategnin Total'!C13</f>
        <v>6</v>
      </c>
      <c r="D13" s="15">
        <f>Ferney!D13+'StGenis total'!D13+'PdG Nord'!D13+'Mategnin Total'!D13</f>
        <v>1</v>
      </c>
      <c r="E13" s="15">
        <f>Ferney!E13+'StGenis total'!E13+'PdG Nord'!E13+'Mategnin Total'!E13</f>
        <v>2</v>
      </c>
      <c r="F13" s="15">
        <f>Ferney!F13+'StGenis total'!F13+'PdG Nord'!F13+'Mategnin Total'!F13</f>
        <v>1</v>
      </c>
      <c r="G13" s="15">
        <f>Ferney!G13+'StGenis total'!G13+'PdG Nord'!G13+'Mategnin Total'!G13</f>
        <v>0</v>
      </c>
      <c r="H13" s="15">
        <f>Ferney!H13+'StGenis total'!H13+'PdG Nord'!H13+'Mategnin Total'!H13</f>
        <v>1</v>
      </c>
      <c r="I13" s="15">
        <f>Ferney!I13+'StGenis total'!I13+'PdG Nord'!I13+'Mategnin Total'!I13</f>
        <v>0</v>
      </c>
      <c r="J13" s="15">
        <f>Ferney!J13+'StGenis total'!J13+'PdG Nord'!J13+'Mategnin Total'!J13</f>
        <v>4</v>
      </c>
      <c r="K13" s="15">
        <f>Ferney!K13+'StGenis total'!K13+'PdG Nord'!K13+'Mategnin Total'!K13</f>
        <v>0</v>
      </c>
      <c r="L13" s="15">
        <f>Ferney!L13+'StGenis total'!L13+'PdG Nord'!L13+'Mategnin Total'!L13</f>
        <v>0</v>
      </c>
      <c r="M13" s="15">
        <f>Ferney!M13+'StGenis total'!M13+'PdG Nord'!M13+'Mategnin Total'!M13</f>
        <v>0</v>
      </c>
      <c r="N13" s="15">
        <f>Ferney!N13+'StGenis total'!N13+'PdG Nord'!N13+'Mategnin Total'!N13</f>
        <v>0</v>
      </c>
      <c r="O13" s="15">
        <f>Ferney!O13+'StGenis total'!O13+'PdG Nord'!O13+'Mategnin Total'!O13</f>
        <v>0</v>
      </c>
      <c r="P13" s="15">
        <f>Ferney!P13+'StGenis total'!P13+'PdG Nord'!P13+'Mategnin Total'!P13</f>
        <v>1</v>
      </c>
      <c r="Q13" s="15">
        <f>Ferney!Q13+'StGenis total'!Q13+'PdG Nord'!Q13+'Mategnin Total'!Q13</f>
        <v>1</v>
      </c>
      <c r="S13" s="44"/>
      <c r="T13" s="45"/>
      <c r="U13" s="46"/>
      <c r="V13" s="45"/>
      <c r="W13" s="45"/>
      <c r="X13" s="45"/>
      <c r="Y13" s="45"/>
      <c r="Z13" s="43"/>
      <c r="AA13" s="43"/>
      <c r="AB13" s="45"/>
      <c r="AC13" s="45"/>
      <c r="AD13" s="48"/>
      <c r="AE13" s="49"/>
      <c r="AU13" s="119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120"/>
    </row>
    <row r="14" spans="1:59" ht="15.75" thickBot="1">
      <c r="A14" s="24" t="s">
        <v>13</v>
      </c>
      <c r="B14" s="35">
        <f>SUM(B5:B13)</f>
        <v>342</v>
      </c>
      <c r="C14" s="35">
        <f t="shared" ref="C14:Q14" si="15">SUM(C5:C13)</f>
        <v>112</v>
      </c>
      <c r="D14" s="35">
        <f t="shared" si="15"/>
        <v>170</v>
      </c>
      <c r="E14" s="35">
        <f t="shared" si="15"/>
        <v>110</v>
      </c>
      <c r="F14" s="35">
        <f t="shared" si="15"/>
        <v>34</v>
      </c>
      <c r="G14" s="35">
        <f t="shared" si="15"/>
        <v>11</v>
      </c>
      <c r="H14" s="35">
        <f t="shared" si="15"/>
        <v>61</v>
      </c>
      <c r="I14" s="35">
        <f t="shared" si="15"/>
        <v>25</v>
      </c>
      <c r="J14" s="35">
        <f t="shared" si="15"/>
        <v>42</v>
      </c>
      <c r="K14" s="35">
        <f t="shared" si="15"/>
        <v>10</v>
      </c>
      <c r="L14" s="35">
        <f t="shared" si="15"/>
        <v>19</v>
      </c>
      <c r="M14" s="35">
        <f t="shared" si="15"/>
        <v>6</v>
      </c>
      <c r="N14" s="35">
        <f t="shared" si="15"/>
        <v>0</v>
      </c>
      <c r="O14" s="35">
        <f t="shared" si="15"/>
        <v>0</v>
      </c>
      <c r="P14" s="35">
        <f t="shared" si="15"/>
        <v>8</v>
      </c>
      <c r="Q14" s="35">
        <f t="shared" si="15"/>
        <v>6</v>
      </c>
      <c r="S14" s="31">
        <f t="shared" si="14"/>
        <v>676</v>
      </c>
      <c r="T14" s="32">
        <f t="shared" si="14"/>
        <v>280</v>
      </c>
      <c r="U14" s="33">
        <f>T14/(T14+S14)</f>
        <v>0.29288702928870292</v>
      </c>
      <c r="V14" s="32">
        <f>B14+C14+J14+K14</f>
        <v>506</v>
      </c>
      <c r="W14" s="32">
        <f>D14+E14+L14+M14</f>
        <v>305</v>
      </c>
      <c r="X14" s="32">
        <f>F14+G14+N14+O14</f>
        <v>45</v>
      </c>
      <c r="Y14" s="32">
        <f>SUM(V14:X14)</f>
        <v>856</v>
      </c>
      <c r="Z14" s="43">
        <f t="shared" si="10"/>
        <v>0.35630841121495327</v>
      </c>
      <c r="AA14" s="43">
        <f t="shared" si="11"/>
        <v>5.2570093457943924E-2</v>
      </c>
      <c r="AB14" s="32">
        <f>H14+I14+P14+Q14</f>
        <v>100</v>
      </c>
      <c r="AC14" s="32">
        <f>SUM(B14:I14)</f>
        <v>865</v>
      </c>
      <c r="AD14" s="34">
        <f>SUM(J14:Q14)</f>
        <v>91</v>
      </c>
      <c r="AE14" s="42">
        <f t="shared" si="12"/>
        <v>956</v>
      </c>
      <c r="AG14">
        <v>414</v>
      </c>
      <c r="AH14">
        <v>224</v>
      </c>
      <c r="AI14">
        <v>0.35109717868338558</v>
      </c>
      <c r="AJ14">
        <v>344</v>
      </c>
      <c r="AK14">
        <v>175</v>
      </c>
      <c r="AL14">
        <v>42</v>
      </c>
      <c r="AM14">
        <v>561</v>
      </c>
      <c r="AN14">
        <v>0.31194295900178254</v>
      </c>
      <c r="AO14">
        <v>7.4866310160427801E-2</v>
      </c>
      <c r="AP14">
        <v>77</v>
      </c>
      <c r="AQ14">
        <v>559</v>
      </c>
      <c r="AR14">
        <v>79</v>
      </c>
      <c r="AS14">
        <v>638</v>
      </c>
      <c r="AU14" s="119">
        <f t="shared" si="13"/>
        <v>0.63285024154589364</v>
      </c>
      <c r="AV14" s="43">
        <f t="shared" si="9"/>
        <v>0.25</v>
      </c>
      <c r="AW14" s="43">
        <f t="shared" si="9"/>
        <v>-0.16579497907949792</v>
      </c>
      <c r="AX14" s="43">
        <f t="shared" si="9"/>
        <v>0.47093023255813948</v>
      </c>
      <c r="AY14" s="43">
        <f t="shared" si="9"/>
        <v>0.74285714285714288</v>
      </c>
      <c r="AZ14" s="43">
        <f t="shared" si="9"/>
        <v>7.1428571428571397E-2</v>
      </c>
      <c r="BA14" s="43">
        <f t="shared" si="9"/>
        <v>0.52584670231729058</v>
      </c>
      <c r="BB14" s="43">
        <f t="shared" si="9"/>
        <v>0.1422229639519359</v>
      </c>
      <c r="BC14" s="43">
        <f t="shared" si="9"/>
        <v>-0.29781375166889179</v>
      </c>
      <c r="BD14" s="43">
        <f t="shared" si="9"/>
        <v>0.29870129870129869</v>
      </c>
      <c r="BE14" s="43">
        <f t="shared" si="9"/>
        <v>0.54740608228980325</v>
      </c>
      <c r="BF14" s="43">
        <f t="shared" si="9"/>
        <v>0.15189873417721511</v>
      </c>
      <c r="BG14" s="120">
        <f t="shared" si="9"/>
        <v>0.49843260188087779</v>
      </c>
    </row>
    <row r="15" spans="1:59" ht="15.75" thickBot="1">
      <c r="A15" s="24" t="s">
        <v>31</v>
      </c>
      <c r="B15" s="24">
        <f>SUM(B7:B10)</f>
        <v>158</v>
      </c>
      <c r="C15" s="24">
        <f t="shared" ref="C15:Q15" si="16">SUM(C7:C10)</f>
        <v>51</v>
      </c>
      <c r="D15" s="24">
        <f t="shared" si="16"/>
        <v>88</v>
      </c>
      <c r="E15" s="24">
        <f t="shared" si="16"/>
        <v>61</v>
      </c>
      <c r="F15" s="24">
        <f t="shared" si="16"/>
        <v>18</v>
      </c>
      <c r="G15" s="24">
        <f t="shared" si="16"/>
        <v>4</v>
      </c>
      <c r="H15" s="24">
        <f t="shared" si="16"/>
        <v>46</v>
      </c>
      <c r="I15" s="24">
        <f t="shared" si="16"/>
        <v>11</v>
      </c>
      <c r="J15" s="24">
        <f t="shared" si="16"/>
        <v>21</v>
      </c>
      <c r="K15" s="24">
        <f t="shared" si="16"/>
        <v>6</v>
      </c>
      <c r="L15" s="24">
        <f t="shared" si="16"/>
        <v>13</v>
      </c>
      <c r="M15" s="24">
        <f t="shared" si="16"/>
        <v>5</v>
      </c>
      <c r="N15" s="24">
        <f t="shared" si="16"/>
        <v>0</v>
      </c>
      <c r="O15" s="24">
        <f t="shared" si="16"/>
        <v>0</v>
      </c>
      <c r="P15" s="24">
        <f t="shared" si="16"/>
        <v>4</v>
      </c>
      <c r="Q15" s="24">
        <f t="shared" si="16"/>
        <v>4</v>
      </c>
      <c r="S15" s="50">
        <f t="shared" si="14"/>
        <v>348</v>
      </c>
      <c r="T15" s="35">
        <f t="shared" si="14"/>
        <v>142</v>
      </c>
      <c r="U15" s="51">
        <f>T15/(T15+S15)</f>
        <v>0.28979591836734692</v>
      </c>
      <c r="V15" s="35">
        <f>B15+C15+J15+K15</f>
        <v>236</v>
      </c>
      <c r="W15" s="35">
        <f>D15+E15+L15+M15</f>
        <v>167</v>
      </c>
      <c r="X15" s="35">
        <f>F15+G15+N15+O15</f>
        <v>22</v>
      </c>
      <c r="Y15" s="35">
        <f>SUM(V15:X15)</f>
        <v>425</v>
      </c>
      <c r="Z15" s="52">
        <f t="shared" si="10"/>
        <v>0.39294117647058824</v>
      </c>
      <c r="AA15" s="52">
        <f t="shared" si="11"/>
        <v>5.1764705882352942E-2</v>
      </c>
      <c r="AB15" s="35">
        <f>H15+I15+P15+Q15</f>
        <v>65</v>
      </c>
      <c r="AC15" s="35">
        <f>SUM(B15:I15)</f>
        <v>437</v>
      </c>
      <c r="AD15" s="36">
        <f>SUM(J15:Q15)</f>
        <v>53</v>
      </c>
      <c r="AE15" s="53">
        <f t="shared" si="12"/>
        <v>490</v>
      </c>
      <c r="AG15">
        <v>195</v>
      </c>
      <c r="AH15">
        <v>116</v>
      </c>
      <c r="AI15">
        <v>0.37299035369774919</v>
      </c>
      <c r="AJ15">
        <v>170</v>
      </c>
      <c r="AK15">
        <v>91</v>
      </c>
      <c r="AL15">
        <v>16</v>
      </c>
      <c r="AM15">
        <v>277</v>
      </c>
      <c r="AN15">
        <v>0.32851985559566788</v>
      </c>
      <c r="AO15">
        <v>5.7761732851985562E-2</v>
      </c>
      <c r="AP15">
        <v>34</v>
      </c>
      <c r="AQ15">
        <v>275</v>
      </c>
      <c r="AR15">
        <v>36</v>
      </c>
      <c r="AS15">
        <v>311</v>
      </c>
      <c r="AU15" s="56">
        <f t="shared" si="13"/>
        <v>0.78461538461538471</v>
      </c>
      <c r="AV15" s="57">
        <f t="shared" si="9"/>
        <v>0.22413793103448265</v>
      </c>
      <c r="AW15" s="57">
        <f t="shared" si="9"/>
        <v>-0.22304714989444063</v>
      </c>
      <c r="AX15" s="57">
        <f t="shared" si="9"/>
        <v>0.38823529411764701</v>
      </c>
      <c r="AY15" s="57">
        <f t="shared" si="9"/>
        <v>0.83516483516483508</v>
      </c>
      <c r="AZ15" s="57">
        <f t="shared" si="9"/>
        <v>0.375</v>
      </c>
      <c r="BA15" s="57">
        <f t="shared" si="9"/>
        <v>0.53429602888086647</v>
      </c>
      <c r="BB15" s="57">
        <f t="shared" si="9"/>
        <v>0.19609566903684539</v>
      </c>
      <c r="BC15" s="57">
        <f t="shared" si="9"/>
        <v>-0.10382352941176476</v>
      </c>
      <c r="BD15" s="57">
        <f t="shared" si="9"/>
        <v>0.91176470588235303</v>
      </c>
      <c r="BE15" s="57">
        <f t="shared" si="9"/>
        <v>0.58909090909090911</v>
      </c>
      <c r="BF15" s="57">
        <f t="shared" si="9"/>
        <v>0.47222222222222232</v>
      </c>
      <c r="BG15" s="58">
        <f t="shared" si="9"/>
        <v>0.57556270096463025</v>
      </c>
    </row>
    <row r="17" spans="1:31">
      <c r="A17" t="s">
        <v>29</v>
      </c>
      <c r="B17">
        <f>SUM(B5:B8)</f>
        <v>148</v>
      </c>
      <c r="C17">
        <f t="shared" ref="C17:Q17" si="17">SUM(C5:C8)</f>
        <v>45</v>
      </c>
      <c r="D17">
        <f t="shared" si="17"/>
        <v>87</v>
      </c>
      <c r="E17">
        <f t="shared" si="17"/>
        <v>66</v>
      </c>
      <c r="F17">
        <f t="shared" si="17"/>
        <v>18</v>
      </c>
      <c r="G17">
        <f t="shared" si="17"/>
        <v>4</v>
      </c>
      <c r="H17">
        <f t="shared" si="17"/>
        <v>20</v>
      </c>
      <c r="I17">
        <f t="shared" si="17"/>
        <v>8</v>
      </c>
      <c r="J17">
        <f t="shared" si="17"/>
        <v>20</v>
      </c>
      <c r="K17">
        <f t="shared" si="17"/>
        <v>2</v>
      </c>
      <c r="L17">
        <f t="shared" si="17"/>
        <v>7</v>
      </c>
      <c r="M17">
        <f t="shared" si="17"/>
        <v>3</v>
      </c>
      <c r="N17">
        <f t="shared" si="17"/>
        <v>0</v>
      </c>
      <c r="O17">
        <f t="shared" si="17"/>
        <v>0</v>
      </c>
      <c r="P17">
        <f t="shared" si="17"/>
        <v>3</v>
      </c>
      <c r="Q17">
        <f t="shared" si="17"/>
        <v>1</v>
      </c>
    </row>
    <row r="18" spans="1:31">
      <c r="A18" t="s">
        <v>30</v>
      </c>
      <c r="B18">
        <f>SUM(B9:B12)</f>
        <v>190</v>
      </c>
      <c r="C18">
        <f t="shared" ref="C18:Q18" si="18">SUM(C9:C12)</f>
        <v>61</v>
      </c>
      <c r="D18">
        <f t="shared" si="18"/>
        <v>82</v>
      </c>
      <c r="E18">
        <f t="shared" si="18"/>
        <v>42</v>
      </c>
      <c r="F18">
        <f t="shared" si="18"/>
        <v>15</v>
      </c>
      <c r="G18">
        <f t="shared" si="18"/>
        <v>7</v>
      </c>
      <c r="H18">
        <f t="shared" si="18"/>
        <v>40</v>
      </c>
      <c r="I18">
        <f t="shared" si="18"/>
        <v>17</v>
      </c>
      <c r="J18">
        <f t="shared" si="18"/>
        <v>18</v>
      </c>
      <c r="K18">
        <f t="shared" si="18"/>
        <v>8</v>
      </c>
      <c r="L18">
        <f t="shared" si="18"/>
        <v>12</v>
      </c>
      <c r="M18">
        <f t="shared" si="18"/>
        <v>3</v>
      </c>
      <c r="N18">
        <f t="shared" si="18"/>
        <v>0</v>
      </c>
      <c r="O18">
        <f t="shared" si="18"/>
        <v>0</v>
      </c>
      <c r="P18">
        <f t="shared" si="18"/>
        <v>4</v>
      </c>
      <c r="Q18">
        <f t="shared" si="18"/>
        <v>4</v>
      </c>
      <c r="AE18" t="e">
        <f>AE14/#REF!</f>
        <v>#REF!</v>
      </c>
    </row>
    <row r="21" spans="1:31">
      <c r="S21" t="e">
        <f>S14/#REF!</f>
        <v>#REF!</v>
      </c>
      <c r="T21" t="e">
        <f>T14/#REF!</f>
        <v>#REF!</v>
      </c>
    </row>
  </sheetData>
  <mergeCells count="13">
    <mergeCell ref="AG2:AR2"/>
    <mergeCell ref="AU2:BF2"/>
    <mergeCell ref="P3:Q3"/>
    <mergeCell ref="B2:I2"/>
    <mergeCell ref="J2:Q2"/>
    <mergeCell ref="S2:AD2"/>
    <mergeCell ref="B3:C3"/>
    <mergeCell ref="D3:E3"/>
    <mergeCell ref="F3:G3"/>
    <mergeCell ref="H3:I3"/>
    <mergeCell ref="J3:K3"/>
    <mergeCell ref="L3:M3"/>
    <mergeCell ref="N3:O3"/>
  </mergeCells>
  <conditionalFormatting sqref="AU5:BG15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0"/>
  <sheetViews>
    <sheetView workbookViewId="0">
      <selection activeCell="Z14" sqref="Z14"/>
    </sheetView>
  </sheetViews>
  <sheetFormatPr baseColWidth="10" defaultColWidth="9.140625" defaultRowHeight="15"/>
  <cols>
    <col min="1" max="1" width="10.28515625" customWidth="1"/>
    <col min="2" max="17" width="5" customWidth="1"/>
  </cols>
  <sheetData>
    <row r="1" spans="1:59" ht="30.6" customHeight="1" thickBot="1">
      <c r="B1" s="11" t="s">
        <v>11</v>
      </c>
      <c r="C1" s="12" t="s">
        <v>46</v>
      </c>
    </row>
    <row r="2" spans="1:59" s="10" customFormat="1" ht="21.75" thickBot="1">
      <c r="A2" s="9"/>
      <c r="B2" s="141" t="s">
        <v>5</v>
      </c>
      <c r="C2" s="143"/>
      <c r="D2" s="143"/>
      <c r="E2" s="143"/>
      <c r="F2" s="143"/>
      <c r="G2" s="143"/>
      <c r="H2" s="143"/>
      <c r="I2" s="144"/>
      <c r="J2" s="141" t="s">
        <v>6</v>
      </c>
      <c r="K2" s="143"/>
      <c r="L2" s="143"/>
      <c r="M2" s="143"/>
      <c r="N2" s="143"/>
      <c r="O2" s="143"/>
      <c r="P2" s="143"/>
      <c r="Q2" s="144"/>
      <c r="R2"/>
      <c r="S2" s="138" t="str">
        <f xml:space="preserve"> "Totaux 2021 " &amp; $C1</f>
        <v>Totaux 2021 Ferney-Tunnel</v>
      </c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G2" s="138" t="str">
        <f xml:space="preserve"> "Totaux 2020 " &amp; $C1</f>
        <v>Totaux 2020 Ferney-Tunnel</v>
      </c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U2" s="139" t="str">
        <f xml:space="preserve"> "Changement depuis 2020 " &amp; $C1</f>
        <v>Changement depuis 2020 Ferney-Tunnel</v>
      </c>
      <c r="AV2" s="140"/>
      <c r="AW2" s="140"/>
      <c r="AX2" s="140"/>
      <c r="AY2" s="140"/>
      <c r="AZ2" s="140"/>
      <c r="BA2" s="140"/>
      <c r="BB2" s="140"/>
      <c r="BC2" s="140"/>
      <c r="BD2" s="140"/>
      <c r="BE2" s="140"/>
      <c r="BF2" s="140"/>
      <c r="BG2" s="115"/>
    </row>
    <row r="3" spans="1:59" s="10" customFormat="1" ht="68.45" customHeight="1">
      <c r="A3" s="9"/>
      <c r="B3" s="141" t="s">
        <v>9</v>
      </c>
      <c r="C3" s="144"/>
      <c r="D3" s="145" t="s">
        <v>7</v>
      </c>
      <c r="E3" s="142"/>
      <c r="F3" s="145" t="s">
        <v>8</v>
      </c>
      <c r="G3" s="142"/>
      <c r="H3" s="141" t="s">
        <v>0</v>
      </c>
      <c r="I3" s="142"/>
      <c r="J3" s="141" t="s">
        <v>4</v>
      </c>
      <c r="K3" s="144"/>
      <c r="L3" s="145" t="s">
        <v>7</v>
      </c>
      <c r="M3" s="142"/>
      <c r="N3" s="145" t="s">
        <v>10</v>
      </c>
      <c r="O3" s="142"/>
      <c r="P3" s="141" t="s">
        <v>0</v>
      </c>
      <c r="Q3" s="142"/>
      <c r="R3"/>
      <c r="S3" s="26" t="s">
        <v>20</v>
      </c>
      <c r="T3" s="27" t="s">
        <v>14</v>
      </c>
      <c r="U3" s="27" t="s">
        <v>15</v>
      </c>
      <c r="V3" s="27" t="s">
        <v>16</v>
      </c>
      <c r="W3" s="27" t="s">
        <v>7</v>
      </c>
      <c r="X3" s="27" t="s">
        <v>17</v>
      </c>
      <c r="Y3" s="27" t="s">
        <v>25</v>
      </c>
      <c r="Z3" s="27" t="s">
        <v>27</v>
      </c>
      <c r="AA3" s="27" t="s">
        <v>28</v>
      </c>
      <c r="AB3" s="27" t="s">
        <v>19</v>
      </c>
      <c r="AC3" s="27" t="s">
        <v>21</v>
      </c>
      <c r="AD3" s="28" t="s">
        <v>22</v>
      </c>
      <c r="AE3" s="40" t="s">
        <v>26</v>
      </c>
      <c r="AG3" s="10" t="s">
        <v>20</v>
      </c>
      <c r="AH3" s="10" t="s">
        <v>14</v>
      </c>
      <c r="AI3" s="10" t="s">
        <v>15</v>
      </c>
      <c r="AJ3" s="10" t="s">
        <v>16</v>
      </c>
      <c r="AK3" s="10" t="s">
        <v>7</v>
      </c>
      <c r="AL3" s="10" t="s">
        <v>17</v>
      </c>
      <c r="AM3" s="10" t="s">
        <v>25</v>
      </c>
      <c r="AN3" s="10" t="s">
        <v>27</v>
      </c>
      <c r="AO3" s="10" t="s">
        <v>28</v>
      </c>
      <c r="AP3" s="10" t="s">
        <v>19</v>
      </c>
      <c r="AQ3" s="10" t="s">
        <v>21</v>
      </c>
      <c r="AR3" s="10" t="s">
        <v>22</v>
      </c>
      <c r="AS3" s="10" t="s">
        <v>26</v>
      </c>
      <c r="AU3" s="117" t="s">
        <v>20</v>
      </c>
      <c r="AV3" s="116" t="s">
        <v>14</v>
      </c>
      <c r="AW3" s="116" t="s">
        <v>15</v>
      </c>
      <c r="AX3" s="116" t="s">
        <v>16</v>
      </c>
      <c r="AY3" s="116" t="s">
        <v>7</v>
      </c>
      <c r="AZ3" s="116" t="s">
        <v>17</v>
      </c>
      <c r="BA3" s="116" t="s">
        <v>25</v>
      </c>
      <c r="BB3" s="116" t="s">
        <v>27</v>
      </c>
      <c r="BC3" s="116" t="s">
        <v>28</v>
      </c>
      <c r="BD3" s="116" t="s">
        <v>19</v>
      </c>
      <c r="BE3" s="116" t="s">
        <v>21</v>
      </c>
      <c r="BF3" s="116" t="s">
        <v>22</v>
      </c>
      <c r="BG3" s="118" t="s">
        <v>26</v>
      </c>
    </row>
    <row r="4" spans="1:59" ht="21" thickBot="1">
      <c r="A4" s="1" t="s">
        <v>3</v>
      </c>
      <c r="B4" s="2" t="s">
        <v>1</v>
      </c>
      <c r="C4" s="4" t="s">
        <v>2</v>
      </c>
      <c r="D4" s="2" t="s">
        <v>1</v>
      </c>
      <c r="E4" s="4" t="s">
        <v>2</v>
      </c>
      <c r="F4" s="2" t="s">
        <v>1</v>
      </c>
      <c r="G4" s="4" t="s">
        <v>2</v>
      </c>
      <c r="H4" s="2" t="s">
        <v>1</v>
      </c>
      <c r="I4" s="3" t="s">
        <v>2</v>
      </c>
      <c r="J4" s="2" t="s">
        <v>1</v>
      </c>
      <c r="K4" s="4" t="s">
        <v>2</v>
      </c>
      <c r="L4" s="2" t="s">
        <v>1</v>
      </c>
      <c r="M4" s="4" t="s">
        <v>2</v>
      </c>
      <c r="N4" s="2" t="s">
        <v>1</v>
      </c>
      <c r="O4" s="4" t="s">
        <v>2</v>
      </c>
      <c r="P4" s="2" t="s">
        <v>1</v>
      </c>
      <c r="Q4" s="3" t="s">
        <v>2</v>
      </c>
      <c r="S4" s="29"/>
      <c r="T4" s="19"/>
      <c r="U4" s="25"/>
      <c r="V4" s="19"/>
      <c r="W4" s="19"/>
      <c r="X4" s="19"/>
      <c r="Y4" s="19"/>
      <c r="Z4" s="19"/>
      <c r="AA4" s="19"/>
      <c r="AB4" s="19"/>
      <c r="AC4" s="19"/>
      <c r="AD4" s="30"/>
      <c r="AE4" s="41"/>
      <c r="AU4" s="2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30"/>
    </row>
    <row r="5" spans="1:59" ht="21" customHeight="1" thickBot="1">
      <c r="A5" s="13">
        <v>0.29166666666666669</v>
      </c>
      <c r="B5" s="5">
        <v>8</v>
      </c>
      <c r="C5" s="6">
        <v>2</v>
      </c>
      <c r="D5" s="7">
        <v>2</v>
      </c>
      <c r="E5" s="8">
        <v>1</v>
      </c>
      <c r="F5" s="7">
        <v>2</v>
      </c>
      <c r="G5" s="8">
        <v>0</v>
      </c>
      <c r="H5" s="5"/>
      <c r="I5" s="6"/>
      <c r="J5" s="5"/>
      <c r="K5" s="6"/>
      <c r="L5" s="7"/>
      <c r="M5" s="8"/>
      <c r="N5" s="7"/>
      <c r="O5" s="8"/>
      <c r="P5" s="5"/>
      <c r="Q5" s="6"/>
      <c r="S5" s="29">
        <f t="shared" ref="S5:T12" si="0">B5+D5+F5+H5+J5+L5+N5+P5</f>
        <v>12</v>
      </c>
      <c r="T5" s="19">
        <f t="shared" si="0"/>
        <v>3</v>
      </c>
      <c r="U5" s="25">
        <f t="shared" ref="U5:U11" si="1">T5/(T5+S5)</f>
        <v>0.2</v>
      </c>
      <c r="V5" s="19">
        <f>B5+C5+J5+K5</f>
        <v>10</v>
      </c>
      <c r="W5" s="19">
        <f t="shared" ref="W5:W12" si="2">D5+E5+L5+M5</f>
        <v>3</v>
      </c>
      <c r="X5" s="19">
        <f t="shared" ref="X5:X12" si="3">F5+G5+N5+O5</f>
        <v>2</v>
      </c>
      <c r="Y5" s="19">
        <f t="shared" ref="Y5:Y12" si="4">SUM(V5:X5)</f>
        <v>15</v>
      </c>
      <c r="Z5" s="43">
        <f>W5/Y5</f>
        <v>0.2</v>
      </c>
      <c r="AA5" s="43">
        <f>X5/Y5</f>
        <v>0.13333333333333333</v>
      </c>
      <c r="AB5" s="19">
        <f t="shared" ref="AB5:AB11" si="5">H5+I5+P5+Q5</f>
        <v>0</v>
      </c>
      <c r="AC5" s="19">
        <f t="shared" ref="AC5:AC11" si="6">SUM(B5:I5)</f>
        <v>15</v>
      </c>
      <c r="AD5" s="30">
        <f t="shared" ref="AD5:AD11" si="7">SUM(J5:Q5)</f>
        <v>0</v>
      </c>
      <c r="AE5" s="41">
        <f>SUM(B5:Q5)</f>
        <v>15</v>
      </c>
      <c r="AG5">
        <v>4</v>
      </c>
      <c r="AH5">
        <v>8</v>
      </c>
      <c r="AI5">
        <v>0.66666666666666663</v>
      </c>
      <c r="AJ5">
        <v>7</v>
      </c>
      <c r="AK5">
        <v>5</v>
      </c>
      <c r="AL5">
        <v>0</v>
      </c>
      <c r="AM5">
        <v>12</v>
      </c>
      <c r="AN5">
        <v>0.41666666666666669</v>
      </c>
      <c r="AO5">
        <v>0</v>
      </c>
      <c r="AP5">
        <v>0</v>
      </c>
      <c r="AQ5">
        <v>11</v>
      </c>
      <c r="AR5">
        <v>1</v>
      </c>
      <c r="AS5">
        <v>12</v>
      </c>
      <c r="AU5" s="119">
        <f>(S5/AG5) - 1</f>
        <v>2</v>
      </c>
      <c r="AV5" s="43">
        <f t="shared" ref="AV5:AV15" si="8">(T5/AH5) - 1</f>
        <v>-0.625</v>
      </c>
      <c r="AW5" s="43">
        <f t="shared" ref="AW5:AW15" si="9">(U5/AI5) - 1</f>
        <v>-0.7</v>
      </c>
      <c r="AX5" s="43">
        <f t="shared" ref="AX5:AX15" si="10">(V5/AJ5) - 1</f>
        <v>0.4285714285714286</v>
      </c>
      <c r="AY5" s="43">
        <f t="shared" ref="AY5:AY15" si="11">(W5/AK5) - 1</f>
        <v>-0.4</v>
      </c>
      <c r="AZ5" s="43" t="e">
        <f t="shared" ref="AZ5:AZ15" si="12">(X5/AL5) - 1</f>
        <v>#DIV/0!</v>
      </c>
      <c r="BA5" s="43">
        <f t="shared" ref="BA5:BA15" si="13">(Y5/AM5) - 1</f>
        <v>0.25</v>
      </c>
      <c r="BB5" s="43">
        <f t="shared" ref="BB5:BB15" si="14">(Z5/AN5) - 1</f>
        <v>-0.52</v>
      </c>
      <c r="BC5" s="43" t="e">
        <f t="shared" ref="BC5:BC15" si="15">(AA5/AO5) - 1</f>
        <v>#DIV/0!</v>
      </c>
      <c r="BD5" s="43" t="e">
        <f t="shared" ref="BD5:BD15" si="16">(AB5/AP5) - 1</f>
        <v>#DIV/0!</v>
      </c>
      <c r="BE5" s="43">
        <f t="shared" ref="BE5:BE15" si="17">(AC5/AQ5) - 1</f>
        <v>0.36363636363636354</v>
      </c>
      <c r="BF5" s="43">
        <f t="shared" ref="BF5:BF15" si="18">(AD5/AR5) - 1</f>
        <v>-1</v>
      </c>
      <c r="BG5" s="120">
        <f t="shared" ref="BG5:BG15" si="19">(AE5/AS5) - 1</f>
        <v>0.25</v>
      </c>
    </row>
    <row r="6" spans="1:59" ht="21" customHeight="1" thickBot="1">
      <c r="A6" s="14">
        <v>0.30208333333333331</v>
      </c>
      <c r="B6" s="5">
        <v>9</v>
      </c>
      <c r="C6" s="6">
        <v>6</v>
      </c>
      <c r="D6" s="7">
        <v>8</v>
      </c>
      <c r="E6" s="8">
        <v>4</v>
      </c>
      <c r="F6" s="7">
        <v>1</v>
      </c>
      <c r="G6" s="8">
        <v>2</v>
      </c>
      <c r="H6" s="5"/>
      <c r="I6" s="6"/>
      <c r="J6" s="5">
        <v>1</v>
      </c>
      <c r="K6" s="6"/>
      <c r="L6" s="7">
        <v>1</v>
      </c>
      <c r="M6" s="8"/>
      <c r="N6" s="7"/>
      <c r="O6" s="8"/>
      <c r="P6" s="5"/>
      <c r="Q6" s="6"/>
      <c r="S6" s="29">
        <f t="shared" si="0"/>
        <v>20</v>
      </c>
      <c r="T6" s="19">
        <f t="shared" si="0"/>
        <v>12</v>
      </c>
      <c r="U6" s="25">
        <f t="shared" si="1"/>
        <v>0.375</v>
      </c>
      <c r="V6" s="19">
        <f t="shared" ref="V6:V12" si="20">B6+C6+J6+K6</f>
        <v>16</v>
      </c>
      <c r="W6" s="19">
        <f t="shared" si="2"/>
        <v>13</v>
      </c>
      <c r="X6" s="19">
        <f t="shared" si="3"/>
        <v>3</v>
      </c>
      <c r="Y6" s="19">
        <f t="shared" si="4"/>
        <v>32</v>
      </c>
      <c r="Z6" s="43">
        <f t="shared" ref="Z6:Z15" si="21">W6/Y6</f>
        <v>0.40625</v>
      </c>
      <c r="AA6" s="43">
        <f t="shared" ref="AA6:AA15" si="22">X6/Y6</f>
        <v>9.375E-2</v>
      </c>
      <c r="AB6" s="19">
        <f t="shared" si="5"/>
        <v>0</v>
      </c>
      <c r="AC6" s="19">
        <f t="shared" si="6"/>
        <v>30</v>
      </c>
      <c r="AD6" s="30">
        <f t="shared" si="7"/>
        <v>2</v>
      </c>
      <c r="AE6" s="41">
        <f t="shared" ref="AE6:AE15" si="23">SUM(B6:Q6)</f>
        <v>32</v>
      </c>
      <c r="AG6">
        <v>9</v>
      </c>
      <c r="AH6">
        <v>4</v>
      </c>
      <c r="AI6">
        <v>0.30769230769230771</v>
      </c>
      <c r="AJ6">
        <v>6</v>
      </c>
      <c r="AK6">
        <v>6</v>
      </c>
      <c r="AL6">
        <v>0</v>
      </c>
      <c r="AM6">
        <v>12</v>
      </c>
      <c r="AN6">
        <v>0.5</v>
      </c>
      <c r="AO6">
        <v>0</v>
      </c>
      <c r="AP6">
        <v>1</v>
      </c>
      <c r="AQ6">
        <v>13</v>
      </c>
      <c r="AR6">
        <v>0</v>
      </c>
      <c r="AS6">
        <v>13</v>
      </c>
      <c r="AU6" s="119">
        <f t="shared" ref="AU6:AU15" si="24">(S6/AG6) - 1</f>
        <v>1.2222222222222223</v>
      </c>
      <c r="AV6" s="43">
        <f t="shared" si="8"/>
        <v>2</v>
      </c>
      <c r="AW6" s="43">
        <f t="shared" si="9"/>
        <v>0.21875</v>
      </c>
      <c r="AX6" s="43">
        <f t="shared" si="10"/>
        <v>1.6666666666666665</v>
      </c>
      <c r="AY6" s="43">
        <f t="shared" si="11"/>
        <v>1.1666666666666665</v>
      </c>
      <c r="AZ6" s="43" t="e">
        <f t="shared" si="12"/>
        <v>#DIV/0!</v>
      </c>
      <c r="BA6" s="43">
        <f t="shared" si="13"/>
        <v>1.6666666666666665</v>
      </c>
      <c r="BB6" s="43">
        <f t="shared" si="14"/>
        <v>-0.1875</v>
      </c>
      <c r="BC6" s="43" t="e">
        <f t="shared" si="15"/>
        <v>#DIV/0!</v>
      </c>
      <c r="BD6" s="43">
        <f t="shared" si="16"/>
        <v>-1</v>
      </c>
      <c r="BE6" s="43">
        <f t="shared" si="17"/>
        <v>1.3076923076923075</v>
      </c>
      <c r="BF6" s="43" t="e">
        <f t="shared" si="18"/>
        <v>#DIV/0!</v>
      </c>
      <c r="BG6" s="120">
        <f t="shared" si="19"/>
        <v>1.4615384615384617</v>
      </c>
    </row>
    <row r="7" spans="1:59" ht="21" customHeight="1" thickBot="1">
      <c r="A7" s="14">
        <v>0.3125</v>
      </c>
      <c r="B7" s="5">
        <v>6</v>
      </c>
      <c r="C7" s="6">
        <v>4</v>
      </c>
      <c r="D7" s="7">
        <v>6</v>
      </c>
      <c r="E7" s="8">
        <v>2</v>
      </c>
      <c r="F7" s="7">
        <v>1</v>
      </c>
      <c r="G7" s="8">
        <v>0</v>
      </c>
      <c r="H7" s="5"/>
      <c r="I7" s="6"/>
      <c r="J7" s="5"/>
      <c r="K7" s="6"/>
      <c r="L7" s="7"/>
      <c r="M7" s="8"/>
      <c r="N7" s="7"/>
      <c r="O7" s="8"/>
      <c r="P7" s="5"/>
      <c r="Q7" s="6"/>
      <c r="S7" s="29">
        <f t="shared" si="0"/>
        <v>13</v>
      </c>
      <c r="T7" s="19">
        <f t="shared" si="0"/>
        <v>6</v>
      </c>
      <c r="U7" s="25">
        <f t="shared" si="1"/>
        <v>0.31578947368421051</v>
      </c>
      <c r="V7" s="19">
        <f t="shared" si="20"/>
        <v>10</v>
      </c>
      <c r="W7" s="19">
        <f t="shared" si="2"/>
        <v>8</v>
      </c>
      <c r="X7" s="19">
        <f t="shared" si="3"/>
        <v>1</v>
      </c>
      <c r="Y7" s="19">
        <f t="shared" si="4"/>
        <v>19</v>
      </c>
      <c r="Z7" s="43">
        <f t="shared" si="21"/>
        <v>0.42105263157894735</v>
      </c>
      <c r="AA7" s="43">
        <f t="shared" si="22"/>
        <v>5.2631578947368418E-2</v>
      </c>
      <c r="AB7" s="19">
        <f t="shared" si="5"/>
        <v>0</v>
      </c>
      <c r="AC7" s="19">
        <f t="shared" si="6"/>
        <v>19</v>
      </c>
      <c r="AD7" s="30">
        <f t="shared" si="7"/>
        <v>0</v>
      </c>
      <c r="AE7" s="41">
        <f t="shared" si="23"/>
        <v>19</v>
      </c>
      <c r="AG7">
        <v>14</v>
      </c>
      <c r="AH7">
        <v>5</v>
      </c>
      <c r="AI7">
        <v>0.26315789473684209</v>
      </c>
      <c r="AJ7">
        <v>13</v>
      </c>
      <c r="AK7">
        <v>6</v>
      </c>
      <c r="AL7">
        <v>0</v>
      </c>
      <c r="AM7">
        <v>19</v>
      </c>
      <c r="AN7">
        <v>0.31578947368421051</v>
      </c>
      <c r="AO7">
        <v>0</v>
      </c>
      <c r="AP7">
        <v>0</v>
      </c>
      <c r="AQ7">
        <v>18</v>
      </c>
      <c r="AR7">
        <v>1</v>
      </c>
      <c r="AS7">
        <v>19</v>
      </c>
      <c r="AU7" s="119">
        <f t="shared" si="24"/>
        <v>-7.1428571428571397E-2</v>
      </c>
      <c r="AV7" s="43">
        <f t="shared" si="8"/>
        <v>0.19999999999999996</v>
      </c>
      <c r="AW7" s="43">
        <f t="shared" si="9"/>
        <v>0.19999999999999996</v>
      </c>
      <c r="AX7" s="43">
        <f t="shared" si="10"/>
        <v>-0.23076923076923073</v>
      </c>
      <c r="AY7" s="43">
        <f t="shared" si="11"/>
        <v>0.33333333333333326</v>
      </c>
      <c r="AZ7" s="43" t="e">
        <f t="shared" si="12"/>
        <v>#DIV/0!</v>
      </c>
      <c r="BA7" s="43">
        <f t="shared" si="13"/>
        <v>0</v>
      </c>
      <c r="BB7" s="43">
        <f t="shared" si="14"/>
        <v>0.33333333333333326</v>
      </c>
      <c r="BC7" s="43" t="e">
        <f t="shared" si="15"/>
        <v>#DIV/0!</v>
      </c>
      <c r="BD7" s="43" t="e">
        <f t="shared" si="16"/>
        <v>#DIV/0!</v>
      </c>
      <c r="BE7" s="43">
        <f t="shared" si="17"/>
        <v>5.555555555555558E-2</v>
      </c>
      <c r="BF7" s="43">
        <f t="shared" si="18"/>
        <v>-1</v>
      </c>
      <c r="BG7" s="120">
        <f t="shared" si="19"/>
        <v>0</v>
      </c>
    </row>
    <row r="8" spans="1:59" ht="21" customHeight="1" thickBot="1">
      <c r="A8" s="14">
        <v>0.32291666666666669</v>
      </c>
      <c r="B8" s="5">
        <v>12</v>
      </c>
      <c r="C8" s="6">
        <v>5</v>
      </c>
      <c r="D8" s="7">
        <v>7</v>
      </c>
      <c r="E8" s="8">
        <v>9</v>
      </c>
      <c r="F8" s="7">
        <v>3</v>
      </c>
      <c r="G8" s="8">
        <v>0</v>
      </c>
      <c r="H8" s="5">
        <v>1</v>
      </c>
      <c r="I8" s="6">
        <v>1</v>
      </c>
      <c r="J8" s="5"/>
      <c r="K8" s="6"/>
      <c r="L8" s="7"/>
      <c r="M8" s="8"/>
      <c r="N8" s="7"/>
      <c r="O8" s="8"/>
      <c r="P8" s="5">
        <v>1</v>
      </c>
      <c r="Q8" s="6"/>
      <c r="S8" s="29">
        <f t="shared" si="0"/>
        <v>24</v>
      </c>
      <c r="T8" s="19">
        <f t="shared" si="0"/>
        <v>15</v>
      </c>
      <c r="U8" s="25">
        <f t="shared" si="1"/>
        <v>0.38461538461538464</v>
      </c>
      <c r="V8" s="19">
        <f t="shared" si="20"/>
        <v>17</v>
      </c>
      <c r="W8" s="19">
        <f t="shared" si="2"/>
        <v>16</v>
      </c>
      <c r="X8" s="19">
        <f t="shared" si="3"/>
        <v>3</v>
      </c>
      <c r="Y8" s="19">
        <f t="shared" si="4"/>
        <v>36</v>
      </c>
      <c r="Z8" s="43">
        <f t="shared" si="21"/>
        <v>0.44444444444444442</v>
      </c>
      <c r="AA8" s="43">
        <f t="shared" si="22"/>
        <v>8.3333333333333329E-2</v>
      </c>
      <c r="AB8" s="19">
        <f t="shared" si="5"/>
        <v>3</v>
      </c>
      <c r="AC8" s="19">
        <f t="shared" si="6"/>
        <v>38</v>
      </c>
      <c r="AD8" s="30">
        <f t="shared" si="7"/>
        <v>1</v>
      </c>
      <c r="AE8" s="41">
        <f t="shared" si="23"/>
        <v>39</v>
      </c>
      <c r="AG8">
        <v>11</v>
      </c>
      <c r="AH8">
        <v>6</v>
      </c>
      <c r="AI8">
        <v>0.35294117647058826</v>
      </c>
      <c r="AJ8">
        <v>11</v>
      </c>
      <c r="AK8">
        <v>6</v>
      </c>
      <c r="AL8">
        <v>0</v>
      </c>
      <c r="AM8">
        <v>17</v>
      </c>
      <c r="AN8">
        <v>0.35294117647058826</v>
      </c>
      <c r="AO8">
        <v>0</v>
      </c>
      <c r="AP8">
        <v>0</v>
      </c>
      <c r="AQ8">
        <v>17</v>
      </c>
      <c r="AR8">
        <v>0</v>
      </c>
      <c r="AS8">
        <v>17</v>
      </c>
      <c r="AU8" s="119">
        <f t="shared" si="24"/>
        <v>1.1818181818181817</v>
      </c>
      <c r="AV8" s="43">
        <f t="shared" si="8"/>
        <v>1.5</v>
      </c>
      <c r="AW8" s="43">
        <f t="shared" si="9"/>
        <v>8.9743589743589647E-2</v>
      </c>
      <c r="AX8" s="43">
        <f t="shared" si="10"/>
        <v>0.54545454545454541</v>
      </c>
      <c r="AY8" s="43">
        <f t="shared" si="11"/>
        <v>1.6666666666666665</v>
      </c>
      <c r="AZ8" s="43" t="e">
        <f t="shared" si="12"/>
        <v>#DIV/0!</v>
      </c>
      <c r="BA8" s="43">
        <f t="shared" si="13"/>
        <v>1.1176470588235294</v>
      </c>
      <c r="BB8" s="43">
        <f t="shared" si="14"/>
        <v>0.25925925925925908</v>
      </c>
      <c r="BC8" s="43" t="e">
        <f t="shared" si="15"/>
        <v>#DIV/0!</v>
      </c>
      <c r="BD8" s="43" t="e">
        <f t="shared" si="16"/>
        <v>#DIV/0!</v>
      </c>
      <c r="BE8" s="43">
        <f t="shared" si="17"/>
        <v>1.2352941176470589</v>
      </c>
      <c r="BF8" s="43" t="e">
        <f t="shared" si="18"/>
        <v>#DIV/0!</v>
      </c>
      <c r="BG8" s="120">
        <f t="shared" si="19"/>
        <v>1.2941176470588234</v>
      </c>
    </row>
    <row r="9" spans="1:59" ht="21" customHeight="1" thickBot="1">
      <c r="A9" s="13">
        <v>0.33333333333333331</v>
      </c>
      <c r="B9" s="5">
        <v>6</v>
      </c>
      <c r="C9" s="6">
        <v>3</v>
      </c>
      <c r="D9" s="7">
        <v>4</v>
      </c>
      <c r="E9" s="8">
        <v>3</v>
      </c>
      <c r="F9" s="7">
        <v>1</v>
      </c>
      <c r="G9" s="8">
        <v>1</v>
      </c>
      <c r="H9" s="5"/>
      <c r="I9" s="6"/>
      <c r="J9" s="5"/>
      <c r="K9" s="6"/>
      <c r="L9" s="7">
        <v>1</v>
      </c>
      <c r="M9" s="8"/>
      <c r="N9" s="7"/>
      <c r="O9" s="8"/>
      <c r="P9" s="5"/>
      <c r="Q9" s="6"/>
      <c r="S9" s="29">
        <f t="shared" si="0"/>
        <v>12</v>
      </c>
      <c r="T9" s="19">
        <f t="shared" si="0"/>
        <v>7</v>
      </c>
      <c r="U9" s="25">
        <f t="shared" si="1"/>
        <v>0.36842105263157893</v>
      </c>
      <c r="V9" s="19">
        <f t="shared" si="20"/>
        <v>9</v>
      </c>
      <c r="W9" s="19">
        <f t="shared" si="2"/>
        <v>8</v>
      </c>
      <c r="X9" s="19">
        <f t="shared" si="3"/>
        <v>2</v>
      </c>
      <c r="Y9" s="19">
        <f t="shared" si="4"/>
        <v>19</v>
      </c>
      <c r="Z9" s="43">
        <f t="shared" si="21"/>
        <v>0.42105263157894735</v>
      </c>
      <c r="AA9" s="43">
        <f t="shared" si="22"/>
        <v>0.10526315789473684</v>
      </c>
      <c r="AB9" s="19">
        <f t="shared" si="5"/>
        <v>0</v>
      </c>
      <c r="AC9" s="19">
        <f t="shared" si="6"/>
        <v>18</v>
      </c>
      <c r="AD9" s="30">
        <f t="shared" si="7"/>
        <v>1</v>
      </c>
      <c r="AE9" s="41">
        <f t="shared" si="23"/>
        <v>19</v>
      </c>
      <c r="AG9">
        <v>13</v>
      </c>
      <c r="AH9">
        <v>12</v>
      </c>
      <c r="AI9">
        <v>0.48</v>
      </c>
      <c r="AJ9">
        <v>13</v>
      </c>
      <c r="AK9">
        <v>10</v>
      </c>
      <c r="AL9">
        <v>2</v>
      </c>
      <c r="AM9">
        <v>25</v>
      </c>
      <c r="AN9">
        <v>0.4</v>
      </c>
      <c r="AO9">
        <v>0.08</v>
      </c>
      <c r="AP9">
        <v>0</v>
      </c>
      <c r="AQ9">
        <v>23</v>
      </c>
      <c r="AR9">
        <v>2</v>
      </c>
      <c r="AS9">
        <v>25</v>
      </c>
      <c r="AU9" s="119">
        <f t="shared" si="24"/>
        <v>-7.6923076923076872E-2</v>
      </c>
      <c r="AV9" s="43">
        <f t="shared" si="8"/>
        <v>-0.41666666666666663</v>
      </c>
      <c r="AW9" s="43">
        <f t="shared" si="9"/>
        <v>-0.23245614035087725</v>
      </c>
      <c r="AX9" s="43">
        <f t="shared" si="10"/>
        <v>-0.30769230769230771</v>
      </c>
      <c r="AY9" s="43">
        <f t="shared" si="11"/>
        <v>-0.19999999999999996</v>
      </c>
      <c r="AZ9" s="43">
        <f t="shared" si="12"/>
        <v>0</v>
      </c>
      <c r="BA9" s="43">
        <f t="shared" si="13"/>
        <v>-0.24</v>
      </c>
      <c r="BB9" s="43">
        <f t="shared" si="14"/>
        <v>5.2631578947368363E-2</v>
      </c>
      <c r="BC9" s="43">
        <f t="shared" si="15"/>
        <v>0.3157894736842104</v>
      </c>
      <c r="BD9" s="43" t="e">
        <f t="shared" si="16"/>
        <v>#DIV/0!</v>
      </c>
      <c r="BE9" s="43">
        <f t="shared" si="17"/>
        <v>-0.21739130434782605</v>
      </c>
      <c r="BF9" s="43">
        <f t="shared" si="18"/>
        <v>-0.5</v>
      </c>
      <c r="BG9" s="120">
        <f t="shared" si="19"/>
        <v>-0.24</v>
      </c>
    </row>
    <row r="10" spans="1:59" ht="21" customHeight="1" thickBot="1">
      <c r="A10" s="14">
        <v>0.34375</v>
      </c>
      <c r="B10" s="5">
        <v>5</v>
      </c>
      <c r="C10" s="6">
        <v>3</v>
      </c>
      <c r="D10" s="7">
        <v>7</v>
      </c>
      <c r="E10" s="8">
        <v>4</v>
      </c>
      <c r="F10" s="7">
        <v>3</v>
      </c>
      <c r="G10" s="8">
        <v>0</v>
      </c>
      <c r="H10" s="5"/>
      <c r="I10" s="6"/>
      <c r="J10" s="5"/>
      <c r="K10" s="6"/>
      <c r="L10" s="7">
        <v>2</v>
      </c>
      <c r="M10" s="8">
        <v>1</v>
      </c>
      <c r="N10" s="7"/>
      <c r="O10" s="8"/>
      <c r="P10" s="5"/>
      <c r="Q10" s="6"/>
      <c r="S10" s="29">
        <f t="shared" si="0"/>
        <v>17</v>
      </c>
      <c r="T10" s="19">
        <f t="shared" si="0"/>
        <v>8</v>
      </c>
      <c r="U10" s="25">
        <f t="shared" si="1"/>
        <v>0.32</v>
      </c>
      <c r="V10" s="19">
        <f t="shared" si="20"/>
        <v>8</v>
      </c>
      <c r="W10" s="19">
        <f t="shared" si="2"/>
        <v>14</v>
      </c>
      <c r="X10" s="19">
        <f t="shared" si="3"/>
        <v>3</v>
      </c>
      <c r="Y10" s="19">
        <f t="shared" si="4"/>
        <v>25</v>
      </c>
      <c r="Z10" s="43">
        <f t="shared" si="21"/>
        <v>0.56000000000000005</v>
      </c>
      <c r="AA10" s="43">
        <f t="shared" si="22"/>
        <v>0.12</v>
      </c>
      <c r="AB10" s="19">
        <f t="shared" si="5"/>
        <v>0</v>
      </c>
      <c r="AC10" s="19">
        <f t="shared" si="6"/>
        <v>22</v>
      </c>
      <c r="AD10" s="30">
        <f t="shared" si="7"/>
        <v>3</v>
      </c>
      <c r="AE10" s="41">
        <f t="shared" si="23"/>
        <v>25</v>
      </c>
      <c r="AG10">
        <v>13</v>
      </c>
      <c r="AH10">
        <v>14</v>
      </c>
      <c r="AI10">
        <v>0.51851851851851849</v>
      </c>
      <c r="AJ10">
        <v>9</v>
      </c>
      <c r="AK10">
        <v>14</v>
      </c>
      <c r="AL10">
        <v>3</v>
      </c>
      <c r="AM10">
        <v>26</v>
      </c>
      <c r="AN10">
        <v>0.53846153846153844</v>
      </c>
      <c r="AO10">
        <v>0.11538461538461539</v>
      </c>
      <c r="AP10">
        <v>1</v>
      </c>
      <c r="AQ10">
        <v>23</v>
      </c>
      <c r="AR10">
        <v>4</v>
      </c>
      <c r="AS10">
        <v>27</v>
      </c>
      <c r="AU10" s="119">
        <f t="shared" si="24"/>
        <v>0.30769230769230771</v>
      </c>
      <c r="AV10" s="43">
        <f t="shared" si="8"/>
        <v>-0.4285714285714286</v>
      </c>
      <c r="AW10" s="43">
        <f t="shared" si="9"/>
        <v>-0.38285714285714278</v>
      </c>
      <c r="AX10" s="43">
        <f t="shared" si="10"/>
        <v>-0.11111111111111116</v>
      </c>
      <c r="AY10" s="43">
        <f t="shared" si="11"/>
        <v>0</v>
      </c>
      <c r="AZ10" s="43">
        <f t="shared" si="12"/>
        <v>0</v>
      </c>
      <c r="BA10" s="43">
        <f t="shared" si="13"/>
        <v>-3.8461538461538436E-2</v>
      </c>
      <c r="BB10" s="43">
        <f t="shared" si="14"/>
        <v>4.0000000000000258E-2</v>
      </c>
      <c r="BC10" s="43">
        <f t="shared" si="15"/>
        <v>3.9999999999999813E-2</v>
      </c>
      <c r="BD10" s="43">
        <f t="shared" si="16"/>
        <v>-1</v>
      </c>
      <c r="BE10" s="43">
        <f t="shared" si="17"/>
        <v>-4.3478260869565188E-2</v>
      </c>
      <c r="BF10" s="43">
        <f t="shared" si="18"/>
        <v>-0.25</v>
      </c>
      <c r="BG10" s="120">
        <f t="shared" si="19"/>
        <v>-7.407407407407407E-2</v>
      </c>
    </row>
    <row r="11" spans="1:59" ht="21" customHeight="1" thickBot="1">
      <c r="A11" s="14">
        <v>0.35416666666666669</v>
      </c>
      <c r="B11" s="5">
        <v>12</v>
      </c>
      <c r="C11" s="6">
        <v>1</v>
      </c>
      <c r="D11" s="7">
        <v>6</v>
      </c>
      <c r="E11" s="8">
        <v>2</v>
      </c>
      <c r="F11" s="7">
        <v>2</v>
      </c>
      <c r="G11" s="8">
        <v>2</v>
      </c>
      <c r="H11" s="5"/>
      <c r="I11" s="6"/>
      <c r="J11" s="5"/>
      <c r="K11" s="6"/>
      <c r="L11" s="7">
        <v>1</v>
      </c>
      <c r="M11" s="8"/>
      <c r="N11" s="7"/>
      <c r="O11" s="8"/>
      <c r="P11" s="5"/>
      <c r="Q11" s="6"/>
      <c r="S11" s="29">
        <f t="shared" si="0"/>
        <v>21</v>
      </c>
      <c r="T11" s="19">
        <f t="shared" si="0"/>
        <v>5</v>
      </c>
      <c r="U11" s="25">
        <f t="shared" si="1"/>
        <v>0.19230769230769232</v>
      </c>
      <c r="V11" s="19">
        <f t="shared" si="20"/>
        <v>13</v>
      </c>
      <c r="W11" s="19">
        <f t="shared" si="2"/>
        <v>9</v>
      </c>
      <c r="X11" s="19">
        <f t="shared" si="3"/>
        <v>4</v>
      </c>
      <c r="Y11" s="19">
        <f t="shared" si="4"/>
        <v>26</v>
      </c>
      <c r="Z11" s="43">
        <f t="shared" si="21"/>
        <v>0.34615384615384615</v>
      </c>
      <c r="AA11" s="43">
        <f t="shared" si="22"/>
        <v>0.15384615384615385</v>
      </c>
      <c r="AB11" s="19">
        <f t="shared" si="5"/>
        <v>0</v>
      </c>
      <c r="AC11" s="19">
        <f t="shared" si="6"/>
        <v>25</v>
      </c>
      <c r="AD11" s="30">
        <f t="shared" si="7"/>
        <v>1</v>
      </c>
      <c r="AE11" s="41">
        <f t="shared" si="23"/>
        <v>26</v>
      </c>
      <c r="AG11">
        <v>21</v>
      </c>
      <c r="AH11">
        <v>9</v>
      </c>
      <c r="AI11">
        <v>0.3</v>
      </c>
      <c r="AJ11">
        <v>16</v>
      </c>
      <c r="AK11">
        <v>12</v>
      </c>
      <c r="AL11">
        <v>1</v>
      </c>
      <c r="AM11">
        <v>29</v>
      </c>
      <c r="AN11">
        <v>0.41379310344827586</v>
      </c>
      <c r="AO11">
        <v>3.4482758620689655E-2</v>
      </c>
      <c r="AP11">
        <v>1</v>
      </c>
      <c r="AQ11">
        <v>27</v>
      </c>
      <c r="AR11">
        <v>3</v>
      </c>
      <c r="AS11">
        <v>30</v>
      </c>
      <c r="AU11" s="119">
        <f t="shared" si="24"/>
        <v>0</v>
      </c>
      <c r="AV11" s="43">
        <f t="shared" si="8"/>
        <v>-0.44444444444444442</v>
      </c>
      <c r="AW11" s="43">
        <f t="shared" si="9"/>
        <v>-0.35897435897435892</v>
      </c>
      <c r="AX11" s="43">
        <f t="shared" si="10"/>
        <v>-0.1875</v>
      </c>
      <c r="AY11" s="43">
        <f t="shared" si="11"/>
        <v>-0.25</v>
      </c>
      <c r="AZ11" s="43">
        <f t="shared" si="12"/>
        <v>3</v>
      </c>
      <c r="BA11" s="43">
        <f t="shared" si="13"/>
        <v>-0.10344827586206895</v>
      </c>
      <c r="BB11" s="43">
        <f t="shared" si="14"/>
        <v>-0.16346153846153844</v>
      </c>
      <c r="BC11" s="43">
        <f t="shared" si="15"/>
        <v>3.4615384615384617</v>
      </c>
      <c r="BD11" s="43">
        <f t="shared" si="16"/>
        <v>-1</v>
      </c>
      <c r="BE11" s="43">
        <f t="shared" si="17"/>
        <v>-7.407407407407407E-2</v>
      </c>
      <c r="BF11" s="43">
        <f t="shared" si="18"/>
        <v>-0.66666666666666674</v>
      </c>
      <c r="BG11" s="120">
        <f t="shared" si="19"/>
        <v>-0.1333333333333333</v>
      </c>
    </row>
    <row r="12" spans="1:59" ht="21" customHeight="1" thickBot="1">
      <c r="A12" s="14">
        <v>0.36458333333333331</v>
      </c>
      <c r="B12" s="5">
        <v>11</v>
      </c>
      <c r="C12" s="6">
        <v>8</v>
      </c>
      <c r="D12" s="7">
        <v>8</v>
      </c>
      <c r="E12" s="8">
        <v>6</v>
      </c>
      <c r="F12" s="7">
        <v>2</v>
      </c>
      <c r="G12" s="8">
        <v>0</v>
      </c>
      <c r="H12" s="5"/>
      <c r="I12" s="6">
        <v>1</v>
      </c>
      <c r="J12" s="5"/>
      <c r="K12" s="6"/>
      <c r="L12" s="7">
        <v>0</v>
      </c>
      <c r="M12" s="8"/>
      <c r="N12" s="7"/>
      <c r="O12" s="8"/>
      <c r="P12" s="5"/>
      <c r="Q12" s="6"/>
      <c r="S12" s="29">
        <f t="shared" si="0"/>
        <v>21</v>
      </c>
      <c r="T12" s="19">
        <f t="shared" si="0"/>
        <v>15</v>
      </c>
      <c r="U12" s="25">
        <f>T12/(T12+S12)</f>
        <v>0.41666666666666669</v>
      </c>
      <c r="V12" s="19">
        <f t="shared" si="20"/>
        <v>19</v>
      </c>
      <c r="W12" s="19">
        <f t="shared" si="2"/>
        <v>14</v>
      </c>
      <c r="X12" s="19">
        <f t="shared" si="3"/>
        <v>2</v>
      </c>
      <c r="Y12" s="19">
        <f t="shared" si="4"/>
        <v>35</v>
      </c>
      <c r="Z12" s="43">
        <f t="shared" si="21"/>
        <v>0.4</v>
      </c>
      <c r="AA12" s="43">
        <f t="shared" si="22"/>
        <v>5.7142857142857141E-2</v>
      </c>
      <c r="AB12" s="19">
        <f>H12+I12+P12+Q12</f>
        <v>1</v>
      </c>
      <c r="AC12" s="19">
        <f>SUM(B12:I12)</f>
        <v>36</v>
      </c>
      <c r="AD12" s="30">
        <f>SUM(J12:Q12)</f>
        <v>0</v>
      </c>
      <c r="AE12" s="41">
        <f t="shared" si="23"/>
        <v>36</v>
      </c>
      <c r="AG12">
        <v>13</v>
      </c>
      <c r="AH12">
        <v>4</v>
      </c>
      <c r="AI12">
        <v>0.23529411764705882</v>
      </c>
      <c r="AJ12">
        <v>11</v>
      </c>
      <c r="AK12">
        <v>4</v>
      </c>
      <c r="AL12">
        <v>1</v>
      </c>
      <c r="AM12">
        <v>16</v>
      </c>
      <c r="AN12">
        <v>0.25</v>
      </c>
      <c r="AO12">
        <v>6.25E-2</v>
      </c>
      <c r="AP12">
        <v>1</v>
      </c>
      <c r="AQ12">
        <v>14</v>
      </c>
      <c r="AR12">
        <v>3</v>
      </c>
      <c r="AS12">
        <v>17</v>
      </c>
      <c r="AU12" s="119">
        <f t="shared" si="24"/>
        <v>0.61538461538461542</v>
      </c>
      <c r="AV12" s="43">
        <f t="shared" si="8"/>
        <v>2.75</v>
      </c>
      <c r="AW12" s="43">
        <f t="shared" si="9"/>
        <v>0.77083333333333348</v>
      </c>
      <c r="AX12" s="43">
        <f t="shared" si="10"/>
        <v>0.72727272727272729</v>
      </c>
      <c r="AY12" s="43">
        <f t="shared" si="11"/>
        <v>2.5</v>
      </c>
      <c r="AZ12" s="43">
        <f t="shared" si="12"/>
        <v>1</v>
      </c>
      <c r="BA12" s="43">
        <f t="shared" si="13"/>
        <v>1.1875</v>
      </c>
      <c r="BB12" s="43">
        <f t="shared" si="14"/>
        <v>0.60000000000000009</v>
      </c>
      <c r="BC12" s="43">
        <f t="shared" si="15"/>
        <v>-8.5714285714285743E-2</v>
      </c>
      <c r="BD12" s="43">
        <f t="shared" si="16"/>
        <v>0</v>
      </c>
      <c r="BE12" s="43">
        <f t="shared" si="17"/>
        <v>1.5714285714285716</v>
      </c>
      <c r="BF12" s="43">
        <f t="shared" si="18"/>
        <v>-1</v>
      </c>
      <c r="BG12" s="120">
        <f t="shared" si="19"/>
        <v>1.1176470588235294</v>
      </c>
    </row>
    <row r="13" spans="1:59" s="97" customFormat="1" ht="21" customHeight="1" thickBot="1">
      <c r="A13" s="121"/>
      <c r="B13" s="122"/>
      <c r="C13" s="123"/>
      <c r="D13" s="124"/>
      <c r="E13" s="124"/>
      <c r="F13" s="124"/>
      <c r="G13" s="124"/>
      <c r="H13" s="122"/>
      <c r="I13" s="123"/>
      <c r="J13" s="122"/>
      <c r="K13" s="123"/>
      <c r="L13" s="124"/>
      <c r="M13" s="124"/>
      <c r="N13" s="124"/>
      <c r="O13" s="124"/>
      <c r="P13" s="122"/>
      <c r="Q13" s="123"/>
      <c r="S13" s="44"/>
      <c r="T13" s="45"/>
      <c r="U13" s="46"/>
      <c r="V13" s="45"/>
      <c r="W13" s="45"/>
      <c r="X13" s="45"/>
      <c r="Y13" s="45"/>
      <c r="Z13" s="43"/>
      <c r="AA13" s="43"/>
      <c r="AB13" s="45"/>
      <c r="AC13" s="45"/>
      <c r="AD13" s="48"/>
      <c r="AE13" s="49"/>
      <c r="AU13" s="119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120"/>
    </row>
    <row r="14" spans="1:59" ht="15.75" thickBot="1">
      <c r="A14" s="24" t="s">
        <v>13</v>
      </c>
      <c r="B14" s="35">
        <f>SUM(B5:B12)</f>
        <v>69</v>
      </c>
      <c r="C14" s="35">
        <f t="shared" ref="C14:Q14" si="25">SUM(C5:C12)</f>
        <v>32</v>
      </c>
      <c r="D14" s="35">
        <f t="shared" si="25"/>
        <v>48</v>
      </c>
      <c r="E14" s="35">
        <f t="shared" si="25"/>
        <v>31</v>
      </c>
      <c r="F14" s="35">
        <f t="shared" si="25"/>
        <v>15</v>
      </c>
      <c r="G14" s="35">
        <f t="shared" si="25"/>
        <v>5</v>
      </c>
      <c r="H14" s="35">
        <f t="shared" si="25"/>
        <v>1</v>
      </c>
      <c r="I14" s="35">
        <f t="shared" si="25"/>
        <v>2</v>
      </c>
      <c r="J14" s="35">
        <f t="shared" si="25"/>
        <v>1</v>
      </c>
      <c r="K14" s="35">
        <f t="shared" si="25"/>
        <v>0</v>
      </c>
      <c r="L14" s="35">
        <f t="shared" si="25"/>
        <v>5</v>
      </c>
      <c r="M14" s="35">
        <f t="shared" si="25"/>
        <v>1</v>
      </c>
      <c r="N14" s="35">
        <f t="shared" si="25"/>
        <v>0</v>
      </c>
      <c r="O14" s="35">
        <f t="shared" si="25"/>
        <v>0</v>
      </c>
      <c r="P14" s="35">
        <f t="shared" si="25"/>
        <v>1</v>
      </c>
      <c r="Q14" s="35">
        <f t="shared" si="25"/>
        <v>0</v>
      </c>
      <c r="S14" s="31">
        <f>B14+D14+F14+H14+J14+L14+N14+P14</f>
        <v>140</v>
      </c>
      <c r="T14" s="32">
        <f t="shared" ref="S12:T15" si="26">C14+E14+G14+I14+K14+M14+O14+Q14</f>
        <v>71</v>
      </c>
      <c r="U14" s="33">
        <f>T14/(T14+S14)</f>
        <v>0.33649289099526064</v>
      </c>
      <c r="V14" s="32">
        <f>B14+C14+J14+K14</f>
        <v>102</v>
      </c>
      <c r="W14" s="32">
        <f>D14+E14+L14+M14</f>
        <v>85</v>
      </c>
      <c r="X14" s="32">
        <f>F14+G14+N14+O14</f>
        <v>20</v>
      </c>
      <c r="Y14" s="32">
        <f>SUM(V14:X14)</f>
        <v>207</v>
      </c>
      <c r="Z14" s="43">
        <f t="shared" si="21"/>
        <v>0.41062801932367149</v>
      </c>
      <c r="AA14" s="43">
        <f t="shared" si="22"/>
        <v>9.6618357487922704E-2</v>
      </c>
      <c r="AB14" s="32">
        <f>H14+I14+P14+Q14</f>
        <v>4</v>
      </c>
      <c r="AC14" s="32">
        <f>SUM(B14:I14)</f>
        <v>203</v>
      </c>
      <c r="AD14" s="34">
        <f>SUM(J14:Q14)</f>
        <v>8</v>
      </c>
      <c r="AE14" s="42">
        <f t="shared" si="23"/>
        <v>211</v>
      </c>
      <c r="AG14">
        <v>98</v>
      </c>
      <c r="AH14">
        <v>62</v>
      </c>
      <c r="AI14">
        <v>0.38750000000000001</v>
      </c>
      <c r="AJ14">
        <v>86</v>
      </c>
      <c r="AK14">
        <v>63</v>
      </c>
      <c r="AL14">
        <v>7</v>
      </c>
      <c r="AM14">
        <v>156</v>
      </c>
      <c r="AN14">
        <v>0.40384615384615385</v>
      </c>
      <c r="AO14">
        <v>4.4871794871794872E-2</v>
      </c>
      <c r="AP14">
        <v>4</v>
      </c>
      <c r="AQ14">
        <v>146</v>
      </c>
      <c r="AR14">
        <v>14</v>
      </c>
      <c r="AS14">
        <v>160</v>
      </c>
      <c r="AU14" s="119">
        <f t="shared" si="24"/>
        <v>0.4285714285714286</v>
      </c>
      <c r="AV14" s="43">
        <f t="shared" si="8"/>
        <v>0.14516129032258074</v>
      </c>
      <c r="AW14" s="43">
        <f t="shared" si="9"/>
        <v>-0.13163124904448864</v>
      </c>
      <c r="AX14" s="43">
        <f t="shared" si="10"/>
        <v>0.18604651162790709</v>
      </c>
      <c r="AY14" s="43">
        <f t="shared" si="11"/>
        <v>0.3492063492063493</v>
      </c>
      <c r="AZ14" s="43">
        <f t="shared" si="12"/>
        <v>1.8571428571428572</v>
      </c>
      <c r="BA14" s="43">
        <f t="shared" si="13"/>
        <v>0.32692307692307687</v>
      </c>
      <c r="BB14" s="43">
        <f t="shared" si="14"/>
        <v>1.6793190706234196E-2</v>
      </c>
      <c r="BC14" s="43">
        <f t="shared" si="15"/>
        <v>1.1532091097308488</v>
      </c>
      <c r="BD14" s="43">
        <f t="shared" si="16"/>
        <v>0</v>
      </c>
      <c r="BE14" s="43">
        <f t="shared" si="17"/>
        <v>0.3904109589041096</v>
      </c>
      <c r="BF14" s="43">
        <f t="shared" si="18"/>
        <v>-0.4285714285714286</v>
      </c>
      <c r="BG14" s="120">
        <f t="shared" si="19"/>
        <v>0.31875000000000009</v>
      </c>
    </row>
    <row r="15" spans="1:59" ht="15.75" thickBot="1">
      <c r="A15" s="24" t="s">
        <v>31</v>
      </c>
      <c r="B15" s="24">
        <f>SUM(B7:B10)</f>
        <v>29</v>
      </c>
      <c r="C15" s="24">
        <f t="shared" ref="C15:Q15" si="27">SUM(C7:C10)</f>
        <v>15</v>
      </c>
      <c r="D15" s="24">
        <f t="shared" si="27"/>
        <v>24</v>
      </c>
      <c r="E15" s="24">
        <f t="shared" si="27"/>
        <v>18</v>
      </c>
      <c r="F15" s="24">
        <f t="shared" si="27"/>
        <v>8</v>
      </c>
      <c r="G15" s="24">
        <f t="shared" si="27"/>
        <v>1</v>
      </c>
      <c r="H15" s="24">
        <f t="shared" si="27"/>
        <v>1</v>
      </c>
      <c r="I15" s="24">
        <f t="shared" si="27"/>
        <v>1</v>
      </c>
      <c r="J15" s="24">
        <f t="shared" si="27"/>
        <v>0</v>
      </c>
      <c r="K15" s="24">
        <f t="shared" si="27"/>
        <v>0</v>
      </c>
      <c r="L15" s="24">
        <f t="shared" si="27"/>
        <v>3</v>
      </c>
      <c r="M15" s="24">
        <f t="shared" si="27"/>
        <v>1</v>
      </c>
      <c r="N15" s="24">
        <f t="shared" si="27"/>
        <v>0</v>
      </c>
      <c r="O15" s="24">
        <f t="shared" si="27"/>
        <v>0</v>
      </c>
      <c r="P15" s="24">
        <f t="shared" si="27"/>
        <v>1</v>
      </c>
      <c r="Q15" s="24">
        <f t="shared" si="27"/>
        <v>0</v>
      </c>
      <c r="S15" s="50">
        <f t="shared" si="26"/>
        <v>66</v>
      </c>
      <c r="T15" s="35">
        <f t="shared" si="26"/>
        <v>36</v>
      </c>
      <c r="U15" s="51">
        <f>T15/(T15+S15)</f>
        <v>0.35294117647058826</v>
      </c>
      <c r="V15" s="35">
        <f>B15+C15+J15+K15</f>
        <v>44</v>
      </c>
      <c r="W15" s="35">
        <f>D15+E15+L15+M15</f>
        <v>46</v>
      </c>
      <c r="X15" s="35">
        <f>F15+G15+N15+O15</f>
        <v>9</v>
      </c>
      <c r="Y15" s="35">
        <f>SUM(V15:X15)</f>
        <v>99</v>
      </c>
      <c r="Z15" s="52">
        <f t="shared" si="21"/>
        <v>0.46464646464646464</v>
      </c>
      <c r="AA15" s="52">
        <f t="shared" si="22"/>
        <v>9.0909090909090912E-2</v>
      </c>
      <c r="AB15" s="35">
        <f>H15+I15+P15+Q15</f>
        <v>3</v>
      </c>
      <c r="AC15" s="35">
        <f>SUM(B15:I15)</f>
        <v>97</v>
      </c>
      <c r="AD15" s="36">
        <f>SUM(J15:Q15)</f>
        <v>5</v>
      </c>
      <c r="AE15" s="53">
        <f t="shared" si="23"/>
        <v>102</v>
      </c>
      <c r="AG15">
        <v>51</v>
      </c>
      <c r="AH15">
        <v>37</v>
      </c>
      <c r="AI15">
        <v>0.42045454545454547</v>
      </c>
      <c r="AJ15">
        <v>46</v>
      </c>
      <c r="AK15">
        <v>36</v>
      </c>
      <c r="AL15">
        <v>5</v>
      </c>
      <c r="AM15">
        <v>87</v>
      </c>
      <c r="AN15">
        <v>0.41379310344827586</v>
      </c>
      <c r="AO15">
        <v>5.7471264367816091E-2</v>
      </c>
      <c r="AP15">
        <v>1</v>
      </c>
      <c r="AQ15">
        <v>81</v>
      </c>
      <c r="AR15">
        <v>7</v>
      </c>
      <c r="AS15">
        <v>88</v>
      </c>
      <c r="AU15" s="56">
        <f t="shared" si="24"/>
        <v>0.29411764705882359</v>
      </c>
      <c r="AV15" s="57">
        <f t="shared" si="8"/>
        <v>-2.7027027027026973E-2</v>
      </c>
      <c r="AW15" s="57">
        <f t="shared" si="9"/>
        <v>-0.16057233704292528</v>
      </c>
      <c r="AX15" s="57">
        <f t="shared" si="10"/>
        <v>-4.3478260869565188E-2</v>
      </c>
      <c r="AY15" s="57">
        <f t="shared" si="11"/>
        <v>0.27777777777777768</v>
      </c>
      <c r="AZ15" s="57">
        <f t="shared" si="12"/>
        <v>0.8</v>
      </c>
      <c r="BA15" s="57">
        <f t="shared" si="13"/>
        <v>0.13793103448275867</v>
      </c>
      <c r="BB15" s="57">
        <f t="shared" si="14"/>
        <v>0.12289562289562284</v>
      </c>
      <c r="BC15" s="57">
        <f t="shared" si="15"/>
        <v>0.58181818181818179</v>
      </c>
      <c r="BD15" s="57">
        <f t="shared" si="16"/>
        <v>2</v>
      </c>
      <c r="BE15" s="57">
        <f t="shared" si="17"/>
        <v>0.19753086419753085</v>
      </c>
      <c r="BF15" s="57">
        <f t="shared" si="18"/>
        <v>-0.2857142857142857</v>
      </c>
      <c r="BG15" s="58">
        <f t="shared" si="19"/>
        <v>0.15909090909090917</v>
      </c>
    </row>
    <row r="17" spans="1:45">
      <c r="A17" t="s">
        <v>29</v>
      </c>
      <c r="B17">
        <f>SUM(B5:B8)</f>
        <v>35</v>
      </c>
      <c r="C17">
        <f t="shared" ref="C17:Q17" si="28">SUM(C5:C8)</f>
        <v>17</v>
      </c>
      <c r="D17">
        <f t="shared" si="28"/>
        <v>23</v>
      </c>
      <c r="E17">
        <f t="shared" si="28"/>
        <v>16</v>
      </c>
      <c r="F17">
        <f t="shared" si="28"/>
        <v>7</v>
      </c>
      <c r="G17">
        <f t="shared" si="28"/>
        <v>2</v>
      </c>
      <c r="H17">
        <f t="shared" si="28"/>
        <v>1</v>
      </c>
      <c r="I17">
        <f t="shared" si="28"/>
        <v>1</v>
      </c>
      <c r="J17">
        <f t="shared" si="28"/>
        <v>1</v>
      </c>
      <c r="K17">
        <f t="shared" si="28"/>
        <v>0</v>
      </c>
      <c r="L17">
        <f t="shared" si="28"/>
        <v>1</v>
      </c>
      <c r="M17">
        <f t="shared" si="28"/>
        <v>0</v>
      </c>
      <c r="N17">
        <f t="shared" si="28"/>
        <v>0</v>
      </c>
      <c r="O17">
        <f t="shared" si="28"/>
        <v>0</v>
      </c>
      <c r="P17">
        <f t="shared" si="28"/>
        <v>1</v>
      </c>
      <c r="Q17">
        <f t="shared" si="28"/>
        <v>0</v>
      </c>
    </row>
    <row r="18" spans="1:45">
      <c r="A18" t="s">
        <v>30</v>
      </c>
      <c r="B18">
        <f>SUM(B9:B12)</f>
        <v>34</v>
      </c>
      <c r="C18">
        <f t="shared" ref="C18:Q18" si="29">SUM(C9:C12)</f>
        <v>15</v>
      </c>
      <c r="D18">
        <f t="shared" si="29"/>
        <v>25</v>
      </c>
      <c r="E18">
        <f t="shared" si="29"/>
        <v>15</v>
      </c>
      <c r="F18">
        <f t="shared" si="29"/>
        <v>8</v>
      </c>
      <c r="G18">
        <f t="shared" si="29"/>
        <v>3</v>
      </c>
      <c r="H18">
        <f t="shared" si="29"/>
        <v>0</v>
      </c>
      <c r="I18">
        <f t="shared" si="29"/>
        <v>1</v>
      </c>
      <c r="J18">
        <f t="shared" si="29"/>
        <v>0</v>
      </c>
      <c r="K18">
        <f t="shared" si="29"/>
        <v>0</v>
      </c>
      <c r="L18">
        <f t="shared" si="29"/>
        <v>4</v>
      </c>
      <c r="M18">
        <f t="shared" si="29"/>
        <v>1</v>
      </c>
      <c r="N18">
        <f t="shared" si="29"/>
        <v>0</v>
      </c>
      <c r="O18">
        <f t="shared" si="29"/>
        <v>0</v>
      </c>
      <c r="P18">
        <f t="shared" si="29"/>
        <v>0</v>
      </c>
      <c r="Q18">
        <f t="shared" si="29"/>
        <v>0</v>
      </c>
    </row>
    <row r="20" spans="1:45">
      <c r="S20" t="e">
        <f>S14/#REF!</f>
        <v>#REF!</v>
      </c>
      <c r="T20" t="e">
        <f>T14/#REF!</f>
        <v>#REF!</v>
      </c>
      <c r="AE20" t="e">
        <f>AE14/#REF!</f>
        <v>#REF!</v>
      </c>
      <c r="AG20">
        <v>0.48039215686274511</v>
      </c>
      <c r="AH20">
        <v>0.42465753424657532</v>
      </c>
      <c r="AS20">
        <v>0.45714285714285713</v>
      </c>
    </row>
  </sheetData>
  <mergeCells count="13">
    <mergeCell ref="AU2:BF2"/>
    <mergeCell ref="P3:Q3"/>
    <mergeCell ref="B2:I2"/>
    <mergeCell ref="J2:Q2"/>
    <mergeCell ref="S2:AD2"/>
    <mergeCell ref="B3:C3"/>
    <mergeCell ref="D3:E3"/>
    <mergeCell ref="F3:G3"/>
    <mergeCell ref="H3:I3"/>
    <mergeCell ref="J3:K3"/>
    <mergeCell ref="L3:M3"/>
    <mergeCell ref="N3:O3"/>
    <mergeCell ref="AG2:AR2"/>
  </mergeCells>
  <conditionalFormatting sqref="AU5:BG15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8"/>
  <sheetViews>
    <sheetView workbookViewId="0">
      <selection activeCell="A13" sqref="A13:XFD13"/>
    </sheetView>
  </sheetViews>
  <sheetFormatPr baseColWidth="10" defaultColWidth="8.85546875" defaultRowHeight="15"/>
  <cols>
    <col min="1" max="1" width="10.28515625" style="97" customWidth="1"/>
    <col min="2" max="17" width="5" style="97" customWidth="1"/>
    <col min="18" max="16384" width="8.85546875" style="97"/>
  </cols>
  <sheetData>
    <row r="1" spans="1:44" ht="30.6" customHeight="1" thickBot="1">
      <c r="B1" s="11" t="s">
        <v>11</v>
      </c>
      <c r="C1" s="12" t="s">
        <v>47</v>
      </c>
    </row>
    <row r="2" spans="1:44" s="10" customFormat="1" ht="21.75" thickBot="1">
      <c r="A2" s="9"/>
      <c r="B2" s="141" t="s">
        <v>5</v>
      </c>
      <c r="C2" s="143"/>
      <c r="D2" s="143"/>
      <c r="E2" s="143"/>
      <c r="F2" s="143"/>
      <c r="G2" s="143"/>
      <c r="H2" s="143"/>
      <c r="I2" s="144"/>
      <c r="J2" s="141" t="s">
        <v>6</v>
      </c>
      <c r="K2" s="143"/>
      <c r="L2" s="143"/>
      <c r="M2" s="143"/>
      <c r="N2" s="143"/>
      <c r="O2" s="143"/>
      <c r="P2" s="143"/>
      <c r="Q2" s="144"/>
      <c r="R2" s="97"/>
      <c r="S2" s="138" t="str">
        <f xml:space="preserve"> "Totaux 2021 " &amp; $C1</f>
        <v>Totaux 2021 Ferney-BoisBrûlé</v>
      </c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G2" s="138" t="str">
        <f xml:space="preserve"> "Totaux 2020 " &amp; $C1</f>
        <v>Totaux 2020 Ferney-BoisBrûlé</v>
      </c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</row>
    <row r="3" spans="1:44" s="10" customFormat="1" ht="68.45" customHeight="1">
      <c r="A3" s="9"/>
      <c r="B3" s="141" t="s">
        <v>9</v>
      </c>
      <c r="C3" s="144"/>
      <c r="D3" s="145" t="s">
        <v>7</v>
      </c>
      <c r="E3" s="142"/>
      <c r="F3" s="145" t="s">
        <v>8</v>
      </c>
      <c r="G3" s="142"/>
      <c r="H3" s="141" t="s">
        <v>0</v>
      </c>
      <c r="I3" s="142"/>
      <c r="J3" s="141" t="s">
        <v>4</v>
      </c>
      <c r="K3" s="144"/>
      <c r="L3" s="145" t="s">
        <v>7</v>
      </c>
      <c r="M3" s="142"/>
      <c r="N3" s="145" t="s">
        <v>10</v>
      </c>
      <c r="O3" s="142"/>
      <c r="P3" s="141" t="s">
        <v>0</v>
      </c>
      <c r="Q3" s="142"/>
      <c r="R3" s="97"/>
      <c r="S3" s="26" t="s">
        <v>20</v>
      </c>
      <c r="T3" s="27" t="s">
        <v>14</v>
      </c>
      <c r="U3" s="27" t="s">
        <v>15</v>
      </c>
      <c r="V3" s="27" t="s">
        <v>16</v>
      </c>
      <c r="W3" s="27" t="s">
        <v>7</v>
      </c>
      <c r="X3" s="27" t="s">
        <v>17</v>
      </c>
      <c r="Y3" s="27" t="s">
        <v>25</v>
      </c>
      <c r="Z3" s="27" t="s">
        <v>27</v>
      </c>
      <c r="AA3" s="27" t="s">
        <v>28</v>
      </c>
      <c r="AB3" s="27" t="s">
        <v>19</v>
      </c>
      <c r="AC3" s="27" t="s">
        <v>21</v>
      </c>
      <c r="AD3" s="28" t="s">
        <v>22</v>
      </c>
      <c r="AE3" s="40" t="s">
        <v>26</v>
      </c>
    </row>
    <row r="4" spans="1:44" ht="21" thickBot="1">
      <c r="A4" s="98" t="s">
        <v>3</v>
      </c>
      <c r="B4" s="99" t="s">
        <v>1</v>
      </c>
      <c r="C4" s="105" t="s">
        <v>2</v>
      </c>
      <c r="D4" s="99" t="s">
        <v>1</v>
      </c>
      <c r="E4" s="105" t="s">
        <v>2</v>
      </c>
      <c r="F4" s="99" t="s">
        <v>1</v>
      </c>
      <c r="G4" s="105" t="s">
        <v>2</v>
      </c>
      <c r="H4" s="99" t="s">
        <v>1</v>
      </c>
      <c r="I4" s="100" t="s">
        <v>2</v>
      </c>
      <c r="J4" s="99" t="s">
        <v>1</v>
      </c>
      <c r="K4" s="105" t="s">
        <v>2</v>
      </c>
      <c r="L4" s="99" t="s">
        <v>1</v>
      </c>
      <c r="M4" s="105" t="s">
        <v>2</v>
      </c>
      <c r="N4" s="99" t="s">
        <v>1</v>
      </c>
      <c r="O4" s="105" t="s">
        <v>2</v>
      </c>
      <c r="P4" s="99" t="s">
        <v>1</v>
      </c>
      <c r="Q4" s="100" t="s">
        <v>2</v>
      </c>
      <c r="S4" s="29"/>
      <c r="T4" s="19"/>
      <c r="U4" s="25"/>
      <c r="V4" s="19"/>
      <c r="W4" s="19"/>
      <c r="X4" s="19"/>
      <c r="Y4" s="19"/>
      <c r="Z4" s="19"/>
      <c r="AA4" s="19"/>
      <c r="AB4" s="19"/>
      <c r="AC4" s="19"/>
      <c r="AD4" s="30"/>
      <c r="AE4" s="41"/>
    </row>
    <row r="5" spans="1:44" ht="21" customHeight="1" thickBot="1">
      <c r="A5" s="13">
        <v>0.29166666666666669</v>
      </c>
      <c r="B5" s="15">
        <v>1</v>
      </c>
      <c r="C5" s="16">
        <v>1</v>
      </c>
      <c r="D5" s="17">
        <v>0</v>
      </c>
      <c r="E5" s="18">
        <v>1</v>
      </c>
      <c r="F5" s="17"/>
      <c r="G5" s="18"/>
      <c r="H5" s="15"/>
      <c r="I5" s="16"/>
      <c r="J5" s="15"/>
      <c r="K5" s="16"/>
      <c r="L5" s="17"/>
      <c r="M5" s="18"/>
      <c r="N5" s="17"/>
      <c r="O5" s="18"/>
      <c r="P5" s="15"/>
      <c r="Q5" s="16"/>
      <c r="S5" s="29">
        <f t="shared" ref="S5:T15" si="0">B5+D5+F5+H5+J5+L5+N5+P5</f>
        <v>1</v>
      </c>
      <c r="T5" s="19">
        <f t="shared" si="0"/>
        <v>2</v>
      </c>
      <c r="U5" s="25">
        <f t="shared" ref="U5:U11" si="1">T5/(T5+S5)</f>
        <v>0.66666666666666663</v>
      </c>
      <c r="V5" s="19">
        <f t="shared" ref="V5:V11" si="2">B5+C5+J5+K5</f>
        <v>2</v>
      </c>
      <c r="W5" s="19">
        <f t="shared" ref="W5:W11" si="3">D5+E5+L5+M5</f>
        <v>1</v>
      </c>
      <c r="X5" s="19">
        <f t="shared" ref="X5:X11" si="4">F5+G5+N5+O5</f>
        <v>0</v>
      </c>
      <c r="Y5" s="19">
        <f t="shared" ref="Y5:Y11" si="5">SUM(V5:X5)</f>
        <v>3</v>
      </c>
      <c r="Z5" s="43">
        <f>W5/Y5</f>
        <v>0.33333333333333331</v>
      </c>
      <c r="AA5" s="43">
        <f>X5/Y5</f>
        <v>0</v>
      </c>
      <c r="AB5" s="19">
        <f t="shared" ref="AB5:AB11" si="6">H5+I5+P5+Q5</f>
        <v>0</v>
      </c>
      <c r="AC5" s="19">
        <f t="shared" ref="AC5:AC11" si="7">SUM(B5:I5)</f>
        <v>3</v>
      </c>
      <c r="AD5" s="30">
        <f t="shared" ref="AD5:AD11" si="8">SUM(J5:Q5)</f>
        <v>0</v>
      </c>
      <c r="AE5" s="41">
        <f>SUM(B5:Q5)</f>
        <v>3</v>
      </c>
    </row>
    <row r="6" spans="1:44" ht="21" customHeight="1" thickBot="1">
      <c r="A6" s="14">
        <v>0.30208333333333331</v>
      </c>
      <c r="B6" s="15">
        <v>0</v>
      </c>
      <c r="C6" s="16">
        <v>0</v>
      </c>
      <c r="D6" s="17">
        <v>0</v>
      </c>
      <c r="E6" s="18">
        <v>1</v>
      </c>
      <c r="F6" s="17"/>
      <c r="G6" s="18"/>
      <c r="H6" s="15"/>
      <c r="I6" s="16"/>
      <c r="J6" s="15"/>
      <c r="K6" s="16"/>
      <c r="L6" s="17"/>
      <c r="M6" s="18"/>
      <c r="N6" s="17"/>
      <c r="O6" s="18"/>
      <c r="P6" s="15"/>
      <c r="Q6" s="16"/>
      <c r="S6" s="29">
        <f t="shared" si="0"/>
        <v>0</v>
      </c>
      <c r="T6" s="19">
        <f t="shared" si="0"/>
        <v>1</v>
      </c>
      <c r="U6" s="25">
        <f t="shared" si="1"/>
        <v>1</v>
      </c>
      <c r="V6" s="19">
        <f t="shared" si="2"/>
        <v>0</v>
      </c>
      <c r="W6" s="19">
        <f t="shared" si="3"/>
        <v>1</v>
      </c>
      <c r="X6" s="19">
        <f t="shared" si="4"/>
        <v>0</v>
      </c>
      <c r="Y6" s="19">
        <f t="shared" si="5"/>
        <v>1</v>
      </c>
      <c r="Z6" s="43">
        <f t="shared" ref="Z6:Z15" si="9">W6/Y6</f>
        <v>1</v>
      </c>
      <c r="AA6" s="43">
        <f t="shared" ref="AA6:AA15" si="10">X6/Y6</f>
        <v>0</v>
      </c>
      <c r="AB6" s="19">
        <f t="shared" si="6"/>
        <v>0</v>
      </c>
      <c r="AC6" s="19">
        <f t="shared" si="7"/>
        <v>1</v>
      </c>
      <c r="AD6" s="30">
        <f t="shared" si="8"/>
        <v>0</v>
      </c>
      <c r="AE6" s="41">
        <f t="shared" ref="AE6:AE15" si="11">SUM(B6:Q6)</f>
        <v>1</v>
      </c>
    </row>
    <row r="7" spans="1:44" ht="21" customHeight="1" thickBot="1">
      <c r="A7" s="14">
        <v>0.3125</v>
      </c>
      <c r="B7" s="15">
        <v>4</v>
      </c>
      <c r="C7" s="16">
        <v>1</v>
      </c>
      <c r="D7" s="17">
        <v>3</v>
      </c>
      <c r="E7" s="18">
        <v>0</v>
      </c>
      <c r="F7" s="17"/>
      <c r="G7" s="18"/>
      <c r="H7" s="15"/>
      <c r="I7" s="16"/>
      <c r="J7" s="15"/>
      <c r="K7" s="16"/>
      <c r="L7" s="17"/>
      <c r="M7" s="18"/>
      <c r="N7" s="17"/>
      <c r="O7" s="18"/>
      <c r="P7" s="15"/>
      <c r="Q7" s="16"/>
      <c r="S7" s="29">
        <f t="shared" si="0"/>
        <v>7</v>
      </c>
      <c r="T7" s="19">
        <f t="shared" si="0"/>
        <v>1</v>
      </c>
      <c r="U7" s="25">
        <f t="shared" si="1"/>
        <v>0.125</v>
      </c>
      <c r="V7" s="19">
        <f t="shared" si="2"/>
        <v>5</v>
      </c>
      <c r="W7" s="19">
        <f t="shared" si="3"/>
        <v>3</v>
      </c>
      <c r="X7" s="19">
        <f t="shared" si="4"/>
        <v>0</v>
      </c>
      <c r="Y7" s="19">
        <f t="shared" si="5"/>
        <v>8</v>
      </c>
      <c r="Z7" s="43">
        <f t="shared" si="9"/>
        <v>0.375</v>
      </c>
      <c r="AA7" s="43">
        <f t="shared" si="10"/>
        <v>0</v>
      </c>
      <c r="AB7" s="19">
        <f t="shared" si="6"/>
        <v>0</v>
      </c>
      <c r="AC7" s="19">
        <f t="shared" si="7"/>
        <v>8</v>
      </c>
      <c r="AD7" s="30">
        <f t="shared" si="8"/>
        <v>0</v>
      </c>
      <c r="AE7" s="41">
        <f t="shared" si="11"/>
        <v>8</v>
      </c>
    </row>
    <row r="8" spans="1:44" ht="21" customHeight="1" thickBot="1">
      <c r="A8" s="14">
        <v>0.32291666666666669</v>
      </c>
      <c r="B8" s="15">
        <v>0</v>
      </c>
      <c r="C8" s="16">
        <v>0</v>
      </c>
      <c r="D8" s="17"/>
      <c r="E8" s="18"/>
      <c r="F8" s="17"/>
      <c r="G8" s="18"/>
      <c r="H8" s="15"/>
      <c r="I8" s="16"/>
      <c r="J8" s="15"/>
      <c r="K8" s="16">
        <v>1</v>
      </c>
      <c r="L8" s="17"/>
      <c r="M8" s="18"/>
      <c r="N8" s="17"/>
      <c r="O8" s="18"/>
      <c r="P8" s="15"/>
      <c r="Q8" s="16"/>
      <c r="S8" s="29">
        <f t="shared" si="0"/>
        <v>0</v>
      </c>
      <c r="T8" s="19">
        <f t="shared" si="0"/>
        <v>1</v>
      </c>
      <c r="U8" s="25">
        <f t="shared" si="1"/>
        <v>1</v>
      </c>
      <c r="V8" s="19">
        <f t="shared" si="2"/>
        <v>1</v>
      </c>
      <c r="W8" s="19">
        <f t="shared" si="3"/>
        <v>0</v>
      </c>
      <c r="X8" s="19">
        <f t="shared" si="4"/>
        <v>0</v>
      </c>
      <c r="Y8" s="19">
        <f t="shared" si="5"/>
        <v>1</v>
      </c>
      <c r="Z8" s="43">
        <f t="shared" si="9"/>
        <v>0</v>
      </c>
      <c r="AA8" s="43">
        <f t="shared" si="10"/>
        <v>0</v>
      </c>
      <c r="AB8" s="19">
        <f t="shared" si="6"/>
        <v>0</v>
      </c>
      <c r="AC8" s="19">
        <f t="shared" si="7"/>
        <v>0</v>
      </c>
      <c r="AD8" s="30">
        <f t="shared" si="8"/>
        <v>1</v>
      </c>
      <c r="AE8" s="41">
        <f t="shared" si="11"/>
        <v>1</v>
      </c>
    </row>
    <row r="9" spans="1:44" ht="21" customHeight="1" thickBot="1">
      <c r="A9" s="13">
        <v>0.33333333333333331</v>
      </c>
      <c r="B9" s="15">
        <v>0</v>
      </c>
      <c r="C9" s="16"/>
      <c r="D9" s="17"/>
      <c r="E9" s="18"/>
      <c r="F9" s="17"/>
      <c r="G9" s="18"/>
      <c r="H9" s="15"/>
      <c r="I9" s="16"/>
      <c r="J9" s="15">
        <v>1</v>
      </c>
      <c r="K9" s="16">
        <v>0</v>
      </c>
      <c r="L9" s="17">
        <v>1</v>
      </c>
      <c r="M9" s="18">
        <v>1</v>
      </c>
      <c r="N9" s="17"/>
      <c r="O9" s="18"/>
      <c r="P9" s="15"/>
      <c r="Q9" s="16"/>
      <c r="S9" s="29">
        <f t="shared" si="0"/>
        <v>2</v>
      </c>
      <c r="T9" s="19">
        <f t="shared" si="0"/>
        <v>1</v>
      </c>
      <c r="U9" s="25">
        <f t="shared" si="1"/>
        <v>0.33333333333333331</v>
      </c>
      <c r="V9" s="19">
        <f t="shared" si="2"/>
        <v>1</v>
      </c>
      <c r="W9" s="19">
        <f t="shared" si="3"/>
        <v>2</v>
      </c>
      <c r="X9" s="19">
        <f t="shared" si="4"/>
        <v>0</v>
      </c>
      <c r="Y9" s="19">
        <f t="shared" si="5"/>
        <v>3</v>
      </c>
      <c r="Z9" s="43">
        <f t="shared" si="9"/>
        <v>0.66666666666666663</v>
      </c>
      <c r="AA9" s="43">
        <f t="shared" si="10"/>
        <v>0</v>
      </c>
      <c r="AB9" s="19">
        <f t="shared" si="6"/>
        <v>0</v>
      </c>
      <c r="AC9" s="19">
        <f t="shared" si="7"/>
        <v>0</v>
      </c>
      <c r="AD9" s="30">
        <f t="shared" si="8"/>
        <v>3</v>
      </c>
      <c r="AE9" s="41">
        <f t="shared" si="11"/>
        <v>3</v>
      </c>
    </row>
    <row r="10" spans="1:44" ht="21" customHeight="1" thickBot="1">
      <c r="A10" s="14">
        <v>0.34375</v>
      </c>
      <c r="B10" s="15">
        <v>1</v>
      </c>
      <c r="C10" s="16"/>
      <c r="D10" s="17"/>
      <c r="E10" s="18"/>
      <c r="F10" s="17"/>
      <c r="G10" s="18"/>
      <c r="H10" s="10"/>
      <c r="I10" s="16"/>
      <c r="J10" s="15">
        <v>1</v>
      </c>
      <c r="K10" s="16">
        <v>0</v>
      </c>
      <c r="L10" s="17"/>
      <c r="M10" s="18"/>
      <c r="N10" s="17"/>
      <c r="O10" s="18"/>
      <c r="P10" s="15"/>
      <c r="Q10" s="16"/>
      <c r="S10" s="29">
        <f t="shared" si="0"/>
        <v>2</v>
      </c>
      <c r="T10" s="19">
        <f t="shared" si="0"/>
        <v>0</v>
      </c>
      <c r="U10" s="25">
        <f t="shared" si="1"/>
        <v>0</v>
      </c>
      <c r="V10" s="19">
        <f t="shared" si="2"/>
        <v>2</v>
      </c>
      <c r="W10" s="19">
        <f t="shared" si="3"/>
        <v>0</v>
      </c>
      <c r="X10" s="19">
        <f t="shared" si="4"/>
        <v>0</v>
      </c>
      <c r="Y10" s="19">
        <f t="shared" si="5"/>
        <v>2</v>
      </c>
      <c r="Z10" s="43">
        <f t="shared" si="9"/>
        <v>0</v>
      </c>
      <c r="AA10" s="43">
        <f t="shared" si="10"/>
        <v>0</v>
      </c>
      <c r="AB10" s="19">
        <f t="shared" si="6"/>
        <v>0</v>
      </c>
      <c r="AC10" s="19">
        <f t="shared" si="7"/>
        <v>1</v>
      </c>
      <c r="AD10" s="30">
        <f t="shared" si="8"/>
        <v>1</v>
      </c>
      <c r="AE10" s="41">
        <f t="shared" si="11"/>
        <v>2</v>
      </c>
    </row>
    <row r="11" spans="1:44" ht="21" customHeight="1" thickBot="1">
      <c r="A11" s="14">
        <v>0.35416666666666669</v>
      </c>
      <c r="B11" s="15"/>
      <c r="C11" s="16"/>
      <c r="D11" s="17"/>
      <c r="E11" s="18"/>
      <c r="F11" s="17"/>
      <c r="G11" s="18"/>
      <c r="H11" s="15"/>
      <c r="I11" s="16"/>
      <c r="J11" s="15">
        <v>2</v>
      </c>
      <c r="K11" s="16">
        <v>2</v>
      </c>
      <c r="L11" s="17"/>
      <c r="M11" s="18"/>
      <c r="N11" s="17"/>
      <c r="O11" s="18"/>
      <c r="P11" s="15"/>
      <c r="Q11" s="16"/>
      <c r="S11" s="29">
        <f t="shared" si="0"/>
        <v>2</v>
      </c>
      <c r="T11" s="19">
        <f t="shared" si="0"/>
        <v>2</v>
      </c>
      <c r="U11" s="25">
        <f t="shared" si="1"/>
        <v>0.5</v>
      </c>
      <c r="V11" s="19">
        <f t="shared" si="2"/>
        <v>4</v>
      </c>
      <c r="W11" s="19">
        <f t="shared" si="3"/>
        <v>0</v>
      </c>
      <c r="X11" s="19">
        <f t="shared" si="4"/>
        <v>0</v>
      </c>
      <c r="Y11" s="19">
        <f t="shared" si="5"/>
        <v>4</v>
      </c>
      <c r="Z11" s="43">
        <f t="shared" si="9"/>
        <v>0</v>
      </c>
      <c r="AA11" s="43">
        <f t="shared" si="10"/>
        <v>0</v>
      </c>
      <c r="AB11" s="19">
        <f t="shared" si="6"/>
        <v>0</v>
      </c>
      <c r="AC11" s="19">
        <f t="shared" si="7"/>
        <v>0</v>
      </c>
      <c r="AD11" s="30">
        <f t="shared" si="8"/>
        <v>4</v>
      </c>
      <c r="AE11" s="41">
        <f t="shared" si="11"/>
        <v>4</v>
      </c>
    </row>
    <row r="12" spans="1:44" ht="21" customHeight="1" thickBot="1">
      <c r="A12" s="14">
        <v>0.36458333333333331</v>
      </c>
      <c r="B12" s="20"/>
      <c r="C12" s="21"/>
      <c r="D12" s="22"/>
      <c r="E12" s="23"/>
      <c r="F12" s="22"/>
      <c r="G12" s="23"/>
      <c r="H12" s="20"/>
      <c r="I12" s="21"/>
      <c r="J12" s="20">
        <v>1</v>
      </c>
      <c r="K12" s="21"/>
      <c r="L12" s="22"/>
      <c r="M12" s="23"/>
      <c r="N12" s="22"/>
      <c r="O12" s="23"/>
      <c r="P12" s="20"/>
      <c r="Q12" s="21"/>
      <c r="S12" s="29">
        <f t="shared" si="0"/>
        <v>1</v>
      </c>
      <c r="T12" s="19">
        <f t="shared" si="0"/>
        <v>0</v>
      </c>
      <c r="U12" s="25">
        <f>T12/(T12+S12)</f>
        <v>0</v>
      </c>
      <c r="V12" s="19">
        <f>B12+C12+J12+K12</f>
        <v>1</v>
      </c>
      <c r="W12" s="19">
        <f>D12+E12+L12+M12</f>
        <v>0</v>
      </c>
      <c r="X12" s="19">
        <f>F12+G12+N12+O12</f>
        <v>0</v>
      </c>
      <c r="Y12" s="19">
        <f>SUM(V12:X12)</f>
        <v>1</v>
      </c>
      <c r="Z12" s="43">
        <f t="shared" si="9"/>
        <v>0</v>
      </c>
      <c r="AA12" s="43">
        <f t="shared" si="10"/>
        <v>0</v>
      </c>
      <c r="AB12" s="19">
        <f>H12+I12+P12+Q12</f>
        <v>0</v>
      </c>
      <c r="AC12" s="19">
        <f>SUM(B12:I12)</f>
        <v>0</v>
      </c>
      <c r="AD12" s="30">
        <f>SUM(J12:Q12)</f>
        <v>1</v>
      </c>
      <c r="AE12" s="41">
        <f t="shared" si="11"/>
        <v>1</v>
      </c>
    </row>
    <row r="13" spans="1:44" ht="21" customHeight="1" thickBot="1">
      <c r="A13" s="121"/>
      <c r="B13" s="94"/>
      <c r="C13" s="95"/>
      <c r="D13" s="96"/>
      <c r="E13" s="96"/>
      <c r="F13" s="96"/>
      <c r="G13" s="96"/>
      <c r="H13" s="94"/>
      <c r="I13" s="95"/>
      <c r="J13" s="94"/>
      <c r="K13" s="95"/>
      <c r="L13" s="96"/>
      <c r="M13" s="96"/>
      <c r="N13" s="96"/>
      <c r="O13" s="96"/>
      <c r="P13" s="94"/>
      <c r="Q13" s="95"/>
      <c r="S13" s="44"/>
      <c r="T13" s="45"/>
      <c r="U13" s="46"/>
      <c r="V13" s="45"/>
      <c r="W13" s="45"/>
      <c r="X13" s="45"/>
      <c r="Y13" s="45"/>
      <c r="Z13" s="43"/>
      <c r="AA13" s="43"/>
      <c r="AB13" s="45"/>
      <c r="AC13" s="45"/>
      <c r="AD13" s="48"/>
      <c r="AE13" s="49"/>
    </row>
    <row r="14" spans="1:44" ht="15.75" thickBot="1">
      <c r="A14" s="24" t="s">
        <v>13</v>
      </c>
      <c r="B14" s="35">
        <f>SUM(B5:B12)</f>
        <v>6</v>
      </c>
      <c r="C14" s="35">
        <f t="shared" ref="C14:Q14" si="12">SUM(C5:C12)</f>
        <v>2</v>
      </c>
      <c r="D14" s="35">
        <f t="shared" si="12"/>
        <v>3</v>
      </c>
      <c r="E14" s="35">
        <f t="shared" si="12"/>
        <v>2</v>
      </c>
      <c r="F14" s="35">
        <f t="shared" si="12"/>
        <v>0</v>
      </c>
      <c r="G14" s="35">
        <f t="shared" si="12"/>
        <v>0</v>
      </c>
      <c r="H14" s="35">
        <f t="shared" si="12"/>
        <v>0</v>
      </c>
      <c r="I14" s="35">
        <f t="shared" si="12"/>
        <v>0</v>
      </c>
      <c r="J14" s="35">
        <f t="shared" si="12"/>
        <v>5</v>
      </c>
      <c r="K14" s="35">
        <f t="shared" si="12"/>
        <v>3</v>
      </c>
      <c r="L14" s="35">
        <f t="shared" si="12"/>
        <v>1</v>
      </c>
      <c r="M14" s="35">
        <f t="shared" si="12"/>
        <v>1</v>
      </c>
      <c r="N14" s="35">
        <f t="shared" si="12"/>
        <v>0</v>
      </c>
      <c r="O14" s="35">
        <f t="shared" si="12"/>
        <v>0</v>
      </c>
      <c r="P14" s="35">
        <f t="shared" si="12"/>
        <v>0</v>
      </c>
      <c r="Q14" s="35">
        <f t="shared" si="12"/>
        <v>0</v>
      </c>
      <c r="S14" s="31">
        <f t="shared" si="0"/>
        <v>15</v>
      </c>
      <c r="T14" s="32">
        <f t="shared" si="0"/>
        <v>8</v>
      </c>
      <c r="U14" s="33">
        <f>T14/(T14+S14)</f>
        <v>0.34782608695652173</v>
      </c>
      <c r="V14" s="32">
        <f>B14+C14+J14+K14</f>
        <v>16</v>
      </c>
      <c r="W14" s="32">
        <f>D14+E14+L14+M14</f>
        <v>7</v>
      </c>
      <c r="X14" s="32">
        <f>F14+G14+N14+O14</f>
        <v>0</v>
      </c>
      <c r="Y14" s="32">
        <f>SUM(V14:X14)</f>
        <v>23</v>
      </c>
      <c r="Z14" s="43">
        <f t="shared" si="9"/>
        <v>0.30434782608695654</v>
      </c>
      <c r="AA14" s="43">
        <f t="shared" si="10"/>
        <v>0</v>
      </c>
      <c r="AB14" s="32">
        <f>H14+I14+P14+Q14</f>
        <v>0</v>
      </c>
      <c r="AC14" s="32">
        <f>SUM(B14:I14)</f>
        <v>13</v>
      </c>
      <c r="AD14" s="34">
        <f>SUM(J14:Q14)</f>
        <v>10</v>
      </c>
      <c r="AE14" s="42">
        <f t="shared" si="11"/>
        <v>23</v>
      </c>
    </row>
    <row r="15" spans="1:44" ht="15.75" thickBot="1">
      <c r="A15" s="24" t="s">
        <v>31</v>
      </c>
      <c r="B15" s="24">
        <f>SUM(B7:B10)</f>
        <v>5</v>
      </c>
      <c r="C15" s="24">
        <f t="shared" ref="C15:Q15" si="13">SUM(C7:C10)</f>
        <v>1</v>
      </c>
      <c r="D15" s="24">
        <f t="shared" si="13"/>
        <v>3</v>
      </c>
      <c r="E15" s="24">
        <f t="shared" si="13"/>
        <v>0</v>
      </c>
      <c r="F15" s="24">
        <f t="shared" si="13"/>
        <v>0</v>
      </c>
      <c r="G15" s="24">
        <f t="shared" si="13"/>
        <v>0</v>
      </c>
      <c r="H15" s="24">
        <f t="shared" si="13"/>
        <v>0</v>
      </c>
      <c r="I15" s="24">
        <f t="shared" si="13"/>
        <v>0</v>
      </c>
      <c r="J15" s="24">
        <f t="shared" si="13"/>
        <v>2</v>
      </c>
      <c r="K15" s="24">
        <f t="shared" si="13"/>
        <v>1</v>
      </c>
      <c r="L15" s="24">
        <f t="shared" si="13"/>
        <v>1</v>
      </c>
      <c r="M15" s="24">
        <f t="shared" si="13"/>
        <v>1</v>
      </c>
      <c r="N15" s="24">
        <f t="shared" si="13"/>
        <v>0</v>
      </c>
      <c r="O15" s="24">
        <f t="shared" si="13"/>
        <v>0</v>
      </c>
      <c r="P15" s="24">
        <f t="shared" si="13"/>
        <v>0</v>
      </c>
      <c r="Q15" s="24">
        <f t="shared" si="13"/>
        <v>0</v>
      </c>
      <c r="S15" s="50">
        <f t="shared" si="0"/>
        <v>11</v>
      </c>
      <c r="T15" s="35">
        <f t="shared" si="0"/>
        <v>3</v>
      </c>
      <c r="U15" s="51">
        <f>T15/(T15+S15)</f>
        <v>0.21428571428571427</v>
      </c>
      <c r="V15" s="35">
        <f>B15+C15+J15+K15</f>
        <v>9</v>
      </c>
      <c r="W15" s="35">
        <f>D15+E15+L15+M15</f>
        <v>5</v>
      </c>
      <c r="X15" s="35">
        <f>F15+G15+N15+O15</f>
        <v>0</v>
      </c>
      <c r="Y15" s="35">
        <f>SUM(V15:X15)</f>
        <v>14</v>
      </c>
      <c r="Z15" s="52">
        <f t="shared" si="9"/>
        <v>0.35714285714285715</v>
      </c>
      <c r="AA15" s="52">
        <f t="shared" si="10"/>
        <v>0</v>
      </c>
      <c r="AB15" s="35">
        <f>H15+I15+P15+Q15</f>
        <v>0</v>
      </c>
      <c r="AC15" s="35">
        <f>SUM(B15:I15)</f>
        <v>9</v>
      </c>
      <c r="AD15" s="36">
        <f>SUM(J15:Q15)</f>
        <v>5</v>
      </c>
      <c r="AE15" s="114">
        <f t="shared" si="11"/>
        <v>14</v>
      </c>
    </row>
    <row r="17" spans="1:17">
      <c r="A17" s="97" t="s">
        <v>29</v>
      </c>
      <c r="B17" s="97">
        <f>SUM(B5:B8)</f>
        <v>5</v>
      </c>
      <c r="C17" s="97">
        <f t="shared" ref="C17:Q17" si="14">SUM(C5:C8)</f>
        <v>2</v>
      </c>
      <c r="D17" s="97">
        <f t="shared" si="14"/>
        <v>3</v>
      </c>
      <c r="E17" s="97">
        <f t="shared" si="14"/>
        <v>2</v>
      </c>
      <c r="F17" s="97">
        <f t="shared" si="14"/>
        <v>0</v>
      </c>
      <c r="G17" s="97">
        <f t="shared" si="14"/>
        <v>0</v>
      </c>
      <c r="H17" s="97">
        <f t="shared" si="14"/>
        <v>0</v>
      </c>
      <c r="I17" s="97">
        <f t="shared" si="14"/>
        <v>0</v>
      </c>
      <c r="J17" s="97">
        <f t="shared" si="14"/>
        <v>0</v>
      </c>
      <c r="K17" s="97">
        <f t="shared" si="14"/>
        <v>1</v>
      </c>
      <c r="L17" s="97">
        <f t="shared" si="14"/>
        <v>0</v>
      </c>
      <c r="M17" s="97">
        <f t="shared" si="14"/>
        <v>0</v>
      </c>
      <c r="N17" s="97">
        <f t="shared" si="14"/>
        <v>0</v>
      </c>
      <c r="O17" s="97">
        <f t="shared" si="14"/>
        <v>0</v>
      </c>
      <c r="P17" s="97">
        <f t="shared" si="14"/>
        <v>0</v>
      </c>
      <c r="Q17" s="97">
        <f t="shared" si="14"/>
        <v>0</v>
      </c>
    </row>
    <row r="18" spans="1:17">
      <c r="A18" s="97" t="s">
        <v>30</v>
      </c>
      <c r="B18" s="97">
        <f>SUM(B9:B12)</f>
        <v>1</v>
      </c>
      <c r="C18" s="97">
        <f t="shared" ref="C18:Q18" si="15">SUM(C9:C12)</f>
        <v>0</v>
      </c>
      <c r="D18" s="97">
        <f t="shared" si="15"/>
        <v>0</v>
      </c>
      <c r="E18" s="97">
        <f t="shared" si="15"/>
        <v>0</v>
      </c>
      <c r="F18" s="97">
        <f t="shared" si="15"/>
        <v>0</v>
      </c>
      <c r="G18" s="97">
        <f t="shared" si="15"/>
        <v>0</v>
      </c>
      <c r="H18" s="97">
        <f t="shared" si="15"/>
        <v>0</v>
      </c>
      <c r="I18" s="97">
        <f t="shared" si="15"/>
        <v>0</v>
      </c>
      <c r="J18" s="97">
        <f t="shared" si="15"/>
        <v>5</v>
      </c>
      <c r="K18" s="97">
        <f t="shared" si="15"/>
        <v>2</v>
      </c>
      <c r="L18" s="97">
        <f t="shared" si="15"/>
        <v>1</v>
      </c>
      <c r="M18" s="97">
        <f t="shared" si="15"/>
        <v>1</v>
      </c>
      <c r="N18" s="97">
        <f t="shared" si="15"/>
        <v>0</v>
      </c>
      <c r="O18" s="97">
        <f t="shared" si="15"/>
        <v>0</v>
      </c>
      <c r="P18" s="97">
        <f t="shared" si="15"/>
        <v>0</v>
      </c>
      <c r="Q18" s="97">
        <f t="shared" si="15"/>
        <v>0</v>
      </c>
    </row>
  </sheetData>
  <mergeCells count="12">
    <mergeCell ref="P3:Q3"/>
    <mergeCell ref="AG2:AR2"/>
    <mergeCell ref="B2:I2"/>
    <mergeCell ref="J2:Q2"/>
    <mergeCell ref="S2:AD2"/>
    <mergeCell ref="B3:C3"/>
    <mergeCell ref="D3:E3"/>
    <mergeCell ref="F3:G3"/>
    <mergeCell ref="H3:I3"/>
    <mergeCell ref="J3:K3"/>
    <mergeCell ref="L3:M3"/>
    <mergeCell ref="N3:O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8"/>
  <sheetViews>
    <sheetView workbookViewId="0">
      <selection activeCell="B7" sqref="B7:G10"/>
    </sheetView>
  </sheetViews>
  <sheetFormatPr baseColWidth="10" defaultColWidth="9.140625" defaultRowHeight="15"/>
  <cols>
    <col min="1" max="1" width="10.28515625" customWidth="1"/>
    <col min="2" max="2" width="5" customWidth="1"/>
    <col min="3" max="3" width="3.140625" bestFit="1" customWidth="1"/>
    <col min="4" max="17" width="5" customWidth="1"/>
    <col min="47" max="59" width="8.85546875" style="97"/>
  </cols>
  <sheetData>
    <row r="1" spans="1:59" ht="30.6" customHeight="1" thickBot="1">
      <c r="B1" s="11" t="s">
        <v>11</v>
      </c>
      <c r="C1" s="12" t="s">
        <v>36</v>
      </c>
    </row>
    <row r="2" spans="1:59" s="10" customFormat="1" ht="21.75" thickBot="1">
      <c r="A2" s="9"/>
      <c r="B2" s="141" t="s">
        <v>5</v>
      </c>
      <c r="C2" s="143"/>
      <c r="D2" s="143"/>
      <c r="E2" s="143"/>
      <c r="F2" s="143"/>
      <c r="G2" s="143"/>
      <c r="H2" s="143"/>
      <c r="I2" s="144"/>
      <c r="J2" s="141" t="s">
        <v>6</v>
      </c>
      <c r="K2" s="143"/>
      <c r="L2" s="143"/>
      <c r="M2" s="143"/>
      <c r="N2" s="143"/>
      <c r="O2" s="143"/>
      <c r="P2" s="143"/>
      <c r="Q2" s="144"/>
      <c r="R2" s="97"/>
      <c r="S2" s="138" t="str">
        <f xml:space="preserve"> "Totaux 2021 " &amp; $C1</f>
        <v>Totaux 2021 StGenis Total</v>
      </c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G2" s="138" t="str">
        <f xml:space="preserve"> "Totaux 2020 " &amp; $C1</f>
        <v>Totaux 2020 StGenis Total</v>
      </c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U2" s="139" t="str">
        <f xml:space="preserve"> "Changement depuis 2020 " &amp; $C1</f>
        <v>Changement depuis 2020 StGenis Total</v>
      </c>
      <c r="AV2" s="140"/>
      <c r="AW2" s="140"/>
      <c r="AX2" s="140"/>
      <c r="AY2" s="140"/>
      <c r="AZ2" s="140"/>
      <c r="BA2" s="140"/>
      <c r="BB2" s="140"/>
      <c r="BC2" s="140"/>
      <c r="BD2" s="140"/>
      <c r="BE2" s="140"/>
      <c r="BF2" s="140"/>
      <c r="BG2" s="115"/>
    </row>
    <row r="3" spans="1:59" s="10" customFormat="1" ht="68.45" customHeight="1">
      <c r="A3" s="9"/>
      <c r="B3" s="141" t="s">
        <v>9</v>
      </c>
      <c r="C3" s="144"/>
      <c r="D3" s="145" t="s">
        <v>7</v>
      </c>
      <c r="E3" s="142"/>
      <c r="F3" s="145" t="s">
        <v>8</v>
      </c>
      <c r="G3" s="142"/>
      <c r="H3" s="141" t="s">
        <v>0</v>
      </c>
      <c r="I3" s="142"/>
      <c r="J3" s="141" t="s">
        <v>4</v>
      </c>
      <c r="K3" s="144"/>
      <c r="L3" s="145" t="s">
        <v>7</v>
      </c>
      <c r="M3" s="142"/>
      <c r="N3" s="145" t="s">
        <v>10</v>
      </c>
      <c r="O3" s="142"/>
      <c r="P3" s="141" t="s">
        <v>0</v>
      </c>
      <c r="Q3" s="142"/>
      <c r="R3"/>
      <c r="S3" s="26" t="s">
        <v>20</v>
      </c>
      <c r="T3" s="27" t="s">
        <v>14</v>
      </c>
      <c r="U3" s="27" t="s">
        <v>15</v>
      </c>
      <c r="V3" s="27" t="s">
        <v>16</v>
      </c>
      <c r="W3" s="27" t="s">
        <v>7</v>
      </c>
      <c r="X3" s="27" t="s">
        <v>17</v>
      </c>
      <c r="Y3" s="27" t="s">
        <v>25</v>
      </c>
      <c r="Z3" s="27" t="s">
        <v>27</v>
      </c>
      <c r="AA3" s="27" t="s">
        <v>28</v>
      </c>
      <c r="AB3" s="27" t="s">
        <v>19</v>
      </c>
      <c r="AC3" s="27" t="s">
        <v>21</v>
      </c>
      <c r="AD3" s="28" t="s">
        <v>22</v>
      </c>
      <c r="AE3" s="40" t="s">
        <v>26</v>
      </c>
      <c r="AG3" s="10" t="s">
        <v>20</v>
      </c>
      <c r="AH3" s="10" t="s">
        <v>14</v>
      </c>
      <c r="AI3" s="10" t="s">
        <v>15</v>
      </c>
      <c r="AJ3" s="10" t="s">
        <v>16</v>
      </c>
      <c r="AK3" s="10" t="s">
        <v>7</v>
      </c>
      <c r="AL3" s="10" t="s">
        <v>17</v>
      </c>
      <c r="AM3" s="10" t="s">
        <v>25</v>
      </c>
      <c r="AN3" s="10" t="s">
        <v>27</v>
      </c>
      <c r="AO3" s="10" t="s">
        <v>28</v>
      </c>
      <c r="AP3" s="10" t="s">
        <v>19</v>
      </c>
      <c r="AQ3" s="10" t="s">
        <v>21</v>
      </c>
      <c r="AR3" s="10" t="s">
        <v>22</v>
      </c>
      <c r="AS3" s="10" t="s">
        <v>26</v>
      </c>
      <c r="AU3" s="117" t="s">
        <v>20</v>
      </c>
      <c r="AV3" s="116" t="s">
        <v>14</v>
      </c>
      <c r="AW3" s="116" t="s">
        <v>15</v>
      </c>
      <c r="AX3" s="116" t="s">
        <v>16</v>
      </c>
      <c r="AY3" s="116" t="s">
        <v>7</v>
      </c>
      <c r="AZ3" s="116" t="s">
        <v>17</v>
      </c>
      <c r="BA3" s="116" t="s">
        <v>25</v>
      </c>
      <c r="BB3" s="116" t="s">
        <v>27</v>
      </c>
      <c r="BC3" s="116" t="s">
        <v>28</v>
      </c>
      <c r="BD3" s="116" t="s">
        <v>19</v>
      </c>
      <c r="BE3" s="116" t="s">
        <v>21</v>
      </c>
      <c r="BF3" s="116" t="s">
        <v>22</v>
      </c>
      <c r="BG3" s="118" t="s">
        <v>26</v>
      </c>
    </row>
    <row r="4" spans="1:59" ht="21" thickBot="1">
      <c r="A4" s="1" t="s">
        <v>3</v>
      </c>
      <c r="B4" s="2" t="s">
        <v>1</v>
      </c>
      <c r="C4" s="4" t="s">
        <v>2</v>
      </c>
      <c r="D4" s="2" t="s">
        <v>1</v>
      </c>
      <c r="E4" s="4" t="s">
        <v>2</v>
      </c>
      <c r="F4" s="2" t="s">
        <v>1</v>
      </c>
      <c r="G4" s="4" t="s">
        <v>2</v>
      </c>
      <c r="H4" s="2" t="s">
        <v>1</v>
      </c>
      <c r="I4" s="3" t="s">
        <v>2</v>
      </c>
      <c r="J4" s="2" t="s">
        <v>1</v>
      </c>
      <c r="K4" s="4" t="s">
        <v>2</v>
      </c>
      <c r="L4" s="2" t="s">
        <v>1</v>
      </c>
      <c r="M4" s="4" t="s">
        <v>2</v>
      </c>
      <c r="N4" s="2" t="s">
        <v>1</v>
      </c>
      <c r="O4" s="4" t="s">
        <v>2</v>
      </c>
      <c r="P4" s="2" t="s">
        <v>1</v>
      </c>
      <c r="Q4" s="3" t="s">
        <v>2</v>
      </c>
      <c r="S4" s="29"/>
      <c r="T4" s="19"/>
      <c r="U4" s="25"/>
      <c r="V4" s="19"/>
      <c r="W4" s="19"/>
      <c r="X4" s="19"/>
      <c r="Y4" s="19"/>
      <c r="Z4" s="19"/>
      <c r="AA4" s="19"/>
      <c r="AB4" s="19"/>
      <c r="AC4" s="19"/>
      <c r="AD4" s="30"/>
      <c r="AE4" s="41"/>
      <c r="AU4" s="2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30"/>
    </row>
    <row r="5" spans="1:59" ht="21" customHeight="1" thickBot="1">
      <c r="A5" s="13">
        <v>0.29166666666666669</v>
      </c>
      <c r="B5" s="15">
        <f>'StGenis-&gt;Meyrin'!B5+'StGenis-&gt;Bourdigny'!B5+'RteEurope-&gt;Meyrin'!B5+'StGenis-&gt;CERN'!B5</f>
        <v>18</v>
      </c>
      <c r="C5" s="15">
        <f>'StGenis-&gt;Meyrin'!C5+'StGenis-&gt;Bourdigny'!C5+'RteEurope-&gt;Meyrin'!C5+'StGenis-&gt;CERN'!C5</f>
        <v>4</v>
      </c>
      <c r="D5" s="15">
        <f>'StGenis-&gt;Meyrin'!D5+'StGenis-&gt;Bourdigny'!D5+'RteEurope-&gt;Meyrin'!D5+'StGenis-&gt;CERN'!D5</f>
        <v>9</v>
      </c>
      <c r="E5" s="15">
        <f>'StGenis-&gt;Meyrin'!E5+'StGenis-&gt;Bourdigny'!E5+'RteEurope-&gt;Meyrin'!E5+'StGenis-&gt;CERN'!E5</f>
        <v>4</v>
      </c>
      <c r="F5" s="15">
        <f>'StGenis-&gt;Meyrin'!F5+'StGenis-&gt;Bourdigny'!F5+'RteEurope-&gt;Meyrin'!F5+'StGenis-&gt;CERN'!F5</f>
        <v>1</v>
      </c>
      <c r="G5" s="15">
        <f>'StGenis-&gt;Meyrin'!G5+'StGenis-&gt;Bourdigny'!G5+'RteEurope-&gt;Meyrin'!G5+'StGenis-&gt;CERN'!G5</f>
        <v>0</v>
      </c>
      <c r="H5" s="15">
        <f>'StGenis-&gt;Meyrin'!H5+'StGenis-&gt;Bourdigny'!H5+'RteEurope-&gt;Meyrin'!H5+'StGenis-&gt;CERN'!H5</f>
        <v>0</v>
      </c>
      <c r="I5" s="15">
        <f>'StGenis-&gt;Meyrin'!I5+'StGenis-&gt;Bourdigny'!I5+'RteEurope-&gt;Meyrin'!I5+'StGenis-&gt;CERN'!I5</f>
        <v>0</v>
      </c>
      <c r="J5" s="15">
        <f>'StGenis-&gt;Meyrin'!J5+'StGenis-&gt;Bourdigny'!J5+'RteEurope-&gt;Meyrin'!J5+'StGenis-&gt;CERN'!J5</f>
        <v>0</v>
      </c>
      <c r="K5" s="15">
        <f>'StGenis-&gt;Meyrin'!K5+'StGenis-&gt;Bourdigny'!K5+'RteEurope-&gt;Meyrin'!K5+'StGenis-&gt;CERN'!K5</f>
        <v>0</v>
      </c>
      <c r="L5" s="15">
        <f>'StGenis-&gt;Meyrin'!L5+'StGenis-&gt;Bourdigny'!L5+'RteEurope-&gt;Meyrin'!L5+'StGenis-&gt;CERN'!L5</f>
        <v>1</v>
      </c>
      <c r="M5" s="15">
        <f>'StGenis-&gt;Meyrin'!M5+'StGenis-&gt;Bourdigny'!M5+'RteEurope-&gt;Meyrin'!M5+'StGenis-&gt;CERN'!M5</f>
        <v>1</v>
      </c>
      <c r="N5" s="15">
        <f>'StGenis-&gt;Meyrin'!N5+'StGenis-&gt;Bourdigny'!N5+'RteEurope-&gt;Meyrin'!N5+'StGenis-&gt;CERN'!N5</f>
        <v>0</v>
      </c>
      <c r="O5" s="15">
        <f>'StGenis-&gt;Meyrin'!O5+'StGenis-&gt;Bourdigny'!O5+'RteEurope-&gt;Meyrin'!O5+'StGenis-&gt;CERN'!O5</f>
        <v>0</v>
      </c>
      <c r="P5" s="15">
        <f>'StGenis-&gt;Meyrin'!P5+'StGenis-&gt;Bourdigny'!P5+'RteEurope-&gt;Meyrin'!P5+'StGenis-&gt;CERN'!P5</f>
        <v>0</v>
      </c>
      <c r="Q5" s="15">
        <f>'StGenis-&gt;Meyrin'!Q5+'StGenis-&gt;Bourdigny'!Q5+'RteEurope-&gt;Meyrin'!Q5+'StGenis-&gt;CERN'!Q5</f>
        <v>0</v>
      </c>
      <c r="S5" s="29">
        <f t="shared" ref="S5:T11" si="0">B5+D5+F5+H5+J5+L5+N5+P5</f>
        <v>29</v>
      </c>
      <c r="T5" s="19">
        <f t="shared" si="0"/>
        <v>9</v>
      </c>
      <c r="U5" s="25">
        <f t="shared" ref="U5:U11" si="1">T5/(T5+S5)</f>
        <v>0.23684210526315788</v>
      </c>
      <c r="V5" s="19">
        <f t="shared" ref="V5:V11" si="2">B5+C5+J5+K5</f>
        <v>22</v>
      </c>
      <c r="W5" s="19">
        <f t="shared" ref="W5:W11" si="3">D5+E5+L5+M5</f>
        <v>15</v>
      </c>
      <c r="X5" s="19">
        <f t="shared" ref="X5:X11" si="4">F5+G5+N5+O5</f>
        <v>1</v>
      </c>
      <c r="Y5" s="19">
        <f t="shared" ref="Y5:Y11" si="5">SUM(V5:X5)</f>
        <v>38</v>
      </c>
      <c r="Z5" s="43">
        <f>W5/Y5</f>
        <v>0.39473684210526316</v>
      </c>
      <c r="AA5" s="43">
        <f>X5/Y5</f>
        <v>2.6315789473684209E-2</v>
      </c>
      <c r="AB5" s="19">
        <f t="shared" ref="AB5:AB11" si="6">H5+I5+P5+Q5</f>
        <v>0</v>
      </c>
      <c r="AC5" s="19">
        <f t="shared" ref="AC5:AC11" si="7">SUM(B5:I5)</f>
        <v>36</v>
      </c>
      <c r="AD5" s="30">
        <f t="shared" ref="AD5:AD11" si="8">SUM(J5:Q5)</f>
        <v>2</v>
      </c>
      <c r="AE5" s="41">
        <f>SUM(B5:Q5)</f>
        <v>38</v>
      </c>
      <c r="AG5">
        <v>21</v>
      </c>
      <c r="AH5">
        <v>11</v>
      </c>
      <c r="AI5">
        <v>0.34375</v>
      </c>
      <c r="AJ5">
        <v>17</v>
      </c>
      <c r="AK5">
        <v>12</v>
      </c>
      <c r="AL5">
        <v>2</v>
      </c>
      <c r="AM5">
        <v>31</v>
      </c>
      <c r="AN5">
        <v>0.38709677419354838</v>
      </c>
      <c r="AO5">
        <v>6.4516129032258063E-2</v>
      </c>
      <c r="AP5">
        <v>1</v>
      </c>
      <c r="AQ5">
        <v>31</v>
      </c>
      <c r="AR5">
        <v>1</v>
      </c>
      <c r="AS5">
        <v>32</v>
      </c>
      <c r="AU5" s="119">
        <f>(S5/AG5) - 1</f>
        <v>0.38095238095238093</v>
      </c>
      <c r="AV5" s="43">
        <f t="shared" ref="AV5:BG15" si="9">(T5/AH5) - 1</f>
        <v>-0.18181818181818177</v>
      </c>
      <c r="AW5" s="43">
        <f t="shared" si="9"/>
        <v>-0.31100478468899528</v>
      </c>
      <c r="AX5" s="43">
        <f t="shared" si="9"/>
        <v>0.29411764705882359</v>
      </c>
      <c r="AY5" s="43">
        <f t="shared" si="9"/>
        <v>0.25</v>
      </c>
      <c r="AZ5" s="43">
        <f t="shared" si="9"/>
        <v>-0.5</v>
      </c>
      <c r="BA5" s="43">
        <f t="shared" si="9"/>
        <v>0.22580645161290325</v>
      </c>
      <c r="BB5" s="43">
        <f t="shared" si="9"/>
        <v>1.9736842105263275E-2</v>
      </c>
      <c r="BC5" s="43">
        <f t="shared" si="9"/>
        <v>-0.59210526315789469</v>
      </c>
      <c r="BD5" s="43">
        <f t="shared" si="9"/>
        <v>-1</v>
      </c>
      <c r="BE5" s="43">
        <f t="shared" si="9"/>
        <v>0.16129032258064524</v>
      </c>
      <c r="BF5" s="43">
        <f t="shared" si="9"/>
        <v>1</v>
      </c>
      <c r="BG5" s="120">
        <f t="shared" si="9"/>
        <v>0.1875</v>
      </c>
    </row>
    <row r="6" spans="1:59" ht="21" customHeight="1" thickBot="1">
      <c r="A6" s="14">
        <v>0.30208333333333331</v>
      </c>
      <c r="B6" s="15">
        <f>'StGenis-&gt;Meyrin'!B6+'StGenis-&gt;Bourdigny'!B6+'RteEurope-&gt;Meyrin'!B6+'StGenis-&gt;CERN'!B6</f>
        <v>20</v>
      </c>
      <c r="C6" s="15">
        <f>'StGenis-&gt;Meyrin'!C6+'StGenis-&gt;Bourdigny'!C6+'RteEurope-&gt;Meyrin'!C6+'StGenis-&gt;CERN'!C6</f>
        <v>2</v>
      </c>
      <c r="D6" s="15">
        <f>'StGenis-&gt;Meyrin'!D6+'StGenis-&gt;Bourdigny'!D6+'RteEurope-&gt;Meyrin'!D6+'StGenis-&gt;CERN'!D6</f>
        <v>8</v>
      </c>
      <c r="E6" s="15">
        <f>'StGenis-&gt;Meyrin'!E6+'StGenis-&gt;Bourdigny'!E6+'RteEurope-&gt;Meyrin'!E6+'StGenis-&gt;CERN'!E6</f>
        <v>7</v>
      </c>
      <c r="F6" s="15">
        <f>'StGenis-&gt;Meyrin'!F6+'StGenis-&gt;Bourdigny'!F6+'RteEurope-&gt;Meyrin'!F6+'StGenis-&gt;CERN'!F6</f>
        <v>0</v>
      </c>
      <c r="G6" s="15">
        <f>'StGenis-&gt;Meyrin'!G6+'StGenis-&gt;Bourdigny'!G6+'RteEurope-&gt;Meyrin'!G6+'StGenis-&gt;CERN'!G6</f>
        <v>1</v>
      </c>
      <c r="H6" s="15">
        <f>'StGenis-&gt;Meyrin'!H6+'StGenis-&gt;Bourdigny'!H6+'RteEurope-&gt;Meyrin'!H6+'StGenis-&gt;CERN'!H6</f>
        <v>0</v>
      </c>
      <c r="I6" s="15">
        <f>'StGenis-&gt;Meyrin'!I6+'StGenis-&gt;Bourdigny'!I6+'RteEurope-&gt;Meyrin'!I6+'StGenis-&gt;CERN'!I6</f>
        <v>0</v>
      </c>
      <c r="J6" s="15">
        <f>'StGenis-&gt;Meyrin'!J6+'StGenis-&gt;Bourdigny'!J6+'RteEurope-&gt;Meyrin'!J6+'StGenis-&gt;CERN'!J6</f>
        <v>0</v>
      </c>
      <c r="K6" s="15">
        <f>'StGenis-&gt;Meyrin'!K6+'StGenis-&gt;Bourdigny'!K6+'RteEurope-&gt;Meyrin'!K6+'StGenis-&gt;CERN'!K6</f>
        <v>0</v>
      </c>
      <c r="L6" s="15">
        <f>'StGenis-&gt;Meyrin'!L6+'StGenis-&gt;Bourdigny'!L6+'RteEurope-&gt;Meyrin'!L6+'StGenis-&gt;CERN'!L6</f>
        <v>1</v>
      </c>
      <c r="M6" s="15">
        <f>'StGenis-&gt;Meyrin'!M6+'StGenis-&gt;Bourdigny'!M6+'RteEurope-&gt;Meyrin'!M6+'StGenis-&gt;CERN'!M6</f>
        <v>0</v>
      </c>
      <c r="N6" s="15">
        <f>'StGenis-&gt;Meyrin'!N6+'StGenis-&gt;Bourdigny'!N6+'RteEurope-&gt;Meyrin'!N6+'StGenis-&gt;CERN'!N6</f>
        <v>0</v>
      </c>
      <c r="O6" s="15">
        <f>'StGenis-&gt;Meyrin'!O6+'StGenis-&gt;Bourdigny'!O6+'RteEurope-&gt;Meyrin'!O6+'StGenis-&gt;CERN'!O6</f>
        <v>0</v>
      </c>
      <c r="P6" s="15">
        <f>'StGenis-&gt;Meyrin'!P6+'StGenis-&gt;Bourdigny'!P6+'RteEurope-&gt;Meyrin'!P6+'StGenis-&gt;CERN'!P6</f>
        <v>0</v>
      </c>
      <c r="Q6" s="15">
        <f>'StGenis-&gt;Meyrin'!Q6+'StGenis-&gt;Bourdigny'!Q6+'RteEurope-&gt;Meyrin'!Q6+'StGenis-&gt;CERN'!Q6</f>
        <v>0</v>
      </c>
      <c r="S6" s="29">
        <f t="shared" si="0"/>
        <v>29</v>
      </c>
      <c r="T6" s="19">
        <f t="shared" si="0"/>
        <v>10</v>
      </c>
      <c r="U6" s="25">
        <f t="shared" si="1"/>
        <v>0.25641025641025639</v>
      </c>
      <c r="V6" s="19">
        <f t="shared" si="2"/>
        <v>22</v>
      </c>
      <c r="W6" s="19">
        <f t="shared" si="3"/>
        <v>16</v>
      </c>
      <c r="X6" s="19">
        <f t="shared" si="4"/>
        <v>1</v>
      </c>
      <c r="Y6" s="19">
        <f t="shared" si="5"/>
        <v>39</v>
      </c>
      <c r="Z6" s="43">
        <f t="shared" ref="Z6:Z15" si="10">W6/Y6</f>
        <v>0.41025641025641024</v>
      </c>
      <c r="AA6" s="43">
        <f t="shared" ref="AA6:AA15" si="11">X6/Y6</f>
        <v>2.564102564102564E-2</v>
      </c>
      <c r="AB6" s="19">
        <f t="shared" si="6"/>
        <v>0</v>
      </c>
      <c r="AC6" s="19">
        <f t="shared" si="7"/>
        <v>38</v>
      </c>
      <c r="AD6" s="30">
        <f t="shared" si="8"/>
        <v>1</v>
      </c>
      <c r="AE6" s="41">
        <f t="shared" ref="AE6:AE15" si="12">SUM(B6:Q6)</f>
        <v>39</v>
      </c>
      <c r="AG6">
        <v>34</v>
      </c>
      <c r="AH6">
        <v>9</v>
      </c>
      <c r="AI6">
        <v>0.20930232558139536</v>
      </c>
      <c r="AJ6">
        <v>19</v>
      </c>
      <c r="AK6">
        <v>18</v>
      </c>
      <c r="AL6">
        <v>2</v>
      </c>
      <c r="AM6">
        <v>39</v>
      </c>
      <c r="AN6">
        <v>0.46153846153846156</v>
      </c>
      <c r="AO6">
        <v>5.128205128205128E-2</v>
      </c>
      <c r="AP6">
        <v>4</v>
      </c>
      <c r="AQ6">
        <v>40</v>
      </c>
      <c r="AR6">
        <v>3</v>
      </c>
      <c r="AS6">
        <v>43</v>
      </c>
      <c r="AU6" s="119">
        <f t="shared" ref="AU6:AU15" si="13">(S6/AG6) - 1</f>
        <v>-0.1470588235294118</v>
      </c>
      <c r="AV6" s="43">
        <f t="shared" si="9"/>
        <v>0.11111111111111116</v>
      </c>
      <c r="AW6" s="43">
        <f t="shared" si="9"/>
        <v>0.22507122507122479</v>
      </c>
      <c r="AX6" s="43">
        <f t="shared" si="9"/>
        <v>0.15789473684210531</v>
      </c>
      <c r="AY6" s="43">
        <f t="shared" si="9"/>
        <v>-0.11111111111111116</v>
      </c>
      <c r="AZ6" s="43">
        <f t="shared" si="9"/>
        <v>-0.5</v>
      </c>
      <c r="BA6" s="43">
        <f t="shared" si="9"/>
        <v>0</v>
      </c>
      <c r="BB6" s="43">
        <f t="shared" si="9"/>
        <v>-0.11111111111111116</v>
      </c>
      <c r="BC6" s="43">
        <f t="shared" si="9"/>
        <v>-0.5</v>
      </c>
      <c r="BD6" s="43">
        <f t="shared" si="9"/>
        <v>-1</v>
      </c>
      <c r="BE6" s="43">
        <f t="shared" si="9"/>
        <v>-5.0000000000000044E-2</v>
      </c>
      <c r="BF6" s="43">
        <f t="shared" si="9"/>
        <v>-0.66666666666666674</v>
      </c>
      <c r="BG6" s="120">
        <f t="shared" si="9"/>
        <v>-9.3023255813953543E-2</v>
      </c>
    </row>
    <row r="7" spans="1:59" ht="21" customHeight="1" thickBot="1">
      <c r="A7" s="14">
        <v>0.3125</v>
      </c>
      <c r="B7" s="15">
        <f>'StGenis-&gt;Meyrin'!B7+'StGenis-&gt;Bourdigny'!B7+'RteEurope-&gt;Meyrin'!B7+'StGenis-&gt;CERN'!B7</f>
        <v>18</v>
      </c>
      <c r="C7" s="15">
        <f>'StGenis-&gt;Meyrin'!C7+'StGenis-&gt;Bourdigny'!C7+'RteEurope-&gt;Meyrin'!C7+'StGenis-&gt;CERN'!C7</f>
        <v>2</v>
      </c>
      <c r="D7" s="15">
        <f>'StGenis-&gt;Meyrin'!D7+'StGenis-&gt;Bourdigny'!D7+'RteEurope-&gt;Meyrin'!D7+'StGenis-&gt;CERN'!D7</f>
        <v>6</v>
      </c>
      <c r="E7" s="15">
        <f>'StGenis-&gt;Meyrin'!E7+'StGenis-&gt;Bourdigny'!E7+'RteEurope-&gt;Meyrin'!E7+'StGenis-&gt;CERN'!E7</f>
        <v>9</v>
      </c>
      <c r="F7" s="15">
        <f>'StGenis-&gt;Meyrin'!F7+'StGenis-&gt;Bourdigny'!F7+'RteEurope-&gt;Meyrin'!F7+'StGenis-&gt;CERN'!F7</f>
        <v>3</v>
      </c>
      <c r="G7" s="15">
        <f>'StGenis-&gt;Meyrin'!G7+'StGenis-&gt;Bourdigny'!G7+'RteEurope-&gt;Meyrin'!G7+'StGenis-&gt;CERN'!G7</f>
        <v>0</v>
      </c>
      <c r="H7" s="15">
        <f>'StGenis-&gt;Meyrin'!H7+'StGenis-&gt;Bourdigny'!H7+'RteEurope-&gt;Meyrin'!H7+'StGenis-&gt;CERN'!H7</f>
        <v>4</v>
      </c>
      <c r="I7" s="15">
        <f>'StGenis-&gt;Meyrin'!I7+'StGenis-&gt;Bourdigny'!I7+'RteEurope-&gt;Meyrin'!I7+'StGenis-&gt;CERN'!I7</f>
        <v>0</v>
      </c>
      <c r="J7" s="15">
        <f>'StGenis-&gt;Meyrin'!J7+'StGenis-&gt;Bourdigny'!J7+'RteEurope-&gt;Meyrin'!J7+'StGenis-&gt;CERN'!J7</f>
        <v>6</v>
      </c>
      <c r="K7" s="15">
        <f>'StGenis-&gt;Meyrin'!K7+'StGenis-&gt;Bourdigny'!K7+'RteEurope-&gt;Meyrin'!K7+'StGenis-&gt;CERN'!K7</f>
        <v>0</v>
      </c>
      <c r="L7" s="15">
        <f>'StGenis-&gt;Meyrin'!L7+'StGenis-&gt;Bourdigny'!L7+'RteEurope-&gt;Meyrin'!L7+'StGenis-&gt;CERN'!L7</f>
        <v>1</v>
      </c>
      <c r="M7" s="15">
        <f>'StGenis-&gt;Meyrin'!M7+'StGenis-&gt;Bourdigny'!M7+'RteEurope-&gt;Meyrin'!M7+'StGenis-&gt;CERN'!M7</f>
        <v>1</v>
      </c>
      <c r="N7" s="15">
        <f>'StGenis-&gt;Meyrin'!N7+'StGenis-&gt;Bourdigny'!N7+'RteEurope-&gt;Meyrin'!N7+'StGenis-&gt;CERN'!N7</f>
        <v>0</v>
      </c>
      <c r="O7" s="15">
        <f>'StGenis-&gt;Meyrin'!O7+'StGenis-&gt;Bourdigny'!O7+'RteEurope-&gt;Meyrin'!O7+'StGenis-&gt;CERN'!O7</f>
        <v>0</v>
      </c>
      <c r="P7" s="15">
        <f>'StGenis-&gt;Meyrin'!P7+'StGenis-&gt;Bourdigny'!P7+'RteEurope-&gt;Meyrin'!P7+'StGenis-&gt;CERN'!P7</f>
        <v>0</v>
      </c>
      <c r="Q7" s="15">
        <f>'StGenis-&gt;Meyrin'!Q7+'StGenis-&gt;Bourdigny'!Q7+'RteEurope-&gt;Meyrin'!Q7+'StGenis-&gt;CERN'!Q7</f>
        <v>0</v>
      </c>
      <c r="S7" s="29">
        <f t="shared" si="0"/>
        <v>38</v>
      </c>
      <c r="T7" s="19">
        <f t="shared" si="0"/>
        <v>12</v>
      </c>
      <c r="U7" s="25">
        <f t="shared" si="1"/>
        <v>0.24</v>
      </c>
      <c r="V7" s="19">
        <f t="shared" si="2"/>
        <v>26</v>
      </c>
      <c r="W7" s="19">
        <f t="shared" si="3"/>
        <v>17</v>
      </c>
      <c r="X7" s="19">
        <f t="shared" si="4"/>
        <v>3</v>
      </c>
      <c r="Y7" s="19">
        <f t="shared" si="5"/>
        <v>46</v>
      </c>
      <c r="Z7" s="43">
        <f t="shared" si="10"/>
        <v>0.36956521739130432</v>
      </c>
      <c r="AA7" s="43">
        <f t="shared" si="11"/>
        <v>6.5217391304347824E-2</v>
      </c>
      <c r="AB7" s="19">
        <f t="shared" si="6"/>
        <v>4</v>
      </c>
      <c r="AC7" s="19">
        <f t="shared" si="7"/>
        <v>42</v>
      </c>
      <c r="AD7" s="30">
        <f t="shared" si="8"/>
        <v>8</v>
      </c>
      <c r="AE7" s="41">
        <f t="shared" si="12"/>
        <v>50</v>
      </c>
      <c r="AG7">
        <v>20</v>
      </c>
      <c r="AH7">
        <v>9</v>
      </c>
      <c r="AI7">
        <v>0.31034482758620691</v>
      </c>
      <c r="AJ7">
        <v>17</v>
      </c>
      <c r="AK7">
        <v>8</v>
      </c>
      <c r="AL7">
        <v>2</v>
      </c>
      <c r="AM7">
        <v>27</v>
      </c>
      <c r="AN7">
        <v>0.29629629629629628</v>
      </c>
      <c r="AO7">
        <v>7.407407407407407E-2</v>
      </c>
      <c r="AP7">
        <v>2</v>
      </c>
      <c r="AQ7">
        <v>29</v>
      </c>
      <c r="AR7">
        <v>0</v>
      </c>
      <c r="AS7">
        <v>29</v>
      </c>
      <c r="AU7" s="119">
        <f t="shared" si="13"/>
        <v>0.89999999999999991</v>
      </c>
      <c r="AV7" s="43">
        <f t="shared" si="9"/>
        <v>0.33333333333333326</v>
      </c>
      <c r="AW7" s="43">
        <f t="shared" si="9"/>
        <v>-0.22666666666666668</v>
      </c>
      <c r="AX7" s="43">
        <f t="shared" si="9"/>
        <v>0.52941176470588225</v>
      </c>
      <c r="AY7" s="43">
        <f t="shared" si="9"/>
        <v>1.125</v>
      </c>
      <c r="AZ7" s="43">
        <f t="shared" si="9"/>
        <v>0.5</v>
      </c>
      <c r="BA7" s="43">
        <f t="shared" si="9"/>
        <v>0.70370370370370372</v>
      </c>
      <c r="BB7" s="43">
        <f t="shared" si="9"/>
        <v>0.24728260869565211</v>
      </c>
      <c r="BC7" s="43">
        <f t="shared" si="9"/>
        <v>-0.11956521739130432</v>
      </c>
      <c r="BD7" s="43">
        <f t="shared" si="9"/>
        <v>1</v>
      </c>
      <c r="BE7" s="43">
        <f t="shared" si="9"/>
        <v>0.44827586206896552</v>
      </c>
      <c r="BF7" s="43" t="e">
        <f t="shared" si="9"/>
        <v>#DIV/0!</v>
      </c>
      <c r="BG7" s="120">
        <f t="shared" si="9"/>
        <v>0.72413793103448265</v>
      </c>
    </row>
    <row r="8" spans="1:59" ht="21" customHeight="1" thickBot="1">
      <c r="A8" s="14">
        <v>0.32291666666666669</v>
      </c>
      <c r="B8" s="15">
        <f>'StGenis-&gt;Meyrin'!B8+'StGenis-&gt;Bourdigny'!B8+'RteEurope-&gt;Meyrin'!B8+'StGenis-&gt;CERN'!B8</f>
        <v>18</v>
      </c>
      <c r="C8" s="15">
        <f>'StGenis-&gt;Meyrin'!C8+'StGenis-&gt;Bourdigny'!C8+'RteEurope-&gt;Meyrin'!C8+'StGenis-&gt;CERN'!C8</f>
        <v>4</v>
      </c>
      <c r="D8" s="15">
        <f>'StGenis-&gt;Meyrin'!D8+'StGenis-&gt;Bourdigny'!D8+'RteEurope-&gt;Meyrin'!D8+'StGenis-&gt;CERN'!D8</f>
        <v>9</v>
      </c>
      <c r="E8" s="15">
        <f>'StGenis-&gt;Meyrin'!E8+'StGenis-&gt;Bourdigny'!E8+'RteEurope-&gt;Meyrin'!E8+'StGenis-&gt;CERN'!E8</f>
        <v>5</v>
      </c>
      <c r="F8" s="15">
        <f>'StGenis-&gt;Meyrin'!F8+'StGenis-&gt;Bourdigny'!F8+'RteEurope-&gt;Meyrin'!F8+'StGenis-&gt;CERN'!F8</f>
        <v>0</v>
      </c>
      <c r="G8" s="15">
        <f>'StGenis-&gt;Meyrin'!G8+'StGenis-&gt;Bourdigny'!G8+'RteEurope-&gt;Meyrin'!G8+'StGenis-&gt;CERN'!G8</f>
        <v>0</v>
      </c>
      <c r="H8" s="15">
        <f>'StGenis-&gt;Meyrin'!H8+'StGenis-&gt;Bourdigny'!H8+'RteEurope-&gt;Meyrin'!H8+'StGenis-&gt;CERN'!H8</f>
        <v>5</v>
      </c>
      <c r="I8" s="15">
        <f>'StGenis-&gt;Meyrin'!I8+'StGenis-&gt;Bourdigny'!I8+'RteEurope-&gt;Meyrin'!I8+'StGenis-&gt;CERN'!I8</f>
        <v>1</v>
      </c>
      <c r="J8" s="15">
        <f>'StGenis-&gt;Meyrin'!J8+'StGenis-&gt;Bourdigny'!J8+'RteEurope-&gt;Meyrin'!J8+'StGenis-&gt;CERN'!J8</f>
        <v>2</v>
      </c>
      <c r="K8" s="15">
        <f>'StGenis-&gt;Meyrin'!K8+'StGenis-&gt;Bourdigny'!K8+'RteEurope-&gt;Meyrin'!K8+'StGenis-&gt;CERN'!K8</f>
        <v>0</v>
      </c>
      <c r="L8" s="15">
        <f>'StGenis-&gt;Meyrin'!L8+'StGenis-&gt;Bourdigny'!L8+'RteEurope-&gt;Meyrin'!L8+'StGenis-&gt;CERN'!L8</f>
        <v>0</v>
      </c>
      <c r="M8" s="15">
        <f>'StGenis-&gt;Meyrin'!M8+'StGenis-&gt;Bourdigny'!M8+'RteEurope-&gt;Meyrin'!M8+'StGenis-&gt;CERN'!M8</f>
        <v>1</v>
      </c>
      <c r="N8" s="15">
        <f>'StGenis-&gt;Meyrin'!N8+'StGenis-&gt;Bourdigny'!N8+'RteEurope-&gt;Meyrin'!N8+'StGenis-&gt;CERN'!N8</f>
        <v>0</v>
      </c>
      <c r="O8" s="15">
        <f>'StGenis-&gt;Meyrin'!O8+'StGenis-&gt;Bourdigny'!O8+'RteEurope-&gt;Meyrin'!O8+'StGenis-&gt;CERN'!O8</f>
        <v>0</v>
      </c>
      <c r="P8" s="15">
        <f>'StGenis-&gt;Meyrin'!P8+'StGenis-&gt;Bourdigny'!P8+'RteEurope-&gt;Meyrin'!P8+'StGenis-&gt;CERN'!P8</f>
        <v>0</v>
      </c>
      <c r="Q8" s="15">
        <f>'StGenis-&gt;Meyrin'!Q8+'StGenis-&gt;Bourdigny'!Q8+'RteEurope-&gt;Meyrin'!Q8+'StGenis-&gt;CERN'!Q8</f>
        <v>0</v>
      </c>
      <c r="S8" s="29">
        <f t="shared" si="0"/>
        <v>34</v>
      </c>
      <c r="T8" s="19">
        <f t="shared" si="0"/>
        <v>11</v>
      </c>
      <c r="U8" s="25">
        <f t="shared" si="1"/>
        <v>0.24444444444444444</v>
      </c>
      <c r="V8" s="19">
        <f t="shared" si="2"/>
        <v>24</v>
      </c>
      <c r="W8" s="19">
        <f t="shared" si="3"/>
        <v>15</v>
      </c>
      <c r="X8" s="19">
        <f t="shared" si="4"/>
        <v>0</v>
      </c>
      <c r="Y8" s="19">
        <f t="shared" si="5"/>
        <v>39</v>
      </c>
      <c r="Z8" s="43">
        <f t="shared" si="10"/>
        <v>0.38461538461538464</v>
      </c>
      <c r="AA8" s="43">
        <f t="shared" si="11"/>
        <v>0</v>
      </c>
      <c r="AB8" s="19">
        <f t="shared" si="6"/>
        <v>6</v>
      </c>
      <c r="AC8" s="19">
        <f t="shared" si="7"/>
        <v>42</v>
      </c>
      <c r="AD8" s="30">
        <f t="shared" si="8"/>
        <v>3</v>
      </c>
      <c r="AE8" s="41">
        <f t="shared" si="12"/>
        <v>45</v>
      </c>
      <c r="AG8">
        <v>12</v>
      </c>
      <c r="AH8">
        <v>13</v>
      </c>
      <c r="AI8">
        <v>0.52</v>
      </c>
      <c r="AJ8">
        <v>11</v>
      </c>
      <c r="AK8">
        <v>11</v>
      </c>
      <c r="AL8">
        <v>3</v>
      </c>
      <c r="AM8">
        <v>25</v>
      </c>
      <c r="AN8">
        <v>0.44</v>
      </c>
      <c r="AO8">
        <v>0.12</v>
      </c>
      <c r="AP8">
        <v>0</v>
      </c>
      <c r="AQ8">
        <v>25</v>
      </c>
      <c r="AR8">
        <v>0</v>
      </c>
      <c r="AS8">
        <v>25</v>
      </c>
      <c r="AU8" s="119">
        <f t="shared" si="13"/>
        <v>1.8333333333333335</v>
      </c>
      <c r="AV8" s="43">
        <f t="shared" si="9"/>
        <v>-0.15384615384615385</v>
      </c>
      <c r="AW8" s="43">
        <f t="shared" si="9"/>
        <v>-0.52991452991452992</v>
      </c>
      <c r="AX8" s="43">
        <f t="shared" si="9"/>
        <v>1.1818181818181817</v>
      </c>
      <c r="AY8" s="43">
        <f t="shared" si="9"/>
        <v>0.36363636363636354</v>
      </c>
      <c r="AZ8" s="43">
        <f t="shared" si="9"/>
        <v>-1</v>
      </c>
      <c r="BA8" s="43">
        <f t="shared" si="9"/>
        <v>0.56000000000000005</v>
      </c>
      <c r="BB8" s="43">
        <f t="shared" si="9"/>
        <v>-0.12587412587412583</v>
      </c>
      <c r="BC8" s="43">
        <f t="shared" si="9"/>
        <v>-1</v>
      </c>
      <c r="BD8" s="43" t="e">
        <f t="shared" si="9"/>
        <v>#DIV/0!</v>
      </c>
      <c r="BE8" s="43">
        <f t="shared" si="9"/>
        <v>0.67999999999999994</v>
      </c>
      <c r="BF8" s="43" t="e">
        <f t="shared" si="9"/>
        <v>#DIV/0!</v>
      </c>
      <c r="BG8" s="120">
        <f t="shared" si="9"/>
        <v>0.8</v>
      </c>
    </row>
    <row r="9" spans="1:59" ht="21" customHeight="1" thickBot="1">
      <c r="A9" s="13">
        <v>0.33333333333333331</v>
      </c>
      <c r="B9" s="15">
        <f>'StGenis-&gt;Meyrin'!B9+'StGenis-&gt;Bourdigny'!B9+'RteEurope-&gt;Meyrin'!B9+'StGenis-&gt;CERN'!B9</f>
        <v>21</v>
      </c>
      <c r="C9" s="15">
        <f>'StGenis-&gt;Meyrin'!C9+'StGenis-&gt;Bourdigny'!C9+'RteEurope-&gt;Meyrin'!C9+'StGenis-&gt;CERN'!C9</f>
        <v>4</v>
      </c>
      <c r="D9" s="15">
        <f>'StGenis-&gt;Meyrin'!D9+'StGenis-&gt;Bourdigny'!D9+'RteEurope-&gt;Meyrin'!D9+'StGenis-&gt;CERN'!D9</f>
        <v>6</v>
      </c>
      <c r="E9" s="15">
        <f>'StGenis-&gt;Meyrin'!E9+'StGenis-&gt;Bourdigny'!E9+'RteEurope-&gt;Meyrin'!E9+'StGenis-&gt;CERN'!E9</f>
        <v>3</v>
      </c>
      <c r="F9" s="15">
        <f>'StGenis-&gt;Meyrin'!F9+'StGenis-&gt;Bourdigny'!F9+'RteEurope-&gt;Meyrin'!F9+'StGenis-&gt;CERN'!F9</f>
        <v>1</v>
      </c>
      <c r="G9" s="15">
        <f>'StGenis-&gt;Meyrin'!G9+'StGenis-&gt;Bourdigny'!G9+'RteEurope-&gt;Meyrin'!G9+'StGenis-&gt;CERN'!G9</f>
        <v>1</v>
      </c>
      <c r="H9" s="15">
        <f>'StGenis-&gt;Meyrin'!H9+'StGenis-&gt;Bourdigny'!H9+'RteEurope-&gt;Meyrin'!H9+'StGenis-&gt;CERN'!H9</f>
        <v>6</v>
      </c>
      <c r="I9" s="15">
        <f>'StGenis-&gt;Meyrin'!I9+'StGenis-&gt;Bourdigny'!I9+'RteEurope-&gt;Meyrin'!I9+'StGenis-&gt;CERN'!I9</f>
        <v>1</v>
      </c>
      <c r="J9" s="15">
        <f>'StGenis-&gt;Meyrin'!J9+'StGenis-&gt;Bourdigny'!J9+'RteEurope-&gt;Meyrin'!J9+'StGenis-&gt;CERN'!J9</f>
        <v>0</v>
      </c>
      <c r="K9" s="15">
        <f>'StGenis-&gt;Meyrin'!K9+'StGenis-&gt;Bourdigny'!K9+'RteEurope-&gt;Meyrin'!K9+'StGenis-&gt;CERN'!K9</f>
        <v>0</v>
      </c>
      <c r="L9" s="15">
        <f>'StGenis-&gt;Meyrin'!L9+'StGenis-&gt;Bourdigny'!L9+'RteEurope-&gt;Meyrin'!L9+'StGenis-&gt;CERN'!L9</f>
        <v>1</v>
      </c>
      <c r="M9" s="15">
        <f>'StGenis-&gt;Meyrin'!M9+'StGenis-&gt;Bourdigny'!M9+'RteEurope-&gt;Meyrin'!M9+'StGenis-&gt;CERN'!M9</f>
        <v>0</v>
      </c>
      <c r="N9" s="15">
        <f>'StGenis-&gt;Meyrin'!N9+'StGenis-&gt;Bourdigny'!N9+'RteEurope-&gt;Meyrin'!N9+'StGenis-&gt;CERN'!N9</f>
        <v>0</v>
      </c>
      <c r="O9" s="15">
        <f>'StGenis-&gt;Meyrin'!O9+'StGenis-&gt;Bourdigny'!O9+'RteEurope-&gt;Meyrin'!O9+'StGenis-&gt;CERN'!O9</f>
        <v>0</v>
      </c>
      <c r="P9" s="15">
        <f>'StGenis-&gt;Meyrin'!P9+'StGenis-&gt;Bourdigny'!P9+'RteEurope-&gt;Meyrin'!P9+'StGenis-&gt;CERN'!P9</f>
        <v>0</v>
      </c>
      <c r="Q9" s="15">
        <f>'StGenis-&gt;Meyrin'!Q9+'StGenis-&gt;Bourdigny'!Q9+'RteEurope-&gt;Meyrin'!Q9+'StGenis-&gt;CERN'!Q9</f>
        <v>0</v>
      </c>
      <c r="S9" s="29">
        <f t="shared" si="0"/>
        <v>35</v>
      </c>
      <c r="T9" s="19">
        <f t="shared" si="0"/>
        <v>9</v>
      </c>
      <c r="U9" s="25">
        <f t="shared" si="1"/>
        <v>0.20454545454545456</v>
      </c>
      <c r="V9" s="19">
        <f t="shared" si="2"/>
        <v>25</v>
      </c>
      <c r="W9" s="19">
        <f t="shared" si="3"/>
        <v>10</v>
      </c>
      <c r="X9" s="19">
        <f t="shared" si="4"/>
        <v>2</v>
      </c>
      <c r="Y9" s="19">
        <f t="shared" si="5"/>
        <v>37</v>
      </c>
      <c r="Z9" s="43">
        <f t="shared" si="10"/>
        <v>0.27027027027027029</v>
      </c>
      <c r="AA9" s="43">
        <f t="shared" si="11"/>
        <v>5.4054054054054057E-2</v>
      </c>
      <c r="AB9" s="19">
        <f t="shared" si="6"/>
        <v>7</v>
      </c>
      <c r="AC9" s="19">
        <f t="shared" si="7"/>
        <v>43</v>
      </c>
      <c r="AD9" s="30">
        <f t="shared" si="8"/>
        <v>1</v>
      </c>
      <c r="AE9" s="41">
        <f t="shared" si="12"/>
        <v>44</v>
      </c>
      <c r="AG9">
        <v>21</v>
      </c>
      <c r="AH9">
        <v>9</v>
      </c>
      <c r="AI9">
        <v>0.3</v>
      </c>
      <c r="AJ9">
        <v>19</v>
      </c>
      <c r="AK9">
        <v>3</v>
      </c>
      <c r="AL9">
        <v>0</v>
      </c>
      <c r="AM9">
        <v>22</v>
      </c>
      <c r="AN9">
        <v>0.13636363636363635</v>
      </c>
      <c r="AO9">
        <v>0</v>
      </c>
      <c r="AP9">
        <v>8</v>
      </c>
      <c r="AQ9">
        <v>28</v>
      </c>
      <c r="AR9">
        <v>2</v>
      </c>
      <c r="AS9">
        <v>30</v>
      </c>
      <c r="AU9" s="119">
        <f t="shared" si="13"/>
        <v>0.66666666666666674</v>
      </c>
      <c r="AV9" s="43">
        <f t="shared" si="9"/>
        <v>0</v>
      </c>
      <c r="AW9" s="43">
        <f t="shared" si="9"/>
        <v>-0.31818181818181812</v>
      </c>
      <c r="AX9" s="43">
        <f t="shared" si="9"/>
        <v>0.31578947368421062</v>
      </c>
      <c r="AY9" s="43">
        <f t="shared" si="9"/>
        <v>2.3333333333333335</v>
      </c>
      <c r="AZ9" s="43" t="e">
        <f t="shared" si="9"/>
        <v>#DIV/0!</v>
      </c>
      <c r="BA9" s="43">
        <f t="shared" si="9"/>
        <v>0.68181818181818188</v>
      </c>
      <c r="BB9" s="43">
        <f t="shared" si="9"/>
        <v>0.98198198198198217</v>
      </c>
      <c r="BC9" s="43" t="e">
        <f t="shared" si="9"/>
        <v>#DIV/0!</v>
      </c>
      <c r="BD9" s="43">
        <f t="shared" si="9"/>
        <v>-0.125</v>
      </c>
      <c r="BE9" s="43">
        <f t="shared" si="9"/>
        <v>0.53571428571428581</v>
      </c>
      <c r="BF9" s="43">
        <f t="shared" si="9"/>
        <v>-0.5</v>
      </c>
      <c r="BG9" s="120">
        <f t="shared" si="9"/>
        <v>0.46666666666666656</v>
      </c>
    </row>
    <row r="10" spans="1:59" ht="21" customHeight="1" thickBot="1">
      <c r="A10" s="14">
        <v>0.34375</v>
      </c>
      <c r="B10" s="15">
        <f>'StGenis-&gt;Meyrin'!B10+'StGenis-&gt;Bourdigny'!B10+'RteEurope-&gt;Meyrin'!B10+'StGenis-&gt;CERN'!B10</f>
        <v>24</v>
      </c>
      <c r="C10" s="15">
        <f>'StGenis-&gt;Meyrin'!C10+'StGenis-&gt;Bourdigny'!C10+'RteEurope-&gt;Meyrin'!C10+'StGenis-&gt;CERN'!C10</f>
        <v>7</v>
      </c>
      <c r="D10" s="15">
        <f>'StGenis-&gt;Meyrin'!D10+'StGenis-&gt;Bourdigny'!D10+'RteEurope-&gt;Meyrin'!D10+'StGenis-&gt;CERN'!D10</f>
        <v>10</v>
      </c>
      <c r="E10" s="15">
        <f>'StGenis-&gt;Meyrin'!E10+'StGenis-&gt;Bourdigny'!E10+'RteEurope-&gt;Meyrin'!E10+'StGenis-&gt;CERN'!E10</f>
        <v>6</v>
      </c>
      <c r="F10" s="15">
        <f>'StGenis-&gt;Meyrin'!F10+'StGenis-&gt;Bourdigny'!F10+'RteEurope-&gt;Meyrin'!F10+'StGenis-&gt;CERN'!F10</f>
        <v>2</v>
      </c>
      <c r="G10" s="15">
        <f>'StGenis-&gt;Meyrin'!G10+'StGenis-&gt;Bourdigny'!G10+'RteEurope-&gt;Meyrin'!G10+'StGenis-&gt;CERN'!G10</f>
        <v>0</v>
      </c>
      <c r="H10" s="15">
        <f>'StGenis-&gt;Meyrin'!H10+'StGenis-&gt;Bourdigny'!H10+'RteEurope-&gt;Meyrin'!H10+'StGenis-&gt;CERN'!H10</f>
        <v>18</v>
      </c>
      <c r="I10" s="15">
        <f>'StGenis-&gt;Meyrin'!I10+'StGenis-&gt;Bourdigny'!I10+'RteEurope-&gt;Meyrin'!I10+'StGenis-&gt;CERN'!I10</f>
        <v>1</v>
      </c>
      <c r="J10" s="15">
        <f>'StGenis-&gt;Meyrin'!J10+'StGenis-&gt;Bourdigny'!J10+'RteEurope-&gt;Meyrin'!J10+'StGenis-&gt;CERN'!J10</f>
        <v>3</v>
      </c>
      <c r="K10" s="15">
        <f>'StGenis-&gt;Meyrin'!K10+'StGenis-&gt;Bourdigny'!K10+'RteEurope-&gt;Meyrin'!K10+'StGenis-&gt;CERN'!K10</f>
        <v>0</v>
      </c>
      <c r="L10" s="15">
        <f>'StGenis-&gt;Meyrin'!L10+'StGenis-&gt;Bourdigny'!L10+'RteEurope-&gt;Meyrin'!L10+'StGenis-&gt;CERN'!L10</f>
        <v>0</v>
      </c>
      <c r="M10" s="15">
        <f>'StGenis-&gt;Meyrin'!M10+'StGenis-&gt;Bourdigny'!M10+'RteEurope-&gt;Meyrin'!M10+'StGenis-&gt;CERN'!M10</f>
        <v>0</v>
      </c>
      <c r="N10" s="15">
        <f>'StGenis-&gt;Meyrin'!N10+'StGenis-&gt;Bourdigny'!N10+'RteEurope-&gt;Meyrin'!N10+'StGenis-&gt;CERN'!N10</f>
        <v>0</v>
      </c>
      <c r="O10" s="15">
        <f>'StGenis-&gt;Meyrin'!O10+'StGenis-&gt;Bourdigny'!O10+'RteEurope-&gt;Meyrin'!O10+'StGenis-&gt;CERN'!O10</f>
        <v>0</v>
      </c>
      <c r="P10" s="15">
        <f>'StGenis-&gt;Meyrin'!P10+'StGenis-&gt;Bourdigny'!P10+'RteEurope-&gt;Meyrin'!P10+'StGenis-&gt;CERN'!P10</f>
        <v>0</v>
      </c>
      <c r="Q10" s="15">
        <f>'StGenis-&gt;Meyrin'!Q10+'StGenis-&gt;Bourdigny'!Q10+'RteEurope-&gt;Meyrin'!Q10+'StGenis-&gt;CERN'!Q10</f>
        <v>0</v>
      </c>
      <c r="S10" s="29">
        <f t="shared" si="0"/>
        <v>57</v>
      </c>
      <c r="T10" s="19">
        <f t="shared" si="0"/>
        <v>14</v>
      </c>
      <c r="U10" s="25">
        <f t="shared" si="1"/>
        <v>0.19718309859154928</v>
      </c>
      <c r="V10" s="19">
        <f t="shared" si="2"/>
        <v>34</v>
      </c>
      <c r="W10" s="19">
        <f t="shared" si="3"/>
        <v>16</v>
      </c>
      <c r="X10" s="19">
        <f t="shared" si="4"/>
        <v>2</v>
      </c>
      <c r="Y10" s="19">
        <f t="shared" si="5"/>
        <v>52</v>
      </c>
      <c r="Z10" s="43">
        <f t="shared" si="10"/>
        <v>0.30769230769230771</v>
      </c>
      <c r="AA10" s="43">
        <f t="shared" si="11"/>
        <v>3.8461538461538464E-2</v>
      </c>
      <c r="AB10" s="19">
        <f t="shared" si="6"/>
        <v>19</v>
      </c>
      <c r="AC10" s="19">
        <f t="shared" si="7"/>
        <v>68</v>
      </c>
      <c r="AD10" s="30">
        <f t="shared" si="8"/>
        <v>3</v>
      </c>
      <c r="AE10" s="41">
        <f t="shared" si="12"/>
        <v>71</v>
      </c>
      <c r="AG10">
        <v>22</v>
      </c>
      <c r="AH10">
        <v>10</v>
      </c>
      <c r="AI10">
        <v>0.3125</v>
      </c>
      <c r="AJ10">
        <v>16</v>
      </c>
      <c r="AK10">
        <v>9</v>
      </c>
      <c r="AL10">
        <v>3</v>
      </c>
      <c r="AM10">
        <v>28</v>
      </c>
      <c r="AN10">
        <v>0.32142857142857145</v>
      </c>
      <c r="AO10">
        <v>0.10714285714285714</v>
      </c>
      <c r="AP10">
        <v>4</v>
      </c>
      <c r="AQ10">
        <v>30</v>
      </c>
      <c r="AR10">
        <v>2</v>
      </c>
      <c r="AS10">
        <v>32</v>
      </c>
      <c r="AU10" s="119">
        <f t="shared" si="13"/>
        <v>1.5909090909090908</v>
      </c>
      <c r="AV10" s="43">
        <f t="shared" si="9"/>
        <v>0.39999999999999991</v>
      </c>
      <c r="AW10" s="43">
        <f t="shared" si="9"/>
        <v>-0.36901408450704232</v>
      </c>
      <c r="AX10" s="43">
        <f t="shared" si="9"/>
        <v>1.125</v>
      </c>
      <c r="AY10" s="43">
        <f t="shared" si="9"/>
        <v>0.77777777777777768</v>
      </c>
      <c r="AZ10" s="43">
        <f t="shared" si="9"/>
        <v>-0.33333333333333337</v>
      </c>
      <c r="BA10" s="43">
        <f t="shared" si="9"/>
        <v>0.85714285714285721</v>
      </c>
      <c r="BB10" s="43">
        <f t="shared" si="9"/>
        <v>-4.2735042735042805E-2</v>
      </c>
      <c r="BC10" s="43">
        <f t="shared" si="9"/>
        <v>-0.64102564102564097</v>
      </c>
      <c r="BD10" s="43">
        <f t="shared" si="9"/>
        <v>3.75</v>
      </c>
      <c r="BE10" s="43">
        <f t="shared" si="9"/>
        <v>1.2666666666666666</v>
      </c>
      <c r="BF10" s="43">
        <f t="shared" si="9"/>
        <v>0.5</v>
      </c>
      <c r="BG10" s="120">
        <f t="shared" si="9"/>
        <v>1.21875</v>
      </c>
    </row>
    <row r="11" spans="1:59" ht="21" customHeight="1" thickBot="1">
      <c r="A11" s="14">
        <v>0.35416666666666669</v>
      </c>
      <c r="B11" s="15">
        <f>'StGenis-&gt;Meyrin'!B11+'StGenis-&gt;Bourdigny'!B11+'RteEurope-&gt;Meyrin'!B11+'StGenis-&gt;CERN'!B11</f>
        <v>29</v>
      </c>
      <c r="C11" s="15">
        <f>'StGenis-&gt;Meyrin'!C11+'StGenis-&gt;Bourdigny'!C11+'RteEurope-&gt;Meyrin'!C11+'StGenis-&gt;CERN'!C11</f>
        <v>6</v>
      </c>
      <c r="D11" s="15">
        <f>'StGenis-&gt;Meyrin'!D11+'StGenis-&gt;Bourdigny'!D11+'RteEurope-&gt;Meyrin'!D11+'StGenis-&gt;CERN'!D11</f>
        <v>8</v>
      </c>
      <c r="E11" s="15">
        <f>'StGenis-&gt;Meyrin'!E11+'StGenis-&gt;Bourdigny'!E11+'RteEurope-&gt;Meyrin'!E11+'StGenis-&gt;CERN'!E11</f>
        <v>4</v>
      </c>
      <c r="F11" s="15">
        <f>'StGenis-&gt;Meyrin'!F11+'StGenis-&gt;Bourdigny'!F11+'RteEurope-&gt;Meyrin'!F11+'StGenis-&gt;CERN'!F11</f>
        <v>1</v>
      </c>
      <c r="G11" s="15">
        <f>'StGenis-&gt;Meyrin'!G11+'StGenis-&gt;Bourdigny'!G11+'RteEurope-&gt;Meyrin'!G11+'StGenis-&gt;CERN'!G11</f>
        <v>1</v>
      </c>
      <c r="H11" s="15">
        <f>'StGenis-&gt;Meyrin'!H11+'StGenis-&gt;Bourdigny'!H11+'RteEurope-&gt;Meyrin'!H11+'StGenis-&gt;CERN'!H11</f>
        <v>5</v>
      </c>
      <c r="I11" s="15">
        <f>'StGenis-&gt;Meyrin'!I11+'StGenis-&gt;Bourdigny'!I11+'RteEurope-&gt;Meyrin'!I11+'StGenis-&gt;CERN'!I11</f>
        <v>2</v>
      </c>
      <c r="J11" s="15">
        <f>'StGenis-&gt;Meyrin'!J11+'StGenis-&gt;Bourdigny'!J11+'RteEurope-&gt;Meyrin'!J11+'StGenis-&gt;CERN'!J11</f>
        <v>2</v>
      </c>
      <c r="K11" s="15">
        <f>'StGenis-&gt;Meyrin'!K11+'StGenis-&gt;Bourdigny'!K11+'RteEurope-&gt;Meyrin'!K11+'StGenis-&gt;CERN'!K11</f>
        <v>0</v>
      </c>
      <c r="L11" s="15">
        <f>'StGenis-&gt;Meyrin'!L11+'StGenis-&gt;Bourdigny'!L11+'RteEurope-&gt;Meyrin'!L11+'StGenis-&gt;CERN'!L11</f>
        <v>0</v>
      </c>
      <c r="M11" s="15">
        <f>'StGenis-&gt;Meyrin'!M11+'StGenis-&gt;Bourdigny'!M11+'RteEurope-&gt;Meyrin'!M11+'StGenis-&gt;CERN'!M11</f>
        <v>0</v>
      </c>
      <c r="N11" s="15">
        <f>'StGenis-&gt;Meyrin'!N11+'StGenis-&gt;Bourdigny'!N11+'RteEurope-&gt;Meyrin'!N11+'StGenis-&gt;CERN'!N11</f>
        <v>0</v>
      </c>
      <c r="O11" s="15">
        <f>'StGenis-&gt;Meyrin'!O11+'StGenis-&gt;Bourdigny'!O11+'RteEurope-&gt;Meyrin'!O11+'StGenis-&gt;CERN'!O11</f>
        <v>0</v>
      </c>
      <c r="P11" s="15">
        <f>'StGenis-&gt;Meyrin'!P11+'StGenis-&gt;Bourdigny'!P11+'RteEurope-&gt;Meyrin'!P11+'StGenis-&gt;CERN'!P11</f>
        <v>0</v>
      </c>
      <c r="Q11" s="15">
        <f>'StGenis-&gt;Meyrin'!Q11+'StGenis-&gt;Bourdigny'!Q11+'RteEurope-&gt;Meyrin'!Q11+'StGenis-&gt;CERN'!Q11</f>
        <v>0</v>
      </c>
      <c r="S11" s="29">
        <f t="shared" si="0"/>
        <v>45</v>
      </c>
      <c r="T11" s="19">
        <f t="shared" si="0"/>
        <v>13</v>
      </c>
      <c r="U11" s="25">
        <f t="shared" si="1"/>
        <v>0.22413793103448276</v>
      </c>
      <c r="V11" s="19">
        <f t="shared" si="2"/>
        <v>37</v>
      </c>
      <c r="W11" s="19">
        <f t="shared" si="3"/>
        <v>12</v>
      </c>
      <c r="X11" s="19">
        <f t="shared" si="4"/>
        <v>2</v>
      </c>
      <c r="Y11" s="19">
        <f t="shared" si="5"/>
        <v>51</v>
      </c>
      <c r="Z11" s="43">
        <f t="shared" si="10"/>
        <v>0.23529411764705882</v>
      </c>
      <c r="AA11" s="43">
        <f t="shared" si="11"/>
        <v>3.9215686274509803E-2</v>
      </c>
      <c r="AB11" s="19">
        <f t="shared" si="6"/>
        <v>7</v>
      </c>
      <c r="AC11" s="19">
        <f t="shared" si="7"/>
        <v>56</v>
      </c>
      <c r="AD11" s="30">
        <f t="shared" si="8"/>
        <v>2</v>
      </c>
      <c r="AE11" s="41">
        <f t="shared" si="12"/>
        <v>58</v>
      </c>
      <c r="AG11">
        <v>25</v>
      </c>
      <c r="AH11">
        <v>9</v>
      </c>
      <c r="AI11">
        <v>0.26470588235294118</v>
      </c>
      <c r="AJ11">
        <v>17</v>
      </c>
      <c r="AK11">
        <v>1</v>
      </c>
      <c r="AL11">
        <v>10</v>
      </c>
      <c r="AM11">
        <v>28</v>
      </c>
      <c r="AN11">
        <v>3.5714285714285712E-2</v>
      </c>
      <c r="AO11">
        <v>0.35714285714285715</v>
      </c>
      <c r="AP11">
        <v>6</v>
      </c>
      <c r="AQ11">
        <v>33</v>
      </c>
      <c r="AR11">
        <v>1</v>
      </c>
      <c r="AS11">
        <v>34</v>
      </c>
      <c r="AU11" s="119">
        <f t="shared" si="13"/>
        <v>0.8</v>
      </c>
      <c r="AV11" s="43">
        <f t="shared" si="9"/>
        <v>0.44444444444444442</v>
      </c>
      <c r="AW11" s="43">
        <f t="shared" si="9"/>
        <v>-0.15325670498084287</v>
      </c>
      <c r="AX11" s="43">
        <f t="shared" si="9"/>
        <v>1.1764705882352939</v>
      </c>
      <c r="AY11" s="43">
        <f t="shared" si="9"/>
        <v>11</v>
      </c>
      <c r="AZ11" s="43">
        <f t="shared" si="9"/>
        <v>-0.8</v>
      </c>
      <c r="BA11" s="43">
        <f t="shared" si="9"/>
        <v>0.8214285714285714</v>
      </c>
      <c r="BB11" s="43">
        <f t="shared" si="9"/>
        <v>5.5882352941176476</v>
      </c>
      <c r="BC11" s="43">
        <f t="shared" si="9"/>
        <v>-0.8901960784313725</v>
      </c>
      <c r="BD11" s="43">
        <f t="shared" si="9"/>
        <v>0.16666666666666674</v>
      </c>
      <c r="BE11" s="43">
        <f t="shared" si="9"/>
        <v>0.69696969696969702</v>
      </c>
      <c r="BF11" s="43">
        <f t="shared" si="9"/>
        <v>1</v>
      </c>
      <c r="BG11" s="120">
        <f t="shared" si="9"/>
        <v>0.70588235294117641</v>
      </c>
    </row>
    <row r="12" spans="1:59" ht="21" customHeight="1" thickBot="1">
      <c r="A12" s="14">
        <v>0.36458333333333331</v>
      </c>
      <c r="B12" s="15">
        <f>'StGenis-&gt;Meyrin'!B12+'StGenis-&gt;Bourdigny'!B12+'RteEurope-&gt;Meyrin'!B12+'StGenis-&gt;CERN'!B12</f>
        <v>27</v>
      </c>
      <c r="C12" s="15">
        <f>'StGenis-&gt;Meyrin'!C12+'StGenis-&gt;Bourdigny'!C12+'RteEurope-&gt;Meyrin'!C12+'StGenis-&gt;CERN'!C12</f>
        <v>7</v>
      </c>
      <c r="D12" s="15">
        <f>'StGenis-&gt;Meyrin'!D12+'StGenis-&gt;Bourdigny'!D12+'RteEurope-&gt;Meyrin'!D12+'StGenis-&gt;CERN'!D12</f>
        <v>6</v>
      </c>
      <c r="E12" s="15">
        <f>'StGenis-&gt;Meyrin'!E12+'StGenis-&gt;Bourdigny'!E12+'RteEurope-&gt;Meyrin'!E12+'StGenis-&gt;CERN'!E12</f>
        <v>2</v>
      </c>
      <c r="F12" s="15">
        <f>'StGenis-&gt;Meyrin'!F12+'StGenis-&gt;Bourdigny'!F12+'RteEurope-&gt;Meyrin'!F12+'StGenis-&gt;CERN'!F12</f>
        <v>0</v>
      </c>
      <c r="G12" s="15">
        <f>'StGenis-&gt;Meyrin'!G12+'StGenis-&gt;Bourdigny'!G12+'RteEurope-&gt;Meyrin'!G12+'StGenis-&gt;CERN'!G12</f>
        <v>0</v>
      </c>
      <c r="H12" s="15">
        <f>'StGenis-&gt;Meyrin'!H12+'StGenis-&gt;Bourdigny'!H12+'RteEurope-&gt;Meyrin'!H12+'StGenis-&gt;CERN'!H12</f>
        <v>4</v>
      </c>
      <c r="I12" s="15">
        <f>'StGenis-&gt;Meyrin'!I12+'StGenis-&gt;Bourdigny'!I12+'RteEurope-&gt;Meyrin'!I12+'StGenis-&gt;CERN'!I12</f>
        <v>3</v>
      </c>
      <c r="J12" s="15">
        <f>'StGenis-&gt;Meyrin'!J12+'StGenis-&gt;Bourdigny'!J12+'RteEurope-&gt;Meyrin'!J12+'StGenis-&gt;CERN'!J12</f>
        <v>2</v>
      </c>
      <c r="K12" s="15">
        <f>'StGenis-&gt;Meyrin'!K12+'StGenis-&gt;Bourdigny'!K12+'RteEurope-&gt;Meyrin'!K12+'StGenis-&gt;CERN'!K12</f>
        <v>0</v>
      </c>
      <c r="L12" s="15">
        <f>'StGenis-&gt;Meyrin'!L12+'StGenis-&gt;Bourdigny'!L12+'RteEurope-&gt;Meyrin'!L12+'StGenis-&gt;CERN'!L12</f>
        <v>0</v>
      </c>
      <c r="M12" s="15">
        <f>'StGenis-&gt;Meyrin'!M12+'StGenis-&gt;Bourdigny'!M12+'RteEurope-&gt;Meyrin'!M12+'StGenis-&gt;CERN'!M12</f>
        <v>0</v>
      </c>
      <c r="N12" s="15">
        <f>'StGenis-&gt;Meyrin'!N12+'StGenis-&gt;Bourdigny'!N12+'RteEurope-&gt;Meyrin'!N12+'StGenis-&gt;CERN'!N12</f>
        <v>0</v>
      </c>
      <c r="O12" s="15">
        <f>'StGenis-&gt;Meyrin'!O12+'StGenis-&gt;Bourdigny'!O12+'RteEurope-&gt;Meyrin'!O12+'StGenis-&gt;CERN'!O12</f>
        <v>0</v>
      </c>
      <c r="P12" s="15">
        <f>'StGenis-&gt;Meyrin'!P12+'StGenis-&gt;Bourdigny'!P12+'RteEurope-&gt;Meyrin'!P12+'StGenis-&gt;CERN'!P12</f>
        <v>0</v>
      </c>
      <c r="Q12" s="15">
        <f>'StGenis-&gt;Meyrin'!Q12+'StGenis-&gt;Bourdigny'!Q12+'RteEurope-&gt;Meyrin'!Q12+'StGenis-&gt;CERN'!Q12</f>
        <v>0</v>
      </c>
      <c r="S12" s="29">
        <f t="shared" ref="S12:T15" si="14">B12+D12+F12+H12+J12+L12+N12+P12</f>
        <v>39</v>
      </c>
      <c r="T12" s="19">
        <f t="shared" si="14"/>
        <v>12</v>
      </c>
      <c r="U12" s="25">
        <f>T12/(T12+S12)</f>
        <v>0.23529411764705882</v>
      </c>
      <c r="V12" s="19">
        <f>B12+C12+J12+K12</f>
        <v>36</v>
      </c>
      <c r="W12" s="19">
        <f>D12+E12+L12+M12</f>
        <v>8</v>
      </c>
      <c r="X12" s="19">
        <f>F12+G12+N12+O12</f>
        <v>0</v>
      </c>
      <c r="Y12" s="19">
        <f>SUM(V12:X12)</f>
        <v>44</v>
      </c>
      <c r="Z12" s="43">
        <f t="shared" si="10"/>
        <v>0.18181818181818182</v>
      </c>
      <c r="AA12" s="43">
        <f t="shared" si="11"/>
        <v>0</v>
      </c>
      <c r="AB12" s="19">
        <f>H12+I12+P12+Q12</f>
        <v>7</v>
      </c>
      <c r="AC12" s="19">
        <f>SUM(B12:I12)</f>
        <v>49</v>
      </c>
      <c r="AD12" s="30">
        <f>SUM(J12:Q12)</f>
        <v>2</v>
      </c>
      <c r="AE12" s="41">
        <f t="shared" si="12"/>
        <v>51</v>
      </c>
      <c r="AG12">
        <v>16</v>
      </c>
      <c r="AH12">
        <v>9</v>
      </c>
      <c r="AI12">
        <v>0.36</v>
      </c>
      <c r="AJ12">
        <v>12</v>
      </c>
      <c r="AK12">
        <v>0</v>
      </c>
      <c r="AL12">
        <v>5</v>
      </c>
      <c r="AM12">
        <v>17</v>
      </c>
      <c r="AN12">
        <v>0</v>
      </c>
      <c r="AO12">
        <v>0.29411764705882354</v>
      </c>
      <c r="AP12">
        <v>8</v>
      </c>
      <c r="AQ12">
        <v>25</v>
      </c>
      <c r="AR12">
        <v>0</v>
      </c>
      <c r="AS12">
        <v>25</v>
      </c>
      <c r="AU12" s="119">
        <f t="shared" si="13"/>
        <v>1.4375</v>
      </c>
      <c r="AV12" s="43">
        <f t="shared" si="9"/>
        <v>0.33333333333333326</v>
      </c>
      <c r="AW12" s="43">
        <f t="shared" si="9"/>
        <v>-0.34640522875816993</v>
      </c>
      <c r="AX12" s="43">
        <f t="shared" si="9"/>
        <v>2</v>
      </c>
      <c r="AY12" s="43" t="e">
        <f t="shared" si="9"/>
        <v>#DIV/0!</v>
      </c>
      <c r="AZ12" s="43">
        <f t="shared" si="9"/>
        <v>-1</v>
      </c>
      <c r="BA12" s="43">
        <f t="shared" si="9"/>
        <v>1.5882352941176472</v>
      </c>
      <c r="BB12" s="43" t="e">
        <f t="shared" si="9"/>
        <v>#DIV/0!</v>
      </c>
      <c r="BC12" s="43">
        <f t="shared" si="9"/>
        <v>-1</v>
      </c>
      <c r="BD12" s="43">
        <f t="shared" si="9"/>
        <v>-0.125</v>
      </c>
      <c r="BE12" s="43">
        <f t="shared" si="9"/>
        <v>0.96</v>
      </c>
      <c r="BF12" s="43" t="e">
        <f t="shared" si="9"/>
        <v>#DIV/0!</v>
      </c>
      <c r="BG12" s="120">
        <f t="shared" si="9"/>
        <v>1.04</v>
      </c>
    </row>
    <row r="13" spans="1:59" s="97" customFormat="1" ht="21" customHeight="1" thickBot="1">
      <c r="A13" s="121"/>
      <c r="B13" s="15">
        <f>'StGenis-&gt;Meyrin'!B13+'StGenis-&gt;Bourdigny'!B13+'RteEurope-&gt;Meyrin'!B13+'StGenis-&gt;CERN'!B13</f>
        <v>0</v>
      </c>
      <c r="C13" s="15">
        <f>'StGenis-&gt;Meyrin'!C13+'StGenis-&gt;Bourdigny'!C13+'RteEurope-&gt;Meyrin'!C13+'StGenis-&gt;CERN'!C13</f>
        <v>0</v>
      </c>
      <c r="D13" s="15">
        <f>'StGenis-&gt;Meyrin'!D13+'StGenis-&gt;Bourdigny'!D13+'RteEurope-&gt;Meyrin'!D13+'StGenis-&gt;CERN'!D13</f>
        <v>0</v>
      </c>
      <c r="E13" s="15">
        <f>'StGenis-&gt;Meyrin'!E13+'StGenis-&gt;Bourdigny'!E13+'RteEurope-&gt;Meyrin'!E13+'StGenis-&gt;CERN'!E13</f>
        <v>0</v>
      </c>
      <c r="F13" s="15">
        <f>'StGenis-&gt;Meyrin'!F13+'StGenis-&gt;Bourdigny'!F13+'RteEurope-&gt;Meyrin'!F13+'StGenis-&gt;CERN'!F13</f>
        <v>0</v>
      </c>
      <c r="G13" s="15">
        <f>'StGenis-&gt;Meyrin'!G13+'StGenis-&gt;Bourdigny'!G13+'RteEurope-&gt;Meyrin'!G13+'StGenis-&gt;CERN'!G13</f>
        <v>0</v>
      </c>
      <c r="H13" s="15">
        <f>'StGenis-&gt;Meyrin'!H13+'StGenis-&gt;Bourdigny'!H13+'RteEurope-&gt;Meyrin'!H13+'StGenis-&gt;CERN'!H13</f>
        <v>0</v>
      </c>
      <c r="I13" s="15">
        <f>'StGenis-&gt;Meyrin'!I13+'StGenis-&gt;Bourdigny'!I13+'RteEurope-&gt;Meyrin'!I13+'StGenis-&gt;CERN'!I13</f>
        <v>0</v>
      </c>
      <c r="J13" s="15">
        <f>'StGenis-&gt;Meyrin'!J13+'StGenis-&gt;Bourdigny'!J13+'RteEurope-&gt;Meyrin'!J13+'StGenis-&gt;CERN'!J13</f>
        <v>0</v>
      </c>
      <c r="K13" s="15">
        <f>'StGenis-&gt;Meyrin'!K13+'StGenis-&gt;Bourdigny'!K13+'RteEurope-&gt;Meyrin'!K13+'StGenis-&gt;CERN'!K13</f>
        <v>0</v>
      </c>
      <c r="L13" s="15">
        <f>'StGenis-&gt;Meyrin'!L13+'StGenis-&gt;Bourdigny'!L13+'RteEurope-&gt;Meyrin'!L13+'StGenis-&gt;CERN'!L13</f>
        <v>0</v>
      </c>
      <c r="M13" s="15">
        <f>'StGenis-&gt;Meyrin'!M13+'StGenis-&gt;Bourdigny'!M13+'RteEurope-&gt;Meyrin'!M13+'StGenis-&gt;CERN'!M13</f>
        <v>0</v>
      </c>
      <c r="N13" s="15">
        <f>'StGenis-&gt;Meyrin'!N13+'StGenis-&gt;Bourdigny'!N13+'RteEurope-&gt;Meyrin'!N13+'StGenis-&gt;CERN'!N13</f>
        <v>0</v>
      </c>
      <c r="O13" s="15">
        <f>'StGenis-&gt;Meyrin'!O13+'StGenis-&gt;Bourdigny'!O13+'RteEurope-&gt;Meyrin'!O13+'StGenis-&gt;CERN'!O13</f>
        <v>0</v>
      </c>
      <c r="P13" s="15">
        <f>'StGenis-&gt;Meyrin'!P13+'StGenis-&gt;Bourdigny'!P13+'RteEurope-&gt;Meyrin'!P13+'StGenis-&gt;CERN'!P13</f>
        <v>0</v>
      </c>
      <c r="Q13" s="15">
        <f>'StGenis-&gt;Meyrin'!Q13+'StGenis-&gt;Bourdigny'!Q13+'RteEurope-&gt;Meyrin'!Q13+'StGenis-&gt;CERN'!Q13</f>
        <v>0</v>
      </c>
      <c r="S13" s="44"/>
      <c r="T13" s="45"/>
      <c r="U13" s="46"/>
      <c r="V13" s="45"/>
      <c r="W13" s="45"/>
      <c r="X13" s="45"/>
      <c r="Y13" s="45"/>
      <c r="Z13" s="43"/>
      <c r="AA13" s="43"/>
      <c r="AB13" s="45"/>
      <c r="AC13" s="45"/>
      <c r="AD13" s="48"/>
      <c r="AE13" s="49"/>
      <c r="AU13" s="119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120"/>
    </row>
    <row r="14" spans="1:59" ht="15.75" thickBot="1">
      <c r="A14" s="24" t="s">
        <v>13</v>
      </c>
      <c r="B14" s="35">
        <f>SUM(B5:B12)</f>
        <v>175</v>
      </c>
      <c r="C14" s="35">
        <f t="shared" ref="C14:Q14" si="15">SUM(C5:C12)</f>
        <v>36</v>
      </c>
      <c r="D14" s="35">
        <f t="shared" si="15"/>
        <v>62</v>
      </c>
      <c r="E14" s="35">
        <f t="shared" si="15"/>
        <v>40</v>
      </c>
      <c r="F14" s="35">
        <f t="shared" si="15"/>
        <v>8</v>
      </c>
      <c r="G14" s="35">
        <f t="shared" si="15"/>
        <v>3</v>
      </c>
      <c r="H14" s="35">
        <f t="shared" si="15"/>
        <v>42</v>
      </c>
      <c r="I14" s="35">
        <f t="shared" si="15"/>
        <v>8</v>
      </c>
      <c r="J14" s="35">
        <f t="shared" si="15"/>
        <v>15</v>
      </c>
      <c r="K14" s="35">
        <f t="shared" si="15"/>
        <v>0</v>
      </c>
      <c r="L14" s="35">
        <f t="shared" si="15"/>
        <v>4</v>
      </c>
      <c r="M14" s="35">
        <f t="shared" si="15"/>
        <v>3</v>
      </c>
      <c r="N14" s="35">
        <f t="shared" si="15"/>
        <v>0</v>
      </c>
      <c r="O14" s="35">
        <f t="shared" si="15"/>
        <v>0</v>
      </c>
      <c r="P14" s="35">
        <f t="shared" si="15"/>
        <v>0</v>
      </c>
      <c r="Q14" s="35">
        <f t="shared" si="15"/>
        <v>0</v>
      </c>
      <c r="S14" s="31">
        <f t="shared" si="14"/>
        <v>306</v>
      </c>
      <c r="T14" s="32">
        <f t="shared" si="14"/>
        <v>90</v>
      </c>
      <c r="U14" s="33">
        <f>T14/(T14+S14)</f>
        <v>0.22727272727272727</v>
      </c>
      <c r="V14" s="32">
        <f>B14+C14+J14+K14</f>
        <v>226</v>
      </c>
      <c r="W14" s="32">
        <f>D14+E14+L14+M14</f>
        <v>109</v>
      </c>
      <c r="X14" s="32">
        <f>F14+G14+N14+O14</f>
        <v>11</v>
      </c>
      <c r="Y14" s="32">
        <f>SUM(V14:X14)</f>
        <v>346</v>
      </c>
      <c r="Z14" s="43">
        <f t="shared" si="10"/>
        <v>0.31502890173410403</v>
      </c>
      <c r="AA14" s="43">
        <f t="shared" si="11"/>
        <v>3.1791907514450865E-2</v>
      </c>
      <c r="AB14" s="32">
        <f>H14+I14+P14+Q14</f>
        <v>50</v>
      </c>
      <c r="AC14" s="32">
        <f>SUM(B14:I14)</f>
        <v>374</v>
      </c>
      <c r="AD14" s="34">
        <f>SUM(J14:Q14)</f>
        <v>22</v>
      </c>
      <c r="AE14" s="42">
        <f t="shared" si="12"/>
        <v>396</v>
      </c>
      <c r="AG14">
        <v>171</v>
      </c>
      <c r="AH14">
        <v>79</v>
      </c>
      <c r="AI14">
        <v>0.316</v>
      </c>
      <c r="AJ14">
        <v>128</v>
      </c>
      <c r="AK14">
        <v>62</v>
      </c>
      <c r="AL14">
        <v>27</v>
      </c>
      <c r="AM14">
        <v>217</v>
      </c>
      <c r="AN14">
        <v>0.2857142857142857</v>
      </c>
      <c r="AO14">
        <v>0.12442396313364056</v>
      </c>
      <c r="AP14">
        <v>33</v>
      </c>
      <c r="AQ14">
        <v>241</v>
      </c>
      <c r="AR14">
        <v>9</v>
      </c>
      <c r="AS14">
        <v>250</v>
      </c>
      <c r="AU14" s="119">
        <f t="shared" si="13"/>
        <v>0.78947368421052633</v>
      </c>
      <c r="AV14" s="43">
        <f t="shared" si="9"/>
        <v>0.139240506329114</v>
      </c>
      <c r="AW14" s="43">
        <f t="shared" si="9"/>
        <v>-0.28078250863060994</v>
      </c>
      <c r="AX14" s="43">
        <f t="shared" si="9"/>
        <v>0.765625</v>
      </c>
      <c r="AY14" s="43">
        <f t="shared" si="9"/>
        <v>0.75806451612903225</v>
      </c>
      <c r="AZ14" s="43">
        <f t="shared" si="9"/>
        <v>-0.59259259259259256</v>
      </c>
      <c r="BA14" s="43">
        <f t="shared" si="9"/>
        <v>0.59447004608294929</v>
      </c>
      <c r="BB14" s="43">
        <f t="shared" si="9"/>
        <v>0.10260115606936426</v>
      </c>
      <c r="BC14" s="43">
        <f t="shared" si="9"/>
        <v>-0.74448726182830227</v>
      </c>
      <c r="BD14" s="43">
        <f t="shared" si="9"/>
        <v>0.51515151515151514</v>
      </c>
      <c r="BE14" s="43">
        <f t="shared" si="9"/>
        <v>0.55186721991701249</v>
      </c>
      <c r="BF14" s="43">
        <f t="shared" si="9"/>
        <v>1.4444444444444446</v>
      </c>
      <c r="BG14" s="120">
        <f t="shared" si="9"/>
        <v>0.58400000000000007</v>
      </c>
    </row>
    <row r="15" spans="1:59" ht="15.75" thickBot="1">
      <c r="A15" s="24" t="s">
        <v>31</v>
      </c>
      <c r="B15" s="24">
        <f>SUM(B7:B10)</f>
        <v>81</v>
      </c>
      <c r="C15" s="24">
        <f t="shared" ref="C15:Q15" si="16">SUM(C7:C10)</f>
        <v>17</v>
      </c>
      <c r="D15" s="24">
        <f t="shared" si="16"/>
        <v>31</v>
      </c>
      <c r="E15" s="24">
        <f t="shared" si="16"/>
        <v>23</v>
      </c>
      <c r="F15" s="24">
        <f t="shared" si="16"/>
        <v>6</v>
      </c>
      <c r="G15" s="24">
        <f t="shared" si="16"/>
        <v>1</v>
      </c>
      <c r="H15" s="24">
        <f t="shared" si="16"/>
        <v>33</v>
      </c>
      <c r="I15" s="24">
        <f t="shared" si="16"/>
        <v>3</v>
      </c>
      <c r="J15" s="24">
        <f t="shared" si="16"/>
        <v>11</v>
      </c>
      <c r="K15" s="24">
        <f t="shared" si="16"/>
        <v>0</v>
      </c>
      <c r="L15" s="24">
        <f t="shared" si="16"/>
        <v>2</v>
      </c>
      <c r="M15" s="24">
        <f t="shared" si="16"/>
        <v>2</v>
      </c>
      <c r="N15" s="24">
        <f t="shared" si="16"/>
        <v>0</v>
      </c>
      <c r="O15" s="24">
        <f t="shared" si="16"/>
        <v>0</v>
      </c>
      <c r="P15" s="24">
        <f t="shared" si="16"/>
        <v>0</v>
      </c>
      <c r="Q15" s="24">
        <f t="shared" si="16"/>
        <v>0</v>
      </c>
      <c r="S15" s="50">
        <f t="shared" si="14"/>
        <v>164</v>
      </c>
      <c r="T15" s="35">
        <f t="shared" si="14"/>
        <v>46</v>
      </c>
      <c r="U15" s="51">
        <f>T15/(T15+S15)</f>
        <v>0.21904761904761905</v>
      </c>
      <c r="V15" s="35">
        <f>B15+C15+J15+K15</f>
        <v>109</v>
      </c>
      <c r="W15" s="35">
        <f>D15+E15+L15+M15</f>
        <v>58</v>
      </c>
      <c r="X15" s="35">
        <f>F15+G15+N15+O15</f>
        <v>7</v>
      </c>
      <c r="Y15" s="35">
        <f>SUM(V15:X15)</f>
        <v>174</v>
      </c>
      <c r="Z15" s="52">
        <f t="shared" si="10"/>
        <v>0.33333333333333331</v>
      </c>
      <c r="AA15" s="52">
        <f t="shared" si="11"/>
        <v>4.0229885057471264E-2</v>
      </c>
      <c r="AB15" s="35">
        <f>H15+I15+P15+Q15</f>
        <v>36</v>
      </c>
      <c r="AC15" s="35">
        <f>SUM(B15:I15)</f>
        <v>195</v>
      </c>
      <c r="AD15" s="36">
        <f>SUM(J15:Q15)</f>
        <v>15</v>
      </c>
      <c r="AE15" s="53">
        <f t="shared" si="12"/>
        <v>210</v>
      </c>
      <c r="AG15">
        <v>75</v>
      </c>
      <c r="AH15">
        <v>41</v>
      </c>
      <c r="AI15">
        <v>0.35344827586206895</v>
      </c>
      <c r="AJ15">
        <v>63</v>
      </c>
      <c r="AK15">
        <v>31</v>
      </c>
      <c r="AL15">
        <v>8</v>
      </c>
      <c r="AM15">
        <v>102</v>
      </c>
      <c r="AN15">
        <v>0.30392156862745096</v>
      </c>
      <c r="AO15">
        <v>7.8431372549019607E-2</v>
      </c>
      <c r="AP15">
        <v>14</v>
      </c>
      <c r="AQ15">
        <v>112</v>
      </c>
      <c r="AR15">
        <v>4</v>
      </c>
      <c r="AS15">
        <v>116</v>
      </c>
      <c r="AU15" s="56">
        <f t="shared" si="13"/>
        <v>1.1866666666666665</v>
      </c>
      <c r="AV15" s="57">
        <f t="shared" si="9"/>
        <v>0.12195121951219523</v>
      </c>
      <c r="AW15" s="57">
        <f t="shared" si="9"/>
        <v>-0.38025551684088266</v>
      </c>
      <c r="AX15" s="57">
        <f t="shared" si="9"/>
        <v>0.73015873015873023</v>
      </c>
      <c r="AY15" s="57">
        <f t="shared" si="9"/>
        <v>0.87096774193548376</v>
      </c>
      <c r="AZ15" s="57">
        <f t="shared" si="9"/>
        <v>-0.125</v>
      </c>
      <c r="BA15" s="57">
        <f t="shared" si="9"/>
        <v>0.70588235294117641</v>
      </c>
      <c r="BB15" s="57">
        <f t="shared" si="9"/>
        <v>9.6774193548387233E-2</v>
      </c>
      <c r="BC15" s="57">
        <f t="shared" si="9"/>
        <v>-0.48706896551724133</v>
      </c>
      <c r="BD15" s="57">
        <f t="shared" si="9"/>
        <v>1.5714285714285716</v>
      </c>
      <c r="BE15" s="57">
        <f t="shared" si="9"/>
        <v>0.7410714285714286</v>
      </c>
      <c r="BF15" s="57">
        <f t="shared" si="9"/>
        <v>2.75</v>
      </c>
      <c r="BG15" s="58">
        <f t="shared" si="9"/>
        <v>0.81034482758620685</v>
      </c>
    </row>
    <row r="17" spans="1:17">
      <c r="A17" t="s">
        <v>29</v>
      </c>
      <c r="B17">
        <f>SUM(B5:B8)</f>
        <v>74</v>
      </c>
      <c r="C17">
        <f t="shared" ref="C17:Q17" si="17">SUM(C5:C8)</f>
        <v>12</v>
      </c>
      <c r="D17">
        <f t="shared" si="17"/>
        <v>32</v>
      </c>
      <c r="E17">
        <f t="shared" si="17"/>
        <v>25</v>
      </c>
      <c r="F17">
        <f t="shared" si="17"/>
        <v>4</v>
      </c>
      <c r="G17">
        <f t="shared" si="17"/>
        <v>1</v>
      </c>
      <c r="H17">
        <f t="shared" si="17"/>
        <v>9</v>
      </c>
      <c r="I17">
        <f t="shared" si="17"/>
        <v>1</v>
      </c>
      <c r="J17">
        <f t="shared" si="17"/>
        <v>8</v>
      </c>
      <c r="K17">
        <f t="shared" si="17"/>
        <v>0</v>
      </c>
      <c r="L17">
        <f t="shared" si="17"/>
        <v>3</v>
      </c>
      <c r="M17">
        <f t="shared" si="17"/>
        <v>3</v>
      </c>
      <c r="N17">
        <f t="shared" si="17"/>
        <v>0</v>
      </c>
      <c r="O17">
        <f t="shared" si="17"/>
        <v>0</v>
      </c>
      <c r="P17">
        <f t="shared" si="17"/>
        <v>0</v>
      </c>
      <c r="Q17">
        <f t="shared" si="17"/>
        <v>0</v>
      </c>
    </row>
    <row r="18" spans="1:17">
      <c r="A18" t="s">
        <v>30</v>
      </c>
      <c r="B18">
        <f>SUM(B9:B12)</f>
        <v>101</v>
      </c>
      <c r="C18">
        <f t="shared" ref="C18:Q18" si="18">SUM(C9:C12)</f>
        <v>24</v>
      </c>
      <c r="D18">
        <f t="shared" si="18"/>
        <v>30</v>
      </c>
      <c r="E18">
        <f t="shared" si="18"/>
        <v>15</v>
      </c>
      <c r="F18">
        <f t="shared" si="18"/>
        <v>4</v>
      </c>
      <c r="G18">
        <f t="shared" si="18"/>
        <v>2</v>
      </c>
      <c r="H18">
        <f t="shared" si="18"/>
        <v>33</v>
      </c>
      <c r="I18">
        <f t="shared" si="18"/>
        <v>7</v>
      </c>
      <c r="J18">
        <f t="shared" si="18"/>
        <v>7</v>
      </c>
      <c r="K18">
        <f t="shared" si="18"/>
        <v>0</v>
      </c>
      <c r="L18">
        <f t="shared" si="18"/>
        <v>1</v>
      </c>
      <c r="M18">
        <f t="shared" si="18"/>
        <v>0</v>
      </c>
      <c r="N18">
        <f t="shared" si="18"/>
        <v>0</v>
      </c>
      <c r="O18">
        <f t="shared" si="18"/>
        <v>0</v>
      </c>
      <c r="P18">
        <f t="shared" si="18"/>
        <v>0</v>
      </c>
      <c r="Q18">
        <f t="shared" si="18"/>
        <v>0</v>
      </c>
    </row>
  </sheetData>
  <mergeCells count="13">
    <mergeCell ref="AG2:AR2"/>
    <mergeCell ref="AU2:BF2"/>
    <mergeCell ref="P3:Q3"/>
    <mergeCell ref="B2:I2"/>
    <mergeCell ref="J2:Q2"/>
    <mergeCell ref="S2:AD2"/>
    <mergeCell ref="B3:C3"/>
    <mergeCell ref="D3:E3"/>
    <mergeCell ref="F3:G3"/>
    <mergeCell ref="H3:I3"/>
    <mergeCell ref="J3:K3"/>
    <mergeCell ref="L3:M3"/>
    <mergeCell ref="N3:O3"/>
  </mergeCells>
  <conditionalFormatting sqref="AU5:BG15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9"/>
  <sheetViews>
    <sheetView workbookViewId="0">
      <selection activeCell="S14" sqref="S14"/>
    </sheetView>
  </sheetViews>
  <sheetFormatPr baseColWidth="10" defaultColWidth="9.140625" defaultRowHeight="15"/>
  <cols>
    <col min="1" max="1" width="10.28515625" customWidth="1"/>
    <col min="2" max="17" width="8.140625" customWidth="1"/>
    <col min="47" max="59" width="8.85546875" style="97"/>
  </cols>
  <sheetData>
    <row r="1" spans="1:59" ht="30.6" customHeight="1" thickBot="1">
      <c r="B1" s="11" t="s">
        <v>11</v>
      </c>
      <c r="C1" s="12" t="s">
        <v>24</v>
      </c>
    </row>
    <row r="2" spans="1:59" s="10" customFormat="1" ht="21.75" thickBot="1">
      <c r="A2" s="9"/>
      <c r="B2" s="141" t="s">
        <v>5</v>
      </c>
      <c r="C2" s="143"/>
      <c r="D2" s="143"/>
      <c r="E2" s="143"/>
      <c r="F2" s="143"/>
      <c r="G2" s="143"/>
      <c r="H2" s="143"/>
      <c r="I2" s="144"/>
      <c r="J2" s="141" t="s">
        <v>6</v>
      </c>
      <c r="K2" s="143"/>
      <c r="L2" s="143"/>
      <c r="M2" s="143"/>
      <c r="N2" s="143"/>
      <c r="O2" s="143"/>
      <c r="P2" s="143"/>
      <c r="Q2" s="144"/>
      <c r="R2" s="97"/>
      <c r="S2" s="138" t="str">
        <f xml:space="preserve"> "Totaux 2021 " &amp; $C1</f>
        <v>Totaux 2021 STGenis -&gt; Meyrin</v>
      </c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G2" s="138" t="str">
        <f xml:space="preserve"> "Totaux 2020 " &amp; $C1</f>
        <v>Totaux 2020 STGenis -&gt; Meyrin</v>
      </c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U2" s="139" t="str">
        <f xml:space="preserve"> "Changement depuis 2020 " &amp; $C1</f>
        <v>Changement depuis 2020 STGenis -&gt; Meyrin</v>
      </c>
      <c r="AV2" s="140"/>
      <c r="AW2" s="140"/>
      <c r="AX2" s="140"/>
      <c r="AY2" s="140"/>
      <c r="AZ2" s="140"/>
      <c r="BA2" s="140"/>
      <c r="BB2" s="140"/>
      <c r="BC2" s="140"/>
      <c r="BD2" s="140"/>
      <c r="BE2" s="140"/>
      <c r="BF2" s="140"/>
      <c r="BG2" s="115"/>
    </row>
    <row r="3" spans="1:59" s="10" customFormat="1" ht="68.45" customHeight="1">
      <c r="A3" s="9"/>
      <c r="B3" s="141" t="s">
        <v>9</v>
      </c>
      <c r="C3" s="144"/>
      <c r="D3" s="145" t="s">
        <v>7</v>
      </c>
      <c r="E3" s="142"/>
      <c r="F3" s="145" t="s">
        <v>8</v>
      </c>
      <c r="G3" s="142"/>
      <c r="H3" s="141" t="s">
        <v>0</v>
      </c>
      <c r="I3" s="142"/>
      <c r="J3" s="141" t="s">
        <v>4</v>
      </c>
      <c r="K3" s="144"/>
      <c r="L3" s="145" t="s">
        <v>7</v>
      </c>
      <c r="M3" s="142"/>
      <c r="N3" s="145" t="s">
        <v>10</v>
      </c>
      <c r="O3" s="142"/>
      <c r="P3" s="141" t="s">
        <v>0</v>
      </c>
      <c r="Q3" s="142"/>
      <c r="R3"/>
      <c r="S3" s="26" t="s">
        <v>20</v>
      </c>
      <c r="T3" s="27" t="s">
        <v>14</v>
      </c>
      <c r="U3" s="27" t="s">
        <v>15</v>
      </c>
      <c r="V3" s="27" t="s">
        <v>16</v>
      </c>
      <c r="W3" s="27" t="s">
        <v>7</v>
      </c>
      <c r="X3" s="27" t="s">
        <v>17</v>
      </c>
      <c r="Y3" s="27" t="s">
        <v>25</v>
      </c>
      <c r="Z3" s="27" t="s">
        <v>27</v>
      </c>
      <c r="AA3" s="27" t="s">
        <v>28</v>
      </c>
      <c r="AB3" s="27" t="s">
        <v>19</v>
      </c>
      <c r="AC3" s="27" t="s">
        <v>21</v>
      </c>
      <c r="AD3" s="37" t="s">
        <v>22</v>
      </c>
      <c r="AE3" s="40" t="s">
        <v>26</v>
      </c>
      <c r="AG3" s="10" t="s">
        <v>20</v>
      </c>
      <c r="AH3" s="10" t="s">
        <v>14</v>
      </c>
      <c r="AI3" s="10" t="s">
        <v>15</v>
      </c>
      <c r="AJ3" s="10" t="s">
        <v>16</v>
      </c>
      <c r="AK3" s="10" t="s">
        <v>7</v>
      </c>
      <c r="AL3" s="10" t="s">
        <v>17</v>
      </c>
      <c r="AM3" s="10" t="s">
        <v>25</v>
      </c>
      <c r="AN3" s="10" t="s">
        <v>27</v>
      </c>
      <c r="AO3" s="10" t="s">
        <v>28</v>
      </c>
      <c r="AP3" s="10" t="s">
        <v>19</v>
      </c>
      <c r="AQ3" s="10" t="s">
        <v>21</v>
      </c>
      <c r="AR3" s="10" t="s">
        <v>22</v>
      </c>
      <c r="AS3" s="10" t="s">
        <v>26</v>
      </c>
      <c r="AU3" s="117" t="s">
        <v>20</v>
      </c>
      <c r="AV3" s="116" t="s">
        <v>14</v>
      </c>
      <c r="AW3" s="116" t="s">
        <v>15</v>
      </c>
      <c r="AX3" s="116" t="s">
        <v>16</v>
      </c>
      <c r="AY3" s="116" t="s">
        <v>7</v>
      </c>
      <c r="AZ3" s="116" t="s">
        <v>17</v>
      </c>
      <c r="BA3" s="116" t="s">
        <v>25</v>
      </c>
      <c r="BB3" s="116" t="s">
        <v>27</v>
      </c>
      <c r="BC3" s="116" t="s">
        <v>28</v>
      </c>
      <c r="BD3" s="116" t="s">
        <v>19</v>
      </c>
      <c r="BE3" s="116" t="s">
        <v>21</v>
      </c>
      <c r="BF3" s="116" t="s">
        <v>22</v>
      </c>
      <c r="BG3" s="118" t="s">
        <v>26</v>
      </c>
    </row>
    <row r="4" spans="1:59" ht="21" thickBot="1">
      <c r="A4" s="1" t="s">
        <v>3</v>
      </c>
      <c r="B4" s="75" t="s">
        <v>1</v>
      </c>
      <c r="C4" s="76" t="s">
        <v>2</v>
      </c>
      <c r="D4" s="75" t="s">
        <v>1</v>
      </c>
      <c r="E4" s="76" t="s">
        <v>2</v>
      </c>
      <c r="F4" s="75" t="s">
        <v>1</v>
      </c>
      <c r="G4" s="76" t="s">
        <v>2</v>
      </c>
      <c r="H4" s="75" t="s">
        <v>1</v>
      </c>
      <c r="I4" s="77" t="s">
        <v>2</v>
      </c>
      <c r="J4" s="75" t="s">
        <v>1</v>
      </c>
      <c r="K4" s="76" t="s">
        <v>2</v>
      </c>
      <c r="L4" s="75" t="s">
        <v>1</v>
      </c>
      <c r="M4" s="76" t="s">
        <v>2</v>
      </c>
      <c r="N4" s="75" t="s">
        <v>1</v>
      </c>
      <c r="O4" s="76" t="s">
        <v>2</v>
      </c>
      <c r="P4" s="75" t="s">
        <v>1</v>
      </c>
      <c r="Q4" s="77" t="s">
        <v>2</v>
      </c>
      <c r="S4" s="29"/>
      <c r="T4" s="19"/>
      <c r="U4" s="25"/>
      <c r="V4" s="19"/>
      <c r="W4" s="19"/>
      <c r="X4" s="19"/>
      <c r="Y4" s="19"/>
      <c r="Z4" s="19"/>
      <c r="AA4" s="19"/>
      <c r="AB4" s="19"/>
      <c r="AC4" s="19"/>
      <c r="AD4" s="38"/>
      <c r="AE4" s="41"/>
      <c r="AU4" s="2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30"/>
    </row>
    <row r="5" spans="1:59" ht="21" customHeight="1">
      <c r="A5" s="13">
        <v>0.29166666666666669</v>
      </c>
      <c r="B5" s="78">
        <v>10</v>
      </c>
      <c r="C5" s="78">
        <v>4</v>
      </c>
      <c r="D5" s="78">
        <v>3</v>
      </c>
      <c r="E5" s="78">
        <v>2</v>
      </c>
      <c r="F5" s="78">
        <v>1</v>
      </c>
      <c r="G5" s="78">
        <v>0</v>
      </c>
      <c r="H5" s="78">
        <v>0</v>
      </c>
      <c r="I5" s="78">
        <v>0</v>
      </c>
      <c r="J5" s="78">
        <v>0</v>
      </c>
      <c r="K5" s="78">
        <v>0</v>
      </c>
      <c r="L5" s="78">
        <v>1</v>
      </c>
      <c r="M5" s="78">
        <v>1</v>
      </c>
      <c r="N5" s="78">
        <v>0</v>
      </c>
      <c r="O5" s="78">
        <v>0</v>
      </c>
      <c r="P5" s="78">
        <v>0</v>
      </c>
      <c r="Q5" s="78">
        <v>0</v>
      </c>
      <c r="S5" s="29">
        <f t="shared" ref="S5:T11" si="0">B5+D5+F5+H5+J5+L5+N5+P5</f>
        <v>15</v>
      </c>
      <c r="T5" s="19">
        <f t="shared" si="0"/>
        <v>7</v>
      </c>
      <c r="U5" s="25">
        <f t="shared" ref="U5:U11" si="1">T5/(T5+S5)</f>
        <v>0.31818181818181818</v>
      </c>
      <c r="V5" s="19">
        <f t="shared" ref="V5:V11" si="2">B5+C5+J5+K5</f>
        <v>14</v>
      </c>
      <c r="W5" s="19">
        <f t="shared" ref="W5:W11" si="3">D5+E5+L5+M5</f>
        <v>7</v>
      </c>
      <c r="X5" s="19">
        <f t="shared" ref="X5:X11" si="4">F5+G5+N5+O5</f>
        <v>1</v>
      </c>
      <c r="Y5" s="19">
        <f t="shared" ref="Y5:Y11" si="5">SUM(V5:X5)</f>
        <v>22</v>
      </c>
      <c r="Z5" s="43">
        <f>W5/Y5</f>
        <v>0.31818181818181818</v>
      </c>
      <c r="AA5" s="43">
        <f>X5/Y5</f>
        <v>4.5454545454545456E-2</v>
      </c>
      <c r="AB5" s="19">
        <f t="shared" ref="AB5:AB11" si="6">H5+I5+P5+Q5</f>
        <v>0</v>
      </c>
      <c r="AC5" s="19">
        <f t="shared" ref="AC5:AC11" si="7">SUM(B5:I5)</f>
        <v>20</v>
      </c>
      <c r="AD5" s="38">
        <f t="shared" ref="AD5:AD11" si="8">SUM(J5:Q5)</f>
        <v>2</v>
      </c>
      <c r="AE5" s="41">
        <f>SUM(B5:Q5)</f>
        <v>22</v>
      </c>
      <c r="AG5">
        <v>16</v>
      </c>
      <c r="AH5">
        <v>11</v>
      </c>
      <c r="AI5">
        <v>0.40740740740740738</v>
      </c>
      <c r="AJ5">
        <v>14</v>
      </c>
      <c r="AK5">
        <v>11</v>
      </c>
      <c r="AL5">
        <v>2</v>
      </c>
      <c r="AM5">
        <v>27</v>
      </c>
      <c r="AN5">
        <v>0.40740740740740738</v>
      </c>
      <c r="AO5">
        <v>7.407407407407407E-2</v>
      </c>
      <c r="AP5">
        <v>0</v>
      </c>
      <c r="AQ5">
        <v>26</v>
      </c>
      <c r="AR5">
        <v>1</v>
      </c>
      <c r="AS5">
        <v>27</v>
      </c>
      <c r="AU5" s="119">
        <f>(S5/AG5) - 1</f>
        <v>-6.25E-2</v>
      </c>
      <c r="AV5" s="43">
        <f t="shared" ref="AV5:BG15" si="9">(T5/AH5) - 1</f>
        <v>-0.36363636363636365</v>
      </c>
      <c r="AW5" s="43">
        <f t="shared" si="9"/>
        <v>-0.21900826446280985</v>
      </c>
      <c r="AX5" s="43">
        <f t="shared" si="9"/>
        <v>0</v>
      </c>
      <c r="AY5" s="43">
        <f t="shared" si="9"/>
        <v>-0.36363636363636365</v>
      </c>
      <c r="AZ5" s="43">
        <f t="shared" si="9"/>
        <v>-0.5</v>
      </c>
      <c r="BA5" s="43">
        <f t="shared" si="9"/>
        <v>-0.18518518518518523</v>
      </c>
      <c r="BB5" s="43">
        <f t="shared" si="9"/>
        <v>-0.21900826446280985</v>
      </c>
      <c r="BC5" s="43">
        <f t="shared" si="9"/>
        <v>-0.38636363636363635</v>
      </c>
      <c r="BD5" s="43" t="e">
        <f t="shared" si="9"/>
        <v>#DIV/0!</v>
      </c>
      <c r="BE5" s="43">
        <f t="shared" si="9"/>
        <v>-0.23076923076923073</v>
      </c>
      <c r="BF5" s="43">
        <f t="shared" si="9"/>
        <v>1</v>
      </c>
      <c r="BG5" s="120">
        <f t="shared" si="9"/>
        <v>-0.18518518518518523</v>
      </c>
    </row>
    <row r="6" spans="1:59" ht="21" customHeight="1">
      <c r="A6" s="14">
        <v>0.30208333333333331</v>
      </c>
      <c r="B6" s="78">
        <v>11</v>
      </c>
      <c r="C6" s="78">
        <v>2</v>
      </c>
      <c r="D6" s="78">
        <v>5</v>
      </c>
      <c r="E6" s="78">
        <v>6</v>
      </c>
      <c r="F6" s="78">
        <v>0</v>
      </c>
      <c r="G6" s="78">
        <v>1</v>
      </c>
      <c r="H6" s="78">
        <v>0</v>
      </c>
      <c r="I6" s="78">
        <v>0</v>
      </c>
      <c r="J6" s="78">
        <v>0</v>
      </c>
      <c r="K6" s="78">
        <v>0</v>
      </c>
      <c r="L6" s="78">
        <v>1</v>
      </c>
      <c r="M6" s="78">
        <v>0</v>
      </c>
      <c r="N6" s="78">
        <v>0</v>
      </c>
      <c r="O6" s="78">
        <v>0</v>
      </c>
      <c r="P6" s="78">
        <v>0</v>
      </c>
      <c r="Q6" s="78">
        <v>0</v>
      </c>
      <c r="S6" s="29">
        <f t="shared" si="0"/>
        <v>17</v>
      </c>
      <c r="T6" s="19">
        <f t="shared" si="0"/>
        <v>9</v>
      </c>
      <c r="U6" s="25">
        <f t="shared" si="1"/>
        <v>0.34615384615384615</v>
      </c>
      <c r="V6" s="19">
        <f t="shared" si="2"/>
        <v>13</v>
      </c>
      <c r="W6" s="19">
        <f t="shared" si="3"/>
        <v>12</v>
      </c>
      <c r="X6" s="19" t="e">
        <f>#REF!+#REF!+N6+O6</f>
        <v>#REF!</v>
      </c>
      <c r="Y6" s="19" t="e">
        <f t="shared" si="5"/>
        <v>#REF!</v>
      </c>
      <c r="Z6" s="43" t="e">
        <f t="shared" ref="Z6:Z15" si="10">W6/Y6</f>
        <v>#REF!</v>
      </c>
      <c r="AA6" s="43" t="e">
        <f t="shared" ref="AA6:AA15" si="11">X6/Y6</f>
        <v>#REF!</v>
      </c>
      <c r="AB6" s="19">
        <f>F6+G6+P6+Q6</f>
        <v>1</v>
      </c>
      <c r="AC6" s="19">
        <f>SUM(B6:G6)</f>
        <v>25</v>
      </c>
      <c r="AD6" s="38">
        <f t="shared" si="8"/>
        <v>1</v>
      </c>
      <c r="AE6" s="41">
        <f t="shared" ref="AE6:AE15" si="12">SUM(B6:Q6)</f>
        <v>26</v>
      </c>
      <c r="AG6" t="e">
        <v>#REF!</v>
      </c>
      <c r="AH6" t="e">
        <v>#REF!</v>
      </c>
      <c r="AI6" t="e">
        <v>#REF!</v>
      </c>
      <c r="AJ6">
        <v>9</v>
      </c>
      <c r="AK6">
        <v>14</v>
      </c>
      <c r="AL6" t="e">
        <v>#REF!</v>
      </c>
      <c r="AM6" t="e">
        <v>#REF!</v>
      </c>
      <c r="AN6" t="e">
        <v>#REF!</v>
      </c>
      <c r="AO6" t="e">
        <v>#REF!</v>
      </c>
      <c r="AP6">
        <v>2</v>
      </c>
      <c r="AQ6">
        <v>22</v>
      </c>
      <c r="AR6">
        <v>3</v>
      </c>
      <c r="AS6">
        <v>26</v>
      </c>
      <c r="AU6" s="119" t="e">
        <f t="shared" ref="AU6:AU15" si="13">(S6/AG6) - 1</f>
        <v>#REF!</v>
      </c>
      <c r="AV6" s="43" t="e">
        <f t="shared" si="9"/>
        <v>#REF!</v>
      </c>
      <c r="AW6" s="43" t="e">
        <f t="shared" si="9"/>
        <v>#REF!</v>
      </c>
      <c r="AX6" s="43">
        <f t="shared" si="9"/>
        <v>0.44444444444444442</v>
      </c>
      <c r="AY6" s="43">
        <f t="shared" si="9"/>
        <v>-0.1428571428571429</v>
      </c>
      <c r="AZ6" s="43" t="e">
        <f t="shared" si="9"/>
        <v>#REF!</v>
      </c>
      <c r="BA6" s="43" t="e">
        <f t="shared" si="9"/>
        <v>#REF!</v>
      </c>
      <c r="BB6" s="43" t="e">
        <f t="shared" si="9"/>
        <v>#REF!</v>
      </c>
      <c r="BC6" s="43" t="e">
        <f t="shared" si="9"/>
        <v>#REF!</v>
      </c>
      <c r="BD6" s="43">
        <f t="shared" si="9"/>
        <v>-0.5</v>
      </c>
      <c r="BE6" s="43">
        <f t="shared" si="9"/>
        <v>0.13636363636363646</v>
      </c>
      <c r="BF6" s="43">
        <f t="shared" si="9"/>
        <v>-0.66666666666666674</v>
      </c>
      <c r="BG6" s="120">
        <f t="shared" si="9"/>
        <v>0</v>
      </c>
    </row>
    <row r="7" spans="1:59" ht="21" customHeight="1">
      <c r="A7" s="14">
        <v>0.3125</v>
      </c>
      <c r="B7" s="78">
        <v>11</v>
      </c>
      <c r="C7" s="78">
        <v>2</v>
      </c>
      <c r="D7" s="78">
        <v>5</v>
      </c>
      <c r="E7" s="78">
        <v>9</v>
      </c>
      <c r="F7" s="78">
        <v>3</v>
      </c>
      <c r="G7" s="78">
        <v>0</v>
      </c>
      <c r="H7" s="78">
        <v>1</v>
      </c>
      <c r="I7" s="78">
        <v>0</v>
      </c>
      <c r="J7" s="78">
        <v>1</v>
      </c>
      <c r="K7" s="78">
        <v>0</v>
      </c>
      <c r="L7" s="78">
        <v>1</v>
      </c>
      <c r="M7" s="78">
        <v>1</v>
      </c>
      <c r="N7" s="78">
        <v>0</v>
      </c>
      <c r="O7" s="78">
        <v>0</v>
      </c>
      <c r="P7" s="78">
        <v>0</v>
      </c>
      <c r="Q7" s="78">
        <v>0</v>
      </c>
      <c r="S7" s="29">
        <f t="shared" si="0"/>
        <v>22</v>
      </c>
      <c r="T7" s="19">
        <f t="shared" si="0"/>
        <v>12</v>
      </c>
      <c r="U7" s="25">
        <f t="shared" si="1"/>
        <v>0.35294117647058826</v>
      </c>
      <c r="V7" s="19">
        <f t="shared" si="2"/>
        <v>14</v>
      </c>
      <c r="W7" s="19">
        <f t="shared" si="3"/>
        <v>16</v>
      </c>
      <c r="X7" s="19">
        <f t="shared" si="4"/>
        <v>3</v>
      </c>
      <c r="Y7" s="19">
        <f t="shared" si="5"/>
        <v>33</v>
      </c>
      <c r="Z7" s="43">
        <f t="shared" si="10"/>
        <v>0.48484848484848486</v>
      </c>
      <c r="AA7" s="43">
        <f t="shared" si="11"/>
        <v>9.0909090909090912E-2</v>
      </c>
      <c r="AB7" s="19">
        <f t="shared" si="6"/>
        <v>1</v>
      </c>
      <c r="AC7" s="19">
        <f t="shared" si="7"/>
        <v>31</v>
      </c>
      <c r="AD7" s="38">
        <f t="shared" si="8"/>
        <v>3</v>
      </c>
      <c r="AE7" s="41">
        <f t="shared" si="12"/>
        <v>34</v>
      </c>
      <c r="AG7">
        <v>15</v>
      </c>
      <c r="AH7">
        <v>8</v>
      </c>
      <c r="AI7">
        <v>0.34782608695652173</v>
      </c>
      <c r="AJ7">
        <v>12</v>
      </c>
      <c r="AK7">
        <v>8</v>
      </c>
      <c r="AL7">
        <v>2</v>
      </c>
      <c r="AM7">
        <v>22</v>
      </c>
      <c r="AN7">
        <v>0.36363636363636365</v>
      </c>
      <c r="AO7">
        <v>9.0909090909090912E-2</v>
      </c>
      <c r="AP7">
        <v>1</v>
      </c>
      <c r="AQ7">
        <v>23</v>
      </c>
      <c r="AR7">
        <v>0</v>
      </c>
      <c r="AS7">
        <v>23</v>
      </c>
      <c r="AU7" s="119">
        <f t="shared" si="13"/>
        <v>0.46666666666666656</v>
      </c>
      <c r="AV7" s="43">
        <f t="shared" si="9"/>
        <v>0.5</v>
      </c>
      <c r="AW7" s="43">
        <f t="shared" si="9"/>
        <v>1.4705882352941346E-2</v>
      </c>
      <c r="AX7" s="43">
        <f t="shared" si="9"/>
        <v>0.16666666666666674</v>
      </c>
      <c r="AY7" s="43">
        <f t="shared" si="9"/>
        <v>1</v>
      </c>
      <c r="AZ7" s="43">
        <f t="shared" si="9"/>
        <v>0.5</v>
      </c>
      <c r="BA7" s="43">
        <f t="shared" si="9"/>
        <v>0.5</v>
      </c>
      <c r="BB7" s="43">
        <f t="shared" si="9"/>
        <v>0.33333333333333326</v>
      </c>
      <c r="BC7" s="43">
        <f t="shared" si="9"/>
        <v>0</v>
      </c>
      <c r="BD7" s="43">
        <f t="shared" si="9"/>
        <v>0</v>
      </c>
      <c r="BE7" s="43">
        <f t="shared" si="9"/>
        <v>0.34782608695652173</v>
      </c>
      <c r="BF7" s="43" t="e">
        <f t="shared" si="9"/>
        <v>#DIV/0!</v>
      </c>
      <c r="BG7" s="120">
        <f t="shared" si="9"/>
        <v>0.47826086956521729</v>
      </c>
    </row>
    <row r="8" spans="1:59" ht="21" customHeight="1" thickBot="1">
      <c r="A8" s="14">
        <v>0.32291666666666669</v>
      </c>
      <c r="B8" s="78">
        <v>7</v>
      </c>
      <c r="C8" s="78">
        <v>1</v>
      </c>
      <c r="D8" s="78">
        <v>8</v>
      </c>
      <c r="E8" s="78">
        <v>4</v>
      </c>
      <c r="F8" s="78">
        <v>0</v>
      </c>
      <c r="G8" s="78">
        <v>0</v>
      </c>
      <c r="H8" s="78">
        <v>1</v>
      </c>
      <c r="I8" s="78">
        <v>1</v>
      </c>
      <c r="J8" s="78">
        <v>1</v>
      </c>
      <c r="K8" s="78">
        <v>0</v>
      </c>
      <c r="L8" s="78">
        <v>0</v>
      </c>
      <c r="M8" s="78">
        <v>1</v>
      </c>
      <c r="N8" s="78">
        <v>0</v>
      </c>
      <c r="O8" s="78">
        <v>0</v>
      </c>
      <c r="P8" s="78">
        <v>0</v>
      </c>
      <c r="Q8" s="78">
        <v>0</v>
      </c>
      <c r="S8" s="29">
        <f t="shared" si="0"/>
        <v>17</v>
      </c>
      <c r="T8" s="19">
        <f t="shared" si="0"/>
        <v>7</v>
      </c>
      <c r="U8" s="25">
        <f t="shared" si="1"/>
        <v>0.29166666666666669</v>
      </c>
      <c r="V8" s="19">
        <f t="shared" si="2"/>
        <v>9</v>
      </c>
      <c r="W8" s="19">
        <f t="shared" si="3"/>
        <v>13</v>
      </c>
      <c r="X8" s="19">
        <f t="shared" si="4"/>
        <v>0</v>
      </c>
      <c r="Y8" s="19">
        <f t="shared" si="5"/>
        <v>22</v>
      </c>
      <c r="Z8" s="43">
        <f t="shared" si="10"/>
        <v>0.59090909090909094</v>
      </c>
      <c r="AA8" s="43">
        <f t="shared" si="11"/>
        <v>0</v>
      </c>
      <c r="AB8" s="19">
        <f t="shared" si="6"/>
        <v>2</v>
      </c>
      <c r="AC8" s="19">
        <f t="shared" si="7"/>
        <v>22</v>
      </c>
      <c r="AD8" s="38">
        <f t="shared" si="8"/>
        <v>2</v>
      </c>
      <c r="AE8" s="41">
        <f t="shared" si="12"/>
        <v>24</v>
      </c>
      <c r="AG8">
        <v>11</v>
      </c>
      <c r="AH8">
        <v>10</v>
      </c>
      <c r="AI8">
        <v>0.47619047619047616</v>
      </c>
      <c r="AJ8">
        <v>7</v>
      </c>
      <c r="AK8">
        <v>11</v>
      </c>
      <c r="AL8">
        <v>3</v>
      </c>
      <c r="AM8">
        <v>21</v>
      </c>
      <c r="AN8">
        <v>0.52380952380952384</v>
      </c>
      <c r="AO8">
        <v>0.14285714285714285</v>
      </c>
      <c r="AP8">
        <v>0</v>
      </c>
      <c r="AQ8">
        <v>21</v>
      </c>
      <c r="AR8">
        <v>0</v>
      </c>
      <c r="AS8">
        <v>21</v>
      </c>
      <c r="AU8" s="119">
        <f t="shared" si="13"/>
        <v>0.54545454545454541</v>
      </c>
      <c r="AV8" s="43">
        <f t="shared" si="9"/>
        <v>-0.30000000000000004</v>
      </c>
      <c r="AW8" s="43">
        <f t="shared" si="9"/>
        <v>-0.38749999999999996</v>
      </c>
      <c r="AX8" s="43">
        <f t="shared" si="9"/>
        <v>0.28571428571428581</v>
      </c>
      <c r="AY8" s="43">
        <f t="shared" si="9"/>
        <v>0.18181818181818188</v>
      </c>
      <c r="AZ8" s="43">
        <f t="shared" si="9"/>
        <v>-1</v>
      </c>
      <c r="BA8" s="43">
        <f t="shared" si="9"/>
        <v>4.7619047619047672E-2</v>
      </c>
      <c r="BB8" s="43">
        <f t="shared" si="9"/>
        <v>0.12809917355371891</v>
      </c>
      <c r="BC8" s="43">
        <f t="shared" si="9"/>
        <v>-1</v>
      </c>
      <c r="BD8" s="43" t="e">
        <f t="shared" si="9"/>
        <v>#DIV/0!</v>
      </c>
      <c r="BE8" s="43">
        <f t="shared" si="9"/>
        <v>4.7619047619047672E-2</v>
      </c>
      <c r="BF8" s="43" t="e">
        <f t="shared" si="9"/>
        <v>#DIV/0!</v>
      </c>
      <c r="BG8" s="120">
        <f t="shared" si="9"/>
        <v>0.14285714285714279</v>
      </c>
    </row>
    <row r="9" spans="1:59" ht="21" customHeight="1" thickBot="1">
      <c r="A9" s="13">
        <v>0.33333333333333331</v>
      </c>
      <c r="B9" s="79">
        <v>6</v>
      </c>
      <c r="C9" s="80">
        <v>2</v>
      </c>
      <c r="D9" s="81">
        <v>6</v>
      </c>
      <c r="E9" s="82">
        <v>2</v>
      </c>
      <c r="F9" s="81">
        <v>1</v>
      </c>
      <c r="G9" s="82">
        <v>0</v>
      </c>
      <c r="H9" s="79">
        <v>1</v>
      </c>
      <c r="I9" s="80">
        <v>0</v>
      </c>
      <c r="J9" s="79">
        <v>0</v>
      </c>
      <c r="K9" s="80">
        <v>0</v>
      </c>
      <c r="L9" s="81">
        <v>1</v>
      </c>
      <c r="M9" s="82">
        <v>0</v>
      </c>
      <c r="N9" s="81">
        <v>0</v>
      </c>
      <c r="O9" s="82">
        <v>0</v>
      </c>
      <c r="P9" s="79">
        <v>0</v>
      </c>
      <c r="Q9" s="80">
        <v>0</v>
      </c>
      <c r="S9" s="29">
        <f t="shared" si="0"/>
        <v>15</v>
      </c>
      <c r="T9" s="19">
        <f t="shared" si="0"/>
        <v>4</v>
      </c>
      <c r="U9" s="25">
        <f t="shared" si="1"/>
        <v>0.21052631578947367</v>
      </c>
      <c r="V9" s="19">
        <f t="shared" si="2"/>
        <v>8</v>
      </c>
      <c r="W9" s="19">
        <f t="shared" si="3"/>
        <v>9</v>
      </c>
      <c r="X9" s="19">
        <f t="shared" si="4"/>
        <v>1</v>
      </c>
      <c r="Y9" s="19">
        <f t="shared" si="5"/>
        <v>18</v>
      </c>
      <c r="Z9" s="43">
        <f t="shared" si="10"/>
        <v>0.5</v>
      </c>
      <c r="AA9" s="43">
        <f t="shared" si="11"/>
        <v>5.5555555555555552E-2</v>
      </c>
      <c r="AB9" s="19">
        <f t="shared" si="6"/>
        <v>1</v>
      </c>
      <c r="AC9" s="19">
        <f t="shared" si="7"/>
        <v>18</v>
      </c>
      <c r="AD9" s="38">
        <f t="shared" si="8"/>
        <v>1</v>
      </c>
      <c r="AE9" s="41">
        <f t="shared" si="12"/>
        <v>19</v>
      </c>
      <c r="AG9">
        <v>15</v>
      </c>
      <c r="AH9">
        <v>7</v>
      </c>
      <c r="AI9">
        <v>0.31818181818181818</v>
      </c>
      <c r="AJ9">
        <v>15</v>
      </c>
      <c r="AK9">
        <v>2</v>
      </c>
      <c r="AL9">
        <v>0</v>
      </c>
      <c r="AM9">
        <v>17</v>
      </c>
      <c r="AN9">
        <v>0.11764705882352941</v>
      </c>
      <c r="AO9">
        <v>0</v>
      </c>
      <c r="AP9">
        <v>5</v>
      </c>
      <c r="AQ9">
        <v>20</v>
      </c>
      <c r="AR9">
        <v>2</v>
      </c>
      <c r="AS9">
        <v>22</v>
      </c>
      <c r="AU9" s="119">
        <f t="shared" si="13"/>
        <v>0</v>
      </c>
      <c r="AV9" s="43">
        <f t="shared" si="9"/>
        <v>-0.4285714285714286</v>
      </c>
      <c r="AW9" s="43">
        <f t="shared" si="9"/>
        <v>-0.33834586466165417</v>
      </c>
      <c r="AX9" s="43">
        <f t="shared" si="9"/>
        <v>-0.46666666666666667</v>
      </c>
      <c r="AY9" s="43">
        <f t="shared" si="9"/>
        <v>3.5</v>
      </c>
      <c r="AZ9" s="43" t="e">
        <f t="shared" si="9"/>
        <v>#DIV/0!</v>
      </c>
      <c r="BA9" s="43">
        <f t="shared" si="9"/>
        <v>5.8823529411764719E-2</v>
      </c>
      <c r="BB9" s="43">
        <f t="shared" si="9"/>
        <v>3.25</v>
      </c>
      <c r="BC9" s="43" t="e">
        <f t="shared" si="9"/>
        <v>#DIV/0!</v>
      </c>
      <c r="BD9" s="43">
        <f t="shared" si="9"/>
        <v>-0.8</v>
      </c>
      <c r="BE9" s="43">
        <f t="shared" si="9"/>
        <v>-9.9999999999999978E-2</v>
      </c>
      <c r="BF9" s="43">
        <f t="shared" si="9"/>
        <v>-0.5</v>
      </c>
      <c r="BG9" s="120">
        <f t="shared" si="9"/>
        <v>-0.13636363636363635</v>
      </c>
    </row>
    <row r="10" spans="1:59" ht="21" customHeight="1">
      <c r="A10" s="14">
        <v>0.34375</v>
      </c>
      <c r="B10" s="79">
        <v>6</v>
      </c>
      <c r="C10" s="80">
        <v>4</v>
      </c>
      <c r="D10" s="81">
        <v>9</v>
      </c>
      <c r="E10" s="82">
        <v>6</v>
      </c>
      <c r="F10" s="81">
        <v>2</v>
      </c>
      <c r="G10" s="82">
        <v>0</v>
      </c>
      <c r="H10" s="87">
        <v>5</v>
      </c>
      <c r="I10" s="80">
        <v>0</v>
      </c>
      <c r="J10" s="79">
        <v>2</v>
      </c>
      <c r="K10" s="80">
        <v>0</v>
      </c>
      <c r="L10" s="81">
        <v>0</v>
      </c>
      <c r="M10" s="82">
        <v>0</v>
      </c>
      <c r="N10" s="81">
        <v>0</v>
      </c>
      <c r="O10" s="82">
        <v>0</v>
      </c>
      <c r="P10" s="79">
        <v>0</v>
      </c>
      <c r="Q10" s="80">
        <v>0</v>
      </c>
      <c r="S10" s="29">
        <f t="shared" si="0"/>
        <v>24</v>
      </c>
      <c r="T10" s="19">
        <f t="shared" si="0"/>
        <v>10</v>
      </c>
      <c r="U10" s="25">
        <f t="shared" si="1"/>
        <v>0.29411764705882354</v>
      </c>
      <c r="V10" s="19">
        <f t="shared" si="2"/>
        <v>12</v>
      </c>
      <c r="W10" s="19">
        <f t="shared" si="3"/>
        <v>15</v>
      </c>
      <c r="X10" s="19">
        <f t="shared" si="4"/>
        <v>2</v>
      </c>
      <c r="Y10" s="19">
        <f t="shared" si="5"/>
        <v>29</v>
      </c>
      <c r="Z10" s="43">
        <f t="shared" si="10"/>
        <v>0.51724137931034486</v>
      </c>
      <c r="AA10" s="43">
        <f t="shared" si="11"/>
        <v>6.8965517241379309E-2</v>
      </c>
      <c r="AB10" s="19">
        <f t="shared" si="6"/>
        <v>5</v>
      </c>
      <c r="AC10" s="19">
        <f t="shared" si="7"/>
        <v>32</v>
      </c>
      <c r="AD10" s="38">
        <f t="shared" si="8"/>
        <v>2</v>
      </c>
      <c r="AE10" s="41">
        <f t="shared" si="12"/>
        <v>34</v>
      </c>
      <c r="AG10">
        <v>14</v>
      </c>
      <c r="AH10">
        <v>8</v>
      </c>
      <c r="AI10">
        <v>0.36363636363636365</v>
      </c>
      <c r="AJ10">
        <v>11</v>
      </c>
      <c r="AK10">
        <v>7</v>
      </c>
      <c r="AL10">
        <v>3</v>
      </c>
      <c r="AM10">
        <v>21</v>
      </c>
      <c r="AN10">
        <v>0.33333333333333331</v>
      </c>
      <c r="AO10">
        <v>0.14285714285714285</v>
      </c>
      <c r="AP10">
        <v>1</v>
      </c>
      <c r="AQ10">
        <v>20</v>
      </c>
      <c r="AR10">
        <v>2</v>
      </c>
      <c r="AS10">
        <v>22</v>
      </c>
      <c r="AU10" s="119">
        <f t="shared" si="13"/>
        <v>0.71428571428571419</v>
      </c>
      <c r="AV10" s="43">
        <f t="shared" si="9"/>
        <v>0.25</v>
      </c>
      <c r="AW10" s="43">
        <f t="shared" si="9"/>
        <v>-0.19117647058823528</v>
      </c>
      <c r="AX10" s="43">
        <f t="shared" si="9"/>
        <v>9.0909090909090828E-2</v>
      </c>
      <c r="AY10" s="43">
        <f t="shared" si="9"/>
        <v>1.1428571428571428</v>
      </c>
      <c r="AZ10" s="43">
        <f t="shared" si="9"/>
        <v>-0.33333333333333337</v>
      </c>
      <c r="BA10" s="43">
        <f t="shared" si="9"/>
        <v>0.38095238095238093</v>
      </c>
      <c r="BB10" s="43">
        <f t="shared" si="9"/>
        <v>0.5517241379310347</v>
      </c>
      <c r="BC10" s="43">
        <f t="shared" si="9"/>
        <v>-0.51724137931034475</v>
      </c>
      <c r="BD10" s="43">
        <f t="shared" si="9"/>
        <v>4</v>
      </c>
      <c r="BE10" s="43">
        <f t="shared" si="9"/>
        <v>0.60000000000000009</v>
      </c>
      <c r="BF10" s="43">
        <f t="shared" si="9"/>
        <v>0</v>
      </c>
      <c r="BG10" s="120">
        <f t="shared" si="9"/>
        <v>0.54545454545454541</v>
      </c>
    </row>
    <row r="11" spans="1:59" ht="21" customHeight="1" thickBot="1">
      <c r="A11" s="14">
        <v>0.35416666666666669</v>
      </c>
      <c r="B11" s="78">
        <v>9</v>
      </c>
      <c r="C11" s="78">
        <v>3</v>
      </c>
      <c r="D11" s="78">
        <v>5</v>
      </c>
      <c r="E11" s="78">
        <v>4</v>
      </c>
      <c r="F11" s="78">
        <v>0</v>
      </c>
      <c r="G11" s="78">
        <v>0</v>
      </c>
      <c r="H11" s="78">
        <v>1</v>
      </c>
      <c r="I11" s="78">
        <v>1</v>
      </c>
      <c r="J11" s="78">
        <v>2</v>
      </c>
      <c r="K11" s="78">
        <v>0</v>
      </c>
      <c r="L11" s="78">
        <v>0</v>
      </c>
      <c r="M11" s="78">
        <v>0</v>
      </c>
      <c r="N11" s="78">
        <v>0</v>
      </c>
      <c r="O11" s="78">
        <v>0</v>
      </c>
      <c r="P11" s="78">
        <v>0</v>
      </c>
      <c r="Q11" s="78">
        <v>0</v>
      </c>
      <c r="S11" s="29">
        <f t="shared" si="0"/>
        <v>17</v>
      </c>
      <c r="T11" s="19">
        <f t="shared" si="0"/>
        <v>8</v>
      </c>
      <c r="U11" s="25">
        <f t="shared" si="1"/>
        <v>0.32</v>
      </c>
      <c r="V11" s="19">
        <f t="shared" si="2"/>
        <v>14</v>
      </c>
      <c r="W11" s="19">
        <f t="shared" si="3"/>
        <v>9</v>
      </c>
      <c r="X11" s="19">
        <f t="shared" si="4"/>
        <v>0</v>
      </c>
      <c r="Y11" s="19">
        <f t="shared" si="5"/>
        <v>23</v>
      </c>
      <c r="Z11" s="43">
        <f t="shared" si="10"/>
        <v>0.39130434782608697</v>
      </c>
      <c r="AA11" s="43">
        <f t="shared" si="11"/>
        <v>0</v>
      </c>
      <c r="AB11" s="19">
        <f t="shared" si="6"/>
        <v>2</v>
      </c>
      <c r="AC11" s="19">
        <f t="shared" si="7"/>
        <v>23</v>
      </c>
      <c r="AD11" s="38">
        <f t="shared" si="8"/>
        <v>2</v>
      </c>
      <c r="AE11" s="41">
        <f t="shared" si="12"/>
        <v>25</v>
      </c>
      <c r="AG11">
        <v>15</v>
      </c>
      <c r="AH11">
        <v>8</v>
      </c>
      <c r="AI11">
        <v>0.34782608695652173</v>
      </c>
      <c r="AJ11">
        <v>12</v>
      </c>
      <c r="AK11">
        <v>1</v>
      </c>
      <c r="AL11">
        <v>10</v>
      </c>
      <c r="AM11">
        <v>23</v>
      </c>
      <c r="AN11">
        <v>4.3478260869565216E-2</v>
      </c>
      <c r="AO11">
        <v>0.43478260869565216</v>
      </c>
      <c r="AP11">
        <v>0</v>
      </c>
      <c r="AQ11">
        <v>22</v>
      </c>
      <c r="AR11">
        <v>1</v>
      </c>
      <c r="AS11">
        <v>23</v>
      </c>
      <c r="AU11" s="119">
        <f t="shared" si="13"/>
        <v>0.1333333333333333</v>
      </c>
      <c r="AV11" s="43">
        <f t="shared" si="9"/>
        <v>0</v>
      </c>
      <c r="AW11" s="43">
        <f t="shared" si="9"/>
        <v>-7.999999999999996E-2</v>
      </c>
      <c r="AX11" s="43">
        <f t="shared" si="9"/>
        <v>0.16666666666666674</v>
      </c>
      <c r="AY11" s="43">
        <f t="shared" si="9"/>
        <v>8</v>
      </c>
      <c r="AZ11" s="43">
        <f t="shared" si="9"/>
        <v>-1</v>
      </c>
      <c r="BA11" s="43">
        <f t="shared" si="9"/>
        <v>0</v>
      </c>
      <c r="BB11" s="43">
        <f t="shared" si="9"/>
        <v>8</v>
      </c>
      <c r="BC11" s="43">
        <f t="shared" si="9"/>
        <v>-1</v>
      </c>
      <c r="BD11" s="43" t="e">
        <f t="shared" si="9"/>
        <v>#DIV/0!</v>
      </c>
      <c r="BE11" s="43">
        <f t="shared" si="9"/>
        <v>4.5454545454545414E-2</v>
      </c>
      <c r="BF11" s="43">
        <f t="shared" si="9"/>
        <v>1</v>
      </c>
      <c r="BG11" s="120">
        <f t="shared" si="9"/>
        <v>8.6956521739130377E-2</v>
      </c>
    </row>
    <row r="12" spans="1:59" ht="21" customHeight="1" thickBot="1">
      <c r="A12" s="14">
        <v>0.36458333333333331</v>
      </c>
      <c r="B12" s="83">
        <v>10</v>
      </c>
      <c r="C12" s="84">
        <v>2</v>
      </c>
      <c r="D12" s="85">
        <v>4</v>
      </c>
      <c r="E12" s="86">
        <v>2</v>
      </c>
      <c r="F12" s="85">
        <v>0</v>
      </c>
      <c r="G12" s="86">
        <v>0</v>
      </c>
      <c r="H12" s="83">
        <v>2</v>
      </c>
      <c r="I12" s="84">
        <v>0</v>
      </c>
      <c r="J12" s="83">
        <v>2</v>
      </c>
      <c r="K12" s="84">
        <v>0</v>
      </c>
      <c r="L12" s="85">
        <v>0</v>
      </c>
      <c r="M12" s="86">
        <v>0</v>
      </c>
      <c r="N12" s="85">
        <v>0</v>
      </c>
      <c r="O12" s="86">
        <v>0</v>
      </c>
      <c r="P12" s="83">
        <v>0</v>
      </c>
      <c r="Q12" s="84">
        <v>0</v>
      </c>
      <c r="S12" s="29">
        <f t="shared" ref="S12:T15" si="14">B12+D12+F12+H12+J12+L12+N12+P12</f>
        <v>18</v>
      </c>
      <c r="T12" s="19">
        <f t="shared" si="14"/>
        <v>4</v>
      </c>
      <c r="U12" s="25">
        <f>T12/(T12+S12)</f>
        <v>0.18181818181818182</v>
      </c>
      <c r="V12" s="19">
        <f>B12+C12+J12+K12</f>
        <v>14</v>
      </c>
      <c r="W12" s="19">
        <f>D12+E12+L12+M12</f>
        <v>6</v>
      </c>
      <c r="X12" s="19">
        <f>F12+G12+N12+O12</f>
        <v>0</v>
      </c>
      <c r="Y12" s="19">
        <f>SUM(V12:X12)</f>
        <v>20</v>
      </c>
      <c r="Z12" s="43">
        <f t="shared" si="10"/>
        <v>0.3</v>
      </c>
      <c r="AA12" s="43">
        <f t="shared" si="11"/>
        <v>0</v>
      </c>
      <c r="AB12" s="19">
        <f>H12+I12+P12+Q12</f>
        <v>2</v>
      </c>
      <c r="AC12" s="19">
        <f>SUM(B12:I12)</f>
        <v>20</v>
      </c>
      <c r="AD12" s="38">
        <f>SUM(J12:Q12)</f>
        <v>2</v>
      </c>
      <c r="AE12" s="41">
        <f t="shared" si="12"/>
        <v>22</v>
      </c>
      <c r="AG12">
        <v>5</v>
      </c>
      <c r="AH12">
        <v>5</v>
      </c>
      <c r="AI12">
        <v>0.5</v>
      </c>
      <c r="AJ12">
        <v>4</v>
      </c>
      <c r="AK12">
        <v>0</v>
      </c>
      <c r="AL12">
        <v>5</v>
      </c>
      <c r="AM12">
        <v>9</v>
      </c>
      <c r="AN12">
        <v>0</v>
      </c>
      <c r="AO12">
        <v>0.55555555555555558</v>
      </c>
      <c r="AP12">
        <v>1</v>
      </c>
      <c r="AQ12">
        <v>10</v>
      </c>
      <c r="AR12">
        <v>0</v>
      </c>
      <c r="AS12">
        <v>10</v>
      </c>
      <c r="AU12" s="119">
        <f t="shared" si="13"/>
        <v>2.6</v>
      </c>
      <c r="AV12" s="43">
        <f t="shared" si="9"/>
        <v>-0.19999999999999996</v>
      </c>
      <c r="AW12" s="43">
        <f t="shared" si="9"/>
        <v>-0.63636363636363635</v>
      </c>
      <c r="AX12" s="43">
        <f t="shared" si="9"/>
        <v>2.5</v>
      </c>
      <c r="AY12" s="43" t="e">
        <f t="shared" si="9"/>
        <v>#DIV/0!</v>
      </c>
      <c r="AZ12" s="43">
        <f t="shared" si="9"/>
        <v>-1</v>
      </c>
      <c r="BA12" s="43">
        <f t="shared" si="9"/>
        <v>1.2222222222222223</v>
      </c>
      <c r="BB12" s="43" t="e">
        <f t="shared" si="9"/>
        <v>#DIV/0!</v>
      </c>
      <c r="BC12" s="43">
        <f t="shared" si="9"/>
        <v>-1</v>
      </c>
      <c r="BD12" s="43">
        <f t="shared" si="9"/>
        <v>1</v>
      </c>
      <c r="BE12" s="43">
        <f t="shared" si="9"/>
        <v>1</v>
      </c>
      <c r="BF12" s="43" t="e">
        <f t="shared" si="9"/>
        <v>#DIV/0!</v>
      </c>
      <c r="BG12" s="120">
        <f t="shared" si="9"/>
        <v>1.2000000000000002</v>
      </c>
    </row>
    <row r="13" spans="1:59" s="97" customFormat="1" ht="21" customHeight="1" thickBot="1">
      <c r="A13" s="121"/>
      <c r="B13" s="125"/>
      <c r="C13" s="126"/>
      <c r="D13" s="127"/>
      <c r="E13" s="127"/>
      <c r="F13" s="127"/>
      <c r="G13" s="127"/>
      <c r="H13" s="125"/>
      <c r="I13" s="126"/>
      <c r="J13" s="125"/>
      <c r="K13" s="126"/>
      <c r="L13" s="127"/>
      <c r="M13" s="127"/>
      <c r="N13" s="127"/>
      <c r="O13" s="127"/>
      <c r="P13" s="125"/>
      <c r="Q13" s="126"/>
      <c r="S13" s="44"/>
      <c r="T13" s="45"/>
      <c r="U13" s="46"/>
      <c r="V13" s="45"/>
      <c r="W13" s="45"/>
      <c r="X13" s="45"/>
      <c r="Y13" s="45"/>
      <c r="Z13" s="43"/>
      <c r="AA13" s="43"/>
      <c r="AB13" s="45"/>
      <c r="AC13" s="45"/>
      <c r="AD13" s="128"/>
      <c r="AE13" s="49"/>
      <c r="AU13" s="119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120"/>
    </row>
    <row r="14" spans="1:59" ht="15.75" thickBot="1">
      <c r="A14" s="24" t="s">
        <v>13</v>
      </c>
      <c r="B14" s="35">
        <f>SUM(B5:B12)</f>
        <v>70</v>
      </c>
      <c r="C14" s="35">
        <f t="shared" ref="C14:Q14" si="15">SUM(C5:C12)</f>
        <v>20</v>
      </c>
      <c r="D14" s="35">
        <f t="shared" si="15"/>
        <v>45</v>
      </c>
      <c r="E14" s="35">
        <f t="shared" si="15"/>
        <v>35</v>
      </c>
      <c r="F14" s="35">
        <f t="shared" si="15"/>
        <v>7</v>
      </c>
      <c r="G14" s="35">
        <f t="shared" si="15"/>
        <v>1</v>
      </c>
      <c r="H14" s="35">
        <f t="shared" si="15"/>
        <v>11</v>
      </c>
      <c r="I14" s="35">
        <f t="shared" si="15"/>
        <v>2</v>
      </c>
      <c r="J14" s="35">
        <f t="shared" si="15"/>
        <v>8</v>
      </c>
      <c r="K14" s="35">
        <f t="shared" si="15"/>
        <v>0</v>
      </c>
      <c r="L14" s="35">
        <f t="shared" si="15"/>
        <v>4</v>
      </c>
      <c r="M14" s="35">
        <f t="shared" si="15"/>
        <v>3</v>
      </c>
      <c r="N14" s="35">
        <f t="shared" si="15"/>
        <v>0</v>
      </c>
      <c r="O14" s="35">
        <f t="shared" si="15"/>
        <v>0</v>
      </c>
      <c r="P14" s="35">
        <f t="shared" si="15"/>
        <v>0</v>
      </c>
      <c r="Q14" s="35">
        <f t="shared" si="15"/>
        <v>0</v>
      </c>
      <c r="S14" s="31">
        <f t="shared" si="14"/>
        <v>145</v>
      </c>
      <c r="T14" s="32">
        <f t="shared" si="14"/>
        <v>61</v>
      </c>
      <c r="U14" s="33">
        <f>T14/(T14+S14)</f>
        <v>0.29611650485436891</v>
      </c>
      <c r="V14" s="32">
        <f>B14+C14+J14+K14</f>
        <v>98</v>
      </c>
      <c r="W14" s="32">
        <f>D14+E14+L14+M14</f>
        <v>87</v>
      </c>
      <c r="X14" s="32">
        <f>F14+G14+N14+O14</f>
        <v>8</v>
      </c>
      <c r="Y14" s="32">
        <f>SUM(V14:X14)</f>
        <v>193</v>
      </c>
      <c r="Z14" s="43">
        <f t="shared" si="10"/>
        <v>0.45077720207253885</v>
      </c>
      <c r="AA14" s="43">
        <f t="shared" si="11"/>
        <v>4.145077720207254E-2</v>
      </c>
      <c r="AB14" s="32">
        <f>H14+I14+P14+Q14</f>
        <v>13</v>
      </c>
      <c r="AC14" s="32">
        <f>SUM(B14:I14)</f>
        <v>191</v>
      </c>
      <c r="AD14" s="39">
        <f>SUM(J14:Q14)</f>
        <v>15</v>
      </c>
      <c r="AE14" s="42">
        <f t="shared" si="12"/>
        <v>206</v>
      </c>
      <c r="AG14">
        <v>109</v>
      </c>
      <c r="AH14">
        <v>65</v>
      </c>
      <c r="AI14">
        <v>0.37356321839080459</v>
      </c>
      <c r="AJ14">
        <v>84</v>
      </c>
      <c r="AK14">
        <v>54</v>
      </c>
      <c r="AL14">
        <v>27</v>
      </c>
      <c r="AM14">
        <v>165</v>
      </c>
      <c r="AN14">
        <v>0.32727272727272727</v>
      </c>
      <c r="AO14">
        <v>0.16363636363636364</v>
      </c>
      <c r="AP14">
        <v>9</v>
      </c>
      <c r="AQ14">
        <v>165</v>
      </c>
      <c r="AR14">
        <v>9</v>
      </c>
      <c r="AS14">
        <v>174</v>
      </c>
      <c r="AU14" s="119">
        <f t="shared" si="13"/>
        <v>0.33027522935779818</v>
      </c>
      <c r="AV14" s="43">
        <f t="shared" si="9"/>
        <v>-6.1538461538461542E-2</v>
      </c>
      <c r="AW14" s="43">
        <f t="shared" si="9"/>
        <v>-0.20731889469753551</v>
      </c>
      <c r="AX14" s="43">
        <f t="shared" si="9"/>
        <v>0.16666666666666674</v>
      </c>
      <c r="AY14" s="43">
        <f t="shared" si="9"/>
        <v>0.61111111111111116</v>
      </c>
      <c r="AZ14" s="43">
        <f t="shared" si="9"/>
        <v>-0.70370370370370372</v>
      </c>
      <c r="BA14" s="43">
        <f t="shared" si="9"/>
        <v>0.16969696969696968</v>
      </c>
      <c r="BB14" s="43">
        <f t="shared" si="9"/>
        <v>0.37737478411053549</v>
      </c>
      <c r="BC14" s="43">
        <f t="shared" si="9"/>
        <v>-0.74668969487622339</v>
      </c>
      <c r="BD14" s="43">
        <f t="shared" si="9"/>
        <v>0.44444444444444442</v>
      </c>
      <c r="BE14" s="43">
        <f t="shared" si="9"/>
        <v>0.15757575757575748</v>
      </c>
      <c r="BF14" s="43">
        <f t="shared" si="9"/>
        <v>0.66666666666666674</v>
      </c>
      <c r="BG14" s="120">
        <f t="shared" si="9"/>
        <v>0.18390804597701149</v>
      </c>
    </row>
    <row r="15" spans="1:59" ht="15.75" thickBot="1">
      <c r="A15" s="24" t="s">
        <v>31</v>
      </c>
      <c r="B15" s="24">
        <f>SUM(B7:B10)</f>
        <v>30</v>
      </c>
      <c r="C15" s="24">
        <f t="shared" ref="C15:Q15" si="16">SUM(C7:C10)</f>
        <v>9</v>
      </c>
      <c r="D15" s="24">
        <f t="shared" si="16"/>
        <v>28</v>
      </c>
      <c r="E15" s="24">
        <f t="shared" si="16"/>
        <v>21</v>
      </c>
      <c r="F15" s="24">
        <f t="shared" si="16"/>
        <v>6</v>
      </c>
      <c r="G15" s="24">
        <f t="shared" si="16"/>
        <v>0</v>
      </c>
      <c r="H15" s="24">
        <f t="shared" si="16"/>
        <v>8</v>
      </c>
      <c r="I15" s="24">
        <f t="shared" si="16"/>
        <v>1</v>
      </c>
      <c r="J15" s="24">
        <f t="shared" si="16"/>
        <v>4</v>
      </c>
      <c r="K15" s="24">
        <f t="shared" si="16"/>
        <v>0</v>
      </c>
      <c r="L15" s="24">
        <f t="shared" si="16"/>
        <v>2</v>
      </c>
      <c r="M15" s="24">
        <f t="shared" si="16"/>
        <v>2</v>
      </c>
      <c r="N15" s="24">
        <f t="shared" si="16"/>
        <v>0</v>
      </c>
      <c r="O15" s="24">
        <f t="shared" si="16"/>
        <v>0</v>
      </c>
      <c r="P15" s="24">
        <f t="shared" si="16"/>
        <v>0</v>
      </c>
      <c r="Q15" s="24">
        <f t="shared" si="16"/>
        <v>0</v>
      </c>
      <c r="S15" s="50">
        <f t="shared" si="14"/>
        <v>78</v>
      </c>
      <c r="T15" s="35">
        <f t="shared" si="14"/>
        <v>33</v>
      </c>
      <c r="U15" s="51">
        <f>T15/(T15+S15)</f>
        <v>0.29729729729729731</v>
      </c>
      <c r="V15" s="35">
        <f>B15+C15+J15+K15</f>
        <v>43</v>
      </c>
      <c r="W15" s="35">
        <f>D15+E15+L15+M15</f>
        <v>53</v>
      </c>
      <c r="X15" s="35">
        <f>F15+G15+N15+O15</f>
        <v>6</v>
      </c>
      <c r="Y15" s="35">
        <f>SUM(V15:X15)</f>
        <v>102</v>
      </c>
      <c r="Z15" s="52">
        <f t="shared" si="10"/>
        <v>0.51960784313725494</v>
      </c>
      <c r="AA15" s="52">
        <f t="shared" si="11"/>
        <v>5.8823529411764705E-2</v>
      </c>
      <c r="AB15" s="35">
        <f>H15+I15+P15+Q15</f>
        <v>9</v>
      </c>
      <c r="AC15" s="35">
        <f>SUM(B15:I15)</f>
        <v>103</v>
      </c>
      <c r="AD15" s="36">
        <f>SUM(J15:Q15)</f>
        <v>8</v>
      </c>
      <c r="AE15" s="53">
        <f t="shared" si="12"/>
        <v>111</v>
      </c>
      <c r="AG15">
        <v>55</v>
      </c>
      <c r="AH15">
        <v>33</v>
      </c>
      <c r="AI15">
        <v>0.375</v>
      </c>
      <c r="AJ15">
        <v>45</v>
      </c>
      <c r="AK15">
        <v>28</v>
      </c>
      <c r="AL15">
        <v>8</v>
      </c>
      <c r="AM15">
        <v>81</v>
      </c>
      <c r="AN15">
        <v>0.34567901234567899</v>
      </c>
      <c r="AO15">
        <v>9.8765432098765427E-2</v>
      </c>
      <c r="AP15">
        <v>7</v>
      </c>
      <c r="AQ15">
        <v>84</v>
      </c>
      <c r="AR15">
        <v>4</v>
      </c>
      <c r="AS15">
        <v>88</v>
      </c>
      <c r="AU15" s="56">
        <f t="shared" si="13"/>
        <v>0.41818181818181821</v>
      </c>
      <c r="AV15" s="57">
        <f t="shared" si="9"/>
        <v>0</v>
      </c>
      <c r="AW15" s="57">
        <f t="shared" si="9"/>
        <v>-0.2072072072072072</v>
      </c>
      <c r="AX15" s="57">
        <f t="shared" si="9"/>
        <v>-4.4444444444444398E-2</v>
      </c>
      <c r="AY15" s="57">
        <f t="shared" si="9"/>
        <v>0.89285714285714279</v>
      </c>
      <c r="AZ15" s="57">
        <f t="shared" si="9"/>
        <v>-0.25</v>
      </c>
      <c r="BA15" s="57">
        <f t="shared" si="9"/>
        <v>0.2592592592592593</v>
      </c>
      <c r="BB15" s="57">
        <f t="shared" si="9"/>
        <v>0.50315126050420189</v>
      </c>
      <c r="BC15" s="57">
        <f t="shared" si="9"/>
        <v>-0.40441176470588236</v>
      </c>
      <c r="BD15" s="57">
        <f t="shared" si="9"/>
        <v>0.28571428571428581</v>
      </c>
      <c r="BE15" s="57">
        <f t="shared" si="9"/>
        <v>0.22619047619047628</v>
      </c>
      <c r="BF15" s="57">
        <f t="shared" si="9"/>
        <v>1</v>
      </c>
      <c r="BG15" s="58">
        <f t="shared" si="9"/>
        <v>0.26136363636363646</v>
      </c>
    </row>
    <row r="17" spans="1:34">
      <c r="A17">
        <v>7</v>
      </c>
      <c r="B17">
        <f>SUM(B5:B8)</f>
        <v>39</v>
      </c>
      <c r="C17">
        <f t="shared" ref="C17:Q17" si="17">SUM(C5:C8)</f>
        <v>9</v>
      </c>
      <c r="D17">
        <f t="shared" si="17"/>
        <v>21</v>
      </c>
      <c r="E17">
        <f t="shared" si="17"/>
        <v>21</v>
      </c>
      <c r="F17">
        <f t="shared" si="17"/>
        <v>4</v>
      </c>
      <c r="G17">
        <f t="shared" si="17"/>
        <v>1</v>
      </c>
      <c r="H17">
        <f t="shared" si="17"/>
        <v>2</v>
      </c>
      <c r="I17">
        <f t="shared" si="17"/>
        <v>1</v>
      </c>
      <c r="J17">
        <f t="shared" si="17"/>
        <v>2</v>
      </c>
      <c r="K17">
        <f t="shared" si="17"/>
        <v>0</v>
      </c>
      <c r="L17">
        <f t="shared" si="17"/>
        <v>3</v>
      </c>
      <c r="M17">
        <f t="shared" si="17"/>
        <v>3</v>
      </c>
      <c r="N17">
        <f t="shared" si="17"/>
        <v>0</v>
      </c>
      <c r="O17">
        <f t="shared" si="17"/>
        <v>0</v>
      </c>
      <c r="P17">
        <f t="shared" si="17"/>
        <v>0</v>
      </c>
      <c r="Q17">
        <f t="shared" si="17"/>
        <v>0</v>
      </c>
    </row>
    <row r="18" spans="1:34">
      <c r="A18">
        <v>8</v>
      </c>
      <c r="B18">
        <f>SUM(B9:B12)</f>
        <v>31</v>
      </c>
      <c r="C18">
        <f t="shared" ref="C18:Q18" si="18">SUM(C9:C12)</f>
        <v>11</v>
      </c>
      <c r="D18">
        <f t="shared" si="18"/>
        <v>24</v>
      </c>
      <c r="E18">
        <f t="shared" si="18"/>
        <v>14</v>
      </c>
      <c r="F18">
        <f t="shared" si="18"/>
        <v>3</v>
      </c>
      <c r="G18">
        <f t="shared" si="18"/>
        <v>0</v>
      </c>
      <c r="H18">
        <f t="shared" si="18"/>
        <v>9</v>
      </c>
      <c r="I18">
        <f t="shared" si="18"/>
        <v>1</v>
      </c>
      <c r="J18">
        <f t="shared" si="18"/>
        <v>6</v>
      </c>
      <c r="K18">
        <f t="shared" si="18"/>
        <v>0</v>
      </c>
      <c r="L18">
        <f t="shared" si="18"/>
        <v>1</v>
      </c>
      <c r="M18">
        <f t="shared" si="18"/>
        <v>0</v>
      </c>
      <c r="N18">
        <f t="shared" si="18"/>
        <v>0</v>
      </c>
      <c r="O18">
        <f t="shared" si="18"/>
        <v>0</v>
      </c>
      <c r="P18">
        <f t="shared" si="18"/>
        <v>0</v>
      </c>
      <c r="Q18">
        <f t="shared" si="18"/>
        <v>0</v>
      </c>
    </row>
    <row r="19" spans="1:34">
      <c r="S19" t="e">
        <f>S14/#REF!</f>
        <v>#REF!</v>
      </c>
      <c r="T19" t="e">
        <f>T14/#REF!</f>
        <v>#REF!</v>
      </c>
      <c r="AG19">
        <v>0.41132075471698115</v>
      </c>
      <c r="AH19">
        <v>0.73863636363636365</v>
      </c>
    </row>
  </sheetData>
  <mergeCells count="13">
    <mergeCell ref="L3:M3"/>
    <mergeCell ref="N3:O3"/>
    <mergeCell ref="P3:Q3"/>
    <mergeCell ref="B3:C3"/>
    <mergeCell ref="D3:E3"/>
    <mergeCell ref="F3:G3"/>
    <mergeCell ref="H3:I3"/>
    <mergeCell ref="J3:K3"/>
    <mergeCell ref="S2:AD2"/>
    <mergeCell ref="B2:I2"/>
    <mergeCell ref="J2:Q2"/>
    <mergeCell ref="AG2:AR2"/>
    <mergeCell ref="AU2:BF2"/>
  </mergeCells>
  <conditionalFormatting sqref="AU5:BG15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8"/>
  <sheetViews>
    <sheetView workbookViewId="0">
      <selection activeCell="S15" sqref="S15"/>
    </sheetView>
  </sheetViews>
  <sheetFormatPr baseColWidth="10" defaultColWidth="9.140625" defaultRowHeight="15"/>
  <cols>
    <col min="2" max="17" width="5.42578125" customWidth="1"/>
    <col min="47" max="59" width="8.85546875" style="97"/>
  </cols>
  <sheetData>
    <row r="1" spans="1:59" ht="21.75" thickBot="1">
      <c r="B1" s="11" t="s">
        <v>11</v>
      </c>
      <c r="C1" s="12" t="s">
        <v>23</v>
      </c>
    </row>
    <row r="2" spans="1:59" s="10" customFormat="1" ht="21.75" thickBot="1">
      <c r="A2" s="9"/>
      <c r="B2" s="141" t="s">
        <v>5</v>
      </c>
      <c r="C2" s="143"/>
      <c r="D2" s="143"/>
      <c r="E2" s="143"/>
      <c r="F2" s="143"/>
      <c r="G2" s="143"/>
      <c r="H2" s="143"/>
      <c r="I2" s="144"/>
      <c r="J2" s="141" t="s">
        <v>6</v>
      </c>
      <c r="K2" s="143"/>
      <c r="L2" s="143"/>
      <c r="M2" s="143"/>
      <c r="N2" s="143"/>
      <c r="O2" s="143"/>
      <c r="P2" s="143"/>
      <c r="Q2" s="144"/>
      <c r="R2" s="97"/>
      <c r="S2" s="138" t="str">
        <f xml:space="preserve"> "Totaux 2021 " &amp; $C1</f>
        <v>Totaux 2021 StGenis -&gt; Bourdigny</v>
      </c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G2" s="138" t="str">
        <f xml:space="preserve"> "Totaux 2020 " &amp; $C1</f>
        <v>Totaux 2020 StGenis -&gt; Bourdigny</v>
      </c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U2" s="139" t="str">
        <f xml:space="preserve"> "Changement depuis 2020 " &amp; $C1</f>
        <v>Changement depuis 2020 StGenis -&gt; Bourdigny</v>
      </c>
      <c r="AV2" s="140"/>
      <c r="AW2" s="140"/>
      <c r="AX2" s="140"/>
      <c r="AY2" s="140"/>
      <c r="AZ2" s="140"/>
      <c r="BA2" s="140"/>
      <c r="BB2" s="140"/>
      <c r="BC2" s="140"/>
      <c r="BD2" s="140"/>
      <c r="BE2" s="140"/>
      <c r="BF2" s="140"/>
      <c r="BG2" s="115"/>
    </row>
    <row r="3" spans="1:59" ht="15.75">
      <c r="A3" s="9"/>
      <c r="B3" s="141" t="s">
        <v>9</v>
      </c>
      <c r="C3" s="144"/>
      <c r="D3" s="145" t="s">
        <v>7</v>
      </c>
      <c r="E3" s="142"/>
      <c r="F3" s="145" t="s">
        <v>8</v>
      </c>
      <c r="G3" s="142"/>
      <c r="H3" s="141" t="s">
        <v>0</v>
      </c>
      <c r="I3" s="142"/>
      <c r="J3" s="141" t="s">
        <v>4</v>
      </c>
      <c r="K3" s="144"/>
      <c r="L3" s="145" t="s">
        <v>7</v>
      </c>
      <c r="M3" s="142"/>
      <c r="N3" s="145" t="s">
        <v>10</v>
      </c>
      <c r="O3" s="142"/>
      <c r="P3" s="141" t="s">
        <v>0</v>
      </c>
      <c r="Q3" s="142"/>
      <c r="S3" s="26" t="s">
        <v>20</v>
      </c>
      <c r="T3" s="27" t="s">
        <v>14</v>
      </c>
      <c r="U3" s="27" t="s">
        <v>15</v>
      </c>
      <c r="V3" s="27" t="s">
        <v>16</v>
      </c>
      <c r="W3" s="27" t="s">
        <v>7</v>
      </c>
      <c r="X3" s="27" t="s">
        <v>17</v>
      </c>
      <c r="Y3" s="27" t="s">
        <v>18</v>
      </c>
      <c r="Z3" s="27" t="s">
        <v>27</v>
      </c>
      <c r="AA3" s="27" t="s">
        <v>28</v>
      </c>
      <c r="AB3" s="27" t="s">
        <v>19</v>
      </c>
      <c r="AC3" s="27" t="s">
        <v>21</v>
      </c>
      <c r="AD3" s="28" t="s">
        <v>22</v>
      </c>
      <c r="AE3" s="40" t="s">
        <v>26</v>
      </c>
      <c r="AG3" t="s">
        <v>20</v>
      </c>
      <c r="AH3" t="s">
        <v>14</v>
      </c>
      <c r="AI3" t="s">
        <v>15</v>
      </c>
      <c r="AJ3" t="s">
        <v>16</v>
      </c>
      <c r="AK3" t="s">
        <v>7</v>
      </c>
      <c r="AL3" t="s">
        <v>17</v>
      </c>
      <c r="AM3" t="s">
        <v>18</v>
      </c>
      <c r="AN3" t="s">
        <v>27</v>
      </c>
      <c r="AO3" t="s">
        <v>28</v>
      </c>
      <c r="AP3" t="s">
        <v>19</v>
      </c>
      <c r="AQ3" t="s">
        <v>21</v>
      </c>
      <c r="AR3" t="s">
        <v>22</v>
      </c>
      <c r="AS3" t="s">
        <v>26</v>
      </c>
      <c r="AU3" s="117" t="s">
        <v>20</v>
      </c>
      <c r="AV3" s="116" t="s">
        <v>14</v>
      </c>
      <c r="AW3" s="116" t="s">
        <v>15</v>
      </c>
      <c r="AX3" s="116" t="s">
        <v>16</v>
      </c>
      <c r="AY3" s="116" t="s">
        <v>7</v>
      </c>
      <c r="AZ3" s="116" t="s">
        <v>17</v>
      </c>
      <c r="BA3" s="116" t="s">
        <v>25</v>
      </c>
      <c r="BB3" s="116" t="s">
        <v>27</v>
      </c>
      <c r="BC3" s="116" t="s">
        <v>28</v>
      </c>
      <c r="BD3" s="116" t="s">
        <v>19</v>
      </c>
      <c r="BE3" s="116" t="s">
        <v>21</v>
      </c>
      <c r="BF3" s="116" t="s">
        <v>22</v>
      </c>
      <c r="BG3" s="118" t="s">
        <v>26</v>
      </c>
    </row>
    <row r="4" spans="1:59" ht="21" thickBot="1">
      <c r="A4" s="1" t="s">
        <v>3</v>
      </c>
      <c r="B4" s="2" t="s">
        <v>1</v>
      </c>
      <c r="C4" s="4" t="s">
        <v>2</v>
      </c>
      <c r="D4" s="2" t="s">
        <v>1</v>
      </c>
      <c r="E4" s="4" t="s">
        <v>2</v>
      </c>
      <c r="F4" s="2" t="s">
        <v>1</v>
      </c>
      <c r="G4" s="4" t="s">
        <v>2</v>
      </c>
      <c r="H4" s="2" t="s">
        <v>1</v>
      </c>
      <c r="I4" s="3" t="s">
        <v>2</v>
      </c>
      <c r="J4" s="2" t="s">
        <v>1</v>
      </c>
      <c r="K4" s="4" t="s">
        <v>2</v>
      </c>
      <c r="L4" s="2" t="s">
        <v>1</v>
      </c>
      <c r="M4" s="4" t="s">
        <v>2</v>
      </c>
      <c r="N4" s="2" t="s">
        <v>1</v>
      </c>
      <c r="O4" s="4" t="s">
        <v>2</v>
      </c>
      <c r="P4" s="2" t="s">
        <v>1</v>
      </c>
      <c r="Q4" s="3" t="s">
        <v>2</v>
      </c>
      <c r="S4" s="29"/>
      <c r="T4" s="19"/>
      <c r="U4" s="25"/>
      <c r="V4" s="19"/>
      <c r="W4" s="19"/>
      <c r="X4" s="19"/>
      <c r="Y4" s="19"/>
      <c r="Z4" s="19"/>
      <c r="AA4" s="19"/>
      <c r="AB4" s="19"/>
      <c r="AC4" s="19"/>
      <c r="AD4" s="30"/>
      <c r="AE4" s="41"/>
      <c r="AU4" s="2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30"/>
    </row>
    <row r="5" spans="1:59" ht="16.5" thickBot="1">
      <c r="A5" s="13">
        <v>0.29166666666666669</v>
      </c>
      <c r="B5" s="15">
        <v>2</v>
      </c>
      <c r="C5" s="16"/>
      <c r="D5" s="17">
        <v>5</v>
      </c>
      <c r="E5" s="18">
        <v>1</v>
      </c>
      <c r="F5" s="17"/>
      <c r="G5" s="18"/>
      <c r="H5" s="15"/>
      <c r="I5" s="16"/>
      <c r="J5" s="15"/>
      <c r="K5" s="16"/>
      <c r="L5" s="17"/>
      <c r="M5" s="18"/>
      <c r="N5" s="17"/>
      <c r="O5" s="18"/>
      <c r="P5" s="15"/>
      <c r="Q5" s="16"/>
      <c r="S5" s="29">
        <f t="shared" ref="S5:T11" si="0">B5+D5+F5+H5+J5+L5+N5+P5</f>
        <v>7</v>
      </c>
      <c r="T5" s="19">
        <f t="shared" si="0"/>
        <v>1</v>
      </c>
      <c r="U5" s="25">
        <f t="shared" ref="U5:U11" si="1">T5/(T5+S5)</f>
        <v>0.125</v>
      </c>
      <c r="V5" s="19">
        <f t="shared" ref="V5:V10" si="2">B5+C5+J5+K5</f>
        <v>2</v>
      </c>
      <c r="W5" s="19">
        <f t="shared" ref="W5:W11" si="3">D5+E5+L5+M5</f>
        <v>6</v>
      </c>
      <c r="X5" s="19">
        <f t="shared" ref="X5:X11" si="4">F5+G5+N5+O5</f>
        <v>0</v>
      </c>
      <c r="Y5" s="19">
        <f t="shared" ref="Y5:Y11" si="5">SUM(V5:X5)</f>
        <v>8</v>
      </c>
      <c r="Z5" s="43">
        <f>W5/Y5</f>
        <v>0.75</v>
      </c>
      <c r="AA5" s="43">
        <f>X5/Y5</f>
        <v>0</v>
      </c>
      <c r="AB5" s="19">
        <f t="shared" ref="AB5:AB10" si="6">H5+I5+P5+Q5</f>
        <v>0</v>
      </c>
      <c r="AC5" s="19">
        <f t="shared" ref="AC5:AC11" si="7">SUM(B5:I5)</f>
        <v>8</v>
      </c>
      <c r="AD5" s="30">
        <f t="shared" ref="AD5:AD10" si="8">SUM(J5:Q5)</f>
        <v>0</v>
      </c>
      <c r="AE5" s="41">
        <f>SUM(B5:Q5)</f>
        <v>8</v>
      </c>
      <c r="AG5">
        <v>1</v>
      </c>
      <c r="AH5">
        <v>0</v>
      </c>
      <c r="AI5">
        <v>0</v>
      </c>
      <c r="AJ5">
        <v>0</v>
      </c>
      <c r="AK5">
        <v>1</v>
      </c>
      <c r="AL5">
        <v>0</v>
      </c>
      <c r="AM5">
        <v>1</v>
      </c>
      <c r="AN5">
        <v>1</v>
      </c>
      <c r="AO5">
        <v>0</v>
      </c>
      <c r="AP5">
        <v>0</v>
      </c>
      <c r="AQ5">
        <v>1</v>
      </c>
      <c r="AR5">
        <v>0</v>
      </c>
      <c r="AS5">
        <v>1</v>
      </c>
      <c r="AU5" s="119">
        <f>(S5/AG5) - 1</f>
        <v>6</v>
      </c>
      <c r="AV5" s="43" t="e">
        <f t="shared" ref="AV5:BG15" si="9">(T5/AH5) - 1</f>
        <v>#DIV/0!</v>
      </c>
      <c r="AW5" s="43" t="e">
        <f t="shared" si="9"/>
        <v>#DIV/0!</v>
      </c>
      <c r="AX5" s="43" t="e">
        <f t="shared" si="9"/>
        <v>#DIV/0!</v>
      </c>
      <c r="AY5" s="43">
        <f t="shared" si="9"/>
        <v>5</v>
      </c>
      <c r="AZ5" s="43" t="e">
        <f t="shared" si="9"/>
        <v>#DIV/0!</v>
      </c>
      <c r="BA5" s="43">
        <f t="shared" si="9"/>
        <v>7</v>
      </c>
      <c r="BB5" s="43">
        <f t="shared" si="9"/>
        <v>-0.25</v>
      </c>
      <c r="BC5" s="43" t="e">
        <f t="shared" si="9"/>
        <v>#DIV/0!</v>
      </c>
      <c r="BD5" s="43" t="e">
        <f t="shared" si="9"/>
        <v>#DIV/0!</v>
      </c>
      <c r="BE5" s="43">
        <f t="shared" si="9"/>
        <v>7</v>
      </c>
      <c r="BF5" s="43" t="e">
        <f t="shared" si="9"/>
        <v>#DIV/0!</v>
      </c>
      <c r="BG5" s="120">
        <f t="shared" si="9"/>
        <v>7</v>
      </c>
    </row>
    <row r="6" spans="1:59" ht="16.5" thickBot="1">
      <c r="A6" s="14">
        <v>0.30208333333333331</v>
      </c>
      <c r="B6" s="15">
        <v>3</v>
      </c>
      <c r="C6" s="16"/>
      <c r="D6" s="17"/>
      <c r="E6" s="18">
        <v>1</v>
      </c>
      <c r="F6" s="17"/>
      <c r="G6" s="18"/>
      <c r="H6" s="15"/>
      <c r="I6" s="16"/>
      <c r="J6" s="15"/>
      <c r="K6" s="16"/>
      <c r="L6" s="17"/>
      <c r="M6" s="18"/>
      <c r="N6" s="17"/>
      <c r="O6" s="18"/>
      <c r="P6" s="15"/>
      <c r="Q6" s="16"/>
      <c r="S6" s="29">
        <f t="shared" si="0"/>
        <v>3</v>
      </c>
      <c r="T6" s="19">
        <f t="shared" si="0"/>
        <v>1</v>
      </c>
      <c r="U6" s="25">
        <f t="shared" si="1"/>
        <v>0.25</v>
      </c>
      <c r="V6" s="19">
        <f t="shared" si="2"/>
        <v>3</v>
      </c>
      <c r="W6" s="19">
        <f t="shared" si="3"/>
        <v>1</v>
      </c>
      <c r="X6" s="19">
        <f t="shared" si="4"/>
        <v>0</v>
      </c>
      <c r="Y6" s="19">
        <f t="shared" si="5"/>
        <v>4</v>
      </c>
      <c r="Z6" s="43">
        <f t="shared" ref="Z6:Z15" si="10">W6/Y6</f>
        <v>0.25</v>
      </c>
      <c r="AA6" s="43">
        <f t="shared" ref="AA6:AA15" si="11">X6/Y6</f>
        <v>0</v>
      </c>
      <c r="AB6" s="19">
        <f t="shared" si="6"/>
        <v>0</v>
      </c>
      <c r="AC6" s="19">
        <f t="shared" si="7"/>
        <v>4</v>
      </c>
      <c r="AD6" s="30">
        <f t="shared" si="8"/>
        <v>0</v>
      </c>
      <c r="AE6" s="41">
        <f t="shared" ref="AE6:AE15" si="12">SUM(B6:Q6)</f>
        <v>4</v>
      </c>
      <c r="AG6">
        <v>5</v>
      </c>
      <c r="AH6">
        <v>1</v>
      </c>
      <c r="AI6">
        <v>0.16666666666666666</v>
      </c>
      <c r="AJ6">
        <v>2</v>
      </c>
      <c r="AK6">
        <v>4</v>
      </c>
      <c r="AL6">
        <v>0</v>
      </c>
      <c r="AM6">
        <v>6</v>
      </c>
      <c r="AN6">
        <v>0.66666666666666663</v>
      </c>
      <c r="AO6">
        <v>0</v>
      </c>
      <c r="AP6">
        <v>0</v>
      </c>
      <c r="AQ6">
        <v>6</v>
      </c>
      <c r="AR6">
        <v>0</v>
      </c>
      <c r="AS6">
        <v>6</v>
      </c>
      <c r="AU6" s="119">
        <f t="shared" ref="AU6:AU15" si="13">(S6/AG6) - 1</f>
        <v>-0.4</v>
      </c>
      <c r="AV6" s="43">
        <f t="shared" si="9"/>
        <v>0</v>
      </c>
      <c r="AW6" s="43">
        <f t="shared" si="9"/>
        <v>0.5</v>
      </c>
      <c r="AX6" s="43">
        <f t="shared" si="9"/>
        <v>0.5</v>
      </c>
      <c r="AY6" s="43">
        <f t="shared" si="9"/>
        <v>-0.75</v>
      </c>
      <c r="AZ6" s="43" t="e">
        <f t="shared" si="9"/>
        <v>#DIV/0!</v>
      </c>
      <c r="BA6" s="43">
        <f t="shared" si="9"/>
        <v>-0.33333333333333337</v>
      </c>
      <c r="BB6" s="43">
        <f t="shared" si="9"/>
        <v>-0.625</v>
      </c>
      <c r="BC6" s="43" t="e">
        <f t="shared" si="9"/>
        <v>#DIV/0!</v>
      </c>
      <c r="BD6" s="43" t="e">
        <f t="shared" si="9"/>
        <v>#DIV/0!</v>
      </c>
      <c r="BE6" s="43">
        <f t="shared" si="9"/>
        <v>-0.33333333333333337</v>
      </c>
      <c r="BF6" s="43" t="e">
        <f t="shared" si="9"/>
        <v>#DIV/0!</v>
      </c>
      <c r="BG6" s="120">
        <f t="shared" si="9"/>
        <v>-0.33333333333333337</v>
      </c>
    </row>
    <row r="7" spans="1:59" ht="16.5" thickBot="1">
      <c r="A7" s="14">
        <v>0.3125</v>
      </c>
      <c r="B7" s="15">
        <v>2</v>
      </c>
      <c r="C7" s="16"/>
      <c r="D7" s="17"/>
      <c r="E7" s="18"/>
      <c r="F7" s="17"/>
      <c r="G7" s="18"/>
      <c r="H7" s="15"/>
      <c r="I7" s="16"/>
      <c r="J7" s="15"/>
      <c r="K7" s="16"/>
      <c r="L7" s="17"/>
      <c r="M7" s="18"/>
      <c r="N7" s="17"/>
      <c r="O7" s="18"/>
      <c r="P7" s="15"/>
      <c r="Q7" s="16"/>
      <c r="S7" s="29">
        <f t="shared" si="0"/>
        <v>2</v>
      </c>
      <c r="T7" s="19">
        <f t="shared" si="0"/>
        <v>0</v>
      </c>
      <c r="U7" s="25">
        <f t="shared" si="1"/>
        <v>0</v>
      </c>
      <c r="V7" s="19">
        <f t="shared" si="2"/>
        <v>2</v>
      </c>
      <c r="W7" s="19">
        <f t="shared" si="3"/>
        <v>0</v>
      </c>
      <c r="X7" s="19">
        <f t="shared" si="4"/>
        <v>0</v>
      </c>
      <c r="Y7" s="19">
        <f t="shared" si="5"/>
        <v>2</v>
      </c>
      <c r="Z7" s="43">
        <f t="shared" si="10"/>
        <v>0</v>
      </c>
      <c r="AA7" s="43">
        <f t="shared" si="11"/>
        <v>0</v>
      </c>
      <c r="AB7" s="19">
        <f t="shared" si="6"/>
        <v>0</v>
      </c>
      <c r="AC7" s="19">
        <f t="shared" si="7"/>
        <v>2</v>
      </c>
      <c r="AD7" s="30">
        <f t="shared" si="8"/>
        <v>0</v>
      </c>
      <c r="AE7" s="41">
        <f t="shared" si="12"/>
        <v>2</v>
      </c>
      <c r="AG7">
        <v>1</v>
      </c>
      <c r="AH7">
        <v>0</v>
      </c>
      <c r="AI7">
        <v>0</v>
      </c>
      <c r="AJ7">
        <v>1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U7" s="119">
        <f t="shared" si="13"/>
        <v>1</v>
      </c>
      <c r="AV7" s="43" t="e">
        <f t="shared" si="9"/>
        <v>#DIV/0!</v>
      </c>
      <c r="AW7" s="43" t="e">
        <f t="shared" si="9"/>
        <v>#DIV/0!</v>
      </c>
      <c r="AX7" s="43">
        <f t="shared" si="9"/>
        <v>1</v>
      </c>
      <c r="AY7" s="43" t="e">
        <f t="shared" si="9"/>
        <v>#DIV/0!</v>
      </c>
      <c r="AZ7" s="43" t="e">
        <f t="shared" si="9"/>
        <v>#DIV/0!</v>
      </c>
      <c r="BA7" s="43">
        <f t="shared" si="9"/>
        <v>1</v>
      </c>
      <c r="BB7" s="43" t="e">
        <f t="shared" si="9"/>
        <v>#DIV/0!</v>
      </c>
      <c r="BC7" s="43" t="e">
        <f t="shared" si="9"/>
        <v>#DIV/0!</v>
      </c>
      <c r="BD7" s="43" t="e">
        <f t="shared" si="9"/>
        <v>#DIV/0!</v>
      </c>
      <c r="BE7" s="43">
        <f t="shared" si="9"/>
        <v>1</v>
      </c>
      <c r="BF7" s="43" t="e">
        <f t="shared" si="9"/>
        <v>#DIV/0!</v>
      </c>
      <c r="BG7" s="120">
        <f t="shared" si="9"/>
        <v>1</v>
      </c>
    </row>
    <row r="8" spans="1:59" ht="16.5" thickBot="1">
      <c r="A8" s="14">
        <v>0.32291666666666669</v>
      </c>
      <c r="B8" s="15">
        <v>1</v>
      </c>
      <c r="C8" s="16">
        <v>1</v>
      </c>
      <c r="D8" s="17"/>
      <c r="E8" s="18"/>
      <c r="F8" s="17"/>
      <c r="G8" s="18"/>
      <c r="H8" s="15"/>
      <c r="I8" s="16"/>
      <c r="J8" s="15">
        <v>1</v>
      </c>
      <c r="K8" s="16"/>
      <c r="L8" s="17"/>
      <c r="M8" s="18"/>
      <c r="N8" s="17"/>
      <c r="O8" s="18"/>
      <c r="P8" s="15"/>
      <c r="Q8" s="16"/>
      <c r="S8" s="29">
        <f t="shared" si="0"/>
        <v>2</v>
      </c>
      <c r="T8" s="19">
        <f t="shared" si="0"/>
        <v>1</v>
      </c>
      <c r="U8" s="25">
        <f t="shared" si="1"/>
        <v>0.33333333333333331</v>
      </c>
      <c r="V8" s="19">
        <f t="shared" si="2"/>
        <v>3</v>
      </c>
      <c r="W8" s="19">
        <f t="shared" si="3"/>
        <v>0</v>
      </c>
      <c r="X8" s="19">
        <f t="shared" si="4"/>
        <v>0</v>
      </c>
      <c r="Y8" s="19">
        <f t="shared" si="5"/>
        <v>3</v>
      </c>
      <c r="Z8" s="43">
        <f t="shared" si="10"/>
        <v>0</v>
      </c>
      <c r="AA8" s="43">
        <f t="shared" si="11"/>
        <v>0</v>
      </c>
      <c r="AB8" s="19">
        <f t="shared" si="6"/>
        <v>0</v>
      </c>
      <c r="AC8" s="19">
        <f t="shared" si="7"/>
        <v>2</v>
      </c>
      <c r="AD8" s="30">
        <f t="shared" si="8"/>
        <v>1</v>
      </c>
      <c r="AE8" s="41">
        <f t="shared" si="12"/>
        <v>3</v>
      </c>
      <c r="AG8">
        <v>1</v>
      </c>
      <c r="AH8">
        <v>2</v>
      </c>
      <c r="AI8">
        <v>0.66666666666666663</v>
      </c>
      <c r="AJ8">
        <v>3</v>
      </c>
      <c r="AK8">
        <v>0</v>
      </c>
      <c r="AL8">
        <v>0</v>
      </c>
      <c r="AM8">
        <v>3</v>
      </c>
      <c r="AN8">
        <v>0</v>
      </c>
      <c r="AO8">
        <v>0</v>
      </c>
      <c r="AP8">
        <v>0</v>
      </c>
      <c r="AQ8">
        <v>3</v>
      </c>
      <c r="AR8">
        <v>0</v>
      </c>
      <c r="AS8">
        <v>3</v>
      </c>
      <c r="AU8" s="119">
        <f t="shared" si="13"/>
        <v>1</v>
      </c>
      <c r="AV8" s="43">
        <f t="shared" si="9"/>
        <v>-0.5</v>
      </c>
      <c r="AW8" s="43">
        <f t="shared" si="9"/>
        <v>-0.5</v>
      </c>
      <c r="AX8" s="43">
        <f t="shared" si="9"/>
        <v>0</v>
      </c>
      <c r="AY8" s="43" t="e">
        <f t="shared" si="9"/>
        <v>#DIV/0!</v>
      </c>
      <c r="AZ8" s="43" t="e">
        <f t="shared" si="9"/>
        <v>#DIV/0!</v>
      </c>
      <c r="BA8" s="43">
        <f t="shared" si="9"/>
        <v>0</v>
      </c>
      <c r="BB8" s="43" t="e">
        <f t="shared" si="9"/>
        <v>#DIV/0!</v>
      </c>
      <c r="BC8" s="43" t="e">
        <f t="shared" si="9"/>
        <v>#DIV/0!</v>
      </c>
      <c r="BD8" s="43" t="e">
        <f t="shared" si="9"/>
        <v>#DIV/0!</v>
      </c>
      <c r="BE8" s="43">
        <f t="shared" si="9"/>
        <v>-0.33333333333333337</v>
      </c>
      <c r="BF8" s="43" t="e">
        <f t="shared" si="9"/>
        <v>#DIV/0!</v>
      </c>
      <c r="BG8" s="120">
        <f t="shared" si="9"/>
        <v>0</v>
      </c>
    </row>
    <row r="9" spans="1:59" ht="16.5" thickBot="1">
      <c r="A9" s="13">
        <v>0.33333333333333331</v>
      </c>
      <c r="B9" s="15">
        <v>4</v>
      </c>
      <c r="C9" s="16"/>
      <c r="D9" s="17"/>
      <c r="E9" s="18">
        <v>1</v>
      </c>
      <c r="F9" s="17"/>
      <c r="G9" s="18"/>
      <c r="H9" s="15"/>
      <c r="I9" s="16"/>
      <c r="J9" s="15"/>
      <c r="K9" s="16"/>
      <c r="L9" s="17"/>
      <c r="M9" s="18"/>
      <c r="N9" s="17"/>
      <c r="O9" s="18"/>
      <c r="P9" s="15"/>
      <c r="Q9" s="16"/>
      <c r="S9" s="29">
        <f t="shared" si="0"/>
        <v>4</v>
      </c>
      <c r="T9" s="19">
        <f t="shared" si="0"/>
        <v>1</v>
      </c>
      <c r="U9" s="25">
        <f t="shared" si="1"/>
        <v>0.2</v>
      </c>
      <c r="V9" s="19">
        <f t="shared" si="2"/>
        <v>4</v>
      </c>
      <c r="W9" s="19">
        <f t="shared" si="3"/>
        <v>1</v>
      </c>
      <c r="X9" s="19">
        <f t="shared" si="4"/>
        <v>0</v>
      </c>
      <c r="Y9" s="19">
        <f t="shared" si="5"/>
        <v>5</v>
      </c>
      <c r="Z9" s="43">
        <f t="shared" si="10"/>
        <v>0.2</v>
      </c>
      <c r="AA9" s="43">
        <f t="shared" si="11"/>
        <v>0</v>
      </c>
      <c r="AB9" s="19">
        <f t="shared" si="6"/>
        <v>0</v>
      </c>
      <c r="AC9" s="19">
        <f t="shared" si="7"/>
        <v>5</v>
      </c>
      <c r="AD9" s="30">
        <f t="shared" si="8"/>
        <v>0</v>
      </c>
      <c r="AE9" s="41">
        <f t="shared" si="12"/>
        <v>5</v>
      </c>
      <c r="AG9">
        <v>0</v>
      </c>
      <c r="AH9">
        <v>0</v>
      </c>
      <c r="AI9" t="e">
        <v>#DIV/0!</v>
      </c>
      <c r="AJ9">
        <v>0</v>
      </c>
      <c r="AK9">
        <v>0</v>
      </c>
      <c r="AL9">
        <v>0</v>
      </c>
      <c r="AM9">
        <v>0</v>
      </c>
      <c r="AN9" t="e">
        <v>#DIV/0!</v>
      </c>
      <c r="AO9" t="e">
        <v>#DIV/0!</v>
      </c>
      <c r="AP9">
        <v>0</v>
      </c>
      <c r="AQ9">
        <v>0</v>
      </c>
      <c r="AR9">
        <v>0</v>
      </c>
      <c r="AS9">
        <v>0</v>
      </c>
      <c r="AU9" s="119" t="e">
        <f t="shared" si="13"/>
        <v>#DIV/0!</v>
      </c>
      <c r="AV9" s="43" t="e">
        <f t="shared" si="9"/>
        <v>#DIV/0!</v>
      </c>
      <c r="AW9" s="43" t="e">
        <f t="shared" si="9"/>
        <v>#DIV/0!</v>
      </c>
      <c r="AX9" s="43" t="e">
        <f t="shared" si="9"/>
        <v>#DIV/0!</v>
      </c>
      <c r="AY9" s="43" t="e">
        <f t="shared" si="9"/>
        <v>#DIV/0!</v>
      </c>
      <c r="AZ9" s="43" t="e">
        <f t="shared" si="9"/>
        <v>#DIV/0!</v>
      </c>
      <c r="BA9" s="43" t="e">
        <f t="shared" si="9"/>
        <v>#DIV/0!</v>
      </c>
      <c r="BB9" s="43" t="e">
        <f t="shared" si="9"/>
        <v>#DIV/0!</v>
      </c>
      <c r="BC9" s="43" t="e">
        <f t="shared" si="9"/>
        <v>#DIV/0!</v>
      </c>
      <c r="BD9" s="43" t="e">
        <f t="shared" si="9"/>
        <v>#DIV/0!</v>
      </c>
      <c r="BE9" s="43" t="e">
        <f t="shared" si="9"/>
        <v>#DIV/0!</v>
      </c>
      <c r="BF9" s="43" t="e">
        <f t="shared" si="9"/>
        <v>#DIV/0!</v>
      </c>
      <c r="BG9" s="120" t="e">
        <f t="shared" si="9"/>
        <v>#DIV/0!</v>
      </c>
    </row>
    <row r="10" spans="1:59" ht="16.5" thickBot="1">
      <c r="A10" s="14">
        <v>0.34375</v>
      </c>
      <c r="B10" s="15">
        <v>2</v>
      </c>
      <c r="C10" s="16"/>
      <c r="D10" s="17">
        <v>1</v>
      </c>
      <c r="E10" s="18"/>
      <c r="F10" s="17"/>
      <c r="G10" s="18"/>
      <c r="H10" s="10"/>
      <c r="I10" s="16"/>
      <c r="J10" s="15">
        <v>1</v>
      </c>
      <c r="K10" s="16"/>
      <c r="L10" s="17"/>
      <c r="M10" s="18"/>
      <c r="N10" s="17"/>
      <c r="O10" s="18"/>
      <c r="P10" s="15"/>
      <c r="Q10" s="16"/>
      <c r="S10" s="29">
        <f t="shared" si="0"/>
        <v>4</v>
      </c>
      <c r="T10" s="19">
        <f t="shared" si="0"/>
        <v>0</v>
      </c>
      <c r="U10" s="25">
        <f t="shared" si="1"/>
        <v>0</v>
      </c>
      <c r="V10" s="19">
        <f t="shared" si="2"/>
        <v>3</v>
      </c>
      <c r="W10" s="19">
        <f t="shared" si="3"/>
        <v>1</v>
      </c>
      <c r="X10" s="19">
        <f t="shared" si="4"/>
        <v>0</v>
      </c>
      <c r="Y10" s="19">
        <f t="shared" si="5"/>
        <v>4</v>
      </c>
      <c r="Z10" s="43">
        <f t="shared" si="10"/>
        <v>0.25</v>
      </c>
      <c r="AA10" s="43">
        <f t="shared" si="11"/>
        <v>0</v>
      </c>
      <c r="AB10" s="19">
        <f t="shared" si="6"/>
        <v>0</v>
      </c>
      <c r="AC10" s="19">
        <f t="shared" si="7"/>
        <v>3</v>
      </c>
      <c r="AD10" s="30">
        <f t="shared" si="8"/>
        <v>1</v>
      </c>
      <c r="AE10" s="41">
        <f t="shared" si="12"/>
        <v>4</v>
      </c>
      <c r="AG10">
        <v>1</v>
      </c>
      <c r="AH10">
        <v>1</v>
      </c>
      <c r="AI10">
        <v>0.5</v>
      </c>
      <c r="AJ10">
        <v>0</v>
      </c>
      <c r="AK10">
        <v>2</v>
      </c>
      <c r="AL10">
        <v>0</v>
      </c>
      <c r="AM10">
        <v>2</v>
      </c>
      <c r="AN10">
        <v>1</v>
      </c>
      <c r="AO10">
        <v>0</v>
      </c>
      <c r="AP10">
        <v>0</v>
      </c>
      <c r="AQ10">
        <v>2</v>
      </c>
      <c r="AR10">
        <v>0</v>
      </c>
      <c r="AS10">
        <v>2</v>
      </c>
      <c r="AU10" s="119">
        <f t="shared" si="13"/>
        <v>3</v>
      </c>
      <c r="AV10" s="43">
        <f t="shared" si="9"/>
        <v>-1</v>
      </c>
      <c r="AW10" s="43">
        <f t="shared" si="9"/>
        <v>-1</v>
      </c>
      <c r="AX10" s="43" t="e">
        <f t="shared" si="9"/>
        <v>#DIV/0!</v>
      </c>
      <c r="AY10" s="43">
        <f t="shared" si="9"/>
        <v>-0.5</v>
      </c>
      <c r="AZ10" s="43" t="e">
        <f t="shared" si="9"/>
        <v>#DIV/0!</v>
      </c>
      <c r="BA10" s="43">
        <f t="shared" si="9"/>
        <v>1</v>
      </c>
      <c r="BB10" s="43">
        <f t="shared" si="9"/>
        <v>-0.75</v>
      </c>
      <c r="BC10" s="43" t="e">
        <f t="shared" si="9"/>
        <v>#DIV/0!</v>
      </c>
      <c r="BD10" s="43" t="e">
        <f t="shared" si="9"/>
        <v>#DIV/0!</v>
      </c>
      <c r="BE10" s="43">
        <f t="shared" si="9"/>
        <v>0.5</v>
      </c>
      <c r="BF10" s="43" t="e">
        <f t="shared" si="9"/>
        <v>#DIV/0!</v>
      </c>
      <c r="BG10" s="120">
        <f t="shared" si="9"/>
        <v>1</v>
      </c>
    </row>
    <row r="11" spans="1:59" ht="16.5" thickBot="1">
      <c r="A11" s="14">
        <v>0.35416666666666669</v>
      </c>
      <c r="B11" s="15">
        <v>2</v>
      </c>
      <c r="C11" s="16"/>
      <c r="D11" s="17"/>
      <c r="E11" s="18"/>
      <c r="F11" s="17"/>
      <c r="G11" s="18"/>
      <c r="H11" s="15"/>
      <c r="I11" s="16"/>
      <c r="K11" s="16"/>
      <c r="L11" s="17"/>
      <c r="M11" s="18"/>
      <c r="N11" s="17"/>
      <c r="O11" s="18"/>
      <c r="P11" s="15"/>
      <c r="Q11" s="16"/>
      <c r="S11" s="29" t="e">
        <f>B11+D11+F11+#REF!+H11+L11+N11+P11</f>
        <v>#REF!</v>
      </c>
      <c r="T11" s="19">
        <f t="shared" si="0"/>
        <v>0</v>
      </c>
      <c r="U11" s="25" t="e">
        <f t="shared" si="1"/>
        <v>#REF!</v>
      </c>
      <c r="V11" s="19">
        <f>B11+C11+H11+K11</f>
        <v>2</v>
      </c>
      <c r="W11" s="19">
        <f t="shared" si="3"/>
        <v>0</v>
      </c>
      <c r="X11" s="19">
        <f t="shared" si="4"/>
        <v>0</v>
      </c>
      <c r="Y11" s="19">
        <f t="shared" si="5"/>
        <v>2</v>
      </c>
      <c r="Z11" s="43">
        <f t="shared" si="10"/>
        <v>0</v>
      </c>
      <c r="AA11" s="43">
        <f t="shared" si="11"/>
        <v>0</v>
      </c>
      <c r="AB11" s="19" t="e">
        <f>#REF!+I11+P11+Q11</f>
        <v>#REF!</v>
      </c>
      <c r="AC11" s="19">
        <f t="shared" si="7"/>
        <v>2</v>
      </c>
      <c r="AD11" s="30">
        <f>SUM(H11:Q11)</f>
        <v>0</v>
      </c>
      <c r="AE11" s="41">
        <f t="shared" si="12"/>
        <v>2</v>
      </c>
      <c r="AG11" t="e">
        <v>#REF!</v>
      </c>
      <c r="AH11">
        <v>0</v>
      </c>
      <c r="AI11" t="e">
        <v>#REF!</v>
      </c>
      <c r="AJ11">
        <v>1</v>
      </c>
      <c r="AK11">
        <v>0</v>
      </c>
      <c r="AL11">
        <v>0</v>
      </c>
      <c r="AM11">
        <v>1</v>
      </c>
      <c r="AN11">
        <v>0</v>
      </c>
      <c r="AO11">
        <v>0</v>
      </c>
      <c r="AP11" t="e">
        <v>#REF!</v>
      </c>
      <c r="AQ11">
        <v>1</v>
      </c>
      <c r="AR11">
        <v>1</v>
      </c>
      <c r="AS11">
        <v>1</v>
      </c>
      <c r="AU11" s="119" t="e">
        <f t="shared" si="13"/>
        <v>#REF!</v>
      </c>
      <c r="AV11" s="43" t="e">
        <f t="shared" si="9"/>
        <v>#DIV/0!</v>
      </c>
      <c r="AW11" s="43" t="e">
        <f t="shared" si="9"/>
        <v>#REF!</v>
      </c>
      <c r="AX11" s="43">
        <f t="shared" si="9"/>
        <v>1</v>
      </c>
      <c r="AY11" s="43" t="e">
        <f t="shared" si="9"/>
        <v>#DIV/0!</v>
      </c>
      <c r="AZ11" s="43" t="e">
        <f t="shared" si="9"/>
        <v>#DIV/0!</v>
      </c>
      <c r="BA11" s="43">
        <f t="shared" si="9"/>
        <v>1</v>
      </c>
      <c r="BB11" s="43" t="e">
        <f t="shared" si="9"/>
        <v>#DIV/0!</v>
      </c>
      <c r="BC11" s="43" t="e">
        <f t="shared" si="9"/>
        <v>#DIV/0!</v>
      </c>
      <c r="BD11" s="43" t="e">
        <f t="shared" si="9"/>
        <v>#REF!</v>
      </c>
      <c r="BE11" s="43">
        <f t="shared" si="9"/>
        <v>1</v>
      </c>
      <c r="BF11" s="43">
        <f t="shared" si="9"/>
        <v>-1</v>
      </c>
      <c r="BG11" s="120">
        <f t="shared" si="9"/>
        <v>1</v>
      </c>
    </row>
    <row r="12" spans="1:59" ht="16.5" thickBot="1">
      <c r="A12" s="14">
        <v>0.36458333333333331</v>
      </c>
      <c r="B12" s="20"/>
      <c r="C12" s="21"/>
      <c r="D12" s="22"/>
      <c r="E12" s="23"/>
      <c r="F12" s="22"/>
      <c r="G12" s="23"/>
      <c r="H12" s="20"/>
      <c r="I12" s="21"/>
      <c r="K12" s="21"/>
      <c r="L12" s="22"/>
      <c r="M12" s="23"/>
      <c r="N12" s="22"/>
      <c r="O12" s="23"/>
      <c r="P12" s="20"/>
      <c r="Q12" s="21"/>
      <c r="S12" s="29" t="e">
        <f>B12+D12+F12+#REF!+H12+L12+N12+P12</f>
        <v>#REF!</v>
      </c>
      <c r="T12" s="19">
        <f>C12+E12+G12+I12+K12+M12+O12+Q12</f>
        <v>0</v>
      </c>
      <c r="U12" s="25" t="e">
        <f>T12/(T12+S12)</f>
        <v>#REF!</v>
      </c>
      <c r="V12" s="19">
        <f>B12+C12+H12+K12</f>
        <v>0</v>
      </c>
      <c r="W12" s="19">
        <f>D12+E12+L12+M12</f>
        <v>0</v>
      </c>
      <c r="X12" s="19">
        <f>F12+G12+N12+O12</f>
        <v>0</v>
      </c>
      <c r="Y12" s="19">
        <f>SUM(V12:X12)</f>
        <v>0</v>
      </c>
      <c r="Z12" s="43" t="e">
        <f t="shared" si="10"/>
        <v>#DIV/0!</v>
      </c>
      <c r="AA12" s="43" t="e">
        <f t="shared" si="11"/>
        <v>#DIV/0!</v>
      </c>
      <c r="AB12" s="19" t="e">
        <f>#REF!+I12+P12+Q12</f>
        <v>#REF!</v>
      </c>
      <c r="AC12" s="19">
        <f>SUM(B12:I12)</f>
        <v>0</v>
      </c>
      <c r="AD12" s="30">
        <f>SUM(H12:Q12)</f>
        <v>0</v>
      </c>
      <c r="AE12" s="41">
        <f t="shared" si="12"/>
        <v>0</v>
      </c>
      <c r="AG12" t="e">
        <v>#REF!</v>
      </c>
      <c r="AH12">
        <v>0</v>
      </c>
      <c r="AI12" t="e">
        <v>#REF!</v>
      </c>
      <c r="AJ12">
        <v>1</v>
      </c>
      <c r="AK12">
        <v>0</v>
      </c>
      <c r="AL12">
        <v>0</v>
      </c>
      <c r="AM12">
        <v>1</v>
      </c>
      <c r="AN12">
        <v>0</v>
      </c>
      <c r="AO12">
        <v>0</v>
      </c>
      <c r="AP12" t="e">
        <v>#REF!</v>
      </c>
      <c r="AQ12">
        <v>1</v>
      </c>
      <c r="AR12">
        <v>1</v>
      </c>
      <c r="AS12">
        <v>1</v>
      </c>
      <c r="AU12" s="119" t="e">
        <f t="shared" si="13"/>
        <v>#REF!</v>
      </c>
      <c r="AV12" s="43" t="e">
        <f t="shared" si="9"/>
        <v>#DIV/0!</v>
      </c>
      <c r="AW12" s="43" t="e">
        <f t="shared" si="9"/>
        <v>#REF!</v>
      </c>
      <c r="AX12" s="43">
        <f t="shared" si="9"/>
        <v>-1</v>
      </c>
      <c r="AY12" s="43" t="e">
        <f t="shared" si="9"/>
        <v>#DIV/0!</v>
      </c>
      <c r="AZ12" s="43" t="e">
        <f t="shared" si="9"/>
        <v>#DIV/0!</v>
      </c>
      <c r="BA12" s="43">
        <f t="shared" si="9"/>
        <v>-1</v>
      </c>
      <c r="BB12" s="43" t="e">
        <f t="shared" si="9"/>
        <v>#DIV/0!</v>
      </c>
      <c r="BC12" s="43" t="e">
        <f t="shared" si="9"/>
        <v>#DIV/0!</v>
      </c>
      <c r="BD12" s="43" t="e">
        <f t="shared" si="9"/>
        <v>#REF!</v>
      </c>
      <c r="BE12" s="43">
        <f t="shared" si="9"/>
        <v>-1</v>
      </c>
      <c r="BF12" s="43">
        <f t="shared" si="9"/>
        <v>-1</v>
      </c>
      <c r="BG12" s="120">
        <f t="shared" si="9"/>
        <v>-1</v>
      </c>
    </row>
    <row r="13" spans="1:59" s="97" customFormat="1" ht="16.5" thickBot="1">
      <c r="A13" s="121"/>
      <c r="B13" s="94"/>
      <c r="C13" s="95"/>
      <c r="D13" s="96"/>
      <c r="E13" s="96"/>
      <c r="F13" s="96"/>
      <c r="G13" s="96"/>
      <c r="H13" s="94"/>
      <c r="I13" s="95"/>
      <c r="K13" s="95"/>
      <c r="L13" s="96"/>
      <c r="M13" s="96"/>
      <c r="N13" s="96"/>
      <c r="O13" s="96"/>
      <c r="P13" s="94"/>
      <c r="Q13" s="95"/>
      <c r="S13" s="44"/>
      <c r="T13" s="45"/>
      <c r="U13" s="46"/>
      <c r="V13" s="45"/>
      <c r="W13" s="45"/>
      <c r="X13" s="45"/>
      <c r="Y13" s="45"/>
      <c r="Z13" s="43"/>
      <c r="AA13" s="43"/>
      <c r="AB13" s="45"/>
      <c r="AC13" s="45"/>
      <c r="AD13" s="48"/>
      <c r="AE13" s="49"/>
      <c r="AU13" s="119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120"/>
    </row>
    <row r="14" spans="1:59" ht="15.75" thickBot="1">
      <c r="A14" s="24" t="s">
        <v>13</v>
      </c>
      <c r="B14" s="35">
        <f t="shared" ref="B14:Q14" si="14">SUM(B5:B12)</f>
        <v>16</v>
      </c>
      <c r="C14" s="35">
        <f t="shared" si="14"/>
        <v>1</v>
      </c>
      <c r="D14" s="35">
        <f t="shared" si="14"/>
        <v>6</v>
      </c>
      <c r="E14" s="35">
        <f t="shared" si="14"/>
        <v>3</v>
      </c>
      <c r="F14" s="35">
        <f t="shared" si="14"/>
        <v>0</v>
      </c>
      <c r="G14" s="35">
        <f t="shared" si="14"/>
        <v>0</v>
      </c>
      <c r="H14" s="35">
        <f t="shared" si="14"/>
        <v>0</v>
      </c>
      <c r="I14" s="35">
        <f t="shared" si="14"/>
        <v>0</v>
      </c>
      <c r="J14" s="35">
        <f t="shared" si="14"/>
        <v>2</v>
      </c>
      <c r="K14" s="35">
        <f t="shared" si="14"/>
        <v>0</v>
      </c>
      <c r="L14" s="35">
        <f t="shared" si="14"/>
        <v>0</v>
      </c>
      <c r="M14" s="35">
        <f t="shared" si="14"/>
        <v>0</v>
      </c>
      <c r="N14" s="35">
        <f t="shared" si="14"/>
        <v>0</v>
      </c>
      <c r="O14" s="35">
        <f t="shared" si="14"/>
        <v>0</v>
      </c>
      <c r="P14" s="35">
        <f t="shared" si="14"/>
        <v>0</v>
      </c>
      <c r="Q14" s="35">
        <f t="shared" si="14"/>
        <v>0</v>
      </c>
      <c r="S14" s="31">
        <f>B14+D14+F14+H14+J14+L14+N14+P14</f>
        <v>24</v>
      </c>
      <c r="T14" s="32">
        <f>C14+E14+G14+I14+K14+M14+O14+Q14</f>
        <v>4</v>
      </c>
      <c r="U14" s="33">
        <f>T14/(T14+S14)</f>
        <v>0.14285714285714285</v>
      </c>
      <c r="V14" s="32">
        <f>B14+C14+J14+K14</f>
        <v>19</v>
      </c>
      <c r="W14" s="32">
        <f>D14+E14+L14+M14</f>
        <v>9</v>
      </c>
      <c r="X14" s="32">
        <f>F14+G14+N14+O14</f>
        <v>0</v>
      </c>
      <c r="Y14" s="32">
        <f>SUM(V14:X14)</f>
        <v>28</v>
      </c>
      <c r="Z14" s="43">
        <f t="shared" si="10"/>
        <v>0.32142857142857145</v>
      </c>
      <c r="AA14" s="43">
        <f t="shared" si="11"/>
        <v>0</v>
      </c>
      <c r="AB14" s="32">
        <f>H14+I14+P14+Q14</f>
        <v>0</v>
      </c>
      <c r="AC14" s="32">
        <f>SUM(B14:I14)</f>
        <v>26</v>
      </c>
      <c r="AD14" s="34">
        <f>SUM(J14:Q14)</f>
        <v>2</v>
      </c>
      <c r="AE14" s="42">
        <f t="shared" si="12"/>
        <v>28</v>
      </c>
      <c r="AG14">
        <v>11</v>
      </c>
      <c r="AH14">
        <v>4</v>
      </c>
      <c r="AI14">
        <v>0.26666666666666666</v>
      </c>
      <c r="AJ14">
        <v>6</v>
      </c>
      <c r="AK14">
        <v>7</v>
      </c>
      <c r="AL14">
        <v>0</v>
      </c>
      <c r="AM14">
        <v>13</v>
      </c>
      <c r="AN14">
        <v>0.53846153846153844</v>
      </c>
      <c r="AO14">
        <v>0</v>
      </c>
      <c r="AP14">
        <v>2</v>
      </c>
      <c r="AQ14">
        <v>15</v>
      </c>
      <c r="AR14">
        <v>0</v>
      </c>
      <c r="AS14">
        <v>15</v>
      </c>
      <c r="AU14" s="119">
        <f t="shared" si="13"/>
        <v>1.1818181818181817</v>
      </c>
      <c r="AV14" s="43">
        <f t="shared" si="9"/>
        <v>0</v>
      </c>
      <c r="AW14" s="43">
        <f t="shared" si="9"/>
        <v>-0.4642857142857143</v>
      </c>
      <c r="AX14" s="43">
        <f t="shared" si="9"/>
        <v>2.1666666666666665</v>
      </c>
      <c r="AY14" s="43">
        <f t="shared" si="9"/>
        <v>0.28571428571428581</v>
      </c>
      <c r="AZ14" s="43" t="e">
        <f t="shared" si="9"/>
        <v>#DIV/0!</v>
      </c>
      <c r="BA14" s="43">
        <f t="shared" si="9"/>
        <v>1.1538461538461537</v>
      </c>
      <c r="BB14" s="43">
        <f t="shared" si="9"/>
        <v>-0.40306122448979587</v>
      </c>
      <c r="BC14" s="43" t="e">
        <f t="shared" si="9"/>
        <v>#DIV/0!</v>
      </c>
      <c r="BD14" s="43">
        <f t="shared" si="9"/>
        <v>-1</v>
      </c>
      <c r="BE14" s="43">
        <f t="shared" si="9"/>
        <v>0.73333333333333339</v>
      </c>
      <c r="BF14" s="43" t="e">
        <f t="shared" si="9"/>
        <v>#DIV/0!</v>
      </c>
      <c r="BG14" s="120">
        <f t="shared" si="9"/>
        <v>0.8666666666666667</v>
      </c>
    </row>
    <row r="15" spans="1:59" ht="15.75" thickBot="1">
      <c r="A15" s="24" t="s">
        <v>31</v>
      </c>
      <c r="B15" s="24">
        <f>SUM(B7:B10)</f>
        <v>9</v>
      </c>
      <c r="C15" s="24">
        <f t="shared" ref="C15:Q15" si="15">SUM(C7:C10)</f>
        <v>1</v>
      </c>
      <c r="D15" s="24">
        <f t="shared" si="15"/>
        <v>1</v>
      </c>
      <c r="E15" s="24">
        <f t="shared" si="15"/>
        <v>1</v>
      </c>
      <c r="F15" s="24">
        <f t="shared" si="15"/>
        <v>0</v>
      </c>
      <c r="G15" s="24">
        <f t="shared" si="15"/>
        <v>0</v>
      </c>
      <c r="H15" s="24">
        <f t="shared" si="15"/>
        <v>0</v>
      </c>
      <c r="I15" s="24">
        <f t="shared" si="15"/>
        <v>0</v>
      </c>
      <c r="J15" s="24">
        <f t="shared" si="15"/>
        <v>2</v>
      </c>
      <c r="K15" s="24">
        <f t="shared" si="15"/>
        <v>0</v>
      </c>
      <c r="L15" s="24">
        <f t="shared" si="15"/>
        <v>0</v>
      </c>
      <c r="M15" s="24">
        <f t="shared" si="15"/>
        <v>0</v>
      </c>
      <c r="N15" s="24">
        <f t="shared" si="15"/>
        <v>0</v>
      </c>
      <c r="O15" s="24">
        <f t="shared" si="15"/>
        <v>0</v>
      </c>
      <c r="P15" s="24">
        <f t="shared" si="15"/>
        <v>0</v>
      </c>
      <c r="Q15" s="24">
        <f t="shared" si="15"/>
        <v>0</v>
      </c>
      <c r="S15" s="50">
        <f>B15+D15+F15+H15+J15+L15+N15+P15</f>
        <v>12</v>
      </c>
      <c r="T15" s="35">
        <f>C15+E15+G15+I15+K15+M15+O15+Q15</f>
        <v>2</v>
      </c>
      <c r="U15" s="51">
        <f>T15/(T15+S15)</f>
        <v>0.14285714285714285</v>
      </c>
      <c r="V15" s="35">
        <f>B15+C15+J15+K15</f>
        <v>12</v>
      </c>
      <c r="W15" s="35">
        <f>D15+E15+L15+M15</f>
        <v>2</v>
      </c>
      <c r="X15" s="35">
        <f>F15+G15+N15+O15</f>
        <v>0</v>
      </c>
      <c r="Y15" s="35">
        <f>SUM(V15:X15)</f>
        <v>14</v>
      </c>
      <c r="Z15" s="52">
        <f t="shared" si="10"/>
        <v>0.14285714285714285</v>
      </c>
      <c r="AA15" s="52">
        <f t="shared" si="11"/>
        <v>0</v>
      </c>
      <c r="AB15" s="35">
        <f>H15+I15+P15+Q15</f>
        <v>0</v>
      </c>
      <c r="AC15" s="35">
        <f>SUM(B15:I15)</f>
        <v>12</v>
      </c>
      <c r="AD15" s="36">
        <f>SUM(J15:Q15)</f>
        <v>2</v>
      </c>
      <c r="AE15" s="53">
        <f t="shared" si="12"/>
        <v>14</v>
      </c>
      <c r="AG15">
        <v>3</v>
      </c>
      <c r="AH15">
        <v>3</v>
      </c>
      <c r="AI15">
        <v>0.5</v>
      </c>
      <c r="AJ15">
        <v>4</v>
      </c>
      <c r="AK15">
        <v>2</v>
      </c>
      <c r="AL15">
        <v>0</v>
      </c>
      <c r="AM15">
        <v>6</v>
      </c>
      <c r="AN15">
        <v>0.33333333333333331</v>
      </c>
      <c r="AO15">
        <v>0</v>
      </c>
      <c r="AP15">
        <v>0</v>
      </c>
      <c r="AQ15">
        <v>6</v>
      </c>
      <c r="AR15">
        <v>0</v>
      </c>
      <c r="AS15">
        <v>6</v>
      </c>
      <c r="AU15" s="56">
        <f t="shared" si="13"/>
        <v>3</v>
      </c>
      <c r="AV15" s="57">
        <f t="shared" si="9"/>
        <v>-0.33333333333333337</v>
      </c>
      <c r="AW15" s="57">
        <f t="shared" si="9"/>
        <v>-0.7142857142857143</v>
      </c>
      <c r="AX15" s="57">
        <f t="shared" si="9"/>
        <v>2</v>
      </c>
      <c r="AY15" s="57">
        <f t="shared" si="9"/>
        <v>0</v>
      </c>
      <c r="AZ15" s="57" t="e">
        <f t="shared" si="9"/>
        <v>#DIV/0!</v>
      </c>
      <c r="BA15" s="57">
        <f t="shared" si="9"/>
        <v>1.3333333333333335</v>
      </c>
      <c r="BB15" s="57">
        <f t="shared" si="9"/>
        <v>-0.5714285714285714</v>
      </c>
      <c r="BC15" s="57" t="e">
        <f t="shared" si="9"/>
        <v>#DIV/0!</v>
      </c>
      <c r="BD15" s="57" t="e">
        <f t="shared" si="9"/>
        <v>#DIV/0!</v>
      </c>
      <c r="BE15" s="57">
        <f t="shared" si="9"/>
        <v>1</v>
      </c>
      <c r="BF15" s="57" t="e">
        <f t="shared" si="9"/>
        <v>#DIV/0!</v>
      </c>
      <c r="BG15" s="58">
        <f t="shared" si="9"/>
        <v>1.3333333333333335</v>
      </c>
    </row>
    <row r="17" spans="1:17">
      <c r="A17">
        <v>7</v>
      </c>
      <c r="B17">
        <f>SUM(B5:B8)</f>
        <v>8</v>
      </c>
      <c r="C17">
        <f t="shared" ref="C17:Q17" si="16">SUM(C5:C8)</f>
        <v>1</v>
      </c>
      <c r="D17">
        <f t="shared" si="16"/>
        <v>5</v>
      </c>
      <c r="E17">
        <f t="shared" si="16"/>
        <v>2</v>
      </c>
      <c r="F17">
        <f t="shared" si="16"/>
        <v>0</v>
      </c>
      <c r="G17">
        <f t="shared" si="16"/>
        <v>0</v>
      </c>
      <c r="H17">
        <f t="shared" si="16"/>
        <v>0</v>
      </c>
      <c r="I17">
        <f t="shared" si="16"/>
        <v>0</v>
      </c>
      <c r="J17">
        <f t="shared" si="16"/>
        <v>1</v>
      </c>
      <c r="K17">
        <f t="shared" si="16"/>
        <v>0</v>
      </c>
      <c r="L17">
        <f t="shared" si="16"/>
        <v>0</v>
      </c>
      <c r="M17">
        <f t="shared" si="16"/>
        <v>0</v>
      </c>
      <c r="N17">
        <f t="shared" si="16"/>
        <v>0</v>
      </c>
      <c r="O17">
        <f t="shared" si="16"/>
        <v>0</v>
      </c>
      <c r="P17">
        <f t="shared" si="16"/>
        <v>0</v>
      </c>
      <c r="Q17">
        <f t="shared" si="16"/>
        <v>0</v>
      </c>
    </row>
    <row r="18" spans="1:17">
      <c r="A18">
        <v>8</v>
      </c>
      <c r="B18">
        <f>SUM(B9:B12)</f>
        <v>8</v>
      </c>
      <c r="C18">
        <f t="shared" ref="C18:Q18" si="17">SUM(C9:C12)</f>
        <v>0</v>
      </c>
      <c r="D18">
        <f t="shared" si="17"/>
        <v>1</v>
      </c>
      <c r="E18">
        <f t="shared" si="17"/>
        <v>1</v>
      </c>
      <c r="F18">
        <f t="shared" si="17"/>
        <v>0</v>
      </c>
      <c r="G18">
        <f t="shared" si="17"/>
        <v>0</v>
      </c>
      <c r="H18">
        <f>SUM(H9:H12)</f>
        <v>0</v>
      </c>
      <c r="I18">
        <f t="shared" si="17"/>
        <v>0</v>
      </c>
      <c r="J18">
        <f t="shared" si="17"/>
        <v>1</v>
      </c>
      <c r="K18">
        <f t="shared" si="17"/>
        <v>0</v>
      </c>
      <c r="L18">
        <f t="shared" si="17"/>
        <v>0</v>
      </c>
      <c r="M18">
        <f t="shared" si="17"/>
        <v>0</v>
      </c>
      <c r="N18">
        <f t="shared" si="17"/>
        <v>0</v>
      </c>
      <c r="O18">
        <f t="shared" si="17"/>
        <v>0</v>
      </c>
      <c r="P18">
        <f t="shared" si="17"/>
        <v>0</v>
      </c>
      <c r="Q18">
        <f t="shared" si="17"/>
        <v>0</v>
      </c>
    </row>
  </sheetData>
  <mergeCells count="13">
    <mergeCell ref="L3:M3"/>
    <mergeCell ref="N3:O3"/>
    <mergeCell ref="P3:Q3"/>
    <mergeCell ref="B3:C3"/>
    <mergeCell ref="D3:E3"/>
    <mergeCell ref="F3:G3"/>
    <mergeCell ref="H3:I3"/>
    <mergeCell ref="J3:K3"/>
    <mergeCell ref="S2:AD2"/>
    <mergeCell ref="B2:I2"/>
    <mergeCell ref="J2:Q2"/>
    <mergeCell ref="AG2:AR2"/>
    <mergeCell ref="AU2:BF2"/>
  </mergeCells>
  <conditionalFormatting sqref="AU5:BG15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8"/>
  <sheetViews>
    <sheetView workbookViewId="0">
      <selection activeCell="M28" sqref="L28:M28"/>
    </sheetView>
  </sheetViews>
  <sheetFormatPr baseColWidth="10" defaultColWidth="9.140625" defaultRowHeight="15"/>
  <cols>
    <col min="2" max="17" width="6.28515625" customWidth="1"/>
    <col min="47" max="59" width="8.85546875" style="97"/>
  </cols>
  <sheetData>
    <row r="1" spans="1:59" ht="21.75" thickBot="1">
      <c r="B1" s="11" t="s">
        <v>11</v>
      </c>
      <c r="C1" s="12" t="s">
        <v>12</v>
      </c>
    </row>
    <row r="2" spans="1:59" s="10" customFormat="1" ht="21.75" thickBot="1">
      <c r="A2" s="9"/>
      <c r="B2" s="141" t="s">
        <v>5</v>
      </c>
      <c r="C2" s="143"/>
      <c r="D2" s="143"/>
      <c r="E2" s="143"/>
      <c r="F2" s="143"/>
      <c r="G2" s="143"/>
      <c r="H2" s="143"/>
      <c r="I2" s="144"/>
      <c r="J2" s="141" t="s">
        <v>6</v>
      </c>
      <c r="K2" s="143"/>
      <c r="L2" s="143"/>
      <c r="M2" s="143"/>
      <c r="N2" s="143"/>
      <c r="O2" s="143"/>
      <c r="P2" s="143"/>
      <c r="Q2" s="144"/>
      <c r="R2" s="97"/>
      <c r="S2" s="138" t="str">
        <f xml:space="preserve"> "Totaux 2021 " &amp; $C1</f>
        <v>Totaux 2021 STGenis - CERN</v>
      </c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G2" s="138" t="str">
        <f xml:space="preserve"> "Totaux 2020 " &amp; $C1</f>
        <v>Totaux 2020 STGenis - CERN</v>
      </c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U2" s="139" t="str">
        <f xml:space="preserve"> "Changement depuis 2020 " &amp; $C1</f>
        <v>Changement depuis 2020 STGenis - CERN</v>
      </c>
      <c r="AV2" s="140"/>
      <c r="AW2" s="140"/>
      <c r="AX2" s="140"/>
      <c r="AY2" s="140"/>
      <c r="AZ2" s="140"/>
      <c r="BA2" s="140"/>
      <c r="BB2" s="140"/>
      <c r="BC2" s="140"/>
      <c r="BD2" s="140"/>
      <c r="BE2" s="140"/>
      <c r="BF2" s="140"/>
      <c r="BG2" s="115"/>
    </row>
    <row r="3" spans="1:59" ht="15.75">
      <c r="A3" s="9"/>
      <c r="B3" s="141" t="s">
        <v>9</v>
      </c>
      <c r="C3" s="144"/>
      <c r="D3" s="145" t="s">
        <v>7</v>
      </c>
      <c r="E3" s="142"/>
      <c r="F3" s="145" t="s">
        <v>8</v>
      </c>
      <c r="G3" s="142"/>
      <c r="H3" s="141" t="s">
        <v>0</v>
      </c>
      <c r="I3" s="142"/>
      <c r="J3" s="141" t="s">
        <v>4</v>
      </c>
      <c r="K3" s="144"/>
      <c r="L3" s="145" t="s">
        <v>7</v>
      </c>
      <c r="M3" s="142"/>
      <c r="N3" s="145" t="s">
        <v>10</v>
      </c>
      <c r="O3" s="142"/>
      <c r="P3" s="141" t="s">
        <v>0</v>
      </c>
      <c r="Q3" s="142"/>
      <c r="S3" s="26" t="s">
        <v>20</v>
      </c>
      <c r="T3" s="27" t="s">
        <v>14</v>
      </c>
      <c r="U3" s="27" t="s">
        <v>15</v>
      </c>
      <c r="V3" s="27" t="s">
        <v>16</v>
      </c>
      <c r="W3" s="27" t="s">
        <v>7</v>
      </c>
      <c r="X3" s="27" t="s">
        <v>17</v>
      </c>
      <c r="Y3" s="27" t="s">
        <v>18</v>
      </c>
      <c r="Z3" s="27" t="s">
        <v>27</v>
      </c>
      <c r="AA3" s="27" t="s">
        <v>28</v>
      </c>
      <c r="AB3" s="27" t="s">
        <v>19</v>
      </c>
      <c r="AC3" s="27" t="s">
        <v>21</v>
      </c>
      <c r="AD3" s="28" t="s">
        <v>22</v>
      </c>
      <c r="AE3" s="40" t="s">
        <v>26</v>
      </c>
      <c r="AG3" t="s">
        <v>20</v>
      </c>
      <c r="AH3" t="s">
        <v>14</v>
      </c>
      <c r="AI3" t="s">
        <v>15</v>
      </c>
      <c r="AJ3" t="s">
        <v>16</v>
      </c>
      <c r="AK3" t="s">
        <v>7</v>
      </c>
      <c r="AL3" t="s">
        <v>17</v>
      </c>
      <c r="AM3" t="s">
        <v>18</v>
      </c>
      <c r="AN3" t="s">
        <v>27</v>
      </c>
      <c r="AO3" t="s">
        <v>28</v>
      </c>
      <c r="AP3" t="s">
        <v>19</v>
      </c>
      <c r="AQ3" t="s">
        <v>21</v>
      </c>
      <c r="AR3" t="s">
        <v>22</v>
      </c>
      <c r="AS3" t="s">
        <v>26</v>
      </c>
      <c r="AU3" s="117" t="s">
        <v>20</v>
      </c>
      <c r="AV3" s="116" t="s">
        <v>14</v>
      </c>
      <c r="AW3" s="116" t="s">
        <v>15</v>
      </c>
      <c r="AX3" s="116" t="s">
        <v>16</v>
      </c>
      <c r="AY3" s="116" t="s">
        <v>7</v>
      </c>
      <c r="AZ3" s="116" t="s">
        <v>17</v>
      </c>
      <c r="BA3" s="116" t="s">
        <v>25</v>
      </c>
      <c r="BB3" s="116" t="s">
        <v>27</v>
      </c>
      <c r="BC3" s="116" t="s">
        <v>28</v>
      </c>
      <c r="BD3" s="116" t="s">
        <v>19</v>
      </c>
      <c r="BE3" s="116" t="s">
        <v>21</v>
      </c>
      <c r="BF3" s="116" t="s">
        <v>22</v>
      </c>
      <c r="BG3" s="118" t="s">
        <v>26</v>
      </c>
    </row>
    <row r="4" spans="1:59" ht="21" thickBot="1">
      <c r="A4" s="1" t="s">
        <v>3</v>
      </c>
      <c r="B4" s="2" t="s">
        <v>1</v>
      </c>
      <c r="C4" s="4" t="s">
        <v>2</v>
      </c>
      <c r="D4" s="2" t="s">
        <v>1</v>
      </c>
      <c r="E4" s="4" t="s">
        <v>2</v>
      </c>
      <c r="F4" s="2" t="s">
        <v>1</v>
      </c>
      <c r="G4" s="4" t="s">
        <v>2</v>
      </c>
      <c r="H4" s="2" t="s">
        <v>1</v>
      </c>
      <c r="I4" s="3" t="s">
        <v>2</v>
      </c>
      <c r="J4" s="2" t="s">
        <v>1</v>
      </c>
      <c r="K4" s="4" t="s">
        <v>2</v>
      </c>
      <c r="L4" s="2" t="s">
        <v>1</v>
      </c>
      <c r="M4" s="4" t="s">
        <v>2</v>
      </c>
      <c r="N4" s="2" t="s">
        <v>1</v>
      </c>
      <c r="O4" s="4" t="s">
        <v>2</v>
      </c>
      <c r="P4" s="2" t="s">
        <v>1</v>
      </c>
      <c r="Q4" s="3" t="s">
        <v>2</v>
      </c>
      <c r="S4" s="29"/>
      <c r="T4" s="19"/>
      <c r="U4" s="25"/>
      <c r="V4" s="19"/>
      <c r="W4" s="19"/>
      <c r="X4" s="19"/>
      <c r="Y4" s="19"/>
      <c r="Z4" s="19"/>
      <c r="AA4" s="19"/>
      <c r="AB4" s="19"/>
      <c r="AC4" s="19"/>
      <c r="AD4" s="30"/>
      <c r="AE4" s="41"/>
      <c r="AU4" s="2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30"/>
    </row>
    <row r="5" spans="1:59" ht="16.5" thickBot="1">
      <c r="A5" s="13">
        <v>0.29166666666666669</v>
      </c>
      <c r="B5" s="15">
        <v>6</v>
      </c>
      <c r="C5" s="16"/>
      <c r="D5" s="17">
        <v>1</v>
      </c>
      <c r="E5" s="18">
        <v>1</v>
      </c>
      <c r="F5" s="17"/>
      <c r="G5" s="18"/>
      <c r="H5" s="15">
        <v>0</v>
      </c>
      <c r="I5" s="16"/>
      <c r="J5" s="15"/>
      <c r="K5" s="16"/>
      <c r="L5" s="17"/>
      <c r="M5" s="18"/>
      <c r="N5" s="17"/>
      <c r="O5" s="18"/>
      <c r="P5" s="15"/>
      <c r="Q5" s="16"/>
      <c r="S5" s="29">
        <f t="shared" ref="S5:S11" si="0">B5+D5+F5+H5+J5+L5+N5+P5</f>
        <v>7</v>
      </c>
      <c r="T5" s="19">
        <f t="shared" ref="T5:T11" si="1">C5+E5+G5+I5+K5+M5+O5+Q5</f>
        <v>1</v>
      </c>
      <c r="U5" s="25">
        <f t="shared" ref="U5:U11" si="2">T5/(T5+S5)</f>
        <v>0.125</v>
      </c>
      <c r="V5" s="19">
        <f t="shared" ref="V5:V11" si="3">B5+C5+J5+K5</f>
        <v>6</v>
      </c>
      <c r="W5" s="19">
        <f t="shared" ref="W5:W11" si="4">D5+E5+L5+M5</f>
        <v>2</v>
      </c>
      <c r="X5" s="19">
        <f t="shared" ref="X5:X11" si="5">F5+G5+N5+O5</f>
        <v>0</v>
      </c>
      <c r="Y5" s="19">
        <f t="shared" ref="Y5:Y11" si="6">SUM(V5:X5)</f>
        <v>8</v>
      </c>
      <c r="Z5" s="43">
        <f>W5/Y5</f>
        <v>0.25</v>
      </c>
      <c r="AA5" s="43">
        <f>X5/Y5</f>
        <v>0</v>
      </c>
      <c r="AB5" s="19">
        <f t="shared" ref="AB5:AB11" si="7">H5+I5+P5+Q5</f>
        <v>0</v>
      </c>
      <c r="AC5" s="19">
        <f t="shared" ref="AC5:AC11" si="8">SUM(B5:I5)</f>
        <v>8</v>
      </c>
      <c r="AD5" s="30">
        <f t="shared" ref="AD5:AD11" si="9">SUM(J5:Q5)</f>
        <v>0</v>
      </c>
      <c r="AE5" s="41">
        <f>SUM(B5:Q5)</f>
        <v>8</v>
      </c>
      <c r="AG5">
        <v>4</v>
      </c>
      <c r="AH5">
        <v>0</v>
      </c>
      <c r="AI5">
        <v>0</v>
      </c>
      <c r="AJ5">
        <v>3</v>
      </c>
      <c r="AK5">
        <v>0</v>
      </c>
      <c r="AL5">
        <v>0</v>
      </c>
      <c r="AM5">
        <v>3</v>
      </c>
      <c r="AN5">
        <v>0</v>
      </c>
      <c r="AO5">
        <v>0</v>
      </c>
      <c r="AP5">
        <v>1</v>
      </c>
      <c r="AQ5">
        <v>4</v>
      </c>
      <c r="AR5">
        <v>0</v>
      </c>
      <c r="AS5">
        <v>4</v>
      </c>
      <c r="AU5" s="119">
        <f>(S5/AG5) - 1</f>
        <v>0.75</v>
      </c>
      <c r="AV5" s="43" t="e">
        <f t="shared" ref="AV5:BG15" si="10">(T5/AH5) - 1</f>
        <v>#DIV/0!</v>
      </c>
      <c r="AW5" s="43" t="e">
        <f t="shared" si="10"/>
        <v>#DIV/0!</v>
      </c>
      <c r="AX5" s="43">
        <f t="shared" si="10"/>
        <v>1</v>
      </c>
      <c r="AY5" s="43" t="e">
        <f t="shared" si="10"/>
        <v>#DIV/0!</v>
      </c>
      <c r="AZ5" s="43" t="e">
        <f t="shared" si="10"/>
        <v>#DIV/0!</v>
      </c>
      <c r="BA5" s="43">
        <f t="shared" si="10"/>
        <v>1.6666666666666665</v>
      </c>
      <c r="BB5" s="43" t="e">
        <f t="shared" si="10"/>
        <v>#DIV/0!</v>
      </c>
      <c r="BC5" s="43" t="e">
        <f t="shared" si="10"/>
        <v>#DIV/0!</v>
      </c>
      <c r="BD5" s="43">
        <f t="shared" si="10"/>
        <v>-1</v>
      </c>
      <c r="BE5" s="43">
        <f t="shared" si="10"/>
        <v>1</v>
      </c>
      <c r="BF5" s="43" t="e">
        <f t="shared" si="10"/>
        <v>#DIV/0!</v>
      </c>
      <c r="BG5" s="120">
        <f t="shared" si="10"/>
        <v>1</v>
      </c>
    </row>
    <row r="6" spans="1:59" ht="16.5" thickBot="1">
      <c r="A6" s="14">
        <v>0.30208333333333331</v>
      </c>
      <c r="B6" s="15">
        <v>3</v>
      </c>
      <c r="C6" s="16"/>
      <c r="D6" s="17">
        <v>1</v>
      </c>
      <c r="E6" s="18">
        <v>0</v>
      </c>
      <c r="F6" s="17"/>
      <c r="G6" s="18"/>
      <c r="H6" s="15">
        <v>0</v>
      </c>
      <c r="I6" s="16"/>
      <c r="J6" s="15"/>
      <c r="K6" s="16"/>
      <c r="L6" s="17"/>
      <c r="M6" s="18"/>
      <c r="N6" s="17"/>
      <c r="O6" s="18"/>
      <c r="P6" s="15"/>
      <c r="Q6" s="16"/>
      <c r="S6" s="29">
        <f t="shared" si="0"/>
        <v>4</v>
      </c>
      <c r="T6" s="19">
        <f t="shared" si="1"/>
        <v>0</v>
      </c>
      <c r="U6" s="25">
        <f t="shared" si="2"/>
        <v>0</v>
      </c>
      <c r="V6" s="19">
        <f t="shared" si="3"/>
        <v>3</v>
      </c>
      <c r="W6" s="19">
        <f t="shared" si="4"/>
        <v>1</v>
      </c>
      <c r="X6" s="19">
        <f t="shared" si="5"/>
        <v>0</v>
      </c>
      <c r="Y6" s="19">
        <f t="shared" si="6"/>
        <v>4</v>
      </c>
      <c r="Z6" s="43">
        <f t="shared" ref="Z6:Z15" si="11">W6/Y6</f>
        <v>0.25</v>
      </c>
      <c r="AA6" s="43">
        <f t="shared" ref="AA6:AA15" si="12">X6/Y6</f>
        <v>0</v>
      </c>
      <c r="AB6" s="19">
        <f t="shared" si="7"/>
        <v>0</v>
      </c>
      <c r="AC6" s="19">
        <f t="shared" si="8"/>
        <v>4</v>
      </c>
      <c r="AD6" s="30">
        <f t="shared" si="9"/>
        <v>0</v>
      </c>
      <c r="AE6" s="41">
        <f t="shared" ref="AE6:AE15" si="13">SUM(B6:Q6)</f>
        <v>4</v>
      </c>
      <c r="AG6">
        <v>11</v>
      </c>
      <c r="AH6">
        <v>0</v>
      </c>
      <c r="AI6">
        <v>0</v>
      </c>
      <c r="AJ6">
        <v>8</v>
      </c>
      <c r="AK6">
        <v>0</v>
      </c>
      <c r="AL6">
        <v>0</v>
      </c>
      <c r="AM6">
        <v>8</v>
      </c>
      <c r="AN6">
        <v>0</v>
      </c>
      <c r="AO6">
        <v>0</v>
      </c>
      <c r="AP6">
        <v>3</v>
      </c>
      <c r="AQ6">
        <v>11</v>
      </c>
      <c r="AR6">
        <v>0</v>
      </c>
      <c r="AS6">
        <v>11</v>
      </c>
      <c r="AU6" s="119">
        <f t="shared" ref="AU6:AU15" si="14">(S6/AG6) - 1</f>
        <v>-0.63636363636363635</v>
      </c>
      <c r="AV6" s="43" t="e">
        <f t="shared" si="10"/>
        <v>#DIV/0!</v>
      </c>
      <c r="AW6" s="43" t="e">
        <f t="shared" si="10"/>
        <v>#DIV/0!</v>
      </c>
      <c r="AX6" s="43">
        <f t="shared" si="10"/>
        <v>-0.625</v>
      </c>
      <c r="AY6" s="43" t="e">
        <f t="shared" si="10"/>
        <v>#DIV/0!</v>
      </c>
      <c r="AZ6" s="43" t="e">
        <f t="shared" si="10"/>
        <v>#DIV/0!</v>
      </c>
      <c r="BA6" s="43">
        <f t="shared" si="10"/>
        <v>-0.5</v>
      </c>
      <c r="BB6" s="43" t="e">
        <f t="shared" si="10"/>
        <v>#DIV/0!</v>
      </c>
      <c r="BC6" s="43" t="e">
        <f t="shared" si="10"/>
        <v>#DIV/0!</v>
      </c>
      <c r="BD6" s="43">
        <f t="shared" si="10"/>
        <v>-1</v>
      </c>
      <c r="BE6" s="43">
        <f t="shared" si="10"/>
        <v>-0.63636363636363635</v>
      </c>
      <c r="BF6" s="43" t="e">
        <f t="shared" si="10"/>
        <v>#DIV/0!</v>
      </c>
      <c r="BG6" s="120">
        <f t="shared" si="10"/>
        <v>-0.63636363636363635</v>
      </c>
    </row>
    <row r="7" spans="1:59" ht="16.5" thickBot="1">
      <c r="A7" s="14">
        <v>0.3125</v>
      </c>
      <c r="B7" s="15">
        <v>5</v>
      </c>
      <c r="C7" s="16"/>
      <c r="D7" s="17">
        <v>0</v>
      </c>
      <c r="E7" s="18">
        <v>0</v>
      </c>
      <c r="F7" s="17"/>
      <c r="G7" s="18"/>
      <c r="H7" s="15">
        <v>3</v>
      </c>
      <c r="I7" s="16"/>
      <c r="J7" s="15"/>
      <c r="K7" s="16"/>
      <c r="L7" s="17"/>
      <c r="M7" s="18"/>
      <c r="N7" s="17"/>
      <c r="O7" s="18"/>
      <c r="P7" s="15"/>
      <c r="Q7" s="16"/>
      <c r="S7" s="29">
        <f t="shared" si="0"/>
        <v>8</v>
      </c>
      <c r="T7" s="19">
        <f t="shared" si="1"/>
        <v>0</v>
      </c>
      <c r="U7" s="25">
        <f t="shared" si="2"/>
        <v>0</v>
      </c>
      <c r="V7" s="19">
        <f t="shared" si="3"/>
        <v>5</v>
      </c>
      <c r="W7" s="19">
        <f t="shared" si="4"/>
        <v>0</v>
      </c>
      <c r="X7" s="19">
        <f t="shared" si="5"/>
        <v>0</v>
      </c>
      <c r="Y7" s="19">
        <f t="shared" si="6"/>
        <v>5</v>
      </c>
      <c r="Z7" s="43">
        <f t="shared" si="11"/>
        <v>0</v>
      </c>
      <c r="AA7" s="43">
        <f t="shared" si="12"/>
        <v>0</v>
      </c>
      <c r="AB7" s="19">
        <f t="shared" si="7"/>
        <v>3</v>
      </c>
      <c r="AC7" s="19">
        <f t="shared" si="8"/>
        <v>8</v>
      </c>
      <c r="AD7" s="30">
        <f t="shared" si="9"/>
        <v>0</v>
      </c>
      <c r="AE7" s="41">
        <f t="shared" si="13"/>
        <v>8</v>
      </c>
      <c r="AG7">
        <v>4</v>
      </c>
      <c r="AH7">
        <v>1</v>
      </c>
      <c r="AI7">
        <v>0.2</v>
      </c>
      <c r="AJ7">
        <v>4</v>
      </c>
      <c r="AK7">
        <v>0</v>
      </c>
      <c r="AL7">
        <v>0</v>
      </c>
      <c r="AM7">
        <v>4</v>
      </c>
      <c r="AN7">
        <v>0</v>
      </c>
      <c r="AO7">
        <v>0</v>
      </c>
      <c r="AP7">
        <v>1</v>
      </c>
      <c r="AQ7">
        <v>5</v>
      </c>
      <c r="AR7">
        <v>0</v>
      </c>
      <c r="AS7">
        <v>5</v>
      </c>
      <c r="AU7" s="119">
        <f t="shared" si="14"/>
        <v>1</v>
      </c>
      <c r="AV7" s="43">
        <f t="shared" si="10"/>
        <v>-1</v>
      </c>
      <c r="AW7" s="43">
        <f t="shared" si="10"/>
        <v>-1</v>
      </c>
      <c r="AX7" s="43">
        <f t="shared" si="10"/>
        <v>0.25</v>
      </c>
      <c r="AY7" s="43" t="e">
        <f t="shared" si="10"/>
        <v>#DIV/0!</v>
      </c>
      <c r="AZ7" s="43" t="e">
        <f t="shared" si="10"/>
        <v>#DIV/0!</v>
      </c>
      <c r="BA7" s="43">
        <f t="shared" si="10"/>
        <v>0.25</v>
      </c>
      <c r="BB7" s="43" t="e">
        <f t="shared" si="10"/>
        <v>#DIV/0!</v>
      </c>
      <c r="BC7" s="43" t="e">
        <f t="shared" si="10"/>
        <v>#DIV/0!</v>
      </c>
      <c r="BD7" s="43">
        <f t="shared" si="10"/>
        <v>2</v>
      </c>
      <c r="BE7" s="43">
        <f t="shared" si="10"/>
        <v>0.60000000000000009</v>
      </c>
      <c r="BF7" s="43" t="e">
        <f t="shared" si="10"/>
        <v>#DIV/0!</v>
      </c>
      <c r="BG7" s="120">
        <f t="shared" si="10"/>
        <v>0.60000000000000009</v>
      </c>
    </row>
    <row r="8" spans="1:59" ht="16.5" thickBot="1">
      <c r="A8" s="14">
        <v>0.32291666666666669</v>
      </c>
      <c r="B8" s="15">
        <v>9</v>
      </c>
      <c r="C8" s="16">
        <v>2</v>
      </c>
      <c r="D8" s="17">
        <v>1</v>
      </c>
      <c r="E8" s="18">
        <v>1</v>
      </c>
      <c r="F8" s="17"/>
      <c r="G8" s="18"/>
      <c r="H8" s="15">
        <v>4</v>
      </c>
      <c r="I8" s="16"/>
      <c r="J8" s="15"/>
      <c r="K8" s="16"/>
      <c r="L8" s="17"/>
      <c r="M8" s="18"/>
      <c r="N8" s="17"/>
      <c r="O8" s="18"/>
      <c r="P8" s="15"/>
      <c r="Q8" s="16"/>
      <c r="S8" s="29">
        <f t="shared" si="0"/>
        <v>14</v>
      </c>
      <c r="T8" s="19">
        <f t="shared" si="1"/>
        <v>3</v>
      </c>
      <c r="U8" s="25">
        <f t="shared" si="2"/>
        <v>0.17647058823529413</v>
      </c>
      <c r="V8" s="19">
        <f t="shared" si="3"/>
        <v>11</v>
      </c>
      <c r="W8" s="19">
        <f t="shared" si="4"/>
        <v>2</v>
      </c>
      <c r="X8" s="19">
        <f t="shared" si="5"/>
        <v>0</v>
      </c>
      <c r="Y8" s="19">
        <f t="shared" si="6"/>
        <v>13</v>
      </c>
      <c r="Z8" s="43">
        <f t="shared" si="11"/>
        <v>0.15384615384615385</v>
      </c>
      <c r="AA8" s="43">
        <f t="shared" si="12"/>
        <v>0</v>
      </c>
      <c r="AB8" s="19">
        <f t="shared" si="7"/>
        <v>4</v>
      </c>
      <c r="AC8" s="19">
        <f t="shared" si="8"/>
        <v>17</v>
      </c>
      <c r="AD8" s="30">
        <f t="shared" si="9"/>
        <v>0</v>
      </c>
      <c r="AE8" s="41">
        <f t="shared" si="13"/>
        <v>17</v>
      </c>
      <c r="AG8">
        <v>0</v>
      </c>
      <c r="AH8">
        <v>1</v>
      </c>
      <c r="AI8">
        <v>1</v>
      </c>
      <c r="AJ8">
        <v>1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U8" s="119" t="e">
        <f t="shared" si="14"/>
        <v>#DIV/0!</v>
      </c>
      <c r="AV8" s="43">
        <f t="shared" si="10"/>
        <v>2</v>
      </c>
      <c r="AW8" s="43">
        <f t="shared" si="10"/>
        <v>-0.82352941176470584</v>
      </c>
      <c r="AX8" s="43">
        <f t="shared" si="10"/>
        <v>10</v>
      </c>
      <c r="AY8" s="43" t="e">
        <f t="shared" si="10"/>
        <v>#DIV/0!</v>
      </c>
      <c r="AZ8" s="43" t="e">
        <f t="shared" si="10"/>
        <v>#DIV/0!</v>
      </c>
      <c r="BA8" s="43">
        <f t="shared" si="10"/>
        <v>12</v>
      </c>
      <c r="BB8" s="43" t="e">
        <f t="shared" si="10"/>
        <v>#DIV/0!</v>
      </c>
      <c r="BC8" s="43" t="e">
        <f t="shared" si="10"/>
        <v>#DIV/0!</v>
      </c>
      <c r="BD8" s="43" t="e">
        <f t="shared" si="10"/>
        <v>#DIV/0!</v>
      </c>
      <c r="BE8" s="43">
        <f t="shared" si="10"/>
        <v>16</v>
      </c>
      <c r="BF8" s="43" t="e">
        <f t="shared" si="10"/>
        <v>#DIV/0!</v>
      </c>
      <c r="BG8" s="120">
        <f t="shared" si="10"/>
        <v>16</v>
      </c>
    </row>
    <row r="9" spans="1:59" ht="16.5" thickBot="1">
      <c r="A9" s="13">
        <v>0.33333333333333331</v>
      </c>
      <c r="B9" s="15">
        <v>11</v>
      </c>
      <c r="C9" s="16">
        <v>2</v>
      </c>
      <c r="D9" s="17"/>
      <c r="E9" s="18"/>
      <c r="F9" s="17">
        <v>0</v>
      </c>
      <c r="G9" s="18">
        <v>1</v>
      </c>
      <c r="H9" s="15">
        <v>5</v>
      </c>
      <c r="I9" s="16">
        <v>1</v>
      </c>
      <c r="J9" s="15"/>
      <c r="K9" s="16"/>
      <c r="L9" s="17"/>
      <c r="M9" s="18"/>
      <c r="N9" s="17"/>
      <c r="O9" s="18"/>
      <c r="P9" s="15"/>
      <c r="Q9" s="16"/>
      <c r="S9" s="29">
        <f t="shared" si="0"/>
        <v>16</v>
      </c>
      <c r="T9" s="19">
        <f t="shared" si="1"/>
        <v>4</v>
      </c>
      <c r="U9" s="25">
        <f t="shared" si="2"/>
        <v>0.2</v>
      </c>
      <c r="V9" s="19">
        <f t="shared" si="3"/>
        <v>13</v>
      </c>
      <c r="W9" s="19">
        <f t="shared" si="4"/>
        <v>0</v>
      </c>
      <c r="X9" s="19">
        <f t="shared" si="5"/>
        <v>1</v>
      </c>
      <c r="Y9" s="19">
        <f t="shared" si="6"/>
        <v>14</v>
      </c>
      <c r="Z9" s="43">
        <f t="shared" si="11"/>
        <v>0</v>
      </c>
      <c r="AA9" s="43">
        <f t="shared" si="12"/>
        <v>7.1428571428571425E-2</v>
      </c>
      <c r="AB9" s="19">
        <f t="shared" si="7"/>
        <v>6</v>
      </c>
      <c r="AC9" s="19">
        <f t="shared" si="8"/>
        <v>20</v>
      </c>
      <c r="AD9" s="30">
        <f t="shared" si="9"/>
        <v>0</v>
      </c>
      <c r="AE9" s="41">
        <f t="shared" si="13"/>
        <v>20</v>
      </c>
      <c r="AG9">
        <v>6</v>
      </c>
      <c r="AH9">
        <v>2</v>
      </c>
      <c r="AI9">
        <v>0.25</v>
      </c>
      <c r="AJ9">
        <v>4</v>
      </c>
      <c r="AK9">
        <v>1</v>
      </c>
      <c r="AL9">
        <v>0</v>
      </c>
      <c r="AM9">
        <v>5</v>
      </c>
      <c r="AN9">
        <v>0.2</v>
      </c>
      <c r="AO9">
        <v>0</v>
      </c>
      <c r="AP9">
        <v>3</v>
      </c>
      <c r="AQ9">
        <v>8</v>
      </c>
      <c r="AR9">
        <v>0</v>
      </c>
      <c r="AS9">
        <v>8</v>
      </c>
      <c r="AU9" s="119">
        <f t="shared" si="14"/>
        <v>1.6666666666666665</v>
      </c>
      <c r="AV9" s="43">
        <f t="shared" si="10"/>
        <v>1</v>
      </c>
      <c r="AW9" s="43">
        <f t="shared" si="10"/>
        <v>-0.19999999999999996</v>
      </c>
      <c r="AX9" s="43">
        <f t="shared" si="10"/>
        <v>2.25</v>
      </c>
      <c r="AY9" s="43">
        <f t="shared" si="10"/>
        <v>-1</v>
      </c>
      <c r="AZ9" s="43" t="e">
        <f t="shared" si="10"/>
        <v>#DIV/0!</v>
      </c>
      <c r="BA9" s="43">
        <f t="shared" si="10"/>
        <v>1.7999999999999998</v>
      </c>
      <c r="BB9" s="43">
        <f t="shared" si="10"/>
        <v>-1</v>
      </c>
      <c r="BC9" s="43" t="e">
        <f t="shared" si="10"/>
        <v>#DIV/0!</v>
      </c>
      <c r="BD9" s="43">
        <f t="shared" si="10"/>
        <v>1</v>
      </c>
      <c r="BE9" s="43">
        <f t="shared" si="10"/>
        <v>1.5</v>
      </c>
      <c r="BF9" s="43" t="e">
        <f t="shared" si="10"/>
        <v>#DIV/0!</v>
      </c>
      <c r="BG9" s="120">
        <f t="shared" si="10"/>
        <v>1.5</v>
      </c>
    </row>
    <row r="10" spans="1:59" ht="16.5" thickBot="1">
      <c r="A10" s="14">
        <v>0.34375</v>
      </c>
      <c r="B10" s="15">
        <v>16</v>
      </c>
      <c r="C10" s="16">
        <v>3</v>
      </c>
      <c r="D10" s="17">
        <v>0</v>
      </c>
      <c r="E10" s="18"/>
      <c r="F10" s="17"/>
      <c r="G10" s="18"/>
      <c r="H10" s="10">
        <v>13</v>
      </c>
      <c r="I10" s="16">
        <v>1</v>
      </c>
      <c r="J10" s="15"/>
      <c r="K10" s="16"/>
      <c r="L10" s="17"/>
      <c r="M10" s="18"/>
      <c r="N10" s="17"/>
      <c r="O10" s="18"/>
      <c r="P10" s="15"/>
      <c r="Q10" s="16"/>
      <c r="S10" s="29">
        <f t="shared" si="0"/>
        <v>29</v>
      </c>
      <c r="T10" s="19">
        <f t="shared" si="1"/>
        <v>4</v>
      </c>
      <c r="U10" s="25">
        <f t="shared" si="2"/>
        <v>0.12121212121212122</v>
      </c>
      <c r="V10" s="19">
        <f t="shared" si="3"/>
        <v>19</v>
      </c>
      <c r="W10" s="19">
        <f t="shared" si="4"/>
        <v>0</v>
      </c>
      <c r="X10" s="19">
        <f t="shared" si="5"/>
        <v>0</v>
      </c>
      <c r="Y10" s="19">
        <f t="shared" si="6"/>
        <v>19</v>
      </c>
      <c r="Z10" s="43">
        <f t="shared" si="11"/>
        <v>0</v>
      </c>
      <c r="AA10" s="43">
        <f t="shared" si="12"/>
        <v>0</v>
      </c>
      <c r="AB10" s="19">
        <f t="shared" si="7"/>
        <v>14</v>
      </c>
      <c r="AC10" s="19">
        <f t="shared" si="8"/>
        <v>33</v>
      </c>
      <c r="AD10" s="30">
        <f t="shared" si="9"/>
        <v>0</v>
      </c>
      <c r="AE10" s="41">
        <f t="shared" si="13"/>
        <v>33</v>
      </c>
      <c r="AG10">
        <v>7</v>
      </c>
      <c r="AH10">
        <v>1</v>
      </c>
      <c r="AI10">
        <v>0.125</v>
      </c>
      <c r="AJ10">
        <v>5</v>
      </c>
      <c r="AK10">
        <v>0</v>
      </c>
      <c r="AL10">
        <v>0</v>
      </c>
      <c r="AM10">
        <v>5</v>
      </c>
      <c r="AN10">
        <v>0</v>
      </c>
      <c r="AO10">
        <v>0</v>
      </c>
      <c r="AP10">
        <v>3</v>
      </c>
      <c r="AQ10">
        <v>8</v>
      </c>
      <c r="AR10">
        <v>0</v>
      </c>
      <c r="AS10">
        <v>8</v>
      </c>
      <c r="AU10" s="119">
        <f t="shared" si="14"/>
        <v>3.1428571428571432</v>
      </c>
      <c r="AV10" s="43">
        <f t="shared" si="10"/>
        <v>3</v>
      </c>
      <c r="AW10" s="43">
        <f t="shared" si="10"/>
        <v>-3.0303030303030276E-2</v>
      </c>
      <c r="AX10" s="43">
        <f t="shared" si="10"/>
        <v>2.8</v>
      </c>
      <c r="AY10" s="43" t="e">
        <f t="shared" si="10"/>
        <v>#DIV/0!</v>
      </c>
      <c r="AZ10" s="43" t="e">
        <f t="shared" si="10"/>
        <v>#DIV/0!</v>
      </c>
      <c r="BA10" s="43">
        <f t="shared" si="10"/>
        <v>2.8</v>
      </c>
      <c r="BB10" s="43" t="e">
        <f t="shared" si="10"/>
        <v>#DIV/0!</v>
      </c>
      <c r="BC10" s="43" t="e">
        <f t="shared" si="10"/>
        <v>#DIV/0!</v>
      </c>
      <c r="BD10" s="43">
        <f t="shared" si="10"/>
        <v>3.666666666666667</v>
      </c>
      <c r="BE10" s="43">
        <f t="shared" si="10"/>
        <v>3.125</v>
      </c>
      <c r="BF10" s="43" t="e">
        <f t="shared" si="10"/>
        <v>#DIV/0!</v>
      </c>
      <c r="BG10" s="120">
        <f t="shared" si="10"/>
        <v>3.125</v>
      </c>
    </row>
    <row r="11" spans="1:59" ht="16.5" thickBot="1">
      <c r="A11" s="14">
        <v>0.35416666666666669</v>
      </c>
      <c r="B11" s="15">
        <v>18</v>
      </c>
      <c r="C11" s="16">
        <v>3</v>
      </c>
      <c r="D11" s="17">
        <v>3</v>
      </c>
      <c r="E11" s="18"/>
      <c r="F11" s="17">
        <v>1</v>
      </c>
      <c r="G11" s="18">
        <v>1</v>
      </c>
      <c r="H11" s="15">
        <v>4</v>
      </c>
      <c r="I11" s="16">
        <v>1</v>
      </c>
      <c r="J11" s="15"/>
      <c r="K11" s="16"/>
      <c r="L11" s="17"/>
      <c r="M11" s="18"/>
      <c r="N11" s="17"/>
      <c r="O11" s="18"/>
      <c r="P11" s="15"/>
      <c r="Q11" s="16"/>
      <c r="S11" s="29">
        <f t="shared" si="0"/>
        <v>26</v>
      </c>
      <c r="T11" s="19">
        <f t="shared" si="1"/>
        <v>5</v>
      </c>
      <c r="U11" s="25">
        <f t="shared" si="2"/>
        <v>0.16129032258064516</v>
      </c>
      <c r="V11" s="19">
        <f t="shared" si="3"/>
        <v>21</v>
      </c>
      <c r="W11" s="19">
        <f t="shared" si="4"/>
        <v>3</v>
      </c>
      <c r="X11" s="19">
        <f t="shared" si="5"/>
        <v>2</v>
      </c>
      <c r="Y11" s="19">
        <f t="shared" si="6"/>
        <v>26</v>
      </c>
      <c r="Z11" s="43">
        <f t="shared" si="11"/>
        <v>0.11538461538461539</v>
      </c>
      <c r="AA11" s="43">
        <f t="shared" si="12"/>
        <v>7.6923076923076927E-2</v>
      </c>
      <c r="AB11" s="19">
        <f t="shared" si="7"/>
        <v>5</v>
      </c>
      <c r="AC11" s="19">
        <f t="shared" si="8"/>
        <v>31</v>
      </c>
      <c r="AD11" s="30">
        <f t="shared" si="9"/>
        <v>0</v>
      </c>
      <c r="AE11" s="41">
        <f t="shared" si="13"/>
        <v>31</v>
      </c>
      <c r="AG11">
        <v>9</v>
      </c>
      <c r="AH11">
        <v>1</v>
      </c>
      <c r="AI11">
        <v>0.1</v>
      </c>
      <c r="AJ11">
        <v>5</v>
      </c>
      <c r="AK11">
        <v>0</v>
      </c>
      <c r="AL11">
        <v>0</v>
      </c>
      <c r="AM11">
        <v>5</v>
      </c>
      <c r="AN11">
        <v>0</v>
      </c>
      <c r="AO11">
        <v>0</v>
      </c>
      <c r="AP11">
        <v>5</v>
      </c>
      <c r="AQ11">
        <v>10</v>
      </c>
      <c r="AR11">
        <v>0</v>
      </c>
      <c r="AS11">
        <v>10</v>
      </c>
      <c r="AU11" s="119">
        <f t="shared" si="14"/>
        <v>1.8888888888888888</v>
      </c>
      <c r="AV11" s="43">
        <f t="shared" si="10"/>
        <v>4</v>
      </c>
      <c r="AW11" s="43">
        <f t="shared" si="10"/>
        <v>0.61290322580645151</v>
      </c>
      <c r="AX11" s="43">
        <f t="shared" si="10"/>
        <v>3.2</v>
      </c>
      <c r="AY11" s="43" t="e">
        <f t="shared" si="10"/>
        <v>#DIV/0!</v>
      </c>
      <c r="AZ11" s="43" t="e">
        <f t="shared" si="10"/>
        <v>#DIV/0!</v>
      </c>
      <c r="BA11" s="43">
        <f t="shared" si="10"/>
        <v>4.2</v>
      </c>
      <c r="BB11" s="43" t="e">
        <f t="shared" si="10"/>
        <v>#DIV/0!</v>
      </c>
      <c r="BC11" s="43" t="e">
        <f t="shared" si="10"/>
        <v>#DIV/0!</v>
      </c>
      <c r="BD11" s="43">
        <f t="shared" si="10"/>
        <v>0</v>
      </c>
      <c r="BE11" s="43">
        <f t="shared" si="10"/>
        <v>2.1</v>
      </c>
      <c r="BF11" s="43" t="e">
        <f t="shared" si="10"/>
        <v>#DIV/0!</v>
      </c>
      <c r="BG11" s="120">
        <f t="shared" si="10"/>
        <v>2.1</v>
      </c>
    </row>
    <row r="12" spans="1:59" ht="16.5" thickBot="1">
      <c r="A12" s="14">
        <v>0.36458333333333331</v>
      </c>
      <c r="B12" s="20">
        <v>17</v>
      </c>
      <c r="C12" s="16">
        <v>5</v>
      </c>
      <c r="D12" s="22">
        <v>2</v>
      </c>
      <c r="E12" s="23"/>
      <c r="F12" s="22"/>
      <c r="G12" s="23"/>
      <c r="H12" s="20">
        <v>2</v>
      </c>
      <c r="I12" s="21">
        <v>3</v>
      </c>
      <c r="J12" s="20"/>
      <c r="K12" s="21"/>
      <c r="L12" s="22"/>
      <c r="M12" s="23"/>
      <c r="N12" s="22"/>
      <c r="O12" s="23"/>
      <c r="P12" s="20"/>
      <c r="Q12" s="21"/>
      <c r="S12" s="29">
        <f t="shared" ref="S12:T15" si="15">B12+D12+F12+H12+J12+L12+N12+P12</f>
        <v>21</v>
      </c>
      <c r="T12" s="19">
        <f t="shared" si="15"/>
        <v>8</v>
      </c>
      <c r="U12" s="25">
        <f>T12/(T12+S12)</f>
        <v>0.27586206896551724</v>
      </c>
      <c r="V12" s="19">
        <f>B12+C12+J12+K12</f>
        <v>22</v>
      </c>
      <c r="W12" s="19">
        <f>D12+E12+L12+M12</f>
        <v>2</v>
      </c>
      <c r="X12" s="19">
        <f>F12+G12+N12+O12</f>
        <v>0</v>
      </c>
      <c r="Y12" s="19">
        <f>SUM(V12:X12)</f>
        <v>24</v>
      </c>
      <c r="Z12" s="43">
        <f t="shared" si="11"/>
        <v>8.3333333333333329E-2</v>
      </c>
      <c r="AA12" s="43">
        <f t="shared" si="12"/>
        <v>0</v>
      </c>
      <c r="AB12" s="19">
        <f>H12+I12+P12+Q12</f>
        <v>5</v>
      </c>
      <c r="AC12" s="19">
        <f>SUM(B12:I12)</f>
        <v>29</v>
      </c>
      <c r="AD12" s="30">
        <f>SUM(J12:Q12)</f>
        <v>0</v>
      </c>
      <c r="AE12" s="41">
        <f t="shared" si="13"/>
        <v>29</v>
      </c>
      <c r="AG12">
        <v>10</v>
      </c>
      <c r="AH12">
        <v>4</v>
      </c>
      <c r="AI12">
        <v>0.2857142857142857</v>
      </c>
      <c r="AJ12">
        <v>8</v>
      </c>
      <c r="AK12">
        <v>0</v>
      </c>
      <c r="AL12">
        <v>0</v>
      </c>
      <c r="AM12">
        <v>8</v>
      </c>
      <c r="AN12">
        <v>0</v>
      </c>
      <c r="AO12">
        <v>0</v>
      </c>
      <c r="AP12">
        <v>6</v>
      </c>
      <c r="AQ12">
        <v>14</v>
      </c>
      <c r="AR12">
        <v>0</v>
      </c>
      <c r="AS12">
        <v>14</v>
      </c>
      <c r="AU12" s="119">
        <f t="shared" si="14"/>
        <v>1.1000000000000001</v>
      </c>
      <c r="AV12" s="43">
        <f t="shared" si="10"/>
        <v>1</v>
      </c>
      <c r="AW12" s="43">
        <f t="shared" si="10"/>
        <v>-3.4482758620689613E-2</v>
      </c>
      <c r="AX12" s="43">
        <f t="shared" si="10"/>
        <v>1.75</v>
      </c>
      <c r="AY12" s="43" t="e">
        <f t="shared" si="10"/>
        <v>#DIV/0!</v>
      </c>
      <c r="AZ12" s="43" t="e">
        <f t="shared" si="10"/>
        <v>#DIV/0!</v>
      </c>
      <c r="BA12" s="43">
        <f t="shared" si="10"/>
        <v>2</v>
      </c>
      <c r="BB12" s="43" t="e">
        <f t="shared" si="10"/>
        <v>#DIV/0!</v>
      </c>
      <c r="BC12" s="43" t="e">
        <f t="shared" si="10"/>
        <v>#DIV/0!</v>
      </c>
      <c r="BD12" s="43">
        <f t="shared" si="10"/>
        <v>-0.16666666666666663</v>
      </c>
      <c r="BE12" s="43">
        <f t="shared" si="10"/>
        <v>1.0714285714285716</v>
      </c>
      <c r="BF12" s="43" t="e">
        <f t="shared" si="10"/>
        <v>#DIV/0!</v>
      </c>
      <c r="BG12" s="120">
        <f t="shared" si="10"/>
        <v>1.0714285714285716</v>
      </c>
    </row>
    <row r="13" spans="1:59" s="97" customFormat="1" ht="16.5" thickBot="1">
      <c r="A13" s="121"/>
      <c r="B13" s="94"/>
      <c r="C13" s="95"/>
      <c r="D13" s="96"/>
      <c r="E13" s="96"/>
      <c r="F13" s="96"/>
      <c r="G13" s="96"/>
      <c r="H13" s="94"/>
      <c r="I13" s="95"/>
      <c r="J13" s="94"/>
      <c r="K13" s="95"/>
      <c r="L13" s="96"/>
      <c r="M13" s="96"/>
      <c r="N13" s="96"/>
      <c r="O13" s="96"/>
      <c r="P13" s="94"/>
      <c r="Q13" s="21"/>
      <c r="S13" s="44"/>
      <c r="T13" s="45"/>
      <c r="U13" s="46"/>
      <c r="V13" s="45"/>
      <c r="W13" s="45"/>
      <c r="X13" s="45"/>
      <c r="Y13" s="45"/>
      <c r="Z13" s="43"/>
      <c r="AA13" s="43"/>
      <c r="AB13" s="45"/>
      <c r="AC13" s="45"/>
      <c r="AD13" s="48"/>
      <c r="AE13" s="49"/>
      <c r="AU13" s="119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120"/>
    </row>
    <row r="14" spans="1:59" ht="15.75" thickBot="1">
      <c r="A14" s="24" t="s">
        <v>13</v>
      </c>
      <c r="B14" s="35">
        <f>SUM(B5:B12)</f>
        <v>85</v>
      </c>
      <c r="C14" s="35">
        <f t="shared" ref="C14:Q14" si="16">SUM(C5:C12)</f>
        <v>15</v>
      </c>
      <c r="D14" s="35">
        <f t="shared" si="16"/>
        <v>8</v>
      </c>
      <c r="E14" s="35">
        <f t="shared" si="16"/>
        <v>2</v>
      </c>
      <c r="F14" s="35">
        <f t="shared" si="16"/>
        <v>1</v>
      </c>
      <c r="G14" s="35">
        <f t="shared" si="16"/>
        <v>2</v>
      </c>
      <c r="H14" s="35">
        <f t="shared" si="16"/>
        <v>31</v>
      </c>
      <c r="I14" s="35">
        <f t="shared" si="16"/>
        <v>6</v>
      </c>
      <c r="J14" s="35">
        <f t="shared" si="16"/>
        <v>0</v>
      </c>
      <c r="K14" s="35">
        <f t="shared" si="16"/>
        <v>0</v>
      </c>
      <c r="L14" s="35">
        <f t="shared" si="16"/>
        <v>0</v>
      </c>
      <c r="M14" s="35">
        <f t="shared" si="16"/>
        <v>0</v>
      </c>
      <c r="N14" s="35">
        <f t="shared" si="16"/>
        <v>0</v>
      </c>
      <c r="O14" s="35">
        <f t="shared" si="16"/>
        <v>0</v>
      </c>
      <c r="P14" s="35">
        <f t="shared" si="16"/>
        <v>0</v>
      </c>
      <c r="Q14" s="36">
        <f t="shared" si="16"/>
        <v>0</v>
      </c>
      <c r="S14" s="31">
        <f t="shared" si="15"/>
        <v>125</v>
      </c>
      <c r="T14" s="32">
        <f t="shared" si="15"/>
        <v>25</v>
      </c>
      <c r="U14" s="33">
        <f>T14/(T14+S14)</f>
        <v>0.16666666666666666</v>
      </c>
      <c r="V14" s="32">
        <f>B14+C14+J14+K14</f>
        <v>100</v>
      </c>
      <c r="W14" s="32">
        <f>D14+E14+L14+M14</f>
        <v>10</v>
      </c>
      <c r="X14" s="32">
        <f>F14+G14+N14+O14</f>
        <v>3</v>
      </c>
      <c r="Y14" s="32">
        <f>SUM(V14:X14)</f>
        <v>113</v>
      </c>
      <c r="Z14" s="43">
        <f t="shared" si="11"/>
        <v>8.8495575221238937E-2</v>
      </c>
      <c r="AA14" s="43">
        <f t="shared" si="12"/>
        <v>2.6548672566371681E-2</v>
      </c>
      <c r="AB14" s="32">
        <f>H14+I14+P14+Q14</f>
        <v>37</v>
      </c>
      <c r="AC14" s="32">
        <f>SUM(B14:I14)</f>
        <v>150</v>
      </c>
      <c r="AD14" s="34">
        <f>SUM(J14:Q14)</f>
        <v>0</v>
      </c>
      <c r="AE14" s="42">
        <f t="shared" si="13"/>
        <v>150</v>
      </c>
      <c r="AG14">
        <v>51</v>
      </c>
      <c r="AH14">
        <v>10</v>
      </c>
      <c r="AI14">
        <v>0.16393442622950818</v>
      </c>
      <c r="AJ14">
        <v>38</v>
      </c>
      <c r="AK14">
        <v>1</v>
      </c>
      <c r="AL14">
        <v>0</v>
      </c>
      <c r="AM14">
        <v>39</v>
      </c>
      <c r="AN14">
        <v>2.564102564102564E-2</v>
      </c>
      <c r="AO14">
        <v>0</v>
      </c>
      <c r="AP14">
        <v>22</v>
      </c>
      <c r="AQ14">
        <v>61</v>
      </c>
      <c r="AR14">
        <v>0</v>
      </c>
      <c r="AS14">
        <v>61</v>
      </c>
      <c r="AU14" s="119">
        <f t="shared" si="14"/>
        <v>1.4509803921568629</v>
      </c>
      <c r="AV14" s="43">
        <f t="shared" si="10"/>
        <v>1.5</v>
      </c>
      <c r="AW14" s="43">
        <f t="shared" si="10"/>
        <v>1.6666666666666607E-2</v>
      </c>
      <c r="AX14" s="43">
        <f t="shared" si="10"/>
        <v>1.6315789473684212</v>
      </c>
      <c r="AY14" s="43">
        <f t="shared" si="10"/>
        <v>9</v>
      </c>
      <c r="AZ14" s="43" t="e">
        <f t="shared" si="10"/>
        <v>#DIV/0!</v>
      </c>
      <c r="BA14" s="43">
        <f t="shared" si="10"/>
        <v>1.8974358974358974</v>
      </c>
      <c r="BB14" s="43">
        <f t="shared" si="10"/>
        <v>2.4513274336283186</v>
      </c>
      <c r="BC14" s="43" t="e">
        <f t="shared" si="10"/>
        <v>#DIV/0!</v>
      </c>
      <c r="BD14" s="43">
        <f t="shared" si="10"/>
        <v>0.68181818181818188</v>
      </c>
      <c r="BE14" s="43">
        <f t="shared" si="10"/>
        <v>1.459016393442623</v>
      </c>
      <c r="BF14" s="43" t="e">
        <f t="shared" si="10"/>
        <v>#DIV/0!</v>
      </c>
      <c r="BG14" s="120">
        <f t="shared" si="10"/>
        <v>1.459016393442623</v>
      </c>
    </row>
    <row r="15" spans="1:59" ht="15.75" thickBot="1">
      <c r="A15" s="24" t="s">
        <v>31</v>
      </c>
      <c r="B15" s="24">
        <f>SUM(B7:B10)</f>
        <v>41</v>
      </c>
      <c r="C15" s="24">
        <f t="shared" ref="C15:Q15" si="17">SUM(C7:C10)</f>
        <v>7</v>
      </c>
      <c r="D15" s="24">
        <f t="shared" si="17"/>
        <v>1</v>
      </c>
      <c r="E15" s="24">
        <f t="shared" si="17"/>
        <v>1</v>
      </c>
      <c r="F15" s="24">
        <f t="shared" si="17"/>
        <v>0</v>
      </c>
      <c r="G15" s="24">
        <f t="shared" si="17"/>
        <v>1</v>
      </c>
      <c r="H15" s="24">
        <f t="shared" si="17"/>
        <v>25</v>
      </c>
      <c r="I15" s="24">
        <f t="shared" si="17"/>
        <v>2</v>
      </c>
      <c r="J15" s="24">
        <f t="shared" si="17"/>
        <v>0</v>
      </c>
      <c r="K15" s="24">
        <f t="shared" si="17"/>
        <v>0</v>
      </c>
      <c r="L15" s="24">
        <f t="shared" si="17"/>
        <v>0</v>
      </c>
      <c r="M15" s="24">
        <f t="shared" si="17"/>
        <v>0</v>
      </c>
      <c r="N15" s="24">
        <f t="shared" si="17"/>
        <v>0</v>
      </c>
      <c r="O15" s="24">
        <f t="shared" si="17"/>
        <v>0</v>
      </c>
      <c r="P15" s="24">
        <f t="shared" si="17"/>
        <v>0</v>
      </c>
      <c r="Q15" s="24">
        <f t="shared" si="17"/>
        <v>0</v>
      </c>
      <c r="S15" s="50">
        <f t="shared" si="15"/>
        <v>67</v>
      </c>
      <c r="T15" s="35">
        <f t="shared" si="15"/>
        <v>11</v>
      </c>
      <c r="U15" s="51">
        <f>T15/(T15+S15)</f>
        <v>0.14102564102564102</v>
      </c>
      <c r="V15" s="35">
        <f>B15+C15+J15+K15</f>
        <v>48</v>
      </c>
      <c r="W15" s="35">
        <f>D15+E15+L15+M15</f>
        <v>2</v>
      </c>
      <c r="X15" s="35">
        <f>F15+G15+N15+O15</f>
        <v>1</v>
      </c>
      <c r="Y15" s="35">
        <f>SUM(V15:X15)</f>
        <v>51</v>
      </c>
      <c r="Z15" s="52">
        <f t="shared" si="11"/>
        <v>3.9215686274509803E-2</v>
      </c>
      <c r="AA15" s="52">
        <f t="shared" si="12"/>
        <v>1.9607843137254902E-2</v>
      </c>
      <c r="AB15" s="35">
        <f>H15+I15+P15+Q15</f>
        <v>27</v>
      </c>
      <c r="AC15" s="35">
        <f>SUM(B15:I15)</f>
        <v>78</v>
      </c>
      <c r="AD15" s="36">
        <f>SUM(J15:Q15)</f>
        <v>0</v>
      </c>
      <c r="AE15" s="53">
        <f t="shared" si="13"/>
        <v>78</v>
      </c>
      <c r="AG15">
        <v>17</v>
      </c>
      <c r="AH15">
        <v>5</v>
      </c>
      <c r="AI15">
        <v>0.22727272727272727</v>
      </c>
      <c r="AJ15">
        <v>14</v>
      </c>
      <c r="AK15">
        <v>1</v>
      </c>
      <c r="AL15">
        <v>0</v>
      </c>
      <c r="AM15">
        <v>15</v>
      </c>
      <c r="AN15">
        <v>6.6666666666666666E-2</v>
      </c>
      <c r="AO15">
        <v>0</v>
      </c>
      <c r="AP15">
        <v>7</v>
      </c>
      <c r="AQ15">
        <v>22</v>
      </c>
      <c r="AR15">
        <v>0</v>
      </c>
      <c r="AS15">
        <v>22</v>
      </c>
      <c r="AU15" s="56">
        <f t="shared" si="14"/>
        <v>2.9411764705882355</v>
      </c>
      <c r="AV15" s="57">
        <f t="shared" si="10"/>
        <v>1.2000000000000002</v>
      </c>
      <c r="AW15" s="57">
        <f t="shared" si="10"/>
        <v>-0.37948717948717947</v>
      </c>
      <c r="AX15" s="57">
        <f t="shared" si="10"/>
        <v>2.4285714285714284</v>
      </c>
      <c r="AY15" s="57">
        <f t="shared" si="10"/>
        <v>1</v>
      </c>
      <c r="AZ15" s="57" t="e">
        <f t="shared" si="10"/>
        <v>#DIV/0!</v>
      </c>
      <c r="BA15" s="57">
        <f t="shared" si="10"/>
        <v>2.4</v>
      </c>
      <c r="BB15" s="57">
        <f t="shared" si="10"/>
        <v>-0.41176470588235292</v>
      </c>
      <c r="BC15" s="57" t="e">
        <f t="shared" si="10"/>
        <v>#DIV/0!</v>
      </c>
      <c r="BD15" s="57">
        <f t="shared" si="10"/>
        <v>2.8571428571428572</v>
      </c>
      <c r="BE15" s="57">
        <f t="shared" si="10"/>
        <v>2.5454545454545454</v>
      </c>
      <c r="BF15" s="57" t="e">
        <f t="shared" si="10"/>
        <v>#DIV/0!</v>
      </c>
      <c r="BG15" s="58">
        <f t="shared" si="10"/>
        <v>2.5454545454545454</v>
      </c>
    </row>
    <row r="17" spans="1:17">
      <c r="A17">
        <v>7</v>
      </c>
      <c r="B17">
        <f>SUM(B5:B8)</f>
        <v>23</v>
      </c>
      <c r="C17">
        <f t="shared" ref="C17:Q17" si="18">SUM(C5:C8)</f>
        <v>2</v>
      </c>
      <c r="D17">
        <f t="shared" si="18"/>
        <v>3</v>
      </c>
      <c r="E17">
        <f t="shared" si="18"/>
        <v>2</v>
      </c>
      <c r="F17">
        <f t="shared" si="18"/>
        <v>0</v>
      </c>
      <c r="G17">
        <f t="shared" si="18"/>
        <v>0</v>
      </c>
      <c r="H17">
        <f t="shared" si="18"/>
        <v>7</v>
      </c>
      <c r="I17">
        <f t="shared" si="18"/>
        <v>0</v>
      </c>
      <c r="J17">
        <f t="shared" si="18"/>
        <v>0</v>
      </c>
      <c r="K17">
        <f t="shared" si="18"/>
        <v>0</v>
      </c>
      <c r="L17">
        <f t="shared" si="18"/>
        <v>0</v>
      </c>
      <c r="M17">
        <f t="shared" si="18"/>
        <v>0</v>
      </c>
      <c r="N17">
        <f t="shared" si="18"/>
        <v>0</v>
      </c>
      <c r="O17">
        <f t="shared" si="18"/>
        <v>0</v>
      </c>
      <c r="P17">
        <f t="shared" si="18"/>
        <v>0</v>
      </c>
      <c r="Q17">
        <f t="shared" si="18"/>
        <v>0</v>
      </c>
    </row>
    <row r="18" spans="1:17">
      <c r="A18">
        <v>8</v>
      </c>
      <c r="B18">
        <f>SUM(B9:B12)</f>
        <v>62</v>
      </c>
      <c r="C18">
        <f t="shared" ref="C18:Q18" si="19">SUM(C9:C12)</f>
        <v>13</v>
      </c>
      <c r="D18">
        <f t="shared" si="19"/>
        <v>5</v>
      </c>
      <c r="E18">
        <f t="shared" si="19"/>
        <v>0</v>
      </c>
      <c r="F18">
        <f t="shared" si="19"/>
        <v>1</v>
      </c>
      <c r="G18">
        <f t="shared" si="19"/>
        <v>2</v>
      </c>
      <c r="H18">
        <f>SUM(H9:H12)</f>
        <v>24</v>
      </c>
      <c r="I18">
        <f t="shared" si="19"/>
        <v>6</v>
      </c>
      <c r="J18">
        <f t="shared" si="19"/>
        <v>0</v>
      </c>
      <c r="K18">
        <f t="shared" si="19"/>
        <v>0</v>
      </c>
      <c r="L18">
        <f t="shared" si="19"/>
        <v>0</v>
      </c>
      <c r="M18">
        <f t="shared" si="19"/>
        <v>0</v>
      </c>
      <c r="N18">
        <f t="shared" si="19"/>
        <v>0</v>
      </c>
      <c r="O18">
        <f t="shared" si="19"/>
        <v>0</v>
      </c>
      <c r="P18">
        <f t="shared" si="19"/>
        <v>0</v>
      </c>
      <c r="Q18">
        <f t="shared" si="19"/>
        <v>0</v>
      </c>
    </row>
  </sheetData>
  <mergeCells count="13">
    <mergeCell ref="L3:M3"/>
    <mergeCell ref="N3:O3"/>
    <mergeCell ref="P3:Q3"/>
    <mergeCell ref="B3:C3"/>
    <mergeCell ref="D3:E3"/>
    <mergeCell ref="F3:G3"/>
    <mergeCell ref="H3:I3"/>
    <mergeCell ref="J3:K3"/>
    <mergeCell ref="S2:AD2"/>
    <mergeCell ref="B2:I2"/>
    <mergeCell ref="J2:Q2"/>
    <mergeCell ref="AG2:AR2"/>
    <mergeCell ref="AU2:BF2"/>
  </mergeCells>
  <conditionalFormatting sqref="AU5:BG15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8"/>
  <sheetViews>
    <sheetView workbookViewId="0">
      <selection activeCell="A13" sqref="A13:XFD13"/>
    </sheetView>
  </sheetViews>
  <sheetFormatPr baseColWidth="10" defaultColWidth="9.140625" defaultRowHeight="15"/>
  <cols>
    <col min="1" max="1" width="10.28515625" customWidth="1"/>
    <col min="2" max="17" width="5" customWidth="1"/>
    <col min="47" max="59" width="8.85546875" style="97"/>
  </cols>
  <sheetData>
    <row r="1" spans="1:59" ht="30.6" customHeight="1" thickBot="1">
      <c r="A1">
        <v>3</v>
      </c>
      <c r="B1" s="11" t="s">
        <v>11</v>
      </c>
      <c r="C1" s="12" t="s">
        <v>54</v>
      </c>
    </row>
    <row r="2" spans="1:59" s="10" customFormat="1" ht="21.75" thickBot="1">
      <c r="A2" s="9"/>
      <c r="B2" s="141" t="s">
        <v>5</v>
      </c>
      <c r="C2" s="143"/>
      <c r="D2" s="143"/>
      <c r="E2" s="143"/>
      <c r="F2" s="143"/>
      <c r="G2" s="143"/>
      <c r="H2" s="143"/>
      <c r="I2" s="144"/>
      <c r="J2" s="141" t="s">
        <v>6</v>
      </c>
      <c r="K2" s="143"/>
      <c r="L2" s="143"/>
      <c r="M2" s="143"/>
      <c r="N2" s="143"/>
      <c r="O2" s="143"/>
      <c r="P2" s="143"/>
      <c r="Q2" s="144"/>
      <c r="R2" s="97"/>
      <c r="S2" s="138" t="str">
        <f xml:space="preserve"> "Totaux 2021 " &amp; $C1</f>
        <v>Totaux 2021 RteEurope-Meyrin</v>
      </c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G2" s="138" t="str">
        <f xml:space="preserve"> "Totaux 2020 " &amp; $C1</f>
        <v>Totaux 2020 RteEurope-Meyrin</v>
      </c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U2" s="139" t="str">
        <f xml:space="preserve"> "Changement depuis 2020 " &amp; $C1</f>
        <v>Changement depuis 2020 RteEurope-Meyrin</v>
      </c>
      <c r="AV2" s="140"/>
      <c r="AW2" s="140"/>
      <c r="AX2" s="140"/>
      <c r="AY2" s="140"/>
      <c r="AZ2" s="140"/>
      <c r="BA2" s="140"/>
      <c r="BB2" s="140"/>
      <c r="BC2" s="140"/>
      <c r="BD2" s="140"/>
      <c r="BE2" s="140"/>
      <c r="BF2" s="140"/>
      <c r="BG2" s="115"/>
    </row>
    <row r="3" spans="1:59" s="10" customFormat="1" ht="68.45" customHeight="1">
      <c r="A3" s="9"/>
      <c r="B3" s="141" t="s">
        <v>9</v>
      </c>
      <c r="C3" s="144"/>
      <c r="D3" s="145" t="s">
        <v>7</v>
      </c>
      <c r="E3" s="142"/>
      <c r="F3" s="145" t="s">
        <v>8</v>
      </c>
      <c r="G3" s="142"/>
      <c r="H3" s="141" t="s">
        <v>0</v>
      </c>
      <c r="I3" s="142"/>
      <c r="J3" s="141" t="s">
        <v>4</v>
      </c>
      <c r="K3" s="144"/>
      <c r="L3" s="145" t="s">
        <v>7</v>
      </c>
      <c r="M3" s="142"/>
      <c r="N3" s="145" t="s">
        <v>10</v>
      </c>
      <c r="O3" s="142"/>
      <c r="P3" s="141" t="s">
        <v>0</v>
      </c>
      <c r="Q3" s="142"/>
      <c r="R3"/>
      <c r="S3" s="26" t="s">
        <v>20</v>
      </c>
      <c r="T3" s="27" t="s">
        <v>14</v>
      </c>
      <c r="U3" s="27" t="s">
        <v>15</v>
      </c>
      <c r="V3" s="27" t="s">
        <v>16</v>
      </c>
      <c r="W3" s="27" t="s">
        <v>7</v>
      </c>
      <c r="X3" s="27" t="s">
        <v>17</v>
      </c>
      <c r="Y3" s="27" t="s">
        <v>25</v>
      </c>
      <c r="Z3" s="27" t="s">
        <v>27</v>
      </c>
      <c r="AA3" s="27" t="s">
        <v>28</v>
      </c>
      <c r="AB3" s="27" t="s">
        <v>19</v>
      </c>
      <c r="AC3" s="27" t="s">
        <v>21</v>
      </c>
      <c r="AD3" s="28" t="s">
        <v>22</v>
      </c>
      <c r="AE3" s="40" t="s">
        <v>26</v>
      </c>
      <c r="AU3" s="117" t="s">
        <v>20</v>
      </c>
      <c r="AV3" s="116" t="s">
        <v>14</v>
      </c>
      <c r="AW3" s="116" t="s">
        <v>15</v>
      </c>
      <c r="AX3" s="116" t="s">
        <v>16</v>
      </c>
      <c r="AY3" s="116" t="s">
        <v>7</v>
      </c>
      <c r="AZ3" s="116" t="s">
        <v>17</v>
      </c>
      <c r="BA3" s="116" t="s">
        <v>25</v>
      </c>
      <c r="BB3" s="116" t="s">
        <v>27</v>
      </c>
      <c r="BC3" s="116" t="s">
        <v>28</v>
      </c>
      <c r="BD3" s="116" t="s">
        <v>19</v>
      </c>
      <c r="BE3" s="116" t="s">
        <v>21</v>
      </c>
      <c r="BF3" s="116" t="s">
        <v>22</v>
      </c>
      <c r="BG3" s="118" t="s">
        <v>26</v>
      </c>
    </row>
    <row r="4" spans="1:59" ht="21" thickBot="1">
      <c r="A4" s="1" t="s">
        <v>3</v>
      </c>
      <c r="B4" s="2" t="s">
        <v>1</v>
      </c>
      <c r="C4" s="4" t="s">
        <v>2</v>
      </c>
      <c r="D4" s="2" t="s">
        <v>1</v>
      </c>
      <c r="E4" s="4" t="s">
        <v>2</v>
      </c>
      <c r="F4" s="2" t="s">
        <v>1</v>
      </c>
      <c r="G4" s="4" t="s">
        <v>2</v>
      </c>
      <c r="H4" s="2" t="s">
        <v>1</v>
      </c>
      <c r="I4" s="3" t="s">
        <v>2</v>
      </c>
      <c r="J4" s="2" t="s">
        <v>1</v>
      </c>
      <c r="K4" s="4" t="s">
        <v>2</v>
      </c>
      <c r="L4" s="2" t="s">
        <v>1</v>
      </c>
      <c r="M4" s="4" t="s">
        <v>2</v>
      </c>
      <c r="N4" s="2" t="s">
        <v>1</v>
      </c>
      <c r="O4" s="4" t="s">
        <v>2</v>
      </c>
      <c r="P4" s="2" t="s">
        <v>1</v>
      </c>
      <c r="Q4" s="3" t="s">
        <v>2</v>
      </c>
      <c r="S4" s="29"/>
      <c r="T4" s="19"/>
      <c r="U4" s="25"/>
      <c r="V4" s="19"/>
      <c r="W4" s="19"/>
      <c r="X4" s="19"/>
      <c r="Y4" s="19"/>
      <c r="Z4" s="19"/>
      <c r="AA4" s="19"/>
      <c r="AB4" s="19"/>
      <c r="AC4" s="19"/>
      <c r="AD4" s="30"/>
      <c r="AE4" s="41"/>
      <c r="AU4" s="2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30"/>
    </row>
    <row r="5" spans="1:59" ht="21" customHeight="1" thickBot="1">
      <c r="A5" s="13">
        <v>0.29166666666666669</v>
      </c>
      <c r="B5" s="15"/>
      <c r="C5" s="16"/>
      <c r="D5" s="17"/>
      <c r="E5" s="18"/>
      <c r="F5" s="17"/>
      <c r="G5" s="18"/>
      <c r="H5" s="15"/>
      <c r="I5" s="16"/>
      <c r="J5" s="15"/>
      <c r="K5" s="16"/>
      <c r="L5" s="17"/>
      <c r="M5" s="18"/>
      <c r="N5" s="17"/>
      <c r="O5" s="18"/>
      <c r="P5" s="15"/>
      <c r="Q5" s="16"/>
      <c r="S5" s="29">
        <f t="shared" ref="S5:T15" si="0">B5+D5+F5+H5+J5+L5+N5+P5</f>
        <v>0</v>
      </c>
      <c r="T5" s="19">
        <f t="shared" si="0"/>
        <v>0</v>
      </c>
      <c r="U5" s="25" t="e">
        <f t="shared" ref="U5:U11" si="1">T5/(T5+S5)</f>
        <v>#DIV/0!</v>
      </c>
      <c r="V5" s="19">
        <f t="shared" ref="V5:V11" si="2">B5+C5+J5+K5</f>
        <v>0</v>
      </c>
      <c r="W5" s="19">
        <f t="shared" ref="W5:W11" si="3">D5+E5+L5+M5</f>
        <v>0</v>
      </c>
      <c r="X5" s="19">
        <f t="shared" ref="X5:X11" si="4">F5+G5+N5+O5</f>
        <v>0</v>
      </c>
      <c r="Y5" s="19">
        <f t="shared" ref="Y5:Y11" si="5">SUM(V5:X5)</f>
        <v>0</v>
      </c>
      <c r="Z5" s="43" t="e">
        <f>W5/Y5</f>
        <v>#DIV/0!</v>
      </c>
      <c r="AA5" s="43" t="e">
        <f>X5/Y5</f>
        <v>#DIV/0!</v>
      </c>
      <c r="AB5" s="19">
        <f t="shared" ref="AB5:AB11" si="6">H5+I5+P5+Q5</f>
        <v>0</v>
      </c>
      <c r="AC5" s="19">
        <f t="shared" ref="AC5:AC11" si="7">SUM(B5:I5)</f>
        <v>0</v>
      </c>
      <c r="AD5" s="30">
        <f t="shared" ref="AD5:AD11" si="8">SUM(J5:Q5)</f>
        <v>0</v>
      </c>
      <c r="AE5" s="41">
        <f>SUM(B5:Q5)</f>
        <v>0</v>
      </c>
      <c r="AU5" s="119" t="e">
        <f>(S5/AG5) - 1</f>
        <v>#DIV/0!</v>
      </c>
      <c r="AV5" s="43" t="e">
        <f t="shared" ref="AV5:BG15" si="9">(T5/AH5) - 1</f>
        <v>#DIV/0!</v>
      </c>
      <c r="AW5" s="43" t="e">
        <f t="shared" si="9"/>
        <v>#DIV/0!</v>
      </c>
      <c r="AX5" s="43" t="e">
        <f t="shared" si="9"/>
        <v>#DIV/0!</v>
      </c>
      <c r="AY5" s="43" t="e">
        <f t="shared" si="9"/>
        <v>#DIV/0!</v>
      </c>
      <c r="AZ5" s="43" t="e">
        <f t="shared" si="9"/>
        <v>#DIV/0!</v>
      </c>
      <c r="BA5" s="43" t="e">
        <f t="shared" si="9"/>
        <v>#DIV/0!</v>
      </c>
      <c r="BB5" s="43" t="e">
        <f t="shared" si="9"/>
        <v>#DIV/0!</v>
      </c>
      <c r="BC5" s="43" t="e">
        <f t="shared" si="9"/>
        <v>#DIV/0!</v>
      </c>
      <c r="BD5" s="43" t="e">
        <f t="shared" si="9"/>
        <v>#DIV/0!</v>
      </c>
      <c r="BE5" s="43" t="e">
        <f t="shared" si="9"/>
        <v>#DIV/0!</v>
      </c>
      <c r="BF5" s="43" t="e">
        <f t="shared" si="9"/>
        <v>#DIV/0!</v>
      </c>
      <c r="BG5" s="120" t="e">
        <f t="shared" si="9"/>
        <v>#DIV/0!</v>
      </c>
    </row>
    <row r="6" spans="1:59" ht="21" customHeight="1" thickBot="1">
      <c r="A6" s="14">
        <v>0.30208333333333331</v>
      </c>
      <c r="B6" s="15">
        <v>3</v>
      </c>
      <c r="C6" s="16"/>
      <c r="D6" s="17">
        <v>2</v>
      </c>
      <c r="E6" s="18"/>
      <c r="F6" s="17"/>
      <c r="G6" s="18"/>
      <c r="H6" s="15"/>
      <c r="I6" s="16"/>
      <c r="J6" s="15"/>
      <c r="K6" s="16"/>
      <c r="L6" s="17"/>
      <c r="M6" s="18"/>
      <c r="N6" s="17"/>
      <c r="O6" s="18"/>
      <c r="P6" s="15"/>
      <c r="Q6" s="16"/>
      <c r="S6" s="29">
        <f t="shared" si="0"/>
        <v>5</v>
      </c>
      <c r="T6" s="19">
        <f t="shared" si="0"/>
        <v>0</v>
      </c>
      <c r="U6" s="25">
        <f t="shared" si="1"/>
        <v>0</v>
      </c>
      <c r="V6" s="19">
        <f t="shared" si="2"/>
        <v>3</v>
      </c>
      <c r="W6" s="19">
        <f t="shared" si="3"/>
        <v>2</v>
      </c>
      <c r="X6" s="19">
        <f t="shared" si="4"/>
        <v>0</v>
      </c>
      <c r="Y6" s="19">
        <f t="shared" si="5"/>
        <v>5</v>
      </c>
      <c r="Z6" s="43">
        <f t="shared" ref="Z6:Z15" si="10">W6/Y6</f>
        <v>0.4</v>
      </c>
      <c r="AA6" s="43">
        <f t="shared" ref="AA6:AA15" si="11">X6/Y6</f>
        <v>0</v>
      </c>
      <c r="AB6" s="19">
        <f t="shared" si="6"/>
        <v>0</v>
      </c>
      <c r="AC6" s="19">
        <f t="shared" si="7"/>
        <v>5</v>
      </c>
      <c r="AD6" s="30">
        <f t="shared" si="8"/>
        <v>0</v>
      </c>
      <c r="AE6" s="41">
        <f t="shared" ref="AE6:AE15" si="12">SUM(B6:Q6)</f>
        <v>5</v>
      </c>
      <c r="AU6" s="119" t="e">
        <f t="shared" ref="AU6:AU15" si="13">(S6/AG6) - 1</f>
        <v>#DIV/0!</v>
      </c>
      <c r="AV6" s="43" t="e">
        <f t="shared" si="9"/>
        <v>#DIV/0!</v>
      </c>
      <c r="AW6" s="43" t="e">
        <f t="shared" si="9"/>
        <v>#DIV/0!</v>
      </c>
      <c r="AX6" s="43" t="e">
        <f t="shared" si="9"/>
        <v>#DIV/0!</v>
      </c>
      <c r="AY6" s="43" t="e">
        <f t="shared" si="9"/>
        <v>#DIV/0!</v>
      </c>
      <c r="AZ6" s="43" t="e">
        <f t="shared" si="9"/>
        <v>#DIV/0!</v>
      </c>
      <c r="BA6" s="43" t="e">
        <f t="shared" si="9"/>
        <v>#DIV/0!</v>
      </c>
      <c r="BB6" s="43" t="e">
        <f t="shared" si="9"/>
        <v>#DIV/0!</v>
      </c>
      <c r="BC6" s="43" t="e">
        <f t="shared" si="9"/>
        <v>#DIV/0!</v>
      </c>
      <c r="BD6" s="43" t="e">
        <f t="shared" si="9"/>
        <v>#DIV/0!</v>
      </c>
      <c r="BE6" s="43" t="e">
        <f t="shared" si="9"/>
        <v>#DIV/0!</v>
      </c>
      <c r="BF6" s="43" t="e">
        <f t="shared" si="9"/>
        <v>#DIV/0!</v>
      </c>
      <c r="BG6" s="120" t="e">
        <f t="shared" si="9"/>
        <v>#DIV/0!</v>
      </c>
    </row>
    <row r="7" spans="1:59" ht="21" customHeight="1" thickBot="1">
      <c r="A7" s="14">
        <v>0.3125</v>
      </c>
      <c r="B7" s="15"/>
      <c r="C7" s="16"/>
      <c r="D7" s="17">
        <v>1</v>
      </c>
      <c r="E7" s="18"/>
      <c r="F7" s="17"/>
      <c r="G7" s="18"/>
      <c r="H7" s="15"/>
      <c r="I7" s="16"/>
      <c r="J7" s="15">
        <v>5</v>
      </c>
      <c r="K7" s="16"/>
      <c r="L7" s="17"/>
      <c r="M7" s="18"/>
      <c r="N7" s="17"/>
      <c r="O7" s="18"/>
      <c r="P7" s="15"/>
      <c r="Q7" s="16"/>
      <c r="S7" s="29">
        <f t="shared" si="0"/>
        <v>6</v>
      </c>
      <c r="T7" s="19">
        <f t="shared" si="0"/>
        <v>0</v>
      </c>
      <c r="U7" s="25">
        <f t="shared" si="1"/>
        <v>0</v>
      </c>
      <c r="V7" s="19">
        <f t="shared" si="2"/>
        <v>5</v>
      </c>
      <c r="W7" s="19">
        <f t="shared" si="3"/>
        <v>1</v>
      </c>
      <c r="X7" s="19">
        <f t="shared" si="4"/>
        <v>0</v>
      </c>
      <c r="Y7" s="19">
        <f t="shared" si="5"/>
        <v>6</v>
      </c>
      <c r="Z7" s="43">
        <f t="shared" si="10"/>
        <v>0.16666666666666666</v>
      </c>
      <c r="AA7" s="43">
        <f t="shared" si="11"/>
        <v>0</v>
      </c>
      <c r="AB7" s="19">
        <f t="shared" si="6"/>
        <v>0</v>
      </c>
      <c r="AC7" s="19">
        <f t="shared" si="7"/>
        <v>1</v>
      </c>
      <c r="AD7" s="30">
        <f t="shared" si="8"/>
        <v>5</v>
      </c>
      <c r="AE7" s="41">
        <f t="shared" si="12"/>
        <v>6</v>
      </c>
      <c r="AU7" s="119" t="e">
        <f t="shared" si="13"/>
        <v>#DIV/0!</v>
      </c>
      <c r="AV7" s="43" t="e">
        <f t="shared" si="9"/>
        <v>#DIV/0!</v>
      </c>
      <c r="AW7" s="43" t="e">
        <f t="shared" si="9"/>
        <v>#DIV/0!</v>
      </c>
      <c r="AX7" s="43" t="e">
        <f t="shared" si="9"/>
        <v>#DIV/0!</v>
      </c>
      <c r="AY7" s="43" t="e">
        <f t="shared" si="9"/>
        <v>#DIV/0!</v>
      </c>
      <c r="AZ7" s="43" t="e">
        <f t="shared" si="9"/>
        <v>#DIV/0!</v>
      </c>
      <c r="BA7" s="43" t="e">
        <f t="shared" si="9"/>
        <v>#DIV/0!</v>
      </c>
      <c r="BB7" s="43" t="e">
        <f t="shared" si="9"/>
        <v>#DIV/0!</v>
      </c>
      <c r="BC7" s="43" t="e">
        <f t="shared" si="9"/>
        <v>#DIV/0!</v>
      </c>
      <c r="BD7" s="43" t="e">
        <f t="shared" si="9"/>
        <v>#DIV/0!</v>
      </c>
      <c r="BE7" s="43" t="e">
        <f t="shared" si="9"/>
        <v>#DIV/0!</v>
      </c>
      <c r="BF7" s="43" t="e">
        <f t="shared" si="9"/>
        <v>#DIV/0!</v>
      </c>
      <c r="BG7" s="120" t="e">
        <f t="shared" si="9"/>
        <v>#DIV/0!</v>
      </c>
    </row>
    <row r="8" spans="1:59" ht="21" customHeight="1" thickBot="1">
      <c r="A8" s="14">
        <v>0.32291666666666669</v>
      </c>
      <c r="B8" s="15">
        <v>1</v>
      </c>
      <c r="C8" s="16"/>
      <c r="D8" s="17"/>
      <c r="E8" s="18"/>
      <c r="F8" s="17"/>
      <c r="G8" s="18"/>
      <c r="H8" s="15"/>
      <c r="I8" s="16"/>
      <c r="J8" s="15"/>
      <c r="K8" s="16"/>
      <c r="L8" s="17"/>
      <c r="M8" s="18"/>
      <c r="N8" s="17"/>
      <c r="O8" s="18"/>
      <c r="P8" s="15"/>
      <c r="Q8" s="16"/>
      <c r="S8" s="29">
        <f t="shared" si="0"/>
        <v>1</v>
      </c>
      <c r="T8" s="19">
        <f t="shared" si="0"/>
        <v>0</v>
      </c>
      <c r="U8" s="25">
        <f t="shared" si="1"/>
        <v>0</v>
      </c>
      <c r="V8" s="19">
        <f t="shared" si="2"/>
        <v>1</v>
      </c>
      <c r="W8" s="19">
        <f t="shared" si="3"/>
        <v>0</v>
      </c>
      <c r="X8" s="19">
        <f t="shared" si="4"/>
        <v>0</v>
      </c>
      <c r="Y8" s="19">
        <f t="shared" si="5"/>
        <v>1</v>
      </c>
      <c r="Z8" s="43">
        <f t="shared" si="10"/>
        <v>0</v>
      </c>
      <c r="AA8" s="43">
        <f t="shared" si="11"/>
        <v>0</v>
      </c>
      <c r="AB8" s="19">
        <f t="shared" si="6"/>
        <v>0</v>
      </c>
      <c r="AC8" s="19">
        <f t="shared" si="7"/>
        <v>1</v>
      </c>
      <c r="AD8" s="30">
        <f t="shared" si="8"/>
        <v>0</v>
      </c>
      <c r="AE8" s="41">
        <f t="shared" si="12"/>
        <v>1</v>
      </c>
      <c r="AU8" s="119" t="e">
        <f t="shared" si="13"/>
        <v>#DIV/0!</v>
      </c>
      <c r="AV8" s="43" t="e">
        <f t="shared" si="9"/>
        <v>#DIV/0!</v>
      </c>
      <c r="AW8" s="43" t="e">
        <f t="shared" si="9"/>
        <v>#DIV/0!</v>
      </c>
      <c r="AX8" s="43" t="e">
        <f t="shared" si="9"/>
        <v>#DIV/0!</v>
      </c>
      <c r="AY8" s="43" t="e">
        <f t="shared" si="9"/>
        <v>#DIV/0!</v>
      </c>
      <c r="AZ8" s="43" t="e">
        <f t="shared" si="9"/>
        <v>#DIV/0!</v>
      </c>
      <c r="BA8" s="43" t="e">
        <f t="shared" si="9"/>
        <v>#DIV/0!</v>
      </c>
      <c r="BB8" s="43" t="e">
        <f t="shared" si="9"/>
        <v>#DIV/0!</v>
      </c>
      <c r="BC8" s="43" t="e">
        <f t="shared" si="9"/>
        <v>#DIV/0!</v>
      </c>
      <c r="BD8" s="43" t="e">
        <f t="shared" si="9"/>
        <v>#DIV/0!</v>
      </c>
      <c r="BE8" s="43" t="e">
        <f t="shared" si="9"/>
        <v>#DIV/0!</v>
      </c>
      <c r="BF8" s="43" t="e">
        <f t="shared" si="9"/>
        <v>#DIV/0!</v>
      </c>
      <c r="BG8" s="120" t="e">
        <f t="shared" si="9"/>
        <v>#DIV/0!</v>
      </c>
    </row>
    <row r="9" spans="1:59" ht="21" customHeight="1" thickBot="1">
      <c r="A9" s="13">
        <v>0.33333333333333331</v>
      </c>
      <c r="B9" s="15"/>
      <c r="C9" s="16"/>
      <c r="D9" s="17"/>
      <c r="E9" s="18"/>
      <c r="F9" s="17"/>
      <c r="G9" s="18"/>
      <c r="H9" s="15"/>
      <c r="I9" s="16"/>
      <c r="J9" s="15"/>
      <c r="K9" s="16"/>
      <c r="L9" s="17"/>
      <c r="M9" s="18"/>
      <c r="N9" s="17"/>
      <c r="O9" s="18"/>
      <c r="P9" s="15"/>
      <c r="Q9" s="16"/>
      <c r="S9" s="29">
        <f t="shared" si="0"/>
        <v>0</v>
      </c>
      <c r="T9" s="19">
        <f t="shared" si="0"/>
        <v>0</v>
      </c>
      <c r="U9" s="25" t="e">
        <f t="shared" si="1"/>
        <v>#DIV/0!</v>
      </c>
      <c r="V9" s="19">
        <f t="shared" si="2"/>
        <v>0</v>
      </c>
      <c r="W9" s="19">
        <f t="shared" si="3"/>
        <v>0</v>
      </c>
      <c r="X9" s="19">
        <f t="shared" si="4"/>
        <v>0</v>
      </c>
      <c r="Y9" s="19">
        <f t="shared" si="5"/>
        <v>0</v>
      </c>
      <c r="Z9" s="43" t="e">
        <f t="shared" si="10"/>
        <v>#DIV/0!</v>
      </c>
      <c r="AA9" s="43" t="e">
        <f t="shared" si="11"/>
        <v>#DIV/0!</v>
      </c>
      <c r="AB9" s="19">
        <f t="shared" si="6"/>
        <v>0</v>
      </c>
      <c r="AC9" s="19">
        <f t="shared" si="7"/>
        <v>0</v>
      </c>
      <c r="AD9" s="30">
        <f t="shared" si="8"/>
        <v>0</v>
      </c>
      <c r="AE9" s="41">
        <f t="shared" si="12"/>
        <v>0</v>
      </c>
      <c r="AU9" s="119" t="e">
        <f t="shared" si="13"/>
        <v>#DIV/0!</v>
      </c>
      <c r="AV9" s="43" t="e">
        <f t="shared" si="9"/>
        <v>#DIV/0!</v>
      </c>
      <c r="AW9" s="43" t="e">
        <f t="shared" si="9"/>
        <v>#DIV/0!</v>
      </c>
      <c r="AX9" s="43" t="e">
        <f t="shared" si="9"/>
        <v>#DIV/0!</v>
      </c>
      <c r="AY9" s="43" t="e">
        <f t="shared" si="9"/>
        <v>#DIV/0!</v>
      </c>
      <c r="AZ9" s="43" t="e">
        <f t="shared" si="9"/>
        <v>#DIV/0!</v>
      </c>
      <c r="BA9" s="43" t="e">
        <f t="shared" si="9"/>
        <v>#DIV/0!</v>
      </c>
      <c r="BB9" s="43" t="e">
        <f t="shared" si="9"/>
        <v>#DIV/0!</v>
      </c>
      <c r="BC9" s="43" t="e">
        <f t="shared" si="9"/>
        <v>#DIV/0!</v>
      </c>
      <c r="BD9" s="43" t="e">
        <f t="shared" si="9"/>
        <v>#DIV/0!</v>
      </c>
      <c r="BE9" s="43" t="e">
        <f t="shared" si="9"/>
        <v>#DIV/0!</v>
      </c>
      <c r="BF9" s="43" t="e">
        <f t="shared" si="9"/>
        <v>#DIV/0!</v>
      </c>
      <c r="BG9" s="120" t="e">
        <f t="shared" si="9"/>
        <v>#DIV/0!</v>
      </c>
    </row>
    <row r="10" spans="1:59" ht="21" customHeight="1" thickBot="1">
      <c r="A10" s="14">
        <v>0.34375</v>
      </c>
      <c r="B10" s="15"/>
      <c r="C10" s="16"/>
      <c r="D10" s="17"/>
      <c r="E10" s="18"/>
      <c r="F10" s="17"/>
      <c r="G10" s="18"/>
      <c r="H10" s="10"/>
      <c r="I10" s="16"/>
      <c r="J10" s="15"/>
      <c r="K10" s="16"/>
      <c r="L10" s="17"/>
      <c r="M10" s="18"/>
      <c r="N10" s="17"/>
      <c r="O10" s="18"/>
      <c r="P10" s="15"/>
      <c r="Q10" s="16"/>
      <c r="S10" s="29">
        <f t="shared" si="0"/>
        <v>0</v>
      </c>
      <c r="T10" s="19">
        <f t="shared" si="0"/>
        <v>0</v>
      </c>
      <c r="U10" s="25" t="e">
        <f t="shared" si="1"/>
        <v>#DIV/0!</v>
      </c>
      <c r="V10" s="19">
        <f t="shared" si="2"/>
        <v>0</v>
      </c>
      <c r="W10" s="19">
        <f t="shared" si="3"/>
        <v>0</v>
      </c>
      <c r="X10" s="19">
        <f t="shared" si="4"/>
        <v>0</v>
      </c>
      <c r="Y10" s="19">
        <f t="shared" si="5"/>
        <v>0</v>
      </c>
      <c r="Z10" s="43" t="e">
        <f t="shared" si="10"/>
        <v>#DIV/0!</v>
      </c>
      <c r="AA10" s="43" t="e">
        <f t="shared" si="11"/>
        <v>#DIV/0!</v>
      </c>
      <c r="AB10" s="19">
        <f t="shared" si="6"/>
        <v>0</v>
      </c>
      <c r="AC10" s="19">
        <f t="shared" si="7"/>
        <v>0</v>
      </c>
      <c r="AD10" s="30">
        <f t="shared" si="8"/>
        <v>0</v>
      </c>
      <c r="AE10" s="41">
        <f t="shared" si="12"/>
        <v>0</v>
      </c>
      <c r="AU10" s="119" t="e">
        <f t="shared" si="13"/>
        <v>#DIV/0!</v>
      </c>
      <c r="AV10" s="43" t="e">
        <f t="shared" si="9"/>
        <v>#DIV/0!</v>
      </c>
      <c r="AW10" s="43" t="e">
        <f t="shared" si="9"/>
        <v>#DIV/0!</v>
      </c>
      <c r="AX10" s="43" t="e">
        <f t="shared" si="9"/>
        <v>#DIV/0!</v>
      </c>
      <c r="AY10" s="43" t="e">
        <f t="shared" si="9"/>
        <v>#DIV/0!</v>
      </c>
      <c r="AZ10" s="43" t="e">
        <f t="shared" si="9"/>
        <v>#DIV/0!</v>
      </c>
      <c r="BA10" s="43" t="e">
        <f t="shared" si="9"/>
        <v>#DIV/0!</v>
      </c>
      <c r="BB10" s="43" t="e">
        <f t="shared" si="9"/>
        <v>#DIV/0!</v>
      </c>
      <c r="BC10" s="43" t="e">
        <f t="shared" si="9"/>
        <v>#DIV/0!</v>
      </c>
      <c r="BD10" s="43" t="e">
        <f t="shared" si="9"/>
        <v>#DIV/0!</v>
      </c>
      <c r="BE10" s="43" t="e">
        <f t="shared" si="9"/>
        <v>#DIV/0!</v>
      </c>
      <c r="BF10" s="43" t="e">
        <f t="shared" si="9"/>
        <v>#DIV/0!</v>
      </c>
      <c r="BG10" s="120" t="e">
        <f t="shared" si="9"/>
        <v>#DIV/0!</v>
      </c>
    </row>
    <row r="11" spans="1:59" ht="21" customHeight="1" thickBot="1">
      <c r="A11" s="14">
        <v>0.35416666666666669</v>
      </c>
      <c r="B11" s="15"/>
      <c r="C11" s="16"/>
      <c r="D11" s="17"/>
      <c r="E11" s="18"/>
      <c r="F11" s="17"/>
      <c r="G11" s="18"/>
      <c r="H11" s="15"/>
      <c r="I11" s="16"/>
      <c r="J11" s="15"/>
      <c r="K11" s="16"/>
      <c r="L11" s="17"/>
      <c r="M11" s="18"/>
      <c r="N11" s="17"/>
      <c r="O11" s="18"/>
      <c r="P11" s="15"/>
      <c r="Q11" s="16"/>
      <c r="S11" s="29">
        <f t="shared" si="0"/>
        <v>0</v>
      </c>
      <c r="T11" s="19">
        <f t="shared" si="0"/>
        <v>0</v>
      </c>
      <c r="U11" s="25" t="e">
        <f t="shared" si="1"/>
        <v>#DIV/0!</v>
      </c>
      <c r="V11" s="19">
        <f t="shared" si="2"/>
        <v>0</v>
      </c>
      <c r="W11" s="19">
        <f t="shared" si="3"/>
        <v>0</v>
      </c>
      <c r="X11" s="19">
        <f t="shared" si="4"/>
        <v>0</v>
      </c>
      <c r="Y11" s="19">
        <f t="shared" si="5"/>
        <v>0</v>
      </c>
      <c r="Z11" s="43" t="e">
        <f t="shared" si="10"/>
        <v>#DIV/0!</v>
      </c>
      <c r="AA11" s="43" t="e">
        <f t="shared" si="11"/>
        <v>#DIV/0!</v>
      </c>
      <c r="AB11" s="19">
        <f t="shared" si="6"/>
        <v>0</v>
      </c>
      <c r="AC11" s="19">
        <f t="shared" si="7"/>
        <v>0</v>
      </c>
      <c r="AD11" s="30">
        <f t="shared" si="8"/>
        <v>0</v>
      </c>
      <c r="AE11" s="41">
        <f t="shared" si="12"/>
        <v>0</v>
      </c>
      <c r="AU11" s="119" t="e">
        <f t="shared" si="13"/>
        <v>#DIV/0!</v>
      </c>
      <c r="AV11" s="43" t="e">
        <f t="shared" si="9"/>
        <v>#DIV/0!</v>
      </c>
      <c r="AW11" s="43" t="e">
        <f t="shared" si="9"/>
        <v>#DIV/0!</v>
      </c>
      <c r="AX11" s="43" t="e">
        <f t="shared" si="9"/>
        <v>#DIV/0!</v>
      </c>
      <c r="AY11" s="43" t="e">
        <f t="shared" si="9"/>
        <v>#DIV/0!</v>
      </c>
      <c r="AZ11" s="43" t="e">
        <f t="shared" si="9"/>
        <v>#DIV/0!</v>
      </c>
      <c r="BA11" s="43" t="e">
        <f t="shared" si="9"/>
        <v>#DIV/0!</v>
      </c>
      <c r="BB11" s="43" t="e">
        <f t="shared" si="9"/>
        <v>#DIV/0!</v>
      </c>
      <c r="BC11" s="43" t="e">
        <f t="shared" si="9"/>
        <v>#DIV/0!</v>
      </c>
      <c r="BD11" s="43" t="e">
        <f t="shared" si="9"/>
        <v>#DIV/0!</v>
      </c>
      <c r="BE11" s="43" t="e">
        <f t="shared" si="9"/>
        <v>#DIV/0!</v>
      </c>
      <c r="BF11" s="43" t="e">
        <f t="shared" si="9"/>
        <v>#DIV/0!</v>
      </c>
      <c r="BG11" s="120" t="e">
        <f t="shared" si="9"/>
        <v>#DIV/0!</v>
      </c>
    </row>
    <row r="12" spans="1:59" ht="21" customHeight="1" thickBot="1">
      <c r="A12" s="14">
        <v>0.36458333333333331</v>
      </c>
      <c r="B12" s="20"/>
      <c r="C12" s="21"/>
      <c r="D12" s="22"/>
      <c r="E12" s="23"/>
      <c r="F12" s="22"/>
      <c r="G12" s="23"/>
      <c r="H12" s="20"/>
      <c r="I12" s="21"/>
      <c r="J12" s="20"/>
      <c r="K12" s="21"/>
      <c r="L12" s="22"/>
      <c r="M12" s="23"/>
      <c r="N12" s="22"/>
      <c r="O12" s="23"/>
      <c r="P12" s="20"/>
      <c r="Q12" s="21"/>
      <c r="S12" s="29">
        <f t="shared" si="0"/>
        <v>0</v>
      </c>
      <c r="T12" s="19">
        <f t="shared" si="0"/>
        <v>0</v>
      </c>
      <c r="U12" s="25" t="e">
        <f>T12/(T12+S12)</f>
        <v>#DIV/0!</v>
      </c>
      <c r="V12" s="19">
        <f>B12+C12+J12+K12</f>
        <v>0</v>
      </c>
      <c r="W12" s="19">
        <f>D12+E12+L12+M12</f>
        <v>0</v>
      </c>
      <c r="X12" s="19">
        <f>F12+G12+N12+O12</f>
        <v>0</v>
      </c>
      <c r="Y12" s="19">
        <f>SUM(V12:X12)</f>
        <v>0</v>
      </c>
      <c r="Z12" s="43" t="e">
        <f t="shared" si="10"/>
        <v>#DIV/0!</v>
      </c>
      <c r="AA12" s="43" t="e">
        <f t="shared" si="11"/>
        <v>#DIV/0!</v>
      </c>
      <c r="AB12" s="19">
        <f>H12+I12+P12+Q12</f>
        <v>0</v>
      </c>
      <c r="AC12" s="19">
        <f>SUM(B12:I12)</f>
        <v>0</v>
      </c>
      <c r="AD12" s="30">
        <f>SUM(J12:Q12)</f>
        <v>0</v>
      </c>
      <c r="AE12" s="41">
        <f t="shared" si="12"/>
        <v>0</v>
      </c>
      <c r="AU12" s="119" t="e">
        <f t="shared" si="13"/>
        <v>#DIV/0!</v>
      </c>
      <c r="AV12" s="43" t="e">
        <f t="shared" si="9"/>
        <v>#DIV/0!</v>
      </c>
      <c r="AW12" s="43" t="e">
        <f t="shared" si="9"/>
        <v>#DIV/0!</v>
      </c>
      <c r="AX12" s="43" t="e">
        <f t="shared" si="9"/>
        <v>#DIV/0!</v>
      </c>
      <c r="AY12" s="43" t="e">
        <f t="shared" si="9"/>
        <v>#DIV/0!</v>
      </c>
      <c r="AZ12" s="43" t="e">
        <f t="shared" si="9"/>
        <v>#DIV/0!</v>
      </c>
      <c r="BA12" s="43" t="e">
        <f t="shared" si="9"/>
        <v>#DIV/0!</v>
      </c>
      <c r="BB12" s="43" t="e">
        <f t="shared" si="9"/>
        <v>#DIV/0!</v>
      </c>
      <c r="BC12" s="43" t="e">
        <f t="shared" si="9"/>
        <v>#DIV/0!</v>
      </c>
      <c r="BD12" s="43" t="e">
        <f t="shared" si="9"/>
        <v>#DIV/0!</v>
      </c>
      <c r="BE12" s="43" t="e">
        <f t="shared" si="9"/>
        <v>#DIV/0!</v>
      </c>
      <c r="BF12" s="43" t="e">
        <f t="shared" si="9"/>
        <v>#DIV/0!</v>
      </c>
      <c r="BG12" s="120" t="e">
        <f t="shared" si="9"/>
        <v>#DIV/0!</v>
      </c>
    </row>
    <row r="13" spans="1:59" s="97" customFormat="1" ht="21" customHeight="1" thickBot="1">
      <c r="A13" s="121"/>
      <c r="B13" s="94"/>
      <c r="C13" s="95"/>
      <c r="D13" s="96"/>
      <c r="E13" s="96"/>
      <c r="F13" s="96"/>
      <c r="G13" s="96"/>
      <c r="H13" s="94"/>
      <c r="I13" s="95"/>
      <c r="J13" s="94"/>
      <c r="K13" s="95"/>
      <c r="L13" s="96"/>
      <c r="M13" s="96"/>
      <c r="N13" s="96"/>
      <c r="O13" s="96"/>
      <c r="P13" s="94"/>
      <c r="Q13" s="95"/>
      <c r="S13" s="44"/>
      <c r="T13" s="45"/>
      <c r="U13" s="46"/>
      <c r="V13" s="45"/>
      <c r="W13" s="45"/>
      <c r="X13" s="45"/>
      <c r="Y13" s="45"/>
      <c r="Z13" s="43"/>
      <c r="AA13" s="43"/>
      <c r="AB13" s="45"/>
      <c r="AC13" s="45"/>
      <c r="AD13" s="48"/>
      <c r="AE13" s="49"/>
      <c r="AU13" s="119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120"/>
    </row>
    <row r="14" spans="1:59" ht="15.75" thickBot="1">
      <c r="A14" s="24" t="s">
        <v>13</v>
      </c>
      <c r="B14" s="35">
        <f>SUM(B5:B12)</f>
        <v>4</v>
      </c>
      <c r="C14" s="35">
        <f t="shared" ref="C14:Q14" si="14">SUM(C5:C12)</f>
        <v>0</v>
      </c>
      <c r="D14" s="35">
        <f t="shared" si="14"/>
        <v>3</v>
      </c>
      <c r="E14" s="35">
        <f t="shared" si="14"/>
        <v>0</v>
      </c>
      <c r="F14" s="35">
        <f t="shared" si="14"/>
        <v>0</v>
      </c>
      <c r="G14" s="35">
        <f t="shared" si="14"/>
        <v>0</v>
      </c>
      <c r="H14" s="35">
        <f t="shared" si="14"/>
        <v>0</v>
      </c>
      <c r="I14" s="35">
        <f t="shared" si="14"/>
        <v>0</v>
      </c>
      <c r="J14" s="35">
        <f t="shared" si="14"/>
        <v>5</v>
      </c>
      <c r="K14" s="35">
        <f t="shared" si="14"/>
        <v>0</v>
      </c>
      <c r="L14" s="35">
        <f t="shared" si="14"/>
        <v>0</v>
      </c>
      <c r="M14" s="35">
        <f t="shared" si="14"/>
        <v>0</v>
      </c>
      <c r="N14" s="35">
        <f t="shared" si="14"/>
        <v>0</v>
      </c>
      <c r="O14" s="35">
        <f t="shared" si="14"/>
        <v>0</v>
      </c>
      <c r="P14" s="35">
        <f t="shared" si="14"/>
        <v>0</v>
      </c>
      <c r="Q14" s="35">
        <f t="shared" si="14"/>
        <v>0</v>
      </c>
      <c r="S14" s="31">
        <f t="shared" si="0"/>
        <v>12</v>
      </c>
      <c r="T14" s="32">
        <f t="shared" si="0"/>
        <v>0</v>
      </c>
      <c r="U14" s="33">
        <f>T14/(T14+S14)</f>
        <v>0</v>
      </c>
      <c r="V14" s="32">
        <f>B14+C14+J14+K14</f>
        <v>9</v>
      </c>
      <c r="W14" s="32">
        <f>D14+E14+L14+M14</f>
        <v>3</v>
      </c>
      <c r="X14" s="32">
        <f>F14+G14+N14+O14</f>
        <v>0</v>
      </c>
      <c r="Y14" s="32">
        <f>SUM(V14:X14)</f>
        <v>12</v>
      </c>
      <c r="Z14" s="43">
        <f t="shared" si="10"/>
        <v>0.25</v>
      </c>
      <c r="AA14" s="43">
        <f t="shared" si="11"/>
        <v>0</v>
      </c>
      <c r="AB14" s="32">
        <f>H14+I14+P14+Q14</f>
        <v>0</v>
      </c>
      <c r="AC14" s="32">
        <f>SUM(B14:I14)</f>
        <v>7</v>
      </c>
      <c r="AD14" s="34">
        <f>SUM(J14:Q14)</f>
        <v>5</v>
      </c>
      <c r="AE14" s="42">
        <f t="shared" si="12"/>
        <v>12</v>
      </c>
      <c r="AU14" s="119" t="e">
        <f t="shared" si="13"/>
        <v>#DIV/0!</v>
      </c>
      <c r="AV14" s="43" t="e">
        <f t="shared" si="9"/>
        <v>#DIV/0!</v>
      </c>
      <c r="AW14" s="43" t="e">
        <f t="shared" si="9"/>
        <v>#DIV/0!</v>
      </c>
      <c r="AX14" s="43" t="e">
        <f t="shared" si="9"/>
        <v>#DIV/0!</v>
      </c>
      <c r="AY14" s="43" t="e">
        <f t="shared" si="9"/>
        <v>#DIV/0!</v>
      </c>
      <c r="AZ14" s="43" t="e">
        <f t="shared" si="9"/>
        <v>#DIV/0!</v>
      </c>
      <c r="BA14" s="43" t="e">
        <f t="shared" si="9"/>
        <v>#DIV/0!</v>
      </c>
      <c r="BB14" s="43" t="e">
        <f t="shared" si="9"/>
        <v>#DIV/0!</v>
      </c>
      <c r="BC14" s="43" t="e">
        <f t="shared" si="9"/>
        <v>#DIV/0!</v>
      </c>
      <c r="BD14" s="43" t="e">
        <f t="shared" si="9"/>
        <v>#DIV/0!</v>
      </c>
      <c r="BE14" s="43" t="e">
        <f t="shared" si="9"/>
        <v>#DIV/0!</v>
      </c>
      <c r="BF14" s="43" t="e">
        <f t="shared" si="9"/>
        <v>#DIV/0!</v>
      </c>
      <c r="BG14" s="120" t="e">
        <f t="shared" si="9"/>
        <v>#DIV/0!</v>
      </c>
    </row>
    <row r="15" spans="1:59" ht="15.75" thickBot="1">
      <c r="A15" s="24" t="s">
        <v>31</v>
      </c>
      <c r="B15" s="24">
        <f>SUM(B7:B10)</f>
        <v>1</v>
      </c>
      <c r="C15" s="24">
        <f t="shared" ref="C15:Q15" si="15">SUM(C7:C10)</f>
        <v>0</v>
      </c>
      <c r="D15" s="24">
        <f t="shared" si="15"/>
        <v>1</v>
      </c>
      <c r="E15" s="24">
        <f t="shared" si="15"/>
        <v>0</v>
      </c>
      <c r="F15" s="24">
        <f t="shared" si="15"/>
        <v>0</v>
      </c>
      <c r="G15" s="24">
        <f t="shared" si="15"/>
        <v>0</v>
      </c>
      <c r="H15" s="24">
        <f t="shared" si="15"/>
        <v>0</v>
      </c>
      <c r="I15" s="24">
        <f t="shared" si="15"/>
        <v>0</v>
      </c>
      <c r="J15" s="24">
        <f t="shared" si="15"/>
        <v>5</v>
      </c>
      <c r="K15" s="24">
        <f t="shared" si="15"/>
        <v>0</v>
      </c>
      <c r="L15" s="24">
        <f t="shared" si="15"/>
        <v>0</v>
      </c>
      <c r="M15" s="24">
        <f t="shared" si="15"/>
        <v>0</v>
      </c>
      <c r="N15" s="24">
        <f t="shared" si="15"/>
        <v>0</v>
      </c>
      <c r="O15" s="24">
        <f t="shared" si="15"/>
        <v>0</v>
      </c>
      <c r="P15" s="24">
        <f t="shared" si="15"/>
        <v>0</v>
      </c>
      <c r="Q15" s="24">
        <f t="shared" si="15"/>
        <v>0</v>
      </c>
      <c r="S15" s="50">
        <f t="shared" si="0"/>
        <v>7</v>
      </c>
      <c r="T15" s="35">
        <f t="shared" si="0"/>
        <v>0</v>
      </c>
      <c r="U15" s="51">
        <f>T15/(T15+S15)</f>
        <v>0</v>
      </c>
      <c r="V15" s="35">
        <f>B15+C15+J15+K15</f>
        <v>6</v>
      </c>
      <c r="W15" s="35">
        <f>D15+E15+L15+M15</f>
        <v>1</v>
      </c>
      <c r="X15" s="35">
        <f>F15+G15+N15+O15</f>
        <v>0</v>
      </c>
      <c r="Y15" s="35">
        <f>SUM(V15:X15)</f>
        <v>7</v>
      </c>
      <c r="Z15" s="52">
        <f t="shared" si="10"/>
        <v>0.14285714285714285</v>
      </c>
      <c r="AA15" s="52">
        <f t="shared" si="11"/>
        <v>0</v>
      </c>
      <c r="AB15" s="35">
        <f>H15+I15+P15+Q15</f>
        <v>0</v>
      </c>
      <c r="AC15" s="35">
        <f>SUM(B15:I15)</f>
        <v>2</v>
      </c>
      <c r="AD15" s="36">
        <f>SUM(J15:Q15)</f>
        <v>5</v>
      </c>
      <c r="AE15" s="53">
        <f t="shared" si="12"/>
        <v>7</v>
      </c>
      <c r="AU15" s="56" t="e">
        <f t="shared" si="13"/>
        <v>#DIV/0!</v>
      </c>
      <c r="AV15" s="57" t="e">
        <f t="shared" si="9"/>
        <v>#DIV/0!</v>
      </c>
      <c r="AW15" s="57" t="e">
        <f t="shared" si="9"/>
        <v>#DIV/0!</v>
      </c>
      <c r="AX15" s="57" t="e">
        <f t="shared" si="9"/>
        <v>#DIV/0!</v>
      </c>
      <c r="AY15" s="57" t="e">
        <f t="shared" si="9"/>
        <v>#DIV/0!</v>
      </c>
      <c r="AZ15" s="57" t="e">
        <f t="shared" si="9"/>
        <v>#DIV/0!</v>
      </c>
      <c r="BA15" s="57" t="e">
        <f t="shared" si="9"/>
        <v>#DIV/0!</v>
      </c>
      <c r="BB15" s="57" t="e">
        <f t="shared" si="9"/>
        <v>#DIV/0!</v>
      </c>
      <c r="BC15" s="57" t="e">
        <f t="shared" si="9"/>
        <v>#DIV/0!</v>
      </c>
      <c r="BD15" s="57" t="e">
        <f t="shared" si="9"/>
        <v>#DIV/0!</v>
      </c>
      <c r="BE15" s="57" t="e">
        <f t="shared" si="9"/>
        <v>#DIV/0!</v>
      </c>
      <c r="BF15" s="57" t="e">
        <f t="shared" si="9"/>
        <v>#DIV/0!</v>
      </c>
      <c r="BG15" s="58" t="e">
        <f t="shared" si="9"/>
        <v>#DIV/0!</v>
      </c>
    </row>
    <row r="17" spans="1:17">
      <c r="A17" t="s">
        <v>29</v>
      </c>
      <c r="B17">
        <f>SUM(B5:B8)</f>
        <v>4</v>
      </c>
      <c r="C17">
        <f t="shared" ref="C17:Q17" si="16">SUM(C5:C8)</f>
        <v>0</v>
      </c>
      <c r="D17">
        <f t="shared" si="16"/>
        <v>3</v>
      </c>
      <c r="E17">
        <f t="shared" si="16"/>
        <v>0</v>
      </c>
      <c r="F17">
        <f t="shared" si="16"/>
        <v>0</v>
      </c>
      <c r="G17">
        <f t="shared" si="16"/>
        <v>0</v>
      </c>
      <c r="H17">
        <f t="shared" si="16"/>
        <v>0</v>
      </c>
      <c r="I17">
        <f t="shared" si="16"/>
        <v>0</v>
      </c>
      <c r="J17">
        <f t="shared" si="16"/>
        <v>5</v>
      </c>
      <c r="K17">
        <f t="shared" si="16"/>
        <v>0</v>
      </c>
      <c r="L17">
        <f t="shared" si="16"/>
        <v>0</v>
      </c>
      <c r="M17">
        <f t="shared" si="16"/>
        <v>0</v>
      </c>
      <c r="N17">
        <f t="shared" si="16"/>
        <v>0</v>
      </c>
      <c r="O17">
        <f t="shared" si="16"/>
        <v>0</v>
      </c>
      <c r="P17">
        <f t="shared" si="16"/>
        <v>0</v>
      </c>
      <c r="Q17">
        <f t="shared" si="16"/>
        <v>0</v>
      </c>
    </row>
    <row r="18" spans="1:17">
      <c r="A18" t="s">
        <v>30</v>
      </c>
      <c r="B18">
        <f>SUM(B9:B12)</f>
        <v>0</v>
      </c>
      <c r="C18">
        <f t="shared" ref="C18:Q18" si="17">SUM(C9:C12)</f>
        <v>0</v>
      </c>
      <c r="D18">
        <f t="shared" si="17"/>
        <v>0</v>
      </c>
      <c r="E18">
        <f t="shared" si="17"/>
        <v>0</v>
      </c>
      <c r="F18">
        <f t="shared" si="17"/>
        <v>0</v>
      </c>
      <c r="G18">
        <f t="shared" si="17"/>
        <v>0</v>
      </c>
      <c r="H18">
        <f t="shared" si="17"/>
        <v>0</v>
      </c>
      <c r="I18">
        <f t="shared" si="17"/>
        <v>0</v>
      </c>
      <c r="J18">
        <f t="shared" si="17"/>
        <v>0</v>
      </c>
      <c r="K18">
        <f t="shared" si="17"/>
        <v>0</v>
      </c>
      <c r="L18">
        <f t="shared" si="17"/>
        <v>0</v>
      </c>
      <c r="M18">
        <f t="shared" si="17"/>
        <v>0</v>
      </c>
      <c r="N18">
        <f t="shared" si="17"/>
        <v>0</v>
      </c>
      <c r="O18">
        <f t="shared" si="17"/>
        <v>0</v>
      </c>
      <c r="P18">
        <f t="shared" si="17"/>
        <v>0</v>
      </c>
      <c r="Q18">
        <f t="shared" si="17"/>
        <v>0</v>
      </c>
    </row>
  </sheetData>
  <mergeCells count="13">
    <mergeCell ref="AG2:AR2"/>
    <mergeCell ref="AU2:BF2"/>
    <mergeCell ref="P3:Q3"/>
    <mergeCell ref="B2:I2"/>
    <mergeCell ref="J2:Q2"/>
    <mergeCell ref="S2:AD2"/>
    <mergeCell ref="B3:C3"/>
    <mergeCell ref="D3:E3"/>
    <mergeCell ref="F3:G3"/>
    <mergeCell ref="H3:I3"/>
    <mergeCell ref="J3:K3"/>
    <mergeCell ref="L3:M3"/>
    <mergeCell ref="N3:O3"/>
  </mergeCells>
  <conditionalFormatting sqref="AU5:BG15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1"/>
  <sheetViews>
    <sheetView workbookViewId="0">
      <selection activeCell="B13" sqref="B13:Q13"/>
    </sheetView>
  </sheetViews>
  <sheetFormatPr baseColWidth="10" defaultColWidth="9.140625" defaultRowHeight="15"/>
  <cols>
    <col min="1" max="1" width="10.28515625" customWidth="1"/>
    <col min="2" max="17" width="5" customWidth="1"/>
    <col min="47" max="59" width="8.85546875" style="97"/>
  </cols>
  <sheetData>
    <row r="1" spans="1:59" ht="30.6" customHeight="1" thickBot="1">
      <c r="B1" s="11" t="s">
        <v>11</v>
      </c>
      <c r="C1" s="12" t="s">
        <v>33</v>
      </c>
    </row>
    <row r="2" spans="1:59" s="10" customFormat="1" ht="21.75" thickBot="1">
      <c r="A2" s="9"/>
      <c r="B2" s="141" t="s">
        <v>5</v>
      </c>
      <c r="C2" s="143"/>
      <c r="D2" s="143"/>
      <c r="E2" s="143"/>
      <c r="F2" s="143"/>
      <c r="G2" s="143"/>
      <c r="H2" s="143"/>
      <c r="I2" s="144"/>
      <c r="J2" s="141" t="s">
        <v>6</v>
      </c>
      <c r="K2" s="143"/>
      <c r="L2" s="143"/>
      <c r="M2" s="143"/>
      <c r="N2" s="143"/>
      <c r="O2" s="143"/>
      <c r="P2" s="143"/>
      <c r="Q2" s="144"/>
      <c r="R2" s="97"/>
      <c r="S2" s="138" t="str">
        <f xml:space="preserve"> "Totaux 2021 " &amp; $C1</f>
        <v>Totaux 2021 Mategnin Total</v>
      </c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G2" s="138" t="str">
        <f xml:space="preserve"> "Totaux 2020 " &amp; $C1</f>
        <v>Totaux 2020 Mategnin Total</v>
      </c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U2" s="139" t="str">
        <f xml:space="preserve"> "Changement depuis 2020 " &amp; $C1</f>
        <v>Changement depuis 2020 Mategnin Total</v>
      </c>
      <c r="AV2" s="140"/>
      <c r="AW2" s="140"/>
      <c r="AX2" s="140"/>
      <c r="AY2" s="140"/>
      <c r="AZ2" s="140"/>
      <c r="BA2" s="140"/>
      <c r="BB2" s="140"/>
      <c r="BC2" s="140"/>
      <c r="BD2" s="140"/>
      <c r="BE2" s="140"/>
      <c r="BF2" s="140"/>
      <c r="BG2" s="115"/>
    </row>
    <row r="3" spans="1:59" s="10" customFormat="1" ht="68.45" customHeight="1">
      <c r="A3" s="9"/>
      <c r="B3" s="141" t="s">
        <v>9</v>
      </c>
      <c r="C3" s="144"/>
      <c r="D3" s="145" t="s">
        <v>7</v>
      </c>
      <c r="E3" s="142"/>
      <c r="F3" s="145" t="s">
        <v>8</v>
      </c>
      <c r="G3" s="142"/>
      <c r="H3" s="141" t="s">
        <v>0</v>
      </c>
      <c r="I3" s="142"/>
      <c r="J3" s="141" t="s">
        <v>4</v>
      </c>
      <c r="K3" s="144"/>
      <c r="L3" s="145" t="s">
        <v>7</v>
      </c>
      <c r="M3" s="142"/>
      <c r="N3" s="145" t="s">
        <v>10</v>
      </c>
      <c r="O3" s="142"/>
      <c r="P3" s="141" t="s">
        <v>0</v>
      </c>
      <c r="Q3" s="142"/>
      <c r="R3"/>
      <c r="S3" s="26" t="s">
        <v>20</v>
      </c>
      <c r="T3" s="27" t="s">
        <v>14</v>
      </c>
      <c r="U3" s="27" t="s">
        <v>15</v>
      </c>
      <c r="V3" s="27" t="s">
        <v>16</v>
      </c>
      <c r="W3" s="27" t="s">
        <v>7</v>
      </c>
      <c r="X3" s="27" t="s">
        <v>17</v>
      </c>
      <c r="Y3" s="27" t="s">
        <v>25</v>
      </c>
      <c r="Z3" s="27" t="s">
        <v>27</v>
      </c>
      <c r="AA3" s="27" t="s">
        <v>28</v>
      </c>
      <c r="AB3" s="27" t="s">
        <v>19</v>
      </c>
      <c r="AC3" s="27" t="s">
        <v>21</v>
      </c>
      <c r="AD3" s="28" t="s">
        <v>22</v>
      </c>
      <c r="AE3" s="40" t="s">
        <v>26</v>
      </c>
      <c r="AG3" s="10" t="s">
        <v>20</v>
      </c>
      <c r="AH3" s="10" t="s">
        <v>14</v>
      </c>
      <c r="AI3" s="10" t="s">
        <v>15</v>
      </c>
      <c r="AJ3" s="10" t="s">
        <v>16</v>
      </c>
      <c r="AK3" s="10" t="s">
        <v>7</v>
      </c>
      <c r="AL3" s="10" t="s">
        <v>17</v>
      </c>
      <c r="AM3" s="10" t="s">
        <v>25</v>
      </c>
      <c r="AN3" s="10" t="s">
        <v>27</v>
      </c>
      <c r="AO3" s="10" t="s">
        <v>28</v>
      </c>
      <c r="AP3" s="10" t="s">
        <v>19</v>
      </c>
      <c r="AQ3" s="10" t="s">
        <v>21</v>
      </c>
      <c r="AR3" s="10" t="s">
        <v>22</v>
      </c>
      <c r="AS3" s="10" t="s">
        <v>26</v>
      </c>
      <c r="AU3" s="117" t="s">
        <v>20</v>
      </c>
      <c r="AV3" s="116" t="s">
        <v>14</v>
      </c>
      <c r="AW3" s="116" t="s">
        <v>15</v>
      </c>
      <c r="AX3" s="116" t="s">
        <v>16</v>
      </c>
      <c r="AY3" s="116" t="s">
        <v>7</v>
      </c>
      <c r="AZ3" s="116" t="s">
        <v>17</v>
      </c>
      <c r="BA3" s="116" t="s">
        <v>25</v>
      </c>
      <c r="BB3" s="116" t="s">
        <v>27</v>
      </c>
      <c r="BC3" s="116" t="s">
        <v>28</v>
      </c>
      <c r="BD3" s="116" t="s">
        <v>19</v>
      </c>
      <c r="BE3" s="116" t="s">
        <v>21</v>
      </c>
      <c r="BF3" s="116" t="s">
        <v>22</v>
      </c>
      <c r="BG3" s="118" t="s">
        <v>26</v>
      </c>
    </row>
    <row r="4" spans="1:59" ht="21" thickBot="1">
      <c r="A4" s="1" t="s">
        <v>3</v>
      </c>
      <c r="B4" s="2" t="s">
        <v>1</v>
      </c>
      <c r="C4" s="4" t="s">
        <v>2</v>
      </c>
      <c r="D4" s="2" t="s">
        <v>1</v>
      </c>
      <c r="E4" s="4" t="s">
        <v>2</v>
      </c>
      <c r="F4" s="2" t="s">
        <v>1</v>
      </c>
      <c r="G4" s="4" t="s">
        <v>2</v>
      </c>
      <c r="H4" s="2" t="s">
        <v>1</v>
      </c>
      <c r="I4" s="3" t="s">
        <v>2</v>
      </c>
      <c r="J4" s="2" t="s">
        <v>1</v>
      </c>
      <c r="K4" s="4" t="s">
        <v>2</v>
      </c>
      <c r="L4" s="2" t="s">
        <v>1</v>
      </c>
      <c r="M4" s="4" t="s">
        <v>2</v>
      </c>
      <c r="N4" s="2" t="s">
        <v>1</v>
      </c>
      <c r="O4" s="4" t="s">
        <v>2</v>
      </c>
      <c r="P4" s="2" t="s">
        <v>1</v>
      </c>
      <c r="Q4" s="3" t="s">
        <v>2</v>
      </c>
      <c r="S4" s="29"/>
      <c r="T4" s="19"/>
      <c r="U4" s="25"/>
      <c r="V4" s="19"/>
      <c r="W4" s="19"/>
      <c r="X4" s="19"/>
      <c r="Y4" s="19"/>
      <c r="Z4" s="19"/>
      <c r="AA4" s="19"/>
      <c r="AB4" s="19"/>
      <c r="AC4" s="19"/>
      <c r="AD4" s="30"/>
      <c r="AE4" s="41"/>
      <c r="AU4" s="2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30"/>
    </row>
    <row r="5" spans="1:59" ht="21" customHeight="1" thickBot="1">
      <c r="A5" s="13">
        <v>0.29166666666666669</v>
      </c>
      <c r="B5" s="15">
        <f>MategninAnneaux!B5+MategninDouane!B5</f>
        <v>5</v>
      </c>
      <c r="C5" s="15">
        <f>MategninAnneaux!C5+MategninDouane!C5</f>
        <v>4</v>
      </c>
      <c r="D5" s="15">
        <f>MategninAnneaux!D5+MategninDouane!D5</f>
        <v>4</v>
      </c>
      <c r="E5" s="15">
        <f>MategninAnneaux!E5+MategninDouane!E5</f>
        <v>5</v>
      </c>
      <c r="F5" s="15">
        <f>MategninAnneaux!F5+MategninDouane!F5</f>
        <v>3</v>
      </c>
      <c r="G5" s="15">
        <f>MategninAnneaux!G5+MategninDouane!G5</f>
        <v>0</v>
      </c>
      <c r="H5" s="15">
        <f>MategninAnneaux!H5+MategninDouane!H5</f>
        <v>2</v>
      </c>
      <c r="I5" s="15">
        <f>MategninAnneaux!I5+MategninDouane!I5</f>
        <v>0</v>
      </c>
      <c r="J5" s="15">
        <f>MategninAnneaux!J5+MategninDouane!J5</f>
        <v>2</v>
      </c>
      <c r="K5" s="15">
        <f>MategninAnneaux!K5+MategninDouane!K5</f>
        <v>1</v>
      </c>
      <c r="L5" s="15">
        <f>MategninAnneaux!L5+MategninDouane!L5</f>
        <v>0</v>
      </c>
      <c r="M5" s="15">
        <f>MategninAnneaux!M5+MategninDouane!M5</f>
        <v>0</v>
      </c>
      <c r="N5" s="15">
        <f>MategninAnneaux!N5+MategninDouane!N5</f>
        <v>0</v>
      </c>
      <c r="O5" s="15">
        <f>MategninAnneaux!O5+MategninDouane!O5</f>
        <v>0</v>
      </c>
      <c r="P5" s="15">
        <f>MategninAnneaux!P5+MategninDouane!P5</f>
        <v>0</v>
      </c>
      <c r="Q5" s="15">
        <f>MategninAnneaux!Q5+MategninDouane!Q5</f>
        <v>0</v>
      </c>
      <c r="S5" s="29">
        <f t="shared" ref="S5:T11" si="0">B5+D5+F5+H5+J5+L5+N5+P5</f>
        <v>16</v>
      </c>
      <c r="T5" s="19">
        <f t="shared" si="0"/>
        <v>10</v>
      </c>
      <c r="U5" s="25">
        <f t="shared" ref="U5:U11" si="1">T5/(T5+S5)</f>
        <v>0.38461538461538464</v>
      </c>
      <c r="V5" s="19">
        <f t="shared" ref="V5:V11" si="2">B5+C5+J5+K5</f>
        <v>12</v>
      </c>
      <c r="W5" s="19">
        <f t="shared" ref="W5:W11" si="3">D5+E5+L5+M5</f>
        <v>9</v>
      </c>
      <c r="X5" s="19">
        <f t="shared" ref="X5:X11" si="4">F5+G5+N5+O5</f>
        <v>3</v>
      </c>
      <c r="Y5" s="19">
        <f t="shared" ref="Y5:Y11" si="5">SUM(V5:X5)</f>
        <v>24</v>
      </c>
      <c r="Z5" s="43">
        <f>W5/Y5</f>
        <v>0.375</v>
      </c>
      <c r="AA5" s="43">
        <f>X5/Y5</f>
        <v>0.125</v>
      </c>
      <c r="AB5" s="19">
        <f t="shared" ref="AB5:AB11" si="6">H5+I5+P5+Q5</f>
        <v>2</v>
      </c>
      <c r="AC5" s="19">
        <f t="shared" ref="AC5:AC11" si="7">SUM(B5:I5)</f>
        <v>23</v>
      </c>
      <c r="AD5" s="30">
        <f t="shared" ref="AD5:AD11" si="8">SUM(J5:Q5)</f>
        <v>3</v>
      </c>
      <c r="AE5" s="41">
        <f>SUM(B5:Q5)</f>
        <v>26</v>
      </c>
      <c r="AG5">
        <v>15</v>
      </c>
      <c r="AH5">
        <v>7</v>
      </c>
      <c r="AI5">
        <v>0.31818181818181818</v>
      </c>
      <c r="AJ5">
        <v>8</v>
      </c>
      <c r="AK5">
        <v>8</v>
      </c>
      <c r="AL5">
        <v>1</v>
      </c>
      <c r="AM5">
        <v>17</v>
      </c>
      <c r="AN5">
        <v>0.47058823529411764</v>
      </c>
      <c r="AO5">
        <v>5.8823529411764705E-2</v>
      </c>
      <c r="AP5">
        <v>5</v>
      </c>
      <c r="AQ5">
        <v>19</v>
      </c>
      <c r="AR5">
        <v>3</v>
      </c>
      <c r="AS5">
        <v>22</v>
      </c>
      <c r="AU5" s="119">
        <f>(S5/AG5) - 1</f>
        <v>6.6666666666666652E-2</v>
      </c>
      <c r="AV5" s="43">
        <f t="shared" ref="AV5:BG15" si="9">(T5/AH5) - 1</f>
        <v>0.4285714285714286</v>
      </c>
      <c r="AW5" s="43">
        <f t="shared" si="9"/>
        <v>0.20879120879120894</v>
      </c>
      <c r="AX5" s="43">
        <f t="shared" si="9"/>
        <v>0.5</v>
      </c>
      <c r="AY5" s="43">
        <f t="shared" si="9"/>
        <v>0.125</v>
      </c>
      <c r="AZ5" s="43">
        <f t="shared" si="9"/>
        <v>2</v>
      </c>
      <c r="BA5" s="43">
        <f t="shared" si="9"/>
        <v>0.41176470588235303</v>
      </c>
      <c r="BB5" s="43">
        <f t="shared" si="9"/>
        <v>-0.203125</v>
      </c>
      <c r="BC5" s="43">
        <f t="shared" si="9"/>
        <v>1.125</v>
      </c>
      <c r="BD5" s="43">
        <f t="shared" si="9"/>
        <v>-0.6</v>
      </c>
      <c r="BE5" s="43">
        <f t="shared" si="9"/>
        <v>0.21052631578947367</v>
      </c>
      <c r="BF5" s="43">
        <f t="shared" si="9"/>
        <v>0</v>
      </c>
      <c r="BG5" s="120">
        <f t="shared" si="9"/>
        <v>0.18181818181818188</v>
      </c>
    </row>
    <row r="6" spans="1:59" ht="21" customHeight="1" thickBot="1">
      <c r="A6" s="14">
        <v>0.30208333333333331</v>
      </c>
      <c r="B6" s="15">
        <f>MategninAnneaux!B6+MategninDouane!B6</f>
        <v>10</v>
      </c>
      <c r="C6" s="15">
        <f>MategninAnneaux!C6+MategninDouane!C6</f>
        <v>0</v>
      </c>
      <c r="D6" s="15">
        <f>MategninAnneaux!D6+MategninDouane!D6</f>
        <v>5</v>
      </c>
      <c r="E6" s="15">
        <f>MategninAnneaux!E6+MategninDouane!E6</f>
        <v>3</v>
      </c>
      <c r="F6" s="15">
        <f>MategninAnneaux!F6+MategninDouane!F6</f>
        <v>1</v>
      </c>
      <c r="G6" s="15">
        <f>MategninAnneaux!G6+MategninDouane!G6</f>
        <v>0</v>
      </c>
      <c r="H6" s="15">
        <f>MategninAnneaux!H6+MategninDouane!H6</f>
        <v>2</v>
      </c>
      <c r="I6" s="15">
        <f>MategninAnneaux!I6+MategninDouane!I6</f>
        <v>0</v>
      </c>
      <c r="J6" s="15">
        <f>MategninAnneaux!J6+MategninDouane!J6</f>
        <v>2</v>
      </c>
      <c r="K6" s="15">
        <f>MategninAnneaux!K6+MategninDouane!K6</f>
        <v>0</v>
      </c>
      <c r="L6" s="15">
        <f>MategninAnneaux!L6+MategninDouane!L6</f>
        <v>0</v>
      </c>
      <c r="M6" s="15">
        <f>MategninAnneaux!M6+MategninDouane!M6</f>
        <v>0</v>
      </c>
      <c r="N6" s="15">
        <f>MategninAnneaux!N6+MategninDouane!N6</f>
        <v>0</v>
      </c>
      <c r="O6" s="15">
        <f>MategninAnneaux!O6+MategninDouane!O6</f>
        <v>0</v>
      </c>
      <c r="P6" s="15">
        <f>MategninAnneaux!P6+MategninDouane!P6</f>
        <v>1</v>
      </c>
      <c r="Q6" s="15">
        <f>MategninAnneaux!Q6+MategninDouane!Q6</f>
        <v>0</v>
      </c>
      <c r="S6" s="29">
        <f t="shared" si="0"/>
        <v>21</v>
      </c>
      <c r="T6" s="19">
        <f t="shared" si="0"/>
        <v>3</v>
      </c>
      <c r="U6" s="25">
        <f t="shared" si="1"/>
        <v>0.125</v>
      </c>
      <c r="V6" s="19">
        <f t="shared" si="2"/>
        <v>12</v>
      </c>
      <c r="W6" s="19">
        <f t="shared" si="3"/>
        <v>8</v>
      </c>
      <c r="X6" s="19">
        <f t="shared" si="4"/>
        <v>1</v>
      </c>
      <c r="Y6" s="19">
        <f t="shared" si="5"/>
        <v>21</v>
      </c>
      <c r="Z6" s="43">
        <f t="shared" ref="Z6:Z15" si="10">W6/Y6</f>
        <v>0.38095238095238093</v>
      </c>
      <c r="AA6" s="43">
        <f t="shared" ref="AA6:AA15" si="11">X6/Y6</f>
        <v>4.7619047619047616E-2</v>
      </c>
      <c r="AB6" s="19">
        <f t="shared" si="6"/>
        <v>3</v>
      </c>
      <c r="AC6" s="19">
        <f t="shared" si="7"/>
        <v>21</v>
      </c>
      <c r="AD6" s="30">
        <f t="shared" si="8"/>
        <v>3</v>
      </c>
      <c r="AE6" s="41">
        <f t="shared" ref="AE6:AE15" si="12">SUM(B6:Q6)</f>
        <v>24</v>
      </c>
      <c r="AG6">
        <v>20</v>
      </c>
      <c r="AH6">
        <v>17</v>
      </c>
      <c r="AI6">
        <v>0.45945945945945948</v>
      </c>
      <c r="AJ6">
        <v>26</v>
      </c>
      <c r="AK6">
        <v>4</v>
      </c>
      <c r="AL6">
        <v>2</v>
      </c>
      <c r="AM6">
        <v>32</v>
      </c>
      <c r="AN6">
        <v>0.125</v>
      </c>
      <c r="AO6">
        <v>6.25E-2</v>
      </c>
      <c r="AP6">
        <v>5</v>
      </c>
      <c r="AQ6">
        <v>31</v>
      </c>
      <c r="AR6">
        <v>6</v>
      </c>
      <c r="AS6">
        <v>37</v>
      </c>
      <c r="AU6" s="119">
        <f t="shared" ref="AU6:AU15" si="13">(S6/AG6) - 1</f>
        <v>5.0000000000000044E-2</v>
      </c>
      <c r="AV6" s="43">
        <f t="shared" si="9"/>
        <v>-0.82352941176470584</v>
      </c>
      <c r="AW6" s="43">
        <f t="shared" si="9"/>
        <v>-0.72794117647058831</v>
      </c>
      <c r="AX6" s="43">
        <f t="shared" si="9"/>
        <v>-0.53846153846153844</v>
      </c>
      <c r="AY6" s="43">
        <f t="shared" si="9"/>
        <v>1</v>
      </c>
      <c r="AZ6" s="43">
        <f t="shared" si="9"/>
        <v>-0.5</v>
      </c>
      <c r="BA6" s="43">
        <f t="shared" si="9"/>
        <v>-0.34375</v>
      </c>
      <c r="BB6" s="43">
        <f t="shared" si="9"/>
        <v>2.0476190476190474</v>
      </c>
      <c r="BC6" s="43">
        <f t="shared" si="9"/>
        <v>-0.23809523809523814</v>
      </c>
      <c r="BD6" s="43">
        <f t="shared" si="9"/>
        <v>-0.4</v>
      </c>
      <c r="BE6" s="43">
        <f t="shared" si="9"/>
        <v>-0.32258064516129037</v>
      </c>
      <c r="BF6" s="43">
        <f t="shared" si="9"/>
        <v>-0.5</v>
      </c>
      <c r="BG6" s="120">
        <f t="shared" si="9"/>
        <v>-0.35135135135135132</v>
      </c>
    </row>
    <row r="7" spans="1:59" ht="21" customHeight="1" thickBot="1">
      <c r="A7" s="14">
        <v>0.3125</v>
      </c>
      <c r="B7" s="15">
        <f>MategninAnneaux!B7+MategninDouane!B7</f>
        <v>5</v>
      </c>
      <c r="C7" s="15">
        <f>MategninAnneaux!C7+MategninDouane!C7</f>
        <v>5</v>
      </c>
      <c r="D7" s="15">
        <f>MategninAnneaux!D7+MategninDouane!D7</f>
        <v>7</v>
      </c>
      <c r="E7" s="15">
        <f>MategninAnneaux!E7+MategninDouane!E7</f>
        <v>3</v>
      </c>
      <c r="F7" s="15">
        <f>MategninAnneaux!F7+MategninDouane!F7</f>
        <v>0</v>
      </c>
      <c r="G7" s="15">
        <f>MategninAnneaux!G7+MategninDouane!G7</f>
        <v>0</v>
      </c>
      <c r="H7" s="15">
        <f>MategninAnneaux!H7+MategninDouane!H7</f>
        <v>2</v>
      </c>
      <c r="I7" s="15">
        <f>MategninAnneaux!I7+MategninDouane!I7</f>
        <v>1</v>
      </c>
      <c r="J7" s="15">
        <f>MategninAnneaux!J7+MategninDouane!J7</f>
        <v>2</v>
      </c>
      <c r="K7" s="15">
        <f>MategninAnneaux!K7+MategninDouane!K7</f>
        <v>0</v>
      </c>
      <c r="L7" s="15">
        <f>MategninAnneaux!L7+MategninDouane!L7</f>
        <v>1</v>
      </c>
      <c r="M7" s="15">
        <f>MategninAnneaux!M7+MategninDouane!M7</f>
        <v>0</v>
      </c>
      <c r="N7" s="15">
        <f>MategninAnneaux!N7+MategninDouane!N7</f>
        <v>0</v>
      </c>
      <c r="O7" s="15">
        <f>MategninAnneaux!O7+MategninDouane!O7</f>
        <v>0</v>
      </c>
      <c r="P7" s="15">
        <f>MategninAnneaux!P7+MategninDouane!P7</f>
        <v>1</v>
      </c>
      <c r="Q7" s="15">
        <f>MategninAnneaux!Q7+MategninDouane!Q7</f>
        <v>0</v>
      </c>
      <c r="S7" s="29">
        <f t="shared" si="0"/>
        <v>18</v>
      </c>
      <c r="T7" s="19">
        <f t="shared" si="0"/>
        <v>9</v>
      </c>
      <c r="U7" s="25">
        <f t="shared" si="1"/>
        <v>0.33333333333333331</v>
      </c>
      <c r="V7" s="19">
        <f t="shared" si="2"/>
        <v>12</v>
      </c>
      <c r="W7" s="19">
        <f t="shared" si="3"/>
        <v>11</v>
      </c>
      <c r="X7" s="19">
        <f t="shared" si="4"/>
        <v>0</v>
      </c>
      <c r="Y7" s="19">
        <f t="shared" si="5"/>
        <v>23</v>
      </c>
      <c r="Z7" s="43">
        <f t="shared" si="10"/>
        <v>0.47826086956521741</v>
      </c>
      <c r="AA7" s="43">
        <f t="shared" si="11"/>
        <v>0</v>
      </c>
      <c r="AB7" s="19">
        <f t="shared" si="6"/>
        <v>4</v>
      </c>
      <c r="AC7" s="19">
        <f t="shared" si="7"/>
        <v>23</v>
      </c>
      <c r="AD7" s="30">
        <f t="shared" si="8"/>
        <v>4</v>
      </c>
      <c r="AE7" s="41">
        <f t="shared" si="12"/>
        <v>27</v>
      </c>
      <c r="AG7">
        <v>20</v>
      </c>
      <c r="AH7">
        <v>9</v>
      </c>
      <c r="AI7">
        <v>0.31034482758620691</v>
      </c>
      <c r="AJ7">
        <v>21</v>
      </c>
      <c r="AK7">
        <v>6</v>
      </c>
      <c r="AL7">
        <v>0</v>
      </c>
      <c r="AM7">
        <v>27</v>
      </c>
      <c r="AN7">
        <v>0.22222222222222221</v>
      </c>
      <c r="AO7">
        <v>0</v>
      </c>
      <c r="AP7">
        <v>2</v>
      </c>
      <c r="AQ7">
        <v>22</v>
      </c>
      <c r="AR7">
        <v>7</v>
      </c>
      <c r="AS7">
        <v>29</v>
      </c>
      <c r="AU7" s="119">
        <f t="shared" si="13"/>
        <v>-9.9999999999999978E-2</v>
      </c>
      <c r="AV7" s="43">
        <f t="shared" si="9"/>
        <v>0</v>
      </c>
      <c r="AW7" s="43">
        <f t="shared" si="9"/>
        <v>7.4074074074073959E-2</v>
      </c>
      <c r="AX7" s="43">
        <f t="shared" si="9"/>
        <v>-0.4285714285714286</v>
      </c>
      <c r="AY7" s="43">
        <f t="shared" si="9"/>
        <v>0.83333333333333326</v>
      </c>
      <c r="AZ7" s="43" t="e">
        <f t="shared" si="9"/>
        <v>#DIV/0!</v>
      </c>
      <c r="BA7" s="43">
        <f t="shared" si="9"/>
        <v>-0.14814814814814814</v>
      </c>
      <c r="BB7" s="43">
        <f t="shared" si="9"/>
        <v>1.1521739130434785</v>
      </c>
      <c r="BC7" s="43" t="e">
        <f t="shared" si="9"/>
        <v>#DIV/0!</v>
      </c>
      <c r="BD7" s="43">
        <f t="shared" si="9"/>
        <v>1</v>
      </c>
      <c r="BE7" s="43">
        <f t="shared" si="9"/>
        <v>4.5454545454545414E-2</v>
      </c>
      <c r="BF7" s="43">
        <f t="shared" si="9"/>
        <v>-0.4285714285714286</v>
      </c>
      <c r="BG7" s="120">
        <f t="shared" si="9"/>
        <v>-6.8965517241379337E-2</v>
      </c>
    </row>
    <row r="8" spans="1:59" ht="21" customHeight="1" thickBot="1">
      <c r="A8" s="14">
        <v>0.32291666666666669</v>
      </c>
      <c r="B8" s="15">
        <f>MategninAnneaux!B8+MategninDouane!B8</f>
        <v>9</v>
      </c>
      <c r="C8" s="15">
        <f>MategninAnneaux!C8+MategninDouane!C8</f>
        <v>2</v>
      </c>
      <c r="D8" s="15">
        <f>MategninAnneaux!D8+MategninDouane!D8</f>
        <v>6</v>
      </c>
      <c r="E8" s="15">
        <f>MategninAnneaux!E8+MategninDouane!E8</f>
        <v>7</v>
      </c>
      <c r="F8" s="15">
        <f>MategninAnneaux!F8+MategninDouane!F8</f>
        <v>3</v>
      </c>
      <c r="G8" s="15">
        <f>MategninAnneaux!G8+MategninDouane!G8</f>
        <v>0</v>
      </c>
      <c r="H8" s="15">
        <f>MategninAnneaux!H8+MategninDouane!H8</f>
        <v>0</v>
      </c>
      <c r="I8" s="15">
        <f>MategninAnneaux!I8+MategninDouane!I8</f>
        <v>1</v>
      </c>
      <c r="J8" s="15">
        <f>MategninAnneaux!J8+MategninDouane!J8</f>
        <v>1</v>
      </c>
      <c r="K8" s="15">
        <f>MategninAnneaux!K8+MategninDouane!K8</f>
        <v>1</v>
      </c>
      <c r="L8" s="15">
        <f>MategninAnneaux!L8+MategninDouane!L8</f>
        <v>1</v>
      </c>
      <c r="M8" s="15">
        <f>MategninAnneaux!M8+MategninDouane!M8</f>
        <v>0</v>
      </c>
      <c r="N8" s="15">
        <f>MategninAnneaux!N8+MategninDouane!N8</f>
        <v>0</v>
      </c>
      <c r="O8" s="15">
        <f>MategninAnneaux!O8+MategninDouane!O8</f>
        <v>0</v>
      </c>
      <c r="P8" s="15">
        <f>MategninAnneaux!P8+MategninDouane!P8</f>
        <v>0</v>
      </c>
      <c r="Q8" s="15">
        <f>MategninAnneaux!Q8+MategninDouane!Q8</f>
        <v>1</v>
      </c>
      <c r="S8" s="29">
        <f t="shared" si="0"/>
        <v>20</v>
      </c>
      <c r="T8" s="19">
        <f t="shared" si="0"/>
        <v>12</v>
      </c>
      <c r="U8" s="25">
        <f t="shared" si="1"/>
        <v>0.375</v>
      </c>
      <c r="V8" s="19">
        <f t="shared" si="2"/>
        <v>13</v>
      </c>
      <c r="W8" s="19">
        <f t="shared" si="3"/>
        <v>14</v>
      </c>
      <c r="X8" s="19">
        <f t="shared" si="4"/>
        <v>3</v>
      </c>
      <c r="Y8" s="19">
        <f t="shared" si="5"/>
        <v>30</v>
      </c>
      <c r="Z8" s="43">
        <f t="shared" si="10"/>
        <v>0.46666666666666667</v>
      </c>
      <c r="AA8" s="43">
        <f t="shared" si="11"/>
        <v>0.1</v>
      </c>
      <c r="AB8" s="19">
        <f t="shared" si="6"/>
        <v>2</v>
      </c>
      <c r="AC8" s="19">
        <f t="shared" si="7"/>
        <v>28</v>
      </c>
      <c r="AD8" s="30">
        <f t="shared" si="8"/>
        <v>4</v>
      </c>
      <c r="AE8" s="41">
        <f t="shared" si="12"/>
        <v>32</v>
      </c>
      <c r="AG8">
        <v>21</v>
      </c>
      <c r="AH8">
        <v>9</v>
      </c>
      <c r="AI8">
        <v>0.3</v>
      </c>
      <c r="AJ8">
        <v>16</v>
      </c>
      <c r="AK8">
        <v>5</v>
      </c>
      <c r="AL8">
        <v>3</v>
      </c>
      <c r="AM8">
        <v>24</v>
      </c>
      <c r="AN8">
        <v>0.20833333333333334</v>
      </c>
      <c r="AO8">
        <v>0.125</v>
      </c>
      <c r="AP8">
        <v>6</v>
      </c>
      <c r="AQ8">
        <v>23</v>
      </c>
      <c r="AR8">
        <v>7</v>
      </c>
      <c r="AS8">
        <v>30</v>
      </c>
      <c r="AU8" s="119">
        <f t="shared" si="13"/>
        <v>-4.7619047619047672E-2</v>
      </c>
      <c r="AV8" s="43">
        <f t="shared" si="9"/>
        <v>0.33333333333333326</v>
      </c>
      <c r="AW8" s="43">
        <f t="shared" si="9"/>
        <v>0.25</v>
      </c>
      <c r="AX8" s="43">
        <f t="shared" si="9"/>
        <v>-0.1875</v>
      </c>
      <c r="AY8" s="43">
        <f t="shared" si="9"/>
        <v>1.7999999999999998</v>
      </c>
      <c r="AZ8" s="43">
        <f t="shared" si="9"/>
        <v>0</v>
      </c>
      <c r="BA8" s="43">
        <f t="shared" si="9"/>
        <v>0.25</v>
      </c>
      <c r="BB8" s="43">
        <f t="shared" si="9"/>
        <v>1.2399999999999998</v>
      </c>
      <c r="BC8" s="43">
        <f t="shared" si="9"/>
        <v>-0.19999999999999996</v>
      </c>
      <c r="BD8" s="43">
        <f t="shared" si="9"/>
        <v>-0.66666666666666674</v>
      </c>
      <c r="BE8" s="43">
        <f t="shared" si="9"/>
        <v>0.21739130434782616</v>
      </c>
      <c r="BF8" s="43">
        <f t="shared" si="9"/>
        <v>-0.4285714285714286</v>
      </c>
      <c r="BG8" s="120">
        <f t="shared" si="9"/>
        <v>6.6666666666666652E-2</v>
      </c>
    </row>
    <row r="9" spans="1:59" ht="21" customHeight="1" thickBot="1">
      <c r="A9" s="13">
        <v>0.33333333333333331</v>
      </c>
      <c r="B9" s="15">
        <f>MategninAnneaux!B9+MategninDouane!B9</f>
        <v>16</v>
      </c>
      <c r="C9" s="15">
        <f>MategninAnneaux!C9+MategninDouane!C9</f>
        <v>7</v>
      </c>
      <c r="D9" s="15">
        <f>MategninAnneaux!D9+MategninDouane!D9</f>
        <v>7</v>
      </c>
      <c r="E9" s="15">
        <f>MategninAnneaux!E9+MategninDouane!E9</f>
        <v>2</v>
      </c>
      <c r="F9" s="15">
        <f>MategninAnneaux!F9+MategninDouane!F9</f>
        <v>0</v>
      </c>
      <c r="G9" s="15">
        <f>MategninAnneaux!G9+MategninDouane!G9</f>
        <v>1</v>
      </c>
      <c r="H9" s="15">
        <f>MategninAnneaux!H9+MategninDouane!H9</f>
        <v>3</v>
      </c>
      <c r="I9" s="15">
        <f>MategninAnneaux!I9+MategninDouane!I9</f>
        <v>1</v>
      </c>
      <c r="J9" s="15">
        <f>MategninAnneaux!J9+MategninDouane!J9</f>
        <v>1</v>
      </c>
      <c r="K9" s="15">
        <f>MategninAnneaux!K9+MategninDouane!K9</f>
        <v>1</v>
      </c>
      <c r="L9" s="15">
        <f>MategninAnneaux!L9+MategninDouane!L9</f>
        <v>3</v>
      </c>
      <c r="M9" s="15">
        <f>MategninAnneaux!M9+MategninDouane!M9</f>
        <v>0</v>
      </c>
      <c r="N9" s="15">
        <f>MategninAnneaux!N9+MategninDouane!N9</f>
        <v>0</v>
      </c>
      <c r="O9" s="15">
        <f>MategninAnneaux!O9+MategninDouane!O9</f>
        <v>0</v>
      </c>
      <c r="P9" s="15">
        <f>MategninAnneaux!P9+MategninDouane!P9</f>
        <v>0</v>
      </c>
      <c r="Q9" s="15">
        <f>MategninAnneaux!Q9+MategninDouane!Q9</f>
        <v>1</v>
      </c>
      <c r="S9" s="29">
        <f t="shared" si="0"/>
        <v>30</v>
      </c>
      <c r="T9" s="19">
        <f t="shared" si="0"/>
        <v>13</v>
      </c>
      <c r="U9" s="25">
        <f t="shared" si="1"/>
        <v>0.30232558139534882</v>
      </c>
      <c r="V9" s="19">
        <f t="shared" si="2"/>
        <v>25</v>
      </c>
      <c r="W9" s="19">
        <f t="shared" si="3"/>
        <v>12</v>
      </c>
      <c r="X9" s="19">
        <f t="shared" si="4"/>
        <v>1</v>
      </c>
      <c r="Y9" s="19">
        <f t="shared" si="5"/>
        <v>38</v>
      </c>
      <c r="Z9" s="43">
        <f t="shared" si="10"/>
        <v>0.31578947368421051</v>
      </c>
      <c r="AA9" s="43">
        <f t="shared" si="11"/>
        <v>2.6315789473684209E-2</v>
      </c>
      <c r="AB9" s="19">
        <f t="shared" si="6"/>
        <v>5</v>
      </c>
      <c r="AC9" s="19">
        <f t="shared" si="7"/>
        <v>37</v>
      </c>
      <c r="AD9" s="30">
        <f t="shared" si="8"/>
        <v>6</v>
      </c>
      <c r="AE9" s="41">
        <f t="shared" si="12"/>
        <v>43</v>
      </c>
      <c r="AG9">
        <v>10</v>
      </c>
      <c r="AH9">
        <v>3</v>
      </c>
      <c r="AI9">
        <v>0.23076923076923078</v>
      </c>
      <c r="AJ9">
        <v>6</v>
      </c>
      <c r="AK9">
        <v>6</v>
      </c>
      <c r="AL9">
        <v>0</v>
      </c>
      <c r="AM9">
        <v>12</v>
      </c>
      <c r="AN9">
        <v>0.5</v>
      </c>
      <c r="AO9">
        <v>0</v>
      </c>
      <c r="AP9">
        <v>1</v>
      </c>
      <c r="AQ9">
        <v>11</v>
      </c>
      <c r="AR9">
        <v>2</v>
      </c>
      <c r="AS9">
        <v>13</v>
      </c>
      <c r="AU9" s="119">
        <f t="shared" si="13"/>
        <v>2</v>
      </c>
      <c r="AV9" s="43">
        <f t="shared" si="9"/>
        <v>3.333333333333333</v>
      </c>
      <c r="AW9" s="43">
        <f t="shared" si="9"/>
        <v>0.31007751937984485</v>
      </c>
      <c r="AX9" s="43">
        <f t="shared" si="9"/>
        <v>3.166666666666667</v>
      </c>
      <c r="AY9" s="43">
        <f t="shared" si="9"/>
        <v>1</v>
      </c>
      <c r="AZ9" s="43" t="e">
        <f t="shared" si="9"/>
        <v>#DIV/0!</v>
      </c>
      <c r="BA9" s="43">
        <f t="shared" si="9"/>
        <v>2.1666666666666665</v>
      </c>
      <c r="BB9" s="43">
        <f t="shared" si="9"/>
        <v>-0.36842105263157898</v>
      </c>
      <c r="BC9" s="43" t="e">
        <f t="shared" si="9"/>
        <v>#DIV/0!</v>
      </c>
      <c r="BD9" s="43">
        <f t="shared" si="9"/>
        <v>4</v>
      </c>
      <c r="BE9" s="43">
        <f t="shared" si="9"/>
        <v>2.3636363636363638</v>
      </c>
      <c r="BF9" s="43">
        <f t="shared" si="9"/>
        <v>2</v>
      </c>
      <c r="BG9" s="120">
        <f t="shared" si="9"/>
        <v>2.3076923076923075</v>
      </c>
    </row>
    <row r="10" spans="1:59" ht="21" customHeight="1" thickBot="1">
      <c r="A10" s="14">
        <v>0.34375</v>
      </c>
      <c r="B10" s="15">
        <f>MategninAnneaux!B10+MategninDouane!B10</f>
        <v>8</v>
      </c>
      <c r="C10" s="15">
        <f>MategninAnneaux!C10+MategninDouane!C10</f>
        <v>1</v>
      </c>
      <c r="D10" s="15">
        <f>MategninAnneaux!D10+MategninDouane!D10</f>
        <v>5</v>
      </c>
      <c r="E10" s="15">
        <f>MategninAnneaux!E10+MategninDouane!E10</f>
        <v>0</v>
      </c>
      <c r="F10" s="15">
        <f>MategninAnneaux!F10+MategninDouane!F10</f>
        <v>1</v>
      </c>
      <c r="G10" s="15">
        <f>MategninAnneaux!G10+MategninDouane!G10</f>
        <v>0</v>
      </c>
      <c r="H10" s="15">
        <f>MategninAnneaux!H10+MategninDouane!H10</f>
        <v>1</v>
      </c>
      <c r="I10" s="15">
        <f>MategninAnneaux!I10+MategninDouane!I10</f>
        <v>1</v>
      </c>
      <c r="J10" s="15">
        <f>MategninAnneaux!J10+MategninDouane!J10</f>
        <v>1</v>
      </c>
      <c r="K10" s="15">
        <f>MategninAnneaux!K10+MategninDouane!K10</f>
        <v>4</v>
      </c>
      <c r="L10" s="15">
        <f>MategninAnneaux!L10+MategninDouane!L10</f>
        <v>2</v>
      </c>
      <c r="M10" s="15">
        <f>MategninAnneaux!M10+MategninDouane!M10</f>
        <v>1</v>
      </c>
      <c r="N10" s="15">
        <f>MategninAnneaux!N10+MategninDouane!N10</f>
        <v>0</v>
      </c>
      <c r="O10" s="15">
        <f>MategninAnneaux!O10+MategninDouane!O10</f>
        <v>0</v>
      </c>
      <c r="P10" s="15">
        <f>MategninAnneaux!P10+MategninDouane!P10</f>
        <v>2</v>
      </c>
      <c r="Q10" s="15">
        <f>MategninAnneaux!Q10+MategninDouane!Q10</f>
        <v>2</v>
      </c>
      <c r="S10" s="29">
        <f t="shared" si="0"/>
        <v>20</v>
      </c>
      <c r="T10" s="19">
        <f t="shared" si="0"/>
        <v>9</v>
      </c>
      <c r="U10" s="25">
        <f t="shared" si="1"/>
        <v>0.31034482758620691</v>
      </c>
      <c r="V10" s="19">
        <f t="shared" si="2"/>
        <v>14</v>
      </c>
      <c r="W10" s="19">
        <f t="shared" si="3"/>
        <v>8</v>
      </c>
      <c r="X10" s="19">
        <f t="shared" si="4"/>
        <v>1</v>
      </c>
      <c r="Y10" s="19">
        <f t="shared" si="5"/>
        <v>23</v>
      </c>
      <c r="Z10" s="43">
        <f t="shared" si="10"/>
        <v>0.34782608695652173</v>
      </c>
      <c r="AA10" s="43">
        <f t="shared" si="11"/>
        <v>4.3478260869565216E-2</v>
      </c>
      <c r="AB10" s="19">
        <f t="shared" si="6"/>
        <v>6</v>
      </c>
      <c r="AC10" s="19">
        <f t="shared" si="7"/>
        <v>17</v>
      </c>
      <c r="AD10" s="30">
        <f t="shared" si="8"/>
        <v>12</v>
      </c>
      <c r="AE10" s="41">
        <f t="shared" si="12"/>
        <v>29</v>
      </c>
      <c r="AG10">
        <v>11</v>
      </c>
      <c r="AH10">
        <v>11</v>
      </c>
      <c r="AI10">
        <v>0.5</v>
      </c>
      <c r="AJ10">
        <v>13</v>
      </c>
      <c r="AK10">
        <v>4</v>
      </c>
      <c r="AL10">
        <v>0</v>
      </c>
      <c r="AM10">
        <v>17</v>
      </c>
      <c r="AN10">
        <v>0.23529411764705882</v>
      </c>
      <c r="AO10">
        <v>0</v>
      </c>
      <c r="AP10">
        <v>5</v>
      </c>
      <c r="AQ10">
        <v>18</v>
      </c>
      <c r="AR10">
        <v>4</v>
      </c>
      <c r="AS10">
        <v>22</v>
      </c>
      <c r="AU10" s="119">
        <f t="shared" si="13"/>
        <v>0.81818181818181812</v>
      </c>
      <c r="AV10" s="43">
        <f t="shared" si="9"/>
        <v>-0.18181818181818177</v>
      </c>
      <c r="AW10" s="43">
        <f t="shared" si="9"/>
        <v>-0.37931034482758619</v>
      </c>
      <c r="AX10" s="43">
        <f t="shared" si="9"/>
        <v>7.6923076923076872E-2</v>
      </c>
      <c r="AY10" s="43">
        <f t="shared" si="9"/>
        <v>1</v>
      </c>
      <c r="AZ10" s="43" t="e">
        <f t="shared" si="9"/>
        <v>#DIV/0!</v>
      </c>
      <c r="BA10" s="43">
        <f t="shared" si="9"/>
        <v>0.35294117647058831</v>
      </c>
      <c r="BB10" s="43">
        <f t="shared" si="9"/>
        <v>0.47826086956521729</v>
      </c>
      <c r="BC10" s="43" t="e">
        <f t="shared" si="9"/>
        <v>#DIV/0!</v>
      </c>
      <c r="BD10" s="43">
        <f t="shared" si="9"/>
        <v>0.19999999999999996</v>
      </c>
      <c r="BE10" s="43">
        <f t="shared" si="9"/>
        <v>-5.555555555555558E-2</v>
      </c>
      <c r="BF10" s="43">
        <f t="shared" si="9"/>
        <v>2</v>
      </c>
      <c r="BG10" s="120">
        <f t="shared" si="9"/>
        <v>0.31818181818181812</v>
      </c>
    </row>
    <row r="11" spans="1:59" ht="21" customHeight="1" thickBot="1">
      <c r="A11" s="14">
        <v>0.35416666666666669</v>
      </c>
      <c r="B11" s="15">
        <f>MategninAnneaux!B11+MategninDouane!B11</f>
        <v>15</v>
      </c>
      <c r="C11" s="15">
        <f>MategninAnneaux!C11+MategninDouane!C11</f>
        <v>2</v>
      </c>
      <c r="D11" s="15">
        <f>MategninAnneaux!D11+MategninDouane!D11</f>
        <v>8</v>
      </c>
      <c r="E11" s="15">
        <f>MategninAnneaux!E11+MategninDouane!E11</f>
        <v>3</v>
      </c>
      <c r="F11" s="15">
        <f>MategninAnneaux!F11+MategninDouane!F11</f>
        <v>1</v>
      </c>
      <c r="G11" s="15">
        <f>MategninAnneaux!G11+MategninDouane!G11</f>
        <v>0</v>
      </c>
      <c r="H11" s="15">
        <f>MategninAnneaux!H11+MategninDouane!H11</f>
        <v>1</v>
      </c>
      <c r="I11" s="15">
        <f>MategninAnneaux!I11+MategninDouane!I11</f>
        <v>5</v>
      </c>
      <c r="J11" s="15">
        <f>MategninAnneaux!J11+MategninDouane!J11</f>
        <v>2</v>
      </c>
      <c r="K11" s="15">
        <f>MategninAnneaux!K11+MategninDouane!K11</f>
        <v>2</v>
      </c>
      <c r="L11" s="15">
        <f>MategninAnneaux!L11+MategninDouane!L11</f>
        <v>0</v>
      </c>
      <c r="M11" s="15">
        <f>MategninAnneaux!M11+MategninDouane!M11</f>
        <v>0</v>
      </c>
      <c r="N11" s="15">
        <f>MategninAnneaux!N11+MategninDouane!N11</f>
        <v>0</v>
      </c>
      <c r="O11" s="15">
        <f>MategninAnneaux!O11+MategninDouane!O11</f>
        <v>0</v>
      </c>
      <c r="P11" s="15">
        <f>MategninAnneaux!P11+MategninDouane!P11</f>
        <v>2</v>
      </c>
      <c r="Q11" s="15">
        <f>MategninAnneaux!Q11+MategninDouane!Q11</f>
        <v>0</v>
      </c>
      <c r="S11" s="29">
        <f t="shared" si="0"/>
        <v>29</v>
      </c>
      <c r="T11" s="19">
        <f t="shared" si="0"/>
        <v>12</v>
      </c>
      <c r="U11" s="25">
        <f t="shared" si="1"/>
        <v>0.29268292682926828</v>
      </c>
      <c r="V11" s="19">
        <f t="shared" si="2"/>
        <v>21</v>
      </c>
      <c r="W11" s="19">
        <f t="shared" si="3"/>
        <v>11</v>
      </c>
      <c r="X11" s="19">
        <f t="shared" si="4"/>
        <v>1</v>
      </c>
      <c r="Y11" s="19">
        <f t="shared" si="5"/>
        <v>33</v>
      </c>
      <c r="Z11" s="43">
        <f t="shared" si="10"/>
        <v>0.33333333333333331</v>
      </c>
      <c r="AA11" s="43">
        <f t="shared" si="11"/>
        <v>3.0303030303030304E-2</v>
      </c>
      <c r="AB11" s="19">
        <f t="shared" si="6"/>
        <v>8</v>
      </c>
      <c r="AC11" s="19">
        <f t="shared" si="7"/>
        <v>35</v>
      </c>
      <c r="AD11" s="30">
        <f t="shared" si="8"/>
        <v>6</v>
      </c>
      <c r="AE11" s="41">
        <f t="shared" si="12"/>
        <v>41</v>
      </c>
      <c r="AG11">
        <v>17</v>
      </c>
      <c r="AH11">
        <v>6</v>
      </c>
      <c r="AI11">
        <v>0.2608695652173913</v>
      </c>
      <c r="AJ11">
        <v>14</v>
      </c>
      <c r="AK11">
        <v>6</v>
      </c>
      <c r="AL11">
        <v>0</v>
      </c>
      <c r="AM11">
        <v>20</v>
      </c>
      <c r="AN11">
        <v>0.3</v>
      </c>
      <c r="AO11">
        <v>0</v>
      </c>
      <c r="AP11">
        <v>3</v>
      </c>
      <c r="AQ11">
        <v>17</v>
      </c>
      <c r="AR11">
        <v>6</v>
      </c>
      <c r="AS11">
        <v>23</v>
      </c>
      <c r="AU11" s="119">
        <f t="shared" si="13"/>
        <v>0.70588235294117641</v>
      </c>
      <c r="AV11" s="43">
        <f t="shared" si="9"/>
        <v>1</v>
      </c>
      <c r="AW11" s="43">
        <f t="shared" si="9"/>
        <v>0.12195121951219501</v>
      </c>
      <c r="AX11" s="43">
        <f t="shared" si="9"/>
        <v>0.5</v>
      </c>
      <c r="AY11" s="43">
        <f t="shared" si="9"/>
        <v>0.83333333333333326</v>
      </c>
      <c r="AZ11" s="43" t="e">
        <f t="shared" si="9"/>
        <v>#DIV/0!</v>
      </c>
      <c r="BA11" s="43">
        <f t="shared" si="9"/>
        <v>0.64999999999999991</v>
      </c>
      <c r="BB11" s="43">
        <f t="shared" si="9"/>
        <v>0.11111111111111116</v>
      </c>
      <c r="BC11" s="43" t="e">
        <f t="shared" si="9"/>
        <v>#DIV/0!</v>
      </c>
      <c r="BD11" s="43">
        <f t="shared" si="9"/>
        <v>1.6666666666666665</v>
      </c>
      <c r="BE11" s="43">
        <f t="shared" si="9"/>
        <v>1.0588235294117645</v>
      </c>
      <c r="BF11" s="43">
        <f t="shared" si="9"/>
        <v>0</v>
      </c>
      <c r="BG11" s="120">
        <f t="shared" si="9"/>
        <v>0.78260869565217384</v>
      </c>
    </row>
    <row r="12" spans="1:59" ht="21" customHeight="1" thickBot="1">
      <c r="A12" s="14">
        <v>0.36458333333333331</v>
      </c>
      <c r="B12" s="15">
        <f>MategninAnneaux!B12+MategninDouane!B12</f>
        <v>8</v>
      </c>
      <c r="C12" s="15">
        <f>MategninAnneaux!C12+MategninDouane!C12</f>
        <v>9</v>
      </c>
      <c r="D12" s="15">
        <f>MategninAnneaux!D12+MategninDouane!D12</f>
        <v>4</v>
      </c>
      <c r="E12" s="15">
        <f>MategninAnneaux!E12+MategninDouane!E12</f>
        <v>4</v>
      </c>
      <c r="F12" s="15">
        <f>MategninAnneaux!F12+MategninDouane!F12</f>
        <v>1</v>
      </c>
      <c r="G12" s="15">
        <f>MategninAnneaux!G12+MategninDouane!G12</f>
        <v>1</v>
      </c>
      <c r="H12" s="15">
        <f>MategninAnneaux!H12+MategninDouane!H12</f>
        <v>0</v>
      </c>
      <c r="I12" s="15">
        <f>MategninAnneaux!I12+MategninDouane!I12</f>
        <v>2</v>
      </c>
      <c r="J12" s="15">
        <f>MategninAnneaux!J12+MategninDouane!J12</f>
        <v>1</v>
      </c>
      <c r="K12" s="15">
        <f>MategninAnneaux!K12+MategninDouane!K12</f>
        <v>0</v>
      </c>
      <c r="L12" s="15">
        <f>MategninAnneaux!L12+MategninDouane!L12</f>
        <v>1</v>
      </c>
      <c r="M12" s="15">
        <f>MategninAnneaux!M12+MategninDouane!M12</f>
        <v>0</v>
      </c>
      <c r="N12" s="15">
        <f>MategninAnneaux!N12+MategninDouane!N12</f>
        <v>0</v>
      </c>
      <c r="O12" s="15">
        <f>MategninAnneaux!O12+MategninDouane!O12</f>
        <v>0</v>
      </c>
      <c r="P12" s="15">
        <f>MategninAnneaux!P12+MategninDouane!P12</f>
        <v>0</v>
      </c>
      <c r="Q12" s="15">
        <f>MategninAnneaux!Q12+MategninDouane!Q12</f>
        <v>1</v>
      </c>
      <c r="S12" s="29">
        <f t="shared" ref="S12:T15" si="14">B12+D12+F12+H12+J12+L12+N12+P12</f>
        <v>15</v>
      </c>
      <c r="T12" s="19">
        <f t="shared" si="14"/>
        <v>17</v>
      </c>
      <c r="U12" s="25">
        <f>T12/(T12+S12)</f>
        <v>0.53125</v>
      </c>
      <c r="V12" s="19">
        <f>B12+C12+J12+K12</f>
        <v>18</v>
      </c>
      <c r="W12" s="19">
        <f>D12+E12+L12+M12</f>
        <v>9</v>
      </c>
      <c r="X12" s="19">
        <f>F12+G12+N12+O12</f>
        <v>2</v>
      </c>
      <c r="Y12" s="19">
        <f>SUM(V12:X12)</f>
        <v>29</v>
      </c>
      <c r="Z12" s="43">
        <f t="shared" si="10"/>
        <v>0.31034482758620691</v>
      </c>
      <c r="AA12" s="43">
        <f t="shared" si="11"/>
        <v>6.8965517241379309E-2</v>
      </c>
      <c r="AB12" s="19">
        <f>H12+I12+P12+Q12</f>
        <v>3</v>
      </c>
      <c r="AC12" s="19">
        <f>SUM(B12:I12)</f>
        <v>29</v>
      </c>
      <c r="AD12" s="30">
        <f>SUM(J12:Q12)</f>
        <v>3</v>
      </c>
      <c r="AE12" s="41">
        <f t="shared" si="12"/>
        <v>32</v>
      </c>
      <c r="AG12">
        <v>12</v>
      </c>
      <c r="AH12">
        <v>12</v>
      </c>
      <c r="AI12">
        <v>0.5</v>
      </c>
      <c r="AJ12">
        <v>12</v>
      </c>
      <c r="AK12">
        <v>5</v>
      </c>
      <c r="AL12">
        <v>1</v>
      </c>
      <c r="AM12">
        <v>18</v>
      </c>
      <c r="AN12">
        <v>0.27777777777777779</v>
      </c>
      <c r="AO12">
        <v>5.5555555555555552E-2</v>
      </c>
      <c r="AP12">
        <v>6</v>
      </c>
      <c r="AQ12">
        <v>12</v>
      </c>
      <c r="AR12">
        <v>12</v>
      </c>
      <c r="AS12">
        <v>24</v>
      </c>
      <c r="AU12" s="119">
        <f t="shared" si="13"/>
        <v>0.25</v>
      </c>
      <c r="AV12" s="43">
        <f t="shared" si="9"/>
        <v>0.41666666666666674</v>
      </c>
      <c r="AW12" s="43">
        <f t="shared" si="9"/>
        <v>6.25E-2</v>
      </c>
      <c r="AX12" s="43">
        <f t="shared" si="9"/>
        <v>0.5</v>
      </c>
      <c r="AY12" s="43">
        <f t="shared" si="9"/>
        <v>0.8</v>
      </c>
      <c r="AZ12" s="43">
        <f t="shared" si="9"/>
        <v>1</v>
      </c>
      <c r="BA12" s="43">
        <f t="shared" si="9"/>
        <v>0.61111111111111116</v>
      </c>
      <c r="BB12" s="43">
        <f t="shared" si="9"/>
        <v>0.11724137931034484</v>
      </c>
      <c r="BC12" s="43">
        <f t="shared" si="9"/>
        <v>0.24137931034482762</v>
      </c>
      <c r="BD12" s="43">
        <f t="shared" si="9"/>
        <v>-0.5</v>
      </c>
      <c r="BE12" s="43">
        <f t="shared" si="9"/>
        <v>1.4166666666666665</v>
      </c>
      <c r="BF12" s="43">
        <f t="shared" si="9"/>
        <v>-0.75</v>
      </c>
      <c r="BG12" s="120">
        <f t="shared" si="9"/>
        <v>0.33333333333333326</v>
      </c>
    </row>
    <row r="13" spans="1:59" s="97" customFormat="1" ht="21" customHeight="1" thickBot="1">
      <c r="A13" s="14">
        <v>0.375</v>
      </c>
      <c r="B13" s="15">
        <f>MategninAnneaux!B13+MategninDouane!B13</f>
        <v>4</v>
      </c>
      <c r="C13" s="15">
        <f>MategninAnneaux!C13+MategninDouane!C13</f>
        <v>6</v>
      </c>
      <c r="D13" s="15">
        <f>MategninAnneaux!D13+MategninDouane!D13</f>
        <v>1</v>
      </c>
      <c r="E13" s="15">
        <f>MategninAnneaux!E13+MategninDouane!E13</f>
        <v>2</v>
      </c>
      <c r="F13" s="15">
        <f>MategninAnneaux!F13+MategninDouane!F13</f>
        <v>1</v>
      </c>
      <c r="G13" s="15">
        <f>MategninAnneaux!G13+MategninDouane!G13</f>
        <v>0</v>
      </c>
      <c r="H13" s="15">
        <f>MategninAnneaux!H13+MategninDouane!H13</f>
        <v>1</v>
      </c>
      <c r="I13" s="15">
        <f>MategninAnneaux!I13+MategninDouane!I13</f>
        <v>0</v>
      </c>
      <c r="J13" s="15">
        <f>MategninAnneaux!J13+MategninDouane!J13</f>
        <v>4</v>
      </c>
      <c r="K13" s="15">
        <f>MategninAnneaux!K13+MategninDouane!K13</f>
        <v>0</v>
      </c>
      <c r="L13" s="15">
        <f>MategninAnneaux!L13+MategninDouane!L13</f>
        <v>0</v>
      </c>
      <c r="M13" s="15">
        <f>MategninAnneaux!M13+MategninDouane!M13</f>
        <v>0</v>
      </c>
      <c r="N13" s="15">
        <f>MategninAnneaux!N13+MategninDouane!N13</f>
        <v>0</v>
      </c>
      <c r="O13" s="15">
        <f>MategninAnneaux!O13+MategninDouane!O13</f>
        <v>0</v>
      </c>
      <c r="P13" s="15">
        <f>MategninAnneaux!P13+MategninDouane!P13</f>
        <v>1</v>
      </c>
      <c r="Q13" s="15">
        <f>MategninAnneaux!Q13+MategninDouane!Q13</f>
        <v>1</v>
      </c>
      <c r="S13" s="29">
        <f t="shared" ref="S13" si="15">B13+D13+F13+H13+J13+L13+N13+P13</f>
        <v>12</v>
      </c>
      <c r="T13" s="19">
        <f t="shared" ref="T13" si="16">C13+E13+G13+I13+K13+M13+O13+Q13</f>
        <v>9</v>
      </c>
      <c r="U13" s="25">
        <f>T13/(T13+S13)</f>
        <v>0.42857142857142855</v>
      </c>
      <c r="V13" s="19">
        <f>B13+C13+J13+K13</f>
        <v>14</v>
      </c>
      <c r="W13" s="19">
        <f>D13+E13+L13+M13</f>
        <v>3</v>
      </c>
      <c r="X13" s="19">
        <f>F13+G13+N13+O13</f>
        <v>1</v>
      </c>
      <c r="Y13" s="19">
        <f>SUM(V13:X13)</f>
        <v>18</v>
      </c>
      <c r="Z13" s="43">
        <f t="shared" ref="Z13" si="17">W13/Y13</f>
        <v>0.16666666666666666</v>
      </c>
      <c r="AA13" s="43">
        <f t="shared" ref="AA13" si="18">X13/Y13</f>
        <v>5.5555555555555552E-2</v>
      </c>
      <c r="AB13" s="19">
        <f>H13+I13+P13+Q13</f>
        <v>3</v>
      </c>
      <c r="AC13" s="19">
        <f>SUM(B13:I13)</f>
        <v>15</v>
      </c>
      <c r="AD13" s="48"/>
      <c r="AE13" s="49"/>
      <c r="AU13" s="119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120"/>
    </row>
    <row r="14" spans="1:59" ht="15.75" thickBot="1">
      <c r="A14" s="24" t="s">
        <v>13</v>
      </c>
      <c r="B14" s="35">
        <f>SUM(B5:B13)</f>
        <v>80</v>
      </c>
      <c r="C14" s="35">
        <f t="shared" ref="C14:Q14" si="19">SUM(C5:C13)</f>
        <v>36</v>
      </c>
      <c r="D14" s="35">
        <f t="shared" si="19"/>
        <v>47</v>
      </c>
      <c r="E14" s="35">
        <f t="shared" si="19"/>
        <v>29</v>
      </c>
      <c r="F14" s="35">
        <f t="shared" si="19"/>
        <v>11</v>
      </c>
      <c r="G14" s="35">
        <f t="shared" si="19"/>
        <v>2</v>
      </c>
      <c r="H14" s="35">
        <f t="shared" si="19"/>
        <v>12</v>
      </c>
      <c r="I14" s="35">
        <f t="shared" si="19"/>
        <v>11</v>
      </c>
      <c r="J14" s="35">
        <f t="shared" si="19"/>
        <v>16</v>
      </c>
      <c r="K14" s="35">
        <f t="shared" si="19"/>
        <v>9</v>
      </c>
      <c r="L14" s="35">
        <f t="shared" si="19"/>
        <v>8</v>
      </c>
      <c r="M14" s="35">
        <f t="shared" si="19"/>
        <v>1</v>
      </c>
      <c r="N14" s="35">
        <f t="shared" si="19"/>
        <v>0</v>
      </c>
      <c r="O14" s="35">
        <f t="shared" si="19"/>
        <v>0</v>
      </c>
      <c r="P14" s="35">
        <f t="shared" si="19"/>
        <v>7</v>
      </c>
      <c r="Q14" s="35">
        <f t="shared" si="19"/>
        <v>6</v>
      </c>
      <c r="S14" s="31">
        <f t="shared" si="14"/>
        <v>181</v>
      </c>
      <c r="T14" s="32">
        <f t="shared" si="14"/>
        <v>94</v>
      </c>
      <c r="U14" s="33">
        <f>T14/(T14+S14)</f>
        <v>0.3418181818181818</v>
      </c>
      <c r="V14" s="32">
        <f>B14+C14+J14+K14</f>
        <v>141</v>
      </c>
      <c r="W14" s="32">
        <f>D14+E14+L14+M14</f>
        <v>85</v>
      </c>
      <c r="X14" s="32">
        <f>F14+G14+N14+O14</f>
        <v>13</v>
      </c>
      <c r="Y14" s="32">
        <f>SUM(V14:X14)</f>
        <v>239</v>
      </c>
      <c r="Z14" s="43">
        <f t="shared" si="10"/>
        <v>0.35564853556485354</v>
      </c>
      <c r="AA14" s="43">
        <f t="shared" si="11"/>
        <v>5.4393305439330547E-2</v>
      </c>
      <c r="AB14" s="32">
        <f>H14+I14+P14+Q14</f>
        <v>36</v>
      </c>
      <c r="AC14" s="32">
        <f>SUM(B14:I14)</f>
        <v>228</v>
      </c>
      <c r="AD14" s="34">
        <f>SUM(J14:Q14)</f>
        <v>47</v>
      </c>
      <c r="AE14" s="42">
        <f t="shared" si="12"/>
        <v>275</v>
      </c>
      <c r="AG14">
        <v>126</v>
      </c>
      <c r="AH14">
        <v>74</v>
      </c>
      <c r="AI14">
        <v>0.37</v>
      </c>
      <c r="AJ14">
        <v>116</v>
      </c>
      <c r="AK14">
        <v>44</v>
      </c>
      <c r="AL14">
        <v>7</v>
      </c>
      <c r="AM14">
        <v>167</v>
      </c>
      <c r="AN14">
        <v>0.26347305389221559</v>
      </c>
      <c r="AO14">
        <v>4.1916167664670656E-2</v>
      </c>
      <c r="AP14">
        <v>33</v>
      </c>
      <c r="AQ14">
        <v>153</v>
      </c>
      <c r="AR14">
        <v>47</v>
      </c>
      <c r="AS14">
        <v>200</v>
      </c>
      <c r="AU14" s="119">
        <f t="shared" si="13"/>
        <v>0.43650793650793651</v>
      </c>
      <c r="AV14" s="43">
        <f t="shared" si="9"/>
        <v>0.27027027027027017</v>
      </c>
      <c r="AW14" s="43">
        <f t="shared" si="9"/>
        <v>-7.6167076167076186E-2</v>
      </c>
      <c r="AX14" s="43">
        <f t="shared" si="9"/>
        <v>0.21551724137931028</v>
      </c>
      <c r="AY14" s="43">
        <f t="shared" si="9"/>
        <v>0.93181818181818188</v>
      </c>
      <c r="AZ14" s="43">
        <f t="shared" si="9"/>
        <v>0.85714285714285721</v>
      </c>
      <c r="BA14" s="43">
        <f t="shared" si="9"/>
        <v>0.43113772455089827</v>
      </c>
      <c r="BB14" s="43">
        <f t="shared" si="9"/>
        <v>0.34984785089387582</v>
      </c>
      <c r="BC14" s="43">
        <f t="shared" si="9"/>
        <v>0.29766885833831447</v>
      </c>
      <c r="BD14" s="43">
        <f t="shared" si="9"/>
        <v>9.0909090909090828E-2</v>
      </c>
      <c r="BE14" s="43">
        <f t="shared" si="9"/>
        <v>0.49019607843137258</v>
      </c>
      <c r="BF14" s="43">
        <f t="shared" si="9"/>
        <v>0</v>
      </c>
      <c r="BG14" s="120">
        <f t="shared" si="9"/>
        <v>0.375</v>
      </c>
    </row>
    <row r="15" spans="1:59" ht="15.75" thickBot="1">
      <c r="A15" s="24" t="s">
        <v>31</v>
      </c>
      <c r="B15" s="24">
        <f>SUM(B7:B10)</f>
        <v>38</v>
      </c>
      <c r="C15" s="24">
        <f t="shared" ref="C15:Q15" si="20">SUM(C7:C10)</f>
        <v>15</v>
      </c>
      <c r="D15" s="24">
        <f t="shared" si="20"/>
        <v>25</v>
      </c>
      <c r="E15" s="24">
        <f t="shared" si="20"/>
        <v>12</v>
      </c>
      <c r="F15" s="24">
        <f t="shared" si="20"/>
        <v>4</v>
      </c>
      <c r="G15" s="24">
        <f t="shared" si="20"/>
        <v>1</v>
      </c>
      <c r="H15" s="24">
        <f t="shared" si="20"/>
        <v>6</v>
      </c>
      <c r="I15" s="24">
        <f t="shared" si="20"/>
        <v>4</v>
      </c>
      <c r="J15" s="24">
        <f t="shared" si="20"/>
        <v>5</v>
      </c>
      <c r="K15" s="24">
        <f t="shared" si="20"/>
        <v>6</v>
      </c>
      <c r="L15" s="24">
        <f t="shared" si="20"/>
        <v>7</v>
      </c>
      <c r="M15" s="24">
        <f t="shared" si="20"/>
        <v>1</v>
      </c>
      <c r="N15" s="24">
        <f t="shared" si="20"/>
        <v>0</v>
      </c>
      <c r="O15" s="24">
        <f t="shared" si="20"/>
        <v>0</v>
      </c>
      <c r="P15" s="24">
        <f t="shared" si="20"/>
        <v>3</v>
      </c>
      <c r="Q15" s="24">
        <f t="shared" si="20"/>
        <v>4</v>
      </c>
      <c r="S15" s="50">
        <f t="shared" si="14"/>
        <v>88</v>
      </c>
      <c r="T15" s="35">
        <f t="shared" si="14"/>
        <v>43</v>
      </c>
      <c r="U15" s="51">
        <f>T15/(T15+S15)</f>
        <v>0.3282442748091603</v>
      </c>
      <c r="V15" s="35">
        <f>B15+C15+J15+K15</f>
        <v>64</v>
      </c>
      <c r="W15" s="35">
        <f>D15+E15+L15+M15</f>
        <v>45</v>
      </c>
      <c r="X15" s="35">
        <f>F15+G15+N15+O15</f>
        <v>5</v>
      </c>
      <c r="Y15" s="35">
        <f>SUM(V15:X15)</f>
        <v>114</v>
      </c>
      <c r="Z15" s="52">
        <f t="shared" si="10"/>
        <v>0.39473684210526316</v>
      </c>
      <c r="AA15" s="52">
        <f t="shared" si="11"/>
        <v>4.3859649122807015E-2</v>
      </c>
      <c r="AB15" s="35">
        <f>H15+I15+P15+Q15</f>
        <v>17</v>
      </c>
      <c r="AC15" s="35">
        <f>SUM(B15:I15)</f>
        <v>105</v>
      </c>
      <c r="AD15" s="36">
        <f>SUM(J15:Q15)</f>
        <v>26</v>
      </c>
      <c r="AE15" s="53">
        <f t="shared" si="12"/>
        <v>131</v>
      </c>
      <c r="AG15">
        <v>62</v>
      </c>
      <c r="AH15">
        <v>32</v>
      </c>
      <c r="AI15">
        <v>0.34042553191489361</v>
      </c>
      <c r="AJ15">
        <v>56</v>
      </c>
      <c r="AK15">
        <v>21</v>
      </c>
      <c r="AL15">
        <v>3</v>
      </c>
      <c r="AM15">
        <v>80</v>
      </c>
      <c r="AN15">
        <v>0.26250000000000001</v>
      </c>
      <c r="AO15">
        <v>3.7499999999999999E-2</v>
      </c>
      <c r="AP15">
        <v>14</v>
      </c>
      <c r="AQ15">
        <v>74</v>
      </c>
      <c r="AR15">
        <v>20</v>
      </c>
      <c r="AS15">
        <v>94</v>
      </c>
      <c r="AU15" s="56">
        <f t="shared" si="13"/>
        <v>0.41935483870967749</v>
      </c>
      <c r="AV15" s="57">
        <f t="shared" si="9"/>
        <v>0.34375</v>
      </c>
      <c r="AW15" s="57">
        <f t="shared" si="9"/>
        <v>-3.5782442748091614E-2</v>
      </c>
      <c r="AX15" s="57">
        <f t="shared" si="9"/>
        <v>0.14285714285714279</v>
      </c>
      <c r="AY15" s="57">
        <f t="shared" si="9"/>
        <v>1.1428571428571428</v>
      </c>
      <c r="AZ15" s="57">
        <f t="shared" si="9"/>
        <v>0.66666666666666674</v>
      </c>
      <c r="BA15" s="57">
        <f t="shared" si="9"/>
        <v>0.42500000000000004</v>
      </c>
      <c r="BB15" s="57">
        <f t="shared" si="9"/>
        <v>0.50375939849624052</v>
      </c>
      <c r="BC15" s="57">
        <f t="shared" si="9"/>
        <v>0.16959064327485374</v>
      </c>
      <c r="BD15" s="57">
        <f t="shared" si="9"/>
        <v>0.21428571428571419</v>
      </c>
      <c r="BE15" s="57">
        <f t="shared" si="9"/>
        <v>0.41891891891891886</v>
      </c>
      <c r="BF15" s="57">
        <f t="shared" si="9"/>
        <v>0.30000000000000004</v>
      </c>
      <c r="BG15" s="58">
        <f t="shared" si="9"/>
        <v>0.3936170212765957</v>
      </c>
    </row>
    <row r="17" spans="1:43">
      <c r="A17" t="s">
        <v>29</v>
      </c>
      <c r="B17">
        <f>SUM(B5:B8)</f>
        <v>29</v>
      </c>
      <c r="C17">
        <f t="shared" ref="C17:Q17" si="21">SUM(C5:C8)</f>
        <v>11</v>
      </c>
      <c r="D17">
        <f t="shared" si="21"/>
        <v>22</v>
      </c>
      <c r="E17">
        <f t="shared" si="21"/>
        <v>18</v>
      </c>
      <c r="F17">
        <f t="shared" si="21"/>
        <v>7</v>
      </c>
      <c r="G17">
        <f t="shared" si="21"/>
        <v>0</v>
      </c>
      <c r="H17">
        <f t="shared" si="21"/>
        <v>6</v>
      </c>
      <c r="I17">
        <f t="shared" si="21"/>
        <v>2</v>
      </c>
      <c r="J17">
        <f t="shared" si="21"/>
        <v>7</v>
      </c>
      <c r="K17">
        <f t="shared" si="21"/>
        <v>2</v>
      </c>
      <c r="L17">
        <f t="shared" si="21"/>
        <v>2</v>
      </c>
      <c r="M17">
        <f t="shared" si="21"/>
        <v>0</v>
      </c>
      <c r="N17">
        <f t="shared" si="21"/>
        <v>0</v>
      </c>
      <c r="O17">
        <f t="shared" si="21"/>
        <v>0</v>
      </c>
      <c r="P17">
        <f t="shared" si="21"/>
        <v>2</v>
      </c>
      <c r="Q17">
        <f t="shared" si="21"/>
        <v>1</v>
      </c>
    </row>
    <row r="18" spans="1:43">
      <c r="A18" t="s">
        <v>30</v>
      </c>
      <c r="B18">
        <f>SUM(B9:B12)</f>
        <v>47</v>
      </c>
      <c r="C18">
        <f t="shared" ref="C18:Q18" si="22">SUM(C9:C12)</f>
        <v>19</v>
      </c>
      <c r="D18">
        <f t="shared" si="22"/>
        <v>24</v>
      </c>
      <c r="E18">
        <f t="shared" si="22"/>
        <v>9</v>
      </c>
      <c r="F18">
        <f t="shared" si="22"/>
        <v>3</v>
      </c>
      <c r="G18">
        <f t="shared" si="22"/>
        <v>2</v>
      </c>
      <c r="H18">
        <f t="shared" si="22"/>
        <v>5</v>
      </c>
      <c r="I18">
        <f t="shared" si="22"/>
        <v>9</v>
      </c>
      <c r="J18">
        <f t="shared" si="22"/>
        <v>5</v>
      </c>
      <c r="K18">
        <f t="shared" si="22"/>
        <v>7</v>
      </c>
      <c r="L18">
        <f t="shared" si="22"/>
        <v>6</v>
      </c>
      <c r="M18">
        <f t="shared" si="22"/>
        <v>1</v>
      </c>
      <c r="N18">
        <f t="shared" si="22"/>
        <v>0</v>
      </c>
      <c r="O18">
        <f t="shared" si="22"/>
        <v>0</v>
      </c>
      <c r="P18">
        <f t="shared" si="22"/>
        <v>4</v>
      </c>
      <c r="Q18">
        <f t="shared" si="22"/>
        <v>4</v>
      </c>
    </row>
    <row r="20" spans="1:43">
      <c r="AC20" t="e">
        <f>AC14/#REF!</f>
        <v>#REF!</v>
      </c>
      <c r="AQ20">
        <v>0.49675324675324678</v>
      </c>
    </row>
    <row r="21" spans="1:43">
      <c r="AC21" t="e">
        <f>1-AC20</f>
        <v>#REF!</v>
      </c>
      <c r="AQ21">
        <v>0.50324675324675328</v>
      </c>
    </row>
  </sheetData>
  <mergeCells count="13">
    <mergeCell ref="AG2:AR2"/>
    <mergeCell ref="AU2:BF2"/>
    <mergeCell ref="P3:Q3"/>
    <mergeCell ref="B2:I2"/>
    <mergeCell ref="J2:Q2"/>
    <mergeCell ref="S2:AD2"/>
    <mergeCell ref="B3:C3"/>
    <mergeCell ref="D3:E3"/>
    <mergeCell ref="F3:G3"/>
    <mergeCell ref="H3:I3"/>
    <mergeCell ref="J3:K3"/>
    <mergeCell ref="L3:M3"/>
    <mergeCell ref="N3:O3"/>
  </mergeCells>
  <conditionalFormatting sqref="AU5:BG15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0"/>
  <sheetViews>
    <sheetView workbookViewId="0">
      <selection activeCell="G21" sqref="G21"/>
    </sheetView>
  </sheetViews>
  <sheetFormatPr baseColWidth="10" defaultColWidth="9.140625" defaultRowHeight="15"/>
  <cols>
    <col min="1" max="1" width="10.28515625" customWidth="1"/>
    <col min="2" max="17" width="5" customWidth="1"/>
    <col min="47" max="59" width="8.85546875" style="97"/>
  </cols>
  <sheetData>
    <row r="1" spans="1:59" ht="30.6" customHeight="1" thickBot="1">
      <c r="B1" s="11" t="s">
        <v>11</v>
      </c>
      <c r="C1" s="12" t="s">
        <v>34</v>
      </c>
    </row>
    <row r="2" spans="1:59" s="10" customFormat="1" ht="21.75" thickBot="1">
      <c r="A2" s="9"/>
      <c r="B2" s="141" t="s">
        <v>5</v>
      </c>
      <c r="C2" s="143"/>
      <c r="D2" s="143"/>
      <c r="E2" s="143"/>
      <c r="F2" s="143"/>
      <c r="G2" s="143"/>
      <c r="H2" s="143"/>
      <c r="I2" s="144"/>
      <c r="J2" s="141" t="s">
        <v>6</v>
      </c>
      <c r="K2" s="143"/>
      <c r="L2" s="143"/>
      <c r="M2" s="143"/>
      <c r="N2" s="143"/>
      <c r="O2" s="143"/>
      <c r="P2" s="143"/>
      <c r="Q2" s="144"/>
      <c r="R2" s="97"/>
      <c r="S2" s="138" t="str">
        <f xml:space="preserve"> "Totaux 2021 " &amp; $C1</f>
        <v>Totaux 2021 Mategnin Anneaux</v>
      </c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G2" s="138" t="str">
        <f xml:space="preserve"> "Totaux 2020 " &amp; $C1</f>
        <v>Totaux 2020 Mategnin Anneaux</v>
      </c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U2" s="139" t="str">
        <f xml:space="preserve"> "Changement depuis 2020 " &amp; $C1</f>
        <v>Changement depuis 2020 Mategnin Anneaux</v>
      </c>
      <c r="AV2" s="140"/>
      <c r="AW2" s="140"/>
      <c r="AX2" s="140"/>
      <c r="AY2" s="140"/>
      <c r="AZ2" s="140"/>
      <c r="BA2" s="140"/>
      <c r="BB2" s="140"/>
      <c r="BC2" s="140"/>
      <c r="BD2" s="140"/>
      <c r="BE2" s="140"/>
      <c r="BF2" s="140"/>
      <c r="BG2" s="115"/>
    </row>
    <row r="3" spans="1:59" s="10" customFormat="1" ht="68.45" customHeight="1">
      <c r="A3" s="9"/>
      <c r="B3" s="141" t="s">
        <v>9</v>
      </c>
      <c r="C3" s="144"/>
      <c r="D3" s="145" t="s">
        <v>7</v>
      </c>
      <c r="E3" s="142"/>
      <c r="F3" s="145" t="s">
        <v>8</v>
      </c>
      <c r="G3" s="142"/>
      <c r="H3" s="141" t="s">
        <v>0</v>
      </c>
      <c r="I3" s="142"/>
      <c r="J3" s="141" t="s">
        <v>4</v>
      </c>
      <c r="K3" s="144"/>
      <c r="L3" s="145" t="s">
        <v>7</v>
      </c>
      <c r="M3" s="142"/>
      <c r="N3" s="145" t="s">
        <v>10</v>
      </c>
      <c r="O3" s="142"/>
      <c r="P3" s="141" t="s">
        <v>0</v>
      </c>
      <c r="Q3" s="142"/>
      <c r="R3"/>
      <c r="S3" s="26" t="s">
        <v>20</v>
      </c>
      <c r="T3" s="27" t="s">
        <v>14</v>
      </c>
      <c r="U3" s="27" t="s">
        <v>15</v>
      </c>
      <c r="V3" s="27" t="s">
        <v>16</v>
      </c>
      <c r="W3" s="27" t="s">
        <v>7</v>
      </c>
      <c r="X3" s="27" t="s">
        <v>17</v>
      </c>
      <c r="Y3" s="27" t="s">
        <v>25</v>
      </c>
      <c r="Z3" s="27" t="s">
        <v>27</v>
      </c>
      <c r="AA3" s="27" t="s">
        <v>28</v>
      </c>
      <c r="AB3" s="27" t="s">
        <v>19</v>
      </c>
      <c r="AC3" s="27" t="s">
        <v>21</v>
      </c>
      <c r="AD3" s="28" t="s">
        <v>22</v>
      </c>
      <c r="AE3" s="40" t="s">
        <v>26</v>
      </c>
      <c r="AG3" s="10" t="s">
        <v>20</v>
      </c>
      <c r="AH3" s="10" t="s">
        <v>14</v>
      </c>
      <c r="AI3" s="10" t="s">
        <v>15</v>
      </c>
      <c r="AJ3" s="10" t="s">
        <v>16</v>
      </c>
      <c r="AK3" s="10" t="s">
        <v>7</v>
      </c>
      <c r="AL3" s="10" t="s">
        <v>17</v>
      </c>
      <c r="AM3" s="10" t="s">
        <v>25</v>
      </c>
      <c r="AN3" s="10" t="s">
        <v>27</v>
      </c>
      <c r="AO3" s="10" t="s">
        <v>28</v>
      </c>
      <c r="AP3" s="10" t="s">
        <v>19</v>
      </c>
      <c r="AQ3" s="10" t="s">
        <v>21</v>
      </c>
      <c r="AR3" s="10" t="s">
        <v>22</v>
      </c>
      <c r="AS3" s="10" t="s">
        <v>26</v>
      </c>
      <c r="AU3" s="117" t="s">
        <v>20</v>
      </c>
      <c r="AV3" s="116" t="s">
        <v>14</v>
      </c>
      <c r="AW3" s="116" t="s">
        <v>15</v>
      </c>
      <c r="AX3" s="116" t="s">
        <v>16</v>
      </c>
      <c r="AY3" s="116" t="s">
        <v>7</v>
      </c>
      <c r="AZ3" s="116" t="s">
        <v>17</v>
      </c>
      <c r="BA3" s="116" t="s">
        <v>25</v>
      </c>
      <c r="BB3" s="116" t="s">
        <v>27</v>
      </c>
      <c r="BC3" s="116" t="s">
        <v>28</v>
      </c>
      <c r="BD3" s="116" t="s">
        <v>19</v>
      </c>
      <c r="BE3" s="116" t="s">
        <v>21</v>
      </c>
      <c r="BF3" s="116" t="s">
        <v>22</v>
      </c>
      <c r="BG3" s="118" t="s">
        <v>26</v>
      </c>
    </row>
    <row r="4" spans="1:59" ht="21" thickBot="1">
      <c r="A4" s="1" t="s">
        <v>3</v>
      </c>
      <c r="B4" s="2" t="s">
        <v>1</v>
      </c>
      <c r="C4" s="4" t="s">
        <v>2</v>
      </c>
      <c r="D4" s="2" t="s">
        <v>1</v>
      </c>
      <c r="E4" s="4" t="s">
        <v>2</v>
      </c>
      <c r="F4" s="2" t="s">
        <v>1</v>
      </c>
      <c r="G4" s="4" t="s">
        <v>2</v>
      </c>
      <c r="H4" s="2" t="s">
        <v>1</v>
      </c>
      <c r="I4" s="3" t="s">
        <v>2</v>
      </c>
      <c r="J4" s="2" t="s">
        <v>1</v>
      </c>
      <c r="K4" s="4" t="s">
        <v>2</v>
      </c>
      <c r="L4" s="2" t="s">
        <v>1</v>
      </c>
      <c r="M4" s="4" t="s">
        <v>2</v>
      </c>
      <c r="N4" s="2" t="s">
        <v>1</v>
      </c>
      <c r="O4" s="4" t="s">
        <v>2</v>
      </c>
      <c r="P4" s="2" t="s">
        <v>1</v>
      </c>
      <c r="Q4" s="3" t="s">
        <v>2</v>
      </c>
      <c r="S4" s="29"/>
      <c r="T4" s="19"/>
      <c r="U4" s="25"/>
      <c r="V4" s="19"/>
      <c r="W4" s="19"/>
      <c r="X4" s="19"/>
      <c r="Y4" s="19"/>
      <c r="Z4" s="19"/>
      <c r="AA4" s="19"/>
      <c r="AB4" s="19"/>
      <c r="AC4" s="19"/>
      <c r="AD4" s="30"/>
      <c r="AE4" s="41"/>
      <c r="AU4" s="2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30"/>
    </row>
    <row r="5" spans="1:59" ht="21" customHeight="1">
      <c r="A5" s="13">
        <v>0.29166666666666669</v>
      </c>
      <c r="B5" s="110">
        <v>4</v>
      </c>
      <c r="C5" s="111">
        <v>4</v>
      </c>
      <c r="D5" s="112">
        <v>3</v>
      </c>
      <c r="E5" s="113">
        <v>5</v>
      </c>
      <c r="F5" s="112">
        <v>2</v>
      </c>
      <c r="G5" s="113"/>
      <c r="H5" s="110">
        <v>1</v>
      </c>
      <c r="I5" s="111"/>
      <c r="J5" s="110">
        <v>1</v>
      </c>
      <c r="K5" s="111"/>
      <c r="L5" s="112"/>
      <c r="M5" s="113"/>
      <c r="N5" s="112"/>
      <c r="O5" s="113"/>
      <c r="P5" s="110"/>
      <c r="Q5" s="111"/>
      <c r="S5" s="29">
        <f t="shared" ref="S5:T11" si="0">B5+D5+F5+H5+J5+L5+N5+P5</f>
        <v>11</v>
      </c>
      <c r="T5" s="19">
        <f t="shared" si="0"/>
        <v>9</v>
      </c>
      <c r="U5" s="25">
        <f t="shared" ref="U5:U11" si="1">T5/(T5+S5)</f>
        <v>0.45</v>
      </c>
      <c r="V5" s="19">
        <f t="shared" ref="V5:V11" si="2">B5+C5+J5+K5</f>
        <v>9</v>
      </c>
      <c r="W5" s="19">
        <f t="shared" ref="W5:W11" si="3">D5+E5+L5+M5</f>
        <v>8</v>
      </c>
      <c r="X5" s="19">
        <f t="shared" ref="X5:X11" si="4">F5+G5+N5+O5</f>
        <v>2</v>
      </c>
      <c r="Y5" s="19">
        <f t="shared" ref="Y5:Y11" si="5">SUM(V5:X5)</f>
        <v>19</v>
      </c>
      <c r="Z5" s="43">
        <f>W5/Y5</f>
        <v>0.42105263157894735</v>
      </c>
      <c r="AA5" s="43">
        <f>X5/Y5</f>
        <v>0.10526315789473684</v>
      </c>
      <c r="AB5" s="19">
        <f t="shared" ref="AB5:AB11" si="6">H5+I5+P5+Q5</f>
        <v>1</v>
      </c>
      <c r="AC5" s="19">
        <f t="shared" ref="AC5:AC11" si="7">SUM(B5:I5)</f>
        <v>19</v>
      </c>
      <c r="AD5" s="30">
        <f t="shared" ref="AD5:AD11" si="8">SUM(J5:Q5)</f>
        <v>1</v>
      </c>
      <c r="AE5" s="41">
        <f>SUM(B5:Q5)</f>
        <v>20</v>
      </c>
      <c r="AG5">
        <v>12</v>
      </c>
      <c r="AH5">
        <v>6</v>
      </c>
      <c r="AI5">
        <v>0.33333333333333331</v>
      </c>
      <c r="AJ5">
        <v>6</v>
      </c>
      <c r="AK5">
        <v>7</v>
      </c>
      <c r="AL5">
        <v>1</v>
      </c>
      <c r="AM5">
        <v>14</v>
      </c>
      <c r="AN5">
        <v>0.5</v>
      </c>
      <c r="AO5">
        <v>7.1428571428571425E-2</v>
      </c>
      <c r="AP5">
        <v>4</v>
      </c>
      <c r="AQ5">
        <v>16</v>
      </c>
      <c r="AR5">
        <v>2</v>
      </c>
      <c r="AS5">
        <v>18</v>
      </c>
      <c r="AU5" s="119">
        <f>(S5/AG5) - 1</f>
        <v>-8.333333333333337E-2</v>
      </c>
      <c r="AV5" s="43">
        <f t="shared" ref="AV5:BG15" si="9">(T5/AH5) - 1</f>
        <v>0.5</v>
      </c>
      <c r="AW5" s="43">
        <f t="shared" si="9"/>
        <v>0.35000000000000009</v>
      </c>
      <c r="AX5" s="43">
        <f t="shared" si="9"/>
        <v>0.5</v>
      </c>
      <c r="AY5" s="43">
        <f t="shared" si="9"/>
        <v>0.14285714285714279</v>
      </c>
      <c r="AZ5" s="43">
        <f t="shared" si="9"/>
        <v>1</v>
      </c>
      <c r="BA5" s="43">
        <f t="shared" si="9"/>
        <v>0.35714285714285721</v>
      </c>
      <c r="BB5" s="43">
        <f t="shared" si="9"/>
        <v>-0.15789473684210531</v>
      </c>
      <c r="BC5" s="43">
        <f t="shared" si="9"/>
        <v>0.47368421052631571</v>
      </c>
      <c r="BD5" s="43">
        <f t="shared" si="9"/>
        <v>-0.75</v>
      </c>
      <c r="BE5" s="43">
        <f t="shared" si="9"/>
        <v>0.1875</v>
      </c>
      <c r="BF5" s="43">
        <f t="shared" si="9"/>
        <v>-0.5</v>
      </c>
      <c r="BG5" s="120">
        <f t="shared" si="9"/>
        <v>0.11111111111111116</v>
      </c>
    </row>
    <row r="6" spans="1:59" ht="21" customHeight="1">
      <c r="A6" s="14">
        <v>0.30208333333333331</v>
      </c>
      <c r="B6" s="101">
        <v>4</v>
      </c>
      <c r="C6" s="102"/>
      <c r="D6" s="106">
        <v>4</v>
      </c>
      <c r="E6" s="107">
        <v>3</v>
      </c>
      <c r="F6" s="106">
        <v>1</v>
      </c>
      <c r="G6" s="107"/>
      <c r="H6" s="101">
        <v>1</v>
      </c>
      <c r="I6" s="102"/>
      <c r="J6" s="101"/>
      <c r="K6" s="102"/>
      <c r="L6" s="106"/>
      <c r="M6" s="107"/>
      <c r="N6" s="106"/>
      <c r="O6" s="107"/>
      <c r="P6" s="101"/>
      <c r="Q6" s="102"/>
      <c r="S6" s="29">
        <f t="shared" si="0"/>
        <v>10</v>
      </c>
      <c r="T6" s="19">
        <f t="shared" si="0"/>
        <v>3</v>
      </c>
      <c r="U6" s="25">
        <f t="shared" si="1"/>
        <v>0.23076923076923078</v>
      </c>
      <c r="V6" s="19">
        <f t="shared" si="2"/>
        <v>4</v>
      </c>
      <c r="W6" s="19">
        <f t="shared" si="3"/>
        <v>7</v>
      </c>
      <c r="X6" s="19">
        <f t="shared" si="4"/>
        <v>1</v>
      </c>
      <c r="Y6" s="19">
        <f t="shared" si="5"/>
        <v>12</v>
      </c>
      <c r="Z6" s="43">
        <f t="shared" ref="Z6:Z15" si="10">W6/Y6</f>
        <v>0.58333333333333337</v>
      </c>
      <c r="AA6" s="43">
        <f t="shared" ref="AA6:AA15" si="11">X6/Y6</f>
        <v>8.3333333333333329E-2</v>
      </c>
      <c r="AB6" s="19">
        <f t="shared" si="6"/>
        <v>1</v>
      </c>
      <c r="AC6" s="19">
        <f t="shared" si="7"/>
        <v>13</v>
      </c>
      <c r="AD6" s="30">
        <f t="shared" si="8"/>
        <v>0</v>
      </c>
      <c r="AE6" s="41">
        <f t="shared" ref="AE6:AE15" si="12">SUM(B6:Q6)</f>
        <v>13</v>
      </c>
      <c r="AG6">
        <v>14</v>
      </c>
      <c r="AH6">
        <v>12</v>
      </c>
      <c r="AI6">
        <v>0.46153846153846156</v>
      </c>
      <c r="AJ6">
        <v>17</v>
      </c>
      <c r="AK6">
        <v>4</v>
      </c>
      <c r="AL6">
        <v>1</v>
      </c>
      <c r="AM6">
        <v>22</v>
      </c>
      <c r="AN6">
        <v>0.18181818181818182</v>
      </c>
      <c r="AO6">
        <v>4.5454545454545456E-2</v>
      </c>
      <c r="AP6">
        <v>4</v>
      </c>
      <c r="AQ6">
        <v>23</v>
      </c>
      <c r="AR6">
        <v>3</v>
      </c>
      <c r="AS6">
        <v>26</v>
      </c>
      <c r="AU6" s="119">
        <f t="shared" ref="AU6:AU15" si="13">(S6/AG6) - 1</f>
        <v>-0.2857142857142857</v>
      </c>
      <c r="AV6" s="43">
        <f t="shared" si="9"/>
        <v>-0.75</v>
      </c>
      <c r="AW6" s="43">
        <f t="shared" si="9"/>
        <v>-0.5</v>
      </c>
      <c r="AX6" s="43">
        <f t="shared" si="9"/>
        <v>-0.76470588235294112</v>
      </c>
      <c r="AY6" s="43">
        <f t="shared" si="9"/>
        <v>0.75</v>
      </c>
      <c r="AZ6" s="43">
        <f t="shared" si="9"/>
        <v>0</v>
      </c>
      <c r="BA6" s="43">
        <f t="shared" si="9"/>
        <v>-0.45454545454545459</v>
      </c>
      <c r="BB6" s="43">
        <f t="shared" si="9"/>
        <v>2.2083333333333335</v>
      </c>
      <c r="BC6" s="43">
        <f t="shared" si="9"/>
        <v>0.83333333333333326</v>
      </c>
      <c r="BD6" s="43">
        <f t="shared" si="9"/>
        <v>-0.75</v>
      </c>
      <c r="BE6" s="43">
        <f t="shared" si="9"/>
        <v>-0.43478260869565222</v>
      </c>
      <c r="BF6" s="43">
        <f t="shared" si="9"/>
        <v>-1</v>
      </c>
      <c r="BG6" s="120">
        <f t="shared" si="9"/>
        <v>-0.5</v>
      </c>
    </row>
    <row r="7" spans="1:59" ht="21" customHeight="1" thickBot="1">
      <c r="A7" s="14">
        <v>0.3125</v>
      </c>
      <c r="B7" s="103">
        <v>4</v>
      </c>
      <c r="C7" s="104">
        <v>4</v>
      </c>
      <c r="D7" s="108">
        <v>5</v>
      </c>
      <c r="E7" s="109">
        <v>3</v>
      </c>
      <c r="F7" s="108"/>
      <c r="G7" s="109"/>
      <c r="H7" s="103">
        <v>1</v>
      </c>
      <c r="I7" s="104">
        <v>1</v>
      </c>
      <c r="J7" s="103">
        <v>1</v>
      </c>
      <c r="K7" s="104"/>
      <c r="L7" s="108">
        <v>1</v>
      </c>
      <c r="M7" s="109"/>
      <c r="N7" s="108"/>
      <c r="O7" s="109"/>
      <c r="P7" s="103"/>
      <c r="Q7" s="104"/>
      <c r="S7" s="29">
        <f t="shared" si="0"/>
        <v>12</v>
      </c>
      <c r="T7" s="19">
        <f t="shared" si="0"/>
        <v>8</v>
      </c>
      <c r="U7" s="25">
        <f t="shared" si="1"/>
        <v>0.4</v>
      </c>
      <c r="V7" s="19">
        <f t="shared" si="2"/>
        <v>9</v>
      </c>
      <c r="W7" s="19">
        <f t="shared" si="3"/>
        <v>9</v>
      </c>
      <c r="X7" s="19">
        <f t="shared" si="4"/>
        <v>0</v>
      </c>
      <c r="Y7" s="19">
        <f t="shared" si="5"/>
        <v>18</v>
      </c>
      <c r="Z7" s="43">
        <f t="shared" si="10"/>
        <v>0.5</v>
      </c>
      <c r="AA7" s="43">
        <f t="shared" si="11"/>
        <v>0</v>
      </c>
      <c r="AB7" s="19">
        <f t="shared" si="6"/>
        <v>2</v>
      </c>
      <c r="AC7" s="19">
        <f t="shared" si="7"/>
        <v>18</v>
      </c>
      <c r="AD7" s="30">
        <f t="shared" si="8"/>
        <v>2</v>
      </c>
      <c r="AE7" s="41">
        <f t="shared" si="12"/>
        <v>20</v>
      </c>
      <c r="AG7">
        <v>17</v>
      </c>
      <c r="AH7">
        <v>8</v>
      </c>
      <c r="AI7">
        <v>0.32</v>
      </c>
      <c r="AJ7">
        <v>20</v>
      </c>
      <c r="AK7">
        <v>3</v>
      </c>
      <c r="AL7">
        <v>0</v>
      </c>
      <c r="AM7">
        <v>23</v>
      </c>
      <c r="AN7">
        <v>0.13043478260869565</v>
      </c>
      <c r="AO7">
        <v>0</v>
      </c>
      <c r="AP7">
        <v>2</v>
      </c>
      <c r="AQ7">
        <v>22</v>
      </c>
      <c r="AR7">
        <v>3</v>
      </c>
      <c r="AS7">
        <v>25</v>
      </c>
      <c r="AU7" s="119">
        <f t="shared" si="13"/>
        <v>-0.29411764705882348</v>
      </c>
      <c r="AV7" s="43">
        <f t="shared" si="9"/>
        <v>0</v>
      </c>
      <c r="AW7" s="43">
        <f t="shared" si="9"/>
        <v>0.25</v>
      </c>
      <c r="AX7" s="43">
        <f t="shared" si="9"/>
        <v>-0.55000000000000004</v>
      </c>
      <c r="AY7" s="43">
        <f t="shared" si="9"/>
        <v>2</v>
      </c>
      <c r="AZ7" s="43" t="e">
        <f t="shared" si="9"/>
        <v>#DIV/0!</v>
      </c>
      <c r="BA7" s="43">
        <f t="shared" si="9"/>
        <v>-0.21739130434782605</v>
      </c>
      <c r="BB7" s="43">
        <f t="shared" si="9"/>
        <v>2.8333333333333335</v>
      </c>
      <c r="BC7" s="43" t="e">
        <f t="shared" si="9"/>
        <v>#DIV/0!</v>
      </c>
      <c r="BD7" s="43">
        <f t="shared" si="9"/>
        <v>0</v>
      </c>
      <c r="BE7" s="43">
        <f t="shared" si="9"/>
        <v>-0.18181818181818177</v>
      </c>
      <c r="BF7" s="43">
        <f t="shared" si="9"/>
        <v>-0.33333333333333337</v>
      </c>
      <c r="BG7" s="120">
        <f t="shared" si="9"/>
        <v>-0.19999999999999996</v>
      </c>
    </row>
    <row r="8" spans="1:59" ht="21" customHeight="1" thickBot="1">
      <c r="A8" s="14">
        <v>0.32291666666666669</v>
      </c>
      <c r="B8" s="110">
        <v>6</v>
      </c>
      <c r="C8" s="111">
        <v>1</v>
      </c>
      <c r="D8" s="112">
        <v>5</v>
      </c>
      <c r="E8" s="113">
        <v>5</v>
      </c>
      <c r="F8" s="112">
        <v>3</v>
      </c>
      <c r="G8" s="113"/>
      <c r="H8" s="110"/>
      <c r="I8" s="111">
        <v>1</v>
      </c>
      <c r="J8" s="110">
        <v>1</v>
      </c>
      <c r="K8" s="111"/>
      <c r="L8" s="112">
        <v>1</v>
      </c>
      <c r="M8" s="113"/>
      <c r="N8" s="112"/>
      <c r="O8" s="113"/>
      <c r="P8" s="110"/>
      <c r="Q8" s="111"/>
      <c r="S8" s="29">
        <f t="shared" si="0"/>
        <v>16</v>
      </c>
      <c r="T8" s="19">
        <f t="shared" si="0"/>
        <v>7</v>
      </c>
      <c r="U8" s="25">
        <f t="shared" si="1"/>
        <v>0.30434782608695654</v>
      </c>
      <c r="V8" s="19">
        <f t="shared" si="2"/>
        <v>8</v>
      </c>
      <c r="W8" s="19">
        <f t="shared" si="3"/>
        <v>11</v>
      </c>
      <c r="X8" s="19">
        <f t="shared" si="4"/>
        <v>3</v>
      </c>
      <c r="Y8" s="19">
        <f t="shared" si="5"/>
        <v>22</v>
      </c>
      <c r="Z8" s="43">
        <f t="shared" si="10"/>
        <v>0.5</v>
      </c>
      <c r="AA8" s="43">
        <f t="shared" si="11"/>
        <v>0.13636363636363635</v>
      </c>
      <c r="AB8" s="19">
        <f t="shared" si="6"/>
        <v>1</v>
      </c>
      <c r="AC8" s="19">
        <f t="shared" si="7"/>
        <v>21</v>
      </c>
      <c r="AD8" s="30">
        <f t="shared" si="8"/>
        <v>2</v>
      </c>
      <c r="AE8" s="41">
        <f t="shared" si="12"/>
        <v>23</v>
      </c>
      <c r="AG8">
        <v>13</v>
      </c>
      <c r="AH8">
        <v>4</v>
      </c>
      <c r="AI8">
        <v>0.23529411764705882</v>
      </c>
      <c r="AJ8">
        <v>6</v>
      </c>
      <c r="AK8">
        <v>5</v>
      </c>
      <c r="AL8">
        <v>1</v>
      </c>
      <c r="AM8">
        <v>12</v>
      </c>
      <c r="AN8">
        <v>0.41666666666666669</v>
      </c>
      <c r="AO8">
        <v>8.3333333333333329E-2</v>
      </c>
      <c r="AP8">
        <v>5</v>
      </c>
      <c r="AQ8">
        <v>13</v>
      </c>
      <c r="AR8">
        <v>4</v>
      </c>
      <c r="AS8">
        <v>17</v>
      </c>
      <c r="AU8" s="119">
        <f t="shared" si="13"/>
        <v>0.23076923076923084</v>
      </c>
      <c r="AV8" s="43">
        <f t="shared" si="9"/>
        <v>0.75</v>
      </c>
      <c r="AW8" s="43">
        <f t="shared" si="9"/>
        <v>0.29347826086956541</v>
      </c>
      <c r="AX8" s="43">
        <f t="shared" si="9"/>
        <v>0.33333333333333326</v>
      </c>
      <c r="AY8" s="43">
        <f t="shared" si="9"/>
        <v>1.2000000000000002</v>
      </c>
      <c r="AZ8" s="43">
        <f t="shared" si="9"/>
        <v>2</v>
      </c>
      <c r="BA8" s="43">
        <f t="shared" si="9"/>
        <v>0.83333333333333326</v>
      </c>
      <c r="BB8" s="43">
        <f t="shared" si="9"/>
        <v>0.19999999999999996</v>
      </c>
      <c r="BC8" s="43">
        <f t="shared" si="9"/>
        <v>0.63636363636363624</v>
      </c>
      <c r="BD8" s="43">
        <f t="shared" si="9"/>
        <v>-0.8</v>
      </c>
      <c r="BE8" s="43">
        <f t="shared" si="9"/>
        <v>0.61538461538461542</v>
      </c>
      <c r="BF8" s="43">
        <f t="shared" si="9"/>
        <v>-0.5</v>
      </c>
      <c r="BG8" s="120">
        <f t="shared" si="9"/>
        <v>0.35294117647058831</v>
      </c>
    </row>
    <row r="9" spans="1:59" ht="21" customHeight="1">
      <c r="A9" s="13">
        <v>0.33333333333333331</v>
      </c>
      <c r="B9" s="101">
        <v>9</v>
      </c>
      <c r="C9" s="102">
        <v>3</v>
      </c>
      <c r="D9" s="106">
        <v>4</v>
      </c>
      <c r="E9" s="107">
        <v>2</v>
      </c>
      <c r="F9" s="106"/>
      <c r="G9" s="107">
        <v>1</v>
      </c>
      <c r="H9" s="101">
        <v>1</v>
      </c>
      <c r="I9" s="102">
        <v>1</v>
      </c>
      <c r="J9" s="101"/>
      <c r="K9" s="102">
        <v>1</v>
      </c>
      <c r="L9" s="106">
        <v>2</v>
      </c>
      <c r="M9" s="107"/>
      <c r="N9" s="106"/>
      <c r="O9" s="107"/>
      <c r="P9" s="101"/>
      <c r="Q9" s="102">
        <v>1</v>
      </c>
      <c r="S9" s="29">
        <f t="shared" si="0"/>
        <v>16</v>
      </c>
      <c r="T9" s="19">
        <f t="shared" si="0"/>
        <v>9</v>
      </c>
      <c r="U9" s="25">
        <f t="shared" si="1"/>
        <v>0.36</v>
      </c>
      <c r="V9" s="19">
        <f t="shared" si="2"/>
        <v>13</v>
      </c>
      <c r="W9" s="19">
        <f t="shared" si="3"/>
        <v>8</v>
      </c>
      <c r="X9" s="19">
        <f t="shared" si="4"/>
        <v>1</v>
      </c>
      <c r="Y9" s="19">
        <f t="shared" si="5"/>
        <v>22</v>
      </c>
      <c r="Z9" s="43">
        <f t="shared" si="10"/>
        <v>0.36363636363636365</v>
      </c>
      <c r="AA9" s="43">
        <f t="shared" si="11"/>
        <v>4.5454545454545456E-2</v>
      </c>
      <c r="AB9" s="19">
        <f t="shared" si="6"/>
        <v>3</v>
      </c>
      <c r="AC9" s="19">
        <f t="shared" si="7"/>
        <v>21</v>
      </c>
      <c r="AD9" s="30">
        <f t="shared" si="8"/>
        <v>4</v>
      </c>
      <c r="AE9" s="41">
        <f t="shared" si="12"/>
        <v>25</v>
      </c>
      <c r="AG9">
        <v>10</v>
      </c>
      <c r="AH9">
        <v>3</v>
      </c>
      <c r="AI9">
        <v>0.23076923076923078</v>
      </c>
      <c r="AJ9">
        <v>6</v>
      </c>
      <c r="AK9">
        <v>6</v>
      </c>
      <c r="AL9">
        <v>0</v>
      </c>
      <c r="AM9">
        <v>12</v>
      </c>
      <c r="AN9">
        <v>0.5</v>
      </c>
      <c r="AO9">
        <v>0</v>
      </c>
      <c r="AP9">
        <v>1</v>
      </c>
      <c r="AQ9">
        <v>11</v>
      </c>
      <c r="AR9">
        <v>2</v>
      </c>
      <c r="AS9">
        <v>13</v>
      </c>
      <c r="AU9" s="119">
        <f t="shared" si="13"/>
        <v>0.60000000000000009</v>
      </c>
      <c r="AV9" s="43">
        <f t="shared" si="9"/>
        <v>2</v>
      </c>
      <c r="AW9" s="43">
        <f t="shared" si="9"/>
        <v>0.55999999999999983</v>
      </c>
      <c r="AX9" s="43">
        <f t="shared" si="9"/>
        <v>1.1666666666666665</v>
      </c>
      <c r="AY9" s="43">
        <f t="shared" si="9"/>
        <v>0.33333333333333326</v>
      </c>
      <c r="AZ9" s="43" t="e">
        <f t="shared" si="9"/>
        <v>#DIV/0!</v>
      </c>
      <c r="BA9" s="43">
        <f t="shared" si="9"/>
        <v>0.83333333333333326</v>
      </c>
      <c r="BB9" s="43">
        <f t="shared" si="9"/>
        <v>-0.27272727272727271</v>
      </c>
      <c r="BC9" s="43" t="e">
        <f t="shared" si="9"/>
        <v>#DIV/0!</v>
      </c>
      <c r="BD9" s="43">
        <f t="shared" si="9"/>
        <v>2</v>
      </c>
      <c r="BE9" s="43">
        <f t="shared" si="9"/>
        <v>0.90909090909090917</v>
      </c>
      <c r="BF9" s="43">
        <f t="shared" si="9"/>
        <v>1</v>
      </c>
      <c r="BG9" s="120">
        <f t="shared" si="9"/>
        <v>0.92307692307692313</v>
      </c>
    </row>
    <row r="10" spans="1:59" ht="21" customHeight="1" thickBot="1">
      <c r="A10" s="14">
        <v>0.34375</v>
      </c>
      <c r="B10" s="103">
        <v>6</v>
      </c>
      <c r="C10" s="104"/>
      <c r="D10" s="108">
        <v>3</v>
      </c>
      <c r="E10" s="109"/>
      <c r="F10" s="108">
        <v>1</v>
      </c>
      <c r="G10" s="109"/>
      <c r="H10" s="103">
        <v>1</v>
      </c>
      <c r="I10" s="104">
        <v>1</v>
      </c>
      <c r="J10" s="103">
        <v>1</v>
      </c>
      <c r="K10" s="104">
        <v>2</v>
      </c>
      <c r="L10" s="108">
        <v>2</v>
      </c>
      <c r="M10" s="109">
        <v>1</v>
      </c>
      <c r="N10" s="108"/>
      <c r="O10" s="109"/>
      <c r="P10" s="103"/>
      <c r="Q10" s="104"/>
      <c r="S10" s="29">
        <f t="shared" si="0"/>
        <v>14</v>
      </c>
      <c r="T10" s="19">
        <f t="shared" si="0"/>
        <v>4</v>
      </c>
      <c r="U10" s="25">
        <f t="shared" si="1"/>
        <v>0.22222222222222221</v>
      </c>
      <c r="V10" s="19">
        <f t="shared" si="2"/>
        <v>9</v>
      </c>
      <c r="W10" s="19">
        <f t="shared" si="3"/>
        <v>6</v>
      </c>
      <c r="X10" s="19">
        <f t="shared" si="4"/>
        <v>1</v>
      </c>
      <c r="Y10" s="19">
        <f t="shared" si="5"/>
        <v>16</v>
      </c>
      <c r="Z10" s="43">
        <f t="shared" si="10"/>
        <v>0.375</v>
      </c>
      <c r="AA10" s="43">
        <f t="shared" si="11"/>
        <v>6.25E-2</v>
      </c>
      <c r="AB10" s="19">
        <f t="shared" si="6"/>
        <v>2</v>
      </c>
      <c r="AC10" s="19">
        <f t="shared" si="7"/>
        <v>12</v>
      </c>
      <c r="AD10" s="30">
        <f t="shared" si="8"/>
        <v>6</v>
      </c>
      <c r="AE10" s="41">
        <f t="shared" si="12"/>
        <v>18</v>
      </c>
      <c r="AG10">
        <v>11</v>
      </c>
      <c r="AH10">
        <v>11</v>
      </c>
      <c r="AI10">
        <v>0.5</v>
      </c>
      <c r="AJ10">
        <v>13</v>
      </c>
      <c r="AK10">
        <v>4</v>
      </c>
      <c r="AL10">
        <v>0</v>
      </c>
      <c r="AM10">
        <v>17</v>
      </c>
      <c r="AN10">
        <v>0.23529411764705882</v>
      </c>
      <c r="AO10">
        <v>0</v>
      </c>
      <c r="AP10">
        <v>5</v>
      </c>
      <c r="AQ10">
        <v>18</v>
      </c>
      <c r="AR10">
        <v>4</v>
      </c>
      <c r="AS10">
        <v>22</v>
      </c>
      <c r="AU10" s="119">
        <f t="shared" si="13"/>
        <v>0.27272727272727271</v>
      </c>
      <c r="AV10" s="43">
        <f t="shared" si="9"/>
        <v>-0.63636363636363635</v>
      </c>
      <c r="AW10" s="43">
        <f t="shared" si="9"/>
        <v>-0.55555555555555558</v>
      </c>
      <c r="AX10" s="43">
        <f t="shared" si="9"/>
        <v>-0.30769230769230771</v>
      </c>
      <c r="AY10" s="43">
        <f t="shared" si="9"/>
        <v>0.5</v>
      </c>
      <c r="AZ10" s="43" t="e">
        <f t="shared" si="9"/>
        <v>#DIV/0!</v>
      </c>
      <c r="BA10" s="43">
        <f t="shared" si="9"/>
        <v>-5.8823529411764719E-2</v>
      </c>
      <c r="BB10" s="43">
        <f t="shared" si="9"/>
        <v>0.59375</v>
      </c>
      <c r="BC10" s="43" t="e">
        <f t="shared" si="9"/>
        <v>#DIV/0!</v>
      </c>
      <c r="BD10" s="43">
        <f t="shared" si="9"/>
        <v>-0.6</v>
      </c>
      <c r="BE10" s="43">
        <f t="shared" si="9"/>
        <v>-0.33333333333333337</v>
      </c>
      <c r="BF10" s="43">
        <f t="shared" si="9"/>
        <v>0.5</v>
      </c>
      <c r="BG10" s="120">
        <f t="shared" si="9"/>
        <v>-0.18181818181818177</v>
      </c>
    </row>
    <row r="11" spans="1:59" ht="21" customHeight="1">
      <c r="A11" s="14">
        <v>0.35416666666666669</v>
      </c>
      <c r="B11" s="110">
        <v>8</v>
      </c>
      <c r="C11" s="111">
        <v>1</v>
      </c>
      <c r="D11" s="112">
        <v>5</v>
      </c>
      <c r="E11" s="113">
        <v>2</v>
      </c>
      <c r="F11" s="112">
        <v>1</v>
      </c>
      <c r="G11" s="113"/>
      <c r="H11" s="110">
        <v>1</v>
      </c>
      <c r="I11" s="111">
        <v>5</v>
      </c>
      <c r="J11" s="110">
        <v>2</v>
      </c>
      <c r="K11" s="111">
        <v>1</v>
      </c>
      <c r="L11" s="112"/>
      <c r="M11" s="113"/>
      <c r="N11" s="112"/>
      <c r="O11" s="113"/>
      <c r="P11" s="110"/>
      <c r="Q11" s="111"/>
      <c r="S11" s="29">
        <f t="shared" si="0"/>
        <v>17</v>
      </c>
      <c r="T11" s="19">
        <f t="shared" si="0"/>
        <v>9</v>
      </c>
      <c r="U11" s="25">
        <f t="shared" si="1"/>
        <v>0.34615384615384615</v>
      </c>
      <c r="V11" s="19">
        <f t="shared" si="2"/>
        <v>12</v>
      </c>
      <c r="W11" s="19">
        <f t="shared" si="3"/>
        <v>7</v>
      </c>
      <c r="X11" s="19">
        <f t="shared" si="4"/>
        <v>1</v>
      </c>
      <c r="Y11" s="19">
        <f t="shared" si="5"/>
        <v>20</v>
      </c>
      <c r="Z11" s="43">
        <f t="shared" si="10"/>
        <v>0.35</v>
      </c>
      <c r="AA11" s="43">
        <f t="shared" si="11"/>
        <v>0.05</v>
      </c>
      <c r="AB11" s="19">
        <f t="shared" si="6"/>
        <v>6</v>
      </c>
      <c r="AC11" s="19">
        <f t="shared" si="7"/>
        <v>23</v>
      </c>
      <c r="AD11" s="30">
        <f t="shared" si="8"/>
        <v>3</v>
      </c>
      <c r="AE11" s="41">
        <f t="shared" si="12"/>
        <v>26</v>
      </c>
      <c r="AG11">
        <v>17</v>
      </c>
      <c r="AH11">
        <v>6</v>
      </c>
      <c r="AI11">
        <v>0.2608695652173913</v>
      </c>
      <c r="AJ11">
        <v>14</v>
      </c>
      <c r="AK11">
        <v>6</v>
      </c>
      <c r="AL11">
        <v>0</v>
      </c>
      <c r="AM11">
        <v>20</v>
      </c>
      <c r="AN11">
        <v>0.3</v>
      </c>
      <c r="AO11">
        <v>0</v>
      </c>
      <c r="AP11">
        <v>3</v>
      </c>
      <c r="AQ11">
        <v>17</v>
      </c>
      <c r="AR11">
        <v>6</v>
      </c>
      <c r="AS11">
        <v>23</v>
      </c>
      <c r="AU11" s="119">
        <f t="shared" si="13"/>
        <v>0</v>
      </c>
      <c r="AV11" s="43">
        <f t="shared" si="9"/>
        <v>0.5</v>
      </c>
      <c r="AW11" s="43">
        <f t="shared" si="9"/>
        <v>0.32692307692307687</v>
      </c>
      <c r="AX11" s="43">
        <f t="shared" si="9"/>
        <v>-0.1428571428571429</v>
      </c>
      <c r="AY11" s="43">
        <f t="shared" si="9"/>
        <v>0.16666666666666674</v>
      </c>
      <c r="AZ11" s="43" t="e">
        <f t="shared" si="9"/>
        <v>#DIV/0!</v>
      </c>
      <c r="BA11" s="43">
        <f t="shared" si="9"/>
        <v>0</v>
      </c>
      <c r="BB11" s="43">
        <f t="shared" si="9"/>
        <v>0.16666666666666674</v>
      </c>
      <c r="BC11" s="43" t="e">
        <f t="shared" si="9"/>
        <v>#DIV/0!</v>
      </c>
      <c r="BD11" s="43">
        <f t="shared" si="9"/>
        <v>1</v>
      </c>
      <c r="BE11" s="43">
        <f t="shared" si="9"/>
        <v>0.35294117647058831</v>
      </c>
      <c r="BF11" s="43">
        <f t="shared" si="9"/>
        <v>-0.5</v>
      </c>
      <c r="BG11" s="120">
        <f t="shared" si="9"/>
        <v>0.13043478260869557</v>
      </c>
    </row>
    <row r="12" spans="1:59" ht="21" customHeight="1">
      <c r="A12" s="14">
        <v>0.36458333333333331</v>
      </c>
      <c r="B12" s="101">
        <v>6</v>
      </c>
      <c r="C12" s="102">
        <v>9</v>
      </c>
      <c r="D12" s="106">
        <v>3</v>
      </c>
      <c r="E12" s="107">
        <v>2</v>
      </c>
      <c r="F12" s="106">
        <v>1</v>
      </c>
      <c r="G12" s="107"/>
      <c r="H12" s="101"/>
      <c r="I12" s="102">
        <v>2</v>
      </c>
      <c r="J12" s="101">
        <v>1</v>
      </c>
      <c r="K12" s="102"/>
      <c r="L12" s="106"/>
      <c r="M12" s="107"/>
      <c r="N12" s="106"/>
      <c r="O12" s="107"/>
      <c r="P12" s="101"/>
      <c r="Q12" s="102"/>
      <c r="S12" s="29">
        <f t="shared" ref="S12:T15" si="14">B12+D12+F12+H12+J12+L12+N12+P12</f>
        <v>11</v>
      </c>
      <c r="T12" s="19">
        <f t="shared" si="14"/>
        <v>13</v>
      </c>
      <c r="U12" s="25">
        <f>T12/(T12+S12)</f>
        <v>0.54166666666666663</v>
      </c>
      <c r="V12" s="19">
        <f>B12+C12+J12+K12</f>
        <v>16</v>
      </c>
      <c r="W12" s="19">
        <f>D12+E12+L12+M12</f>
        <v>5</v>
      </c>
      <c r="X12" s="19">
        <f>F12+G12+N12+O12</f>
        <v>1</v>
      </c>
      <c r="Y12" s="19">
        <f>SUM(V12:X12)</f>
        <v>22</v>
      </c>
      <c r="Z12" s="43">
        <f t="shared" si="10"/>
        <v>0.22727272727272727</v>
      </c>
      <c r="AA12" s="43">
        <f t="shared" si="11"/>
        <v>4.5454545454545456E-2</v>
      </c>
      <c r="AB12" s="19">
        <f>H12+I12+P12+Q12</f>
        <v>2</v>
      </c>
      <c r="AC12" s="19">
        <f>SUM(B12:I12)</f>
        <v>23</v>
      </c>
      <c r="AD12" s="30">
        <f>SUM(J12:Q12)</f>
        <v>1</v>
      </c>
      <c r="AE12" s="41">
        <f t="shared" si="12"/>
        <v>24</v>
      </c>
      <c r="AG12">
        <v>12</v>
      </c>
      <c r="AH12">
        <v>12</v>
      </c>
      <c r="AI12">
        <v>0.5</v>
      </c>
      <c r="AJ12">
        <v>12</v>
      </c>
      <c r="AK12">
        <v>5</v>
      </c>
      <c r="AL12">
        <v>1</v>
      </c>
      <c r="AM12">
        <v>18</v>
      </c>
      <c r="AN12">
        <v>0.27777777777777779</v>
      </c>
      <c r="AO12">
        <v>5.5555555555555552E-2</v>
      </c>
      <c r="AP12">
        <v>6</v>
      </c>
      <c r="AQ12">
        <v>12</v>
      </c>
      <c r="AR12">
        <v>12</v>
      </c>
      <c r="AS12">
        <v>24</v>
      </c>
      <c r="AU12" s="119">
        <f t="shared" si="13"/>
        <v>-8.333333333333337E-2</v>
      </c>
      <c r="AV12" s="43">
        <f t="shared" si="9"/>
        <v>8.3333333333333259E-2</v>
      </c>
      <c r="AW12" s="43">
        <f t="shared" si="9"/>
        <v>8.3333333333333259E-2</v>
      </c>
      <c r="AX12" s="43">
        <f t="shared" si="9"/>
        <v>0.33333333333333326</v>
      </c>
      <c r="AY12" s="43">
        <f t="shared" si="9"/>
        <v>0</v>
      </c>
      <c r="AZ12" s="43">
        <f t="shared" si="9"/>
        <v>0</v>
      </c>
      <c r="BA12" s="43">
        <f t="shared" si="9"/>
        <v>0.22222222222222232</v>
      </c>
      <c r="BB12" s="43">
        <f t="shared" si="9"/>
        <v>-0.18181818181818188</v>
      </c>
      <c r="BC12" s="43">
        <f t="shared" si="9"/>
        <v>-0.18181818181818177</v>
      </c>
      <c r="BD12" s="43">
        <f t="shared" si="9"/>
        <v>-0.66666666666666674</v>
      </c>
      <c r="BE12" s="43">
        <f t="shared" si="9"/>
        <v>0.91666666666666674</v>
      </c>
      <c r="BF12" s="43">
        <f t="shared" si="9"/>
        <v>-0.91666666666666663</v>
      </c>
      <c r="BG12" s="120">
        <f t="shared" si="9"/>
        <v>0</v>
      </c>
    </row>
    <row r="13" spans="1:59" s="97" customFormat="1" ht="21" customHeight="1" thickBot="1">
      <c r="A13" s="14">
        <v>0.375</v>
      </c>
      <c r="B13" s="103">
        <v>2</v>
      </c>
      <c r="C13" s="104">
        <v>3</v>
      </c>
      <c r="D13" s="108"/>
      <c r="E13" s="109"/>
      <c r="F13" s="108">
        <v>1</v>
      </c>
      <c r="G13" s="109"/>
      <c r="H13" s="103"/>
      <c r="I13" s="104"/>
      <c r="J13" s="103"/>
      <c r="K13" s="104"/>
      <c r="L13" s="108"/>
      <c r="M13" s="109"/>
      <c r="N13" s="108"/>
      <c r="O13" s="109"/>
      <c r="P13" s="103">
        <v>1</v>
      </c>
      <c r="Q13" s="104">
        <v>1</v>
      </c>
      <c r="S13" s="44"/>
      <c r="T13" s="45"/>
      <c r="U13" s="46"/>
      <c r="V13" s="45"/>
      <c r="W13" s="45"/>
      <c r="X13" s="45"/>
      <c r="Y13" s="45"/>
      <c r="Z13" s="43"/>
      <c r="AA13" s="43"/>
      <c r="AB13" s="45"/>
      <c r="AC13" s="45"/>
      <c r="AD13" s="48"/>
      <c r="AE13" s="49"/>
      <c r="AU13" s="119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120"/>
    </row>
    <row r="14" spans="1:59" ht="21" thickBot="1">
      <c r="A14" s="24" t="s">
        <v>13</v>
      </c>
      <c r="B14" s="103">
        <f t="shared" ref="B14:Q14" si="15">SUM(B5:B13)</f>
        <v>49</v>
      </c>
      <c r="C14" s="103">
        <f t="shared" si="15"/>
        <v>25</v>
      </c>
      <c r="D14" s="103">
        <f t="shared" si="15"/>
        <v>32</v>
      </c>
      <c r="E14" s="103">
        <f t="shared" si="15"/>
        <v>22</v>
      </c>
      <c r="F14" s="103">
        <f t="shared" si="15"/>
        <v>10</v>
      </c>
      <c r="G14" s="103">
        <f t="shared" si="15"/>
        <v>1</v>
      </c>
      <c r="H14" s="103">
        <f t="shared" si="15"/>
        <v>6</v>
      </c>
      <c r="I14" s="103">
        <f t="shared" si="15"/>
        <v>11</v>
      </c>
      <c r="J14" s="103">
        <f t="shared" si="15"/>
        <v>7</v>
      </c>
      <c r="K14" s="103">
        <f t="shared" si="15"/>
        <v>4</v>
      </c>
      <c r="L14" s="103">
        <f t="shared" si="15"/>
        <v>6</v>
      </c>
      <c r="M14" s="103">
        <f t="shared" si="15"/>
        <v>1</v>
      </c>
      <c r="N14" s="103">
        <f t="shared" si="15"/>
        <v>0</v>
      </c>
      <c r="O14" s="103">
        <f t="shared" si="15"/>
        <v>0</v>
      </c>
      <c r="P14" s="103">
        <f t="shared" si="15"/>
        <v>1</v>
      </c>
      <c r="Q14" s="103">
        <f t="shared" si="15"/>
        <v>2</v>
      </c>
      <c r="S14" s="31">
        <f t="shared" si="14"/>
        <v>111</v>
      </c>
      <c r="T14" s="32">
        <f t="shared" si="14"/>
        <v>66</v>
      </c>
      <c r="U14" s="33">
        <f>T14/(T14+S14)</f>
        <v>0.3728813559322034</v>
      </c>
      <c r="V14" s="32">
        <f>B14+C14+J14+K14</f>
        <v>85</v>
      </c>
      <c r="W14" s="32">
        <f>D14+E14+L14+M14</f>
        <v>61</v>
      </c>
      <c r="X14" s="32">
        <f>F14+G14+N14+O14</f>
        <v>11</v>
      </c>
      <c r="Y14" s="32">
        <f>SUM(V14:X14)</f>
        <v>157</v>
      </c>
      <c r="Z14" s="43">
        <f t="shared" si="10"/>
        <v>0.38853503184713378</v>
      </c>
      <c r="AA14" s="43">
        <f t="shared" si="11"/>
        <v>7.0063694267515922E-2</v>
      </c>
      <c r="AB14" s="32">
        <f>H14+I14+P14+Q14</f>
        <v>20</v>
      </c>
      <c r="AC14" s="32">
        <f>SUM(B14:I14)</f>
        <v>156</v>
      </c>
      <c r="AD14" s="34">
        <f>SUM(J14:Q14)</f>
        <v>21</v>
      </c>
      <c r="AE14" s="42">
        <f t="shared" si="12"/>
        <v>177</v>
      </c>
      <c r="AG14">
        <v>106</v>
      </c>
      <c r="AH14">
        <v>62</v>
      </c>
      <c r="AI14">
        <v>0.36904761904761907</v>
      </c>
      <c r="AJ14">
        <v>94</v>
      </c>
      <c r="AK14">
        <v>40</v>
      </c>
      <c r="AL14">
        <v>4</v>
      </c>
      <c r="AM14">
        <v>138</v>
      </c>
      <c r="AN14">
        <v>0.28985507246376813</v>
      </c>
      <c r="AO14">
        <v>2.8985507246376812E-2</v>
      </c>
      <c r="AP14">
        <v>30</v>
      </c>
      <c r="AQ14">
        <v>132</v>
      </c>
      <c r="AR14">
        <v>36</v>
      </c>
      <c r="AS14">
        <v>168</v>
      </c>
      <c r="AU14" s="119">
        <f t="shared" si="13"/>
        <v>4.7169811320754818E-2</v>
      </c>
      <c r="AV14" s="43">
        <f t="shared" si="9"/>
        <v>6.4516129032258007E-2</v>
      </c>
      <c r="AW14" s="43">
        <f t="shared" si="9"/>
        <v>1.0388190267905939E-2</v>
      </c>
      <c r="AX14" s="43">
        <f t="shared" si="9"/>
        <v>-9.5744680851063801E-2</v>
      </c>
      <c r="AY14" s="43">
        <f t="shared" si="9"/>
        <v>0.52499999999999991</v>
      </c>
      <c r="AZ14" s="43">
        <f t="shared" si="9"/>
        <v>1.75</v>
      </c>
      <c r="BA14" s="43">
        <f t="shared" si="9"/>
        <v>0.1376811594202898</v>
      </c>
      <c r="BB14" s="43">
        <f t="shared" si="9"/>
        <v>0.34044585987261144</v>
      </c>
      <c r="BC14" s="43">
        <f t="shared" si="9"/>
        <v>1.4171974522292992</v>
      </c>
      <c r="BD14" s="43">
        <f t="shared" si="9"/>
        <v>-0.33333333333333337</v>
      </c>
      <c r="BE14" s="43">
        <f t="shared" si="9"/>
        <v>0.18181818181818188</v>
      </c>
      <c r="BF14" s="43">
        <f t="shared" si="9"/>
        <v>-0.41666666666666663</v>
      </c>
      <c r="BG14" s="120">
        <f t="shared" si="9"/>
        <v>5.3571428571428603E-2</v>
      </c>
    </row>
    <row r="15" spans="1:59" ht="15.75" thickBot="1">
      <c r="A15" s="24" t="s">
        <v>31</v>
      </c>
      <c r="B15" s="24">
        <f t="shared" ref="B15:Q15" si="16">SUM(B7:B10)</f>
        <v>25</v>
      </c>
      <c r="C15" s="24">
        <f t="shared" si="16"/>
        <v>8</v>
      </c>
      <c r="D15" s="24">
        <f t="shared" si="16"/>
        <v>17</v>
      </c>
      <c r="E15" s="24">
        <f t="shared" si="16"/>
        <v>10</v>
      </c>
      <c r="F15" s="24">
        <f t="shared" si="16"/>
        <v>4</v>
      </c>
      <c r="G15" s="24">
        <f t="shared" si="16"/>
        <v>1</v>
      </c>
      <c r="H15" s="24">
        <f t="shared" si="16"/>
        <v>3</v>
      </c>
      <c r="I15" s="24">
        <f t="shared" si="16"/>
        <v>4</v>
      </c>
      <c r="J15" s="24">
        <f t="shared" si="16"/>
        <v>3</v>
      </c>
      <c r="K15" s="24">
        <f t="shared" si="16"/>
        <v>3</v>
      </c>
      <c r="L15" s="24">
        <f t="shared" si="16"/>
        <v>6</v>
      </c>
      <c r="M15" s="24">
        <f t="shared" si="16"/>
        <v>1</v>
      </c>
      <c r="N15" s="24">
        <f t="shared" si="16"/>
        <v>0</v>
      </c>
      <c r="O15" s="24">
        <f t="shared" si="16"/>
        <v>0</v>
      </c>
      <c r="P15" s="24">
        <f t="shared" si="16"/>
        <v>0</v>
      </c>
      <c r="Q15" s="24">
        <f t="shared" si="16"/>
        <v>1</v>
      </c>
      <c r="S15" s="50">
        <f t="shared" si="14"/>
        <v>58</v>
      </c>
      <c r="T15" s="35">
        <f t="shared" si="14"/>
        <v>28</v>
      </c>
      <c r="U15" s="51">
        <f>T15/(T15+S15)</f>
        <v>0.32558139534883723</v>
      </c>
      <c r="V15" s="35">
        <f>B15+C15+J15+K15</f>
        <v>39</v>
      </c>
      <c r="W15" s="35">
        <f>D15+E15+L15+M15</f>
        <v>34</v>
      </c>
      <c r="X15" s="35">
        <f>F15+G15+N15+O15</f>
        <v>5</v>
      </c>
      <c r="Y15" s="35">
        <f>SUM(V15:X15)</f>
        <v>78</v>
      </c>
      <c r="Z15" s="52">
        <f t="shared" si="10"/>
        <v>0.4358974358974359</v>
      </c>
      <c r="AA15" s="52">
        <f t="shared" si="11"/>
        <v>6.4102564102564097E-2</v>
      </c>
      <c r="AB15" s="35">
        <f>H15+I15+P15+Q15</f>
        <v>8</v>
      </c>
      <c r="AC15" s="35">
        <f>SUM(B15:I15)</f>
        <v>72</v>
      </c>
      <c r="AD15" s="36">
        <f>SUM(J15:Q15)</f>
        <v>14</v>
      </c>
      <c r="AE15" s="53">
        <f t="shared" si="12"/>
        <v>86</v>
      </c>
      <c r="AG15">
        <v>51</v>
      </c>
      <c r="AH15">
        <v>26</v>
      </c>
      <c r="AI15">
        <v>0.33766233766233766</v>
      </c>
      <c r="AJ15">
        <v>45</v>
      </c>
      <c r="AK15">
        <v>18</v>
      </c>
      <c r="AL15">
        <v>1</v>
      </c>
      <c r="AM15">
        <v>64</v>
      </c>
      <c r="AN15">
        <v>0.28125</v>
      </c>
      <c r="AO15">
        <v>1.5625E-2</v>
      </c>
      <c r="AP15">
        <v>13</v>
      </c>
      <c r="AQ15">
        <v>64</v>
      </c>
      <c r="AR15">
        <v>13</v>
      </c>
      <c r="AS15">
        <v>77</v>
      </c>
      <c r="AU15" s="56">
        <f t="shared" si="13"/>
        <v>0.13725490196078427</v>
      </c>
      <c r="AV15" s="57">
        <f t="shared" si="9"/>
        <v>7.6923076923076872E-2</v>
      </c>
      <c r="AW15" s="57">
        <f t="shared" si="9"/>
        <v>-3.5778175313058935E-2</v>
      </c>
      <c r="AX15" s="57">
        <f t="shared" si="9"/>
        <v>-0.1333333333333333</v>
      </c>
      <c r="AY15" s="57">
        <f t="shared" si="9"/>
        <v>0.88888888888888884</v>
      </c>
      <c r="AZ15" s="57">
        <f t="shared" si="9"/>
        <v>4</v>
      </c>
      <c r="BA15" s="57">
        <f t="shared" si="9"/>
        <v>0.21875</v>
      </c>
      <c r="BB15" s="57">
        <f t="shared" si="9"/>
        <v>0.54985754985754998</v>
      </c>
      <c r="BC15" s="57">
        <f t="shared" si="9"/>
        <v>3.1025641025641022</v>
      </c>
      <c r="BD15" s="57">
        <f t="shared" si="9"/>
        <v>-0.38461538461538458</v>
      </c>
      <c r="BE15" s="57">
        <f t="shared" si="9"/>
        <v>0.125</v>
      </c>
      <c r="BF15" s="57">
        <f t="shared" si="9"/>
        <v>7.6923076923076872E-2</v>
      </c>
      <c r="BG15" s="58">
        <f t="shared" si="9"/>
        <v>0.11688311688311681</v>
      </c>
    </row>
    <row r="17" spans="1:45">
      <c r="A17" t="s">
        <v>29</v>
      </c>
      <c r="B17">
        <f t="shared" ref="B17:Q17" si="17">SUM(B5:B8)</f>
        <v>18</v>
      </c>
      <c r="C17">
        <f t="shared" si="17"/>
        <v>9</v>
      </c>
      <c r="D17">
        <f t="shared" si="17"/>
        <v>17</v>
      </c>
      <c r="E17">
        <f t="shared" si="17"/>
        <v>16</v>
      </c>
      <c r="F17">
        <f t="shared" si="17"/>
        <v>6</v>
      </c>
      <c r="G17">
        <f t="shared" si="17"/>
        <v>0</v>
      </c>
      <c r="H17">
        <f t="shared" si="17"/>
        <v>3</v>
      </c>
      <c r="I17">
        <f t="shared" si="17"/>
        <v>2</v>
      </c>
      <c r="J17">
        <f t="shared" si="17"/>
        <v>3</v>
      </c>
      <c r="K17">
        <f t="shared" si="17"/>
        <v>0</v>
      </c>
      <c r="L17">
        <f t="shared" si="17"/>
        <v>2</v>
      </c>
      <c r="M17">
        <f t="shared" si="17"/>
        <v>0</v>
      </c>
      <c r="N17">
        <f t="shared" si="17"/>
        <v>0</v>
      </c>
      <c r="O17">
        <f t="shared" si="17"/>
        <v>0</v>
      </c>
      <c r="P17">
        <f t="shared" si="17"/>
        <v>0</v>
      </c>
      <c r="Q17">
        <f t="shared" si="17"/>
        <v>0</v>
      </c>
    </row>
    <row r="18" spans="1:45">
      <c r="A18" t="s">
        <v>30</v>
      </c>
      <c r="B18">
        <f t="shared" ref="B18:Q18" si="18">SUM(B9:B12)</f>
        <v>29</v>
      </c>
      <c r="C18">
        <f t="shared" si="18"/>
        <v>13</v>
      </c>
      <c r="D18">
        <f t="shared" si="18"/>
        <v>15</v>
      </c>
      <c r="E18">
        <f t="shared" si="18"/>
        <v>6</v>
      </c>
      <c r="F18">
        <f t="shared" si="18"/>
        <v>3</v>
      </c>
      <c r="G18">
        <f t="shared" si="18"/>
        <v>1</v>
      </c>
      <c r="H18">
        <f t="shared" si="18"/>
        <v>3</v>
      </c>
      <c r="I18">
        <f t="shared" si="18"/>
        <v>9</v>
      </c>
      <c r="J18">
        <f t="shared" si="18"/>
        <v>4</v>
      </c>
      <c r="K18">
        <f t="shared" si="18"/>
        <v>4</v>
      </c>
      <c r="L18">
        <f t="shared" si="18"/>
        <v>4</v>
      </c>
      <c r="M18">
        <f t="shared" si="18"/>
        <v>1</v>
      </c>
      <c r="N18">
        <f t="shared" si="18"/>
        <v>0</v>
      </c>
      <c r="O18">
        <f t="shared" si="18"/>
        <v>0</v>
      </c>
      <c r="P18">
        <f t="shared" si="18"/>
        <v>0</v>
      </c>
      <c r="Q18">
        <f t="shared" si="18"/>
        <v>1</v>
      </c>
    </row>
    <row r="20" spans="1:45">
      <c r="AE20" t="e">
        <f>AE14/#REF!</f>
        <v>#REF!</v>
      </c>
      <c r="AS20">
        <v>0.68571428571428572</v>
      </c>
    </row>
  </sheetData>
  <mergeCells count="13">
    <mergeCell ref="AG2:AR2"/>
    <mergeCell ref="AU2:BF2"/>
    <mergeCell ref="P3:Q3"/>
    <mergeCell ref="B2:I2"/>
    <mergeCell ref="J2:Q2"/>
    <mergeCell ref="S2:AD2"/>
    <mergeCell ref="B3:C3"/>
    <mergeCell ref="D3:E3"/>
    <mergeCell ref="F3:G3"/>
    <mergeCell ref="H3:I3"/>
    <mergeCell ref="J3:K3"/>
    <mergeCell ref="L3:M3"/>
    <mergeCell ref="N3:O3"/>
  </mergeCells>
  <conditionalFormatting sqref="AU5:BG15">
    <cfRule type="colorScale" priority="2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0"/>
  <sheetViews>
    <sheetView workbookViewId="0">
      <selection activeCell="A14" sqref="A14:XFD14"/>
    </sheetView>
  </sheetViews>
  <sheetFormatPr baseColWidth="10" defaultColWidth="9.140625" defaultRowHeight="15"/>
  <cols>
    <col min="1" max="1" width="10.28515625" customWidth="1"/>
    <col min="2" max="17" width="5" customWidth="1"/>
    <col min="47" max="59" width="8.85546875" style="97"/>
  </cols>
  <sheetData>
    <row r="1" spans="1:59" ht="30.6" customHeight="1" thickBot="1">
      <c r="B1" s="11" t="s">
        <v>11</v>
      </c>
      <c r="C1" s="12" t="s">
        <v>35</v>
      </c>
    </row>
    <row r="2" spans="1:59" s="10" customFormat="1" ht="21.75" thickBot="1">
      <c r="A2" s="9"/>
      <c r="B2" s="141" t="s">
        <v>5</v>
      </c>
      <c r="C2" s="143"/>
      <c r="D2" s="143"/>
      <c r="E2" s="143"/>
      <c r="F2" s="143"/>
      <c r="G2" s="143"/>
      <c r="H2" s="143"/>
      <c r="I2" s="144"/>
      <c r="J2" s="141" t="s">
        <v>6</v>
      </c>
      <c r="K2" s="143"/>
      <c r="L2" s="143"/>
      <c r="M2" s="143"/>
      <c r="N2" s="143"/>
      <c r="O2" s="143"/>
      <c r="P2" s="143"/>
      <c r="Q2" s="144"/>
      <c r="R2" s="97"/>
      <c r="S2" s="138" t="str">
        <f xml:space="preserve"> "Totaux 2021 " &amp; $C1</f>
        <v>Totaux 2021 Mategnin Douane</v>
      </c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G2" s="138" t="str">
        <f xml:space="preserve"> "Totaux 2020 " &amp; $C1</f>
        <v>Totaux 2020 Mategnin Douane</v>
      </c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U2" s="139" t="str">
        <f xml:space="preserve"> "Changement depuis 2020 " &amp; $C1</f>
        <v>Changement depuis 2020 Mategnin Douane</v>
      </c>
      <c r="AV2" s="140"/>
      <c r="AW2" s="140"/>
      <c r="AX2" s="140"/>
      <c r="AY2" s="140"/>
      <c r="AZ2" s="140"/>
      <c r="BA2" s="140"/>
      <c r="BB2" s="140"/>
      <c r="BC2" s="140"/>
      <c r="BD2" s="140"/>
      <c r="BE2" s="140"/>
      <c r="BF2" s="140"/>
      <c r="BG2" s="115"/>
    </row>
    <row r="3" spans="1:59" s="10" customFormat="1" ht="68.45" customHeight="1">
      <c r="A3" s="9"/>
      <c r="B3" s="141" t="s">
        <v>9</v>
      </c>
      <c r="C3" s="144"/>
      <c r="D3" s="145" t="s">
        <v>7</v>
      </c>
      <c r="E3" s="142"/>
      <c r="F3" s="145" t="s">
        <v>8</v>
      </c>
      <c r="G3" s="142"/>
      <c r="H3" s="141" t="s">
        <v>0</v>
      </c>
      <c r="I3" s="142"/>
      <c r="J3" s="141" t="s">
        <v>4</v>
      </c>
      <c r="K3" s="144"/>
      <c r="L3" s="145" t="s">
        <v>7</v>
      </c>
      <c r="M3" s="142"/>
      <c r="N3" s="145" t="s">
        <v>10</v>
      </c>
      <c r="O3" s="142"/>
      <c r="P3" s="141" t="s">
        <v>0</v>
      </c>
      <c r="Q3" s="142"/>
      <c r="R3"/>
      <c r="S3" s="26" t="s">
        <v>20</v>
      </c>
      <c r="T3" s="27" t="s">
        <v>14</v>
      </c>
      <c r="U3" s="27" t="s">
        <v>15</v>
      </c>
      <c r="V3" s="27" t="s">
        <v>16</v>
      </c>
      <c r="W3" s="27" t="s">
        <v>7</v>
      </c>
      <c r="X3" s="27" t="s">
        <v>17</v>
      </c>
      <c r="Y3" s="27" t="s">
        <v>25</v>
      </c>
      <c r="Z3" s="27" t="s">
        <v>27</v>
      </c>
      <c r="AA3" s="27" t="s">
        <v>28</v>
      </c>
      <c r="AB3" s="27" t="s">
        <v>19</v>
      </c>
      <c r="AC3" s="27" t="s">
        <v>21</v>
      </c>
      <c r="AD3" s="28" t="s">
        <v>22</v>
      </c>
      <c r="AE3" s="40" t="s">
        <v>26</v>
      </c>
      <c r="AG3" s="10" t="s">
        <v>20</v>
      </c>
      <c r="AH3" s="10" t="s">
        <v>14</v>
      </c>
      <c r="AI3" s="10" t="s">
        <v>15</v>
      </c>
      <c r="AJ3" s="10" t="s">
        <v>16</v>
      </c>
      <c r="AK3" s="10" t="s">
        <v>7</v>
      </c>
      <c r="AL3" s="10" t="s">
        <v>17</v>
      </c>
      <c r="AM3" s="10" t="s">
        <v>25</v>
      </c>
      <c r="AN3" s="10" t="s">
        <v>27</v>
      </c>
      <c r="AO3" s="10" t="s">
        <v>28</v>
      </c>
      <c r="AP3" s="10" t="s">
        <v>19</v>
      </c>
      <c r="AQ3" s="10" t="s">
        <v>21</v>
      </c>
      <c r="AR3" s="10" t="s">
        <v>22</v>
      </c>
      <c r="AS3" s="10" t="s">
        <v>26</v>
      </c>
      <c r="AU3" s="117" t="s">
        <v>20</v>
      </c>
      <c r="AV3" s="116" t="s">
        <v>14</v>
      </c>
      <c r="AW3" s="116" t="s">
        <v>15</v>
      </c>
      <c r="AX3" s="116" t="s">
        <v>16</v>
      </c>
      <c r="AY3" s="116" t="s">
        <v>7</v>
      </c>
      <c r="AZ3" s="116" t="s">
        <v>17</v>
      </c>
      <c r="BA3" s="116" t="s">
        <v>25</v>
      </c>
      <c r="BB3" s="116" t="s">
        <v>27</v>
      </c>
      <c r="BC3" s="116" t="s">
        <v>28</v>
      </c>
      <c r="BD3" s="116" t="s">
        <v>19</v>
      </c>
      <c r="BE3" s="116" t="s">
        <v>21</v>
      </c>
      <c r="BF3" s="116" t="s">
        <v>22</v>
      </c>
      <c r="BG3" s="118" t="s">
        <v>26</v>
      </c>
    </row>
    <row r="4" spans="1:59" ht="21" thickBot="1">
      <c r="A4" s="1" t="s">
        <v>3</v>
      </c>
      <c r="B4" s="2" t="s">
        <v>1</v>
      </c>
      <c r="C4" s="4" t="s">
        <v>2</v>
      </c>
      <c r="D4" s="2" t="s">
        <v>1</v>
      </c>
      <c r="E4" s="4" t="s">
        <v>2</v>
      </c>
      <c r="F4" s="2" t="s">
        <v>1</v>
      </c>
      <c r="G4" s="4" t="s">
        <v>2</v>
      </c>
      <c r="H4" s="2" t="s">
        <v>1</v>
      </c>
      <c r="I4" s="3" t="s">
        <v>2</v>
      </c>
      <c r="J4" s="2" t="s">
        <v>1</v>
      </c>
      <c r="K4" s="4" t="s">
        <v>2</v>
      </c>
      <c r="L4" s="2" t="s">
        <v>1</v>
      </c>
      <c r="M4" s="4" t="s">
        <v>2</v>
      </c>
      <c r="N4" s="2" t="s">
        <v>1</v>
      </c>
      <c r="O4" s="4" t="s">
        <v>2</v>
      </c>
      <c r="P4" s="2" t="s">
        <v>1</v>
      </c>
      <c r="Q4" s="3" t="s">
        <v>2</v>
      </c>
      <c r="S4" s="29"/>
      <c r="T4" s="19"/>
      <c r="U4" s="25"/>
      <c r="V4" s="19"/>
      <c r="W4" s="19"/>
      <c r="X4" s="19"/>
      <c r="Y4" s="19"/>
      <c r="Z4" s="19"/>
      <c r="AA4" s="19"/>
      <c r="AB4" s="19"/>
      <c r="AC4" s="19"/>
      <c r="AD4" s="30"/>
      <c r="AE4" s="41"/>
      <c r="AU4" s="2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30"/>
    </row>
    <row r="5" spans="1:59" ht="21" customHeight="1" thickBot="1">
      <c r="A5" s="13">
        <v>0.29166666666666669</v>
      </c>
      <c r="B5" s="15">
        <v>1</v>
      </c>
      <c r="C5" s="16">
        <v>0</v>
      </c>
      <c r="D5" s="17">
        <v>1</v>
      </c>
      <c r="E5" s="18">
        <v>0</v>
      </c>
      <c r="F5" s="17">
        <v>1</v>
      </c>
      <c r="G5" s="18"/>
      <c r="H5" s="15">
        <v>1</v>
      </c>
      <c r="I5" s="16"/>
      <c r="J5" s="15">
        <v>1</v>
      </c>
      <c r="K5" s="16">
        <v>1</v>
      </c>
      <c r="L5" s="17"/>
      <c r="M5" s="18"/>
      <c r="N5" s="17"/>
      <c r="O5" s="18"/>
      <c r="P5" s="15">
        <v>0</v>
      </c>
      <c r="Q5" s="16"/>
      <c r="S5" s="29">
        <f t="shared" ref="S5:T11" si="0">B5+D5+F5+H5+J5+L5+N5+P5</f>
        <v>5</v>
      </c>
      <c r="T5" s="19">
        <f t="shared" si="0"/>
        <v>1</v>
      </c>
      <c r="U5" s="25">
        <f t="shared" ref="U5:U11" si="1">T5/(T5+S5)</f>
        <v>0.16666666666666666</v>
      </c>
      <c r="V5" s="19">
        <f t="shared" ref="V5:V11" si="2">B5+C5+J5+K5</f>
        <v>3</v>
      </c>
      <c r="W5" s="19">
        <f t="shared" ref="W5:W11" si="3">D5+E5+L5+M5</f>
        <v>1</v>
      </c>
      <c r="X5" s="19">
        <f t="shared" ref="X5:X11" si="4">F5+G5+N5+O5</f>
        <v>1</v>
      </c>
      <c r="Y5" s="19">
        <f t="shared" ref="Y5:Y11" si="5">SUM(V5:X5)</f>
        <v>5</v>
      </c>
      <c r="Z5" s="43">
        <f>W5/Y5</f>
        <v>0.2</v>
      </c>
      <c r="AA5" s="43">
        <f>X5/Y5</f>
        <v>0.2</v>
      </c>
      <c r="AB5" s="19">
        <f t="shared" ref="AB5:AB11" si="6">H5+I5+P5+Q5</f>
        <v>1</v>
      </c>
      <c r="AC5" s="19">
        <f t="shared" ref="AC5:AC11" si="7">SUM(B5:I5)</f>
        <v>4</v>
      </c>
      <c r="AD5" s="30">
        <f t="shared" ref="AD5:AD11" si="8">SUM(J5:Q5)</f>
        <v>2</v>
      </c>
      <c r="AE5" s="41">
        <f>SUM(B5:Q5)</f>
        <v>6</v>
      </c>
      <c r="AG5">
        <v>3</v>
      </c>
      <c r="AH5">
        <v>1</v>
      </c>
      <c r="AI5">
        <v>0.25</v>
      </c>
      <c r="AJ5">
        <v>2</v>
      </c>
      <c r="AK5">
        <v>1</v>
      </c>
      <c r="AL5">
        <v>0</v>
      </c>
      <c r="AM5">
        <v>3</v>
      </c>
      <c r="AN5">
        <v>0.33333333333333331</v>
      </c>
      <c r="AO5">
        <v>0</v>
      </c>
      <c r="AP5">
        <v>1</v>
      </c>
      <c r="AQ5">
        <v>3</v>
      </c>
      <c r="AR5">
        <v>1</v>
      </c>
      <c r="AS5">
        <v>4</v>
      </c>
      <c r="AU5" s="119">
        <f>(S5/AG5) - 1</f>
        <v>0.66666666666666674</v>
      </c>
      <c r="AV5" s="43">
        <f t="shared" ref="AV5:BG14" si="9">(T5/AH5) - 1</f>
        <v>0</v>
      </c>
      <c r="AW5" s="43">
        <f t="shared" si="9"/>
        <v>-0.33333333333333337</v>
      </c>
      <c r="AX5" s="43">
        <f t="shared" si="9"/>
        <v>0.5</v>
      </c>
      <c r="AY5" s="43">
        <f t="shared" si="9"/>
        <v>0</v>
      </c>
      <c r="AZ5" s="43" t="e">
        <f t="shared" si="9"/>
        <v>#DIV/0!</v>
      </c>
      <c r="BA5" s="43">
        <f t="shared" si="9"/>
        <v>0.66666666666666674</v>
      </c>
      <c r="BB5" s="43">
        <f t="shared" si="9"/>
        <v>-0.39999999999999991</v>
      </c>
      <c r="BC5" s="43" t="e">
        <f t="shared" si="9"/>
        <v>#DIV/0!</v>
      </c>
      <c r="BD5" s="43">
        <f t="shared" si="9"/>
        <v>0</v>
      </c>
      <c r="BE5" s="43">
        <f t="shared" si="9"/>
        <v>0.33333333333333326</v>
      </c>
      <c r="BF5" s="43">
        <f t="shared" si="9"/>
        <v>1</v>
      </c>
      <c r="BG5" s="120">
        <f t="shared" si="9"/>
        <v>0.5</v>
      </c>
    </row>
    <row r="6" spans="1:59" ht="21" customHeight="1" thickBot="1">
      <c r="A6" s="14">
        <v>0.30208333333333331</v>
      </c>
      <c r="B6" s="15">
        <v>6</v>
      </c>
      <c r="C6" s="16">
        <v>0</v>
      </c>
      <c r="D6" s="17">
        <v>1</v>
      </c>
      <c r="E6" s="18">
        <v>0</v>
      </c>
      <c r="F6" s="17"/>
      <c r="G6" s="18"/>
      <c r="H6" s="15">
        <v>1</v>
      </c>
      <c r="I6" s="16"/>
      <c r="J6" s="15">
        <v>2</v>
      </c>
      <c r="K6" s="16"/>
      <c r="L6" s="17"/>
      <c r="M6" s="18"/>
      <c r="N6" s="17"/>
      <c r="O6" s="18"/>
      <c r="P6" s="15">
        <v>1</v>
      </c>
      <c r="Q6" s="16"/>
      <c r="S6" s="29">
        <f t="shared" si="0"/>
        <v>11</v>
      </c>
      <c r="T6" s="19">
        <f t="shared" si="0"/>
        <v>0</v>
      </c>
      <c r="U6" s="25">
        <f t="shared" si="1"/>
        <v>0</v>
      </c>
      <c r="V6" s="19">
        <f t="shared" si="2"/>
        <v>8</v>
      </c>
      <c r="W6" s="19">
        <f t="shared" si="3"/>
        <v>1</v>
      </c>
      <c r="X6" s="19">
        <f t="shared" si="4"/>
        <v>0</v>
      </c>
      <c r="Y6" s="19">
        <f t="shared" si="5"/>
        <v>9</v>
      </c>
      <c r="Z6" s="43">
        <f t="shared" ref="Z6:Z15" si="10">W6/Y6</f>
        <v>0.1111111111111111</v>
      </c>
      <c r="AA6" s="43">
        <f t="shared" ref="AA6:AA15" si="11">X6/Y6</f>
        <v>0</v>
      </c>
      <c r="AB6" s="19">
        <f t="shared" si="6"/>
        <v>2</v>
      </c>
      <c r="AC6" s="19">
        <f t="shared" si="7"/>
        <v>8</v>
      </c>
      <c r="AD6" s="30">
        <f t="shared" si="8"/>
        <v>3</v>
      </c>
      <c r="AE6" s="41">
        <f t="shared" ref="AE6:AE15" si="12">SUM(B6:Q6)</f>
        <v>11</v>
      </c>
      <c r="AG6">
        <v>6</v>
      </c>
      <c r="AH6">
        <v>5</v>
      </c>
      <c r="AI6">
        <v>0.45454545454545453</v>
      </c>
      <c r="AJ6">
        <v>9</v>
      </c>
      <c r="AK6">
        <v>0</v>
      </c>
      <c r="AL6">
        <v>1</v>
      </c>
      <c r="AM6">
        <v>10</v>
      </c>
      <c r="AN6">
        <v>0</v>
      </c>
      <c r="AO6">
        <v>0.1</v>
      </c>
      <c r="AP6">
        <v>1</v>
      </c>
      <c r="AQ6">
        <v>8</v>
      </c>
      <c r="AR6">
        <v>3</v>
      </c>
      <c r="AS6">
        <v>11</v>
      </c>
      <c r="AU6" s="119">
        <f t="shared" ref="AU6:AU14" si="13">(S6/AG6) - 1</f>
        <v>0.83333333333333326</v>
      </c>
      <c r="AV6" s="43">
        <f t="shared" si="9"/>
        <v>-1</v>
      </c>
      <c r="AW6" s="43">
        <f t="shared" si="9"/>
        <v>-1</v>
      </c>
      <c r="AX6" s="43">
        <f t="shared" si="9"/>
        <v>-0.11111111111111116</v>
      </c>
      <c r="AY6" s="43" t="e">
        <f t="shared" si="9"/>
        <v>#DIV/0!</v>
      </c>
      <c r="AZ6" s="43">
        <f t="shared" si="9"/>
        <v>-1</v>
      </c>
      <c r="BA6" s="43">
        <f t="shared" si="9"/>
        <v>-9.9999999999999978E-2</v>
      </c>
      <c r="BB6" s="43" t="e">
        <f t="shared" si="9"/>
        <v>#DIV/0!</v>
      </c>
      <c r="BC6" s="43">
        <f t="shared" si="9"/>
        <v>-1</v>
      </c>
      <c r="BD6" s="43">
        <f t="shared" si="9"/>
        <v>1</v>
      </c>
      <c r="BE6" s="43">
        <f t="shared" si="9"/>
        <v>0</v>
      </c>
      <c r="BF6" s="43">
        <f t="shared" si="9"/>
        <v>0</v>
      </c>
      <c r="BG6" s="120">
        <f t="shared" si="9"/>
        <v>0</v>
      </c>
    </row>
    <row r="7" spans="1:59" ht="21" customHeight="1" thickBot="1">
      <c r="A7" s="14">
        <v>0.3125</v>
      </c>
      <c r="B7" s="15">
        <v>1</v>
      </c>
      <c r="C7" s="16">
        <v>1</v>
      </c>
      <c r="D7" s="17">
        <v>2</v>
      </c>
      <c r="E7" s="18">
        <v>0</v>
      </c>
      <c r="F7" s="17"/>
      <c r="G7" s="18"/>
      <c r="H7" s="15">
        <v>1</v>
      </c>
      <c r="I7" s="16"/>
      <c r="J7" s="15">
        <v>1</v>
      </c>
      <c r="K7" s="16"/>
      <c r="L7" s="17"/>
      <c r="M7" s="18"/>
      <c r="N7" s="17"/>
      <c r="O7" s="18"/>
      <c r="P7" s="15">
        <v>1</v>
      </c>
      <c r="Q7" s="16"/>
      <c r="S7" s="29">
        <f t="shared" si="0"/>
        <v>6</v>
      </c>
      <c r="T7" s="19">
        <f t="shared" si="0"/>
        <v>1</v>
      </c>
      <c r="U7" s="25">
        <f t="shared" si="1"/>
        <v>0.14285714285714285</v>
      </c>
      <c r="V7" s="19">
        <f t="shared" si="2"/>
        <v>3</v>
      </c>
      <c r="W7" s="19">
        <f t="shared" si="3"/>
        <v>2</v>
      </c>
      <c r="X7" s="19">
        <f t="shared" si="4"/>
        <v>0</v>
      </c>
      <c r="Y7" s="19">
        <f t="shared" si="5"/>
        <v>5</v>
      </c>
      <c r="Z7" s="43">
        <f t="shared" si="10"/>
        <v>0.4</v>
      </c>
      <c r="AA7" s="43">
        <f t="shared" si="11"/>
        <v>0</v>
      </c>
      <c r="AB7" s="19">
        <f t="shared" si="6"/>
        <v>2</v>
      </c>
      <c r="AC7" s="19">
        <f t="shared" si="7"/>
        <v>5</v>
      </c>
      <c r="AD7" s="30">
        <f t="shared" si="8"/>
        <v>2</v>
      </c>
      <c r="AE7" s="41">
        <f t="shared" si="12"/>
        <v>7</v>
      </c>
      <c r="AG7">
        <v>3</v>
      </c>
      <c r="AH7">
        <v>1</v>
      </c>
      <c r="AI7">
        <v>0.25</v>
      </c>
      <c r="AJ7">
        <v>1</v>
      </c>
      <c r="AK7">
        <v>3</v>
      </c>
      <c r="AL7">
        <v>0</v>
      </c>
      <c r="AM7">
        <v>4</v>
      </c>
      <c r="AN7">
        <v>0.75</v>
      </c>
      <c r="AO7">
        <v>0</v>
      </c>
      <c r="AP7">
        <v>0</v>
      </c>
      <c r="AQ7">
        <v>0</v>
      </c>
      <c r="AR7">
        <v>4</v>
      </c>
      <c r="AS7">
        <v>4</v>
      </c>
      <c r="AU7" s="119">
        <f t="shared" si="13"/>
        <v>1</v>
      </c>
      <c r="AV7" s="43">
        <f t="shared" si="9"/>
        <v>0</v>
      </c>
      <c r="AW7" s="43">
        <f t="shared" si="9"/>
        <v>-0.4285714285714286</v>
      </c>
      <c r="AX7" s="43">
        <f t="shared" si="9"/>
        <v>2</v>
      </c>
      <c r="AY7" s="43">
        <f t="shared" si="9"/>
        <v>-0.33333333333333337</v>
      </c>
      <c r="AZ7" s="43" t="e">
        <f t="shared" si="9"/>
        <v>#DIV/0!</v>
      </c>
      <c r="BA7" s="43">
        <f t="shared" si="9"/>
        <v>0.25</v>
      </c>
      <c r="BB7" s="43">
        <f t="shared" si="9"/>
        <v>-0.46666666666666667</v>
      </c>
      <c r="BC7" s="43" t="e">
        <f t="shared" si="9"/>
        <v>#DIV/0!</v>
      </c>
      <c r="BD7" s="43" t="e">
        <f t="shared" si="9"/>
        <v>#DIV/0!</v>
      </c>
      <c r="BE7" s="43" t="e">
        <f t="shared" si="9"/>
        <v>#DIV/0!</v>
      </c>
      <c r="BF7" s="43">
        <f t="shared" si="9"/>
        <v>-0.5</v>
      </c>
      <c r="BG7" s="120">
        <f t="shared" si="9"/>
        <v>0.75</v>
      </c>
    </row>
    <row r="8" spans="1:59" ht="21" customHeight="1" thickBot="1">
      <c r="A8" s="14">
        <v>0.32291666666666669</v>
      </c>
      <c r="B8" s="15">
        <v>3</v>
      </c>
      <c r="C8" s="16">
        <v>1</v>
      </c>
      <c r="D8" s="17">
        <v>1</v>
      </c>
      <c r="E8" s="18">
        <v>2</v>
      </c>
      <c r="F8" s="17"/>
      <c r="G8" s="18"/>
      <c r="H8" s="15">
        <v>0</v>
      </c>
      <c r="I8" s="16"/>
      <c r="J8" s="15">
        <v>0</v>
      </c>
      <c r="K8" s="16">
        <v>1</v>
      </c>
      <c r="L8" s="17"/>
      <c r="M8" s="18"/>
      <c r="N8" s="17"/>
      <c r="O8" s="18"/>
      <c r="P8" s="15">
        <v>0</v>
      </c>
      <c r="Q8" s="16">
        <v>1</v>
      </c>
      <c r="S8" s="29">
        <f t="shared" si="0"/>
        <v>4</v>
      </c>
      <c r="T8" s="19">
        <f t="shared" si="0"/>
        <v>5</v>
      </c>
      <c r="U8" s="25">
        <f t="shared" si="1"/>
        <v>0.55555555555555558</v>
      </c>
      <c r="V8" s="19">
        <f t="shared" si="2"/>
        <v>5</v>
      </c>
      <c r="W8" s="19">
        <f t="shared" si="3"/>
        <v>3</v>
      </c>
      <c r="X8" s="19">
        <f t="shared" si="4"/>
        <v>0</v>
      </c>
      <c r="Y8" s="19">
        <f t="shared" si="5"/>
        <v>8</v>
      </c>
      <c r="Z8" s="43">
        <f t="shared" si="10"/>
        <v>0.375</v>
      </c>
      <c r="AA8" s="43">
        <f t="shared" si="11"/>
        <v>0</v>
      </c>
      <c r="AB8" s="19">
        <f t="shared" si="6"/>
        <v>1</v>
      </c>
      <c r="AC8" s="19">
        <f t="shared" si="7"/>
        <v>7</v>
      </c>
      <c r="AD8" s="30">
        <f t="shared" si="8"/>
        <v>2</v>
      </c>
      <c r="AE8" s="41">
        <f t="shared" si="12"/>
        <v>9</v>
      </c>
      <c r="AG8">
        <v>8</v>
      </c>
      <c r="AH8">
        <v>5</v>
      </c>
      <c r="AI8">
        <v>0.38461538461538464</v>
      </c>
      <c r="AJ8">
        <v>10</v>
      </c>
      <c r="AK8">
        <v>0</v>
      </c>
      <c r="AL8">
        <v>2</v>
      </c>
      <c r="AM8">
        <v>12</v>
      </c>
      <c r="AN8">
        <v>0</v>
      </c>
      <c r="AO8">
        <v>0.16666666666666666</v>
      </c>
      <c r="AP8">
        <v>1</v>
      </c>
      <c r="AQ8">
        <v>10</v>
      </c>
      <c r="AR8">
        <v>3</v>
      </c>
      <c r="AS8">
        <v>13</v>
      </c>
      <c r="AU8" s="119">
        <f t="shared" si="13"/>
        <v>-0.5</v>
      </c>
      <c r="AV8" s="43">
        <f t="shared" si="9"/>
        <v>0</v>
      </c>
      <c r="AW8" s="43">
        <f t="shared" si="9"/>
        <v>0.44444444444444442</v>
      </c>
      <c r="AX8" s="43">
        <f t="shared" si="9"/>
        <v>-0.5</v>
      </c>
      <c r="AY8" s="43" t="e">
        <f t="shared" si="9"/>
        <v>#DIV/0!</v>
      </c>
      <c r="AZ8" s="43">
        <f t="shared" si="9"/>
        <v>-1</v>
      </c>
      <c r="BA8" s="43">
        <f t="shared" si="9"/>
        <v>-0.33333333333333337</v>
      </c>
      <c r="BB8" s="43" t="e">
        <f t="shared" si="9"/>
        <v>#DIV/0!</v>
      </c>
      <c r="BC8" s="43">
        <f t="shared" si="9"/>
        <v>-1</v>
      </c>
      <c r="BD8" s="43">
        <f t="shared" si="9"/>
        <v>0</v>
      </c>
      <c r="BE8" s="43">
        <f t="shared" si="9"/>
        <v>-0.30000000000000004</v>
      </c>
      <c r="BF8" s="43">
        <f t="shared" si="9"/>
        <v>-0.33333333333333337</v>
      </c>
      <c r="BG8" s="120">
        <f t="shared" si="9"/>
        <v>-0.30769230769230771</v>
      </c>
    </row>
    <row r="9" spans="1:59" ht="21" customHeight="1" thickBot="1">
      <c r="A9" s="13">
        <v>0.33333333333333331</v>
      </c>
      <c r="B9" s="15">
        <v>7</v>
      </c>
      <c r="C9" s="16">
        <v>4</v>
      </c>
      <c r="D9" s="17">
        <v>3</v>
      </c>
      <c r="E9" s="18">
        <v>0</v>
      </c>
      <c r="F9" s="17"/>
      <c r="G9" s="18"/>
      <c r="H9" s="15">
        <v>2</v>
      </c>
      <c r="I9" s="16"/>
      <c r="J9" s="15">
        <v>1</v>
      </c>
      <c r="K9" s="16"/>
      <c r="L9" s="17">
        <v>1</v>
      </c>
      <c r="M9" s="18"/>
      <c r="N9" s="17"/>
      <c r="O9" s="18"/>
      <c r="P9" s="15">
        <v>0</v>
      </c>
      <c r="Q9" s="16"/>
      <c r="S9" s="29">
        <f t="shared" si="0"/>
        <v>14</v>
      </c>
      <c r="T9" s="19">
        <f t="shared" si="0"/>
        <v>4</v>
      </c>
      <c r="U9" s="25">
        <f t="shared" si="1"/>
        <v>0.22222222222222221</v>
      </c>
      <c r="V9" s="19">
        <f t="shared" si="2"/>
        <v>12</v>
      </c>
      <c r="W9" s="19">
        <f t="shared" si="3"/>
        <v>4</v>
      </c>
      <c r="X9" s="19">
        <f t="shared" si="4"/>
        <v>0</v>
      </c>
      <c r="Y9" s="19">
        <f t="shared" si="5"/>
        <v>16</v>
      </c>
      <c r="Z9" s="43">
        <f t="shared" si="10"/>
        <v>0.25</v>
      </c>
      <c r="AA9" s="43">
        <f t="shared" si="11"/>
        <v>0</v>
      </c>
      <c r="AB9" s="19">
        <f t="shared" si="6"/>
        <v>2</v>
      </c>
      <c r="AC9" s="19">
        <f t="shared" si="7"/>
        <v>16</v>
      </c>
      <c r="AD9" s="30">
        <f t="shared" si="8"/>
        <v>2</v>
      </c>
      <c r="AE9" s="41">
        <f t="shared" si="12"/>
        <v>18</v>
      </c>
      <c r="AG9">
        <v>0</v>
      </c>
      <c r="AH9">
        <v>0</v>
      </c>
      <c r="AI9" t="e">
        <v>#DIV/0!</v>
      </c>
      <c r="AJ9">
        <v>0</v>
      </c>
      <c r="AK9">
        <v>0</v>
      </c>
      <c r="AL9">
        <v>0</v>
      </c>
      <c r="AM9">
        <v>0</v>
      </c>
      <c r="AN9" t="e">
        <v>#DIV/0!</v>
      </c>
      <c r="AO9" t="e">
        <v>#DIV/0!</v>
      </c>
      <c r="AP9">
        <v>0</v>
      </c>
      <c r="AQ9">
        <v>0</v>
      </c>
      <c r="AR9">
        <v>0</v>
      </c>
      <c r="AS9">
        <v>0</v>
      </c>
      <c r="AU9" s="119" t="e">
        <f t="shared" si="13"/>
        <v>#DIV/0!</v>
      </c>
      <c r="AV9" s="43" t="e">
        <f t="shared" si="9"/>
        <v>#DIV/0!</v>
      </c>
      <c r="AW9" s="43" t="e">
        <f t="shared" si="9"/>
        <v>#DIV/0!</v>
      </c>
      <c r="AX9" s="43" t="e">
        <f t="shared" si="9"/>
        <v>#DIV/0!</v>
      </c>
      <c r="AY9" s="43" t="e">
        <f t="shared" si="9"/>
        <v>#DIV/0!</v>
      </c>
      <c r="AZ9" s="43" t="e">
        <f t="shared" si="9"/>
        <v>#DIV/0!</v>
      </c>
      <c r="BA9" s="43" t="e">
        <f t="shared" si="9"/>
        <v>#DIV/0!</v>
      </c>
      <c r="BB9" s="43" t="e">
        <f t="shared" si="9"/>
        <v>#DIV/0!</v>
      </c>
      <c r="BC9" s="43" t="e">
        <f t="shared" si="9"/>
        <v>#DIV/0!</v>
      </c>
      <c r="BD9" s="43" t="e">
        <f t="shared" si="9"/>
        <v>#DIV/0!</v>
      </c>
      <c r="BE9" s="43" t="e">
        <f t="shared" si="9"/>
        <v>#DIV/0!</v>
      </c>
      <c r="BF9" s="43" t="e">
        <f t="shared" si="9"/>
        <v>#DIV/0!</v>
      </c>
      <c r="BG9" s="120" t="e">
        <f t="shared" si="9"/>
        <v>#DIV/0!</v>
      </c>
    </row>
    <row r="10" spans="1:59" ht="21" customHeight="1" thickBot="1">
      <c r="A10" s="14">
        <v>0.34375</v>
      </c>
      <c r="B10" s="15">
        <v>2</v>
      </c>
      <c r="C10" s="16">
        <v>1</v>
      </c>
      <c r="D10" s="17">
        <v>2</v>
      </c>
      <c r="E10" s="18">
        <v>0</v>
      </c>
      <c r="F10" s="17"/>
      <c r="G10" s="18"/>
      <c r="H10" s="10"/>
      <c r="I10" s="16"/>
      <c r="J10" s="15"/>
      <c r="K10" s="16">
        <v>2</v>
      </c>
      <c r="L10" s="17"/>
      <c r="M10" s="18"/>
      <c r="N10" s="17"/>
      <c r="O10" s="18"/>
      <c r="P10" s="15">
        <v>2</v>
      </c>
      <c r="Q10" s="16">
        <v>2</v>
      </c>
      <c r="S10" s="29">
        <f t="shared" si="0"/>
        <v>6</v>
      </c>
      <c r="T10" s="19">
        <f t="shared" si="0"/>
        <v>5</v>
      </c>
      <c r="U10" s="25">
        <f t="shared" si="1"/>
        <v>0.45454545454545453</v>
      </c>
      <c r="V10" s="19">
        <f t="shared" si="2"/>
        <v>5</v>
      </c>
      <c r="W10" s="19">
        <f t="shared" si="3"/>
        <v>2</v>
      </c>
      <c r="X10" s="19">
        <f t="shared" si="4"/>
        <v>0</v>
      </c>
      <c r="Y10" s="19">
        <f t="shared" si="5"/>
        <v>7</v>
      </c>
      <c r="Z10" s="43">
        <f t="shared" si="10"/>
        <v>0.2857142857142857</v>
      </c>
      <c r="AA10" s="43">
        <f t="shared" si="11"/>
        <v>0</v>
      </c>
      <c r="AB10" s="19">
        <f t="shared" si="6"/>
        <v>4</v>
      </c>
      <c r="AC10" s="19">
        <f t="shared" si="7"/>
        <v>5</v>
      </c>
      <c r="AD10" s="30">
        <f t="shared" si="8"/>
        <v>6</v>
      </c>
      <c r="AE10" s="41">
        <f t="shared" si="12"/>
        <v>11</v>
      </c>
      <c r="AG10">
        <v>0</v>
      </c>
      <c r="AH10">
        <v>0</v>
      </c>
      <c r="AI10" t="e">
        <v>#DIV/0!</v>
      </c>
      <c r="AJ10">
        <v>0</v>
      </c>
      <c r="AK10">
        <v>0</v>
      </c>
      <c r="AL10">
        <v>0</v>
      </c>
      <c r="AM10">
        <v>0</v>
      </c>
      <c r="AN10" t="e">
        <v>#DIV/0!</v>
      </c>
      <c r="AO10" t="e">
        <v>#DIV/0!</v>
      </c>
      <c r="AP10">
        <v>0</v>
      </c>
      <c r="AQ10">
        <v>0</v>
      </c>
      <c r="AR10">
        <v>0</v>
      </c>
      <c r="AS10">
        <v>0</v>
      </c>
      <c r="AU10" s="119" t="e">
        <f t="shared" si="13"/>
        <v>#DIV/0!</v>
      </c>
      <c r="AV10" s="43" t="e">
        <f t="shared" si="9"/>
        <v>#DIV/0!</v>
      </c>
      <c r="AW10" s="43" t="e">
        <f t="shared" si="9"/>
        <v>#DIV/0!</v>
      </c>
      <c r="AX10" s="43" t="e">
        <f t="shared" si="9"/>
        <v>#DIV/0!</v>
      </c>
      <c r="AY10" s="43" t="e">
        <f t="shared" si="9"/>
        <v>#DIV/0!</v>
      </c>
      <c r="AZ10" s="43" t="e">
        <f t="shared" si="9"/>
        <v>#DIV/0!</v>
      </c>
      <c r="BA10" s="43" t="e">
        <f t="shared" si="9"/>
        <v>#DIV/0!</v>
      </c>
      <c r="BB10" s="43" t="e">
        <f t="shared" si="9"/>
        <v>#DIV/0!</v>
      </c>
      <c r="BC10" s="43" t="e">
        <f t="shared" si="9"/>
        <v>#DIV/0!</v>
      </c>
      <c r="BD10" s="43" t="e">
        <f t="shared" si="9"/>
        <v>#DIV/0!</v>
      </c>
      <c r="BE10" s="43" t="e">
        <f t="shared" si="9"/>
        <v>#DIV/0!</v>
      </c>
      <c r="BF10" s="43" t="e">
        <f t="shared" si="9"/>
        <v>#DIV/0!</v>
      </c>
      <c r="BG10" s="120" t="e">
        <f t="shared" si="9"/>
        <v>#DIV/0!</v>
      </c>
    </row>
    <row r="11" spans="1:59" ht="21" customHeight="1" thickBot="1">
      <c r="A11" s="14">
        <v>0.35416666666666669</v>
      </c>
      <c r="B11" s="15">
        <v>7</v>
      </c>
      <c r="C11" s="16">
        <v>1</v>
      </c>
      <c r="D11" s="17">
        <v>3</v>
      </c>
      <c r="E11" s="18">
        <v>1</v>
      </c>
      <c r="F11" s="17"/>
      <c r="G11" s="18"/>
      <c r="H11" s="15"/>
      <c r="I11" s="16"/>
      <c r="J11" s="15"/>
      <c r="K11" s="16">
        <v>1</v>
      </c>
      <c r="L11" s="17"/>
      <c r="M11" s="18"/>
      <c r="N11" s="17"/>
      <c r="O11" s="18"/>
      <c r="P11" s="15">
        <v>2</v>
      </c>
      <c r="Q11" s="16"/>
      <c r="S11" s="29">
        <f t="shared" si="0"/>
        <v>12</v>
      </c>
      <c r="T11" s="19">
        <f t="shared" si="0"/>
        <v>3</v>
      </c>
      <c r="U11" s="25">
        <f t="shared" si="1"/>
        <v>0.2</v>
      </c>
      <c r="V11" s="19">
        <f t="shared" si="2"/>
        <v>9</v>
      </c>
      <c r="W11" s="19">
        <f t="shared" si="3"/>
        <v>4</v>
      </c>
      <c r="X11" s="19">
        <f t="shared" si="4"/>
        <v>0</v>
      </c>
      <c r="Y11" s="19">
        <f t="shared" si="5"/>
        <v>13</v>
      </c>
      <c r="Z11" s="43">
        <f t="shared" si="10"/>
        <v>0.30769230769230771</v>
      </c>
      <c r="AA11" s="43">
        <f t="shared" si="11"/>
        <v>0</v>
      </c>
      <c r="AB11" s="19">
        <f t="shared" si="6"/>
        <v>2</v>
      </c>
      <c r="AC11" s="19">
        <f t="shared" si="7"/>
        <v>12</v>
      </c>
      <c r="AD11" s="30">
        <f t="shared" si="8"/>
        <v>3</v>
      </c>
      <c r="AE11" s="41">
        <f t="shared" si="12"/>
        <v>15</v>
      </c>
      <c r="AG11">
        <v>0</v>
      </c>
      <c r="AH11">
        <v>0</v>
      </c>
      <c r="AI11" t="e">
        <v>#DIV/0!</v>
      </c>
      <c r="AJ11">
        <v>0</v>
      </c>
      <c r="AK11">
        <v>0</v>
      </c>
      <c r="AL11">
        <v>0</v>
      </c>
      <c r="AM11">
        <v>0</v>
      </c>
      <c r="AN11" t="e">
        <v>#DIV/0!</v>
      </c>
      <c r="AO11" t="e">
        <v>#DIV/0!</v>
      </c>
      <c r="AP11">
        <v>0</v>
      </c>
      <c r="AQ11">
        <v>0</v>
      </c>
      <c r="AR11">
        <v>0</v>
      </c>
      <c r="AS11">
        <v>0</v>
      </c>
      <c r="AU11" s="119" t="e">
        <f t="shared" si="13"/>
        <v>#DIV/0!</v>
      </c>
      <c r="AV11" s="43" t="e">
        <f t="shared" si="9"/>
        <v>#DIV/0!</v>
      </c>
      <c r="AW11" s="43" t="e">
        <f t="shared" si="9"/>
        <v>#DIV/0!</v>
      </c>
      <c r="AX11" s="43" t="e">
        <f t="shared" si="9"/>
        <v>#DIV/0!</v>
      </c>
      <c r="AY11" s="43" t="e">
        <f t="shared" si="9"/>
        <v>#DIV/0!</v>
      </c>
      <c r="AZ11" s="43" t="e">
        <f t="shared" si="9"/>
        <v>#DIV/0!</v>
      </c>
      <c r="BA11" s="43" t="e">
        <f t="shared" si="9"/>
        <v>#DIV/0!</v>
      </c>
      <c r="BB11" s="43" t="e">
        <f t="shared" si="9"/>
        <v>#DIV/0!</v>
      </c>
      <c r="BC11" s="43" t="e">
        <f t="shared" si="9"/>
        <v>#DIV/0!</v>
      </c>
      <c r="BD11" s="43" t="e">
        <f t="shared" si="9"/>
        <v>#DIV/0!</v>
      </c>
      <c r="BE11" s="43" t="e">
        <f t="shared" si="9"/>
        <v>#DIV/0!</v>
      </c>
      <c r="BF11" s="43" t="e">
        <f t="shared" si="9"/>
        <v>#DIV/0!</v>
      </c>
      <c r="BG11" s="120" t="e">
        <f t="shared" si="9"/>
        <v>#DIV/0!</v>
      </c>
    </row>
    <row r="12" spans="1:59" ht="21" customHeight="1" thickBot="1">
      <c r="A12" s="14">
        <v>0.36458333333333331</v>
      </c>
      <c r="B12" s="20">
        <v>2</v>
      </c>
      <c r="C12" s="21">
        <v>0</v>
      </c>
      <c r="D12" s="22">
        <v>1</v>
      </c>
      <c r="E12" s="23">
        <v>2</v>
      </c>
      <c r="F12" s="22"/>
      <c r="G12" s="23">
        <v>1</v>
      </c>
      <c r="H12" s="20"/>
      <c r="I12" s="21"/>
      <c r="J12" s="20"/>
      <c r="K12" s="21"/>
      <c r="L12" s="22">
        <v>1</v>
      </c>
      <c r="M12" s="23"/>
      <c r="N12" s="22"/>
      <c r="O12" s="23"/>
      <c r="P12" s="20"/>
      <c r="Q12" s="21">
        <v>1</v>
      </c>
      <c r="S12" s="29">
        <f t="shared" ref="S12:T15" si="14">B12+D12+F12+H12+J12+L12+N12+P12</f>
        <v>4</v>
      </c>
      <c r="T12" s="19">
        <f t="shared" si="14"/>
        <v>4</v>
      </c>
      <c r="U12" s="25">
        <f>T12/(T12+S12)</f>
        <v>0.5</v>
      </c>
      <c r="V12" s="19">
        <f>B12+C12+J12+K12</f>
        <v>2</v>
      </c>
      <c r="W12" s="19">
        <f>D12+E12+L12+M12</f>
        <v>4</v>
      </c>
      <c r="X12" s="19">
        <f>F12+G12+N12+O12</f>
        <v>1</v>
      </c>
      <c r="Y12" s="19">
        <f>SUM(V12:X12)</f>
        <v>7</v>
      </c>
      <c r="Z12" s="43">
        <f t="shared" si="10"/>
        <v>0.5714285714285714</v>
      </c>
      <c r="AA12" s="43">
        <f t="shared" si="11"/>
        <v>0.14285714285714285</v>
      </c>
      <c r="AB12" s="19">
        <f>H12+I12+P12+Q12</f>
        <v>1</v>
      </c>
      <c r="AC12" s="19">
        <f>SUM(B12:I12)</f>
        <v>6</v>
      </c>
      <c r="AD12" s="30">
        <f>SUM(J12:Q12)</f>
        <v>2</v>
      </c>
      <c r="AE12" s="41">
        <f t="shared" si="12"/>
        <v>8</v>
      </c>
      <c r="AG12">
        <v>0</v>
      </c>
      <c r="AH12">
        <v>0</v>
      </c>
      <c r="AI12" t="e">
        <v>#DIV/0!</v>
      </c>
      <c r="AJ12">
        <v>0</v>
      </c>
      <c r="AK12">
        <v>0</v>
      </c>
      <c r="AL12">
        <v>0</v>
      </c>
      <c r="AM12">
        <v>0</v>
      </c>
      <c r="AN12" t="e">
        <v>#DIV/0!</v>
      </c>
      <c r="AO12" t="e">
        <v>#DIV/0!</v>
      </c>
      <c r="AP12">
        <v>0</v>
      </c>
      <c r="AQ12">
        <v>0</v>
      </c>
      <c r="AR12">
        <v>0</v>
      </c>
      <c r="AS12">
        <v>0</v>
      </c>
      <c r="AU12" s="119" t="e">
        <f t="shared" si="13"/>
        <v>#DIV/0!</v>
      </c>
      <c r="AV12" s="43" t="e">
        <f t="shared" si="9"/>
        <v>#DIV/0!</v>
      </c>
      <c r="AW12" s="43" t="e">
        <f t="shared" si="9"/>
        <v>#DIV/0!</v>
      </c>
      <c r="AX12" s="43" t="e">
        <f t="shared" si="9"/>
        <v>#DIV/0!</v>
      </c>
      <c r="AY12" s="43" t="e">
        <f t="shared" si="9"/>
        <v>#DIV/0!</v>
      </c>
      <c r="AZ12" s="43" t="e">
        <f t="shared" si="9"/>
        <v>#DIV/0!</v>
      </c>
      <c r="BA12" s="43" t="e">
        <f t="shared" si="9"/>
        <v>#DIV/0!</v>
      </c>
      <c r="BB12" s="43" t="e">
        <f t="shared" si="9"/>
        <v>#DIV/0!</v>
      </c>
      <c r="BC12" s="43" t="e">
        <f t="shared" si="9"/>
        <v>#DIV/0!</v>
      </c>
      <c r="BD12" s="43" t="e">
        <f t="shared" si="9"/>
        <v>#DIV/0!</v>
      </c>
      <c r="BE12" s="43" t="e">
        <f t="shared" si="9"/>
        <v>#DIV/0!</v>
      </c>
      <c r="BF12" s="43" t="e">
        <f t="shared" si="9"/>
        <v>#DIV/0!</v>
      </c>
      <c r="BG12" s="120" t="e">
        <f t="shared" si="9"/>
        <v>#DIV/0!</v>
      </c>
    </row>
    <row r="13" spans="1:59" ht="21" customHeight="1" thickBot="1">
      <c r="A13" s="14">
        <v>0.375</v>
      </c>
      <c r="B13" s="94">
        <v>2</v>
      </c>
      <c r="C13" s="95">
        <v>3</v>
      </c>
      <c r="D13" s="96">
        <v>1</v>
      </c>
      <c r="E13" s="96">
        <v>2</v>
      </c>
      <c r="F13" s="96"/>
      <c r="G13" s="96"/>
      <c r="H13" s="94">
        <v>1</v>
      </c>
      <c r="I13" s="95"/>
      <c r="J13" s="94">
        <v>4</v>
      </c>
      <c r="K13" s="95"/>
      <c r="L13" s="96"/>
      <c r="M13" s="96"/>
      <c r="N13" s="96"/>
      <c r="O13" s="96"/>
      <c r="P13" s="94"/>
      <c r="Q13" s="95"/>
      <c r="S13" s="44">
        <f t="shared" si="14"/>
        <v>8</v>
      </c>
      <c r="T13" s="45">
        <f t="shared" si="14"/>
        <v>5</v>
      </c>
      <c r="U13" s="46">
        <f>T13/(T13+S13)</f>
        <v>0.38461538461538464</v>
      </c>
      <c r="V13" s="45">
        <f>B13+C13+J13+K13</f>
        <v>9</v>
      </c>
      <c r="W13" s="45">
        <f>D13+E13+L13+M13</f>
        <v>3</v>
      </c>
      <c r="X13" s="45"/>
      <c r="Y13" s="45"/>
      <c r="Z13" s="43"/>
      <c r="AA13" s="43"/>
      <c r="AB13" s="45"/>
      <c r="AC13" s="45">
        <f>SUM(B13:I13)</f>
        <v>9</v>
      </c>
      <c r="AD13" s="48"/>
      <c r="AE13" s="49">
        <f t="shared" si="12"/>
        <v>13</v>
      </c>
      <c r="AG13">
        <v>20</v>
      </c>
      <c r="AH13">
        <v>12</v>
      </c>
      <c r="AI13">
        <v>0.375</v>
      </c>
      <c r="AJ13">
        <v>22</v>
      </c>
      <c r="AK13">
        <v>4</v>
      </c>
      <c r="AL13">
        <v>3</v>
      </c>
      <c r="AM13">
        <v>29</v>
      </c>
      <c r="AN13">
        <v>0.13793103448275862</v>
      </c>
      <c r="AO13">
        <v>0.10344827586206896</v>
      </c>
      <c r="AP13">
        <v>3</v>
      </c>
      <c r="AQ13">
        <v>21</v>
      </c>
      <c r="AR13">
        <v>11</v>
      </c>
      <c r="AS13">
        <v>32</v>
      </c>
      <c r="AU13" s="119">
        <f t="shared" si="13"/>
        <v>-0.6</v>
      </c>
      <c r="AV13" s="43">
        <f t="shared" si="9"/>
        <v>-0.58333333333333326</v>
      </c>
      <c r="AW13" s="43">
        <f t="shared" si="9"/>
        <v>2.5641025641025772E-2</v>
      </c>
      <c r="AX13" s="43">
        <f t="shared" si="9"/>
        <v>-0.59090909090909083</v>
      </c>
      <c r="AY13" s="43">
        <f t="shared" si="9"/>
        <v>-0.25</v>
      </c>
      <c r="AZ13" s="43">
        <f t="shared" si="9"/>
        <v>-1</v>
      </c>
      <c r="BA13" s="43">
        <f t="shared" si="9"/>
        <v>-1</v>
      </c>
      <c r="BB13" s="43">
        <f t="shared" si="9"/>
        <v>-1</v>
      </c>
      <c r="BC13" s="43">
        <f t="shared" si="9"/>
        <v>-1</v>
      </c>
      <c r="BD13" s="43">
        <f t="shared" si="9"/>
        <v>-1</v>
      </c>
      <c r="BE13" s="43">
        <f t="shared" si="9"/>
        <v>-0.5714285714285714</v>
      </c>
      <c r="BF13" s="43">
        <f t="shared" si="9"/>
        <v>-1</v>
      </c>
      <c r="BG13" s="120">
        <f t="shared" si="9"/>
        <v>-0.59375</v>
      </c>
    </row>
    <row r="14" spans="1:59" ht="15.75" thickBot="1">
      <c r="A14" s="24" t="s">
        <v>13</v>
      </c>
      <c r="B14" s="35">
        <f>SUM(B5:B13)</f>
        <v>31</v>
      </c>
      <c r="C14" s="35">
        <f t="shared" ref="C14:Q14" si="15">SUM(C5:C13)</f>
        <v>11</v>
      </c>
      <c r="D14" s="35">
        <f t="shared" si="15"/>
        <v>15</v>
      </c>
      <c r="E14" s="35">
        <f t="shared" si="15"/>
        <v>7</v>
      </c>
      <c r="F14" s="35">
        <f t="shared" si="15"/>
        <v>1</v>
      </c>
      <c r="G14" s="35">
        <f t="shared" si="15"/>
        <v>1</v>
      </c>
      <c r="H14" s="35">
        <f t="shared" si="15"/>
        <v>6</v>
      </c>
      <c r="I14" s="35">
        <f t="shared" si="15"/>
        <v>0</v>
      </c>
      <c r="J14" s="35">
        <f t="shared" si="15"/>
        <v>9</v>
      </c>
      <c r="K14" s="35">
        <f t="shared" si="15"/>
        <v>5</v>
      </c>
      <c r="L14" s="35">
        <f t="shared" si="15"/>
        <v>2</v>
      </c>
      <c r="M14" s="35">
        <f t="shared" si="15"/>
        <v>0</v>
      </c>
      <c r="N14" s="35">
        <f t="shared" si="15"/>
        <v>0</v>
      </c>
      <c r="O14" s="35">
        <f t="shared" si="15"/>
        <v>0</v>
      </c>
      <c r="P14" s="35">
        <f t="shared" si="15"/>
        <v>6</v>
      </c>
      <c r="Q14" s="35">
        <f t="shared" si="15"/>
        <v>4</v>
      </c>
      <c r="S14" s="31">
        <f t="shared" si="14"/>
        <v>70</v>
      </c>
      <c r="T14" s="32">
        <f t="shared" si="14"/>
        <v>28</v>
      </c>
      <c r="U14" s="33">
        <f>T14/(T14+S14)</f>
        <v>0.2857142857142857</v>
      </c>
      <c r="V14" s="32">
        <f>B14+C14+J14+K14</f>
        <v>56</v>
      </c>
      <c r="W14" s="32">
        <f>D14+E14+L14+M14</f>
        <v>24</v>
      </c>
      <c r="X14" s="32">
        <f>F14+G14+N14+O14</f>
        <v>2</v>
      </c>
      <c r="Y14" s="32">
        <f>SUM(V14:X14)</f>
        <v>82</v>
      </c>
      <c r="Z14" s="43">
        <f t="shared" si="10"/>
        <v>0.29268292682926828</v>
      </c>
      <c r="AA14" s="43">
        <f t="shared" si="11"/>
        <v>2.4390243902439025E-2</v>
      </c>
      <c r="AB14" s="32">
        <f>H14+I14+P14+Q14</f>
        <v>16</v>
      </c>
      <c r="AC14" s="32">
        <f>SUM(B14:I14)</f>
        <v>72</v>
      </c>
      <c r="AD14" s="34">
        <f>SUM(J14:Q14)</f>
        <v>26</v>
      </c>
      <c r="AE14" s="42">
        <f t="shared" si="12"/>
        <v>98</v>
      </c>
      <c r="AG14">
        <v>11</v>
      </c>
      <c r="AH14">
        <v>6</v>
      </c>
      <c r="AI14">
        <v>0.35294117647058826</v>
      </c>
      <c r="AJ14">
        <v>11</v>
      </c>
      <c r="AK14">
        <v>3</v>
      </c>
      <c r="AL14">
        <v>2</v>
      </c>
      <c r="AM14">
        <v>16</v>
      </c>
      <c r="AN14">
        <v>0.1875</v>
      </c>
      <c r="AO14">
        <v>0.125</v>
      </c>
      <c r="AP14">
        <v>1</v>
      </c>
      <c r="AQ14">
        <v>10</v>
      </c>
      <c r="AR14">
        <v>7</v>
      </c>
      <c r="AS14">
        <v>17</v>
      </c>
      <c r="AU14" s="56">
        <f t="shared" si="13"/>
        <v>5.3636363636363633</v>
      </c>
      <c r="AV14" s="57">
        <f t="shared" si="9"/>
        <v>3.666666666666667</v>
      </c>
      <c r="AW14" s="57">
        <f t="shared" si="9"/>
        <v>-0.19047619047619058</v>
      </c>
      <c r="AX14" s="57">
        <f t="shared" si="9"/>
        <v>4.0909090909090908</v>
      </c>
      <c r="AY14" s="57">
        <f t="shared" si="9"/>
        <v>7</v>
      </c>
      <c r="AZ14" s="57">
        <f t="shared" si="9"/>
        <v>0</v>
      </c>
      <c r="BA14" s="57">
        <f t="shared" si="9"/>
        <v>4.125</v>
      </c>
      <c r="BB14" s="57">
        <f t="shared" si="9"/>
        <v>0.56097560975609739</v>
      </c>
      <c r="BC14" s="57">
        <f t="shared" si="9"/>
        <v>-0.80487804878048785</v>
      </c>
      <c r="BD14" s="57">
        <f t="shared" si="9"/>
        <v>15</v>
      </c>
      <c r="BE14" s="57">
        <f t="shared" si="9"/>
        <v>6.2</v>
      </c>
      <c r="BF14" s="57">
        <f t="shared" si="9"/>
        <v>2.7142857142857144</v>
      </c>
      <c r="BG14" s="58">
        <f t="shared" si="9"/>
        <v>4.7647058823529411</v>
      </c>
    </row>
    <row r="15" spans="1:59" ht="15.75" thickBot="1">
      <c r="A15" s="24" t="s">
        <v>31</v>
      </c>
      <c r="B15" s="24">
        <f>SUM(B7:B10)</f>
        <v>13</v>
      </c>
      <c r="C15" s="24">
        <f t="shared" ref="C15:Q15" si="16">SUM(C7:C10)</f>
        <v>7</v>
      </c>
      <c r="D15" s="24">
        <f t="shared" si="16"/>
        <v>8</v>
      </c>
      <c r="E15" s="24">
        <f t="shared" si="16"/>
        <v>2</v>
      </c>
      <c r="F15" s="24">
        <f t="shared" si="16"/>
        <v>0</v>
      </c>
      <c r="G15" s="24">
        <f t="shared" si="16"/>
        <v>0</v>
      </c>
      <c r="H15" s="24">
        <f t="shared" si="16"/>
        <v>3</v>
      </c>
      <c r="I15" s="24">
        <f t="shared" si="16"/>
        <v>0</v>
      </c>
      <c r="J15" s="24">
        <f t="shared" si="16"/>
        <v>2</v>
      </c>
      <c r="K15" s="24">
        <f t="shared" si="16"/>
        <v>3</v>
      </c>
      <c r="L15" s="24">
        <f t="shared" si="16"/>
        <v>1</v>
      </c>
      <c r="M15" s="24">
        <f t="shared" si="16"/>
        <v>0</v>
      </c>
      <c r="N15" s="24">
        <f t="shared" si="16"/>
        <v>0</v>
      </c>
      <c r="O15" s="24">
        <f t="shared" si="16"/>
        <v>0</v>
      </c>
      <c r="P15" s="24">
        <f t="shared" si="16"/>
        <v>3</v>
      </c>
      <c r="Q15" s="24">
        <f t="shared" si="16"/>
        <v>3</v>
      </c>
      <c r="S15" s="50">
        <f t="shared" si="14"/>
        <v>30</v>
      </c>
      <c r="T15" s="35">
        <f t="shared" si="14"/>
        <v>15</v>
      </c>
      <c r="U15" s="51">
        <f>T15/(T15+S15)</f>
        <v>0.33333333333333331</v>
      </c>
      <c r="V15" s="35">
        <f>B15+C15+J15+K15</f>
        <v>25</v>
      </c>
      <c r="W15" s="35">
        <f>D15+E15+L15+M15</f>
        <v>11</v>
      </c>
      <c r="X15" s="35">
        <f>F15+G15+N15+O15</f>
        <v>0</v>
      </c>
      <c r="Y15" s="35">
        <f>SUM(V15:X15)</f>
        <v>36</v>
      </c>
      <c r="Z15" s="52">
        <f t="shared" si="10"/>
        <v>0.30555555555555558</v>
      </c>
      <c r="AA15" s="52">
        <f t="shared" si="11"/>
        <v>0</v>
      </c>
      <c r="AB15" s="35">
        <f>H15+I15+P15+Q15</f>
        <v>9</v>
      </c>
      <c r="AC15" s="35">
        <f>SUM(B15:I15)</f>
        <v>33</v>
      </c>
      <c r="AD15" s="36">
        <f>SUM(J15:Q15)</f>
        <v>12</v>
      </c>
      <c r="AE15" s="53">
        <f t="shared" si="12"/>
        <v>45</v>
      </c>
    </row>
    <row r="17" spans="1:41">
      <c r="A17" t="s">
        <v>29</v>
      </c>
      <c r="B17">
        <f>SUM(B5:B8)</f>
        <v>11</v>
      </c>
      <c r="C17">
        <f t="shared" ref="C17:Q17" si="17">SUM(C5:C8)</f>
        <v>2</v>
      </c>
      <c r="D17">
        <f t="shared" si="17"/>
        <v>5</v>
      </c>
      <c r="E17">
        <f t="shared" si="17"/>
        <v>2</v>
      </c>
      <c r="F17">
        <f t="shared" si="17"/>
        <v>1</v>
      </c>
      <c r="G17">
        <f t="shared" si="17"/>
        <v>0</v>
      </c>
      <c r="H17">
        <f t="shared" si="17"/>
        <v>3</v>
      </c>
      <c r="I17">
        <f t="shared" si="17"/>
        <v>0</v>
      </c>
      <c r="J17">
        <f t="shared" si="17"/>
        <v>4</v>
      </c>
      <c r="K17">
        <f t="shared" si="17"/>
        <v>2</v>
      </c>
      <c r="L17">
        <f t="shared" si="17"/>
        <v>0</v>
      </c>
      <c r="M17">
        <f t="shared" si="17"/>
        <v>0</v>
      </c>
      <c r="N17">
        <f t="shared" si="17"/>
        <v>0</v>
      </c>
      <c r="O17">
        <f t="shared" si="17"/>
        <v>0</v>
      </c>
      <c r="P17">
        <f t="shared" si="17"/>
        <v>2</v>
      </c>
      <c r="Q17">
        <f t="shared" si="17"/>
        <v>1</v>
      </c>
    </row>
    <row r="18" spans="1:41">
      <c r="A18" t="s">
        <v>30</v>
      </c>
      <c r="B18">
        <f>SUM(B9:B12)</f>
        <v>18</v>
      </c>
      <c r="C18">
        <f t="shared" ref="C18:Q18" si="18">SUM(C9:C12)</f>
        <v>6</v>
      </c>
      <c r="D18">
        <f t="shared" si="18"/>
        <v>9</v>
      </c>
      <c r="E18">
        <f t="shared" si="18"/>
        <v>3</v>
      </c>
      <c r="F18">
        <f t="shared" si="18"/>
        <v>0</v>
      </c>
      <c r="G18">
        <f t="shared" si="18"/>
        <v>1</v>
      </c>
      <c r="H18">
        <f t="shared" si="18"/>
        <v>2</v>
      </c>
      <c r="I18">
        <f t="shared" si="18"/>
        <v>0</v>
      </c>
      <c r="J18">
        <f t="shared" si="18"/>
        <v>1</v>
      </c>
      <c r="K18">
        <f t="shared" si="18"/>
        <v>3</v>
      </c>
      <c r="L18">
        <f t="shared" si="18"/>
        <v>2</v>
      </c>
      <c r="M18">
        <f t="shared" si="18"/>
        <v>0</v>
      </c>
      <c r="N18">
        <f t="shared" si="18"/>
        <v>0</v>
      </c>
      <c r="O18">
        <f t="shared" si="18"/>
        <v>0</v>
      </c>
      <c r="P18">
        <f t="shared" si="18"/>
        <v>4</v>
      </c>
      <c r="Q18">
        <f t="shared" si="18"/>
        <v>3</v>
      </c>
    </row>
    <row r="19" spans="1:41">
      <c r="AO19">
        <v>0.22535211267605634</v>
      </c>
    </row>
    <row r="20" spans="1:41">
      <c r="AA20" t="e">
        <f>AE14/#REF!</f>
        <v>#REF!</v>
      </c>
    </row>
  </sheetData>
  <mergeCells count="13">
    <mergeCell ref="AG2:AR2"/>
    <mergeCell ref="AU2:BF2"/>
    <mergeCell ref="P3:Q3"/>
    <mergeCell ref="B2:I2"/>
    <mergeCell ref="J2:Q2"/>
    <mergeCell ref="S2:AD2"/>
    <mergeCell ref="B3:C3"/>
    <mergeCell ref="D3:E3"/>
    <mergeCell ref="F3:G3"/>
    <mergeCell ref="H3:I3"/>
    <mergeCell ref="J3:K3"/>
    <mergeCell ref="L3:M3"/>
    <mergeCell ref="N3:O3"/>
  </mergeCells>
  <conditionalFormatting sqref="AU5:BG14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8"/>
  <sheetViews>
    <sheetView workbookViewId="0">
      <selection activeCell="T23" sqref="T23"/>
    </sheetView>
  </sheetViews>
  <sheetFormatPr baseColWidth="10" defaultColWidth="8.85546875" defaultRowHeight="15"/>
  <cols>
    <col min="1" max="1" width="10.28515625" style="97" customWidth="1"/>
    <col min="2" max="17" width="5" style="97" customWidth="1"/>
    <col min="18" max="16384" width="8.85546875" style="97"/>
  </cols>
  <sheetData>
    <row r="1" spans="1:59" ht="30.6" customHeight="1" thickBot="1">
      <c r="B1" s="11" t="s">
        <v>11</v>
      </c>
      <c r="C1" s="12"/>
    </row>
    <row r="2" spans="1:59" s="10" customFormat="1" ht="21.75" thickBot="1">
      <c r="A2" s="9"/>
      <c r="B2" s="141" t="s">
        <v>5</v>
      </c>
      <c r="C2" s="143"/>
      <c r="D2" s="143"/>
      <c r="E2" s="143"/>
      <c r="F2" s="143"/>
      <c r="G2" s="143"/>
      <c r="H2" s="143"/>
      <c r="I2" s="144"/>
      <c r="J2" s="141" t="s">
        <v>6</v>
      </c>
      <c r="K2" s="143"/>
      <c r="L2" s="143"/>
      <c r="M2" s="143"/>
      <c r="N2" s="143"/>
      <c r="O2" s="143"/>
      <c r="P2" s="143"/>
      <c r="Q2" s="144"/>
      <c r="R2" s="97"/>
      <c r="S2" s="138" t="str">
        <f xml:space="preserve"> "Totaux 2021 " &amp; $C1</f>
        <v xml:space="preserve">Totaux 2021 </v>
      </c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G2" s="138" t="str">
        <f xml:space="preserve"> "Totaux 2020 " &amp; $C1</f>
        <v xml:space="preserve">Totaux 2020 </v>
      </c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U2" s="139" t="str">
        <f xml:space="preserve"> "Changement depuis 2020 " &amp; $C1</f>
        <v xml:space="preserve">Changement depuis 2020 </v>
      </c>
      <c r="AV2" s="140"/>
      <c r="AW2" s="140"/>
      <c r="AX2" s="140"/>
      <c r="AY2" s="140"/>
      <c r="AZ2" s="140"/>
      <c r="BA2" s="140"/>
      <c r="BB2" s="140"/>
      <c r="BC2" s="140"/>
      <c r="BD2" s="140"/>
      <c r="BE2" s="140"/>
      <c r="BF2" s="140"/>
      <c r="BG2" s="115"/>
    </row>
    <row r="3" spans="1:59" s="10" customFormat="1" ht="68.45" customHeight="1">
      <c r="A3" s="9"/>
      <c r="B3" s="141" t="s">
        <v>9</v>
      </c>
      <c r="C3" s="144"/>
      <c r="D3" s="145" t="s">
        <v>7</v>
      </c>
      <c r="E3" s="142"/>
      <c r="F3" s="145" t="s">
        <v>8</v>
      </c>
      <c r="G3" s="142"/>
      <c r="H3" s="141" t="s">
        <v>0</v>
      </c>
      <c r="I3" s="142"/>
      <c r="J3" s="141" t="s">
        <v>4</v>
      </c>
      <c r="K3" s="144"/>
      <c r="L3" s="145" t="s">
        <v>7</v>
      </c>
      <c r="M3" s="142"/>
      <c r="N3" s="145" t="s">
        <v>10</v>
      </c>
      <c r="O3" s="142"/>
      <c r="P3" s="141" t="s">
        <v>0</v>
      </c>
      <c r="Q3" s="142"/>
      <c r="R3" s="97"/>
      <c r="S3" s="26" t="s">
        <v>20</v>
      </c>
      <c r="T3" s="27" t="s">
        <v>14</v>
      </c>
      <c r="U3" s="27" t="s">
        <v>15</v>
      </c>
      <c r="V3" s="27" t="s">
        <v>16</v>
      </c>
      <c r="W3" s="27" t="s">
        <v>7</v>
      </c>
      <c r="X3" s="27" t="s">
        <v>17</v>
      </c>
      <c r="Y3" s="27" t="s">
        <v>25</v>
      </c>
      <c r="Z3" s="27" t="s">
        <v>27</v>
      </c>
      <c r="AA3" s="27" t="s">
        <v>28</v>
      </c>
      <c r="AB3" s="27" t="s">
        <v>19</v>
      </c>
      <c r="AC3" s="27" t="s">
        <v>21</v>
      </c>
      <c r="AD3" s="28" t="s">
        <v>22</v>
      </c>
      <c r="AE3" s="40" t="s">
        <v>26</v>
      </c>
      <c r="AU3" s="117" t="s">
        <v>20</v>
      </c>
      <c r="AV3" s="116" t="s">
        <v>14</v>
      </c>
      <c r="AW3" s="116" t="s">
        <v>15</v>
      </c>
      <c r="AX3" s="116" t="s">
        <v>16</v>
      </c>
      <c r="AY3" s="116" t="s">
        <v>7</v>
      </c>
      <c r="AZ3" s="116" t="s">
        <v>17</v>
      </c>
      <c r="BA3" s="116" t="s">
        <v>25</v>
      </c>
      <c r="BB3" s="116" t="s">
        <v>27</v>
      </c>
      <c r="BC3" s="116" t="s">
        <v>28</v>
      </c>
      <c r="BD3" s="116" t="s">
        <v>19</v>
      </c>
      <c r="BE3" s="116" t="s">
        <v>21</v>
      </c>
      <c r="BF3" s="116" t="s">
        <v>22</v>
      </c>
      <c r="BG3" s="118" t="s">
        <v>26</v>
      </c>
    </row>
    <row r="4" spans="1:59" ht="21" thickBot="1">
      <c r="A4" s="98" t="s">
        <v>3</v>
      </c>
      <c r="B4" s="99" t="s">
        <v>1</v>
      </c>
      <c r="C4" s="105" t="s">
        <v>2</v>
      </c>
      <c r="D4" s="99" t="s">
        <v>1</v>
      </c>
      <c r="E4" s="105" t="s">
        <v>2</v>
      </c>
      <c r="F4" s="99" t="s">
        <v>1</v>
      </c>
      <c r="G4" s="105" t="s">
        <v>2</v>
      </c>
      <c r="H4" s="99" t="s">
        <v>1</v>
      </c>
      <c r="I4" s="100" t="s">
        <v>2</v>
      </c>
      <c r="J4" s="99" t="s">
        <v>1</v>
      </c>
      <c r="K4" s="105" t="s">
        <v>2</v>
      </c>
      <c r="L4" s="99" t="s">
        <v>1</v>
      </c>
      <c r="M4" s="105" t="s">
        <v>2</v>
      </c>
      <c r="N4" s="99" t="s">
        <v>1</v>
      </c>
      <c r="O4" s="105" t="s">
        <v>2</v>
      </c>
      <c r="P4" s="99" t="s">
        <v>1</v>
      </c>
      <c r="Q4" s="100" t="s">
        <v>2</v>
      </c>
      <c r="S4" s="29"/>
      <c r="T4" s="19"/>
      <c r="U4" s="25"/>
      <c r="V4" s="19"/>
      <c r="W4" s="19"/>
      <c r="X4" s="19"/>
      <c r="Y4" s="19"/>
      <c r="Z4" s="19"/>
      <c r="AA4" s="19"/>
      <c r="AB4" s="19"/>
      <c r="AC4" s="19"/>
      <c r="AD4" s="30"/>
      <c r="AE4" s="41"/>
      <c r="AU4" s="2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30"/>
    </row>
    <row r="5" spans="1:59" ht="21" customHeight="1" thickBot="1">
      <c r="A5" s="13">
        <v>0.29166666666666669</v>
      </c>
      <c r="B5" s="15">
        <f>Versonnex!B5+Sauverny!B5+'Divonne-&gt;Chavanne'!B5+Crassy!B5</f>
        <v>2</v>
      </c>
      <c r="C5" s="15">
        <f>Versonnex!C5+Sauverny!C5+'Divonne-&gt;Chavanne'!C5+Crassy!C5</f>
        <v>0</v>
      </c>
      <c r="D5" s="15">
        <f>Versonnex!D5+Sauverny!D5+'Divonne-&gt;Chavanne'!D5+Crassy!D5</f>
        <v>2</v>
      </c>
      <c r="E5" s="15">
        <f>Versonnex!E5+Sauverny!E5+'Divonne-&gt;Chavanne'!E5+Crassy!E5</f>
        <v>1</v>
      </c>
      <c r="F5" s="15">
        <f>Versonnex!F5+Sauverny!F5+'Divonne-&gt;Chavanne'!F5+Crassy!F5</f>
        <v>0</v>
      </c>
      <c r="G5" s="15">
        <f>Versonnex!G5+Sauverny!G5+'Divonne-&gt;Chavanne'!G5+Crassy!G5</f>
        <v>0</v>
      </c>
      <c r="H5" s="15">
        <f>Versonnex!H5+Sauverny!H5+'Divonne-&gt;Chavanne'!H5+Crassy!H5</f>
        <v>0</v>
      </c>
      <c r="I5" s="15">
        <f>Versonnex!I5+Sauverny!I5+'Divonne-&gt;Chavanne'!I5+Crassy!I5</f>
        <v>0</v>
      </c>
      <c r="J5" s="15">
        <f>Versonnex!J5+Sauverny!J5+'Divonne-&gt;Chavanne'!J5+Crassy!J5</f>
        <v>0</v>
      </c>
      <c r="K5" s="15">
        <f>Versonnex!K5+Sauverny!K5+'Divonne-&gt;Chavanne'!K5+Crassy!K5</f>
        <v>0</v>
      </c>
      <c r="L5" s="15">
        <f>Versonnex!L5+Sauverny!L5+'Divonne-&gt;Chavanne'!L5+Crassy!L5</f>
        <v>0</v>
      </c>
      <c r="M5" s="15">
        <f>Versonnex!M5+Sauverny!M5+'Divonne-&gt;Chavanne'!M5+Crassy!M5</f>
        <v>0</v>
      </c>
      <c r="N5" s="15">
        <f>Versonnex!N5+Sauverny!N5+'Divonne-&gt;Chavanne'!N5+Crassy!N5</f>
        <v>0</v>
      </c>
      <c r="O5" s="15">
        <f>Versonnex!O5+Sauverny!O5+'Divonne-&gt;Chavanne'!O5+Crassy!O5</f>
        <v>0</v>
      </c>
      <c r="P5" s="15">
        <f>Versonnex!P5+Sauverny!P5+'Divonne-&gt;Chavanne'!P5+Crassy!P5</f>
        <v>0</v>
      </c>
      <c r="Q5" s="15">
        <f>Versonnex!Q5+Sauverny!Q5+'Divonne-&gt;Chavanne'!Q5+Crassy!Q5</f>
        <v>0</v>
      </c>
      <c r="S5" s="29">
        <f t="shared" ref="S5:T15" si="0">B5+D5+F5+H5+J5+L5+N5+P5</f>
        <v>4</v>
      </c>
      <c r="T5" s="19">
        <f t="shared" si="0"/>
        <v>1</v>
      </c>
      <c r="U5" s="25">
        <f t="shared" ref="U5:U11" si="1">T5/(T5+S5)</f>
        <v>0.2</v>
      </c>
      <c r="V5" s="19">
        <f t="shared" ref="V5:V11" si="2">B5+C5+J5+K5</f>
        <v>2</v>
      </c>
      <c r="W5" s="19">
        <f t="shared" ref="W5:W11" si="3">D5+E5+L5+M5</f>
        <v>3</v>
      </c>
      <c r="X5" s="19">
        <f t="shared" ref="X5:X11" si="4">F5+G5+N5+O5</f>
        <v>0</v>
      </c>
      <c r="Y5" s="19">
        <f t="shared" ref="Y5:Y11" si="5">SUM(V5:X5)</f>
        <v>5</v>
      </c>
      <c r="Z5" s="43">
        <f>W5/Y5</f>
        <v>0.6</v>
      </c>
      <c r="AA5" s="43">
        <f>X5/Y5</f>
        <v>0</v>
      </c>
      <c r="AB5" s="19">
        <f t="shared" ref="AB5:AB11" si="6">H5+I5+P5+Q5</f>
        <v>0</v>
      </c>
      <c r="AC5" s="19">
        <f t="shared" ref="AC5:AC11" si="7">SUM(B5:I5)</f>
        <v>5</v>
      </c>
      <c r="AD5" s="30">
        <f t="shared" ref="AD5:AD11" si="8">SUM(J5:Q5)</f>
        <v>0</v>
      </c>
      <c r="AE5" s="41">
        <f>SUM(B5:Q5)</f>
        <v>5</v>
      </c>
      <c r="AU5" s="119" t="e">
        <f>(S5/AG5) - 1</f>
        <v>#DIV/0!</v>
      </c>
      <c r="AV5" s="43" t="e">
        <f t="shared" ref="AV5:BG15" si="9">(T5/AH5) - 1</f>
        <v>#DIV/0!</v>
      </c>
      <c r="AW5" s="43" t="e">
        <f t="shared" si="9"/>
        <v>#DIV/0!</v>
      </c>
      <c r="AX5" s="43" t="e">
        <f t="shared" si="9"/>
        <v>#DIV/0!</v>
      </c>
      <c r="AY5" s="43" t="e">
        <f t="shared" si="9"/>
        <v>#DIV/0!</v>
      </c>
      <c r="AZ5" s="43" t="e">
        <f t="shared" si="9"/>
        <v>#DIV/0!</v>
      </c>
      <c r="BA5" s="43" t="e">
        <f t="shared" si="9"/>
        <v>#DIV/0!</v>
      </c>
      <c r="BB5" s="43" t="e">
        <f t="shared" si="9"/>
        <v>#DIV/0!</v>
      </c>
      <c r="BC5" s="43" t="e">
        <f t="shared" si="9"/>
        <v>#DIV/0!</v>
      </c>
      <c r="BD5" s="43" t="e">
        <f t="shared" si="9"/>
        <v>#DIV/0!</v>
      </c>
      <c r="BE5" s="43" t="e">
        <f t="shared" si="9"/>
        <v>#DIV/0!</v>
      </c>
      <c r="BF5" s="43" t="e">
        <f t="shared" si="9"/>
        <v>#DIV/0!</v>
      </c>
      <c r="BG5" s="120" t="e">
        <f t="shared" si="9"/>
        <v>#DIV/0!</v>
      </c>
    </row>
    <row r="6" spans="1:59" ht="21" customHeight="1" thickBot="1">
      <c r="A6" s="14">
        <v>0.30208333333333331</v>
      </c>
      <c r="B6" s="15">
        <f>Versonnex!B6+Sauverny!B6+'Divonne-&gt;Chavanne'!B6+Crassy!B6</f>
        <v>4</v>
      </c>
      <c r="C6" s="15">
        <f>Versonnex!C6+Sauverny!C6+'Divonne-&gt;Chavanne'!C6+Crassy!C6</f>
        <v>3</v>
      </c>
      <c r="D6" s="15">
        <f>Versonnex!D6+Sauverny!D6+'Divonne-&gt;Chavanne'!D6+Crassy!D6</f>
        <v>2</v>
      </c>
      <c r="E6" s="15">
        <f>Versonnex!E6+Sauverny!E6+'Divonne-&gt;Chavanne'!E6+Crassy!E6</f>
        <v>1</v>
      </c>
      <c r="F6" s="15">
        <f>Versonnex!F6+Sauverny!F6+'Divonne-&gt;Chavanne'!F6+Crassy!F6</f>
        <v>0</v>
      </c>
      <c r="G6" s="15">
        <f>Versonnex!G6+Sauverny!G6+'Divonne-&gt;Chavanne'!G6+Crassy!G6</f>
        <v>0</v>
      </c>
      <c r="H6" s="15">
        <f>Versonnex!H6+Sauverny!H6+'Divonne-&gt;Chavanne'!H6+Crassy!H6</f>
        <v>0</v>
      </c>
      <c r="I6" s="15">
        <f>Versonnex!I6+Sauverny!I6+'Divonne-&gt;Chavanne'!I6+Crassy!I6</f>
        <v>1</v>
      </c>
      <c r="J6" s="15">
        <f>Versonnex!J6+Sauverny!J6+'Divonne-&gt;Chavanne'!J6+Crassy!J6</f>
        <v>1</v>
      </c>
      <c r="K6" s="15">
        <f>Versonnex!K6+Sauverny!K6+'Divonne-&gt;Chavanne'!K6+Crassy!K6</f>
        <v>0</v>
      </c>
      <c r="L6" s="15">
        <f>Versonnex!L6+Sauverny!L6+'Divonne-&gt;Chavanne'!L6+Crassy!L6</f>
        <v>0</v>
      </c>
      <c r="M6" s="15">
        <f>Versonnex!M6+Sauverny!M6+'Divonne-&gt;Chavanne'!M6+Crassy!M6</f>
        <v>0</v>
      </c>
      <c r="N6" s="15">
        <f>Versonnex!N6+Sauverny!N6+'Divonne-&gt;Chavanne'!N6+Crassy!N6</f>
        <v>0</v>
      </c>
      <c r="O6" s="15">
        <f>Versonnex!O6+Sauverny!O6+'Divonne-&gt;Chavanne'!O6+Crassy!O6</f>
        <v>0</v>
      </c>
      <c r="P6" s="15">
        <f>Versonnex!P6+Sauverny!P6+'Divonne-&gt;Chavanne'!P6+Crassy!P6</f>
        <v>0</v>
      </c>
      <c r="Q6" s="15">
        <f>Versonnex!Q6+Sauverny!Q6+'Divonne-&gt;Chavanne'!Q6+Crassy!Q6</f>
        <v>0</v>
      </c>
      <c r="S6" s="29">
        <f t="shared" si="0"/>
        <v>7</v>
      </c>
      <c r="T6" s="19">
        <f t="shared" si="0"/>
        <v>5</v>
      </c>
      <c r="U6" s="25">
        <f t="shared" si="1"/>
        <v>0.41666666666666669</v>
      </c>
      <c r="V6" s="19">
        <f t="shared" si="2"/>
        <v>8</v>
      </c>
      <c r="W6" s="19">
        <f t="shared" si="3"/>
        <v>3</v>
      </c>
      <c r="X6" s="19">
        <f t="shared" si="4"/>
        <v>0</v>
      </c>
      <c r="Y6" s="19">
        <f t="shared" si="5"/>
        <v>11</v>
      </c>
      <c r="Z6" s="43">
        <f t="shared" ref="Z6:Z15" si="10">W6/Y6</f>
        <v>0.27272727272727271</v>
      </c>
      <c r="AA6" s="43">
        <f t="shared" ref="AA6:AA15" si="11">X6/Y6</f>
        <v>0</v>
      </c>
      <c r="AB6" s="19">
        <f t="shared" si="6"/>
        <v>1</v>
      </c>
      <c r="AC6" s="19">
        <f t="shared" si="7"/>
        <v>11</v>
      </c>
      <c r="AD6" s="30">
        <f t="shared" si="8"/>
        <v>1</v>
      </c>
      <c r="AE6" s="41">
        <f t="shared" ref="AE6:AE15" si="12">SUM(B6:Q6)</f>
        <v>12</v>
      </c>
      <c r="AU6" s="119" t="e">
        <f t="shared" ref="AU6:AU15" si="13">(S6/AG6) - 1</f>
        <v>#DIV/0!</v>
      </c>
      <c r="AV6" s="43" t="e">
        <f t="shared" si="9"/>
        <v>#DIV/0!</v>
      </c>
      <c r="AW6" s="43" t="e">
        <f t="shared" si="9"/>
        <v>#DIV/0!</v>
      </c>
      <c r="AX6" s="43" t="e">
        <f t="shared" si="9"/>
        <v>#DIV/0!</v>
      </c>
      <c r="AY6" s="43" t="e">
        <f t="shared" si="9"/>
        <v>#DIV/0!</v>
      </c>
      <c r="AZ6" s="43" t="e">
        <f t="shared" si="9"/>
        <v>#DIV/0!</v>
      </c>
      <c r="BA6" s="43" t="e">
        <f t="shared" si="9"/>
        <v>#DIV/0!</v>
      </c>
      <c r="BB6" s="43" t="e">
        <f t="shared" si="9"/>
        <v>#DIV/0!</v>
      </c>
      <c r="BC6" s="43" t="e">
        <f t="shared" si="9"/>
        <v>#DIV/0!</v>
      </c>
      <c r="BD6" s="43" t="e">
        <f t="shared" si="9"/>
        <v>#DIV/0!</v>
      </c>
      <c r="BE6" s="43" t="e">
        <f t="shared" si="9"/>
        <v>#DIV/0!</v>
      </c>
      <c r="BF6" s="43" t="e">
        <f t="shared" si="9"/>
        <v>#DIV/0!</v>
      </c>
      <c r="BG6" s="120" t="e">
        <f t="shared" si="9"/>
        <v>#DIV/0!</v>
      </c>
    </row>
    <row r="7" spans="1:59" ht="21" customHeight="1" thickBot="1">
      <c r="A7" s="14">
        <v>0.3125</v>
      </c>
      <c r="B7" s="15">
        <f>Versonnex!B7+Sauverny!B7+'Divonne-&gt;Chavanne'!B7+Crassy!B7</f>
        <v>3</v>
      </c>
      <c r="C7" s="15">
        <f>Versonnex!C7+Sauverny!C7+'Divonne-&gt;Chavanne'!C7+Crassy!C7</f>
        <v>0</v>
      </c>
      <c r="D7" s="15">
        <f>Versonnex!D7+Sauverny!D7+'Divonne-&gt;Chavanne'!D7+Crassy!D7</f>
        <v>3</v>
      </c>
      <c r="E7" s="15">
        <f>Versonnex!E7+Sauverny!E7+'Divonne-&gt;Chavanne'!E7+Crassy!E7</f>
        <v>3</v>
      </c>
      <c r="F7" s="15">
        <f>Versonnex!F7+Sauverny!F7+'Divonne-&gt;Chavanne'!F7+Crassy!F7</f>
        <v>0</v>
      </c>
      <c r="G7" s="15">
        <f>Versonnex!G7+Sauverny!G7+'Divonne-&gt;Chavanne'!G7+Crassy!G7</f>
        <v>0</v>
      </c>
      <c r="H7" s="15">
        <f>Versonnex!H7+Sauverny!H7+'Divonne-&gt;Chavanne'!H7+Crassy!H7</f>
        <v>4</v>
      </c>
      <c r="I7" s="15">
        <f>Versonnex!I7+Sauverny!I7+'Divonne-&gt;Chavanne'!I7+Crassy!I7</f>
        <v>0</v>
      </c>
      <c r="J7" s="15">
        <f>Versonnex!J7+Sauverny!J7+'Divonne-&gt;Chavanne'!J7+Crassy!J7</f>
        <v>1</v>
      </c>
      <c r="K7" s="15">
        <f>Versonnex!K7+Sauverny!K7+'Divonne-&gt;Chavanne'!K7+Crassy!K7</f>
        <v>0</v>
      </c>
      <c r="L7" s="15">
        <f>Versonnex!L7+Sauverny!L7+'Divonne-&gt;Chavanne'!L7+Crassy!L7</f>
        <v>0</v>
      </c>
      <c r="M7" s="15">
        <f>Versonnex!M7+Sauverny!M7+'Divonne-&gt;Chavanne'!M7+Crassy!M7</f>
        <v>0</v>
      </c>
      <c r="N7" s="15">
        <f>Versonnex!N7+Sauverny!N7+'Divonne-&gt;Chavanne'!N7+Crassy!N7</f>
        <v>0</v>
      </c>
      <c r="O7" s="15">
        <f>Versonnex!O7+Sauverny!O7+'Divonne-&gt;Chavanne'!O7+Crassy!O7</f>
        <v>0</v>
      </c>
      <c r="P7" s="15">
        <f>Versonnex!P7+Sauverny!P7+'Divonne-&gt;Chavanne'!P7+Crassy!P7</f>
        <v>0</v>
      </c>
      <c r="Q7" s="15">
        <f>Versonnex!Q7+Sauverny!Q7+'Divonne-&gt;Chavanne'!Q7+Crassy!Q7</f>
        <v>0</v>
      </c>
      <c r="S7" s="29">
        <f t="shared" si="0"/>
        <v>11</v>
      </c>
      <c r="T7" s="19">
        <f t="shared" si="0"/>
        <v>3</v>
      </c>
      <c r="U7" s="25">
        <f t="shared" si="1"/>
        <v>0.21428571428571427</v>
      </c>
      <c r="V7" s="19">
        <f t="shared" si="2"/>
        <v>4</v>
      </c>
      <c r="W7" s="19">
        <f t="shared" si="3"/>
        <v>6</v>
      </c>
      <c r="X7" s="19">
        <f t="shared" si="4"/>
        <v>0</v>
      </c>
      <c r="Y7" s="19">
        <f t="shared" si="5"/>
        <v>10</v>
      </c>
      <c r="Z7" s="43">
        <f t="shared" si="10"/>
        <v>0.6</v>
      </c>
      <c r="AA7" s="43">
        <f t="shared" si="11"/>
        <v>0</v>
      </c>
      <c r="AB7" s="19">
        <f t="shared" si="6"/>
        <v>4</v>
      </c>
      <c r="AC7" s="19">
        <f t="shared" si="7"/>
        <v>13</v>
      </c>
      <c r="AD7" s="30">
        <f t="shared" si="8"/>
        <v>1</v>
      </c>
      <c r="AE7" s="41">
        <f t="shared" si="12"/>
        <v>14</v>
      </c>
      <c r="AU7" s="119" t="e">
        <f t="shared" si="13"/>
        <v>#DIV/0!</v>
      </c>
      <c r="AV7" s="43" t="e">
        <f t="shared" si="9"/>
        <v>#DIV/0!</v>
      </c>
      <c r="AW7" s="43" t="e">
        <f t="shared" si="9"/>
        <v>#DIV/0!</v>
      </c>
      <c r="AX7" s="43" t="e">
        <f t="shared" si="9"/>
        <v>#DIV/0!</v>
      </c>
      <c r="AY7" s="43" t="e">
        <f t="shared" si="9"/>
        <v>#DIV/0!</v>
      </c>
      <c r="AZ7" s="43" t="e">
        <f t="shared" si="9"/>
        <v>#DIV/0!</v>
      </c>
      <c r="BA7" s="43" t="e">
        <f t="shared" si="9"/>
        <v>#DIV/0!</v>
      </c>
      <c r="BB7" s="43" t="e">
        <f t="shared" si="9"/>
        <v>#DIV/0!</v>
      </c>
      <c r="BC7" s="43" t="e">
        <f t="shared" si="9"/>
        <v>#DIV/0!</v>
      </c>
      <c r="BD7" s="43" t="e">
        <f t="shared" si="9"/>
        <v>#DIV/0!</v>
      </c>
      <c r="BE7" s="43" t="e">
        <f t="shared" si="9"/>
        <v>#DIV/0!</v>
      </c>
      <c r="BF7" s="43" t="e">
        <f t="shared" si="9"/>
        <v>#DIV/0!</v>
      </c>
      <c r="BG7" s="120" t="e">
        <f t="shared" si="9"/>
        <v>#DIV/0!</v>
      </c>
    </row>
    <row r="8" spans="1:59" ht="21" customHeight="1" thickBot="1">
      <c r="A8" s="14">
        <v>0.32291666666666669</v>
      </c>
      <c r="B8" s="15">
        <f>Versonnex!B8+Sauverny!B8+'Divonne-&gt;Chavanne'!B8+Crassy!B8</f>
        <v>1</v>
      </c>
      <c r="C8" s="15">
        <f>Versonnex!C8+Sauverny!C8+'Divonne-&gt;Chavanne'!C8+Crassy!C8</f>
        <v>2</v>
      </c>
      <c r="D8" s="15">
        <f>Versonnex!D8+Sauverny!D8+'Divonne-&gt;Chavanne'!D8+Crassy!D8</f>
        <v>3</v>
      </c>
      <c r="E8" s="15">
        <f>Versonnex!E8+Sauverny!E8+'Divonne-&gt;Chavanne'!E8+Crassy!E8</f>
        <v>2</v>
      </c>
      <c r="F8" s="15">
        <f>Versonnex!F8+Sauverny!F8+'Divonne-&gt;Chavanne'!F8+Crassy!F8</f>
        <v>0</v>
      </c>
      <c r="G8" s="15">
        <f>Versonnex!G8+Sauverny!G8+'Divonne-&gt;Chavanne'!G8+Crassy!G8</f>
        <v>1</v>
      </c>
      <c r="H8" s="15">
        <f>Versonnex!H8+Sauverny!H8+'Divonne-&gt;Chavanne'!H8+Crassy!H8</f>
        <v>0</v>
      </c>
      <c r="I8" s="15">
        <f>Versonnex!I8+Sauverny!I8+'Divonne-&gt;Chavanne'!I8+Crassy!I8</f>
        <v>3</v>
      </c>
      <c r="J8" s="15">
        <f>Versonnex!J8+Sauverny!J8+'Divonne-&gt;Chavanne'!J8+Crassy!J8</f>
        <v>2</v>
      </c>
      <c r="K8" s="15">
        <f>Versonnex!K8+Sauverny!K8+'Divonne-&gt;Chavanne'!K8+Crassy!K8</f>
        <v>0</v>
      </c>
      <c r="L8" s="15">
        <f>Versonnex!L8+Sauverny!L8+'Divonne-&gt;Chavanne'!L8+Crassy!L8</f>
        <v>1</v>
      </c>
      <c r="M8" s="15">
        <f>Versonnex!M8+Sauverny!M8+'Divonne-&gt;Chavanne'!M8+Crassy!M8</f>
        <v>0</v>
      </c>
      <c r="N8" s="15">
        <f>Versonnex!N8+Sauverny!N8+'Divonne-&gt;Chavanne'!N8+Crassy!N8</f>
        <v>0</v>
      </c>
      <c r="O8" s="15">
        <f>Versonnex!O8+Sauverny!O8+'Divonne-&gt;Chavanne'!O8+Crassy!O8</f>
        <v>0</v>
      </c>
      <c r="P8" s="15">
        <f>Versonnex!P8+Sauverny!P8+'Divonne-&gt;Chavanne'!P8+Crassy!P8</f>
        <v>0</v>
      </c>
      <c r="Q8" s="15">
        <f>Versonnex!Q8+Sauverny!Q8+'Divonne-&gt;Chavanne'!Q8+Crassy!Q8</f>
        <v>0</v>
      </c>
      <c r="S8" s="29">
        <f t="shared" si="0"/>
        <v>7</v>
      </c>
      <c r="T8" s="19">
        <f t="shared" si="0"/>
        <v>8</v>
      </c>
      <c r="U8" s="25">
        <f t="shared" si="1"/>
        <v>0.53333333333333333</v>
      </c>
      <c r="V8" s="19">
        <f t="shared" si="2"/>
        <v>5</v>
      </c>
      <c r="W8" s="19">
        <f t="shared" si="3"/>
        <v>6</v>
      </c>
      <c r="X8" s="19">
        <f t="shared" si="4"/>
        <v>1</v>
      </c>
      <c r="Y8" s="19">
        <f t="shared" si="5"/>
        <v>12</v>
      </c>
      <c r="Z8" s="43">
        <f t="shared" si="10"/>
        <v>0.5</v>
      </c>
      <c r="AA8" s="43">
        <f t="shared" si="11"/>
        <v>8.3333333333333329E-2</v>
      </c>
      <c r="AB8" s="19">
        <f t="shared" si="6"/>
        <v>3</v>
      </c>
      <c r="AC8" s="19">
        <f t="shared" si="7"/>
        <v>12</v>
      </c>
      <c r="AD8" s="30">
        <f t="shared" si="8"/>
        <v>3</v>
      </c>
      <c r="AE8" s="41">
        <f t="shared" si="12"/>
        <v>15</v>
      </c>
      <c r="AU8" s="119" t="e">
        <f t="shared" si="13"/>
        <v>#DIV/0!</v>
      </c>
      <c r="AV8" s="43" t="e">
        <f t="shared" si="9"/>
        <v>#DIV/0!</v>
      </c>
      <c r="AW8" s="43" t="e">
        <f t="shared" si="9"/>
        <v>#DIV/0!</v>
      </c>
      <c r="AX8" s="43" t="e">
        <f t="shared" si="9"/>
        <v>#DIV/0!</v>
      </c>
      <c r="AY8" s="43" t="e">
        <f t="shared" si="9"/>
        <v>#DIV/0!</v>
      </c>
      <c r="AZ8" s="43" t="e">
        <f t="shared" si="9"/>
        <v>#DIV/0!</v>
      </c>
      <c r="BA8" s="43" t="e">
        <f t="shared" si="9"/>
        <v>#DIV/0!</v>
      </c>
      <c r="BB8" s="43" t="e">
        <f t="shared" si="9"/>
        <v>#DIV/0!</v>
      </c>
      <c r="BC8" s="43" t="e">
        <f t="shared" si="9"/>
        <v>#DIV/0!</v>
      </c>
      <c r="BD8" s="43" t="e">
        <f t="shared" si="9"/>
        <v>#DIV/0!</v>
      </c>
      <c r="BE8" s="43" t="e">
        <f t="shared" si="9"/>
        <v>#DIV/0!</v>
      </c>
      <c r="BF8" s="43" t="e">
        <f t="shared" si="9"/>
        <v>#DIV/0!</v>
      </c>
      <c r="BG8" s="120" t="e">
        <f t="shared" si="9"/>
        <v>#DIV/0!</v>
      </c>
    </row>
    <row r="9" spans="1:59" ht="21" customHeight="1" thickBot="1">
      <c r="A9" s="13">
        <v>0.33333333333333331</v>
      </c>
      <c r="B9" s="15">
        <f>Versonnex!B9+Sauverny!B9+'Divonne-&gt;Chavanne'!B9+Crassy!B9</f>
        <v>4</v>
      </c>
      <c r="C9" s="15">
        <f>Versonnex!C9+Sauverny!C9+'Divonne-&gt;Chavanne'!C9+Crassy!C9</f>
        <v>1</v>
      </c>
      <c r="D9" s="15">
        <f>Versonnex!D9+Sauverny!D9+'Divonne-&gt;Chavanne'!D9+Crassy!D9</f>
        <v>2</v>
      </c>
      <c r="E9" s="15">
        <f>Versonnex!E9+Sauverny!E9+'Divonne-&gt;Chavanne'!E9+Crassy!E9</f>
        <v>1</v>
      </c>
      <c r="F9" s="15">
        <f>Versonnex!F9+Sauverny!F9+'Divonne-&gt;Chavanne'!F9+Crassy!F9</f>
        <v>0</v>
      </c>
      <c r="G9" s="15">
        <f>Versonnex!G9+Sauverny!G9+'Divonne-&gt;Chavanne'!G9+Crassy!G9</f>
        <v>0</v>
      </c>
      <c r="H9" s="15">
        <f>Versonnex!H9+Sauverny!H9+'Divonne-&gt;Chavanne'!H9+Crassy!H9</f>
        <v>2</v>
      </c>
      <c r="I9" s="15">
        <f>Versonnex!I9+Sauverny!I9+'Divonne-&gt;Chavanne'!I9+Crassy!I9</f>
        <v>0</v>
      </c>
      <c r="J9" s="15">
        <f>Versonnex!J9+Sauverny!J9+'Divonne-&gt;Chavanne'!J9+Crassy!J9</f>
        <v>1</v>
      </c>
      <c r="K9" s="15">
        <f>Versonnex!K9+Sauverny!K9+'Divonne-&gt;Chavanne'!K9+Crassy!K9</f>
        <v>0</v>
      </c>
      <c r="L9" s="15">
        <f>Versonnex!L9+Sauverny!L9+'Divonne-&gt;Chavanne'!L9+Crassy!L9</f>
        <v>0</v>
      </c>
      <c r="M9" s="15">
        <f>Versonnex!M9+Sauverny!M9+'Divonne-&gt;Chavanne'!M9+Crassy!M9</f>
        <v>1</v>
      </c>
      <c r="N9" s="15">
        <f>Versonnex!N9+Sauverny!N9+'Divonne-&gt;Chavanne'!N9+Crassy!N9</f>
        <v>0</v>
      </c>
      <c r="O9" s="15">
        <f>Versonnex!O9+Sauverny!O9+'Divonne-&gt;Chavanne'!O9+Crassy!O9</f>
        <v>0</v>
      </c>
      <c r="P9" s="15">
        <f>Versonnex!P9+Sauverny!P9+'Divonne-&gt;Chavanne'!P9+Crassy!P9</f>
        <v>0</v>
      </c>
      <c r="Q9" s="15">
        <f>Versonnex!Q9+Sauverny!Q9+'Divonne-&gt;Chavanne'!Q9+Crassy!Q9</f>
        <v>0</v>
      </c>
      <c r="S9" s="29">
        <f t="shared" si="0"/>
        <v>9</v>
      </c>
      <c r="T9" s="19">
        <f t="shared" si="0"/>
        <v>3</v>
      </c>
      <c r="U9" s="25">
        <f t="shared" si="1"/>
        <v>0.25</v>
      </c>
      <c r="V9" s="19">
        <f t="shared" si="2"/>
        <v>6</v>
      </c>
      <c r="W9" s="19">
        <f t="shared" si="3"/>
        <v>4</v>
      </c>
      <c r="X9" s="19">
        <f t="shared" si="4"/>
        <v>0</v>
      </c>
      <c r="Y9" s="19">
        <f t="shared" si="5"/>
        <v>10</v>
      </c>
      <c r="Z9" s="43">
        <f t="shared" si="10"/>
        <v>0.4</v>
      </c>
      <c r="AA9" s="43">
        <f t="shared" si="11"/>
        <v>0</v>
      </c>
      <c r="AB9" s="19">
        <f t="shared" si="6"/>
        <v>2</v>
      </c>
      <c r="AC9" s="19">
        <f t="shared" si="7"/>
        <v>10</v>
      </c>
      <c r="AD9" s="30">
        <f t="shared" si="8"/>
        <v>2</v>
      </c>
      <c r="AE9" s="41">
        <f t="shared" si="12"/>
        <v>12</v>
      </c>
      <c r="AU9" s="119" t="e">
        <f t="shared" si="13"/>
        <v>#DIV/0!</v>
      </c>
      <c r="AV9" s="43" t="e">
        <f t="shared" si="9"/>
        <v>#DIV/0!</v>
      </c>
      <c r="AW9" s="43" t="e">
        <f t="shared" si="9"/>
        <v>#DIV/0!</v>
      </c>
      <c r="AX9" s="43" t="e">
        <f t="shared" si="9"/>
        <v>#DIV/0!</v>
      </c>
      <c r="AY9" s="43" t="e">
        <f t="shared" si="9"/>
        <v>#DIV/0!</v>
      </c>
      <c r="AZ9" s="43" t="e">
        <f t="shared" si="9"/>
        <v>#DIV/0!</v>
      </c>
      <c r="BA9" s="43" t="e">
        <f t="shared" si="9"/>
        <v>#DIV/0!</v>
      </c>
      <c r="BB9" s="43" t="e">
        <f t="shared" si="9"/>
        <v>#DIV/0!</v>
      </c>
      <c r="BC9" s="43" t="e">
        <f t="shared" si="9"/>
        <v>#DIV/0!</v>
      </c>
      <c r="BD9" s="43" t="e">
        <f t="shared" si="9"/>
        <v>#DIV/0!</v>
      </c>
      <c r="BE9" s="43" t="e">
        <f t="shared" si="9"/>
        <v>#DIV/0!</v>
      </c>
      <c r="BF9" s="43" t="e">
        <f t="shared" si="9"/>
        <v>#DIV/0!</v>
      </c>
      <c r="BG9" s="120" t="e">
        <f t="shared" si="9"/>
        <v>#DIV/0!</v>
      </c>
    </row>
    <row r="10" spans="1:59" ht="21" customHeight="1" thickBot="1">
      <c r="A10" s="14">
        <v>0.34375</v>
      </c>
      <c r="B10" s="15">
        <f>Versonnex!B10+Sauverny!B10+'Divonne-&gt;Chavanne'!B10+Crassy!B10</f>
        <v>2</v>
      </c>
      <c r="C10" s="15">
        <f>Versonnex!C10+Sauverny!C10+'Divonne-&gt;Chavanne'!C10+Crassy!C10</f>
        <v>1</v>
      </c>
      <c r="D10" s="15">
        <f>Versonnex!D10+Sauverny!D10+'Divonne-&gt;Chavanne'!D10+Crassy!D10</f>
        <v>0</v>
      </c>
      <c r="E10" s="15">
        <f>Versonnex!E10+Sauverny!E10+'Divonne-&gt;Chavanne'!E10+Crassy!E10</f>
        <v>2</v>
      </c>
      <c r="F10" s="15">
        <f>Versonnex!F10+Sauverny!F10+'Divonne-&gt;Chavanne'!F10+Crassy!F10</f>
        <v>0</v>
      </c>
      <c r="G10" s="15">
        <f>Versonnex!G10+Sauverny!G10+'Divonne-&gt;Chavanne'!G10+Crassy!G10</f>
        <v>0</v>
      </c>
      <c r="H10" s="15">
        <f>Versonnex!H10+Sauverny!H10+'Divonne-&gt;Chavanne'!H10+Crassy!H10</f>
        <v>0</v>
      </c>
      <c r="I10" s="15">
        <f>Versonnex!I10+Sauverny!I10+'Divonne-&gt;Chavanne'!I10+Crassy!I10</f>
        <v>0</v>
      </c>
      <c r="J10" s="15">
        <f>Versonnex!J10+Sauverny!J10+'Divonne-&gt;Chavanne'!J10+Crassy!J10</f>
        <v>1</v>
      </c>
      <c r="K10" s="15">
        <f>Versonnex!K10+Sauverny!K10+'Divonne-&gt;Chavanne'!K10+Crassy!K10</f>
        <v>0</v>
      </c>
      <c r="L10" s="15">
        <f>Versonnex!L10+Sauverny!L10+'Divonne-&gt;Chavanne'!L10+Crassy!L10</f>
        <v>0</v>
      </c>
      <c r="M10" s="15">
        <f>Versonnex!M10+Sauverny!M10+'Divonne-&gt;Chavanne'!M10+Crassy!M10</f>
        <v>0</v>
      </c>
      <c r="N10" s="15">
        <f>Versonnex!N10+Sauverny!N10+'Divonne-&gt;Chavanne'!N10+Crassy!N10</f>
        <v>0</v>
      </c>
      <c r="O10" s="15">
        <f>Versonnex!O10+Sauverny!O10+'Divonne-&gt;Chavanne'!O10+Crassy!O10</f>
        <v>0</v>
      </c>
      <c r="P10" s="15">
        <f>Versonnex!P10+Sauverny!P10+'Divonne-&gt;Chavanne'!P10+Crassy!P10</f>
        <v>0</v>
      </c>
      <c r="Q10" s="15">
        <f>Versonnex!Q10+Sauverny!Q10+'Divonne-&gt;Chavanne'!Q10+Crassy!Q10</f>
        <v>0</v>
      </c>
      <c r="S10" s="29">
        <f t="shared" si="0"/>
        <v>3</v>
      </c>
      <c r="T10" s="19">
        <f t="shared" si="0"/>
        <v>3</v>
      </c>
      <c r="U10" s="25">
        <f t="shared" si="1"/>
        <v>0.5</v>
      </c>
      <c r="V10" s="19">
        <f t="shared" si="2"/>
        <v>4</v>
      </c>
      <c r="W10" s="19">
        <f t="shared" si="3"/>
        <v>2</v>
      </c>
      <c r="X10" s="19">
        <f t="shared" si="4"/>
        <v>0</v>
      </c>
      <c r="Y10" s="19">
        <f t="shared" si="5"/>
        <v>6</v>
      </c>
      <c r="Z10" s="43">
        <f t="shared" si="10"/>
        <v>0.33333333333333331</v>
      </c>
      <c r="AA10" s="43">
        <f t="shared" si="11"/>
        <v>0</v>
      </c>
      <c r="AB10" s="19">
        <f t="shared" si="6"/>
        <v>0</v>
      </c>
      <c r="AC10" s="19">
        <f t="shared" si="7"/>
        <v>5</v>
      </c>
      <c r="AD10" s="30">
        <f t="shared" si="8"/>
        <v>1</v>
      </c>
      <c r="AE10" s="41">
        <f t="shared" si="12"/>
        <v>6</v>
      </c>
      <c r="AU10" s="119" t="e">
        <f t="shared" si="13"/>
        <v>#DIV/0!</v>
      </c>
      <c r="AV10" s="43" t="e">
        <f t="shared" si="9"/>
        <v>#DIV/0!</v>
      </c>
      <c r="AW10" s="43" t="e">
        <f t="shared" si="9"/>
        <v>#DIV/0!</v>
      </c>
      <c r="AX10" s="43" t="e">
        <f t="shared" si="9"/>
        <v>#DIV/0!</v>
      </c>
      <c r="AY10" s="43" t="e">
        <f t="shared" si="9"/>
        <v>#DIV/0!</v>
      </c>
      <c r="AZ10" s="43" t="e">
        <f t="shared" si="9"/>
        <v>#DIV/0!</v>
      </c>
      <c r="BA10" s="43" t="e">
        <f t="shared" si="9"/>
        <v>#DIV/0!</v>
      </c>
      <c r="BB10" s="43" t="e">
        <f t="shared" si="9"/>
        <v>#DIV/0!</v>
      </c>
      <c r="BC10" s="43" t="e">
        <f t="shared" si="9"/>
        <v>#DIV/0!</v>
      </c>
      <c r="BD10" s="43" t="e">
        <f t="shared" si="9"/>
        <v>#DIV/0!</v>
      </c>
      <c r="BE10" s="43" t="e">
        <f t="shared" si="9"/>
        <v>#DIV/0!</v>
      </c>
      <c r="BF10" s="43" t="e">
        <f t="shared" si="9"/>
        <v>#DIV/0!</v>
      </c>
      <c r="BG10" s="120" t="e">
        <f t="shared" si="9"/>
        <v>#DIV/0!</v>
      </c>
    </row>
    <row r="11" spans="1:59" ht="21" customHeight="1" thickBot="1">
      <c r="A11" s="14">
        <v>0.35416666666666669</v>
      </c>
      <c r="B11" s="15">
        <f>Versonnex!B11+Sauverny!B11+'Divonne-&gt;Chavanne'!B11+Crassy!B11</f>
        <v>1</v>
      </c>
      <c r="C11" s="15">
        <f>Versonnex!C11+Sauverny!C11+'Divonne-&gt;Chavanne'!C11+Crassy!C11</f>
        <v>1</v>
      </c>
      <c r="D11" s="15">
        <f>Versonnex!D11+Sauverny!D11+'Divonne-&gt;Chavanne'!D11+Crassy!D11</f>
        <v>1</v>
      </c>
      <c r="E11" s="15">
        <f>Versonnex!E11+Sauverny!E11+'Divonne-&gt;Chavanne'!E11+Crassy!E11</f>
        <v>0</v>
      </c>
      <c r="F11" s="15">
        <f>Versonnex!F11+Sauverny!F11+'Divonne-&gt;Chavanne'!F11+Crassy!F11</f>
        <v>0</v>
      </c>
      <c r="G11" s="15">
        <f>Versonnex!G11+Sauverny!G11+'Divonne-&gt;Chavanne'!G11+Crassy!G11</f>
        <v>0</v>
      </c>
      <c r="H11" s="15">
        <f>Versonnex!H11+Sauverny!H11+'Divonne-&gt;Chavanne'!H11+Crassy!H11</f>
        <v>0</v>
      </c>
      <c r="I11" s="15">
        <f>Versonnex!I11+Sauverny!I11+'Divonne-&gt;Chavanne'!I11+Crassy!I11</f>
        <v>0</v>
      </c>
      <c r="J11" s="15">
        <f>Versonnex!J11+Sauverny!J11+'Divonne-&gt;Chavanne'!J11+Crassy!J11</f>
        <v>1</v>
      </c>
      <c r="K11" s="15">
        <f>Versonnex!K11+Sauverny!K11+'Divonne-&gt;Chavanne'!K11+Crassy!K11</f>
        <v>0</v>
      </c>
      <c r="L11" s="15">
        <f>Versonnex!L11+Sauverny!L11+'Divonne-&gt;Chavanne'!L11+Crassy!L11</f>
        <v>0</v>
      </c>
      <c r="M11" s="15">
        <f>Versonnex!M11+Sauverny!M11+'Divonne-&gt;Chavanne'!M11+Crassy!M11</f>
        <v>0</v>
      </c>
      <c r="N11" s="15">
        <f>Versonnex!N11+Sauverny!N11+'Divonne-&gt;Chavanne'!N11+Crassy!N11</f>
        <v>0</v>
      </c>
      <c r="O11" s="15">
        <f>Versonnex!O11+Sauverny!O11+'Divonne-&gt;Chavanne'!O11+Crassy!O11</f>
        <v>0</v>
      </c>
      <c r="P11" s="15">
        <f>Versonnex!P11+Sauverny!P11+'Divonne-&gt;Chavanne'!P11+Crassy!P11</f>
        <v>0</v>
      </c>
      <c r="Q11" s="15">
        <f>Versonnex!Q11+Sauverny!Q11+'Divonne-&gt;Chavanne'!Q11+Crassy!Q11</f>
        <v>0</v>
      </c>
      <c r="S11" s="29">
        <f t="shared" si="0"/>
        <v>3</v>
      </c>
      <c r="T11" s="19">
        <f t="shared" si="0"/>
        <v>1</v>
      </c>
      <c r="U11" s="25">
        <f t="shared" si="1"/>
        <v>0.25</v>
      </c>
      <c r="V11" s="19">
        <f t="shared" si="2"/>
        <v>3</v>
      </c>
      <c r="W11" s="19">
        <f t="shared" si="3"/>
        <v>1</v>
      </c>
      <c r="X11" s="19">
        <f t="shared" si="4"/>
        <v>0</v>
      </c>
      <c r="Y11" s="19">
        <f t="shared" si="5"/>
        <v>4</v>
      </c>
      <c r="Z11" s="43">
        <f t="shared" si="10"/>
        <v>0.25</v>
      </c>
      <c r="AA11" s="43">
        <f t="shared" si="11"/>
        <v>0</v>
      </c>
      <c r="AB11" s="19">
        <f t="shared" si="6"/>
        <v>0</v>
      </c>
      <c r="AC11" s="19">
        <f t="shared" si="7"/>
        <v>3</v>
      </c>
      <c r="AD11" s="30">
        <f t="shared" si="8"/>
        <v>1</v>
      </c>
      <c r="AE11" s="41">
        <f t="shared" si="12"/>
        <v>4</v>
      </c>
      <c r="AU11" s="119" t="e">
        <f t="shared" si="13"/>
        <v>#DIV/0!</v>
      </c>
      <c r="AV11" s="43" t="e">
        <f t="shared" si="9"/>
        <v>#DIV/0!</v>
      </c>
      <c r="AW11" s="43" t="e">
        <f t="shared" si="9"/>
        <v>#DIV/0!</v>
      </c>
      <c r="AX11" s="43" t="e">
        <f t="shared" si="9"/>
        <v>#DIV/0!</v>
      </c>
      <c r="AY11" s="43" t="e">
        <f t="shared" si="9"/>
        <v>#DIV/0!</v>
      </c>
      <c r="AZ11" s="43" t="e">
        <f t="shared" si="9"/>
        <v>#DIV/0!</v>
      </c>
      <c r="BA11" s="43" t="e">
        <f t="shared" si="9"/>
        <v>#DIV/0!</v>
      </c>
      <c r="BB11" s="43" t="e">
        <f t="shared" si="9"/>
        <v>#DIV/0!</v>
      </c>
      <c r="BC11" s="43" t="e">
        <f t="shared" si="9"/>
        <v>#DIV/0!</v>
      </c>
      <c r="BD11" s="43" t="e">
        <f t="shared" si="9"/>
        <v>#DIV/0!</v>
      </c>
      <c r="BE11" s="43" t="e">
        <f t="shared" si="9"/>
        <v>#DIV/0!</v>
      </c>
      <c r="BF11" s="43" t="e">
        <f t="shared" si="9"/>
        <v>#DIV/0!</v>
      </c>
      <c r="BG11" s="120" t="e">
        <f t="shared" si="9"/>
        <v>#DIV/0!</v>
      </c>
    </row>
    <row r="12" spans="1:59" ht="21" customHeight="1" thickBot="1">
      <c r="A12" s="14">
        <v>0.36458333333333331</v>
      </c>
      <c r="B12" s="15">
        <f>Versonnex!B12+Sauverny!B12+'Divonne-&gt;Chavanne'!B12+Crassy!B12</f>
        <v>1</v>
      </c>
      <c r="C12" s="15">
        <f>Versonnex!C12+Sauverny!C12+'Divonne-&gt;Chavanne'!C12+Crassy!C12</f>
        <v>0</v>
      </c>
      <c r="D12" s="15">
        <f>Versonnex!D12+Sauverny!D12+'Divonne-&gt;Chavanne'!D12+Crassy!D12</f>
        <v>0</v>
      </c>
      <c r="E12" s="15">
        <f>Versonnex!E12+Sauverny!E12+'Divonne-&gt;Chavanne'!E12+Crassy!E12</f>
        <v>0</v>
      </c>
      <c r="F12" s="15">
        <f>Versonnex!F12+Sauverny!F12+'Divonne-&gt;Chavanne'!F12+Crassy!F12</f>
        <v>0</v>
      </c>
      <c r="G12" s="15">
        <f>Versonnex!G12+Sauverny!G12+'Divonne-&gt;Chavanne'!G12+Crassy!G12</f>
        <v>0</v>
      </c>
      <c r="H12" s="15">
        <f>Versonnex!H12+Sauverny!H12+'Divonne-&gt;Chavanne'!H12+Crassy!H12</f>
        <v>0</v>
      </c>
      <c r="I12" s="15">
        <f>Versonnex!I12+Sauverny!I12+'Divonne-&gt;Chavanne'!I12+Crassy!I12</f>
        <v>0</v>
      </c>
      <c r="J12" s="15">
        <f>Versonnex!J12+Sauverny!J12+'Divonne-&gt;Chavanne'!J12+Crassy!J12</f>
        <v>3</v>
      </c>
      <c r="K12" s="15">
        <f>Versonnex!K12+Sauverny!K12+'Divonne-&gt;Chavanne'!K12+Crassy!K12</f>
        <v>1</v>
      </c>
      <c r="L12" s="15">
        <f>Versonnex!L12+Sauverny!L12+'Divonne-&gt;Chavanne'!L12+Crassy!L12</f>
        <v>1</v>
      </c>
      <c r="M12" s="15">
        <f>Versonnex!M12+Sauverny!M12+'Divonne-&gt;Chavanne'!M12+Crassy!M12</f>
        <v>0</v>
      </c>
      <c r="N12" s="15">
        <f>Versonnex!N12+Sauverny!N12+'Divonne-&gt;Chavanne'!N12+Crassy!N12</f>
        <v>0</v>
      </c>
      <c r="O12" s="15">
        <f>Versonnex!O12+Sauverny!O12+'Divonne-&gt;Chavanne'!O12+Crassy!O12</f>
        <v>0</v>
      </c>
      <c r="P12" s="15">
        <f>Versonnex!P12+Sauverny!P12+'Divonne-&gt;Chavanne'!P12+Crassy!P12</f>
        <v>0</v>
      </c>
      <c r="Q12" s="15">
        <f>Versonnex!Q12+Sauverny!Q12+'Divonne-&gt;Chavanne'!Q12+Crassy!Q12</f>
        <v>0</v>
      </c>
      <c r="S12" s="29">
        <f t="shared" si="0"/>
        <v>5</v>
      </c>
      <c r="T12" s="19">
        <f t="shared" si="0"/>
        <v>1</v>
      </c>
      <c r="U12" s="25">
        <f>T12/(T12+S12)</f>
        <v>0.16666666666666666</v>
      </c>
      <c r="V12" s="19">
        <f>B12+C12+J12+K12</f>
        <v>5</v>
      </c>
      <c r="W12" s="19">
        <f>D12+E12+L12+M12</f>
        <v>1</v>
      </c>
      <c r="X12" s="19">
        <f>F12+G12+N12+O12</f>
        <v>0</v>
      </c>
      <c r="Y12" s="19">
        <f>SUM(V12:X12)</f>
        <v>6</v>
      </c>
      <c r="Z12" s="43">
        <f t="shared" si="10"/>
        <v>0.16666666666666666</v>
      </c>
      <c r="AA12" s="43">
        <f t="shared" si="11"/>
        <v>0</v>
      </c>
      <c r="AB12" s="19">
        <f>H12+I12+P12+Q12</f>
        <v>0</v>
      </c>
      <c r="AC12" s="19">
        <f>SUM(B12:I12)</f>
        <v>1</v>
      </c>
      <c r="AD12" s="30">
        <f>SUM(J12:Q12)</f>
        <v>5</v>
      </c>
      <c r="AE12" s="41">
        <f t="shared" si="12"/>
        <v>6</v>
      </c>
      <c r="AU12" s="119" t="e">
        <f t="shared" si="13"/>
        <v>#DIV/0!</v>
      </c>
      <c r="AV12" s="43" t="e">
        <f t="shared" si="9"/>
        <v>#DIV/0!</v>
      </c>
      <c r="AW12" s="43" t="e">
        <f t="shared" si="9"/>
        <v>#DIV/0!</v>
      </c>
      <c r="AX12" s="43" t="e">
        <f t="shared" si="9"/>
        <v>#DIV/0!</v>
      </c>
      <c r="AY12" s="43" t="e">
        <f t="shared" si="9"/>
        <v>#DIV/0!</v>
      </c>
      <c r="AZ12" s="43" t="e">
        <f t="shared" si="9"/>
        <v>#DIV/0!</v>
      </c>
      <c r="BA12" s="43" t="e">
        <f t="shared" si="9"/>
        <v>#DIV/0!</v>
      </c>
      <c r="BB12" s="43" t="e">
        <f t="shared" si="9"/>
        <v>#DIV/0!</v>
      </c>
      <c r="BC12" s="43" t="e">
        <f t="shared" si="9"/>
        <v>#DIV/0!</v>
      </c>
      <c r="BD12" s="43" t="e">
        <f t="shared" si="9"/>
        <v>#DIV/0!</v>
      </c>
      <c r="BE12" s="43" t="e">
        <f t="shared" si="9"/>
        <v>#DIV/0!</v>
      </c>
      <c r="BF12" s="43" t="e">
        <f t="shared" si="9"/>
        <v>#DIV/0!</v>
      </c>
      <c r="BG12" s="120" t="e">
        <f t="shared" si="9"/>
        <v>#DIV/0!</v>
      </c>
    </row>
    <row r="13" spans="1:59" ht="21" customHeight="1" thickBot="1">
      <c r="A13" s="121"/>
      <c r="B13" s="15">
        <f>Versonnex!B13+Sauverny!B13+'Divonne-&gt;Chavanne'!B13+Crassy!B13</f>
        <v>0</v>
      </c>
      <c r="C13" s="15">
        <f>Versonnex!C13+Sauverny!C13+'Divonne-&gt;Chavanne'!C13+Crassy!C13</f>
        <v>0</v>
      </c>
      <c r="D13" s="15">
        <f>Versonnex!D13+Sauverny!D13+'Divonne-&gt;Chavanne'!D13+Crassy!D13</f>
        <v>0</v>
      </c>
      <c r="E13" s="15">
        <f>Versonnex!E13+Sauverny!E13+'Divonne-&gt;Chavanne'!E13+Crassy!E13</f>
        <v>0</v>
      </c>
      <c r="F13" s="15">
        <f>Versonnex!F13+Sauverny!F13+'Divonne-&gt;Chavanne'!F13+Crassy!F13</f>
        <v>0</v>
      </c>
      <c r="G13" s="15">
        <f>Versonnex!G13+Sauverny!G13+'Divonne-&gt;Chavanne'!G13+Crassy!G13</f>
        <v>0</v>
      </c>
      <c r="H13" s="15">
        <f>Versonnex!H13+Sauverny!H13+'Divonne-&gt;Chavanne'!H13+Crassy!H13</f>
        <v>0</v>
      </c>
      <c r="I13" s="15">
        <f>Versonnex!I13+Sauverny!I13+'Divonne-&gt;Chavanne'!I13+Crassy!I13</f>
        <v>0</v>
      </c>
      <c r="J13" s="15">
        <f>Versonnex!J13+Sauverny!J13+'Divonne-&gt;Chavanne'!J13+Crassy!J13</f>
        <v>0</v>
      </c>
      <c r="K13" s="15">
        <f>Versonnex!K13+Sauverny!K13+'Divonne-&gt;Chavanne'!K13+Crassy!K13</f>
        <v>0</v>
      </c>
      <c r="L13" s="15">
        <f>Versonnex!L13+Sauverny!L13+'Divonne-&gt;Chavanne'!L13+Crassy!L13</f>
        <v>0</v>
      </c>
      <c r="M13" s="15">
        <f>Versonnex!M13+Sauverny!M13+'Divonne-&gt;Chavanne'!M13+Crassy!M13</f>
        <v>0</v>
      </c>
      <c r="N13" s="15">
        <f>Versonnex!N13+Sauverny!N13+'Divonne-&gt;Chavanne'!N13+Crassy!N13</f>
        <v>0</v>
      </c>
      <c r="O13" s="15">
        <f>Versonnex!O13+Sauverny!O13+'Divonne-&gt;Chavanne'!O13+Crassy!O13</f>
        <v>0</v>
      </c>
      <c r="P13" s="15">
        <f>Versonnex!P13+Sauverny!P13+'Divonne-&gt;Chavanne'!P13+Crassy!P13</f>
        <v>0</v>
      </c>
      <c r="Q13" s="15">
        <f>Versonnex!Q13+Sauverny!Q13+'Divonne-&gt;Chavanne'!Q13+Crassy!Q13</f>
        <v>0</v>
      </c>
      <c r="S13" s="44"/>
      <c r="T13" s="45"/>
      <c r="U13" s="46"/>
      <c r="V13" s="45"/>
      <c r="W13" s="45"/>
      <c r="X13" s="45"/>
      <c r="Y13" s="45"/>
      <c r="Z13" s="43"/>
      <c r="AA13" s="43"/>
      <c r="AB13" s="45"/>
      <c r="AC13" s="45"/>
      <c r="AD13" s="48"/>
      <c r="AE13" s="49"/>
      <c r="AU13" s="119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120"/>
    </row>
    <row r="14" spans="1:59" ht="15.75" thickBot="1">
      <c r="A14" s="24" t="s">
        <v>13</v>
      </c>
      <c r="B14" s="35">
        <f>SUM(B5:B12)</f>
        <v>18</v>
      </c>
      <c r="C14" s="35">
        <f t="shared" ref="C14:Q14" si="14">SUM(C5:C12)</f>
        <v>8</v>
      </c>
      <c r="D14" s="35">
        <f t="shared" si="14"/>
        <v>13</v>
      </c>
      <c r="E14" s="35">
        <f t="shared" si="14"/>
        <v>10</v>
      </c>
      <c r="F14" s="35">
        <f t="shared" si="14"/>
        <v>0</v>
      </c>
      <c r="G14" s="35">
        <f t="shared" si="14"/>
        <v>1</v>
      </c>
      <c r="H14" s="35">
        <f t="shared" si="14"/>
        <v>6</v>
      </c>
      <c r="I14" s="35">
        <f t="shared" si="14"/>
        <v>4</v>
      </c>
      <c r="J14" s="35">
        <f t="shared" si="14"/>
        <v>10</v>
      </c>
      <c r="K14" s="35">
        <f t="shared" si="14"/>
        <v>1</v>
      </c>
      <c r="L14" s="35">
        <f t="shared" si="14"/>
        <v>2</v>
      </c>
      <c r="M14" s="35">
        <f t="shared" si="14"/>
        <v>1</v>
      </c>
      <c r="N14" s="35">
        <f t="shared" si="14"/>
        <v>0</v>
      </c>
      <c r="O14" s="35">
        <f t="shared" si="14"/>
        <v>0</v>
      </c>
      <c r="P14" s="35">
        <f t="shared" si="14"/>
        <v>0</v>
      </c>
      <c r="Q14" s="35">
        <f t="shared" si="14"/>
        <v>0</v>
      </c>
      <c r="S14" s="31">
        <f t="shared" si="0"/>
        <v>49</v>
      </c>
      <c r="T14" s="32">
        <f t="shared" si="0"/>
        <v>25</v>
      </c>
      <c r="U14" s="33">
        <f>T14/(T14+S14)</f>
        <v>0.33783783783783783</v>
      </c>
      <c r="V14" s="32">
        <f>B14+C14+J14+K14</f>
        <v>37</v>
      </c>
      <c r="W14" s="32">
        <f>D14+E14+L14+M14</f>
        <v>26</v>
      </c>
      <c r="X14" s="32">
        <f>F14+G14+N14+O14</f>
        <v>1</v>
      </c>
      <c r="Y14" s="32">
        <f>SUM(V14:X14)</f>
        <v>64</v>
      </c>
      <c r="Z14" s="43">
        <f t="shared" si="10"/>
        <v>0.40625</v>
      </c>
      <c r="AA14" s="43">
        <f t="shared" si="11"/>
        <v>1.5625E-2</v>
      </c>
      <c r="AB14" s="32">
        <f>H14+I14+P14+Q14</f>
        <v>10</v>
      </c>
      <c r="AC14" s="32">
        <f>SUM(B14:I14)</f>
        <v>60</v>
      </c>
      <c r="AD14" s="34">
        <f>SUM(J14:Q14)</f>
        <v>14</v>
      </c>
      <c r="AE14" s="42">
        <f t="shared" si="12"/>
        <v>74</v>
      </c>
      <c r="AU14" s="119" t="e">
        <f t="shared" si="13"/>
        <v>#DIV/0!</v>
      </c>
      <c r="AV14" s="43" t="e">
        <f t="shared" si="9"/>
        <v>#DIV/0!</v>
      </c>
      <c r="AW14" s="43" t="e">
        <f t="shared" si="9"/>
        <v>#DIV/0!</v>
      </c>
      <c r="AX14" s="43" t="e">
        <f t="shared" si="9"/>
        <v>#DIV/0!</v>
      </c>
      <c r="AY14" s="43" t="e">
        <f t="shared" si="9"/>
        <v>#DIV/0!</v>
      </c>
      <c r="AZ14" s="43" t="e">
        <f t="shared" si="9"/>
        <v>#DIV/0!</v>
      </c>
      <c r="BA14" s="43" t="e">
        <f t="shared" si="9"/>
        <v>#DIV/0!</v>
      </c>
      <c r="BB14" s="43" t="e">
        <f t="shared" si="9"/>
        <v>#DIV/0!</v>
      </c>
      <c r="BC14" s="43" t="e">
        <f t="shared" si="9"/>
        <v>#DIV/0!</v>
      </c>
      <c r="BD14" s="43" t="e">
        <f t="shared" si="9"/>
        <v>#DIV/0!</v>
      </c>
      <c r="BE14" s="43" t="e">
        <f t="shared" si="9"/>
        <v>#DIV/0!</v>
      </c>
      <c r="BF14" s="43" t="e">
        <f t="shared" si="9"/>
        <v>#DIV/0!</v>
      </c>
      <c r="BG14" s="120" t="e">
        <f t="shared" si="9"/>
        <v>#DIV/0!</v>
      </c>
    </row>
    <row r="15" spans="1:59" ht="15.75" thickBot="1">
      <c r="A15" s="24" t="s">
        <v>31</v>
      </c>
      <c r="B15" s="24">
        <f>SUM(B7:B10)</f>
        <v>10</v>
      </c>
      <c r="C15" s="24">
        <f t="shared" ref="C15:Q15" si="15">SUM(C7:C10)</f>
        <v>4</v>
      </c>
      <c r="D15" s="24">
        <f t="shared" si="15"/>
        <v>8</v>
      </c>
      <c r="E15" s="24">
        <f t="shared" si="15"/>
        <v>8</v>
      </c>
      <c r="F15" s="24">
        <f t="shared" si="15"/>
        <v>0</v>
      </c>
      <c r="G15" s="24">
        <f t="shared" si="15"/>
        <v>1</v>
      </c>
      <c r="H15" s="24">
        <f t="shared" si="15"/>
        <v>6</v>
      </c>
      <c r="I15" s="24">
        <f t="shared" si="15"/>
        <v>3</v>
      </c>
      <c r="J15" s="24">
        <f t="shared" si="15"/>
        <v>5</v>
      </c>
      <c r="K15" s="24">
        <f t="shared" si="15"/>
        <v>0</v>
      </c>
      <c r="L15" s="24">
        <f t="shared" si="15"/>
        <v>1</v>
      </c>
      <c r="M15" s="24">
        <f t="shared" si="15"/>
        <v>1</v>
      </c>
      <c r="N15" s="24">
        <f t="shared" si="15"/>
        <v>0</v>
      </c>
      <c r="O15" s="24">
        <f t="shared" si="15"/>
        <v>0</v>
      </c>
      <c r="P15" s="24">
        <f t="shared" si="15"/>
        <v>0</v>
      </c>
      <c r="Q15" s="24">
        <f t="shared" si="15"/>
        <v>0</v>
      </c>
      <c r="S15" s="50">
        <f t="shared" si="0"/>
        <v>30</v>
      </c>
      <c r="T15" s="35">
        <f t="shared" si="0"/>
        <v>17</v>
      </c>
      <c r="U15" s="51">
        <f>T15/(T15+S15)</f>
        <v>0.36170212765957449</v>
      </c>
      <c r="V15" s="35">
        <f>B15+C15+J15+K15</f>
        <v>19</v>
      </c>
      <c r="W15" s="35">
        <f>D15+E15+L15+M15</f>
        <v>18</v>
      </c>
      <c r="X15" s="35">
        <f>F15+G15+N15+O15</f>
        <v>1</v>
      </c>
      <c r="Y15" s="35">
        <f>SUM(V15:X15)</f>
        <v>38</v>
      </c>
      <c r="Z15" s="52">
        <f t="shared" si="10"/>
        <v>0.47368421052631576</v>
      </c>
      <c r="AA15" s="52">
        <f t="shared" si="11"/>
        <v>2.6315789473684209E-2</v>
      </c>
      <c r="AB15" s="35">
        <f>H15+I15+P15+Q15</f>
        <v>9</v>
      </c>
      <c r="AC15" s="35">
        <f>SUM(B15:I15)</f>
        <v>40</v>
      </c>
      <c r="AD15" s="36">
        <f>SUM(J15:Q15)</f>
        <v>7</v>
      </c>
      <c r="AE15" s="114">
        <f t="shared" si="12"/>
        <v>47</v>
      </c>
      <c r="AU15" s="56" t="e">
        <f t="shared" si="13"/>
        <v>#DIV/0!</v>
      </c>
      <c r="AV15" s="57" t="e">
        <f t="shared" si="9"/>
        <v>#DIV/0!</v>
      </c>
      <c r="AW15" s="57" t="e">
        <f t="shared" si="9"/>
        <v>#DIV/0!</v>
      </c>
      <c r="AX15" s="57" t="e">
        <f t="shared" si="9"/>
        <v>#DIV/0!</v>
      </c>
      <c r="AY15" s="57" t="e">
        <f t="shared" si="9"/>
        <v>#DIV/0!</v>
      </c>
      <c r="AZ15" s="57" t="e">
        <f t="shared" si="9"/>
        <v>#DIV/0!</v>
      </c>
      <c r="BA15" s="57" t="e">
        <f t="shared" si="9"/>
        <v>#DIV/0!</v>
      </c>
      <c r="BB15" s="57" t="e">
        <f t="shared" si="9"/>
        <v>#DIV/0!</v>
      </c>
      <c r="BC15" s="57" t="e">
        <f t="shared" si="9"/>
        <v>#DIV/0!</v>
      </c>
      <c r="BD15" s="57" t="e">
        <f t="shared" si="9"/>
        <v>#DIV/0!</v>
      </c>
      <c r="BE15" s="57" t="e">
        <f t="shared" si="9"/>
        <v>#DIV/0!</v>
      </c>
      <c r="BF15" s="57" t="e">
        <f t="shared" si="9"/>
        <v>#DIV/0!</v>
      </c>
      <c r="BG15" s="58" t="e">
        <f t="shared" si="9"/>
        <v>#DIV/0!</v>
      </c>
    </row>
    <row r="17" spans="1:17">
      <c r="A17" s="97" t="s">
        <v>29</v>
      </c>
      <c r="B17" s="97">
        <f>SUM(B5:B8)</f>
        <v>10</v>
      </c>
      <c r="C17" s="97">
        <f t="shared" ref="C17:Q17" si="16">SUM(C5:C8)</f>
        <v>5</v>
      </c>
      <c r="D17" s="97">
        <f t="shared" si="16"/>
        <v>10</v>
      </c>
      <c r="E17" s="97">
        <f t="shared" si="16"/>
        <v>7</v>
      </c>
      <c r="F17" s="97">
        <f t="shared" si="16"/>
        <v>0</v>
      </c>
      <c r="G17" s="97">
        <f t="shared" si="16"/>
        <v>1</v>
      </c>
      <c r="H17" s="97">
        <f t="shared" si="16"/>
        <v>4</v>
      </c>
      <c r="I17" s="97">
        <f t="shared" si="16"/>
        <v>4</v>
      </c>
      <c r="J17" s="97">
        <f t="shared" si="16"/>
        <v>4</v>
      </c>
      <c r="K17" s="97">
        <f t="shared" si="16"/>
        <v>0</v>
      </c>
      <c r="L17" s="97">
        <f t="shared" si="16"/>
        <v>1</v>
      </c>
      <c r="M17" s="97">
        <f t="shared" si="16"/>
        <v>0</v>
      </c>
      <c r="N17" s="97">
        <f t="shared" si="16"/>
        <v>0</v>
      </c>
      <c r="O17" s="97">
        <f t="shared" si="16"/>
        <v>0</v>
      </c>
      <c r="P17" s="97">
        <f t="shared" si="16"/>
        <v>0</v>
      </c>
      <c r="Q17" s="97">
        <f t="shared" si="16"/>
        <v>0</v>
      </c>
    </row>
    <row r="18" spans="1:17">
      <c r="A18" s="97" t="s">
        <v>30</v>
      </c>
      <c r="B18" s="97">
        <f>SUM(B9:B12)</f>
        <v>8</v>
      </c>
      <c r="C18" s="97">
        <f t="shared" ref="C18:Q18" si="17">SUM(C9:C12)</f>
        <v>3</v>
      </c>
      <c r="D18" s="97">
        <f t="shared" si="17"/>
        <v>3</v>
      </c>
      <c r="E18" s="97">
        <f t="shared" si="17"/>
        <v>3</v>
      </c>
      <c r="F18" s="97">
        <f t="shared" si="17"/>
        <v>0</v>
      </c>
      <c r="G18" s="97">
        <f t="shared" si="17"/>
        <v>0</v>
      </c>
      <c r="H18" s="97">
        <f t="shared" si="17"/>
        <v>2</v>
      </c>
      <c r="I18" s="97">
        <f t="shared" si="17"/>
        <v>0</v>
      </c>
      <c r="J18" s="97">
        <f t="shared" si="17"/>
        <v>6</v>
      </c>
      <c r="K18" s="97">
        <f t="shared" si="17"/>
        <v>1</v>
      </c>
      <c r="L18" s="97">
        <f t="shared" si="17"/>
        <v>1</v>
      </c>
      <c r="M18" s="97">
        <f t="shared" si="17"/>
        <v>1</v>
      </c>
      <c r="N18" s="97">
        <f t="shared" si="17"/>
        <v>0</v>
      </c>
      <c r="O18" s="97">
        <f t="shared" si="17"/>
        <v>0</v>
      </c>
      <c r="P18" s="97">
        <f t="shared" si="17"/>
        <v>0</v>
      </c>
      <c r="Q18" s="97">
        <f t="shared" si="17"/>
        <v>0</v>
      </c>
    </row>
  </sheetData>
  <mergeCells count="13">
    <mergeCell ref="S2:AD2"/>
    <mergeCell ref="AG2:AR2"/>
    <mergeCell ref="AU2:BF2"/>
    <mergeCell ref="B3:C3"/>
    <mergeCell ref="D3:E3"/>
    <mergeCell ref="F3:G3"/>
    <mergeCell ref="H3:I3"/>
    <mergeCell ref="J3:K3"/>
    <mergeCell ref="L3:M3"/>
    <mergeCell ref="N3:O3"/>
    <mergeCell ref="P3:Q3"/>
    <mergeCell ref="B2:I2"/>
    <mergeCell ref="J2:Q2"/>
  </mergeCells>
  <conditionalFormatting sqref="AU5:BG15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8"/>
  <sheetViews>
    <sheetView workbookViewId="0">
      <selection activeCell="R20" sqref="R20"/>
    </sheetView>
  </sheetViews>
  <sheetFormatPr baseColWidth="10" defaultColWidth="9.140625" defaultRowHeight="15"/>
  <cols>
    <col min="1" max="1" width="10.28515625" customWidth="1"/>
    <col min="2" max="17" width="5" customWidth="1"/>
    <col min="47" max="59" width="8.85546875" style="97"/>
  </cols>
  <sheetData>
    <row r="1" spans="1:59" ht="30.6" customHeight="1" thickBot="1">
      <c r="B1" s="11" t="s">
        <v>11</v>
      </c>
      <c r="C1" s="12" t="s">
        <v>48</v>
      </c>
    </row>
    <row r="2" spans="1:59" s="10" customFormat="1" ht="21.75" thickBot="1">
      <c r="A2" s="9"/>
      <c r="B2" s="141" t="s">
        <v>5</v>
      </c>
      <c r="C2" s="143"/>
      <c r="D2" s="143"/>
      <c r="E2" s="143"/>
      <c r="F2" s="143"/>
      <c r="G2" s="143"/>
      <c r="H2" s="143"/>
      <c r="I2" s="144"/>
      <c r="J2" s="141" t="s">
        <v>6</v>
      </c>
      <c r="K2" s="143"/>
      <c r="L2" s="143"/>
      <c r="M2" s="143"/>
      <c r="N2" s="143"/>
      <c r="O2" s="143"/>
      <c r="P2" s="143"/>
      <c r="Q2" s="144"/>
      <c r="R2" s="97"/>
      <c r="S2" s="138" t="str">
        <f xml:space="preserve"> "Totaux 2021 " &amp; $C1</f>
        <v>Totaux 2021 Versonnex</v>
      </c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G2" s="138" t="str">
        <f xml:space="preserve"> "Totaux 2020 " &amp; $C1</f>
        <v>Totaux 2020 Versonnex</v>
      </c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U2" s="139" t="str">
        <f xml:space="preserve"> "Changement depuis 2020 " &amp; $C1</f>
        <v>Changement depuis 2020 Versonnex</v>
      </c>
      <c r="AV2" s="140"/>
      <c r="AW2" s="140"/>
      <c r="AX2" s="140"/>
      <c r="AY2" s="140"/>
      <c r="AZ2" s="140"/>
      <c r="BA2" s="140"/>
      <c r="BB2" s="140"/>
      <c r="BC2" s="140"/>
      <c r="BD2" s="140"/>
      <c r="BE2" s="140"/>
      <c r="BF2" s="140"/>
      <c r="BG2" s="115"/>
    </row>
    <row r="3" spans="1:59" s="10" customFormat="1" ht="68.45" customHeight="1">
      <c r="A3" s="9"/>
      <c r="B3" s="141" t="s">
        <v>9</v>
      </c>
      <c r="C3" s="144"/>
      <c r="D3" s="145" t="s">
        <v>7</v>
      </c>
      <c r="E3" s="142"/>
      <c r="F3" s="145" t="s">
        <v>8</v>
      </c>
      <c r="G3" s="142"/>
      <c r="H3" s="141" t="s">
        <v>0</v>
      </c>
      <c r="I3" s="142"/>
      <c r="J3" s="141" t="s">
        <v>4</v>
      </c>
      <c r="K3" s="144"/>
      <c r="L3" s="145" t="s">
        <v>7</v>
      </c>
      <c r="M3" s="142"/>
      <c r="N3" s="145" t="s">
        <v>10</v>
      </c>
      <c r="O3" s="142"/>
      <c r="P3" s="141" t="s">
        <v>0</v>
      </c>
      <c r="Q3" s="142"/>
      <c r="R3"/>
      <c r="S3" s="26" t="s">
        <v>20</v>
      </c>
      <c r="T3" s="27" t="s">
        <v>14</v>
      </c>
      <c r="U3" s="27" t="s">
        <v>15</v>
      </c>
      <c r="V3" s="27" t="s">
        <v>16</v>
      </c>
      <c r="W3" s="27" t="s">
        <v>7</v>
      </c>
      <c r="X3" s="27" t="s">
        <v>17</v>
      </c>
      <c r="Y3" s="27" t="s">
        <v>25</v>
      </c>
      <c r="Z3" s="27" t="s">
        <v>27</v>
      </c>
      <c r="AA3" s="27" t="s">
        <v>28</v>
      </c>
      <c r="AB3" s="27" t="s">
        <v>19</v>
      </c>
      <c r="AC3" s="27" t="s">
        <v>21</v>
      </c>
      <c r="AD3" s="28" t="s">
        <v>22</v>
      </c>
      <c r="AE3" s="40" t="s">
        <v>26</v>
      </c>
      <c r="AU3" s="117" t="s">
        <v>20</v>
      </c>
      <c r="AV3" s="116" t="s">
        <v>14</v>
      </c>
      <c r="AW3" s="116" t="s">
        <v>15</v>
      </c>
      <c r="AX3" s="116" t="s">
        <v>16</v>
      </c>
      <c r="AY3" s="116" t="s">
        <v>7</v>
      </c>
      <c r="AZ3" s="116" t="s">
        <v>17</v>
      </c>
      <c r="BA3" s="116" t="s">
        <v>25</v>
      </c>
      <c r="BB3" s="116" t="s">
        <v>27</v>
      </c>
      <c r="BC3" s="116" t="s">
        <v>28</v>
      </c>
      <c r="BD3" s="116" t="s">
        <v>19</v>
      </c>
      <c r="BE3" s="116" t="s">
        <v>21</v>
      </c>
      <c r="BF3" s="116" t="s">
        <v>22</v>
      </c>
      <c r="BG3" s="118" t="s">
        <v>26</v>
      </c>
    </row>
    <row r="4" spans="1:59" ht="21" thickBot="1">
      <c r="A4" s="1" t="s">
        <v>3</v>
      </c>
      <c r="B4" s="2" t="s">
        <v>1</v>
      </c>
      <c r="C4" s="4" t="s">
        <v>2</v>
      </c>
      <c r="D4" s="2" t="s">
        <v>1</v>
      </c>
      <c r="E4" s="4" t="s">
        <v>2</v>
      </c>
      <c r="F4" s="2" t="s">
        <v>1</v>
      </c>
      <c r="G4" s="4" t="s">
        <v>2</v>
      </c>
      <c r="H4" s="2" t="s">
        <v>1</v>
      </c>
      <c r="I4" s="3" t="s">
        <v>2</v>
      </c>
      <c r="J4" s="2" t="s">
        <v>1</v>
      </c>
      <c r="K4" s="4" t="s">
        <v>2</v>
      </c>
      <c r="L4" s="2" t="s">
        <v>1</v>
      </c>
      <c r="M4" s="4" t="s">
        <v>2</v>
      </c>
      <c r="N4" s="2" t="s">
        <v>1</v>
      </c>
      <c r="O4" s="4" t="s">
        <v>2</v>
      </c>
      <c r="P4" s="2" t="s">
        <v>1</v>
      </c>
      <c r="Q4" s="3" t="s">
        <v>2</v>
      </c>
      <c r="S4" s="29"/>
      <c r="T4" s="19"/>
      <c r="U4" s="25"/>
      <c r="V4" s="19"/>
      <c r="W4" s="19"/>
      <c r="X4" s="19"/>
      <c r="Y4" s="19"/>
      <c r="Z4" s="19"/>
      <c r="AA4" s="19"/>
      <c r="AB4" s="19"/>
      <c r="AC4" s="19"/>
      <c r="AD4" s="30"/>
      <c r="AE4" s="41"/>
      <c r="AU4" s="2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30"/>
    </row>
    <row r="5" spans="1:59" ht="21" customHeight="1">
      <c r="A5" s="13">
        <v>0.29166666666666669</v>
      </c>
      <c r="B5" s="88">
        <v>2</v>
      </c>
      <c r="C5" s="89"/>
      <c r="D5" s="90">
        <v>1</v>
      </c>
      <c r="E5" s="89"/>
      <c r="F5" s="88"/>
      <c r="G5" s="91"/>
      <c r="H5" s="88"/>
      <c r="I5" s="89"/>
      <c r="J5" s="92"/>
      <c r="K5" s="89"/>
      <c r="L5" s="90"/>
      <c r="M5" s="89"/>
      <c r="N5" s="88"/>
      <c r="O5" s="91"/>
      <c r="P5" s="88"/>
      <c r="Q5" s="93"/>
      <c r="S5" s="29">
        <f t="shared" ref="S5:T15" si="0">B5+D5+F5+H5+J5+L5+N5+P5</f>
        <v>3</v>
      </c>
      <c r="T5" s="19">
        <f t="shared" si="0"/>
        <v>0</v>
      </c>
      <c r="U5" s="25">
        <f t="shared" ref="U5:U11" si="1">T5/(T5+S5)</f>
        <v>0</v>
      </c>
      <c r="V5" s="19">
        <f t="shared" ref="V5:V11" si="2">B5+C5+J5+K5</f>
        <v>2</v>
      </c>
      <c r="W5" s="19">
        <f t="shared" ref="W5:W11" si="3">D5+E5+L5+M5</f>
        <v>1</v>
      </c>
      <c r="X5" s="19">
        <f t="shared" ref="X5:X11" si="4">F5+G5+N5+O5</f>
        <v>0</v>
      </c>
      <c r="Y5" s="19">
        <f t="shared" ref="Y5:Y11" si="5">SUM(V5:X5)</f>
        <v>3</v>
      </c>
      <c r="Z5" s="43">
        <f>W5/Y5</f>
        <v>0.33333333333333331</v>
      </c>
      <c r="AA5" s="43">
        <f>X5/Y5</f>
        <v>0</v>
      </c>
      <c r="AB5" s="19">
        <f t="shared" ref="AB5:AB11" si="6">H5+I5+P5+Q5</f>
        <v>0</v>
      </c>
      <c r="AC5" s="19">
        <f t="shared" ref="AC5:AC11" si="7">SUM(B5:I5)</f>
        <v>3</v>
      </c>
      <c r="AD5" s="30">
        <f t="shared" ref="AD5:AD11" si="8">SUM(J5:Q5)</f>
        <v>0</v>
      </c>
      <c r="AE5" s="41">
        <f>SUM(B5:Q5)</f>
        <v>3</v>
      </c>
      <c r="AU5" s="119" t="e">
        <f>(S5/AG5) - 1</f>
        <v>#DIV/0!</v>
      </c>
      <c r="AV5" s="43" t="e">
        <f t="shared" ref="AV5:BG15" si="9">(T5/AH5) - 1</f>
        <v>#DIV/0!</v>
      </c>
      <c r="AW5" s="43" t="e">
        <f t="shared" si="9"/>
        <v>#DIV/0!</v>
      </c>
      <c r="AX5" s="43" t="e">
        <f t="shared" si="9"/>
        <v>#DIV/0!</v>
      </c>
      <c r="AY5" s="43" t="e">
        <f t="shared" si="9"/>
        <v>#DIV/0!</v>
      </c>
      <c r="AZ5" s="43" t="e">
        <f t="shared" si="9"/>
        <v>#DIV/0!</v>
      </c>
      <c r="BA5" s="43" t="e">
        <f t="shared" si="9"/>
        <v>#DIV/0!</v>
      </c>
      <c r="BB5" s="43" t="e">
        <f t="shared" si="9"/>
        <v>#DIV/0!</v>
      </c>
      <c r="BC5" s="43" t="e">
        <f t="shared" si="9"/>
        <v>#DIV/0!</v>
      </c>
      <c r="BD5" s="43" t="e">
        <f t="shared" si="9"/>
        <v>#DIV/0!</v>
      </c>
      <c r="BE5" s="43" t="e">
        <f t="shared" si="9"/>
        <v>#DIV/0!</v>
      </c>
      <c r="BF5" s="43" t="e">
        <f t="shared" si="9"/>
        <v>#DIV/0!</v>
      </c>
      <c r="BG5" s="120" t="e">
        <f t="shared" si="9"/>
        <v>#DIV/0!</v>
      </c>
    </row>
    <row r="6" spans="1:59" ht="21" customHeight="1">
      <c r="A6" s="14">
        <v>0.30208333333333331</v>
      </c>
      <c r="B6" s="88">
        <v>3</v>
      </c>
      <c r="C6" s="89">
        <v>1</v>
      </c>
      <c r="D6" s="90">
        <v>1</v>
      </c>
      <c r="E6" s="89">
        <v>1</v>
      </c>
      <c r="F6" s="88"/>
      <c r="G6" s="91"/>
      <c r="H6" s="88"/>
      <c r="I6" s="89"/>
      <c r="J6" s="92">
        <v>1</v>
      </c>
      <c r="K6" s="89"/>
      <c r="L6" s="90"/>
      <c r="M6" s="89"/>
      <c r="N6" s="88"/>
      <c r="O6" s="91"/>
      <c r="P6" s="88"/>
      <c r="Q6" s="93"/>
      <c r="S6" s="29">
        <f t="shared" si="0"/>
        <v>5</v>
      </c>
      <c r="T6" s="19">
        <f t="shared" si="0"/>
        <v>2</v>
      </c>
      <c r="U6" s="25">
        <f t="shared" si="1"/>
        <v>0.2857142857142857</v>
      </c>
      <c r="V6" s="19">
        <f t="shared" si="2"/>
        <v>5</v>
      </c>
      <c r="W6" s="19">
        <f t="shared" si="3"/>
        <v>2</v>
      </c>
      <c r="X6" s="19">
        <f t="shared" si="4"/>
        <v>0</v>
      </c>
      <c r="Y6" s="19">
        <f t="shared" si="5"/>
        <v>7</v>
      </c>
      <c r="Z6" s="43">
        <f t="shared" ref="Z6:Z15" si="10">W6/Y6</f>
        <v>0.2857142857142857</v>
      </c>
      <c r="AA6" s="43">
        <f t="shared" ref="AA6:AA15" si="11">X6/Y6</f>
        <v>0</v>
      </c>
      <c r="AB6" s="19">
        <f t="shared" si="6"/>
        <v>0</v>
      </c>
      <c r="AC6" s="19">
        <f t="shared" si="7"/>
        <v>6</v>
      </c>
      <c r="AD6" s="30">
        <f t="shared" si="8"/>
        <v>1</v>
      </c>
      <c r="AE6" s="41">
        <f t="shared" ref="AE6:AE15" si="12">SUM(B6:Q6)</f>
        <v>7</v>
      </c>
      <c r="AU6" s="119" t="e">
        <f t="shared" ref="AU6:AU15" si="13">(S6/AG6) - 1</f>
        <v>#DIV/0!</v>
      </c>
      <c r="AV6" s="43" t="e">
        <f t="shared" si="9"/>
        <v>#DIV/0!</v>
      </c>
      <c r="AW6" s="43" t="e">
        <f t="shared" si="9"/>
        <v>#DIV/0!</v>
      </c>
      <c r="AX6" s="43" t="e">
        <f t="shared" si="9"/>
        <v>#DIV/0!</v>
      </c>
      <c r="AY6" s="43" t="e">
        <f t="shared" si="9"/>
        <v>#DIV/0!</v>
      </c>
      <c r="AZ6" s="43" t="e">
        <f t="shared" si="9"/>
        <v>#DIV/0!</v>
      </c>
      <c r="BA6" s="43" t="e">
        <f t="shared" si="9"/>
        <v>#DIV/0!</v>
      </c>
      <c r="BB6" s="43" t="e">
        <f t="shared" si="9"/>
        <v>#DIV/0!</v>
      </c>
      <c r="BC6" s="43" t="e">
        <f t="shared" si="9"/>
        <v>#DIV/0!</v>
      </c>
      <c r="BD6" s="43" t="e">
        <f t="shared" si="9"/>
        <v>#DIV/0!</v>
      </c>
      <c r="BE6" s="43" t="e">
        <f t="shared" si="9"/>
        <v>#DIV/0!</v>
      </c>
      <c r="BF6" s="43" t="e">
        <f t="shared" si="9"/>
        <v>#DIV/0!</v>
      </c>
      <c r="BG6" s="120" t="e">
        <f t="shared" si="9"/>
        <v>#DIV/0!</v>
      </c>
    </row>
    <row r="7" spans="1:59" ht="21" customHeight="1">
      <c r="A7" s="14">
        <v>0.3125</v>
      </c>
      <c r="B7" s="88"/>
      <c r="C7" s="89"/>
      <c r="D7" s="90">
        <v>2</v>
      </c>
      <c r="E7" s="89">
        <v>2</v>
      </c>
      <c r="F7" s="88"/>
      <c r="G7" s="91"/>
      <c r="H7" s="88"/>
      <c r="I7" s="89"/>
      <c r="J7" s="92">
        <v>1</v>
      </c>
      <c r="K7" s="89"/>
      <c r="L7" s="90"/>
      <c r="M7" s="89"/>
      <c r="N7" s="88"/>
      <c r="O7" s="91"/>
      <c r="P7" s="88"/>
      <c r="Q7" s="93"/>
      <c r="S7" s="29">
        <f t="shared" si="0"/>
        <v>3</v>
      </c>
      <c r="T7" s="19">
        <f t="shared" si="0"/>
        <v>2</v>
      </c>
      <c r="U7" s="25">
        <f t="shared" si="1"/>
        <v>0.4</v>
      </c>
      <c r="V7" s="19">
        <f t="shared" si="2"/>
        <v>1</v>
      </c>
      <c r="W7" s="19">
        <f t="shared" si="3"/>
        <v>4</v>
      </c>
      <c r="X7" s="19">
        <f t="shared" si="4"/>
        <v>0</v>
      </c>
      <c r="Y7" s="19">
        <f t="shared" si="5"/>
        <v>5</v>
      </c>
      <c r="Z7" s="43">
        <f t="shared" si="10"/>
        <v>0.8</v>
      </c>
      <c r="AA7" s="43">
        <f t="shared" si="11"/>
        <v>0</v>
      </c>
      <c r="AB7" s="19">
        <f t="shared" si="6"/>
        <v>0</v>
      </c>
      <c r="AC7" s="19">
        <f t="shared" si="7"/>
        <v>4</v>
      </c>
      <c r="AD7" s="30">
        <f t="shared" si="8"/>
        <v>1</v>
      </c>
      <c r="AE7" s="41">
        <f t="shared" si="12"/>
        <v>5</v>
      </c>
      <c r="AU7" s="119" t="e">
        <f t="shared" si="13"/>
        <v>#DIV/0!</v>
      </c>
      <c r="AV7" s="43" t="e">
        <f t="shared" si="9"/>
        <v>#DIV/0!</v>
      </c>
      <c r="AW7" s="43" t="e">
        <f t="shared" si="9"/>
        <v>#DIV/0!</v>
      </c>
      <c r="AX7" s="43" t="e">
        <f t="shared" si="9"/>
        <v>#DIV/0!</v>
      </c>
      <c r="AY7" s="43" t="e">
        <f t="shared" si="9"/>
        <v>#DIV/0!</v>
      </c>
      <c r="AZ7" s="43" t="e">
        <f t="shared" si="9"/>
        <v>#DIV/0!</v>
      </c>
      <c r="BA7" s="43" t="e">
        <f t="shared" si="9"/>
        <v>#DIV/0!</v>
      </c>
      <c r="BB7" s="43" t="e">
        <f t="shared" si="9"/>
        <v>#DIV/0!</v>
      </c>
      <c r="BC7" s="43" t="e">
        <f t="shared" si="9"/>
        <v>#DIV/0!</v>
      </c>
      <c r="BD7" s="43" t="e">
        <f t="shared" si="9"/>
        <v>#DIV/0!</v>
      </c>
      <c r="BE7" s="43" t="e">
        <f t="shared" si="9"/>
        <v>#DIV/0!</v>
      </c>
      <c r="BF7" s="43" t="e">
        <f t="shared" si="9"/>
        <v>#DIV/0!</v>
      </c>
      <c r="BG7" s="120" t="e">
        <f t="shared" si="9"/>
        <v>#DIV/0!</v>
      </c>
    </row>
    <row r="8" spans="1:59" ht="21" customHeight="1" thickBot="1">
      <c r="A8" s="14">
        <v>0.32291666666666669</v>
      </c>
      <c r="B8" s="88"/>
      <c r="C8" s="89">
        <v>1</v>
      </c>
      <c r="D8" s="90">
        <v>1</v>
      </c>
      <c r="E8" s="89">
        <v>1</v>
      </c>
      <c r="F8" s="88"/>
      <c r="G8" s="91"/>
      <c r="H8" s="88"/>
      <c r="I8" s="89"/>
      <c r="J8" s="92">
        <v>1</v>
      </c>
      <c r="K8" s="89"/>
      <c r="L8" s="90"/>
      <c r="M8" s="89"/>
      <c r="N8" s="88"/>
      <c r="O8" s="91"/>
      <c r="P8" s="88"/>
      <c r="Q8" s="93"/>
      <c r="S8" s="29">
        <f t="shared" si="0"/>
        <v>2</v>
      </c>
      <c r="T8" s="19">
        <f t="shared" si="0"/>
        <v>2</v>
      </c>
      <c r="U8" s="25">
        <f t="shared" si="1"/>
        <v>0.5</v>
      </c>
      <c r="V8" s="19">
        <f t="shared" si="2"/>
        <v>2</v>
      </c>
      <c r="W8" s="19">
        <f t="shared" si="3"/>
        <v>2</v>
      </c>
      <c r="X8" s="19">
        <f t="shared" si="4"/>
        <v>0</v>
      </c>
      <c r="Y8" s="19">
        <f t="shared" si="5"/>
        <v>4</v>
      </c>
      <c r="Z8" s="43">
        <f t="shared" si="10"/>
        <v>0.5</v>
      </c>
      <c r="AA8" s="43">
        <f t="shared" si="11"/>
        <v>0</v>
      </c>
      <c r="AB8" s="19">
        <f t="shared" si="6"/>
        <v>0</v>
      </c>
      <c r="AC8" s="19">
        <f t="shared" si="7"/>
        <v>3</v>
      </c>
      <c r="AD8" s="30">
        <f t="shared" si="8"/>
        <v>1</v>
      </c>
      <c r="AE8" s="41">
        <f t="shared" si="12"/>
        <v>4</v>
      </c>
      <c r="AU8" s="119" t="e">
        <f t="shared" si="13"/>
        <v>#DIV/0!</v>
      </c>
      <c r="AV8" s="43" t="e">
        <f t="shared" si="9"/>
        <v>#DIV/0!</v>
      </c>
      <c r="AW8" s="43" t="e">
        <f t="shared" si="9"/>
        <v>#DIV/0!</v>
      </c>
      <c r="AX8" s="43" t="e">
        <f t="shared" si="9"/>
        <v>#DIV/0!</v>
      </c>
      <c r="AY8" s="43" t="e">
        <f t="shared" si="9"/>
        <v>#DIV/0!</v>
      </c>
      <c r="AZ8" s="43" t="e">
        <f t="shared" si="9"/>
        <v>#DIV/0!</v>
      </c>
      <c r="BA8" s="43" t="e">
        <f t="shared" si="9"/>
        <v>#DIV/0!</v>
      </c>
      <c r="BB8" s="43" t="e">
        <f t="shared" si="9"/>
        <v>#DIV/0!</v>
      </c>
      <c r="BC8" s="43" t="e">
        <f t="shared" si="9"/>
        <v>#DIV/0!</v>
      </c>
      <c r="BD8" s="43" t="e">
        <f t="shared" si="9"/>
        <v>#DIV/0!</v>
      </c>
      <c r="BE8" s="43" t="e">
        <f t="shared" si="9"/>
        <v>#DIV/0!</v>
      </c>
      <c r="BF8" s="43" t="e">
        <f t="shared" si="9"/>
        <v>#DIV/0!</v>
      </c>
      <c r="BG8" s="120" t="e">
        <f t="shared" si="9"/>
        <v>#DIV/0!</v>
      </c>
    </row>
    <row r="9" spans="1:59" ht="21" customHeight="1">
      <c r="A9" s="13">
        <v>0.33333333333333331</v>
      </c>
      <c r="B9" s="88">
        <v>1</v>
      </c>
      <c r="C9" s="89">
        <v>1</v>
      </c>
      <c r="D9" s="90">
        <v>1</v>
      </c>
      <c r="E9" s="89"/>
      <c r="F9" s="88"/>
      <c r="G9" s="91"/>
      <c r="H9" s="88"/>
      <c r="I9" s="89"/>
      <c r="J9" s="92">
        <v>1</v>
      </c>
      <c r="K9" s="89"/>
      <c r="L9" s="90"/>
      <c r="M9" s="89">
        <v>1</v>
      </c>
      <c r="N9" s="88"/>
      <c r="O9" s="91"/>
      <c r="P9" s="88"/>
      <c r="Q9" s="93"/>
      <c r="S9" s="29">
        <f t="shared" si="0"/>
        <v>3</v>
      </c>
      <c r="T9" s="19">
        <f t="shared" si="0"/>
        <v>2</v>
      </c>
      <c r="U9" s="25">
        <f t="shared" si="1"/>
        <v>0.4</v>
      </c>
      <c r="V9" s="19">
        <f t="shared" si="2"/>
        <v>3</v>
      </c>
      <c r="W9" s="19">
        <f t="shared" si="3"/>
        <v>2</v>
      </c>
      <c r="X9" s="19">
        <f t="shared" si="4"/>
        <v>0</v>
      </c>
      <c r="Y9" s="19">
        <f t="shared" si="5"/>
        <v>5</v>
      </c>
      <c r="Z9" s="43">
        <f t="shared" si="10"/>
        <v>0.4</v>
      </c>
      <c r="AA9" s="43">
        <f t="shared" si="11"/>
        <v>0</v>
      </c>
      <c r="AB9" s="19">
        <f t="shared" si="6"/>
        <v>0</v>
      </c>
      <c r="AC9" s="19">
        <f t="shared" si="7"/>
        <v>3</v>
      </c>
      <c r="AD9" s="30">
        <f t="shared" si="8"/>
        <v>2</v>
      </c>
      <c r="AE9" s="41">
        <f t="shared" si="12"/>
        <v>5</v>
      </c>
      <c r="AU9" s="119" t="e">
        <f t="shared" si="13"/>
        <v>#DIV/0!</v>
      </c>
      <c r="AV9" s="43" t="e">
        <f t="shared" si="9"/>
        <v>#DIV/0!</v>
      </c>
      <c r="AW9" s="43" t="e">
        <f t="shared" si="9"/>
        <v>#DIV/0!</v>
      </c>
      <c r="AX9" s="43" t="e">
        <f t="shared" si="9"/>
        <v>#DIV/0!</v>
      </c>
      <c r="AY9" s="43" t="e">
        <f t="shared" si="9"/>
        <v>#DIV/0!</v>
      </c>
      <c r="AZ9" s="43" t="e">
        <f t="shared" si="9"/>
        <v>#DIV/0!</v>
      </c>
      <c r="BA9" s="43" t="e">
        <f t="shared" si="9"/>
        <v>#DIV/0!</v>
      </c>
      <c r="BB9" s="43" t="e">
        <f t="shared" si="9"/>
        <v>#DIV/0!</v>
      </c>
      <c r="BC9" s="43" t="e">
        <f t="shared" si="9"/>
        <v>#DIV/0!</v>
      </c>
      <c r="BD9" s="43" t="e">
        <f t="shared" si="9"/>
        <v>#DIV/0!</v>
      </c>
      <c r="BE9" s="43" t="e">
        <f t="shared" si="9"/>
        <v>#DIV/0!</v>
      </c>
      <c r="BF9" s="43" t="e">
        <f t="shared" si="9"/>
        <v>#DIV/0!</v>
      </c>
      <c r="BG9" s="120" t="e">
        <f t="shared" si="9"/>
        <v>#DIV/0!</v>
      </c>
    </row>
    <row r="10" spans="1:59" ht="21" customHeight="1">
      <c r="A10" s="14">
        <v>0.34375</v>
      </c>
      <c r="B10" s="88">
        <v>2</v>
      </c>
      <c r="C10" s="89">
        <v>1</v>
      </c>
      <c r="D10" s="90"/>
      <c r="E10" s="89">
        <v>2</v>
      </c>
      <c r="F10" s="88"/>
      <c r="G10" s="91"/>
      <c r="H10" s="88"/>
      <c r="I10" s="89"/>
      <c r="J10" s="92">
        <v>1</v>
      </c>
      <c r="K10" s="89"/>
      <c r="L10" s="90"/>
      <c r="M10" s="89"/>
      <c r="N10" s="88"/>
      <c r="O10" s="91"/>
      <c r="P10" s="88"/>
      <c r="Q10" s="93"/>
      <c r="S10" s="29">
        <f t="shared" si="0"/>
        <v>3</v>
      </c>
      <c r="T10" s="19">
        <f t="shared" si="0"/>
        <v>3</v>
      </c>
      <c r="U10" s="25">
        <f t="shared" si="1"/>
        <v>0.5</v>
      </c>
      <c r="V10" s="19">
        <f t="shared" si="2"/>
        <v>4</v>
      </c>
      <c r="W10" s="19">
        <f t="shared" si="3"/>
        <v>2</v>
      </c>
      <c r="X10" s="19">
        <f t="shared" si="4"/>
        <v>0</v>
      </c>
      <c r="Y10" s="19">
        <f t="shared" si="5"/>
        <v>6</v>
      </c>
      <c r="Z10" s="43">
        <f t="shared" si="10"/>
        <v>0.33333333333333331</v>
      </c>
      <c r="AA10" s="43">
        <f t="shared" si="11"/>
        <v>0</v>
      </c>
      <c r="AB10" s="19">
        <f t="shared" si="6"/>
        <v>0</v>
      </c>
      <c r="AC10" s="19">
        <f t="shared" si="7"/>
        <v>5</v>
      </c>
      <c r="AD10" s="30">
        <f t="shared" si="8"/>
        <v>1</v>
      </c>
      <c r="AE10" s="41">
        <f t="shared" si="12"/>
        <v>6</v>
      </c>
      <c r="AU10" s="119" t="e">
        <f t="shared" si="13"/>
        <v>#DIV/0!</v>
      </c>
      <c r="AV10" s="43" t="e">
        <f t="shared" si="9"/>
        <v>#DIV/0!</v>
      </c>
      <c r="AW10" s="43" t="e">
        <f t="shared" si="9"/>
        <v>#DIV/0!</v>
      </c>
      <c r="AX10" s="43" t="e">
        <f t="shared" si="9"/>
        <v>#DIV/0!</v>
      </c>
      <c r="AY10" s="43" t="e">
        <f t="shared" si="9"/>
        <v>#DIV/0!</v>
      </c>
      <c r="AZ10" s="43" t="e">
        <f t="shared" si="9"/>
        <v>#DIV/0!</v>
      </c>
      <c r="BA10" s="43" t="e">
        <f t="shared" si="9"/>
        <v>#DIV/0!</v>
      </c>
      <c r="BB10" s="43" t="e">
        <f t="shared" si="9"/>
        <v>#DIV/0!</v>
      </c>
      <c r="BC10" s="43" t="e">
        <f t="shared" si="9"/>
        <v>#DIV/0!</v>
      </c>
      <c r="BD10" s="43" t="e">
        <f t="shared" si="9"/>
        <v>#DIV/0!</v>
      </c>
      <c r="BE10" s="43" t="e">
        <f t="shared" si="9"/>
        <v>#DIV/0!</v>
      </c>
      <c r="BF10" s="43" t="e">
        <f t="shared" si="9"/>
        <v>#DIV/0!</v>
      </c>
      <c r="BG10" s="120" t="e">
        <f t="shared" si="9"/>
        <v>#DIV/0!</v>
      </c>
    </row>
    <row r="11" spans="1:59" ht="21" customHeight="1">
      <c r="A11" s="14">
        <v>0.35416666666666669</v>
      </c>
      <c r="B11" s="88">
        <v>1</v>
      </c>
      <c r="C11" s="89">
        <v>1</v>
      </c>
      <c r="D11" s="90">
        <v>1</v>
      </c>
      <c r="E11" s="89"/>
      <c r="F11" s="88"/>
      <c r="G11" s="91"/>
      <c r="H11" s="88"/>
      <c r="I11" s="89"/>
      <c r="J11" s="92">
        <v>1</v>
      </c>
      <c r="K11" s="89"/>
      <c r="L11" s="90"/>
      <c r="M11" s="89"/>
      <c r="N11" s="88"/>
      <c r="O11" s="91"/>
      <c r="P11" s="88"/>
      <c r="Q11" s="93"/>
      <c r="S11" s="29">
        <f t="shared" si="0"/>
        <v>3</v>
      </c>
      <c r="T11" s="19">
        <f t="shared" si="0"/>
        <v>1</v>
      </c>
      <c r="U11" s="25">
        <f t="shared" si="1"/>
        <v>0.25</v>
      </c>
      <c r="V11" s="19">
        <f t="shared" si="2"/>
        <v>3</v>
      </c>
      <c r="W11" s="19">
        <f t="shared" si="3"/>
        <v>1</v>
      </c>
      <c r="X11" s="19">
        <f t="shared" si="4"/>
        <v>0</v>
      </c>
      <c r="Y11" s="19">
        <f t="shared" si="5"/>
        <v>4</v>
      </c>
      <c r="Z11" s="43">
        <f t="shared" si="10"/>
        <v>0.25</v>
      </c>
      <c r="AA11" s="43">
        <f t="shared" si="11"/>
        <v>0</v>
      </c>
      <c r="AB11" s="19">
        <f t="shared" si="6"/>
        <v>0</v>
      </c>
      <c r="AC11" s="19">
        <f t="shared" si="7"/>
        <v>3</v>
      </c>
      <c r="AD11" s="30">
        <f t="shared" si="8"/>
        <v>1</v>
      </c>
      <c r="AE11" s="41">
        <f t="shared" si="12"/>
        <v>4</v>
      </c>
      <c r="AU11" s="119" t="e">
        <f t="shared" si="13"/>
        <v>#DIV/0!</v>
      </c>
      <c r="AV11" s="43" t="e">
        <f t="shared" si="9"/>
        <v>#DIV/0!</v>
      </c>
      <c r="AW11" s="43" t="e">
        <f t="shared" si="9"/>
        <v>#DIV/0!</v>
      </c>
      <c r="AX11" s="43" t="e">
        <f t="shared" si="9"/>
        <v>#DIV/0!</v>
      </c>
      <c r="AY11" s="43" t="e">
        <f t="shared" si="9"/>
        <v>#DIV/0!</v>
      </c>
      <c r="AZ11" s="43" t="e">
        <f t="shared" si="9"/>
        <v>#DIV/0!</v>
      </c>
      <c r="BA11" s="43" t="e">
        <f t="shared" si="9"/>
        <v>#DIV/0!</v>
      </c>
      <c r="BB11" s="43" t="e">
        <f t="shared" si="9"/>
        <v>#DIV/0!</v>
      </c>
      <c r="BC11" s="43" t="e">
        <f t="shared" si="9"/>
        <v>#DIV/0!</v>
      </c>
      <c r="BD11" s="43" t="e">
        <f t="shared" si="9"/>
        <v>#DIV/0!</v>
      </c>
      <c r="BE11" s="43" t="e">
        <f t="shared" si="9"/>
        <v>#DIV/0!</v>
      </c>
      <c r="BF11" s="43" t="e">
        <f t="shared" si="9"/>
        <v>#DIV/0!</v>
      </c>
      <c r="BG11" s="120" t="e">
        <f t="shared" si="9"/>
        <v>#DIV/0!</v>
      </c>
    </row>
    <row r="12" spans="1:59" ht="21" customHeight="1">
      <c r="A12" s="14">
        <v>0.36458333333333331</v>
      </c>
      <c r="B12" s="88">
        <v>1</v>
      </c>
      <c r="C12" s="89"/>
      <c r="D12" s="90"/>
      <c r="E12" s="89"/>
      <c r="F12" s="88"/>
      <c r="G12" s="91"/>
      <c r="H12" s="88"/>
      <c r="I12" s="89"/>
      <c r="J12" s="92">
        <v>3</v>
      </c>
      <c r="K12" s="89">
        <v>1</v>
      </c>
      <c r="L12" s="90">
        <v>1</v>
      </c>
      <c r="M12" s="89"/>
      <c r="N12" s="88"/>
      <c r="O12" s="91"/>
      <c r="P12" s="88"/>
      <c r="Q12" s="93"/>
      <c r="S12" s="29">
        <f t="shared" si="0"/>
        <v>5</v>
      </c>
      <c r="T12" s="19">
        <f t="shared" si="0"/>
        <v>1</v>
      </c>
      <c r="U12" s="25">
        <f>T12/(T12+S12)</f>
        <v>0.16666666666666666</v>
      </c>
      <c r="V12" s="19">
        <f>B12+C12+J12+K12</f>
        <v>5</v>
      </c>
      <c r="W12" s="19">
        <f>D12+E12+L12+M12</f>
        <v>1</v>
      </c>
      <c r="X12" s="19">
        <f>F12+G12+N12+O12</f>
        <v>0</v>
      </c>
      <c r="Y12" s="19">
        <f>SUM(V12:X12)</f>
        <v>6</v>
      </c>
      <c r="Z12" s="43">
        <f t="shared" si="10"/>
        <v>0.16666666666666666</v>
      </c>
      <c r="AA12" s="43">
        <f t="shared" si="11"/>
        <v>0</v>
      </c>
      <c r="AB12" s="19">
        <f>H12+I12+P12+Q12</f>
        <v>0</v>
      </c>
      <c r="AC12" s="19">
        <f>SUM(B12:I12)</f>
        <v>1</v>
      </c>
      <c r="AD12" s="30">
        <f>SUM(J12:Q12)</f>
        <v>5</v>
      </c>
      <c r="AE12" s="41">
        <f t="shared" si="12"/>
        <v>6</v>
      </c>
      <c r="AU12" s="119" t="e">
        <f t="shared" si="13"/>
        <v>#DIV/0!</v>
      </c>
      <c r="AV12" s="43" t="e">
        <f t="shared" si="9"/>
        <v>#DIV/0!</v>
      </c>
      <c r="AW12" s="43" t="e">
        <f t="shared" si="9"/>
        <v>#DIV/0!</v>
      </c>
      <c r="AX12" s="43" t="e">
        <f t="shared" si="9"/>
        <v>#DIV/0!</v>
      </c>
      <c r="AY12" s="43" t="e">
        <f t="shared" si="9"/>
        <v>#DIV/0!</v>
      </c>
      <c r="AZ12" s="43" t="e">
        <f t="shared" si="9"/>
        <v>#DIV/0!</v>
      </c>
      <c r="BA12" s="43" t="e">
        <f t="shared" si="9"/>
        <v>#DIV/0!</v>
      </c>
      <c r="BB12" s="43" t="e">
        <f t="shared" si="9"/>
        <v>#DIV/0!</v>
      </c>
      <c r="BC12" s="43" t="e">
        <f t="shared" si="9"/>
        <v>#DIV/0!</v>
      </c>
      <c r="BD12" s="43" t="e">
        <f t="shared" si="9"/>
        <v>#DIV/0!</v>
      </c>
      <c r="BE12" s="43" t="e">
        <f t="shared" si="9"/>
        <v>#DIV/0!</v>
      </c>
      <c r="BF12" s="43" t="e">
        <f t="shared" si="9"/>
        <v>#DIV/0!</v>
      </c>
      <c r="BG12" s="120" t="e">
        <f t="shared" si="9"/>
        <v>#DIV/0!</v>
      </c>
    </row>
    <row r="13" spans="1:59" s="97" customFormat="1" ht="21" customHeight="1" thickBot="1">
      <c r="A13" s="121"/>
      <c r="B13" s="129"/>
      <c r="C13" s="130"/>
      <c r="D13" s="131"/>
      <c r="E13" s="130"/>
      <c r="F13" s="129"/>
      <c r="G13" s="131"/>
      <c r="H13" s="129"/>
      <c r="I13" s="130"/>
      <c r="J13" s="129"/>
      <c r="K13" s="130"/>
      <c r="L13" s="131"/>
      <c r="M13" s="130"/>
      <c r="N13" s="129"/>
      <c r="O13" s="131"/>
      <c r="P13" s="129"/>
      <c r="Q13" s="130"/>
      <c r="S13" s="44"/>
      <c r="T13" s="45"/>
      <c r="U13" s="46"/>
      <c r="V13" s="45"/>
      <c r="W13" s="45"/>
      <c r="X13" s="45"/>
      <c r="Y13" s="45"/>
      <c r="Z13" s="43"/>
      <c r="AA13" s="43"/>
      <c r="AB13" s="45"/>
      <c r="AC13" s="45"/>
      <c r="AD13" s="48"/>
      <c r="AE13" s="49"/>
      <c r="AU13" s="119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120"/>
    </row>
    <row r="14" spans="1:59" ht="15.75" thickBot="1">
      <c r="A14" s="24" t="s">
        <v>13</v>
      </c>
      <c r="B14" s="35">
        <f>SUM(B5:B12)</f>
        <v>10</v>
      </c>
      <c r="C14" s="35">
        <f t="shared" ref="C14:Q14" si="14">SUM(C5:C12)</f>
        <v>5</v>
      </c>
      <c r="D14" s="35">
        <f t="shared" si="14"/>
        <v>7</v>
      </c>
      <c r="E14" s="35">
        <f t="shared" si="14"/>
        <v>6</v>
      </c>
      <c r="F14" s="35">
        <f t="shared" si="14"/>
        <v>0</v>
      </c>
      <c r="G14" s="35">
        <f t="shared" si="14"/>
        <v>0</v>
      </c>
      <c r="H14" s="35">
        <f t="shared" si="14"/>
        <v>0</v>
      </c>
      <c r="I14" s="35">
        <f t="shared" si="14"/>
        <v>0</v>
      </c>
      <c r="J14" s="35">
        <f t="shared" si="14"/>
        <v>9</v>
      </c>
      <c r="K14" s="35">
        <f t="shared" si="14"/>
        <v>1</v>
      </c>
      <c r="L14" s="35">
        <f t="shared" si="14"/>
        <v>1</v>
      </c>
      <c r="M14" s="35">
        <f t="shared" si="14"/>
        <v>1</v>
      </c>
      <c r="N14" s="35">
        <f t="shared" si="14"/>
        <v>0</v>
      </c>
      <c r="O14" s="35">
        <f t="shared" si="14"/>
        <v>0</v>
      </c>
      <c r="P14" s="35">
        <f t="shared" si="14"/>
        <v>0</v>
      </c>
      <c r="Q14" s="35">
        <f t="shared" si="14"/>
        <v>0</v>
      </c>
      <c r="S14" s="31">
        <f t="shared" si="0"/>
        <v>27</v>
      </c>
      <c r="T14" s="32">
        <f t="shared" si="0"/>
        <v>13</v>
      </c>
      <c r="U14" s="33">
        <f>T14/(T14+S14)</f>
        <v>0.32500000000000001</v>
      </c>
      <c r="V14" s="32">
        <f>B14+C14+J14+K14</f>
        <v>25</v>
      </c>
      <c r="W14" s="32">
        <f>D14+E14+L14+M14</f>
        <v>15</v>
      </c>
      <c r="X14" s="32">
        <f>F14+G14+N14+O14</f>
        <v>0</v>
      </c>
      <c r="Y14" s="32">
        <f>SUM(V14:X14)</f>
        <v>40</v>
      </c>
      <c r="Z14" s="43">
        <f t="shared" si="10"/>
        <v>0.375</v>
      </c>
      <c r="AA14" s="43">
        <f t="shared" si="11"/>
        <v>0</v>
      </c>
      <c r="AB14" s="32">
        <f>H14+I14+P14+Q14</f>
        <v>0</v>
      </c>
      <c r="AC14" s="32">
        <f>SUM(B14:I14)</f>
        <v>28</v>
      </c>
      <c r="AD14" s="34">
        <f>SUM(J14:Q14)</f>
        <v>12</v>
      </c>
      <c r="AE14" s="42">
        <f t="shared" si="12"/>
        <v>40</v>
      </c>
      <c r="AU14" s="119" t="e">
        <f t="shared" si="13"/>
        <v>#DIV/0!</v>
      </c>
      <c r="AV14" s="43" t="e">
        <f t="shared" si="9"/>
        <v>#DIV/0!</v>
      </c>
      <c r="AW14" s="43" t="e">
        <f t="shared" si="9"/>
        <v>#DIV/0!</v>
      </c>
      <c r="AX14" s="43" t="e">
        <f t="shared" si="9"/>
        <v>#DIV/0!</v>
      </c>
      <c r="AY14" s="43" t="e">
        <f t="shared" si="9"/>
        <v>#DIV/0!</v>
      </c>
      <c r="AZ14" s="43" t="e">
        <f t="shared" si="9"/>
        <v>#DIV/0!</v>
      </c>
      <c r="BA14" s="43" t="e">
        <f t="shared" si="9"/>
        <v>#DIV/0!</v>
      </c>
      <c r="BB14" s="43" t="e">
        <f t="shared" si="9"/>
        <v>#DIV/0!</v>
      </c>
      <c r="BC14" s="43" t="e">
        <f t="shared" si="9"/>
        <v>#DIV/0!</v>
      </c>
      <c r="BD14" s="43" t="e">
        <f t="shared" si="9"/>
        <v>#DIV/0!</v>
      </c>
      <c r="BE14" s="43" t="e">
        <f t="shared" si="9"/>
        <v>#DIV/0!</v>
      </c>
      <c r="BF14" s="43" t="e">
        <f t="shared" si="9"/>
        <v>#DIV/0!</v>
      </c>
      <c r="BG14" s="120" t="e">
        <f t="shared" si="9"/>
        <v>#DIV/0!</v>
      </c>
    </row>
    <row r="15" spans="1:59" ht="15.75" thickBot="1">
      <c r="A15" s="24" t="s">
        <v>31</v>
      </c>
      <c r="B15" s="24">
        <f>SUM(B7:B10)</f>
        <v>3</v>
      </c>
      <c r="C15" s="24">
        <f t="shared" ref="C15:Q15" si="15">SUM(C7:C10)</f>
        <v>3</v>
      </c>
      <c r="D15" s="24">
        <f t="shared" si="15"/>
        <v>4</v>
      </c>
      <c r="E15" s="24">
        <f t="shared" si="15"/>
        <v>5</v>
      </c>
      <c r="F15" s="24">
        <f t="shared" si="15"/>
        <v>0</v>
      </c>
      <c r="G15" s="24">
        <f t="shared" si="15"/>
        <v>0</v>
      </c>
      <c r="H15" s="24">
        <f t="shared" si="15"/>
        <v>0</v>
      </c>
      <c r="I15" s="24">
        <f t="shared" si="15"/>
        <v>0</v>
      </c>
      <c r="J15" s="24">
        <f t="shared" si="15"/>
        <v>4</v>
      </c>
      <c r="K15" s="24">
        <f t="shared" si="15"/>
        <v>0</v>
      </c>
      <c r="L15" s="24">
        <f t="shared" si="15"/>
        <v>0</v>
      </c>
      <c r="M15" s="24">
        <f t="shared" si="15"/>
        <v>1</v>
      </c>
      <c r="N15" s="24">
        <f t="shared" si="15"/>
        <v>0</v>
      </c>
      <c r="O15" s="24">
        <f t="shared" si="15"/>
        <v>0</v>
      </c>
      <c r="P15" s="24">
        <f t="shared" si="15"/>
        <v>0</v>
      </c>
      <c r="Q15" s="24">
        <f t="shared" si="15"/>
        <v>0</v>
      </c>
      <c r="S15" s="50">
        <f t="shared" si="0"/>
        <v>11</v>
      </c>
      <c r="T15" s="35">
        <f t="shared" si="0"/>
        <v>9</v>
      </c>
      <c r="U15" s="51">
        <f>T15/(T15+S15)</f>
        <v>0.45</v>
      </c>
      <c r="V15" s="35">
        <f>B15+C15+J15+K15</f>
        <v>10</v>
      </c>
      <c r="W15" s="35">
        <f>D15+E15+L15+M15</f>
        <v>10</v>
      </c>
      <c r="X15" s="35">
        <f>F15+G15+N15+O15</f>
        <v>0</v>
      </c>
      <c r="Y15" s="35">
        <f>SUM(V15:X15)</f>
        <v>20</v>
      </c>
      <c r="Z15" s="52">
        <f t="shared" si="10"/>
        <v>0.5</v>
      </c>
      <c r="AA15" s="52">
        <f t="shared" si="11"/>
        <v>0</v>
      </c>
      <c r="AB15" s="35">
        <f>H15+I15+P15+Q15</f>
        <v>0</v>
      </c>
      <c r="AC15" s="35">
        <f>SUM(B15:I15)</f>
        <v>15</v>
      </c>
      <c r="AD15" s="36">
        <f>SUM(J15:Q15)</f>
        <v>5</v>
      </c>
      <c r="AE15" s="53">
        <f t="shared" si="12"/>
        <v>20</v>
      </c>
      <c r="AU15" s="56" t="e">
        <f t="shared" si="13"/>
        <v>#DIV/0!</v>
      </c>
      <c r="AV15" s="57" t="e">
        <f t="shared" si="9"/>
        <v>#DIV/0!</v>
      </c>
      <c r="AW15" s="57" t="e">
        <f t="shared" si="9"/>
        <v>#DIV/0!</v>
      </c>
      <c r="AX15" s="57" t="e">
        <f t="shared" si="9"/>
        <v>#DIV/0!</v>
      </c>
      <c r="AY15" s="57" t="e">
        <f t="shared" si="9"/>
        <v>#DIV/0!</v>
      </c>
      <c r="AZ15" s="57" t="e">
        <f t="shared" si="9"/>
        <v>#DIV/0!</v>
      </c>
      <c r="BA15" s="57" t="e">
        <f t="shared" si="9"/>
        <v>#DIV/0!</v>
      </c>
      <c r="BB15" s="57" t="e">
        <f t="shared" si="9"/>
        <v>#DIV/0!</v>
      </c>
      <c r="BC15" s="57" t="e">
        <f t="shared" si="9"/>
        <v>#DIV/0!</v>
      </c>
      <c r="BD15" s="57" t="e">
        <f t="shared" si="9"/>
        <v>#DIV/0!</v>
      </c>
      <c r="BE15" s="57" t="e">
        <f t="shared" si="9"/>
        <v>#DIV/0!</v>
      </c>
      <c r="BF15" s="57" t="e">
        <f t="shared" si="9"/>
        <v>#DIV/0!</v>
      </c>
      <c r="BG15" s="58" t="e">
        <f t="shared" si="9"/>
        <v>#DIV/0!</v>
      </c>
    </row>
    <row r="17" spans="1:17">
      <c r="A17" t="s">
        <v>29</v>
      </c>
      <c r="B17">
        <f>SUM(B5:B8)</f>
        <v>5</v>
      </c>
      <c r="C17">
        <f t="shared" ref="C17:Q17" si="16">SUM(C5:C8)</f>
        <v>2</v>
      </c>
      <c r="D17">
        <f t="shared" si="16"/>
        <v>5</v>
      </c>
      <c r="E17">
        <f t="shared" si="16"/>
        <v>4</v>
      </c>
      <c r="F17">
        <f t="shared" si="16"/>
        <v>0</v>
      </c>
      <c r="G17">
        <f t="shared" si="16"/>
        <v>0</v>
      </c>
      <c r="H17">
        <f t="shared" si="16"/>
        <v>0</v>
      </c>
      <c r="I17">
        <f t="shared" si="16"/>
        <v>0</v>
      </c>
      <c r="J17">
        <f t="shared" si="16"/>
        <v>3</v>
      </c>
      <c r="K17">
        <f t="shared" si="16"/>
        <v>0</v>
      </c>
      <c r="L17">
        <f t="shared" si="16"/>
        <v>0</v>
      </c>
      <c r="M17">
        <f t="shared" si="16"/>
        <v>0</v>
      </c>
      <c r="N17">
        <f t="shared" si="16"/>
        <v>0</v>
      </c>
      <c r="O17">
        <f t="shared" si="16"/>
        <v>0</v>
      </c>
      <c r="P17">
        <f t="shared" si="16"/>
        <v>0</v>
      </c>
      <c r="Q17">
        <f t="shared" si="16"/>
        <v>0</v>
      </c>
    </row>
    <row r="18" spans="1:17">
      <c r="A18" t="s">
        <v>30</v>
      </c>
      <c r="B18">
        <f>SUM(B9:B12)</f>
        <v>5</v>
      </c>
      <c r="C18">
        <f t="shared" ref="C18:Q18" si="17">SUM(C9:C12)</f>
        <v>3</v>
      </c>
      <c r="D18">
        <f t="shared" si="17"/>
        <v>2</v>
      </c>
      <c r="E18">
        <f t="shared" si="17"/>
        <v>2</v>
      </c>
      <c r="F18">
        <f t="shared" si="17"/>
        <v>0</v>
      </c>
      <c r="G18">
        <f t="shared" si="17"/>
        <v>0</v>
      </c>
      <c r="H18">
        <f t="shared" si="17"/>
        <v>0</v>
      </c>
      <c r="I18">
        <f t="shared" si="17"/>
        <v>0</v>
      </c>
      <c r="J18">
        <f t="shared" si="17"/>
        <v>6</v>
      </c>
      <c r="K18">
        <f t="shared" si="17"/>
        <v>1</v>
      </c>
      <c r="L18">
        <f t="shared" si="17"/>
        <v>1</v>
      </c>
      <c r="M18">
        <f t="shared" si="17"/>
        <v>1</v>
      </c>
      <c r="N18">
        <f t="shared" si="17"/>
        <v>0</v>
      </c>
      <c r="O18">
        <f t="shared" si="17"/>
        <v>0</v>
      </c>
      <c r="P18">
        <f t="shared" si="17"/>
        <v>0</v>
      </c>
      <c r="Q18">
        <f t="shared" si="17"/>
        <v>0</v>
      </c>
    </row>
  </sheetData>
  <mergeCells count="13">
    <mergeCell ref="AG2:AR2"/>
    <mergeCell ref="AU2:BF2"/>
    <mergeCell ref="P3:Q3"/>
    <mergeCell ref="B2:I2"/>
    <mergeCell ref="J2:Q2"/>
    <mergeCell ref="S2:AD2"/>
    <mergeCell ref="B3:C3"/>
    <mergeCell ref="D3:E3"/>
    <mergeCell ref="F3:G3"/>
    <mergeCell ref="H3:I3"/>
    <mergeCell ref="J3:K3"/>
    <mergeCell ref="L3:M3"/>
    <mergeCell ref="N3:O3"/>
  </mergeCells>
  <conditionalFormatting sqref="AU5:BG15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8"/>
  <sheetViews>
    <sheetView workbookViewId="0">
      <selection activeCell="S19" sqref="S19"/>
    </sheetView>
  </sheetViews>
  <sheetFormatPr baseColWidth="10" defaultColWidth="9.140625" defaultRowHeight="15"/>
  <cols>
    <col min="1" max="1" width="10.28515625" customWidth="1"/>
    <col min="2" max="17" width="5" customWidth="1"/>
    <col min="47" max="59" width="8.85546875" style="97"/>
  </cols>
  <sheetData>
    <row r="1" spans="1:59" ht="30.6" customHeight="1" thickBot="1">
      <c r="B1" s="11" t="s">
        <v>11</v>
      </c>
      <c r="C1" s="12" t="s">
        <v>49</v>
      </c>
    </row>
    <row r="2" spans="1:59" s="10" customFormat="1" ht="21.75" thickBot="1">
      <c r="A2" s="9"/>
      <c r="B2" s="141" t="s">
        <v>5</v>
      </c>
      <c r="C2" s="143"/>
      <c r="D2" s="143"/>
      <c r="E2" s="143"/>
      <c r="F2" s="143"/>
      <c r="G2" s="143"/>
      <c r="H2" s="143"/>
      <c r="I2" s="144"/>
      <c r="J2" s="141" t="s">
        <v>6</v>
      </c>
      <c r="K2" s="143"/>
      <c r="L2" s="143"/>
      <c r="M2" s="143"/>
      <c r="N2" s="143"/>
      <c r="O2" s="143"/>
      <c r="P2" s="143"/>
      <c r="Q2" s="144"/>
      <c r="R2" s="97"/>
      <c r="S2" s="138" t="str">
        <f xml:space="preserve"> "Totaux 2021 " &amp; $C1</f>
        <v>Totaux 2021 Sauverny</v>
      </c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G2" s="138" t="str">
        <f xml:space="preserve"> "Totaux 2020 " &amp; $C1</f>
        <v>Totaux 2020 Sauverny</v>
      </c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U2" s="139" t="str">
        <f xml:space="preserve"> "Changement depuis 2020 " &amp; $C1</f>
        <v>Changement depuis 2020 Sauverny</v>
      </c>
      <c r="AV2" s="140"/>
      <c r="AW2" s="140"/>
      <c r="AX2" s="140"/>
      <c r="AY2" s="140"/>
      <c r="AZ2" s="140"/>
      <c r="BA2" s="140"/>
      <c r="BB2" s="140"/>
      <c r="BC2" s="140"/>
      <c r="BD2" s="140"/>
      <c r="BE2" s="140"/>
      <c r="BF2" s="140"/>
      <c r="BG2" s="115"/>
    </row>
    <row r="3" spans="1:59" s="10" customFormat="1" ht="68.45" customHeight="1">
      <c r="A3" s="9"/>
      <c r="B3" s="141" t="s">
        <v>9</v>
      </c>
      <c r="C3" s="144"/>
      <c r="D3" s="145" t="s">
        <v>7</v>
      </c>
      <c r="E3" s="142"/>
      <c r="F3" s="145" t="s">
        <v>8</v>
      </c>
      <c r="G3" s="142"/>
      <c r="H3" s="141" t="s">
        <v>0</v>
      </c>
      <c r="I3" s="142"/>
      <c r="J3" s="141" t="s">
        <v>4</v>
      </c>
      <c r="K3" s="144"/>
      <c r="L3" s="145" t="s">
        <v>7</v>
      </c>
      <c r="M3" s="142"/>
      <c r="N3" s="145" t="s">
        <v>10</v>
      </c>
      <c r="O3" s="142"/>
      <c r="P3" s="141" t="s">
        <v>0</v>
      </c>
      <c r="Q3" s="142"/>
      <c r="R3"/>
      <c r="S3" s="26" t="s">
        <v>20</v>
      </c>
      <c r="T3" s="27" t="s">
        <v>14</v>
      </c>
      <c r="U3" s="27" t="s">
        <v>15</v>
      </c>
      <c r="V3" s="27" t="s">
        <v>16</v>
      </c>
      <c r="W3" s="27" t="s">
        <v>7</v>
      </c>
      <c r="X3" s="27" t="s">
        <v>17</v>
      </c>
      <c r="Y3" s="27" t="s">
        <v>25</v>
      </c>
      <c r="Z3" s="27" t="s">
        <v>27</v>
      </c>
      <c r="AA3" s="27" t="s">
        <v>28</v>
      </c>
      <c r="AB3" s="27" t="s">
        <v>19</v>
      </c>
      <c r="AC3" s="27" t="s">
        <v>21</v>
      </c>
      <c r="AD3" s="28" t="s">
        <v>22</v>
      </c>
      <c r="AE3" s="40" t="s">
        <v>26</v>
      </c>
      <c r="AU3" s="117" t="s">
        <v>20</v>
      </c>
      <c r="AV3" s="116" t="s">
        <v>14</v>
      </c>
      <c r="AW3" s="116" t="s">
        <v>15</v>
      </c>
      <c r="AX3" s="116" t="s">
        <v>16</v>
      </c>
      <c r="AY3" s="116" t="s">
        <v>7</v>
      </c>
      <c r="AZ3" s="116" t="s">
        <v>17</v>
      </c>
      <c r="BA3" s="116" t="s">
        <v>25</v>
      </c>
      <c r="BB3" s="116" t="s">
        <v>27</v>
      </c>
      <c r="BC3" s="116" t="s">
        <v>28</v>
      </c>
      <c r="BD3" s="116" t="s">
        <v>19</v>
      </c>
      <c r="BE3" s="116" t="s">
        <v>21</v>
      </c>
      <c r="BF3" s="116" t="s">
        <v>22</v>
      </c>
      <c r="BG3" s="118" t="s">
        <v>26</v>
      </c>
    </row>
    <row r="4" spans="1:59" ht="21" thickBot="1">
      <c r="A4" s="1" t="s">
        <v>3</v>
      </c>
      <c r="B4" s="2" t="s">
        <v>1</v>
      </c>
      <c r="C4" s="4" t="s">
        <v>2</v>
      </c>
      <c r="D4" s="2" t="s">
        <v>1</v>
      </c>
      <c r="E4" s="4" t="s">
        <v>2</v>
      </c>
      <c r="F4" s="2" t="s">
        <v>1</v>
      </c>
      <c r="G4" s="4" t="s">
        <v>2</v>
      </c>
      <c r="H4" s="2" t="s">
        <v>1</v>
      </c>
      <c r="I4" s="3" t="s">
        <v>2</v>
      </c>
      <c r="J4" s="2" t="s">
        <v>1</v>
      </c>
      <c r="K4" s="4" t="s">
        <v>2</v>
      </c>
      <c r="L4" s="2" t="s">
        <v>1</v>
      </c>
      <c r="M4" s="4" t="s">
        <v>2</v>
      </c>
      <c r="N4" s="2" t="s">
        <v>1</v>
      </c>
      <c r="O4" s="4" t="s">
        <v>2</v>
      </c>
      <c r="P4" s="2" t="s">
        <v>1</v>
      </c>
      <c r="Q4" s="3" t="s">
        <v>2</v>
      </c>
      <c r="S4" s="29"/>
      <c r="T4" s="19"/>
      <c r="U4" s="25"/>
      <c r="V4" s="19"/>
      <c r="W4" s="19"/>
      <c r="X4" s="19"/>
      <c r="Y4" s="19"/>
      <c r="Z4" s="19"/>
      <c r="AA4" s="19"/>
      <c r="AB4" s="19"/>
      <c r="AC4" s="19"/>
      <c r="AD4" s="30"/>
      <c r="AE4" s="41"/>
      <c r="AU4" s="2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30"/>
    </row>
    <row r="5" spans="1:59" ht="21" customHeight="1" thickBot="1">
      <c r="A5" s="13">
        <v>0.29166666666666669</v>
      </c>
      <c r="B5" s="15"/>
      <c r="C5" s="16"/>
      <c r="D5" s="17">
        <v>1</v>
      </c>
      <c r="E5" s="18">
        <v>1</v>
      </c>
      <c r="F5" s="17"/>
      <c r="G5" s="18"/>
      <c r="H5" s="15"/>
      <c r="I5" s="16"/>
      <c r="J5" s="15"/>
      <c r="K5" s="16"/>
      <c r="L5" s="17"/>
      <c r="M5" s="18"/>
      <c r="N5" s="17"/>
      <c r="O5" s="18"/>
      <c r="P5" s="15"/>
      <c r="Q5" s="16"/>
      <c r="S5" s="29">
        <f t="shared" ref="S5:T15" si="0">B5+D5+F5+H5+J5+L5+N5+P5</f>
        <v>1</v>
      </c>
      <c r="T5" s="19">
        <f t="shared" si="0"/>
        <v>1</v>
      </c>
      <c r="U5" s="25">
        <f t="shared" ref="U5:U11" si="1">T5/(T5+S5)</f>
        <v>0.5</v>
      </c>
      <c r="V5" s="19">
        <f t="shared" ref="V5:V11" si="2">B5+C5+J5+K5</f>
        <v>0</v>
      </c>
      <c r="W5" s="19">
        <f t="shared" ref="W5:W11" si="3">D5+E5+L5+M5</f>
        <v>2</v>
      </c>
      <c r="X5" s="19">
        <f t="shared" ref="X5:X11" si="4">F5+G5+N5+O5</f>
        <v>0</v>
      </c>
      <c r="Y5" s="19">
        <f t="shared" ref="Y5:Y11" si="5">SUM(V5:X5)</f>
        <v>2</v>
      </c>
      <c r="Z5" s="43">
        <f>W5/Y5</f>
        <v>1</v>
      </c>
      <c r="AA5" s="43">
        <f>X5/Y5</f>
        <v>0</v>
      </c>
      <c r="AB5" s="19">
        <f t="shared" ref="AB5:AB11" si="6">H5+I5+P5+Q5</f>
        <v>0</v>
      </c>
      <c r="AC5" s="19">
        <f t="shared" ref="AC5:AC11" si="7">SUM(B5:I5)</f>
        <v>2</v>
      </c>
      <c r="AD5" s="30">
        <f t="shared" ref="AD5:AD11" si="8">SUM(J5:Q5)</f>
        <v>0</v>
      </c>
      <c r="AE5" s="41">
        <f>SUM(B5:Q5)</f>
        <v>2</v>
      </c>
      <c r="AU5" s="119" t="e">
        <f>(S5/AG5) - 1</f>
        <v>#DIV/0!</v>
      </c>
      <c r="AV5" s="43" t="e">
        <f t="shared" ref="AV5:BG15" si="9">(T5/AH5) - 1</f>
        <v>#DIV/0!</v>
      </c>
      <c r="AW5" s="43" t="e">
        <f t="shared" si="9"/>
        <v>#DIV/0!</v>
      </c>
      <c r="AX5" s="43" t="e">
        <f t="shared" si="9"/>
        <v>#DIV/0!</v>
      </c>
      <c r="AY5" s="43" t="e">
        <f t="shared" si="9"/>
        <v>#DIV/0!</v>
      </c>
      <c r="AZ5" s="43" t="e">
        <f t="shared" si="9"/>
        <v>#DIV/0!</v>
      </c>
      <c r="BA5" s="43" t="e">
        <f t="shared" si="9"/>
        <v>#DIV/0!</v>
      </c>
      <c r="BB5" s="43" t="e">
        <f t="shared" si="9"/>
        <v>#DIV/0!</v>
      </c>
      <c r="BC5" s="43" t="e">
        <f t="shared" si="9"/>
        <v>#DIV/0!</v>
      </c>
      <c r="BD5" s="43" t="e">
        <f t="shared" si="9"/>
        <v>#DIV/0!</v>
      </c>
      <c r="BE5" s="43" t="e">
        <f t="shared" si="9"/>
        <v>#DIV/0!</v>
      </c>
      <c r="BF5" s="43" t="e">
        <f t="shared" si="9"/>
        <v>#DIV/0!</v>
      </c>
      <c r="BG5" s="120" t="e">
        <f t="shared" si="9"/>
        <v>#DIV/0!</v>
      </c>
    </row>
    <row r="6" spans="1:59" ht="21" customHeight="1" thickBot="1">
      <c r="A6" s="14">
        <v>0.30208333333333331</v>
      </c>
      <c r="B6" s="15">
        <v>1</v>
      </c>
      <c r="C6" s="16">
        <v>2</v>
      </c>
      <c r="D6" s="17">
        <v>1</v>
      </c>
      <c r="E6" s="18"/>
      <c r="F6" s="17"/>
      <c r="G6" s="18"/>
      <c r="H6" s="15"/>
      <c r="I6" s="16">
        <v>1</v>
      </c>
      <c r="J6" s="15"/>
      <c r="K6" s="16"/>
      <c r="L6" s="17"/>
      <c r="M6" s="18"/>
      <c r="N6" s="17"/>
      <c r="O6" s="18"/>
      <c r="P6" s="15"/>
      <c r="Q6" s="16"/>
      <c r="S6" s="29">
        <f t="shared" si="0"/>
        <v>2</v>
      </c>
      <c r="T6" s="19">
        <f t="shared" si="0"/>
        <v>3</v>
      </c>
      <c r="U6" s="25">
        <f t="shared" si="1"/>
        <v>0.6</v>
      </c>
      <c r="V6" s="19">
        <f t="shared" si="2"/>
        <v>3</v>
      </c>
      <c r="W6" s="19">
        <f t="shared" si="3"/>
        <v>1</v>
      </c>
      <c r="X6" s="19">
        <f t="shared" si="4"/>
        <v>0</v>
      </c>
      <c r="Y6" s="19">
        <f t="shared" si="5"/>
        <v>4</v>
      </c>
      <c r="Z6" s="43">
        <f t="shared" ref="Z6:Z15" si="10">W6/Y6</f>
        <v>0.25</v>
      </c>
      <c r="AA6" s="43">
        <f t="shared" ref="AA6:AA15" si="11">X6/Y6</f>
        <v>0</v>
      </c>
      <c r="AB6" s="19">
        <f t="shared" si="6"/>
        <v>1</v>
      </c>
      <c r="AC6" s="19">
        <f t="shared" si="7"/>
        <v>5</v>
      </c>
      <c r="AD6" s="30">
        <f t="shared" si="8"/>
        <v>0</v>
      </c>
      <c r="AE6" s="41">
        <f t="shared" ref="AE6:AE15" si="12">SUM(B6:Q6)</f>
        <v>5</v>
      </c>
      <c r="AU6" s="119" t="e">
        <f t="shared" ref="AU6:AU15" si="13">(S6/AG6) - 1</f>
        <v>#DIV/0!</v>
      </c>
      <c r="AV6" s="43" t="e">
        <f t="shared" si="9"/>
        <v>#DIV/0!</v>
      </c>
      <c r="AW6" s="43" t="e">
        <f t="shared" si="9"/>
        <v>#DIV/0!</v>
      </c>
      <c r="AX6" s="43" t="e">
        <f t="shared" si="9"/>
        <v>#DIV/0!</v>
      </c>
      <c r="AY6" s="43" t="e">
        <f t="shared" si="9"/>
        <v>#DIV/0!</v>
      </c>
      <c r="AZ6" s="43" t="e">
        <f t="shared" si="9"/>
        <v>#DIV/0!</v>
      </c>
      <c r="BA6" s="43" t="e">
        <f t="shared" si="9"/>
        <v>#DIV/0!</v>
      </c>
      <c r="BB6" s="43" t="e">
        <f t="shared" si="9"/>
        <v>#DIV/0!</v>
      </c>
      <c r="BC6" s="43" t="e">
        <f t="shared" si="9"/>
        <v>#DIV/0!</v>
      </c>
      <c r="BD6" s="43" t="e">
        <f t="shared" si="9"/>
        <v>#DIV/0!</v>
      </c>
      <c r="BE6" s="43" t="e">
        <f t="shared" si="9"/>
        <v>#DIV/0!</v>
      </c>
      <c r="BF6" s="43" t="e">
        <f t="shared" si="9"/>
        <v>#DIV/0!</v>
      </c>
      <c r="BG6" s="120" t="e">
        <f t="shared" si="9"/>
        <v>#DIV/0!</v>
      </c>
    </row>
    <row r="7" spans="1:59" ht="21" customHeight="1" thickBot="1">
      <c r="A7" s="14">
        <v>0.3125</v>
      </c>
      <c r="B7" s="15">
        <v>3</v>
      </c>
      <c r="C7" s="16"/>
      <c r="D7" s="17">
        <v>1</v>
      </c>
      <c r="E7" s="18">
        <v>1</v>
      </c>
      <c r="F7" s="17"/>
      <c r="G7" s="18"/>
      <c r="H7" s="15">
        <v>4</v>
      </c>
      <c r="I7" s="16"/>
      <c r="J7" s="15"/>
      <c r="K7" s="16"/>
      <c r="L7" s="17"/>
      <c r="M7" s="18"/>
      <c r="N7" s="17"/>
      <c r="O7" s="18"/>
      <c r="P7" s="15"/>
      <c r="Q7" s="16"/>
      <c r="S7" s="29">
        <f t="shared" si="0"/>
        <v>8</v>
      </c>
      <c r="T7" s="19">
        <f t="shared" si="0"/>
        <v>1</v>
      </c>
      <c r="U7" s="25">
        <f t="shared" si="1"/>
        <v>0.1111111111111111</v>
      </c>
      <c r="V7" s="19">
        <f t="shared" si="2"/>
        <v>3</v>
      </c>
      <c r="W7" s="19">
        <f t="shared" si="3"/>
        <v>2</v>
      </c>
      <c r="X7" s="19">
        <f t="shared" si="4"/>
        <v>0</v>
      </c>
      <c r="Y7" s="19">
        <f t="shared" si="5"/>
        <v>5</v>
      </c>
      <c r="Z7" s="43">
        <f t="shared" si="10"/>
        <v>0.4</v>
      </c>
      <c r="AA7" s="43">
        <f t="shared" si="11"/>
        <v>0</v>
      </c>
      <c r="AB7" s="19">
        <f t="shared" si="6"/>
        <v>4</v>
      </c>
      <c r="AC7" s="19">
        <f t="shared" si="7"/>
        <v>9</v>
      </c>
      <c r="AD7" s="30">
        <f t="shared" si="8"/>
        <v>0</v>
      </c>
      <c r="AE7" s="41">
        <f t="shared" si="12"/>
        <v>9</v>
      </c>
      <c r="AU7" s="119" t="e">
        <f t="shared" si="13"/>
        <v>#DIV/0!</v>
      </c>
      <c r="AV7" s="43" t="e">
        <f t="shared" si="9"/>
        <v>#DIV/0!</v>
      </c>
      <c r="AW7" s="43" t="e">
        <f t="shared" si="9"/>
        <v>#DIV/0!</v>
      </c>
      <c r="AX7" s="43" t="e">
        <f t="shared" si="9"/>
        <v>#DIV/0!</v>
      </c>
      <c r="AY7" s="43" t="e">
        <f t="shared" si="9"/>
        <v>#DIV/0!</v>
      </c>
      <c r="AZ7" s="43" t="e">
        <f t="shared" si="9"/>
        <v>#DIV/0!</v>
      </c>
      <c r="BA7" s="43" t="e">
        <f t="shared" si="9"/>
        <v>#DIV/0!</v>
      </c>
      <c r="BB7" s="43" t="e">
        <f t="shared" si="9"/>
        <v>#DIV/0!</v>
      </c>
      <c r="BC7" s="43" t="e">
        <f t="shared" si="9"/>
        <v>#DIV/0!</v>
      </c>
      <c r="BD7" s="43" t="e">
        <f t="shared" si="9"/>
        <v>#DIV/0!</v>
      </c>
      <c r="BE7" s="43" t="e">
        <f t="shared" si="9"/>
        <v>#DIV/0!</v>
      </c>
      <c r="BF7" s="43" t="e">
        <f t="shared" si="9"/>
        <v>#DIV/0!</v>
      </c>
      <c r="BG7" s="120" t="e">
        <f t="shared" si="9"/>
        <v>#DIV/0!</v>
      </c>
    </row>
    <row r="8" spans="1:59" ht="21" customHeight="1" thickBot="1">
      <c r="A8" s="14">
        <v>0.32291666666666669</v>
      </c>
      <c r="B8" s="15">
        <v>1</v>
      </c>
      <c r="C8" s="16">
        <v>1</v>
      </c>
      <c r="D8" s="17">
        <v>2</v>
      </c>
      <c r="E8" s="18">
        <v>1</v>
      </c>
      <c r="F8" s="17"/>
      <c r="G8" s="18">
        <v>1</v>
      </c>
      <c r="H8" s="15"/>
      <c r="I8" s="16">
        <v>3</v>
      </c>
      <c r="J8" s="15">
        <v>1</v>
      </c>
      <c r="K8" s="16"/>
      <c r="L8" s="17">
        <v>1</v>
      </c>
      <c r="M8" s="18"/>
      <c r="N8" s="17"/>
      <c r="O8" s="18"/>
      <c r="P8" s="15"/>
      <c r="Q8" s="16"/>
      <c r="S8" s="29">
        <f t="shared" si="0"/>
        <v>5</v>
      </c>
      <c r="T8" s="19">
        <f t="shared" si="0"/>
        <v>6</v>
      </c>
      <c r="U8" s="25">
        <f t="shared" si="1"/>
        <v>0.54545454545454541</v>
      </c>
      <c r="V8" s="19">
        <f t="shared" si="2"/>
        <v>3</v>
      </c>
      <c r="W8" s="19">
        <f t="shared" si="3"/>
        <v>4</v>
      </c>
      <c r="X8" s="19">
        <f t="shared" si="4"/>
        <v>1</v>
      </c>
      <c r="Y8" s="19">
        <f t="shared" si="5"/>
        <v>8</v>
      </c>
      <c r="Z8" s="43">
        <f t="shared" si="10"/>
        <v>0.5</v>
      </c>
      <c r="AA8" s="43">
        <f t="shared" si="11"/>
        <v>0.125</v>
      </c>
      <c r="AB8" s="19">
        <f t="shared" si="6"/>
        <v>3</v>
      </c>
      <c r="AC8" s="19">
        <f t="shared" si="7"/>
        <v>9</v>
      </c>
      <c r="AD8" s="30">
        <f t="shared" si="8"/>
        <v>2</v>
      </c>
      <c r="AE8" s="41">
        <f t="shared" si="12"/>
        <v>11</v>
      </c>
      <c r="AU8" s="119" t="e">
        <f t="shared" si="13"/>
        <v>#DIV/0!</v>
      </c>
      <c r="AV8" s="43" t="e">
        <f t="shared" si="9"/>
        <v>#DIV/0!</v>
      </c>
      <c r="AW8" s="43" t="e">
        <f t="shared" si="9"/>
        <v>#DIV/0!</v>
      </c>
      <c r="AX8" s="43" t="e">
        <f t="shared" si="9"/>
        <v>#DIV/0!</v>
      </c>
      <c r="AY8" s="43" t="e">
        <f t="shared" si="9"/>
        <v>#DIV/0!</v>
      </c>
      <c r="AZ8" s="43" t="e">
        <f t="shared" si="9"/>
        <v>#DIV/0!</v>
      </c>
      <c r="BA8" s="43" t="e">
        <f t="shared" si="9"/>
        <v>#DIV/0!</v>
      </c>
      <c r="BB8" s="43" t="e">
        <f t="shared" si="9"/>
        <v>#DIV/0!</v>
      </c>
      <c r="BC8" s="43" t="e">
        <f t="shared" si="9"/>
        <v>#DIV/0!</v>
      </c>
      <c r="BD8" s="43" t="e">
        <f t="shared" si="9"/>
        <v>#DIV/0!</v>
      </c>
      <c r="BE8" s="43" t="e">
        <f t="shared" si="9"/>
        <v>#DIV/0!</v>
      </c>
      <c r="BF8" s="43" t="e">
        <f t="shared" si="9"/>
        <v>#DIV/0!</v>
      </c>
      <c r="BG8" s="120" t="e">
        <f t="shared" si="9"/>
        <v>#DIV/0!</v>
      </c>
    </row>
    <row r="9" spans="1:59" ht="21" customHeight="1" thickBot="1">
      <c r="A9" s="13">
        <v>0.33333333333333331</v>
      </c>
      <c r="B9" s="15">
        <v>3</v>
      </c>
      <c r="C9" s="16"/>
      <c r="D9" s="17">
        <v>1</v>
      </c>
      <c r="E9" s="18">
        <v>1</v>
      </c>
      <c r="F9" s="17"/>
      <c r="G9" s="18"/>
      <c r="H9" s="15">
        <v>2</v>
      </c>
      <c r="I9" s="16"/>
      <c r="J9" s="15"/>
      <c r="K9" s="16"/>
      <c r="L9" s="17"/>
      <c r="M9" s="18"/>
      <c r="N9" s="17"/>
      <c r="O9" s="18"/>
      <c r="P9" s="15"/>
      <c r="Q9" s="16"/>
      <c r="S9" s="29">
        <f t="shared" si="0"/>
        <v>6</v>
      </c>
      <c r="T9" s="19">
        <f t="shared" si="0"/>
        <v>1</v>
      </c>
      <c r="U9" s="25">
        <f t="shared" si="1"/>
        <v>0.14285714285714285</v>
      </c>
      <c r="V9" s="19">
        <f t="shared" si="2"/>
        <v>3</v>
      </c>
      <c r="W9" s="19">
        <f t="shared" si="3"/>
        <v>2</v>
      </c>
      <c r="X9" s="19">
        <f t="shared" si="4"/>
        <v>0</v>
      </c>
      <c r="Y9" s="19">
        <f t="shared" si="5"/>
        <v>5</v>
      </c>
      <c r="Z9" s="43">
        <f t="shared" si="10"/>
        <v>0.4</v>
      </c>
      <c r="AA9" s="43">
        <f t="shared" si="11"/>
        <v>0</v>
      </c>
      <c r="AB9" s="19">
        <f t="shared" si="6"/>
        <v>2</v>
      </c>
      <c r="AC9" s="19">
        <f t="shared" si="7"/>
        <v>7</v>
      </c>
      <c r="AD9" s="30">
        <f t="shared" si="8"/>
        <v>0</v>
      </c>
      <c r="AE9" s="41">
        <f t="shared" si="12"/>
        <v>7</v>
      </c>
      <c r="AU9" s="119" t="e">
        <f t="shared" si="13"/>
        <v>#DIV/0!</v>
      </c>
      <c r="AV9" s="43" t="e">
        <f t="shared" si="9"/>
        <v>#DIV/0!</v>
      </c>
      <c r="AW9" s="43" t="e">
        <f t="shared" si="9"/>
        <v>#DIV/0!</v>
      </c>
      <c r="AX9" s="43" t="e">
        <f t="shared" si="9"/>
        <v>#DIV/0!</v>
      </c>
      <c r="AY9" s="43" t="e">
        <f t="shared" si="9"/>
        <v>#DIV/0!</v>
      </c>
      <c r="AZ9" s="43" t="e">
        <f t="shared" si="9"/>
        <v>#DIV/0!</v>
      </c>
      <c r="BA9" s="43" t="e">
        <f t="shared" si="9"/>
        <v>#DIV/0!</v>
      </c>
      <c r="BB9" s="43" t="e">
        <f t="shared" si="9"/>
        <v>#DIV/0!</v>
      </c>
      <c r="BC9" s="43" t="e">
        <f t="shared" si="9"/>
        <v>#DIV/0!</v>
      </c>
      <c r="BD9" s="43" t="e">
        <f t="shared" si="9"/>
        <v>#DIV/0!</v>
      </c>
      <c r="BE9" s="43" t="e">
        <f t="shared" si="9"/>
        <v>#DIV/0!</v>
      </c>
      <c r="BF9" s="43" t="e">
        <f t="shared" si="9"/>
        <v>#DIV/0!</v>
      </c>
      <c r="BG9" s="120" t="e">
        <f t="shared" si="9"/>
        <v>#DIV/0!</v>
      </c>
    </row>
    <row r="10" spans="1:59" ht="21" customHeight="1" thickBot="1">
      <c r="A10" s="14">
        <v>0.34375</v>
      </c>
      <c r="B10" s="15"/>
      <c r="C10" s="16"/>
      <c r="D10" s="17"/>
      <c r="E10" s="18"/>
      <c r="F10" s="17"/>
      <c r="G10" s="18"/>
      <c r="H10" s="10"/>
      <c r="I10" s="16"/>
      <c r="J10" s="15"/>
      <c r="K10" s="16"/>
      <c r="L10" s="17"/>
      <c r="M10" s="18"/>
      <c r="N10" s="17"/>
      <c r="O10" s="18"/>
      <c r="P10" s="15"/>
      <c r="Q10" s="16"/>
      <c r="S10" s="29">
        <f t="shared" si="0"/>
        <v>0</v>
      </c>
      <c r="T10" s="19">
        <f t="shared" si="0"/>
        <v>0</v>
      </c>
      <c r="U10" s="25" t="e">
        <f t="shared" si="1"/>
        <v>#DIV/0!</v>
      </c>
      <c r="V10" s="19">
        <f t="shared" si="2"/>
        <v>0</v>
      </c>
      <c r="W10" s="19">
        <f t="shared" si="3"/>
        <v>0</v>
      </c>
      <c r="X10" s="19">
        <f t="shared" si="4"/>
        <v>0</v>
      </c>
      <c r="Y10" s="19">
        <f t="shared" si="5"/>
        <v>0</v>
      </c>
      <c r="Z10" s="43" t="e">
        <f t="shared" si="10"/>
        <v>#DIV/0!</v>
      </c>
      <c r="AA10" s="43" t="e">
        <f t="shared" si="11"/>
        <v>#DIV/0!</v>
      </c>
      <c r="AB10" s="19">
        <f t="shared" si="6"/>
        <v>0</v>
      </c>
      <c r="AC10" s="19">
        <f t="shared" si="7"/>
        <v>0</v>
      </c>
      <c r="AD10" s="30">
        <f t="shared" si="8"/>
        <v>0</v>
      </c>
      <c r="AE10" s="41">
        <f t="shared" si="12"/>
        <v>0</v>
      </c>
      <c r="AU10" s="119" t="e">
        <f t="shared" si="13"/>
        <v>#DIV/0!</v>
      </c>
      <c r="AV10" s="43" t="e">
        <f t="shared" si="9"/>
        <v>#DIV/0!</v>
      </c>
      <c r="AW10" s="43" t="e">
        <f t="shared" si="9"/>
        <v>#DIV/0!</v>
      </c>
      <c r="AX10" s="43" t="e">
        <f t="shared" si="9"/>
        <v>#DIV/0!</v>
      </c>
      <c r="AY10" s="43" t="e">
        <f t="shared" si="9"/>
        <v>#DIV/0!</v>
      </c>
      <c r="AZ10" s="43" t="e">
        <f t="shared" si="9"/>
        <v>#DIV/0!</v>
      </c>
      <c r="BA10" s="43" t="e">
        <f t="shared" si="9"/>
        <v>#DIV/0!</v>
      </c>
      <c r="BB10" s="43" t="e">
        <f t="shared" si="9"/>
        <v>#DIV/0!</v>
      </c>
      <c r="BC10" s="43" t="e">
        <f t="shared" si="9"/>
        <v>#DIV/0!</v>
      </c>
      <c r="BD10" s="43" t="e">
        <f t="shared" si="9"/>
        <v>#DIV/0!</v>
      </c>
      <c r="BE10" s="43" t="e">
        <f t="shared" si="9"/>
        <v>#DIV/0!</v>
      </c>
      <c r="BF10" s="43" t="e">
        <f t="shared" si="9"/>
        <v>#DIV/0!</v>
      </c>
      <c r="BG10" s="120" t="e">
        <f t="shared" si="9"/>
        <v>#DIV/0!</v>
      </c>
    </row>
    <row r="11" spans="1:59" ht="21" customHeight="1" thickBot="1">
      <c r="A11" s="14">
        <v>0.35416666666666669</v>
      </c>
      <c r="B11" s="15"/>
      <c r="C11" s="16"/>
      <c r="D11" s="17"/>
      <c r="E11" s="18"/>
      <c r="F11" s="17"/>
      <c r="G11" s="18"/>
      <c r="H11" s="15"/>
      <c r="I11" s="16"/>
      <c r="J11" s="15"/>
      <c r="K11" s="16"/>
      <c r="L11" s="17"/>
      <c r="M11" s="18"/>
      <c r="N11" s="17"/>
      <c r="O11" s="18"/>
      <c r="P11" s="15"/>
      <c r="Q11" s="16"/>
      <c r="S11" s="29">
        <f t="shared" si="0"/>
        <v>0</v>
      </c>
      <c r="T11" s="19">
        <f t="shared" si="0"/>
        <v>0</v>
      </c>
      <c r="U11" s="25" t="e">
        <f t="shared" si="1"/>
        <v>#DIV/0!</v>
      </c>
      <c r="V11" s="19">
        <f t="shared" si="2"/>
        <v>0</v>
      </c>
      <c r="W11" s="19">
        <f t="shared" si="3"/>
        <v>0</v>
      </c>
      <c r="X11" s="19">
        <f t="shared" si="4"/>
        <v>0</v>
      </c>
      <c r="Y11" s="19">
        <f t="shared" si="5"/>
        <v>0</v>
      </c>
      <c r="Z11" s="43" t="e">
        <f t="shared" si="10"/>
        <v>#DIV/0!</v>
      </c>
      <c r="AA11" s="43" t="e">
        <f t="shared" si="11"/>
        <v>#DIV/0!</v>
      </c>
      <c r="AB11" s="19">
        <f t="shared" si="6"/>
        <v>0</v>
      </c>
      <c r="AC11" s="19">
        <f t="shared" si="7"/>
        <v>0</v>
      </c>
      <c r="AD11" s="30">
        <f t="shared" si="8"/>
        <v>0</v>
      </c>
      <c r="AE11" s="41">
        <f t="shared" si="12"/>
        <v>0</v>
      </c>
      <c r="AU11" s="119" t="e">
        <f t="shared" si="13"/>
        <v>#DIV/0!</v>
      </c>
      <c r="AV11" s="43" t="e">
        <f t="shared" si="9"/>
        <v>#DIV/0!</v>
      </c>
      <c r="AW11" s="43" t="e">
        <f t="shared" si="9"/>
        <v>#DIV/0!</v>
      </c>
      <c r="AX11" s="43" t="e">
        <f t="shared" si="9"/>
        <v>#DIV/0!</v>
      </c>
      <c r="AY11" s="43" t="e">
        <f t="shared" si="9"/>
        <v>#DIV/0!</v>
      </c>
      <c r="AZ11" s="43" t="e">
        <f t="shared" si="9"/>
        <v>#DIV/0!</v>
      </c>
      <c r="BA11" s="43" t="e">
        <f t="shared" si="9"/>
        <v>#DIV/0!</v>
      </c>
      <c r="BB11" s="43" t="e">
        <f t="shared" si="9"/>
        <v>#DIV/0!</v>
      </c>
      <c r="BC11" s="43" t="e">
        <f t="shared" si="9"/>
        <v>#DIV/0!</v>
      </c>
      <c r="BD11" s="43" t="e">
        <f t="shared" si="9"/>
        <v>#DIV/0!</v>
      </c>
      <c r="BE11" s="43" t="e">
        <f t="shared" si="9"/>
        <v>#DIV/0!</v>
      </c>
      <c r="BF11" s="43" t="e">
        <f t="shared" si="9"/>
        <v>#DIV/0!</v>
      </c>
      <c r="BG11" s="120" t="e">
        <f t="shared" si="9"/>
        <v>#DIV/0!</v>
      </c>
    </row>
    <row r="12" spans="1:59" ht="21" customHeight="1" thickBot="1">
      <c r="A12" s="14">
        <v>0.36458333333333331</v>
      </c>
      <c r="B12" s="20"/>
      <c r="C12" s="21"/>
      <c r="D12" s="22"/>
      <c r="E12" s="23"/>
      <c r="F12" s="22"/>
      <c r="G12" s="23"/>
      <c r="H12" s="20"/>
      <c r="I12" s="21"/>
      <c r="J12" s="20"/>
      <c r="K12" s="21"/>
      <c r="L12" s="22"/>
      <c r="M12" s="23"/>
      <c r="N12" s="22"/>
      <c r="O12" s="23"/>
      <c r="P12" s="20"/>
      <c r="Q12" s="21"/>
      <c r="S12" s="29">
        <f t="shared" si="0"/>
        <v>0</v>
      </c>
      <c r="T12" s="19">
        <f t="shared" si="0"/>
        <v>0</v>
      </c>
      <c r="U12" s="25" t="e">
        <f>T12/(T12+S12)</f>
        <v>#DIV/0!</v>
      </c>
      <c r="V12" s="19">
        <f>B12+C12+J12+K12</f>
        <v>0</v>
      </c>
      <c r="W12" s="19">
        <f>D12+E12+L12+M12</f>
        <v>0</v>
      </c>
      <c r="X12" s="19">
        <f>F12+G12+N12+O12</f>
        <v>0</v>
      </c>
      <c r="Y12" s="19">
        <f>SUM(V12:X12)</f>
        <v>0</v>
      </c>
      <c r="Z12" s="43" t="e">
        <f t="shared" si="10"/>
        <v>#DIV/0!</v>
      </c>
      <c r="AA12" s="43" t="e">
        <f t="shared" si="11"/>
        <v>#DIV/0!</v>
      </c>
      <c r="AB12" s="19">
        <f>H12+I12+P12+Q12</f>
        <v>0</v>
      </c>
      <c r="AC12" s="19">
        <f>SUM(B12:I12)</f>
        <v>0</v>
      </c>
      <c r="AD12" s="30">
        <f>SUM(J12:Q12)</f>
        <v>0</v>
      </c>
      <c r="AE12" s="41">
        <f t="shared" si="12"/>
        <v>0</v>
      </c>
      <c r="AU12" s="119" t="e">
        <f t="shared" si="13"/>
        <v>#DIV/0!</v>
      </c>
      <c r="AV12" s="43" t="e">
        <f t="shared" si="9"/>
        <v>#DIV/0!</v>
      </c>
      <c r="AW12" s="43" t="e">
        <f t="shared" si="9"/>
        <v>#DIV/0!</v>
      </c>
      <c r="AX12" s="43" t="e">
        <f t="shared" si="9"/>
        <v>#DIV/0!</v>
      </c>
      <c r="AY12" s="43" t="e">
        <f t="shared" si="9"/>
        <v>#DIV/0!</v>
      </c>
      <c r="AZ12" s="43" t="e">
        <f t="shared" si="9"/>
        <v>#DIV/0!</v>
      </c>
      <c r="BA12" s="43" t="e">
        <f t="shared" si="9"/>
        <v>#DIV/0!</v>
      </c>
      <c r="BB12" s="43" t="e">
        <f t="shared" si="9"/>
        <v>#DIV/0!</v>
      </c>
      <c r="BC12" s="43" t="e">
        <f t="shared" si="9"/>
        <v>#DIV/0!</v>
      </c>
      <c r="BD12" s="43" t="e">
        <f t="shared" si="9"/>
        <v>#DIV/0!</v>
      </c>
      <c r="BE12" s="43" t="e">
        <f t="shared" si="9"/>
        <v>#DIV/0!</v>
      </c>
      <c r="BF12" s="43" t="e">
        <f t="shared" si="9"/>
        <v>#DIV/0!</v>
      </c>
      <c r="BG12" s="120" t="e">
        <f t="shared" si="9"/>
        <v>#DIV/0!</v>
      </c>
    </row>
    <row r="13" spans="1:59" s="97" customFormat="1" ht="21" customHeight="1" thickBot="1">
      <c r="A13" s="121"/>
      <c r="B13" s="94"/>
      <c r="C13" s="95"/>
      <c r="D13" s="96"/>
      <c r="E13" s="96"/>
      <c r="F13" s="96"/>
      <c r="G13" s="96"/>
      <c r="H13" s="94"/>
      <c r="I13" s="95"/>
      <c r="J13" s="94"/>
      <c r="K13" s="95"/>
      <c r="L13" s="96"/>
      <c r="M13" s="96"/>
      <c r="N13" s="96"/>
      <c r="O13" s="96"/>
      <c r="P13" s="94"/>
      <c r="Q13" s="95"/>
      <c r="S13" s="44"/>
      <c r="T13" s="45"/>
      <c r="U13" s="46"/>
      <c r="V13" s="45"/>
      <c r="W13" s="45"/>
      <c r="X13" s="45"/>
      <c r="Y13" s="45"/>
      <c r="Z13" s="43"/>
      <c r="AA13" s="43"/>
      <c r="AB13" s="45"/>
      <c r="AC13" s="45"/>
      <c r="AD13" s="48"/>
      <c r="AE13" s="49"/>
      <c r="AU13" s="119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120"/>
    </row>
    <row r="14" spans="1:59" ht="15.75" thickBot="1">
      <c r="A14" s="24" t="s">
        <v>13</v>
      </c>
      <c r="B14" s="35">
        <f>SUM(B5:B12)</f>
        <v>8</v>
      </c>
      <c r="C14" s="35">
        <f t="shared" ref="C14:Q14" si="14">SUM(C5:C12)</f>
        <v>3</v>
      </c>
      <c r="D14" s="35">
        <f t="shared" si="14"/>
        <v>6</v>
      </c>
      <c r="E14" s="35">
        <f t="shared" si="14"/>
        <v>4</v>
      </c>
      <c r="F14" s="35">
        <f t="shared" si="14"/>
        <v>0</v>
      </c>
      <c r="G14" s="35">
        <f t="shared" si="14"/>
        <v>1</v>
      </c>
      <c r="H14" s="35">
        <f t="shared" si="14"/>
        <v>6</v>
      </c>
      <c r="I14" s="35">
        <f t="shared" si="14"/>
        <v>4</v>
      </c>
      <c r="J14" s="35">
        <f t="shared" si="14"/>
        <v>1</v>
      </c>
      <c r="K14" s="35">
        <f t="shared" si="14"/>
        <v>0</v>
      </c>
      <c r="L14" s="35">
        <f t="shared" si="14"/>
        <v>1</v>
      </c>
      <c r="M14" s="35">
        <f t="shared" si="14"/>
        <v>0</v>
      </c>
      <c r="N14" s="35">
        <f t="shared" si="14"/>
        <v>0</v>
      </c>
      <c r="O14" s="35">
        <f t="shared" si="14"/>
        <v>0</v>
      </c>
      <c r="P14" s="35">
        <f t="shared" si="14"/>
        <v>0</v>
      </c>
      <c r="Q14" s="35">
        <f t="shared" si="14"/>
        <v>0</v>
      </c>
      <c r="S14" s="31">
        <f t="shared" si="0"/>
        <v>22</v>
      </c>
      <c r="T14" s="32">
        <f t="shared" si="0"/>
        <v>12</v>
      </c>
      <c r="U14" s="33">
        <f>T14/(T14+S14)</f>
        <v>0.35294117647058826</v>
      </c>
      <c r="V14" s="32">
        <f>B14+C14+J14+K14</f>
        <v>12</v>
      </c>
      <c r="W14" s="32">
        <f>D14+E14+L14+M14</f>
        <v>11</v>
      </c>
      <c r="X14" s="32">
        <f>F14+G14+N14+O14</f>
        <v>1</v>
      </c>
      <c r="Y14" s="32">
        <f>SUM(V14:X14)</f>
        <v>24</v>
      </c>
      <c r="Z14" s="43">
        <f t="shared" si="10"/>
        <v>0.45833333333333331</v>
      </c>
      <c r="AA14" s="43">
        <f t="shared" si="11"/>
        <v>4.1666666666666664E-2</v>
      </c>
      <c r="AB14" s="32">
        <f>H14+I14+P14+Q14</f>
        <v>10</v>
      </c>
      <c r="AC14" s="32">
        <f>SUM(B14:I14)</f>
        <v>32</v>
      </c>
      <c r="AD14" s="34">
        <f>SUM(J14:Q14)</f>
        <v>2</v>
      </c>
      <c r="AE14" s="42">
        <f t="shared" si="12"/>
        <v>34</v>
      </c>
      <c r="AU14" s="119" t="e">
        <f t="shared" si="13"/>
        <v>#DIV/0!</v>
      </c>
      <c r="AV14" s="43" t="e">
        <f t="shared" si="9"/>
        <v>#DIV/0!</v>
      </c>
      <c r="AW14" s="43" t="e">
        <f t="shared" si="9"/>
        <v>#DIV/0!</v>
      </c>
      <c r="AX14" s="43" t="e">
        <f t="shared" si="9"/>
        <v>#DIV/0!</v>
      </c>
      <c r="AY14" s="43" t="e">
        <f t="shared" si="9"/>
        <v>#DIV/0!</v>
      </c>
      <c r="AZ14" s="43" t="e">
        <f t="shared" si="9"/>
        <v>#DIV/0!</v>
      </c>
      <c r="BA14" s="43" t="e">
        <f t="shared" si="9"/>
        <v>#DIV/0!</v>
      </c>
      <c r="BB14" s="43" t="e">
        <f t="shared" si="9"/>
        <v>#DIV/0!</v>
      </c>
      <c r="BC14" s="43" t="e">
        <f t="shared" si="9"/>
        <v>#DIV/0!</v>
      </c>
      <c r="BD14" s="43" t="e">
        <f t="shared" si="9"/>
        <v>#DIV/0!</v>
      </c>
      <c r="BE14" s="43" t="e">
        <f t="shared" si="9"/>
        <v>#DIV/0!</v>
      </c>
      <c r="BF14" s="43" t="e">
        <f t="shared" si="9"/>
        <v>#DIV/0!</v>
      </c>
      <c r="BG14" s="120" t="e">
        <f t="shared" si="9"/>
        <v>#DIV/0!</v>
      </c>
    </row>
    <row r="15" spans="1:59" ht="15.75" thickBot="1">
      <c r="A15" s="24" t="s">
        <v>31</v>
      </c>
      <c r="B15" s="24">
        <f>SUM(B7:B10)</f>
        <v>7</v>
      </c>
      <c r="C15" s="24">
        <f t="shared" ref="C15:Q15" si="15">SUM(C7:C10)</f>
        <v>1</v>
      </c>
      <c r="D15" s="24">
        <f t="shared" si="15"/>
        <v>4</v>
      </c>
      <c r="E15" s="24">
        <f t="shared" si="15"/>
        <v>3</v>
      </c>
      <c r="F15" s="24">
        <f t="shared" si="15"/>
        <v>0</v>
      </c>
      <c r="G15" s="24">
        <f t="shared" si="15"/>
        <v>1</v>
      </c>
      <c r="H15" s="24">
        <f t="shared" si="15"/>
        <v>6</v>
      </c>
      <c r="I15" s="24">
        <f t="shared" si="15"/>
        <v>3</v>
      </c>
      <c r="J15" s="24">
        <f t="shared" si="15"/>
        <v>1</v>
      </c>
      <c r="K15" s="24">
        <f t="shared" si="15"/>
        <v>0</v>
      </c>
      <c r="L15" s="24">
        <f t="shared" si="15"/>
        <v>1</v>
      </c>
      <c r="M15" s="24">
        <f t="shared" si="15"/>
        <v>0</v>
      </c>
      <c r="N15" s="24">
        <f t="shared" si="15"/>
        <v>0</v>
      </c>
      <c r="O15" s="24">
        <f t="shared" si="15"/>
        <v>0</v>
      </c>
      <c r="P15" s="24">
        <f t="shared" si="15"/>
        <v>0</v>
      </c>
      <c r="Q15" s="24">
        <f t="shared" si="15"/>
        <v>0</v>
      </c>
      <c r="S15" s="50">
        <f t="shared" si="0"/>
        <v>19</v>
      </c>
      <c r="T15" s="35">
        <f t="shared" si="0"/>
        <v>8</v>
      </c>
      <c r="U15" s="51">
        <f>T15/(T15+S15)</f>
        <v>0.29629629629629628</v>
      </c>
      <c r="V15" s="35">
        <f>B15+C15+J15+K15</f>
        <v>9</v>
      </c>
      <c r="W15" s="35">
        <f>D15+E15+L15+M15</f>
        <v>8</v>
      </c>
      <c r="X15" s="35">
        <f>F15+G15+N15+O15</f>
        <v>1</v>
      </c>
      <c r="Y15" s="35">
        <f>SUM(V15:X15)</f>
        <v>18</v>
      </c>
      <c r="Z15" s="52">
        <f t="shared" si="10"/>
        <v>0.44444444444444442</v>
      </c>
      <c r="AA15" s="52">
        <f t="shared" si="11"/>
        <v>5.5555555555555552E-2</v>
      </c>
      <c r="AB15" s="35">
        <f>H15+I15+P15+Q15</f>
        <v>9</v>
      </c>
      <c r="AC15" s="35">
        <f>SUM(B15:I15)</f>
        <v>25</v>
      </c>
      <c r="AD15" s="36">
        <f>SUM(J15:Q15)</f>
        <v>2</v>
      </c>
      <c r="AE15" s="53">
        <f t="shared" si="12"/>
        <v>27</v>
      </c>
      <c r="AU15" s="56" t="e">
        <f t="shared" si="13"/>
        <v>#DIV/0!</v>
      </c>
      <c r="AV15" s="57" t="e">
        <f t="shared" si="9"/>
        <v>#DIV/0!</v>
      </c>
      <c r="AW15" s="57" t="e">
        <f t="shared" si="9"/>
        <v>#DIV/0!</v>
      </c>
      <c r="AX15" s="57" t="e">
        <f t="shared" si="9"/>
        <v>#DIV/0!</v>
      </c>
      <c r="AY15" s="57" t="e">
        <f t="shared" si="9"/>
        <v>#DIV/0!</v>
      </c>
      <c r="AZ15" s="57" t="e">
        <f t="shared" si="9"/>
        <v>#DIV/0!</v>
      </c>
      <c r="BA15" s="57" t="e">
        <f t="shared" si="9"/>
        <v>#DIV/0!</v>
      </c>
      <c r="BB15" s="57" t="e">
        <f t="shared" si="9"/>
        <v>#DIV/0!</v>
      </c>
      <c r="BC15" s="57" t="e">
        <f t="shared" si="9"/>
        <v>#DIV/0!</v>
      </c>
      <c r="BD15" s="57" t="e">
        <f t="shared" si="9"/>
        <v>#DIV/0!</v>
      </c>
      <c r="BE15" s="57" t="e">
        <f t="shared" si="9"/>
        <v>#DIV/0!</v>
      </c>
      <c r="BF15" s="57" t="e">
        <f t="shared" si="9"/>
        <v>#DIV/0!</v>
      </c>
      <c r="BG15" s="58" t="e">
        <f t="shared" si="9"/>
        <v>#DIV/0!</v>
      </c>
    </row>
    <row r="17" spans="1:17">
      <c r="A17" t="s">
        <v>29</v>
      </c>
      <c r="B17">
        <f>SUM(B5:B8)</f>
        <v>5</v>
      </c>
      <c r="C17">
        <f t="shared" ref="C17:Q17" si="16">SUM(C5:C8)</f>
        <v>3</v>
      </c>
      <c r="D17">
        <f t="shared" si="16"/>
        <v>5</v>
      </c>
      <c r="E17">
        <f t="shared" si="16"/>
        <v>3</v>
      </c>
      <c r="F17">
        <f t="shared" si="16"/>
        <v>0</v>
      </c>
      <c r="G17">
        <f t="shared" si="16"/>
        <v>1</v>
      </c>
      <c r="H17">
        <f t="shared" si="16"/>
        <v>4</v>
      </c>
      <c r="I17">
        <f t="shared" si="16"/>
        <v>4</v>
      </c>
      <c r="J17">
        <f t="shared" si="16"/>
        <v>1</v>
      </c>
      <c r="K17">
        <f t="shared" si="16"/>
        <v>0</v>
      </c>
      <c r="L17">
        <f t="shared" si="16"/>
        <v>1</v>
      </c>
      <c r="M17">
        <f t="shared" si="16"/>
        <v>0</v>
      </c>
      <c r="N17">
        <f t="shared" si="16"/>
        <v>0</v>
      </c>
      <c r="O17">
        <f t="shared" si="16"/>
        <v>0</v>
      </c>
      <c r="P17">
        <f t="shared" si="16"/>
        <v>0</v>
      </c>
      <c r="Q17">
        <f t="shared" si="16"/>
        <v>0</v>
      </c>
    </row>
    <row r="18" spans="1:17">
      <c r="A18" t="s">
        <v>30</v>
      </c>
      <c r="B18">
        <f>SUM(B9:B12)</f>
        <v>3</v>
      </c>
      <c r="C18">
        <f t="shared" ref="C18:Q18" si="17">SUM(C9:C12)</f>
        <v>0</v>
      </c>
      <c r="D18">
        <f t="shared" si="17"/>
        <v>1</v>
      </c>
      <c r="E18">
        <f t="shared" si="17"/>
        <v>1</v>
      </c>
      <c r="F18">
        <f t="shared" si="17"/>
        <v>0</v>
      </c>
      <c r="G18">
        <f t="shared" si="17"/>
        <v>0</v>
      </c>
      <c r="H18">
        <f t="shared" si="17"/>
        <v>2</v>
      </c>
      <c r="I18">
        <f t="shared" si="17"/>
        <v>0</v>
      </c>
      <c r="J18">
        <f t="shared" si="17"/>
        <v>0</v>
      </c>
      <c r="K18">
        <f t="shared" si="17"/>
        <v>0</v>
      </c>
      <c r="L18">
        <f t="shared" si="17"/>
        <v>0</v>
      </c>
      <c r="M18">
        <f t="shared" si="17"/>
        <v>0</v>
      </c>
      <c r="N18">
        <f t="shared" si="17"/>
        <v>0</v>
      </c>
      <c r="O18">
        <f t="shared" si="17"/>
        <v>0</v>
      </c>
      <c r="P18">
        <f t="shared" si="17"/>
        <v>0</v>
      </c>
      <c r="Q18">
        <f t="shared" si="17"/>
        <v>0</v>
      </c>
    </row>
  </sheetData>
  <mergeCells count="13">
    <mergeCell ref="AG2:AR2"/>
    <mergeCell ref="AU2:BF2"/>
    <mergeCell ref="P3:Q3"/>
    <mergeCell ref="B2:I2"/>
    <mergeCell ref="J2:Q2"/>
    <mergeCell ref="S2:AD2"/>
    <mergeCell ref="B3:C3"/>
    <mergeCell ref="D3:E3"/>
    <mergeCell ref="F3:G3"/>
    <mergeCell ref="H3:I3"/>
    <mergeCell ref="J3:K3"/>
    <mergeCell ref="L3:M3"/>
    <mergeCell ref="N3:O3"/>
  </mergeCells>
  <conditionalFormatting sqref="AU5:BG15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8"/>
  <sheetViews>
    <sheetView workbookViewId="0">
      <selection activeCell="A13" sqref="A13:XFD13"/>
    </sheetView>
  </sheetViews>
  <sheetFormatPr baseColWidth="10" defaultColWidth="9.140625" defaultRowHeight="15"/>
  <cols>
    <col min="1" max="1" width="10.28515625" customWidth="1"/>
    <col min="2" max="17" width="5" customWidth="1"/>
    <col min="47" max="59" width="8.85546875" style="97"/>
  </cols>
  <sheetData>
    <row r="1" spans="1:59" ht="30.6" customHeight="1" thickBot="1">
      <c r="B1" s="11" t="s">
        <v>11</v>
      </c>
      <c r="C1" s="12" t="s">
        <v>50</v>
      </c>
    </row>
    <row r="2" spans="1:59" s="10" customFormat="1" ht="21.75" thickBot="1">
      <c r="A2" s="9"/>
      <c r="B2" s="141" t="s">
        <v>5</v>
      </c>
      <c r="C2" s="143"/>
      <c r="D2" s="143"/>
      <c r="E2" s="143"/>
      <c r="F2" s="143"/>
      <c r="G2" s="143"/>
      <c r="H2" s="143"/>
      <c r="I2" s="144"/>
      <c r="J2" s="141" t="s">
        <v>6</v>
      </c>
      <c r="K2" s="143"/>
      <c r="L2" s="143"/>
      <c r="M2" s="143"/>
      <c r="N2" s="143"/>
      <c r="O2" s="143"/>
      <c r="P2" s="143"/>
      <c r="Q2" s="144"/>
      <c r="R2" s="97"/>
      <c r="S2" s="138" t="str">
        <f xml:space="preserve"> "Totaux 2021 " &amp; $C1</f>
        <v>Totaux 2021 Divonne-Chavanne</v>
      </c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G2" s="138" t="str">
        <f xml:space="preserve"> "Totaux 2020 " &amp; $C1</f>
        <v>Totaux 2020 Divonne-Chavanne</v>
      </c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U2" s="139" t="str">
        <f xml:space="preserve"> "Changement depuis 2020 " &amp; $C1</f>
        <v>Changement depuis 2020 Divonne-Chavanne</v>
      </c>
      <c r="AV2" s="140"/>
      <c r="AW2" s="140"/>
      <c r="AX2" s="140"/>
      <c r="AY2" s="140"/>
      <c r="AZ2" s="140"/>
      <c r="BA2" s="140"/>
      <c r="BB2" s="140"/>
      <c r="BC2" s="140"/>
      <c r="BD2" s="140"/>
      <c r="BE2" s="140"/>
      <c r="BF2" s="140"/>
      <c r="BG2" s="115"/>
    </row>
    <row r="3" spans="1:59" s="10" customFormat="1" ht="68.45" customHeight="1">
      <c r="A3" s="9"/>
      <c r="B3" s="141" t="s">
        <v>9</v>
      </c>
      <c r="C3" s="144"/>
      <c r="D3" s="145" t="s">
        <v>7</v>
      </c>
      <c r="E3" s="142"/>
      <c r="F3" s="145" t="s">
        <v>8</v>
      </c>
      <c r="G3" s="142"/>
      <c r="H3" s="141" t="s">
        <v>0</v>
      </c>
      <c r="I3" s="142"/>
      <c r="J3" s="141" t="s">
        <v>4</v>
      </c>
      <c r="K3" s="144"/>
      <c r="L3" s="145" t="s">
        <v>7</v>
      </c>
      <c r="M3" s="142"/>
      <c r="N3" s="145" t="s">
        <v>10</v>
      </c>
      <c r="O3" s="142"/>
      <c r="P3" s="141" t="s">
        <v>0</v>
      </c>
      <c r="Q3" s="142"/>
      <c r="R3"/>
      <c r="S3" s="26" t="s">
        <v>20</v>
      </c>
      <c r="T3" s="27" t="s">
        <v>14</v>
      </c>
      <c r="U3" s="27" t="s">
        <v>15</v>
      </c>
      <c r="V3" s="27" t="s">
        <v>16</v>
      </c>
      <c r="W3" s="27" t="s">
        <v>7</v>
      </c>
      <c r="X3" s="27" t="s">
        <v>17</v>
      </c>
      <c r="Y3" s="27" t="s">
        <v>25</v>
      </c>
      <c r="Z3" s="27" t="s">
        <v>27</v>
      </c>
      <c r="AA3" s="27" t="s">
        <v>28</v>
      </c>
      <c r="AB3" s="27" t="s">
        <v>19</v>
      </c>
      <c r="AC3" s="27" t="s">
        <v>21</v>
      </c>
      <c r="AD3" s="28" t="s">
        <v>22</v>
      </c>
      <c r="AE3" s="40" t="s">
        <v>26</v>
      </c>
      <c r="AU3" s="117" t="s">
        <v>20</v>
      </c>
      <c r="AV3" s="116" t="s">
        <v>14</v>
      </c>
      <c r="AW3" s="116" t="s">
        <v>15</v>
      </c>
      <c r="AX3" s="116" t="s">
        <v>16</v>
      </c>
      <c r="AY3" s="116" t="s">
        <v>7</v>
      </c>
      <c r="AZ3" s="116" t="s">
        <v>17</v>
      </c>
      <c r="BA3" s="116" t="s">
        <v>25</v>
      </c>
      <c r="BB3" s="116" t="s">
        <v>27</v>
      </c>
      <c r="BC3" s="116" t="s">
        <v>28</v>
      </c>
      <c r="BD3" s="116" t="s">
        <v>19</v>
      </c>
      <c r="BE3" s="116" t="s">
        <v>21</v>
      </c>
      <c r="BF3" s="116" t="s">
        <v>22</v>
      </c>
      <c r="BG3" s="118" t="s">
        <v>26</v>
      </c>
    </row>
    <row r="4" spans="1:59" ht="21" thickBot="1">
      <c r="A4" s="1" t="s">
        <v>3</v>
      </c>
      <c r="B4" s="2" t="s">
        <v>1</v>
      </c>
      <c r="C4" s="4" t="s">
        <v>2</v>
      </c>
      <c r="D4" s="2" t="s">
        <v>1</v>
      </c>
      <c r="E4" s="4" t="s">
        <v>2</v>
      </c>
      <c r="F4" s="2" t="s">
        <v>1</v>
      </c>
      <c r="G4" s="4" t="s">
        <v>2</v>
      </c>
      <c r="H4" s="2" t="s">
        <v>1</v>
      </c>
      <c r="I4" s="3" t="s">
        <v>2</v>
      </c>
      <c r="J4" s="2" t="s">
        <v>1</v>
      </c>
      <c r="K4" s="4" t="s">
        <v>2</v>
      </c>
      <c r="L4" s="2" t="s">
        <v>1</v>
      </c>
      <c r="M4" s="4" t="s">
        <v>2</v>
      </c>
      <c r="N4" s="2" t="s">
        <v>1</v>
      </c>
      <c r="O4" s="4" t="s">
        <v>2</v>
      </c>
      <c r="P4" s="2" t="s">
        <v>1</v>
      </c>
      <c r="Q4" s="3" t="s">
        <v>2</v>
      </c>
      <c r="S4" s="29"/>
      <c r="T4" s="19"/>
      <c r="U4" s="25"/>
      <c r="V4" s="19"/>
      <c r="W4" s="19"/>
      <c r="X4" s="19"/>
      <c r="Y4" s="19"/>
      <c r="Z4" s="19"/>
      <c r="AA4" s="19"/>
      <c r="AB4" s="19"/>
      <c r="AC4" s="19"/>
      <c r="AD4" s="30"/>
      <c r="AE4" s="41"/>
      <c r="AU4" s="2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30"/>
    </row>
    <row r="5" spans="1:59" ht="21" customHeight="1" thickBot="1">
      <c r="A5" s="13">
        <v>0.29166666666666669</v>
      </c>
      <c r="B5" s="15"/>
      <c r="C5" s="16"/>
      <c r="D5" s="17"/>
      <c r="E5" s="18"/>
      <c r="F5" s="17"/>
      <c r="G5" s="18"/>
      <c r="H5" s="15"/>
      <c r="I5" s="16"/>
      <c r="J5" s="15"/>
      <c r="K5" s="16"/>
      <c r="L5" s="17"/>
      <c r="M5" s="18"/>
      <c r="N5" s="17"/>
      <c r="O5" s="18"/>
      <c r="P5" s="15"/>
      <c r="Q5" s="16"/>
      <c r="S5" s="29">
        <f t="shared" ref="S5:T15" si="0">B5+D5+F5+H5+J5+L5+N5+P5</f>
        <v>0</v>
      </c>
      <c r="T5" s="19">
        <f t="shared" si="0"/>
        <v>0</v>
      </c>
      <c r="U5" s="25" t="e">
        <f t="shared" ref="U5:U11" si="1">T5/(T5+S5)</f>
        <v>#DIV/0!</v>
      </c>
      <c r="V5" s="19">
        <f t="shared" ref="V5:V11" si="2">B5+C5+J5+K5</f>
        <v>0</v>
      </c>
      <c r="W5" s="19">
        <f t="shared" ref="W5:W11" si="3">D5+E5+L5+M5</f>
        <v>0</v>
      </c>
      <c r="X5" s="19">
        <f t="shared" ref="X5:X11" si="4">F5+G5+N5+O5</f>
        <v>0</v>
      </c>
      <c r="Y5" s="19">
        <f t="shared" ref="Y5:Y11" si="5">SUM(V5:X5)</f>
        <v>0</v>
      </c>
      <c r="Z5" s="43" t="e">
        <f>W5/Y5</f>
        <v>#DIV/0!</v>
      </c>
      <c r="AA5" s="43" t="e">
        <f>X5/Y5</f>
        <v>#DIV/0!</v>
      </c>
      <c r="AB5" s="19">
        <f t="shared" ref="AB5:AB11" si="6">H5+I5+P5+Q5</f>
        <v>0</v>
      </c>
      <c r="AC5" s="19">
        <f t="shared" ref="AC5:AC11" si="7">SUM(B5:I5)</f>
        <v>0</v>
      </c>
      <c r="AD5" s="30">
        <f t="shared" ref="AD5:AD11" si="8">SUM(J5:Q5)</f>
        <v>0</v>
      </c>
      <c r="AE5" s="41">
        <f>SUM(B5:Q5)</f>
        <v>0</v>
      </c>
      <c r="AU5" s="119" t="e">
        <f>(S5/AG5) - 1</f>
        <v>#DIV/0!</v>
      </c>
      <c r="AV5" s="43" t="e">
        <f t="shared" ref="AV5:BG15" si="9">(T5/AH5) - 1</f>
        <v>#DIV/0!</v>
      </c>
      <c r="AW5" s="43" t="e">
        <f t="shared" si="9"/>
        <v>#DIV/0!</v>
      </c>
      <c r="AX5" s="43" t="e">
        <f t="shared" si="9"/>
        <v>#DIV/0!</v>
      </c>
      <c r="AY5" s="43" t="e">
        <f t="shared" si="9"/>
        <v>#DIV/0!</v>
      </c>
      <c r="AZ5" s="43" t="e">
        <f t="shared" si="9"/>
        <v>#DIV/0!</v>
      </c>
      <c r="BA5" s="43" t="e">
        <f t="shared" si="9"/>
        <v>#DIV/0!</v>
      </c>
      <c r="BB5" s="43" t="e">
        <f t="shared" si="9"/>
        <v>#DIV/0!</v>
      </c>
      <c r="BC5" s="43" t="e">
        <f t="shared" si="9"/>
        <v>#DIV/0!</v>
      </c>
      <c r="BD5" s="43" t="e">
        <f t="shared" si="9"/>
        <v>#DIV/0!</v>
      </c>
      <c r="BE5" s="43" t="e">
        <f t="shared" si="9"/>
        <v>#DIV/0!</v>
      </c>
      <c r="BF5" s="43" t="e">
        <f t="shared" si="9"/>
        <v>#DIV/0!</v>
      </c>
      <c r="BG5" s="120" t="e">
        <f t="shared" si="9"/>
        <v>#DIV/0!</v>
      </c>
    </row>
    <row r="6" spans="1:59" ht="21" customHeight="1" thickBot="1">
      <c r="A6" s="14">
        <v>0.30208333333333331</v>
      </c>
      <c r="B6" s="15"/>
      <c r="C6" s="16"/>
      <c r="D6" s="17"/>
      <c r="E6" s="18"/>
      <c r="F6" s="17"/>
      <c r="G6" s="18"/>
      <c r="H6" s="15"/>
      <c r="I6" s="16"/>
      <c r="J6" s="15"/>
      <c r="K6" s="16"/>
      <c r="L6" s="17"/>
      <c r="M6" s="18"/>
      <c r="N6" s="17"/>
      <c r="O6" s="18"/>
      <c r="P6" s="15"/>
      <c r="Q6" s="16"/>
      <c r="S6" s="29">
        <f t="shared" si="0"/>
        <v>0</v>
      </c>
      <c r="T6" s="19">
        <f t="shared" si="0"/>
        <v>0</v>
      </c>
      <c r="U6" s="25" t="e">
        <f t="shared" si="1"/>
        <v>#DIV/0!</v>
      </c>
      <c r="V6" s="19">
        <f t="shared" si="2"/>
        <v>0</v>
      </c>
      <c r="W6" s="19">
        <f t="shared" si="3"/>
        <v>0</v>
      </c>
      <c r="X6" s="19">
        <f t="shared" si="4"/>
        <v>0</v>
      </c>
      <c r="Y6" s="19">
        <f t="shared" si="5"/>
        <v>0</v>
      </c>
      <c r="Z6" s="43" t="e">
        <f t="shared" ref="Z6:Z15" si="10">W6/Y6</f>
        <v>#DIV/0!</v>
      </c>
      <c r="AA6" s="43" t="e">
        <f t="shared" ref="AA6:AA15" si="11">X6/Y6</f>
        <v>#DIV/0!</v>
      </c>
      <c r="AB6" s="19">
        <f t="shared" si="6"/>
        <v>0</v>
      </c>
      <c r="AC6" s="19">
        <f t="shared" si="7"/>
        <v>0</v>
      </c>
      <c r="AD6" s="30">
        <f t="shared" si="8"/>
        <v>0</v>
      </c>
      <c r="AE6" s="41">
        <f t="shared" ref="AE6:AE15" si="12">SUM(B6:Q6)</f>
        <v>0</v>
      </c>
      <c r="AU6" s="119" t="e">
        <f t="shared" ref="AU6:AU15" si="13">(S6/AG6) - 1</f>
        <v>#DIV/0!</v>
      </c>
      <c r="AV6" s="43" t="e">
        <f t="shared" si="9"/>
        <v>#DIV/0!</v>
      </c>
      <c r="AW6" s="43" t="e">
        <f t="shared" si="9"/>
        <v>#DIV/0!</v>
      </c>
      <c r="AX6" s="43" t="e">
        <f t="shared" si="9"/>
        <v>#DIV/0!</v>
      </c>
      <c r="AY6" s="43" t="e">
        <f t="shared" si="9"/>
        <v>#DIV/0!</v>
      </c>
      <c r="AZ6" s="43" t="e">
        <f t="shared" si="9"/>
        <v>#DIV/0!</v>
      </c>
      <c r="BA6" s="43" t="e">
        <f t="shared" si="9"/>
        <v>#DIV/0!</v>
      </c>
      <c r="BB6" s="43" t="e">
        <f t="shared" si="9"/>
        <v>#DIV/0!</v>
      </c>
      <c r="BC6" s="43" t="e">
        <f t="shared" si="9"/>
        <v>#DIV/0!</v>
      </c>
      <c r="BD6" s="43" t="e">
        <f t="shared" si="9"/>
        <v>#DIV/0!</v>
      </c>
      <c r="BE6" s="43" t="e">
        <f t="shared" si="9"/>
        <v>#DIV/0!</v>
      </c>
      <c r="BF6" s="43" t="e">
        <f t="shared" si="9"/>
        <v>#DIV/0!</v>
      </c>
      <c r="BG6" s="120" t="e">
        <f t="shared" si="9"/>
        <v>#DIV/0!</v>
      </c>
    </row>
    <row r="7" spans="1:59" ht="21" customHeight="1" thickBot="1">
      <c r="A7" s="14">
        <v>0.3125</v>
      </c>
      <c r="B7" s="15"/>
      <c r="C7" s="16"/>
      <c r="D7" s="17"/>
      <c r="E7" s="18"/>
      <c r="F7" s="17"/>
      <c r="G7" s="18"/>
      <c r="H7" s="15"/>
      <c r="I7" s="16"/>
      <c r="J7" s="15"/>
      <c r="K7" s="16"/>
      <c r="L7" s="17"/>
      <c r="M7" s="18"/>
      <c r="N7" s="17"/>
      <c r="O7" s="18"/>
      <c r="P7" s="15"/>
      <c r="Q7" s="16"/>
      <c r="S7" s="29">
        <f t="shared" si="0"/>
        <v>0</v>
      </c>
      <c r="T7" s="19">
        <f t="shared" si="0"/>
        <v>0</v>
      </c>
      <c r="U7" s="25" t="e">
        <f t="shared" si="1"/>
        <v>#DIV/0!</v>
      </c>
      <c r="V7" s="19">
        <f t="shared" si="2"/>
        <v>0</v>
      </c>
      <c r="W7" s="19">
        <f t="shared" si="3"/>
        <v>0</v>
      </c>
      <c r="X7" s="19">
        <f t="shared" si="4"/>
        <v>0</v>
      </c>
      <c r="Y7" s="19">
        <f t="shared" si="5"/>
        <v>0</v>
      </c>
      <c r="Z7" s="43" t="e">
        <f t="shared" si="10"/>
        <v>#DIV/0!</v>
      </c>
      <c r="AA7" s="43" t="e">
        <f t="shared" si="11"/>
        <v>#DIV/0!</v>
      </c>
      <c r="AB7" s="19">
        <f t="shared" si="6"/>
        <v>0</v>
      </c>
      <c r="AC7" s="19">
        <f t="shared" si="7"/>
        <v>0</v>
      </c>
      <c r="AD7" s="30">
        <f t="shared" si="8"/>
        <v>0</v>
      </c>
      <c r="AE7" s="41">
        <f t="shared" si="12"/>
        <v>0</v>
      </c>
      <c r="AU7" s="119" t="e">
        <f t="shared" si="13"/>
        <v>#DIV/0!</v>
      </c>
      <c r="AV7" s="43" t="e">
        <f t="shared" si="9"/>
        <v>#DIV/0!</v>
      </c>
      <c r="AW7" s="43" t="e">
        <f t="shared" si="9"/>
        <v>#DIV/0!</v>
      </c>
      <c r="AX7" s="43" t="e">
        <f t="shared" si="9"/>
        <v>#DIV/0!</v>
      </c>
      <c r="AY7" s="43" t="e">
        <f t="shared" si="9"/>
        <v>#DIV/0!</v>
      </c>
      <c r="AZ7" s="43" t="e">
        <f t="shared" si="9"/>
        <v>#DIV/0!</v>
      </c>
      <c r="BA7" s="43" t="e">
        <f t="shared" si="9"/>
        <v>#DIV/0!</v>
      </c>
      <c r="BB7" s="43" t="e">
        <f t="shared" si="9"/>
        <v>#DIV/0!</v>
      </c>
      <c r="BC7" s="43" t="e">
        <f t="shared" si="9"/>
        <v>#DIV/0!</v>
      </c>
      <c r="BD7" s="43" t="e">
        <f t="shared" si="9"/>
        <v>#DIV/0!</v>
      </c>
      <c r="BE7" s="43" t="e">
        <f t="shared" si="9"/>
        <v>#DIV/0!</v>
      </c>
      <c r="BF7" s="43" t="e">
        <f t="shared" si="9"/>
        <v>#DIV/0!</v>
      </c>
      <c r="BG7" s="120" t="e">
        <f t="shared" si="9"/>
        <v>#DIV/0!</v>
      </c>
    </row>
    <row r="8" spans="1:59" ht="21" customHeight="1" thickBot="1">
      <c r="A8" s="14">
        <v>0.32291666666666669</v>
      </c>
      <c r="B8" s="15"/>
      <c r="C8" s="16"/>
      <c r="D8" s="17"/>
      <c r="E8" s="18"/>
      <c r="F8" s="17"/>
      <c r="G8" s="18"/>
      <c r="H8" s="15"/>
      <c r="I8" s="16"/>
      <c r="J8" s="15"/>
      <c r="K8" s="16"/>
      <c r="L8" s="17"/>
      <c r="M8" s="18"/>
      <c r="N8" s="17"/>
      <c r="O8" s="18"/>
      <c r="P8" s="15"/>
      <c r="Q8" s="16"/>
      <c r="S8" s="29">
        <f t="shared" si="0"/>
        <v>0</v>
      </c>
      <c r="T8" s="19">
        <f t="shared" si="0"/>
        <v>0</v>
      </c>
      <c r="U8" s="25" t="e">
        <f t="shared" si="1"/>
        <v>#DIV/0!</v>
      </c>
      <c r="V8" s="19">
        <f t="shared" si="2"/>
        <v>0</v>
      </c>
      <c r="W8" s="19">
        <f t="shared" si="3"/>
        <v>0</v>
      </c>
      <c r="X8" s="19">
        <f t="shared" si="4"/>
        <v>0</v>
      </c>
      <c r="Y8" s="19">
        <f t="shared" si="5"/>
        <v>0</v>
      </c>
      <c r="Z8" s="43" t="e">
        <f t="shared" si="10"/>
        <v>#DIV/0!</v>
      </c>
      <c r="AA8" s="43" t="e">
        <f t="shared" si="11"/>
        <v>#DIV/0!</v>
      </c>
      <c r="AB8" s="19">
        <f t="shared" si="6"/>
        <v>0</v>
      </c>
      <c r="AC8" s="19">
        <f t="shared" si="7"/>
        <v>0</v>
      </c>
      <c r="AD8" s="30">
        <f t="shared" si="8"/>
        <v>0</v>
      </c>
      <c r="AE8" s="41">
        <f t="shared" si="12"/>
        <v>0</v>
      </c>
      <c r="AU8" s="119" t="e">
        <f t="shared" si="13"/>
        <v>#DIV/0!</v>
      </c>
      <c r="AV8" s="43" t="e">
        <f t="shared" si="9"/>
        <v>#DIV/0!</v>
      </c>
      <c r="AW8" s="43" t="e">
        <f t="shared" si="9"/>
        <v>#DIV/0!</v>
      </c>
      <c r="AX8" s="43" t="e">
        <f t="shared" si="9"/>
        <v>#DIV/0!</v>
      </c>
      <c r="AY8" s="43" t="e">
        <f t="shared" si="9"/>
        <v>#DIV/0!</v>
      </c>
      <c r="AZ8" s="43" t="e">
        <f t="shared" si="9"/>
        <v>#DIV/0!</v>
      </c>
      <c r="BA8" s="43" t="e">
        <f t="shared" si="9"/>
        <v>#DIV/0!</v>
      </c>
      <c r="BB8" s="43" t="e">
        <f t="shared" si="9"/>
        <v>#DIV/0!</v>
      </c>
      <c r="BC8" s="43" t="e">
        <f t="shared" si="9"/>
        <v>#DIV/0!</v>
      </c>
      <c r="BD8" s="43" t="e">
        <f t="shared" si="9"/>
        <v>#DIV/0!</v>
      </c>
      <c r="BE8" s="43" t="e">
        <f t="shared" si="9"/>
        <v>#DIV/0!</v>
      </c>
      <c r="BF8" s="43" t="e">
        <f t="shared" si="9"/>
        <v>#DIV/0!</v>
      </c>
      <c r="BG8" s="120" t="e">
        <f t="shared" si="9"/>
        <v>#DIV/0!</v>
      </c>
    </row>
    <row r="9" spans="1:59" ht="21" customHeight="1" thickBot="1">
      <c r="A9" s="13">
        <v>0.33333333333333331</v>
      </c>
      <c r="B9" s="15"/>
      <c r="C9" s="16"/>
      <c r="D9" s="17"/>
      <c r="E9" s="18"/>
      <c r="F9" s="17"/>
      <c r="G9" s="18"/>
      <c r="H9" s="15"/>
      <c r="I9" s="16"/>
      <c r="J9" s="15"/>
      <c r="K9" s="16"/>
      <c r="L9" s="17"/>
      <c r="M9" s="18"/>
      <c r="N9" s="17"/>
      <c r="O9" s="18"/>
      <c r="P9" s="15"/>
      <c r="Q9" s="16"/>
      <c r="S9" s="29">
        <f t="shared" si="0"/>
        <v>0</v>
      </c>
      <c r="T9" s="19">
        <f t="shared" si="0"/>
        <v>0</v>
      </c>
      <c r="U9" s="25" t="e">
        <f t="shared" si="1"/>
        <v>#DIV/0!</v>
      </c>
      <c r="V9" s="19">
        <f t="shared" si="2"/>
        <v>0</v>
      </c>
      <c r="W9" s="19">
        <f t="shared" si="3"/>
        <v>0</v>
      </c>
      <c r="X9" s="19">
        <f t="shared" si="4"/>
        <v>0</v>
      </c>
      <c r="Y9" s="19">
        <f t="shared" si="5"/>
        <v>0</v>
      </c>
      <c r="Z9" s="43" t="e">
        <f t="shared" si="10"/>
        <v>#DIV/0!</v>
      </c>
      <c r="AA9" s="43" t="e">
        <f t="shared" si="11"/>
        <v>#DIV/0!</v>
      </c>
      <c r="AB9" s="19">
        <f t="shared" si="6"/>
        <v>0</v>
      </c>
      <c r="AC9" s="19">
        <f t="shared" si="7"/>
        <v>0</v>
      </c>
      <c r="AD9" s="30">
        <f t="shared" si="8"/>
        <v>0</v>
      </c>
      <c r="AE9" s="41">
        <f t="shared" si="12"/>
        <v>0</v>
      </c>
      <c r="AU9" s="119" t="e">
        <f t="shared" si="13"/>
        <v>#DIV/0!</v>
      </c>
      <c r="AV9" s="43" t="e">
        <f t="shared" si="9"/>
        <v>#DIV/0!</v>
      </c>
      <c r="AW9" s="43" t="e">
        <f t="shared" si="9"/>
        <v>#DIV/0!</v>
      </c>
      <c r="AX9" s="43" t="e">
        <f t="shared" si="9"/>
        <v>#DIV/0!</v>
      </c>
      <c r="AY9" s="43" t="e">
        <f t="shared" si="9"/>
        <v>#DIV/0!</v>
      </c>
      <c r="AZ9" s="43" t="e">
        <f t="shared" si="9"/>
        <v>#DIV/0!</v>
      </c>
      <c r="BA9" s="43" t="e">
        <f t="shared" si="9"/>
        <v>#DIV/0!</v>
      </c>
      <c r="BB9" s="43" t="e">
        <f t="shared" si="9"/>
        <v>#DIV/0!</v>
      </c>
      <c r="BC9" s="43" t="e">
        <f t="shared" si="9"/>
        <v>#DIV/0!</v>
      </c>
      <c r="BD9" s="43" t="e">
        <f t="shared" si="9"/>
        <v>#DIV/0!</v>
      </c>
      <c r="BE9" s="43" t="e">
        <f t="shared" si="9"/>
        <v>#DIV/0!</v>
      </c>
      <c r="BF9" s="43" t="e">
        <f t="shared" si="9"/>
        <v>#DIV/0!</v>
      </c>
      <c r="BG9" s="120" t="e">
        <f t="shared" si="9"/>
        <v>#DIV/0!</v>
      </c>
    </row>
    <row r="10" spans="1:59" ht="21" customHeight="1" thickBot="1">
      <c r="A10" s="14">
        <v>0.34375</v>
      </c>
      <c r="B10" s="15"/>
      <c r="C10" s="16"/>
      <c r="D10" s="17"/>
      <c r="E10" s="18"/>
      <c r="F10" s="17"/>
      <c r="G10" s="18"/>
      <c r="H10" s="10"/>
      <c r="I10" s="16"/>
      <c r="J10" s="15"/>
      <c r="K10" s="16"/>
      <c r="L10" s="17"/>
      <c r="M10" s="18"/>
      <c r="N10" s="17"/>
      <c r="O10" s="18"/>
      <c r="P10" s="15"/>
      <c r="Q10" s="16"/>
      <c r="S10" s="29">
        <f t="shared" si="0"/>
        <v>0</v>
      </c>
      <c r="T10" s="19">
        <f t="shared" si="0"/>
        <v>0</v>
      </c>
      <c r="U10" s="25" t="e">
        <f t="shared" si="1"/>
        <v>#DIV/0!</v>
      </c>
      <c r="V10" s="19">
        <f t="shared" si="2"/>
        <v>0</v>
      </c>
      <c r="W10" s="19">
        <f t="shared" si="3"/>
        <v>0</v>
      </c>
      <c r="X10" s="19">
        <f t="shared" si="4"/>
        <v>0</v>
      </c>
      <c r="Y10" s="19">
        <f t="shared" si="5"/>
        <v>0</v>
      </c>
      <c r="Z10" s="43" t="e">
        <f t="shared" si="10"/>
        <v>#DIV/0!</v>
      </c>
      <c r="AA10" s="43" t="e">
        <f t="shared" si="11"/>
        <v>#DIV/0!</v>
      </c>
      <c r="AB10" s="19">
        <f t="shared" si="6"/>
        <v>0</v>
      </c>
      <c r="AC10" s="19">
        <f t="shared" si="7"/>
        <v>0</v>
      </c>
      <c r="AD10" s="30">
        <f t="shared" si="8"/>
        <v>0</v>
      </c>
      <c r="AE10" s="41">
        <f t="shared" si="12"/>
        <v>0</v>
      </c>
      <c r="AU10" s="119" t="e">
        <f t="shared" si="13"/>
        <v>#DIV/0!</v>
      </c>
      <c r="AV10" s="43" t="e">
        <f t="shared" si="9"/>
        <v>#DIV/0!</v>
      </c>
      <c r="AW10" s="43" t="e">
        <f t="shared" si="9"/>
        <v>#DIV/0!</v>
      </c>
      <c r="AX10" s="43" t="e">
        <f t="shared" si="9"/>
        <v>#DIV/0!</v>
      </c>
      <c r="AY10" s="43" t="e">
        <f t="shared" si="9"/>
        <v>#DIV/0!</v>
      </c>
      <c r="AZ10" s="43" t="e">
        <f t="shared" si="9"/>
        <v>#DIV/0!</v>
      </c>
      <c r="BA10" s="43" t="e">
        <f t="shared" si="9"/>
        <v>#DIV/0!</v>
      </c>
      <c r="BB10" s="43" t="e">
        <f t="shared" si="9"/>
        <v>#DIV/0!</v>
      </c>
      <c r="BC10" s="43" t="e">
        <f t="shared" si="9"/>
        <v>#DIV/0!</v>
      </c>
      <c r="BD10" s="43" t="e">
        <f t="shared" si="9"/>
        <v>#DIV/0!</v>
      </c>
      <c r="BE10" s="43" t="e">
        <f t="shared" si="9"/>
        <v>#DIV/0!</v>
      </c>
      <c r="BF10" s="43" t="e">
        <f t="shared" si="9"/>
        <v>#DIV/0!</v>
      </c>
      <c r="BG10" s="120" t="e">
        <f t="shared" si="9"/>
        <v>#DIV/0!</v>
      </c>
    </row>
    <row r="11" spans="1:59" ht="21" customHeight="1" thickBot="1">
      <c r="A11" s="14">
        <v>0.35416666666666669</v>
      </c>
      <c r="B11" s="15"/>
      <c r="C11" s="16"/>
      <c r="D11" s="17"/>
      <c r="E11" s="18"/>
      <c r="F11" s="17"/>
      <c r="G11" s="18"/>
      <c r="H11" s="15"/>
      <c r="I11" s="16"/>
      <c r="J11" s="15"/>
      <c r="K11" s="16"/>
      <c r="L11" s="17"/>
      <c r="M11" s="18"/>
      <c r="N11" s="17"/>
      <c r="O11" s="18"/>
      <c r="P11" s="15"/>
      <c r="Q11" s="16"/>
      <c r="S11" s="29">
        <f t="shared" si="0"/>
        <v>0</v>
      </c>
      <c r="T11" s="19">
        <f t="shared" si="0"/>
        <v>0</v>
      </c>
      <c r="U11" s="25" t="e">
        <f t="shared" si="1"/>
        <v>#DIV/0!</v>
      </c>
      <c r="V11" s="19">
        <f t="shared" si="2"/>
        <v>0</v>
      </c>
      <c r="W11" s="19">
        <f t="shared" si="3"/>
        <v>0</v>
      </c>
      <c r="X11" s="19">
        <f t="shared" si="4"/>
        <v>0</v>
      </c>
      <c r="Y11" s="19">
        <f t="shared" si="5"/>
        <v>0</v>
      </c>
      <c r="Z11" s="43" t="e">
        <f t="shared" si="10"/>
        <v>#DIV/0!</v>
      </c>
      <c r="AA11" s="43" t="e">
        <f t="shared" si="11"/>
        <v>#DIV/0!</v>
      </c>
      <c r="AB11" s="19">
        <f t="shared" si="6"/>
        <v>0</v>
      </c>
      <c r="AC11" s="19">
        <f t="shared" si="7"/>
        <v>0</v>
      </c>
      <c r="AD11" s="30">
        <f t="shared" si="8"/>
        <v>0</v>
      </c>
      <c r="AE11" s="41">
        <f t="shared" si="12"/>
        <v>0</v>
      </c>
      <c r="AU11" s="119" t="e">
        <f t="shared" si="13"/>
        <v>#DIV/0!</v>
      </c>
      <c r="AV11" s="43" t="e">
        <f t="shared" si="9"/>
        <v>#DIV/0!</v>
      </c>
      <c r="AW11" s="43" t="e">
        <f t="shared" si="9"/>
        <v>#DIV/0!</v>
      </c>
      <c r="AX11" s="43" t="e">
        <f t="shared" si="9"/>
        <v>#DIV/0!</v>
      </c>
      <c r="AY11" s="43" t="e">
        <f t="shared" si="9"/>
        <v>#DIV/0!</v>
      </c>
      <c r="AZ11" s="43" t="e">
        <f t="shared" si="9"/>
        <v>#DIV/0!</v>
      </c>
      <c r="BA11" s="43" t="e">
        <f t="shared" si="9"/>
        <v>#DIV/0!</v>
      </c>
      <c r="BB11" s="43" t="e">
        <f t="shared" si="9"/>
        <v>#DIV/0!</v>
      </c>
      <c r="BC11" s="43" t="e">
        <f t="shared" si="9"/>
        <v>#DIV/0!</v>
      </c>
      <c r="BD11" s="43" t="e">
        <f t="shared" si="9"/>
        <v>#DIV/0!</v>
      </c>
      <c r="BE11" s="43" t="e">
        <f t="shared" si="9"/>
        <v>#DIV/0!</v>
      </c>
      <c r="BF11" s="43" t="e">
        <f t="shared" si="9"/>
        <v>#DIV/0!</v>
      </c>
      <c r="BG11" s="120" t="e">
        <f t="shared" si="9"/>
        <v>#DIV/0!</v>
      </c>
    </row>
    <row r="12" spans="1:59" ht="21" customHeight="1" thickBot="1">
      <c r="A12" s="14">
        <v>0.36458333333333331</v>
      </c>
      <c r="B12" s="20"/>
      <c r="C12" s="21"/>
      <c r="D12" s="22"/>
      <c r="E12" s="23"/>
      <c r="F12" s="22"/>
      <c r="G12" s="23"/>
      <c r="H12" s="20"/>
      <c r="I12" s="21"/>
      <c r="J12" s="20"/>
      <c r="K12" s="21"/>
      <c r="L12" s="22"/>
      <c r="M12" s="23"/>
      <c r="N12" s="22"/>
      <c r="O12" s="23"/>
      <c r="P12" s="20"/>
      <c r="Q12" s="21"/>
      <c r="S12" s="29">
        <f t="shared" si="0"/>
        <v>0</v>
      </c>
      <c r="T12" s="19">
        <f t="shared" si="0"/>
        <v>0</v>
      </c>
      <c r="U12" s="25" t="e">
        <f>T12/(T12+S12)</f>
        <v>#DIV/0!</v>
      </c>
      <c r="V12" s="19">
        <f>B12+C12+J12+K12</f>
        <v>0</v>
      </c>
      <c r="W12" s="19">
        <f>D12+E12+L12+M12</f>
        <v>0</v>
      </c>
      <c r="X12" s="19">
        <f>F12+G12+N12+O12</f>
        <v>0</v>
      </c>
      <c r="Y12" s="19">
        <f>SUM(V12:X12)</f>
        <v>0</v>
      </c>
      <c r="Z12" s="43" t="e">
        <f t="shared" si="10"/>
        <v>#DIV/0!</v>
      </c>
      <c r="AA12" s="43" t="e">
        <f t="shared" si="11"/>
        <v>#DIV/0!</v>
      </c>
      <c r="AB12" s="19">
        <f>H12+I12+P12+Q12</f>
        <v>0</v>
      </c>
      <c r="AC12" s="19">
        <f>SUM(B12:I12)</f>
        <v>0</v>
      </c>
      <c r="AD12" s="30">
        <f>SUM(J12:Q12)</f>
        <v>0</v>
      </c>
      <c r="AE12" s="41">
        <f t="shared" si="12"/>
        <v>0</v>
      </c>
      <c r="AU12" s="119" t="e">
        <f t="shared" si="13"/>
        <v>#DIV/0!</v>
      </c>
      <c r="AV12" s="43" t="e">
        <f t="shared" si="9"/>
        <v>#DIV/0!</v>
      </c>
      <c r="AW12" s="43" t="e">
        <f t="shared" si="9"/>
        <v>#DIV/0!</v>
      </c>
      <c r="AX12" s="43" t="e">
        <f t="shared" si="9"/>
        <v>#DIV/0!</v>
      </c>
      <c r="AY12" s="43" t="e">
        <f t="shared" si="9"/>
        <v>#DIV/0!</v>
      </c>
      <c r="AZ12" s="43" t="e">
        <f t="shared" si="9"/>
        <v>#DIV/0!</v>
      </c>
      <c r="BA12" s="43" t="e">
        <f t="shared" si="9"/>
        <v>#DIV/0!</v>
      </c>
      <c r="BB12" s="43" t="e">
        <f t="shared" si="9"/>
        <v>#DIV/0!</v>
      </c>
      <c r="BC12" s="43" t="e">
        <f t="shared" si="9"/>
        <v>#DIV/0!</v>
      </c>
      <c r="BD12" s="43" t="e">
        <f t="shared" si="9"/>
        <v>#DIV/0!</v>
      </c>
      <c r="BE12" s="43" t="e">
        <f t="shared" si="9"/>
        <v>#DIV/0!</v>
      </c>
      <c r="BF12" s="43" t="e">
        <f t="shared" si="9"/>
        <v>#DIV/0!</v>
      </c>
      <c r="BG12" s="120" t="e">
        <f t="shared" si="9"/>
        <v>#DIV/0!</v>
      </c>
    </row>
    <row r="13" spans="1:59" s="97" customFormat="1" ht="21" customHeight="1" thickBot="1">
      <c r="A13" s="121"/>
      <c r="B13" s="94"/>
      <c r="C13" s="95"/>
      <c r="D13" s="96"/>
      <c r="E13" s="96"/>
      <c r="F13" s="96"/>
      <c r="G13" s="96"/>
      <c r="H13" s="94"/>
      <c r="I13" s="95"/>
      <c r="J13" s="94"/>
      <c r="K13" s="95"/>
      <c r="L13" s="96"/>
      <c r="M13" s="96"/>
      <c r="N13" s="96"/>
      <c r="O13" s="96"/>
      <c r="P13" s="94"/>
      <c r="Q13" s="95"/>
      <c r="S13" s="44"/>
      <c r="T13" s="45"/>
      <c r="U13" s="46"/>
      <c r="V13" s="45"/>
      <c r="W13" s="45"/>
      <c r="X13" s="45"/>
      <c r="Y13" s="45"/>
      <c r="Z13" s="43"/>
      <c r="AA13" s="43"/>
      <c r="AB13" s="45"/>
      <c r="AC13" s="45"/>
      <c r="AD13" s="48"/>
      <c r="AE13" s="49"/>
      <c r="AU13" s="119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120"/>
    </row>
    <row r="14" spans="1:59" ht="15.75" thickBot="1">
      <c r="A14" s="24" t="s">
        <v>13</v>
      </c>
      <c r="B14" s="35">
        <f>SUM(B5:B12)</f>
        <v>0</v>
      </c>
      <c r="C14" s="35">
        <f t="shared" ref="C14:Q14" si="14">SUM(C5:C12)</f>
        <v>0</v>
      </c>
      <c r="D14" s="35">
        <f t="shared" si="14"/>
        <v>0</v>
      </c>
      <c r="E14" s="35">
        <f t="shared" si="14"/>
        <v>0</v>
      </c>
      <c r="F14" s="35">
        <f t="shared" si="14"/>
        <v>0</v>
      </c>
      <c r="G14" s="35">
        <f t="shared" si="14"/>
        <v>0</v>
      </c>
      <c r="H14" s="35">
        <f t="shared" si="14"/>
        <v>0</v>
      </c>
      <c r="I14" s="35">
        <f t="shared" si="14"/>
        <v>0</v>
      </c>
      <c r="J14" s="35">
        <f t="shared" si="14"/>
        <v>0</v>
      </c>
      <c r="K14" s="35">
        <f t="shared" si="14"/>
        <v>0</v>
      </c>
      <c r="L14" s="35">
        <f t="shared" si="14"/>
        <v>0</v>
      </c>
      <c r="M14" s="35">
        <f t="shared" si="14"/>
        <v>0</v>
      </c>
      <c r="N14" s="35">
        <f t="shared" si="14"/>
        <v>0</v>
      </c>
      <c r="O14" s="35">
        <f t="shared" si="14"/>
        <v>0</v>
      </c>
      <c r="P14" s="35">
        <f t="shared" si="14"/>
        <v>0</v>
      </c>
      <c r="Q14" s="35">
        <f t="shared" si="14"/>
        <v>0</v>
      </c>
      <c r="S14" s="31">
        <f t="shared" si="0"/>
        <v>0</v>
      </c>
      <c r="T14" s="32">
        <f t="shared" si="0"/>
        <v>0</v>
      </c>
      <c r="U14" s="33" t="e">
        <f>T14/(T14+S14)</f>
        <v>#DIV/0!</v>
      </c>
      <c r="V14" s="32">
        <f>B14+C14+J14+K14</f>
        <v>0</v>
      </c>
      <c r="W14" s="32">
        <f>D14+E14+L14+M14</f>
        <v>0</v>
      </c>
      <c r="X14" s="32">
        <f>F14+G14+N14+O14</f>
        <v>0</v>
      </c>
      <c r="Y14" s="32">
        <f>SUM(V14:X14)</f>
        <v>0</v>
      </c>
      <c r="Z14" s="43" t="e">
        <f t="shared" si="10"/>
        <v>#DIV/0!</v>
      </c>
      <c r="AA14" s="43" t="e">
        <f t="shared" si="11"/>
        <v>#DIV/0!</v>
      </c>
      <c r="AB14" s="32">
        <f>H14+I14+P14+Q14</f>
        <v>0</v>
      </c>
      <c r="AC14" s="32">
        <f>SUM(B14:I14)</f>
        <v>0</v>
      </c>
      <c r="AD14" s="34">
        <f>SUM(J14:Q14)</f>
        <v>0</v>
      </c>
      <c r="AE14" s="42">
        <f t="shared" si="12"/>
        <v>0</v>
      </c>
      <c r="AU14" s="119" t="e">
        <f t="shared" si="13"/>
        <v>#DIV/0!</v>
      </c>
      <c r="AV14" s="43" t="e">
        <f t="shared" si="9"/>
        <v>#DIV/0!</v>
      </c>
      <c r="AW14" s="43" t="e">
        <f t="shared" si="9"/>
        <v>#DIV/0!</v>
      </c>
      <c r="AX14" s="43" t="e">
        <f t="shared" si="9"/>
        <v>#DIV/0!</v>
      </c>
      <c r="AY14" s="43" t="e">
        <f t="shared" si="9"/>
        <v>#DIV/0!</v>
      </c>
      <c r="AZ14" s="43" t="e">
        <f t="shared" si="9"/>
        <v>#DIV/0!</v>
      </c>
      <c r="BA14" s="43" t="e">
        <f t="shared" si="9"/>
        <v>#DIV/0!</v>
      </c>
      <c r="BB14" s="43" t="e">
        <f t="shared" si="9"/>
        <v>#DIV/0!</v>
      </c>
      <c r="BC14" s="43" t="e">
        <f t="shared" si="9"/>
        <v>#DIV/0!</v>
      </c>
      <c r="BD14" s="43" t="e">
        <f t="shared" si="9"/>
        <v>#DIV/0!</v>
      </c>
      <c r="BE14" s="43" t="e">
        <f t="shared" si="9"/>
        <v>#DIV/0!</v>
      </c>
      <c r="BF14" s="43" t="e">
        <f t="shared" si="9"/>
        <v>#DIV/0!</v>
      </c>
      <c r="BG14" s="120" t="e">
        <f t="shared" si="9"/>
        <v>#DIV/0!</v>
      </c>
    </row>
    <row r="15" spans="1:59" ht="15.75" thickBot="1">
      <c r="A15" s="24" t="s">
        <v>31</v>
      </c>
      <c r="B15" s="24">
        <f>SUM(B7:B10)</f>
        <v>0</v>
      </c>
      <c r="C15" s="24">
        <f t="shared" ref="C15:Q15" si="15">SUM(C7:C10)</f>
        <v>0</v>
      </c>
      <c r="D15" s="24">
        <f t="shared" si="15"/>
        <v>0</v>
      </c>
      <c r="E15" s="24">
        <f t="shared" si="15"/>
        <v>0</v>
      </c>
      <c r="F15" s="24">
        <f t="shared" si="15"/>
        <v>0</v>
      </c>
      <c r="G15" s="24">
        <f t="shared" si="15"/>
        <v>0</v>
      </c>
      <c r="H15" s="24">
        <f t="shared" si="15"/>
        <v>0</v>
      </c>
      <c r="I15" s="24">
        <f t="shared" si="15"/>
        <v>0</v>
      </c>
      <c r="J15" s="24">
        <f t="shared" si="15"/>
        <v>0</v>
      </c>
      <c r="K15" s="24">
        <f t="shared" si="15"/>
        <v>0</v>
      </c>
      <c r="L15" s="24">
        <f t="shared" si="15"/>
        <v>0</v>
      </c>
      <c r="M15" s="24">
        <f t="shared" si="15"/>
        <v>0</v>
      </c>
      <c r="N15" s="24">
        <f t="shared" si="15"/>
        <v>0</v>
      </c>
      <c r="O15" s="24">
        <f t="shared" si="15"/>
        <v>0</v>
      </c>
      <c r="P15" s="24">
        <f t="shared" si="15"/>
        <v>0</v>
      </c>
      <c r="Q15" s="24">
        <f t="shared" si="15"/>
        <v>0</v>
      </c>
      <c r="S15" s="50">
        <f t="shared" si="0"/>
        <v>0</v>
      </c>
      <c r="T15" s="35">
        <f t="shared" si="0"/>
        <v>0</v>
      </c>
      <c r="U15" s="51" t="e">
        <f>T15/(T15+S15)</f>
        <v>#DIV/0!</v>
      </c>
      <c r="V15" s="35">
        <f>B15+C15+J15+K15</f>
        <v>0</v>
      </c>
      <c r="W15" s="35">
        <f>D15+E15+L15+M15</f>
        <v>0</v>
      </c>
      <c r="X15" s="35">
        <f>F15+G15+N15+O15</f>
        <v>0</v>
      </c>
      <c r="Y15" s="35">
        <f>SUM(V15:X15)</f>
        <v>0</v>
      </c>
      <c r="Z15" s="52" t="e">
        <f t="shared" si="10"/>
        <v>#DIV/0!</v>
      </c>
      <c r="AA15" s="52" t="e">
        <f t="shared" si="11"/>
        <v>#DIV/0!</v>
      </c>
      <c r="AB15" s="35">
        <f>H15+I15+P15+Q15</f>
        <v>0</v>
      </c>
      <c r="AC15" s="35">
        <f>SUM(B15:I15)</f>
        <v>0</v>
      </c>
      <c r="AD15" s="36">
        <f>SUM(J15:Q15)</f>
        <v>0</v>
      </c>
      <c r="AE15" s="53">
        <f t="shared" si="12"/>
        <v>0</v>
      </c>
      <c r="AU15" s="56" t="e">
        <f t="shared" si="13"/>
        <v>#DIV/0!</v>
      </c>
      <c r="AV15" s="57" t="e">
        <f t="shared" si="9"/>
        <v>#DIV/0!</v>
      </c>
      <c r="AW15" s="57" t="e">
        <f t="shared" si="9"/>
        <v>#DIV/0!</v>
      </c>
      <c r="AX15" s="57" t="e">
        <f t="shared" si="9"/>
        <v>#DIV/0!</v>
      </c>
      <c r="AY15" s="57" t="e">
        <f t="shared" si="9"/>
        <v>#DIV/0!</v>
      </c>
      <c r="AZ15" s="57" t="e">
        <f t="shared" si="9"/>
        <v>#DIV/0!</v>
      </c>
      <c r="BA15" s="57" t="e">
        <f t="shared" si="9"/>
        <v>#DIV/0!</v>
      </c>
      <c r="BB15" s="57" t="e">
        <f t="shared" si="9"/>
        <v>#DIV/0!</v>
      </c>
      <c r="BC15" s="57" t="e">
        <f t="shared" si="9"/>
        <v>#DIV/0!</v>
      </c>
      <c r="BD15" s="57" t="e">
        <f t="shared" si="9"/>
        <v>#DIV/0!</v>
      </c>
      <c r="BE15" s="57" t="e">
        <f t="shared" si="9"/>
        <v>#DIV/0!</v>
      </c>
      <c r="BF15" s="57" t="e">
        <f t="shared" si="9"/>
        <v>#DIV/0!</v>
      </c>
      <c r="BG15" s="58" t="e">
        <f t="shared" si="9"/>
        <v>#DIV/0!</v>
      </c>
    </row>
    <row r="17" spans="1:17">
      <c r="A17" t="s">
        <v>29</v>
      </c>
      <c r="B17">
        <f>SUM(B5:B8)</f>
        <v>0</v>
      </c>
      <c r="C17">
        <f t="shared" ref="C17:Q17" si="16">SUM(C5:C8)</f>
        <v>0</v>
      </c>
      <c r="D17">
        <f t="shared" si="16"/>
        <v>0</v>
      </c>
      <c r="E17">
        <f t="shared" si="16"/>
        <v>0</v>
      </c>
      <c r="F17">
        <f t="shared" si="16"/>
        <v>0</v>
      </c>
      <c r="G17">
        <f t="shared" si="16"/>
        <v>0</v>
      </c>
      <c r="H17">
        <f t="shared" si="16"/>
        <v>0</v>
      </c>
      <c r="I17">
        <f t="shared" si="16"/>
        <v>0</v>
      </c>
      <c r="J17">
        <f t="shared" si="16"/>
        <v>0</v>
      </c>
      <c r="K17">
        <f t="shared" si="16"/>
        <v>0</v>
      </c>
      <c r="L17">
        <f t="shared" si="16"/>
        <v>0</v>
      </c>
      <c r="M17">
        <f t="shared" si="16"/>
        <v>0</v>
      </c>
      <c r="N17">
        <f t="shared" si="16"/>
        <v>0</v>
      </c>
      <c r="O17">
        <f t="shared" si="16"/>
        <v>0</v>
      </c>
      <c r="P17">
        <f t="shared" si="16"/>
        <v>0</v>
      </c>
      <c r="Q17">
        <f t="shared" si="16"/>
        <v>0</v>
      </c>
    </row>
    <row r="18" spans="1:17">
      <c r="A18" t="s">
        <v>30</v>
      </c>
      <c r="B18">
        <f>SUM(B9:B12)</f>
        <v>0</v>
      </c>
      <c r="C18">
        <f t="shared" ref="C18:Q18" si="17">SUM(C9:C12)</f>
        <v>0</v>
      </c>
      <c r="D18">
        <f t="shared" si="17"/>
        <v>0</v>
      </c>
      <c r="E18">
        <f t="shared" si="17"/>
        <v>0</v>
      </c>
      <c r="F18">
        <f t="shared" si="17"/>
        <v>0</v>
      </c>
      <c r="G18">
        <f t="shared" si="17"/>
        <v>0</v>
      </c>
      <c r="H18">
        <f t="shared" si="17"/>
        <v>0</v>
      </c>
      <c r="I18">
        <f t="shared" si="17"/>
        <v>0</v>
      </c>
      <c r="J18">
        <f t="shared" si="17"/>
        <v>0</v>
      </c>
      <c r="K18">
        <f t="shared" si="17"/>
        <v>0</v>
      </c>
      <c r="L18">
        <f t="shared" si="17"/>
        <v>0</v>
      </c>
      <c r="M18">
        <f t="shared" si="17"/>
        <v>0</v>
      </c>
      <c r="N18">
        <f t="shared" si="17"/>
        <v>0</v>
      </c>
      <c r="O18">
        <f t="shared" si="17"/>
        <v>0</v>
      </c>
      <c r="P18">
        <f t="shared" si="17"/>
        <v>0</v>
      </c>
      <c r="Q18">
        <f t="shared" si="17"/>
        <v>0</v>
      </c>
    </row>
  </sheetData>
  <mergeCells count="13">
    <mergeCell ref="AG2:AR2"/>
    <mergeCell ref="AU2:BF2"/>
    <mergeCell ref="P3:Q3"/>
    <mergeCell ref="B2:I2"/>
    <mergeCell ref="J2:Q2"/>
    <mergeCell ref="S2:AD2"/>
    <mergeCell ref="B3:C3"/>
    <mergeCell ref="D3:E3"/>
    <mergeCell ref="F3:G3"/>
    <mergeCell ref="H3:I3"/>
    <mergeCell ref="J3:K3"/>
    <mergeCell ref="L3:M3"/>
    <mergeCell ref="N3:O3"/>
  </mergeCells>
  <conditionalFormatting sqref="AU5:BG15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8"/>
  <sheetViews>
    <sheetView workbookViewId="0">
      <selection activeCell="L30" sqref="L30"/>
    </sheetView>
  </sheetViews>
  <sheetFormatPr baseColWidth="10" defaultColWidth="9.140625" defaultRowHeight="15"/>
  <cols>
    <col min="47" max="59" width="8.85546875" style="97"/>
  </cols>
  <sheetData>
    <row r="1" spans="1:59" ht="21.75" thickBot="1">
      <c r="B1" s="11" t="s">
        <v>11</v>
      </c>
      <c r="C1" s="12" t="s">
        <v>32</v>
      </c>
    </row>
    <row r="2" spans="1:59" s="10" customFormat="1" ht="21.75" thickBot="1">
      <c r="A2" s="9"/>
      <c r="B2" s="141" t="s">
        <v>5</v>
      </c>
      <c r="C2" s="143"/>
      <c r="D2" s="143"/>
      <c r="E2" s="143"/>
      <c r="F2" s="143"/>
      <c r="G2" s="143"/>
      <c r="H2" s="143"/>
      <c r="I2" s="144"/>
      <c r="J2" s="141" t="s">
        <v>6</v>
      </c>
      <c r="K2" s="143"/>
      <c r="L2" s="143"/>
      <c r="M2" s="143"/>
      <c r="N2" s="143"/>
      <c r="O2" s="143"/>
      <c r="P2" s="143"/>
      <c r="Q2" s="144"/>
      <c r="R2" s="97"/>
      <c r="S2" s="138" t="str">
        <f xml:space="preserve"> "Totaux 2021 " &amp; $C1</f>
        <v>Totaux 2021 Crassy-&gt;Crassier</v>
      </c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G2" s="138" t="str">
        <f xml:space="preserve"> "Totaux 2020 " &amp; $C1</f>
        <v>Totaux 2020 Crassy-&gt;Crassier</v>
      </c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U2" s="139" t="str">
        <f xml:space="preserve"> "Changement depuis 2020 " &amp; $C1</f>
        <v>Changement depuis 2020 Crassy-&gt;Crassier</v>
      </c>
      <c r="AV2" s="140"/>
      <c r="AW2" s="140"/>
      <c r="AX2" s="140"/>
      <c r="AY2" s="140"/>
      <c r="AZ2" s="140"/>
      <c r="BA2" s="140"/>
      <c r="BB2" s="140"/>
      <c r="BC2" s="140"/>
      <c r="BD2" s="140"/>
      <c r="BE2" s="140"/>
      <c r="BF2" s="140"/>
      <c r="BG2" s="115"/>
    </row>
    <row r="3" spans="1:59" ht="15.75">
      <c r="A3" s="9"/>
      <c r="B3" s="141" t="s">
        <v>9</v>
      </c>
      <c r="C3" s="144"/>
      <c r="D3" s="145" t="s">
        <v>7</v>
      </c>
      <c r="E3" s="142"/>
      <c r="F3" s="145" t="s">
        <v>8</v>
      </c>
      <c r="G3" s="142"/>
      <c r="H3" s="141" t="s">
        <v>0</v>
      </c>
      <c r="I3" s="142"/>
      <c r="J3" s="141" t="s">
        <v>4</v>
      </c>
      <c r="K3" s="144"/>
      <c r="L3" s="145" t="s">
        <v>7</v>
      </c>
      <c r="M3" s="142"/>
      <c r="N3" s="145" t="s">
        <v>10</v>
      </c>
      <c r="O3" s="142"/>
      <c r="P3" s="141" t="s">
        <v>0</v>
      </c>
      <c r="Q3" s="142"/>
      <c r="S3" s="26" t="s">
        <v>20</v>
      </c>
      <c r="T3" s="27" t="s">
        <v>14</v>
      </c>
      <c r="U3" s="27" t="s">
        <v>15</v>
      </c>
      <c r="V3" s="27" t="s">
        <v>16</v>
      </c>
      <c r="W3" s="27" t="s">
        <v>7</v>
      </c>
      <c r="X3" s="27" t="s">
        <v>17</v>
      </c>
      <c r="Y3" s="27" t="s">
        <v>25</v>
      </c>
      <c r="Z3" s="27" t="s">
        <v>27</v>
      </c>
      <c r="AA3" s="27" t="s">
        <v>28</v>
      </c>
      <c r="AB3" s="27" t="s">
        <v>19</v>
      </c>
      <c r="AC3" s="27" t="s">
        <v>21</v>
      </c>
      <c r="AD3" s="28" t="s">
        <v>22</v>
      </c>
      <c r="AE3" s="40" t="s">
        <v>26</v>
      </c>
      <c r="AU3" s="117" t="s">
        <v>20</v>
      </c>
      <c r="AV3" s="116" t="s">
        <v>14</v>
      </c>
      <c r="AW3" s="116" t="s">
        <v>15</v>
      </c>
      <c r="AX3" s="116" t="s">
        <v>16</v>
      </c>
      <c r="AY3" s="116" t="s">
        <v>7</v>
      </c>
      <c r="AZ3" s="116" t="s">
        <v>17</v>
      </c>
      <c r="BA3" s="116" t="s">
        <v>25</v>
      </c>
      <c r="BB3" s="116" t="s">
        <v>27</v>
      </c>
      <c r="BC3" s="116" t="s">
        <v>28</v>
      </c>
      <c r="BD3" s="116" t="s">
        <v>19</v>
      </c>
      <c r="BE3" s="116" t="s">
        <v>21</v>
      </c>
      <c r="BF3" s="116" t="s">
        <v>22</v>
      </c>
      <c r="BG3" s="118" t="s">
        <v>26</v>
      </c>
    </row>
    <row r="4" spans="1:59" ht="21" thickBot="1">
      <c r="A4" s="1" t="s">
        <v>3</v>
      </c>
      <c r="B4" s="2" t="s">
        <v>1</v>
      </c>
      <c r="C4" s="4" t="s">
        <v>2</v>
      </c>
      <c r="D4" s="2" t="s">
        <v>1</v>
      </c>
      <c r="E4" s="4" t="s">
        <v>2</v>
      </c>
      <c r="F4" s="2" t="s">
        <v>1</v>
      </c>
      <c r="G4" s="4" t="s">
        <v>2</v>
      </c>
      <c r="H4" s="2" t="s">
        <v>1</v>
      </c>
      <c r="I4" s="3" t="s">
        <v>2</v>
      </c>
      <c r="J4" s="2" t="s">
        <v>1</v>
      </c>
      <c r="K4" s="4" t="s">
        <v>2</v>
      </c>
      <c r="L4" s="2" t="s">
        <v>1</v>
      </c>
      <c r="M4" s="4" t="s">
        <v>2</v>
      </c>
      <c r="N4" s="2" t="s">
        <v>1</v>
      </c>
      <c r="O4" s="4" t="s">
        <v>2</v>
      </c>
      <c r="P4" s="2" t="s">
        <v>1</v>
      </c>
      <c r="Q4" s="3" t="s">
        <v>2</v>
      </c>
      <c r="S4" s="29"/>
      <c r="T4" s="19"/>
      <c r="U4" s="25"/>
      <c r="V4" s="19"/>
      <c r="W4" s="19"/>
      <c r="X4" s="19"/>
      <c r="Y4" s="19"/>
      <c r="Z4" s="19"/>
      <c r="AA4" s="19"/>
      <c r="AB4" s="19"/>
      <c r="AC4" s="19"/>
      <c r="AD4" s="30"/>
      <c r="AE4" s="41"/>
      <c r="AU4" s="2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30"/>
    </row>
    <row r="5" spans="1:59" ht="16.5" thickBot="1">
      <c r="A5" s="13">
        <v>0.29166666666666669</v>
      </c>
      <c r="B5" s="15"/>
      <c r="C5" s="16"/>
      <c r="D5" s="17"/>
      <c r="E5" s="18"/>
      <c r="F5" s="17"/>
      <c r="G5" s="18"/>
      <c r="H5" s="15"/>
      <c r="I5" s="16"/>
      <c r="J5" s="15"/>
      <c r="K5" s="16"/>
      <c r="L5" s="17"/>
      <c r="M5" s="18"/>
      <c r="N5" s="17"/>
      <c r="O5" s="18"/>
      <c r="P5" s="15"/>
      <c r="Q5" s="16"/>
      <c r="S5" s="29">
        <f t="shared" ref="S5:T11" si="0">B5+D5+F5+H5+J5+L5+N5+P5</f>
        <v>0</v>
      </c>
      <c r="T5" s="19">
        <f t="shared" si="0"/>
        <v>0</v>
      </c>
      <c r="U5" s="25" t="e">
        <f t="shared" ref="U5:U11" si="1">T5/(T5+S5)</f>
        <v>#DIV/0!</v>
      </c>
      <c r="V5" s="19">
        <f t="shared" ref="V5:V11" si="2">B5+C5+J5+K5</f>
        <v>0</v>
      </c>
      <c r="W5" s="19">
        <f t="shared" ref="W5:W11" si="3">D5+E5+L5+M5</f>
        <v>0</v>
      </c>
      <c r="X5" s="19">
        <f t="shared" ref="X5:X11" si="4">F5+G5+N5+O5</f>
        <v>0</v>
      </c>
      <c r="Y5" s="19">
        <f t="shared" ref="Y5:Y11" si="5">SUM(V5:X5)</f>
        <v>0</v>
      </c>
      <c r="Z5" s="43" t="e">
        <f>W5/Y5</f>
        <v>#DIV/0!</v>
      </c>
      <c r="AA5" s="43" t="e">
        <f>X5/Y5</f>
        <v>#DIV/0!</v>
      </c>
      <c r="AB5" s="19">
        <f t="shared" ref="AB5:AB11" si="6">H5+I5+P5+Q5</f>
        <v>0</v>
      </c>
      <c r="AC5" s="19">
        <f t="shared" ref="AC5:AC11" si="7">SUM(B5:I5)</f>
        <v>0</v>
      </c>
      <c r="AD5" s="30">
        <f t="shared" ref="AD5:AD11" si="8">SUM(J5:Q5)</f>
        <v>0</v>
      </c>
      <c r="AE5" s="41">
        <f>SUM(B5:Q5)</f>
        <v>0</v>
      </c>
      <c r="AU5" s="119" t="e">
        <f>(S5/AG5) - 1</f>
        <v>#DIV/0!</v>
      </c>
      <c r="AV5" s="43" t="e">
        <f t="shared" ref="AV5:BG15" si="9">(T5/AH5) - 1</f>
        <v>#DIV/0!</v>
      </c>
      <c r="AW5" s="43" t="e">
        <f t="shared" si="9"/>
        <v>#DIV/0!</v>
      </c>
      <c r="AX5" s="43" t="e">
        <f t="shared" si="9"/>
        <v>#DIV/0!</v>
      </c>
      <c r="AY5" s="43" t="e">
        <f t="shared" si="9"/>
        <v>#DIV/0!</v>
      </c>
      <c r="AZ5" s="43" t="e">
        <f t="shared" si="9"/>
        <v>#DIV/0!</v>
      </c>
      <c r="BA5" s="43" t="e">
        <f t="shared" si="9"/>
        <v>#DIV/0!</v>
      </c>
      <c r="BB5" s="43" t="e">
        <f t="shared" si="9"/>
        <v>#DIV/0!</v>
      </c>
      <c r="BC5" s="43" t="e">
        <f t="shared" si="9"/>
        <v>#DIV/0!</v>
      </c>
      <c r="BD5" s="43" t="e">
        <f t="shared" si="9"/>
        <v>#DIV/0!</v>
      </c>
      <c r="BE5" s="43" t="e">
        <f t="shared" si="9"/>
        <v>#DIV/0!</v>
      </c>
      <c r="BF5" s="43" t="e">
        <f t="shared" si="9"/>
        <v>#DIV/0!</v>
      </c>
      <c r="BG5" s="120" t="e">
        <f t="shared" si="9"/>
        <v>#DIV/0!</v>
      </c>
    </row>
    <row r="6" spans="1:59" ht="16.5" thickBot="1">
      <c r="A6" s="14">
        <v>0.30208333333333331</v>
      </c>
      <c r="B6" s="15"/>
      <c r="C6" s="16"/>
      <c r="D6" s="17"/>
      <c r="E6" s="18"/>
      <c r="F6" s="17"/>
      <c r="G6" s="18"/>
      <c r="H6" s="15"/>
      <c r="I6" s="16"/>
      <c r="J6" s="15"/>
      <c r="K6" s="16"/>
      <c r="L6" s="17"/>
      <c r="M6" s="18"/>
      <c r="N6" s="17"/>
      <c r="O6" s="18"/>
      <c r="P6" s="15"/>
      <c r="Q6" s="16"/>
      <c r="S6" s="29">
        <f t="shared" si="0"/>
        <v>0</v>
      </c>
      <c r="T6" s="19">
        <f t="shared" si="0"/>
        <v>0</v>
      </c>
      <c r="U6" s="25" t="e">
        <f t="shared" si="1"/>
        <v>#DIV/0!</v>
      </c>
      <c r="V6" s="19">
        <f t="shared" si="2"/>
        <v>0</v>
      </c>
      <c r="W6" s="19">
        <f t="shared" si="3"/>
        <v>0</v>
      </c>
      <c r="X6" s="19">
        <f t="shared" si="4"/>
        <v>0</v>
      </c>
      <c r="Y6" s="19">
        <f t="shared" si="5"/>
        <v>0</v>
      </c>
      <c r="Z6" s="43" t="e">
        <f t="shared" ref="Z6:Z14" si="10">W6/Y6</f>
        <v>#DIV/0!</v>
      </c>
      <c r="AA6" s="43" t="e">
        <f t="shared" ref="AA6:AA14" si="11">X6/Y6</f>
        <v>#DIV/0!</v>
      </c>
      <c r="AB6" s="19">
        <f t="shared" si="6"/>
        <v>0</v>
      </c>
      <c r="AC6" s="19">
        <f t="shared" si="7"/>
        <v>0</v>
      </c>
      <c r="AD6" s="30">
        <f t="shared" si="8"/>
        <v>0</v>
      </c>
      <c r="AE6" s="41">
        <f t="shared" ref="AE6:AE14" si="12">SUM(B6:Q6)</f>
        <v>0</v>
      </c>
      <c r="AU6" s="119" t="e">
        <f t="shared" ref="AU6:AU15" si="13">(S6/AG6) - 1</f>
        <v>#DIV/0!</v>
      </c>
      <c r="AV6" s="43" t="e">
        <f t="shared" si="9"/>
        <v>#DIV/0!</v>
      </c>
      <c r="AW6" s="43" t="e">
        <f t="shared" si="9"/>
        <v>#DIV/0!</v>
      </c>
      <c r="AX6" s="43" t="e">
        <f t="shared" si="9"/>
        <v>#DIV/0!</v>
      </c>
      <c r="AY6" s="43" t="e">
        <f t="shared" si="9"/>
        <v>#DIV/0!</v>
      </c>
      <c r="AZ6" s="43" t="e">
        <f t="shared" si="9"/>
        <v>#DIV/0!</v>
      </c>
      <c r="BA6" s="43" t="e">
        <f t="shared" si="9"/>
        <v>#DIV/0!</v>
      </c>
      <c r="BB6" s="43" t="e">
        <f t="shared" si="9"/>
        <v>#DIV/0!</v>
      </c>
      <c r="BC6" s="43" t="e">
        <f t="shared" si="9"/>
        <v>#DIV/0!</v>
      </c>
      <c r="BD6" s="43" t="e">
        <f t="shared" si="9"/>
        <v>#DIV/0!</v>
      </c>
      <c r="BE6" s="43" t="e">
        <f t="shared" si="9"/>
        <v>#DIV/0!</v>
      </c>
      <c r="BF6" s="43" t="e">
        <f t="shared" si="9"/>
        <v>#DIV/0!</v>
      </c>
      <c r="BG6" s="120" t="e">
        <f t="shared" si="9"/>
        <v>#DIV/0!</v>
      </c>
    </row>
    <row r="7" spans="1:59" ht="16.5" thickBot="1">
      <c r="A7" s="14">
        <v>0.3125</v>
      </c>
      <c r="B7" s="15"/>
      <c r="C7" s="16"/>
      <c r="D7" s="17"/>
      <c r="E7" s="18"/>
      <c r="F7" s="17"/>
      <c r="G7" s="18"/>
      <c r="H7" s="15"/>
      <c r="I7" s="16"/>
      <c r="J7" s="15"/>
      <c r="K7" s="16"/>
      <c r="L7" s="17"/>
      <c r="M7" s="18"/>
      <c r="N7" s="17"/>
      <c r="O7" s="18"/>
      <c r="P7" s="15"/>
      <c r="Q7" s="16"/>
      <c r="S7" s="29">
        <f t="shared" si="0"/>
        <v>0</v>
      </c>
      <c r="T7" s="19">
        <f t="shared" si="0"/>
        <v>0</v>
      </c>
      <c r="U7" s="25" t="e">
        <f t="shared" si="1"/>
        <v>#DIV/0!</v>
      </c>
      <c r="V7" s="19">
        <f t="shared" si="2"/>
        <v>0</v>
      </c>
      <c r="W7" s="19">
        <f t="shared" si="3"/>
        <v>0</v>
      </c>
      <c r="X7" s="19">
        <f t="shared" si="4"/>
        <v>0</v>
      </c>
      <c r="Y7" s="19">
        <f t="shared" si="5"/>
        <v>0</v>
      </c>
      <c r="Z7" s="43" t="e">
        <f t="shared" si="10"/>
        <v>#DIV/0!</v>
      </c>
      <c r="AA7" s="43" t="e">
        <f t="shared" si="11"/>
        <v>#DIV/0!</v>
      </c>
      <c r="AB7" s="19">
        <f t="shared" si="6"/>
        <v>0</v>
      </c>
      <c r="AC7" s="19">
        <f t="shared" si="7"/>
        <v>0</v>
      </c>
      <c r="AD7" s="30">
        <f t="shared" si="8"/>
        <v>0</v>
      </c>
      <c r="AE7" s="41">
        <f t="shared" si="12"/>
        <v>0</v>
      </c>
      <c r="AU7" s="119" t="e">
        <f t="shared" si="13"/>
        <v>#DIV/0!</v>
      </c>
      <c r="AV7" s="43" t="e">
        <f t="shared" si="9"/>
        <v>#DIV/0!</v>
      </c>
      <c r="AW7" s="43" t="e">
        <f t="shared" si="9"/>
        <v>#DIV/0!</v>
      </c>
      <c r="AX7" s="43" t="e">
        <f t="shared" si="9"/>
        <v>#DIV/0!</v>
      </c>
      <c r="AY7" s="43" t="e">
        <f t="shared" si="9"/>
        <v>#DIV/0!</v>
      </c>
      <c r="AZ7" s="43" t="e">
        <f t="shared" si="9"/>
        <v>#DIV/0!</v>
      </c>
      <c r="BA7" s="43" t="e">
        <f t="shared" si="9"/>
        <v>#DIV/0!</v>
      </c>
      <c r="BB7" s="43" t="e">
        <f t="shared" si="9"/>
        <v>#DIV/0!</v>
      </c>
      <c r="BC7" s="43" t="e">
        <f t="shared" si="9"/>
        <v>#DIV/0!</v>
      </c>
      <c r="BD7" s="43" t="e">
        <f t="shared" si="9"/>
        <v>#DIV/0!</v>
      </c>
      <c r="BE7" s="43" t="e">
        <f t="shared" si="9"/>
        <v>#DIV/0!</v>
      </c>
      <c r="BF7" s="43" t="e">
        <f t="shared" si="9"/>
        <v>#DIV/0!</v>
      </c>
      <c r="BG7" s="120" t="e">
        <f t="shared" si="9"/>
        <v>#DIV/0!</v>
      </c>
    </row>
    <row r="8" spans="1:59" ht="16.5" thickBot="1">
      <c r="A8" s="14">
        <v>0.32291666666666669</v>
      </c>
      <c r="B8" s="15"/>
      <c r="C8" s="16"/>
      <c r="D8" s="17"/>
      <c r="E8" s="18"/>
      <c r="F8" s="17"/>
      <c r="G8" s="18"/>
      <c r="H8" s="15"/>
      <c r="I8" s="16"/>
      <c r="J8" s="15"/>
      <c r="K8" s="16"/>
      <c r="L8" s="17"/>
      <c r="M8" s="18"/>
      <c r="N8" s="17"/>
      <c r="O8" s="18"/>
      <c r="P8" s="15"/>
      <c r="Q8" s="16"/>
      <c r="S8" s="29">
        <f t="shared" si="0"/>
        <v>0</v>
      </c>
      <c r="T8" s="19">
        <f t="shared" si="0"/>
        <v>0</v>
      </c>
      <c r="U8" s="25" t="e">
        <f t="shared" si="1"/>
        <v>#DIV/0!</v>
      </c>
      <c r="V8" s="19">
        <f t="shared" si="2"/>
        <v>0</v>
      </c>
      <c r="W8" s="19">
        <f t="shared" si="3"/>
        <v>0</v>
      </c>
      <c r="X8" s="19">
        <f t="shared" si="4"/>
        <v>0</v>
      </c>
      <c r="Y8" s="19">
        <f t="shared" si="5"/>
        <v>0</v>
      </c>
      <c r="Z8" s="43" t="e">
        <f t="shared" si="10"/>
        <v>#DIV/0!</v>
      </c>
      <c r="AA8" s="43" t="e">
        <f t="shared" si="11"/>
        <v>#DIV/0!</v>
      </c>
      <c r="AB8" s="19">
        <f t="shared" si="6"/>
        <v>0</v>
      </c>
      <c r="AC8" s="19">
        <f t="shared" si="7"/>
        <v>0</v>
      </c>
      <c r="AD8" s="30">
        <f t="shared" si="8"/>
        <v>0</v>
      </c>
      <c r="AE8" s="41">
        <f t="shared" si="12"/>
        <v>0</v>
      </c>
      <c r="AU8" s="119" t="e">
        <f t="shared" si="13"/>
        <v>#DIV/0!</v>
      </c>
      <c r="AV8" s="43" t="e">
        <f t="shared" si="9"/>
        <v>#DIV/0!</v>
      </c>
      <c r="AW8" s="43" t="e">
        <f t="shared" si="9"/>
        <v>#DIV/0!</v>
      </c>
      <c r="AX8" s="43" t="e">
        <f t="shared" si="9"/>
        <v>#DIV/0!</v>
      </c>
      <c r="AY8" s="43" t="e">
        <f t="shared" si="9"/>
        <v>#DIV/0!</v>
      </c>
      <c r="AZ8" s="43" t="e">
        <f t="shared" si="9"/>
        <v>#DIV/0!</v>
      </c>
      <c r="BA8" s="43" t="e">
        <f t="shared" si="9"/>
        <v>#DIV/0!</v>
      </c>
      <c r="BB8" s="43" t="e">
        <f t="shared" si="9"/>
        <v>#DIV/0!</v>
      </c>
      <c r="BC8" s="43" t="e">
        <f t="shared" si="9"/>
        <v>#DIV/0!</v>
      </c>
      <c r="BD8" s="43" t="e">
        <f t="shared" si="9"/>
        <v>#DIV/0!</v>
      </c>
      <c r="BE8" s="43" t="e">
        <f t="shared" si="9"/>
        <v>#DIV/0!</v>
      </c>
      <c r="BF8" s="43" t="e">
        <f t="shared" si="9"/>
        <v>#DIV/0!</v>
      </c>
      <c r="BG8" s="120" t="e">
        <f t="shared" si="9"/>
        <v>#DIV/0!</v>
      </c>
    </row>
    <row r="9" spans="1:59" ht="16.5" thickBot="1">
      <c r="A9" s="13">
        <v>0.33333333333333331</v>
      </c>
      <c r="B9" s="15"/>
      <c r="C9" s="16"/>
      <c r="D9" s="17"/>
      <c r="E9" s="18"/>
      <c r="F9" s="17"/>
      <c r="G9" s="18"/>
      <c r="H9" s="15"/>
      <c r="I9" s="16"/>
      <c r="J9" s="15"/>
      <c r="K9" s="16"/>
      <c r="L9" s="17"/>
      <c r="M9" s="18"/>
      <c r="N9" s="17"/>
      <c r="O9" s="18"/>
      <c r="P9" s="15"/>
      <c r="Q9" s="16"/>
      <c r="S9" s="29">
        <f t="shared" si="0"/>
        <v>0</v>
      </c>
      <c r="T9" s="19">
        <f t="shared" si="0"/>
        <v>0</v>
      </c>
      <c r="U9" s="25" t="e">
        <f t="shared" si="1"/>
        <v>#DIV/0!</v>
      </c>
      <c r="V9" s="19">
        <f t="shared" si="2"/>
        <v>0</v>
      </c>
      <c r="W9" s="19">
        <f t="shared" si="3"/>
        <v>0</v>
      </c>
      <c r="X9" s="19">
        <f t="shared" si="4"/>
        <v>0</v>
      </c>
      <c r="Y9" s="19">
        <f t="shared" si="5"/>
        <v>0</v>
      </c>
      <c r="Z9" s="43" t="e">
        <f t="shared" si="10"/>
        <v>#DIV/0!</v>
      </c>
      <c r="AA9" s="43" t="e">
        <f t="shared" si="11"/>
        <v>#DIV/0!</v>
      </c>
      <c r="AB9" s="19">
        <f t="shared" si="6"/>
        <v>0</v>
      </c>
      <c r="AC9" s="19">
        <f t="shared" si="7"/>
        <v>0</v>
      </c>
      <c r="AD9" s="30">
        <f t="shared" si="8"/>
        <v>0</v>
      </c>
      <c r="AE9" s="41">
        <f t="shared" si="12"/>
        <v>0</v>
      </c>
      <c r="AU9" s="119" t="e">
        <f t="shared" si="13"/>
        <v>#DIV/0!</v>
      </c>
      <c r="AV9" s="43" t="e">
        <f t="shared" si="9"/>
        <v>#DIV/0!</v>
      </c>
      <c r="AW9" s="43" t="e">
        <f t="shared" si="9"/>
        <v>#DIV/0!</v>
      </c>
      <c r="AX9" s="43" t="e">
        <f t="shared" si="9"/>
        <v>#DIV/0!</v>
      </c>
      <c r="AY9" s="43" t="e">
        <f t="shared" si="9"/>
        <v>#DIV/0!</v>
      </c>
      <c r="AZ9" s="43" t="e">
        <f t="shared" si="9"/>
        <v>#DIV/0!</v>
      </c>
      <c r="BA9" s="43" t="e">
        <f t="shared" si="9"/>
        <v>#DIV/0!</v>
      </c>
      <c r="BB9" s="43" t="e">
        <f t="shared" si="9"/>
        <v>#DIV/0!</v>
      </c>
      <c r="BC9" s="43" t="e">
        <f t="shared" si="9"/>
        <v>#DIV/0!</v>
      </c>
      <c r="BD9" s="43" t="e">
        <f t="shared" si="9"/>
        <v>#DIV/0!</v>
      </c>
      <c r="BE9" s="43" t="e">
        <f t="shared" si="9"/>
        <v>#DIV/0!</v>
      </c>
      <c r="BF9" s="43" t="e">
        <f t="shared" si="9"/>
        <v>#DIV/0!</v>
      </c>
      <c r="BG9" s="120" t="e">
        <f t="shared" si="9"/>
        <v>#DIV/0!</v>
      </c>
    </row>
    <row r="10" spans="1:59" ht="16.5" thickBot="1">
      <c r="A10" s="14">
        <v>0.34375</v>
      </c>
      <c r="B10" s="15"/>
      <c r="C10" s="16"/>
      <c r="D10" s="17"/>
      <c r="E10" s="18"/>
      <c r="F10" s="17"/>
      <c r="G10" s="18"/>
      <c r="H10" s="10"/>
      <c r="I10" s="16"/>
      <c r="J10" s="15"/>
      <c r="K10" s="16"/>
      <c r="L10" s="17"/>
      <c r="M10" s="18"/>
      <c r="N10" s="17"/>
      <c r="O10" s="18"/>
      <c r="P10" s="15"/>
      <c r="Q10" s="16"/>
      <c r="S10" s="29">
        <f t="shared" si="0"/>
        <v>0</v>
      </c>
      <c r="T10" s="19">
        <f t="shared" si="0"/>
        <v>0</v>
      </c>
      <c r="U10" s="25" t="e">
        <f t="shared" si="1"/>
        <v>#DIV/0!</v>
      </c>
      <c r="V10" s="19">
        <f t="shared" si="2"/>
        <v>0</v>
      </c>
      <c r="W10" s="19">
        <f t="shared" si="3"/>
        <v>0</v>
      </c>
      <c r="X10" s="19">
        <f t="shared" si="4"/>
        <v>0</v>
      </c>
      <c r="Y10" s="19">
        <f t="shared" si="5"/>
        <v>0</v>
      </c>
      <c r="Z10" s="43" t="e">
        <f t="shared" si="10"/>
        <v>#DIV/0!</v>
      </c>
      <c r="AA10" s="43" t="e">
        <f t="shared" si="11"/>
        <v>#DIV/0!</v>
      </c>
      <c r="AB10" s="19">
        <f t="shared" si="6"/>
        <v>0</v>
      </c>
      <c r="AC10" s="19">
        <f t="shared" si="7"/>
        <v>0</v>
      </c>
      <c r="AD10" s="30">
        <f t="shared" si="8"/>
        <v>0</v>
      </c>
      <c r="AE10" s="41">
        <f t="shared" si="12"/>
        <v>0</v>
      </c>
      <c r="AU10" s="119" t="e">
        <f t="shared" si="13"/>
        <v>#DIV/0!</v>
      </c>
      <c r="AV10" s="43" t="e">
        <f t="shared" si="9"/>
        <v>#DIV/0!</v>
      </c>
      <c r="AW10" s="43" t="e">
        <f t="shared" si="9"/>
        <v>#DIV/0!</v>
      </c>
      <c r="AX10" s="43" t="e">
        <f t="shared" si="9"/>
        <v>#DIV/0!</v>
      </c>
      <c r="AY10" s="43" t="e">
        <f t="shared" si="9"/>
        <v>#DIV/0!</v>
      </c>
      <c r="AZ10" s="43" t="e">
        <f t="shared" si="9"/>
        <v>#DIV/0!</v>
      </c>
      <c r="BA10" s="43" t="e">
        <f t="shared" si="9"/>
        <v>#DIV/0!</v>
      </c>
      <c r="BB10" s="43" t="e">
        <f t="shared" si="9"/>
        <v>#DIV/0!</v>
      </c>
      <c r="BC10" s="43" t="e">
        <f t="shared" si="9"/>
        <v>#DIV/0!</v>
      </c>
      <c r="BD10" s="43" t="e">
        <f t="shared" si="9"/>
        <v>#DIV/0!</v>
      </c>
      <c r="BE10" s="43" t="e">
        <f t="shared" si="9"/>
        <v>#DIV/0!</v>
      </c>
      <c r="BF10" s="43" t="e">
        <f t="shared" si="9"/>
        <v>#DIV/0!</v>
      </c>
      <c r="BG10" s="120" t="e">
        <f t="shared" si="9"/>
        <v>#DIV/0!</v>
      </c>
    </row>
    <row r="11" spans="1:59" ht="16.5" thickBot="1">
      <c r="A11" s="14">
        <v>0.35416666666666669</v>
      </c>
      <c r="B11" s="15"/>
      <c r="C11" s="16"/>
      <c r="D11" s="17"/>
      <c r="E11" s="18"/>
      <c r="F11" s="17"/>
      <c r="G11" s="18"/>
      <c r="H11" s="15"/>
      <c r="I11" s="16"/>
      <c r="J11" s="15"/>
      <c r="K11" s="16"/>
      <c r="L11" s="17"/>
      <c r="M11" s="18"/>
      <c r="N11" s="17"/>
      <c r="O11" s="18"/>
      <c r="P11" s="15"/>
      <c r="Q11" s="16"/>
      <c r="S11" s="29">
        <f t="shared" si="0"/>
        <v>0</v>
      </c>
      <c r="T11" s="19">
        <f t="shared" si="0"/>
        <v>0</v>
      </c>
      <c r="U11" s="25" t="e">
        <f t="shared" si="1"/>
        <v>#DIV/0!</v>
      </c>
      <c r="V11" s="19">
        <f t="shared" si="2"/>
        <v>0</v>
      </c>
      <c r="W11" s="19">
        <f t="shared" si="3"/>
        <v>0</v>
      </c>
      <c r="X11" s="19">
        <f t="shared" si="4"/>
        <v>0</v>
      </c>
      <c r="Y11" s="19">
        <f t="shared" si="5"/>
        <v>0</v>
      </c>
      <c r="Z11" s="43" t="e">
        <f t="shared" si="10"/>
        <v>#DIV/0!</v>
      </c>
      <c r="AA11" s="43" t="e">
        <f t="shared" si="11"/>
        <v>#DIV/0!</v>
      </c>
      <c r="AB11" s="19">
        <f t="shared" si="6"/>
        <v>0</v>
      </c>
      <c r="AC11" s="19">
        <f t="shared" si="7"/>
        <v>0</v>
      </c>
      <c r="AD11" s="30">
        <f t="shared" si="8"/>
        <v>0</v>
      </c>
      <c r="AE11" s="41">
        <f t="shared" si="12"/>
        <v>0</v>
      </c>
      <c r="AU11" s="119" t="e">
        <f t="shared" si="13"/>
        <v>#DIV/0!</v>
      </c>
      <c r="AV11" s="43" t="e">
        <f t="shared" si="9"/>
        <v>#DIV/0!</v>
      </c>
      <c r="AW11" s="43" t="e">
        <f t="shared" si="9"/>
        <v>#DIV/0!</v>
      </c>
      <c r="AX11" s="43" t="e">
        <f t="shared" si="9"/>
        <v>#DIV/0!</v>
      </c>
      <c r="AY11" s="43" t="e">
        <f t="shared" si="9"/>
        <v>#DIV/0!</v>
      </c>
      <c r="AZ11" s="43" t="e">
        <f t="shared" si="9"/>
        <v>#DIV/0!</v>
      </c>
      <c r="BA11" s="43" t="e">
        <f t="shared" si="9"/>
        <v>#DIV/0!</v>
      </c>
      <c r="BB11" s="43" t="e">
        <f t="shared" si="9"/>
        <v>#DIV/0!</v>
      </c>
      <c r="BC11" s="43" t="e">
        <f t="shared" si="9"/>
        <v>#DIV/0!</v>
      </c>
      <c r="BD11" s="43" t="e">
        <f t="shared" si="9"/>
        <v>#DIV/0!</v>
      </c>
      <c r="BE11" s="43" t="e">
        <f t="shared" si="9"/>
        <v>#DIV/0!</v>
      </c>
      <c r="BF11" s="43" t="e">
        <f t="shared" si="9"/>
        <v>#DIV/0!</v>
      </c>
      <c r="BG11" s="120" t="e">
        <f t="shared" si="9"/>
        <v>#DIV/0!</v>
      </c>
    </row>
    <row r="12" spans="1:59" ht="16.5" thickBot="1">
      <c r="A12" s="14">
        <v>0.36458333333333331</v>
      </c>
      <c r="B12" s="20"/>
      <c r="C12" s="21"/>
      <c r="D12" s="22"/>
      <c r="E12" s="23"/>
      <c r="F12" s="22"/>
      <c r="G12" s="23"/>
      <c r="H12" s="20"/>
      <c r="I12" s="21"/>
      <c r="J12" s="20"/>
      <c r="K12" s="21"/>
      <c r="L12" s="22"/>
      <c r="M12" s="23"/>
      <c r="N12" s="22"/>
      <c r="O12" s="23"/>
      <c r="P12" s="20"/>
      <c r="Q12" s="21"/>
      <c r="S12" s="44">
        <f t="shared" ref="S12:T15" si="14">B12+D12+F12+H12+J12+L12+N12+P12</f>
        <v>0</v>
      </c>
      <c r="T12" s="45">
        <f t="shared" si="14"/>
        <v>0</v>
      </c>
      <c r="U12" s="46" t="e">
        <f>T12/(T12+S12)</f>
        <v>#DIV/0!</v>
      </c>
      <c r="V12" s="45">
        <f>B12+C12+J12+K12</f>
        <v>0</v>
      </c>
      <c r="W12" s="45">
        <f>D12+E12+L12+M12</f>
        <v>0</v>
      </c>
      <c r="X12" s="45">
        <f>F12+G12+N12+O12</f>
        <v>0</v>
      </c>
      <c r="Y12" s="45">
        <f>SUM(V12:X12)</f>
        <v>0</v>
      </c>
      <c r="Z12" s="47" t="e">
        <f t="shared" si="10"/>
        <v>#DIV/0!</v>
      </c>
      <c r="AA12" s="47" t="e">
        <f t="shared" si="11"/>
        <v>#DIV/0!</v>
      </c>
      <c r="AB12" s="45">
        <f>H12+I12+P12+Q12</f>
        <v>0</v>
      </c>
      <c r="AC12" s="45">
        <f>SUM(B12:I12)</f>
        <v>0</v>
      </c>
      <c r="AD12" s="48">
        <f>SUM(J12:Q12)</f>
        <v>0</v>
      </c>
      <c r="AE12" s="49">
        <f t="shared" si="12"/>
        <v>0</v>
      </c>
      <c r="AU12" s="119" t="e">
        <f t="shared" si="13"/>
        <v>#DIV/0!</v>
      </c>
      <c r="AV12" s="43" t="e">
        <f t="shared" si="9"/>
        <v>#DIV/0!</v>
      </c>
      <c r="AW12" s="43" t="e">
        <f t="shared" si="9"/>
        <v>#DIV/0!</v>
      </c>
      <c r="AX12" s="43" t="e">
        <f t="shared" si="9"/>
        <v>#DIV/0!</v>
      </c>
      <c r="AY12" s="43" t="e">
        <f t="shared" si="9"/>
        <v>#DIV/0!</v>
      </c>
      <c r="AZ12" s="43" t="e">
        <f t="shared" si="9"/>
        <v>#DIV/0!</v>
      </c>
      <c r="BA12" s="43" t="e">
        <f t="shared" si="9"/>
        <v>#DIV/0!</v>
      </c>
      <c r="BB12" s="43" t="e">
        <f t="shared" si="9"/>
        <v>#DIV/0!</v>
      </c>
      <c r="BC12" s="43" t="e">
        <f t="shared" si="9"/>
        <v>#DIV/0!</v>
      </c>
      <c r="BD12" s="43" t="e">
        <f t="shared" si="9"/>
        <v>#DIV/0!</v>
      </c>
      <c r="BE12" s="43" t="e">
        <f t="shared" si="9"/>
        <v>#DIV/0!</v>
      </c>
      <c r="BF12" s="43" t="e">
        <f t="shared" si="9"/>
        <v>#DIV/0!</v>
      </c>
      <c r="BG12" s="120" t="e">
        <f t="shared" si="9"/>
        <v>#DIV/0!</v>
      </c>
    </row>
    <row r="13" spans="1:59" s="97" customFormat="1" ht="16.5" thickBot="1">
      <c r="A13" s="121"/>
      <c r="B13" s="94"/>
      <c r="C13" s="95"/>
      <c r="D13" s="96"/>
      <c r="E13" s="96"/>
      <c r="F13" s="96"/>
      <c r="G13" s="96"/>
      <c r="H13" s="94"/>
      <c r="I13" s="95"/>
      <c r="J13" s="94"/>
      <c r="K13" s="95"/>
      <c r="L13" s="96"/>
      <c r="M13" s="96"/>
      <c r="N13" s="96"/>
      <c r="O13" s="96"/>
      <c r="P13" s="94"/>
      <c r="Q13" s="95"/>
      <c r="S13" s="132"/>
      <c r="T13" s="133"/>
      <c r="U13" s="134"/>
      <c r="V13" s="133"/>
      <c r="W13" s="133"/>
      <c r="X13" s="133"/>
      <c r="Y13" s="133"/>
      <c r="Z13" s="135"/>
      <c r="AA13" s="135"/>
      <c r="AB13" s="133"/>
      <c r="AC13" s="133"/>
      <c r="AD13" s="136"/>
      <c r="AE13" s="64"/>
      <c r="AU13" s="119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120"/>
    </row>
    <row r="14" spans="1:59" ht="15.75" thickBot="1">
      <c r="A14" s="24" t="s">
        <v>13</v>
      </c>
      <c r="B14" s="35">
        <f>SUM(B5:B12)</f>
        <v>0</v>
      </c>
      <c r="C14" s="35">
        <f t="shared" ref="C14:Q14" si="15">SUM(C5:C12)</f>
        <v>0</v>
      </c>
      <c r="D14" s="35">
        <f t="shared" si="15"/>
        <v>0</v>
      </c>
      <c r="E14" s="35">
        <f t="shared" si="15"/>
        <v>0</v>
      </c>
      <c r="F14" s="35">
        <f t="shared" si="15"/>
        <v>0</v>
      </c>
      <c r="G14" s="35">
        <f t="shared" si="15"/>
        <v>0</v>
      </c>
      <c r="H14" s="35">
        <f t="shared" si="15"/>
        <v>0</v>
      </c>
      <c r="I14" s="35">
        <f t="shared" si="15"/>
        <v>0</v>
      </c>
      <c r="J14" s="35">
        <f t="shared" si="15"/>
        <v>0</v>
      </c>
      <c r="K14" s="35">
        <f t="shared" si="15"/>
        <v>0</v>
      </c>
      <c r="L14" s="35">
        <f t="shared" si="15"/>
        <v>0</v>
      </c>
      <c r="M14" s="35">
        <f t="shared" si="15"/>
        <v>0</v>
      </c>
      <c r="N14" s="35">
        <f t="shared" si="15"/>
        <v>0</v>
      </c>
      <c r="O14" s="35">
        <f t="shared" si="15"/>
        <v>0</v>
      </c>
      <c r="P14" s="35">
        <f t="shared" si="15"/>
        <v>0</v>
      </c>
      <c r="Q14" s="35">
        <f t="shared" si="15"/>
        <v>0</v>
      </c>
      <c r="S14" s="50">
        <f t="shared" si="14"/>
        <v>0</v>
      </c>
      <c r="T14" s="35">
        <f t="shared" si="14"/>
        <v>0</v>
      </c>
      <c r="U14" s="51" t="e">
        <f>T14/(T14+S14)</f>
        <v>#DIV/0!</v>
      </c>
      <c r="V14" s="35">
        <f>B14+C14+J14+K14</f>
        <v>0</v>
      </c>
      <c r="W14" s="35">
        <f>D14+E14+L14+M14</f>
        <v>0</v>
      </c>
      <c r="X14" s="35">
        <f>F14+G14+N14+O14</f>
        <v>0</v>
      </c>
      <c r="Y14" s="35">
        <f>SUM(V14:X14)</f>
        <v>0</v>
      </c>
      <c r="Z14" s="52" t="e">
        <f t="shared" si="10"/>
        <v>#DIV/0!</v>
      </c>
      <c r="AA14" s="52" t="e">
        <f t="shared" si="11"/>
        <v>#DIV/0!</v>
      </c>
      <c r="AB14" s="35">
        <f>H14+I14+P14+Q14</f>
        <v>0</v>
      </c>
      <c r="AC14" s="35">
        <f>SUM(B14:I14)</f>
        <v>0</v>
      </c>
      <c r="AD14" s="36">
        <f>SUM(J14:Q14)</f>
        <v>0</v>
      </c>
      <c r="AE14" s="53">
        <f t="shared" si="12"/>
        <v>0</v>
      </c>
      <c r="AU14" s="119" t="e">
        <f t="shared" si="13"/>
        <v>#DIV/0!</v>
      </c>
      <c r="AV14" s="43" t="e">
        <f t="shared" si="9"/>
        <v>#DIV/0!</v>
      </c>
      <c r="AW14" s="43" t="e">
        <f t="shared" si="9"/>
        <v>#DIV/0!</v>
      </c>
      <c r="AX14" s="43" t="e">
        <f t="shared" si="9"/>
        <v>#DIV/0!</v>
      </c>
      <c r="AY14" s="43" t="e">
        <f t="shared" si="9"/>
        <v>#DIV/0!</v>
      </c>
      <c r="AZ14" s="43" t="e">
        <f t="shared" si="9"/>
        <v>#DIV/0!</v>
      </c>
      <c r="BA14" s="43" t="e">
        <f t="shared" si="9"/>
        <v>#DIV/0!</v>
      </c>
      <c r="BB14" s="43" t="e">
        <f t="shared" si="9"/>
        <v>#DIV/0!</v>
      </c>
      <c r="BC14" s="43" t="e">
        <f t="shared" si="9"/>
        <v>#DIV/0!</v>
      </c>
      <c r="BD14" s="43" t="e">
        <f t="shared" si="9"/>
        <v>#DIV/0!</v>
      </c>
      <c r="BE14" s="43" t="e">
        <f t="shared" si="9"/>
        <v>#DIV/0!</v>
      </c>
      <c r="BF14" s="43" t="e">
        <f t="shared" si="9"/>
        <v>#DIV/0!</v>
      </c>
      <c r="BG14" s="120" t="e">
        <f t="shared" si="9"/>
        <v>#DIV/0!</v>
      </c>
    </row>
    <row r="15" spans="1:59" ht="15.75" thickBot="1">
      <c r="A15" s="24" t="s">
        <v>31</v>
      </c>
      <c r="B15" s="24">
        <f>SUM(B7:B10)</f>
        <v>0</v>
      </c>
      <c r="C15" s="24">
        <f t="shared" ref="C15:Q15" si="16">SUM(C7:C10)</f>
        <v>0</v>
      </c>
      <c r="D15" s="24">
        <f t="shared" si="16"/>
        <v>0</v>
      </c>
      <c r="E15" s="24">
        <f t="shared" si="16"/>
        <v>0</v>
      </c>
      <c r="F15" s="24">
        <f t="shared" si="16"/>
        <v>0</v>
      </c>
      <c r="G15" s="24">
        <f t="shared" si="16"/>
        <v>0</v>
      </c>
      <c r="H15" s="24">
        <f t="shared" si="16"/>
        <v>0</v>
      </c>
      <c r="I15" s="24">
        <f t="shared" si="16"/>
        <v>0</v>
      </c>
      <c r="J15" s="24">
        <f t="shared" si="16"/>
        <v>0</v>
      </c>
      <c r="K15" s="24">
        <f t="shared" si="16"/>
        <v>0</v>
      </c>
      <c r="L15" s="24">
        <f t="shared" si="16"/>
        <v>0</v>
      </c>
      <c r="M15" s="24">
        <f t="shared" si="16"/>
        <v>0</v>
      </c>
      <c r="N15" s="24">
        <f t="shared" si="16"/>
        <v>0</v>
      </c>
      <c r="O15" s="24">
        <f t="shared" si="16"/>
        <v>0</v>
      </c>
      <c r="P15" s="24">
        <f t="shared" si="16"/>
        <v>0</v>
      </c>
      <c r="Q15" s="24">
        <f t="shared" si="16"/>
        <v>0</v>
      </c>
      <c r="S15" s="50">
        <f t="shared" si="14"/>
        <v>0</v>
      </c>
      <c r="T15" s="35">
        <f t="shared" si="14"/>
        <v>0</v>
      </c>
      <c r="U15" s="51" t="e">
        <f>T15/(T15+S15)</f>
        <v>#DIV/0!</v>
      </c>
      <c r="V15" s="35">
        <f>B15+C15+J15+K15</f>
        <v>0</v>
      </c>
      <c r="W15" s="35">
        <f>D15+E15+L15+M15</f>
        <v>0</v>
      </c>
      <c r="X15" s="35">
        <f>F15+G15+N15+O15</f>
        <v>0</v>
      </c>
      <c r="Y15" s="35">
        <f>SUM(V15:X15)</f>
        <v>0</v>
      </c>
      <c r="Z15" s="52" t="e">
        <f t="shared" ref="Z15" si="17">W15/Y15</f>
        <v>#DIV/0!</v>
      </c>
      <c r="AA15" s="52" t="e">
        <f t="shared" ref="AA15" si="18">X15/Y15</f>
        <v>#DIV/0!</v>
      </c>
      <c r="AB15" s="35">
        <f>H15+I15+P15+Q15</f>
        <v>0</v>
      </c>
      <c r="AC15" s="35">
        <f>SUM(B15:I15)</f>
        <v>0</v>
      </c>
      <c r="AD15" s="36">
        <f>SUM(J15:Q15)</f>
        <v>0</v>
      </c>
      <c r="AE15" s="53">
        <f t="shared" ref="AE15" si="19">SUM(B15:Q15)</f>
        <v>0</v>
      </c>
      <c r="AU15" s="56" t="e">
        <f t="shared" si="13"/>
        <v>#DIV/0!</v>
      </c>
      <c r="AV15" s="57" t="e">
        <f t="shared" si="9"/>
        <v>#DIV/0!</v>
      </c>
      <c r="AW15" s="57" t="e">
        <f t="shared" si="9"/>
        <v>#DIV/0!</v>
      </c>
      <c r="AX15" s="57" t="e">
        <f t="shared" si="9"/>
        <v>#DIV/0!</v>
      </c>
      <c r="AY15" s="57" t="e">
        <f t="shared" si="9"/>
        <v>#DIV/0!</v>
      </c>
      <c r="AZ15" s="57" t="e">
        <f t="shared" si="9"/>
        <v>#DIV/0!</v>
      </c>
      <c r="BA15" s="57" t="e">
        <f t="shared" si="9"/>
        <v>#DIV/0!</v>
      </c>
      <c r="BB15" s="57" t="e">
        <f t="shared" si="9"/>
        <v>#DIV/0!</v>
      </c>
      <c r="BC15" s="57" t="e">
        <f t="shared" si="9"/>
        <v>#DIV/0!</v>
      </c>
      <c r="BD15" s="57" t="e">
        <f t="shared" si="9"/>
        <v>#DIV/0!</v>
      </c>
      <c r="BE15" s="57" t="e">
        <f t="shared" si="9"/>
        <v>#DIV/0!</v>
      </c>
      <c r="BF15" s="57" t="e">
        <f t="shared" si="9"/>
        <v>#DIV/0!</v>
      </c>
      <c r="BG15" s="58" t="e">
        <f t="shared" si="9"/>
        <v>#DIV/0!</v>
      </c>
    </row>
    <row r="17" spans="1:17">
      <c r="A17" t="s">
        <v>29</v>
      </c>
      <c r="B17">
        <f>SUM(B5:B8)</f>
        <v>0</v>
      </c>
      <c r="C17">
        <f t="shared" ref="C17:Q17" si="20">SUM(C5:C8)</f>
        <v>0</v>
      </c>
      <c r="D17">
        <f t="shared" si="20"/>
        <v>0</v>
      </c>
      <c r="E17">
        <f t="shared" si="20"/>
        <v>0</v>
      </c>
      <c r="F17">
        <f t="shared" si="20"/>
        <v>0</v>
      </c>
      <c r="G17">
        <f t="shared" si="20"/>
        <v>0</v>
      </c>
      <c r="H17">
        <f t="shared" si="20"/>
        <v>0</v>
      </c>
      <c r="I17">
        <f t="shared" si="20"/>
        <v>0</v>
      </c>
      <c r="J17">
        <f t="shared" si="20"/>
        <v>0</v>
      </c>
      <c r="K17">
        <f t="shared" si="20"/>
        <v>0</v>
      </c>
      <c r="L17">
        <f t="shared" si="20"/>
        <v>0</v>
      </c>
      <c r="M17">
        <f t="shared" si="20"/>
        <v>0</v>
      </c>
      <c r="N17">
        <f t="shared" si="20"/>
        <v>0</v>
      </c>
      <c r="O17">
        <f t="shared" si="20"/>
        <v>0</v>
      </c>
      <c r="P17">
        <f t="shared" si="20"/>
        <v>0</v>
      </c>
      <c r="Q17">
        <f t="shared" si="20"/>
        <v>0</v>
      </c>
    </row>
    <row r="18" spans="1:17">
      <c r="A18" t="s">
        <v>30</v>
      </c>
      <c r="B18">
        <f>SUM(B9:B12)</f>
        <v>0</v>
      </c>
      <c r="C18">
        <f t="shared" ref="C18:Q18" si="21">SUM(C9:C12)</f>
        <v>0</v>
      </c>
      <c r="D18">
        <f t="shared" si="21"/>
        <v>0</v>
      </c>
      <c r="E18">
        <f t="shared" si="21"/>
        <v>0</v>
      </c>
      <c r="F18">
        <f t="shared" si="21"/>
        <v>0</v>
      </c>
      <c r="G18">
        <f t="shared" si="21"/>
        <v>0</v>
      </c>
      <c r="H18">
        <f t="shared" si="21"/>
        <v>0</v>
      </c>
      <c r="I18">
        <f t="shared" si="21"/>
        <v>0</v>
      </c>
      <c r="J18">
        <f t="shared" si="21"/>
        <v>0</v>
      </c>
      <c r="K18">
        <f t="shared" si="21"/>
        <v>0</v>
      </c>
      <c r="L18">
        <f t="shared" si="21"/>
        <v>0</v>
      </c>
      <c r="M18">
        <f t="shared" si="21"/>
        <v>0</v>
      </c>
      <c r="N18">
        <f t="shared" si="21"/>
        <v>0</v>
      </c>
      <c r="O18">
        <f t="shared" si="21"/>
        <v>0</v>
      </c>
      <c r="P18">
        <f t="shared" si="21"/>
        <v>0</v>
      </c>
      <c r="Q18">
        <f t="shared" si="21"/>
        <v>0</v>
      </c>
    </row>
  </sheetData>
  <mergeCells count="13">
    <mergeCell ref="AG2:AR2"/>
    <mergeCell ref="AU2:BF2"/>
    <mergeCell ref="P3:Q3"/>
    <mergeCell ref="B2:I2"/>
    <mergeCell ref="J2:Q2"/>
    <mergeCell ref="S2:AD2"/>
    <mergeCell ref="B3:C3"/>
    <mergeCell ref="D3:E3"/>
    <mergeCell ref="F3:G3"/>
    <mergeCell ref="H3:I3"/>
    <mergeCell ref="J3:K3"/>
    <mergeCell ref="L3:M3"/>
    <mergeCell ref="N3:O3"/>
  </mergeCells>
  <conditionalFormatting sqref="AU5:BG15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G17"/>
  <sheetViews>
    <sheetView topLeftCell="AA1" workbookViewId="0">
      <selection activeCell="BA24" sqref="A1:XFD1048576"/>
    </sheetView>
  </sheetViews>
  <sheetFormatPr baseColWidth="10" defaultColWidth="9.140625" defaultRowHeight="15"/>
  <cols>
    <col min="1" max="1" width="10.28515625" customWidth="1"/>
    <col min="2" max="17" width="5" customWidth="1"/>
    <col min="47" max="59" width="8.85546875" style="97"/>
  </cols>
  <sheetData>
    <row r="1" spans="1:59" ht="30.6" customHeight="1" thickBot="1">
      <c r="B1" s="11" t="s">
        <v>11</v>
      </c>
      <c r="C1" s="12"/>
    </row>
    <row r="2" spans="1:59" s="10" customFormat="1" ht="21.75" thickBot="1">
      <c r="A2" s="9"/>
      <c r="B2" s="141" t="s">
        <v>5</v>
      </c>
      <c r="C2" s="143"/>
      <c r="D2" s="143"/>
      <c r="E2" s="143"/>
      <c r="F2" s="143"/>
      <c r="G2" s="143"/>
      <c r="H2" s="143"/>
      <c r="I2" s="144"/>
      <c r="J2" s="141" t="s">
        <v>6</v>
      </c>
      <c r="K2" s="143"/>
      <c r="L2" s="143"/>
      <c r="M2" s="143"/>
      <c r="N2" s="143"/>
      <c r="O2" s="143"/>
      <c r="P2" s="143"/>
      <c r="Q2" s="144"/>
      <c r="R2" s="97"/>
      <c r="S2" s="138" t="str">
        <f xml:space="preserve"> "Totaux 2021 " &amp; $C1</f>
        <v xml:space="preserve">Totaux 2021 </v>
      </c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G2" s="138" t="str">
        <f xml:space="preserve"> "Totaux 2020 " &amp; $C1</f>
        <v xml:space="preserve">Totaux 2020 </v>
      </c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U2" s="139" t="str">
        <f xml:space="preserve"> "Changement depuis 2020 " &amp; $C1</f>
        <v xml:space="preserve">Changement depuis 2020 </v>
      </c>
      <c r="AV2" s="140"/>
      <c r="AW2" s="140"/>
      <c r="AX2" s="140"/>
      <c r="AY2" s="140"/>
      <c r="AZ2" s="140"/>
      <c r="BA2" s="140"/>
      <c r="BB2" s="140"/>
      <c r="BC2" s="140"/>
      <c r="BD2" s="140"/>
      <c r="BE2" s="140"/>
      <c r="BF2" s="140"/>
      <c r="BG2" s="115"/>
    </row>
    <row r="3" spans="1:59" s="10" customFormat="1" ht="68.45" customHeight="1">
      <c r="A3" s="9"/>
      <c r="B3" s="141" t="s">
        <v>9</v>
      </c>
      <c r="C3" s="144"/>
      <c r="D3" s="145" t="s">
        <v>7</v>
      </c>
      <c r="E3" s="142"/>
      <c r="F3" s="145" t="s">
        <v>8</v>
      </c>
      <c r="G3" s="142"/>
      <c r="H3" s="141" t="s">
        <v>0</v>
      </c>
      <c r="I3" s="142"/>
      <c r="J3" s="141" t="s">
        <v>4</v>
      </c>
      <c r="K3" s="144"/>
      <c r="L3" s="145" t="s">
        <v>7</v>
      </c>
      <c r="M3" s="142"/>
      <c r="N3" s="145" t="s">
        <v>10</v>
      </c>
      <c r="O3" s="142"/>
      <c r="P3" s="141" t="s">
        <v>0</v>
      </c>
      <c r="Q3" s="142"/>
      <c r="R3"/>
      <c r="S3" s="26" t="s">
        <v>20</v>
      </c>
      <c r="T3" s="27" t="s">
        <v>14</v>
      </c>
      <c r="U3" s="27" t="s">
        <v>15</v>
      </c>
      <c r="V3" s="27" t="s">
        <v>16</v>
      </c>
      <c r="W3" s="27" t="s">
        <v>7</v>
      </c>
      <c r="X3" s="27" t="s">
        <v>17</v>
      </c>
      <c r="Y3" s="27" t="s">
        <v>25</v>
      </c>
      <c r="Z3" s="27" t="s">
        <v>27</v>
      </c>
      <c r="AA3" s="27" t="s">
        <v>28</v>
      </c>
      <c r="AB3" s="27" t="s">
        <v>19</v>
      </c>
      <c r="AC3" s="27" t="s">
        <v>21</v>
      </c>
      <c r="AD3" s="28" t="s">
        <v>22</v>
      </c>
      <c r="AE3" s="40" t="s">
        <v>26</v>
      </c>
      <c r="AU3" s="117" t="s">
        <v>20</v>
      </c>
      <c r="AV3" s="116" t="s">
        <v>14</v>
      </c>
      <c r="AW3" s="116" t="s">
        <v>15</v>
      </c>
      <c r="AX3" s="116" t="s">
        <v>16</v>
      </c>
      <c r="AY3" s="116" t="s">
        <v>7</v>
      </c>
      <c r="AZ3" s="116" t="s">
        <v>17</v>
      </c>
      <c r="BA3" s="116" t="s">
        <v>25</v>
      </c>
      <c r="BB3" s="116" t="s">
        <v>27</v>
      </c>
      <c r="BC3" s="116" t="s">
        <v>28</v>
      </c>
      <c r="BD3" s="116" t="s">
        <v>19</v>
      </c>
      <c r="BE3" s="116" t="s">
        <v>21</v>
      </c>
      <c r="BF3" s="116" t="s">
        <v>22</v>
      </c>
      <c r="BG3" s="118" t="s">
        <v>26</v>
      </c>
    </row>
    <row r="4" spans="1:59" ht="21" thickBot="1">
      <c r="A4" s="1" t="s">
        <v>3</v>
      </c>
      <c r="B4" s="2" t="s">
        <v>1</v>
      </c>
      <c r="C4" s="4" t="s">
        <v>2</v>
      </c>
      <c r="D4" s="2" t="s">
        <v>1</v>
      </c>
      <c r="E4" s="4" t="s">
        <v>2</v>
      </c>
      <c r="F4" s="2" t="s">
        <v>1</v>
      </c>
      <c r="G4" s="4" t="s">
        <v>2</v>
      </c>
      <c r="H4" s="2" t="s">
        <v>1</v>
      </c>
      <c r="I4" s="3" t="s">
        <v>2</v>
      </c>
      <c r="J4" s="2" t="s">
        <v>1</v>
      </c>
      <c r="K4" s="4" t="s">
        <v>2</v>
      </c>
      <c r="L4" s="2" t="s">
        <v>1</v>
      </c>
      <c r="M4" s="4" t="s">
        <v>2</v>
      </c>
      <c r="N4" s="2" t="s">
        <v>1</v>
      </c>
      <c r="O4" s="4" t="s">
        <v>2</v>
      </c>
      <c r="P4" s="2" t="s">
        <v>1</v>
      </c>
      <c r="Q4" s="3" t="s">
        <v>2</v>
      </c>
      <c r="S4" s="29"/>
      <c r="T4" s="19"/>
      <c r="U4" s="25"/>
      <c r="V4" s="19"/>
      <c r="W4" s="19"/>
      <c r="X4" s="19"/>
      <c r="Y4" s="19"/>
      <c r="Z4" s="19"/>
      <c r="AA4" s="19"/>
      <c r="AB4" s="19"/>
      <c r="AC4" s="19"/>
      <c r="AD4" s="30"/>
      <c r="AE4" s="41"/>
      <c r="AU4" s="2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30"/>
    </row>
    <row r="5" spans="1:59" ht="21" customHeight="1" thickBot="1">
      <c r="A5" s="13">
        <v>0.29166666666666669</v>
      </c>
      <c r="B5" s="15"/>
      <c r="C5" s="16"/>
      <c r="D5" s="17"/>
      <c r="E5" s="18"/>
      <c r="F5" s="17"/>
      <c r="G5" s="18"/>
      <c r="H5" s="15"/>
      <c r="I5" s="16"/>
      <c r="J5" s="15"/>
      <c r="K5" s="16"/>
      <c r="L5" s="17"/>
      <c r="M5" s="18"/>
      <c r="N5" s="17"/>
      <c r="O5" s="18"/>
      <c r="P5" s="15"/>
      <c r="Q5" s="16"/>
      <c r="S5" s="29">
        <f t="shared" ref="S5:T11" si="0">B5+D5+F5+H5+J5+L5+N5+P5</f>
        <v>0</v>
      </c>
      <c r="T5" s="19">
        <f t="shared" si="0"/>
        <v>0</v>
      </c>
      <c r="U5" s="25" t="e">
        <f t="shared" ref="U5:U11" si="1">T5/(T5+S5)</f>
        <v>#DIV/0!</v>
      </c>
      <c r="V5" s="19">
        <f t="shared" ref="V5:V11" si="2">B5+C5+J5+K5</f>
        <v>0</v>
      </c>
      <c r="W5" s="19">
        <f t="shared" ref="W5:W11" si="3">D5+E5+L5+M5</f>
        <v>0</v>
      </c>
      <c r="X5" s="19">
        <f t="shared" ref="X5:X11" si="4">F5+G5+N5+O5</f>
        <v>0</v>
      </c>
      <c r="Y5" s="19">
        <f t="shared" ref="Y5:Y11" si="5">SUM(V5:X5)</f>
        <v>0</v>
      </c>
      <c r="Z5" s="43" t="e">
        <f>W5/Y5</f>
        <v>#DIV/0!</v>
      </c>
      <c r="AA5" s="43" t="e">
        <f>X5/Y5</f>
        <v>#DIV/0!</v>
      </c>
      <c r="AB5" s="19">
        <f t="shared" ref="AB5:AB11" si="6">H5+I5+P5+Q5</f>
        <v>0</v>
      </c>
      <c r="AC5" s="19">
        <f t="shared" ref="AC5:AC11" si="7">SUM(B5:I5)</f>
        <v>0</v>
      </c>
      <c r="AD5" s="30">
        <f t="shared" ref="AD5:AD11" si="8">SUM(J5:Q5)</f>
        <v>0</v>
      </c>
      <c r="AE5" s="41">
        <f>SUM(B5:Q5)</f>
        <v>0</v>
      </c>
      <c r="AU5" s="119" t="e">
        <f>(S5/AG5) - 1</f>
        <v>#DIV/0!</v>
      </c>
      <c r="AV5" s="43" t="e">
        <f t="shared" ref="AV5:BG14" si="9">(T5/AH5) - 1</f>
        <v>#DIV/0!</v>
      </c>
      <c r="AW5" s="43" t="e">
        <f t="shared" si="9"/>
        <v>#DIV/0!</v>
      </c>
      <c r="AX5" s="43" t="e">
        <f t="shared" si="9"/>
        <v>#DIV/0!</v>
      </c>
      <c r="AY5" s="43" t="e">
        <f t="shared" si="9"/>
        <v>#DIV/0!</v>
      </c>
      <c r="AZ5" s="43" t="e">
        <f t="shared" si="9"/>
        <v>#DIV/0!</v>
      </c>
      <c r="BA5" s="43" t="e">
        <f t="shared" si="9"/>
        <v>#DIV/0!</v>
      </c>
      <c r="BB5" s="43" t="e">
        <f t="shared" si="9"/>
        <v>#DIV/0!</v>
      </c>
      <c r="BC5" s="43" t="e">
        <f t="shared" si="9"/>
        <v>#DIV/0!</v>
      </c>
      <c r="BD5" s="43" t="e">
        <f t="shared" si="9"/>
        <v>#DIV/0!</v>
      </c>
      <c r="BE5" s="43" t="e">
        <f t="shared" si="9"/>
        <v>#DIV/0!</v>
      </c>
      <c r="BF5" s="43" t="e">
        <f t="shared" si="9"/>
        <v>#DIV/0!</v>
      </c>
      <c r="BG5" s="120" t="e">
        <f t="shared" si="9"/>
        <v>#DIV/0!</v>
      </c>
    </row>
    <row r="6" spans="1:59" ht="21" customHeight="1" thickBot="1">
      <c r="A6" s="14">
        <v>0.30208333333333331</v>
      </c>
      <c r="B6" s="15"/>
      <c r="C6" s="16"/>
      <c r="D6" s="17"/>
      <c r="E6" s="18"/>
      <c r="F6" s="17"/>
      <c r="G6" s="18"/>
      <c r="H6" s="15"/>
      <c r="I6" s="16"/>
      <c r="J6" s="15"/>
      <c r="K6" s="16"/>
      <c r="L6" s="17"/>
      <c r="M6" s="18"/>
      <c r="N6" s="17"/>
      <c r="O6" s="18"/>
      <c r="P6" s="15"/>
      <c r="Q6" s="16"/>
      <c r="S6" s="29">
        <f t="shared" si="0"/>
        <v>0</v>
      </c>
      <c r="T6" s="19">
        <f t="shared" si="0"/>
        <v>0</v>
      </c>
      <c r="U6" s="25" t="e">
        <f t="shared" si="1"/>
        <v>#DIV/0!</v>
      </c>
      <c r="V6" s="19">
        <f t="shared" si="2"/>
        <v>0</v>
      </c>
      <c r="W6" s="19">
        <f t="shared" si="3"/>
        <v>0</v>
      </c>
      <c r="X6" s="19">
        <f t="shared" si="4"/>
        <v>0</v>
      </c>
      <c r="Y6" s="19">
        <f t="shared" si="5"/>
        <v>0</v>
      </c>
      <c r="Z6" s="43" t="e">
        <f t="shared" ref="Z6:Z14" si="10">W6/Y6</f>
        <v>#DIV/0!</v>
      </c>
      <c r="AA6" s="43" t="e">
        <f t="shared" ref="AA6:AA14" si="11">X6/Y6</f>
        <v>#DIV/0!</v>
      </c>
      <c r="AB6" s="19">
        <f t="shared" si="6"/>
        <v>0</v>
      </c>
      <c r="AC6" s="19">
        <f t="shared" si="7"/>
        <v>0</v>
      </c>
      <c r="AD6" s="30">
        <f t="shared" si="8"/>
        <v>0</v>
      </c>
      <c r="AE6" s="41">
        <f t="shared" ref="AE6:AE14" si="12">SUM(B6:Q6)</f>
        <v>0</v>
      </c>
      <c r="AU6" s="119" t="e">
        <f t="shared" ref="AU6:AU14" si="13">(S6/AG6) - 1</f>
        <v>#DIV/0!</v>
      </c>
      <c r="AV6" s="43" t="e">
        <f t="shared" si="9"/>
        <v>#DIV/0!</v>
      </c>
      <c r="AW6" s="43" t="e">
        <f t="shared" si="9"/>
        <v>#DIV/0!</v>
      </c>
      <c r="AX6" s="43" t="e">
        <f t="shared" si="9"/>
        <v>#DIV/0!</v>
      </c>
      <c r="AY6" s="43" t="e">
        <f t="shared" si="9"/>
        <v>#DIV/0!</v>
      </c>
      <c r="AZ6" s="43" t="e">
        <f t="shared" si="9"/>
        <v>#DIV/0!</v>
      </c>
      <c r="BA6" s="43" t="e">
        <f t="shared" si="9"/>
        <v>#DIV/0!</v>
      </c>
      <c r="BB6" s="43" t="e">
        <f t="shared" si="9"/>
        <v>#DIV/0!</v>
      </c>
      <c r="BC6" s="43" t="e">
        <f t="shared" si="9"/>
        <v>#DIV/0!</v>
      </c>
      <c r="BD6" s="43" t="e">
        <f t="shared" si="9"/>
        <v>#DIV/0!</v>
      </c>
      <c r="BE6" s="43" t="e">
        <f t="shared" si="9"/>
        <v>#DIV/0!</v>
      </c>
      <c r="BF6" s="43" t="e">
        <f t="shared" si="9"/>
        <v>#DIV/0!</v>
      </c>
      <c r="BG6" s="120" t="e">
        <f t="shared" si="9"/>
        <v>#DIV/0!</v>
      </c>
    </row>
    <row r="7" spans="1:59" ht="21" customHeight="1" thickBot="1">
      <c r="A7" s="14">
        <v>0.3125</v>
      </c>
      <c r="B7" s="15"/>
      <c r="C7" s="16"/>
      <c r="D7" s="17"/>
      <c r="E7" s="18"/>
      <c r="F7" s="17"/>
      <c r="G7" s="18"/>
      <c r="H7" s="15"/>
      <c r="I7" s="16"/>
      <c r="J7" s="15"/>
      <c r="K7" s="16"/>
      <c r="L7" s="17"/>
      <c r="M7" s="18"/>
      <c r="N7" s="17"/>
      <c r="O7" s="18"/>
      <c r="P7" s="15"/>
      <c r="Q7" s="16"/>
      <c r="S7" s="29">
        <f t="shared" si="0"/>
        <v>0</v>
      </c>
      <c r="T7" s="19">
        <f t="shared" si="0"/>
        <v>0</v>
      </c>
      <c r="U7" s="25" t="e">
        <f t="shared" si="1"/>
        <v>#DIV/0!</v>
      </c>
      <c r="V7" s="19">
        <f t="shared" si="2"/>
        <v>0</v>
      </c>
      <c r="W7" s="19">
        <f t="shared" si="3"/>
        <v>0</v>
      </c>
      <c r="X7" s="19">
        <f t="shared" si="4"/>
        <v>0</v>
      </c>
      <c r="Y7" s="19">
        <f t="shared" si="5"/>
        <v>0</v>
      </c>
      <c r="Z7" s="43" t="e">
        <f t="shared" si="10"/>
        <v>#DIV/0!</v>
      </c>
      <c r="AA7" s="43" t="e">
        <f t="shared" si="11"/>
        <v>#DIV/0!</v>
      </c>
      <c r="AB7" s="19">
        <f t="shared" si="6"/>
        <v>0</v>
      </c>
      <c r="AC7" s="19">
        <f t="shared" si="7"/>
        <v>0</v>
      </c>
      <c r="AD7" s="30">
        <f t="shared" si="8"/>
        <v>0</v>
      </c>
      <c r="AE7" s="41">
        <f t="shared" si="12"/>
        <v>0</v>
      </c>
      <c r="AU7" s="119" t="e">
        <f t="shared" si="13"/>
        <v>#DIV/0!</v>
      </c>
      <c r="AV7" s="43" t="e">
        <f t="shared" si="9"/>
        <v>#DIV/0!</v>
      </c>
      <c r="AW7" s="43" t="e">
        <f t="shared" si="9"/>
        <v>#DIV/0!</v>
      </c>
      <c r="AX7" s="43" t="e">
        <f t="shared" si="9"/>
        <v>#DIV/0!</v>
      </c>
      <c r="AY7" s="43" t="e">
        <f t="shared" si="9"/>
        <v>#DIV/0!</v>
      </c>
      <c r="AZ7" s="43" t="e">
        <f t="shared" si="9"/>
        <v>#DIV/0!</v>
      </c>
      <c r="BA7" s="43" t="e">
        <f t="shared" si="9"/>
        <v>#DIV/0!</v>
      </c>
      <c r="BB7" s="43" t="e">
        <f t="shared" si="9"/>
        <v>#DIV/0!</v>
      </c>
      <c r="BC7" s="43" t="e">
        <f t="shared" si="9"/>
        <v>#DIV/0!</v>
      </c>
      <c r="BD7" s="43" t="e">
        <f t="shared" si="9"/>
        <v>#DIV/0!</v>
      </c>
      <c r="BE7" s="43" t="e">
        <f t="shared" si="9"/>
        <v>#DIV/0!</v>
      </c>
      <c r="BF7" s="43" t="e">
        <f t="shared" si="9"/>
        <v>#DIV/0!</v>
      </c>
      <c r="BG7" s="120" t="e">
        <f t="shared" si="9"/>
        <v>#DIV/0!</v>
      </c>
    </row>
    <row r="8" spans="1:59" ht="21" customHeight="1" thickBot="1">
      <c r="A8" s="14">
        <v>0.32291666666666669</v>
      </c>
      <c r="B8" s="15"/>
      <c r="C8" s="16"/>
      <c r="D8" s="17"/>
      <c r="E8" s="18"/>
      <c r="F8" s="17"/>
      <c r="G8" s="18"/>
      <c r="H8" s="15"/>
      <c r="I8" s="16"/>
      <c r="J8" s="15"/>
      <c r="K8" s="16"/>
      <c r="L8" s="17"/>
      <c r="M8" s="18"/>
      <c r="N8" s="17"/>
      <c r="O8" s="18"/>
      <c r="P8" s="15"/>
      <c r="Q8" s="16"/>
      <c r="S8" s="29">
        <f t="shared" si="0"/>
        <v>0</v>
      </c>
      <c r="T8" s="19">
        <f t="shared" si="0"/>
        <v>0</v>
      </c>
      <c r="U8" s="25" t="e">
        <f t="shared" si="1"/>
        <v>#DIV/0!</v>
      </c>
      <c r="V8" s="19">
        <f t="shared" si="2"/>
        <v>0</v>
      </c>
      <c r="W8" s="19">
        <f t="shared" si="3"/>
        <v>0</v>
      </c>
      <c r="X8" s="19">
        <f t="shared" si="4"/>
        <v>0</v>
      </c>
      <c r="Y8" s="19">
        <f t="shared" si="5"/>
        <v>0</v>
      </c>
      <c r="Z8" s="43" t="e">
        <f t="shared" si="10"/>
        <v>#DIV/0!</v>
      </c>
      <c r="AA8" s="43" t="e">
        <f t="shared" si="11"/>
        <v>#DIV/0!</v>
      </c>
      <c r="AB8" s="19">
        <f t="shared" si="6"/>
        <v>0</v>
      </c>
      <c r="AC8" s="19">
        <f t="shared" si="7"/>
        <v>0</v>
      </c>
      <c r="AD8" s="30">
        <f t="shared" si="8"/>
        <v>0</v>
      </c>
      <c r="AE8" s="41">
        <f t="shared" si="12"/>
        <v>0</v>
      </c>
      <c r="AU8" s="119" t="e">
        <f t="shared" si="13"/>
        <v>#DIV/0!</v>
      </c>
      <c r="AV8" s="43" t="e">
        <f t="shared" si="9"/>
        <v>#DIV/0!</v>
      </c>
      <c r="AW8" s="43" t="e">
        <f t="shared" si="9"/>
        <v>#DIV/0!</v>
      </c>
      <c r="AX8" s="43" t="e">
        <f t="shared" si="9"/>
        <v>#DIV/0!</v>
      </c>
      <c r="AY8" s="43" t="e">
        <f t="shared" si="9"/>
        <v>#DIV/0!</v>
      </c>
      <c r="AZ8" s="43" t="e">
        <f t="shared" si="9"/>
        <v>#DIV/0!</v>
      </c>
      <c r="BA8" s="43" t="e">
        <f t="shared" si="9"/>
        <v>#DIV/0!</v>
      </c>
      <c r="BB8" s="43" t="e">
        <f t="shared" si="9"/>
        <v>#DIV/0!</v>
      </c>
      <c r="BC8" s="43" t="e">
        <f t="shared" si="9"/>
        <v>#DIV/0!</v>
      </c>
      <c r="BD8" s="43" t="e">
        <f t="shared" si="9"/>
        <v>#DIV/0!</v>
      </c>
      <c r="BE8" s="43" t="e">
        <f t="shared" si="9"/>
        <v>#DIV/0!</v>
      </c>
      <c r="BF8" s="43" t="e">
        <f t="shared" si="9"/>
        <v>#DIV/0!</v>
      </c>
      <c r="BG8" s="120" t="e">
        <f t="shared" si="9"/>
        <v>#DIV/0!</v>
      </c>
    </row>
    <row r="9" spans="1:59" ht="21" customHeight="1" thickBot="1">
      <c r="A9" s="13">
        <v>0.33333333333333331</v>
      </c>
      <c r="B9" s="15"/>
      <c r="C9" s="16"/>
      <c r="D9" s="17"/>
      <c r="E9" s="18"/>
      <c r="F9" s="17"/>
      <c r="G9" s="18"/>
      <c r="H9" s="15"/>
      <c r="I9" s="16"/>
      <c r="J9" s="15"/>
      <c r="K9" s="16"/>
      <c r="L9" s="17"/>
      <c r="M9" s="18"/>
      <c r="N9" s="17"/>
      <c r="O9" s="18"/>
      <c r="P9" s="15"/>
      <c r="Q9" s="16"/>
      <c r="S9" s="29">
        <f t="shared" si="0"/>
        <v>0</v>
      </c>
      <c r="T9" s="19">
        <f t="shared" si="0"/>
        <v>0</v>
      </c>
      <c r="U9" s="25" t="e">
        <f t="shared" si="1"/>
        <v>#DIV/0!</v>
      </c>
      <c r="V9" s="19">
        <f t="shared" si="2"/>
        <v>0</v>
      </c>
      <c r="W9" s="19">
        <f t="shared" si="3"/>
        <v>0</v>
      </c>
      <c r="X9" s="19">
        <f t="shared" si="4"/>
        <v>0</v>
      </c>
      <c r="Y9" s="19">
        <f t="shared" si="5"/>
        <v>0</v>
      </c>
      <c r="Z9" s="43" t="e">
        <f t="shared" si="10"/>
        <v>#DIV/0!</v>
      </c>
      <c r="AA9" s="43" t="e">
        <f t="shared" si="11"/>
        <v>#DIV/0!</v>
      </c>
      <c r="AB9" s="19">
        <f t="shared" si="6"/>
        <v>0</v>
      </c>
      <c r="AC9" s="19">
        <f t="shared" si="7"/>
        <v>0</v>
      </c>
      <c r="AD9" s="30">
        <f t="shared" si="8"/>
        <v>0</v>
      </c>
      <c r="AE9" s="41">
        <f t="shared" si="12"/>
        <v>0</v>
      </c>
      <c r="AU9" s="119" t="e">
        <f t="shared" si="13"/>
        <v>#DIV/0!</v>
      </c>
      <c r="AV9" s="43" t="e">
        <f t="shared" si="9"/>
        <v>#DIV/0!</v>
      </c>
      <c r="AW9" s="43" t="e">
        <f t="shared" si="9"/>
        <v>#DIV/0!</v>
      </c>
      <c r="AX9" s="43" t="e">
        <f t="shared" si="9"/>
        <v>#DIV/0!</v>
      </c>
      <c r="AY9" s="43" t="e">
        <f t="shared" si="9"/>
        <v>#DIV/0!</v>
      </c>
      <c r="AZ9" s="43" t="e">
        <f t="shared" si="9"/>
        <v>#DIV/0!</v>
      </c>
      <c r="BA9" s="43" t="e">
        <f t="shared" si="9"/>
        <v>#DIV/0!</v>
      </c>
      <c r="BB9" s="43" t="e">
        <f t="shared" si="9"/>
        <v>#DIV/0!</v>
      </c>
      <c r="BC9" s="43" t="e">
        <f t="shared" si="9"/>
        <v>#DIV/0!</v>
      </c>
      <c r="BD9" s="43" t="e">
        <f t="shared" si="9"/>
        <v>#DIV/0!</v>
      </c>
      <c r="BE9" s="43" t="e">
        <f t="shared" si="9"/>
        <v>#DIV/0!</v>
      </c>
      <c r="BF9" s="43" t="e">
        <f t="shared" si="9"/>
        <v>#DIV/0!</v>
      </c>
      <c r="BG9" s="120" t="e">
        <f t="shared" si="9"/>
        <v>#DIV/0!</v>
      </c>
    </row>
    <row r="10" spans="1:59" ht="21" customHeight="1" thickBot="1">
      <c r="A10" s="14">
        <v>0.34375</v>
      </c>
      <c r="B10" s="15"/>
      <c r="C10" s="16"/>
      <c r="D10" s="17"/>
      <c r="E10" s="18"/>
      <c r="F10" s="17"/>
      <c r="G10" s="18"/>
      <c r="H10" s="10"/>
      <c r="I10" s="16"/>
      <c r="J10" s="15"/>
      <c r="K10" s="16"/>
      <c r="L10" s="17"/>
      <c r="M10" s="18"/>
      <c r="N10" s="17"/>
      <c r="O10" s="18"/>
      <c r="P10" s="15"/>
      <c r="Q10" s="16"/>
      <c r="S10" s="29">
        <f t="shared" si="0"/>
        <v>0</v>
      </c>
      <c r="T10" s="19">
        <f t="shared" si="0"/>
        <v>0</v>
      </c>
      <c r="U10" s="25" t="e">
        <f t="shared" si="1"/>
        <v>#DIV/0!</v>
      </c>
      <c r="V10" s="19">
        <f t="shared" si="2"/>
        <v>0</v>
      </c>
      <c r="W10" s="19">
        <f t="shared" si="3"/>
        <v>0</v>
      </c>
      <c r="X10" s="19">
        <f t="shared" si="4"/>
        <v>0</v>
      </c>
      <c r="Y10" s="19">
        <f t="shared" si="5"/>
        <v>0</v>
      </c>
      <c r="Z10" s="43" t="e">
        <f t="shared" si="10"/>
        <v>#DIV/0!</v>
      </c>
      <c r="AA10" s="43" t="e">
        <f t="shared" si="11"/>
        <v>#DIV/0!</v>
      </c>
      <c r="AB10" s="19">
        <f t="shared" si="6"/>
        <v>0</v>
      </c>
      <c r="AC10" s="19">
        <f t="shared" si="7"/>
        <v>0</v>
      </c>
      <c r="AD10" s="30">
        <f t="shared" si="8"/>
        <v>0</v>
      </c>
      <c r="AE10" s="41">
        <f t="shared" si="12"/>
        <v>0</v>
      </c>
      <c r="AU10" s="119" t="e">
        <f t="shared" si="13"/>
        <v>#DIV/0!</v>
      </c>
      <c r="AV10" s="43" t="e">
        <f t="shared" si="9"/>
        <v>#DIV/0!</v>
      </c>
      <c r="AW10" s="43" t="e">
        <f t="shared" si="9"/>
        <v>#DIV/0!</v>
      </c>
      <c r="AX10" s="43" t="e">
        <f t="shared" si="9"/>
        <v>#DIV/0!</v>
      </c>
      <c r="AY10" s="43" t="e">
        <f t="shared" si="9"/>
        <v>#DIV/0!</v>
      </c>
      <c r="AZ10" s="43" t="e">
        <f t="shared" si="9"/>
        <v>#DIV/0!</v>
      </c>
      <c r="BA10" s="43" t="e">
        <f t="shared" si="9"/>
        <v>#DIV/0!</v>
      </c>
      <c r="BB10" s="43" t="e">
        <f t="shared" si="9"/>
        <v>#DIV/0!</v>
      </c>
      <c r="BC10" s="43" t="e">
        <f t="shared" si="9"/>
        <v>#DIV/0!</v>
      </c>
      <c r="BD10" s="43" t="e">
        <f t="shared" si="9"/>
        <v>#DIV/0!</v>
      </c>
      <c r="BE10" s="43" t="e">
        <f t="shared" si="9"/>
        <v>#DIV/0!</v>
      </c>
      <c r="BF10" s="43" t="e">
        <f t="shared" si="9"/>
        <v>#DIV/0!</v>
      </c>
      <c r="BG10" s="120" t="e">
        <f t="shared" si="9"/>
        <v>#DIV/0!</v>
      </c>
    </row>
    <row r="11" spans="1:59" ht="21" customHeight="1" thickBot="1">
      <c r="A11" s="14">
        <v>0.35416666666666669</v>
      </c>
      <c r="B11" s="15"/>
      <c r="C11" s="16"/>
      <c r="D11" s="17"/>
      <c r="E11" s="18"/>
      <c r="F11" s="17"/>
      <c r="G11" s="18"/>
      <c r="H11" s="15"/>
      <c r="I11" s="16"/>
      <c r="J11" s="15"/>
      <c r="K11" s="16"/>
      <c r="L11" s="17"/>
      <c r="M11" s="18"/>
      <c r="N11" s="17"/>
      <c r="O11" s="18"/>
      <c r="P11" s="15"/>
      <c r="Q11" s="16"/>
      <c r="S11" s="29">
        <f t="shared" si="0"/>
        <v>0</v>
      </c>
      <c r="T11" s="19">
        <f t="shared" si="0"/>
        <v>0</v>
      </c>
      <c r="U11" s="25" t="e">
        <f t="shared" si="1"/>
        <v>#DIV/0!</v>
      </c>
      <c r="V11" s="19">
        <f t="shared" si="2"/>
        <v>0</v>
      </c>
      <c r="W11" s="19">
        <f t="shared" si="3"/>
        <v>0</v>
      </c>
      <c r="X11" s="19">
        <f t="shared" si="4"/>
        <v>0</v>
      </c>
      <c r="Y11" s="19">
        <f t="shared" si="5"/>
        <v>0</v>
      </c>
      <c r="Z11" s="43" t="e">
        <f t="shared" si="10"/>
        <v>#DIV/0!</v>
      </c>
      <c r="AA11" s="43" t="e">
        <f t="shared" si="11"/>
        <v>#DIV/0!</v>
      </c>
      <c r="AB11" s="19">
        <f t="shared" si="6"/>
        <v>0</v>
      </c>
      <c r="AC11" s="19">
        <f t="shared" si="7"/>
        <v>0</v>
      </c>
      <c r="AD11" s="30">
        <f t="shared" si="8"/>
        <v>0</v>
      </c>
      <c r="AE11" s="41">
        <f t="shared" si="12"/>
        <v>0</v>
      </c>
      <c r="AU11" s="119" t="e">
        <f t="shared" si="13"/>
        <v>#DIV/0!</v>
      </c>
      <c r="AV11" s="43" t="e">
        <f t="shared" si="9"/>
        <v>#DIV/0!</v>
      </c>
      <c r="AW11" s="43" t="e">
        <f t="shared" si="9"/>
        <v>#DIV/0!</v>
      </c>
      <c r="AX11" s="43" t="e">
        <f t="shared" si="9"/>
        <v>#DIV/0!</v>
      </c>
      <c r="AY11" s="43" t="e">
        <f t="shared" si="9"/>
        <v>#DIV/0!</v>
      </c>
      <c r="AZ11" s="43" t="e">
        <f t="shared" si="9"/>
        <v>#DIV/0!</v>
      </c>
      <c r="BA11" s="43" t="e">
        <f t="shared" si="9"/>
        <v>#DIV/0!</v>
      </c>
      <c r="BB11" s="43" t="e">
        <f t="shared" si="9"/>
        <v>#DIV/0!</v>
      </c>
      <c r="BC11" s="43" t="e">
        <f t="shared" si="9"/>
        <v>#DIV/0!</v>
      </c>
      <c r="BD11" s="43" t="e">
        <f t="shared" si="9"/>
        <v>#DIV/0!</v>
      </c>
      <c r="BE11" s="43" t="e">
        <f t="shared" si="9"/>
        <v>#DIV/0!</v>
      </c>
      <c r="BF11" s="43" t="e">
        <f t="shared" si="9"/>
        <v>#DIV/0!</v>
      </c>
      <c r="BG11" s="120" t="e">
        <f t="shared" si="9"/>
        <v>#DIV/0!</v>
      </c>
    </row>
    <row r="12" spans="1:59" ht="21" customHeight="1" thickBot="1">
      <c r="A12" s="14">
        <v>0.36458333333333331</v>
      </c>
      <c r="B12" s="20"/>
      <c r="C12" s="21"/>
      <c r="D12" s="22"/>
      <c r="E12" s="23"/>
      <c r="F12" s="22"/>
      <c r="G12" s="23"/>
      <c r="H12" s="20"/>
      <c r="I12" s="21"/>
      <c r="J12" s="20"/>
      <c r="K12" s="21"/>
      <c r="L12" s="22"/>
      <c r="M12" s="23"/>
      <c r="N12" s="22"/>
      <c r="O12" s="23"/>
      <c r="P12" s="20"/>
      <c r="Q12" s="21"/>
      <c r="S12" s="29">
        <f t="shared" ref="S12:T14" si="14">B12+D12+F12+H12+J12+L12+N12+P12</f>
        <v>0</v>
      </c>
      <c r="T12" s="19">
        <f t="shared" si="14"/>
        <v>0</v>
      </c>
      <c r="U12" s="25" t="e">
        <f>T12/(T12+S12)</f>
        <v>#DIV/0!</v>
      </c>
      <c r="V12" s="19">
        <f>B12+C12+J12+K12</f>
        <v>0</v>
      </c>
      <c r="W12" s="19">
        <f>D12+E12+L12+M12</f>
        <v>0</v>
      </c>
      <c r="X12" s="19">
        <f>F12+G12+N12+O12</f>
        <v>0</v>
      </c>
      <c r="Y12" s="19">
        <f>SUM(V12:X12)</f>
        <v>0</v>
      </c>
      <c r="Z12" s="43" t="e">
        <f t="shared" si="10"/>
        <v>#DIV/0!</v>
      </c>
      <c r="AA12" s="43" t="e">
        <f t="shared" si="11"/>
        <v>#DIV/0!</v>
      </c>
      <c r="AB12" s="19">
        <f>H12+I12+P12+Q12</f>
        <v>0</v>
      </c>
      <c r="AC12" s="19">
        <f>SUM(B12:I12)</f>
        <v>0</v>
      </c>
      <c r="AD12" s="30">
        <f>SUM(J12:Q12)</f>
        <v>0</v>
      </c>
      <c r="AE12" s="41">
        <f t="shared" si="12"/>
        <v>0</v>
      </c>
      <c r="AU12" s="119" t="e">
        <f t="shared" si="13"/>
        <v>#DIV/0!</v>
      </c>
      <c r="AV12" s="43" t="e">
        <f t="shared" si="9"/>
        <v>#DIV/0!</v>
      </c>
      <c r="AW12" s="43" t="e">
        <f t="shared" si="9"/>
        <v>#DIV/0!</v>
      </c>
      <c r="AX12" s="43" t="e">
        <f t="shared" si="9"/>
        <v>#DIV/0!</v>
      </c>
      <c r="AY12" s="43" t="e">
        <f t="shared" si="9"/>
        <v>#DIV/0!</v>
      </c>
      <c r="AZ12" s="43" t="e">
        <f t="shared" si="9"/>
        <v>#DIV/0!</v>
      </c>
      <c r="BA12" s="43" t="e">
        <f t="shared" si="9"/>
        <v>#DIV/0!</v>
      </c>
      <c r="BB12" s="43" t="e">
        <f t="shared" si="9"/>
        <v>#DIV/0!</v>
      </c>
      <c r="BC12" s="43" t="e">
        <f t="shared" si="9"/>
        <v>#DIV/0!</v>
      </c>
      <c r="BD12" s="43" t="e">
        <f t="shared" si="9"/>
        <v>#DIV/0!</v>
      </c>
      <c r="BE12" s="43" t="e">
        <f t="shared" si="9"/>
        <v>#DIV/0!</v>
      </c>
      <c r="BF12" s="43" t="e">
        <f t="shared" si="9"/>
        <v>#DIV/0!</v>
      </c>
      <c r="BG12" s="120" t="e">
        <f t="shared" si="9"/>
        <v>#DIV/0!</v>
      </c>
    </row>
    <row r="13" spans="1:59" ht="15.75" thickBot="1">
      <c r="A13" s="24" t="s">
        <v>13</v>
      </c>
      <c r="B13" s="35">
        <f>SUM(B5:B12)</f>
        <v>0</v>
      </c>
      <c r="C13" s="35">
        <f t="shared" ref="C13:Q13" si="15">SUM(C5:C12)</f>
        <v>0</v>
      </c>
      <c r="D13" s="35">
        <f t="shared" si="15"/>
        <v>0</v>
      </c>
      <c r="E13" s="35">
        <f t="shared" si="15"/>
        <v>0</v>
      </c>
      <c r="F13" s="35">
        <f t="shared" si="15"/>
        <v>0</v>
      </c>
      <c r="G13" s="35">
        <f t="shared" si="15"/>
        <v>0</v>
      </c>
      <c r="H13" s="35">
        <f t="shared" si="15"/>
        <v>0</v>
      </c>
      <c r="I13" s="35">
        <f t="shared" si="15"/>
        <v>0</v>
      </c>
      <c r="J13" s="35">
        <f t="shared" si="15"/>
        <v>0</v>
      </c>
      <c r="K13" s="35">
        <f t="shared" si="15"/>
        <v>0</v>
      </c>
      <c r="L13" s="35">
        <f t="shared" si="15"/>
        <v>0</v>
      </c>
      <c r="M13" s="35">
        <f t="shared" si="15"/>
        <v>0</v>
      </c>
      <c r="N13" s="35">
        <f t="shared" si="15"/>
        <v>0</v>
      </c>
      <c r="O13" s="35">
        <f t="shared" si="15"/>
        <v>0</v>
      </c>
      <c r="P13" s="35">
        <f t="shared" si="15"/>
        <v>0</v>
      </c>
      <c r="Q13" s="35">
        <f t="shared" si="15"/>
        <v>0</v>
      </c>
      <c r="S13" s="31">
        <f t="shared" si="14"/>
        <v>0</v>
      </c>
      <c r="T13" s="32">
        <f t="shared" si="14"/>
        <v>0</v>
      </c>
      <c r="U13" s="33" t="e">
        <f>T13/(T13+S13)</f>
        <v>#DIV/0!</v>
      </c>
      <c r="V13" s="32">
        <f>B13+C13+J13+K13</f>
        <v>0</v>
      </c>
      <c r="W13" s="32">
        <f>D13+E13+L13+M13</f>
        <v>0</v>
      </c>
      <c r="X13" s="32">
        <f>F13+G13+N13+O13</f>
        <v>0</v>
      </c>
      <c r="Y13" s="32">
        <f>SUM(V13:X13)</f>
        <v>0</v>
      </c>
      <c r="Z13" s="43" t="e">
        <f t="shared" si="10"/>
        <v>#DIV/0!</v>
      </c>
      <c r="AA13" s="43" t="e">
        <f t="shared" si="11"/>
        <v>#DIV/0!</v>
      </c>
      <c r="AB13" s="32">
        <f>H13+I13+P13+Q13</f>
        <v>0</v>
      </c>
      <c r="AC13" s="32">
        <f>SUM(B13:I13)</f>
        <v>0</v>
      </c>
      <c r="AD13" s="34">
        <f>SUM(J13:Q13)</f>
        <v>0</v>
      </c>
      <c r="AE13" s="42">
        <f t="shared" si="12"/>
        <v>0</v>
      </c>
      <c r="AU13" s="119" t="e">
        <f t="shared" si="13"/>
        <v>#DIV/0!</v>
      </c>
      <c r="AV13" s="43" t="e">
        <f t="shared" si="9"/>
        <v>#DIV/0!</v>
      </c>
      <c r="AW13" s="43" t="e">
        <f t="shared" si="9"/>
        <v>#DIV/0!</v>
      </c>
      <c r="AX13" s="43" t="e">
        <f t="shared" si="9"/>
        <v>#DIV/0!</v>
      </c>
      <c r="AY13" s="43" t="e">
        <f t="shared" si="9"/>
        <v>#DIV/0!</v>
      </c>
      <c r="AZ13" s="43" t="e">
        <f t="shared" si="9"/>
        <v>#DIV/0!</v>
      </c>
      <c r="BA13" s="43" t="e">
        <f t="shared" si="9"/>
        <v>#DIV/0!</v>
      </c>
      <c r="BB13" s="43" t="e">
        <f t="shared" si="9"/>
        <v>#DIV/0!</v>
      </c>
      <c r="BC13" s="43" t="e">
        <f t="shared" si="9"/>
        <v>#DIV/0!</v>
      </c>
      <c r="BD13" s="43" t="e">
        <f t="shared" si="9"/>
        <v>#DIV/0!</v>
      </c>
      <c r="BE13" s="43" t="e">
        <f t="shared" si="9"/>
        <v>#DIV/0!</v>
      </c>
      <c r="BF13" s="43" t="e">
        <f t="shared" si="9"/>
        <v>#DIV/0!</v>
      </c>
      <c r="BG13" s="120" t="e">
        <f t="shared" si="9"/>
        <v>#DIV/0!</v>
      </c>
    </row>
    <row r="14" spans="1:59" ht="15.75" thickBot="1">
      <c r="A14" s="24" t="s">
        <v>31</v>
      </c>
      <c r="B14" s="24">
        <f>SUM(B7:B10)</f>
        <v>0</v>
      </c>
      <c r="C14" s="24">
        <f t="shared" ref="C14:Q14" si="16">SUM(C7:C10)</f>
        <v>0</v>
      </c>
      <c r="D14" s="24">
        <f t="shared" si="16"/>
        <v>0</v>
      </c>
      <c r="E14" s="24">
        <f t="shared" si="16"/>
        <v>0</v>
      </c>
      <c r="F14" s="24">
        <f t="shared" si="16"/>
        <v>0</v>
      </c>
      <c r="G14" s="24">
        <f t="shared" si="16"/>
        <v>0</v>
      </c>
      <c r="H14" s="24">
        <f t="shared" si="16"/>
        <v>0</v>
      </c>
      <c r="I14" s="24">
        <f t="shared" si="16"/>
        <v>0</v>
      </c>
      <c r="J14" s="24">
        <f t="shared" si="16"/>
        <v>0</v>
      </c>
      <c r="K14" s="24">
        <f t="shared" si="16"/>
        <v>0</v>
      </c>
      <c r="L14" s="24">
        <f t="shared" si="16"/>
        <v>0</v>
      </c>
      <c r="M14" s="24">
        <f t="shared" si="16"/>
        <v>0</v>
      </c>
      <c r="N14" s="24">
        <f t="shared" si="16"/>
        <v>0</v>
      </c>
      <c r="O14" s="24">
        <f t="shared" si="16"/>
        <v>0</v>
      </c>
      <c r="P14" s="24">
        <f t="shared" si="16"/>
        <v>0</v>
      </c>
      <c r="Q14" s="24">
        <f t="shared" si="16"/>
        <v>0</v>
      </c>
      <c r="S14" s="50">
        <f t="shared" si="14"/>
        <v>0</v>
      </c>
      <c r="T14" s="35">
        <f t="shared" si="14"/>
        <v>0</v>
      </c>
      <c r="U14" s="51" t="e">
        <f>T14/(T14+S14)</f>
        <v>#DIV/0!</v>
      </c>
      <c r="V14" s="35">
        <f>B14+C14+J14+K14</f>
        <v>0</v>
      </c>
      <c r="W14" s="35">
        <f>D14+E14+L14+M14</f>
        <v>0</v>
      </c>
      <c r="X14" s="35">
        <f>F14+G14+N14+O14</f>
        <v>0</v>
      </c>
      <c r="Y14" s="35">
        <f>SUM(V14:X14)</f>
        <v>0</v>
      </c>
      <c r="Z14" s="52" t="e">
        <f t="shared" si="10"/>
        <v>#DIV/0!</v>
      </c>
      <c r="AA14" s="52" t="e">
        <f t="shared" si="11"/>
        <v>#DIV/0!</v>
      </c>
      <c r="AB14" s="35">
        <f>H14+I14+P14+Q14</f>
        <v>0</v>
      </c>
      <c r="AC14" s="35">
        <f>SUM(B14:I14)</f>
        <v>0</v>
      </c>
      <c r="AD14" s="36">
        <f>SUM(J14:Q14)</f>
        <v>0</v>
      </c>
      <c r="AE14" s="53">
        <f t="shared" si="12"/>
        <v>0</v>
      </c>
      <c r="AU14" s="56" t="e">
        <f t="shared" si="13"/>
        <v>#DIV/0!</v>
      </c>
      <c r="AV14" s="57" t="e">
        <f t="shared" si="9"/>
        <v>#DIV/0!</v>
      </c>
      <c r="AW14" s="57" t="e">
        <f t="shared" si="9"/>
        <v>#DIV/0!</v>
      </c>
      <c r="AX14" s="57" t="e">
        <f t="shared" si="9"/>
        <v>#DIV/0!</v>
      </c>
      <c r="AY14" s="57" t="e">
        <f t="shared" si="9"/>
        <v>#DIV/0!</v>
      </c>
      <c r="AZ14" s="57" t="e">
        <f t="shared" si="9"/>
        <v>#DIV/0!</v>
      </c>
      <c r="BA14" s="57" t="e">
        <f t="shared" si="9"/>
        <v>#DIV/0!</v>
      </c>
      <c r="BB14" s="57" t="e">
        <f t="shared" si="9"/>
        <v>#DIV/0!</v>
      </c>
      <c r="BC14" s="57" t="e">
        <f t="shared" si="9"/>
        <v>#DIV/0!</v>
      </c>
      <c r="BD14" s="57" t="e">
        <f t="shared" si="9"/>
        <v>#DIV/0!</v>
      </c>
      <c r="BE14" s="57" t="e">
        <f t="shared" si="9"/>
        <v>#DIV/0!</v>
      </c>
      <c r="BF14" s="57" t="e">
        <f t="shared" si="9"/>
        <v>#DIV/0!</v>
      </c>
      <c r="BG14" s="58" t="e">
        <f t="shared" si="9"/>
        <v>#DIV/0!</v>
      </c>
    </row>
    <row r="16" spans="1:59">
      <c r="A16" t="s">
        <v>29</v>
      </c>
      <c r="B16">
        <f>SUM(B5:B8)</f>
        <v>0</v>
      </c>
      <c r="C16">
        <f t="shared" ref="C16:Q16" si="17">SUM(C5:C8)</f>
        <v>0</v>
      </c>
      <c r="D16">
        <f t="shared" si="17"/>
        <v>0</v>
      </c>
      <c r="E16">
        <f t="shared" si="17"/>
        <v>0</v>
      </c>
      <c r="F16">
        <f t="shared" si="17"/>
        <v>0</v>
      </c>
      <c r="G16">
        <f t="shared" si="17"/>
        <v>0</v>
      </c>
      <c r="H16">
        <f t="shared" si="17"/>
        <v>0</v>
      </c>
      <c r="I16">
        <f t="shared" si="17"/>
        <v>0</v>
      </c>
      <c r="J16">
        <f t="shared" si="17"/>
        <v>0</v>
      </c>
      <c r="K16">
        <f t="shared" si="17"/>
        <v>0</v>
      </c>
      <c r="L16">
        <f t="shared" si="17"/>
        <v>0</v>
      </c>
      <c r="M16">
        <f t="shared" si="17"/>
        <v>0</v>
      </c>
      <c r="N16">
        <f t="shared" si="17"/>
        <v>0</v>
      </c>
      <c r="O16">
        <f t="shared" si="17"/>
        <v>0</v>
      </c>
      <c r="P16">
        <f t="shared" si="17"/>
        <v>0</v>
      </c>
      <c r="Q16">
        <f t="shared" si="17"/>
        <v>0</v>
      </c>
    </row>
    <row r="17" spans="1:17">
      <c r="A17" t="s">
        <v>30</v>
      </c>
      <c r="B17">
        <f>SUM(B9:B12)</f>
        <v>0</v>
      </c>
      <c r="C17">
        <f t="shared" ref="C17:Q17" si="18">SUM(C9:C12)</f>
        <v>0</v>
      </c>
      <c r="D17">
        <f t="shared" si="18"/>
        <v>0</v>
      </c>
      <c r="E17">
        <f t="shared" si="18"/>
        <v>0</v>
      </c>
      <c r="F17">
        <f t="shared" si="18"/>
        <v>0</v>
      </c>
      <c r="G17">
        <f t="shared" si="18"/>
        <v>0</v>
      </c>
      <c r="H17">
        <f t="shared" si="18"/>
        <v>0</v>
      </c>
      <c r="I17">
        <f t="shared" si="18"/>
        <v>0</v>
      </c>
      <c r="J17">
        <f t="shared" si="18"/>
        <v>0</v>
      </c>
      <c r="K17">
        <f t="shared" si="18"/>
        <v>0</v>
      </c>
      <c r="L17">
        <f t="shared" si="18"/>
        <v>0</v>
      </c>
      <c r="M17">
        <f t="shared" si="18"/>
        <v>0</v>
      </c>
      <c r="N17">
        <f t="shared" si="18"/>
        <v>0</v>
      </c>
      <c r="O17">
        <f t="shared" si="18"/>
        <v>0</v>
      </c>
      <c r="P17">
        <f t="shared" si="18"/>
        <v>0</v>
      </c>
      <c r="Q17">
        <f t="shared" si="18"/>
        <v>0</v>
      </c>
    </row>
  </sheetData>
  <mergeCells count="13">
    <mergeCell ref="AG2:AR2"/>
    <mergeCell ref="AU2:BF2"/>
    <mergeCell ref="S2:AD2"/>
    <mergeCell ref="J3:K3"/>
    <mergeCell ref="L3:M3"/>
    <mergeCell ref="D3:E3"/>
    <mergeCell ref="F3:G3"/>
    <mergeCell ref="J2:Q2"/>
    <mergeCell ref="N3:O3"/>
    <mergeCell ref="P3:Q3"/>
    <mergeCell ref="B2:I2"/>
    <mergeCell ref="B3:C3"/>
    <mergeCell ref="H3:I3"/>
  </mergeCells>
  <conditionalFormatting sqref="AU5:BG14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5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D6D194BCE4BA4A92B2A852D517E666" ma:contentTypeVersion="13" ma:contentTypeDescription="Create a new document." ma:contentTypeScope="" ma:versionID="b321ad8600b22a1509f9391dbf96a809">
  <xsd:schema xmlns:xsd="http://www.w3.org/2001/XMLSchema" xmlns:xs="http://www.w3.org/2001/XMLSchema" xmlns:p="http://schemas.microsoft.com/office/2006/metadata/properties" xmlns:ns3="5ee44128-3d50-4b9c-aa09-37e8fa8fd955" xmlns:ns4="8dc1d2c1-2c17-48d1-98f5-1d9c4aad5262" targetNamespace="http://schemas.microsoft.com/office/2006/metadata/properties" ma:root="true" ma:fieldsID="6f25124abff97bf1941fc74abfe5dd0f" ns3:_="" ns4:_="">
    <xsd:import namespace="5ee44128-3d50-4b9c-aa09-37e8fa8fd955"/>
    <xsd:import namespace="8dc1d2c1-2c17-48d1-98f5-1d9c4aad526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e44128-3d50-4b9c-aa09-37e8fa8fd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c1d2c1-2c17-48d1-98f5-1d9c4aad526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AA8A24-A1BB-4383-9E25-CFE3BE77A8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6AD7C5-3AAD-4065-8159-54F67FFD7F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e44128-3d50-4b9c-aa09-37e8fa8fd955"/>
    <ds:schemaRef ds:uri="8dc1d2c1-2c17-48d1-98f5-1d9c4aad52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7FA31BB-1145-48D7-92D8-0EEF41AFC528}">
  <ds:schemaRefs>
    <ds:schemaRef ds:uri="http://schemas.openxmlformats.org/package/2006/metadata/core-properties"/>
    <ds:schemaRef ds:uri="http://purl.org/dc/dcmitype/"/>
    <ds:schemaRef ds:uri="8dc1d2c1-2c17-48d1-98f5-1d9c4aad5262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5ee44128-3d50-4b9c-aa09-37e8fa8fd955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19</vt:i4>
      </vt:variant>
    </vt:vector>
  </HeadingPairs>
  <TitlesOfParts>
    <vt:vector size="19" baseType="lpstr">
      <vt:lpstr>Resume</vt:lpstr>
      <vt:lpstr>Resume (HP)</vt:lpstr>
      <vt:lpstr>APiCy total</vt:lpstr>
      <vt:lpstr>Ferney</vt:lpstr>
      <vt:lpstr>Ferney-BoisBrulé</vt:lpstr>
      <vt:lpstr>StGenis total</vt:lpstr>
      <vt:lpstr>StGenis-&gt;Meyrin</vt:lpstr>
      <vt:lpstr>StGenis-&gt;Bourdigny</vt:lpstr>
      <vt:lpstr>StGenis-&gt;CERN</vt:lpstr>
      <vt:lpstr>RteEurope-&gt;Meyrin</vt:lpstr>
      <vt:lpstr>Mategnin Total</vt:lpstr>
      <vt:lpstr>MategninAnneaux</vt:lpstr>
      <vt:lpstr>MategninDouane</vt:lpstr>
      <vt:lpstr>PdG Nord</vt:lpstr>
      <vt:lpstr>Versonnex</vt:lpstr>
      <vt:lpstr>Sauverny</vt:lpstr>
      <vt:lpstr>Divonne-&gt;Chavanne</vt:lpstr>
      <vt:lpstr>Crassy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 BOTHNER</dc:creator>
  <cp:lastModifiedBy>Yannick ROGUET</cp:lastModifiedBy>
  <cp:lastPrinted>2020-06-10T16:47:32Z</cp:lastPrinted>
  <dcterms:created xsi:type="dcterms:W3CDTF">2019-06-12T14:39:01Z</dcterms:created>
  <dcterms:modified xsi:type="dcterms:W3CDTF">2021-06-06T10:17:57Z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0x0101000CD6D194BCE4BA4A92B2A852D517E666</vt:lpwstr>
  </property>
</Properties>
</file>