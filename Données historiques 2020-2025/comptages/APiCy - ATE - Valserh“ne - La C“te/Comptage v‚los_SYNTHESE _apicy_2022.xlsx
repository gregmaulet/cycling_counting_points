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17255e3ebc20762/My documents/APiCy/Comptages/"/>
    </mc:Choice>
  </mc:AlternateContent>
  <xr:revisionPtr revIDLastSave="43" documentId="11_46185D716BFD5936656BE31FD8FD599DB9CA8171" xr6:coauthVersionLast="47" xr6:coauthVersionMax="47" xr10:uidLastSave="{7092EF13-3188-4EEE-8EAF-CFC2B3EA50E5}"/>
  <bookViews>
    <workbookView xWindow="28692" yWindow="-8004" windowWidth="29016" windowHeight="15816" activeTab="3" xr2:uid="{00000000-000D-0000-FFFF-FFFF00000000}"/>
  </bookViews>
  <sheets>
    <sheet name="Index" sheetId="5" r:id="rId1"/>
    <sheet name="2020" sheetId="1" state="hidden" r:id="rId2"/>
    <sheet name="2021" sheetId="3" state="hidden" r:id="rId3"/>
    <sheet name="2022" sheetId="9" r:id="rId4"/>
    <sheet name="SYNTHESE" sheetId="8" state="hidden" r:id="rId5"/>
    <sheet name="2021-2020" sheetId="6" state="hidden" r:id="rId6"/>
  </sheets>
  <definedNames>
    <definedName name="_xlnm._FilterDatabase" localSheetId="1" hidden="1">'2020'!$B$2:$V$119</definedName>
    <definedName name="_xlnm._FilterDatabase" localSheetId="2" hidden="1">'2021'!$B$2:$V$119</definedName>
    <definedName name="_xlnm._FilterDatabase" localSheetId="5" hidden="1">'2021-2020'!$G$4:$X$4</definedName>
    <definedName name="_xlnm._FilterDatabase" localSheetId="3" hidden="1">'2022'!$B$2:$V$119</definedName>
    <definedName name="_xlnm._FilterDatabase" localSheetId="4" hidden="1">SYNTHESE!$B$2:$AD$119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8" i="9" l="1"/>
  <c r="M86" i="9"/>
  <c r="M85" i="9"/>
  <c r="M84" i="9"/>
  <c r="M83" i="9"/>
  <c r="M82" i="9"/>
  <c r="M81" i="9"/>
  <c r="K88" i="9"/>
  <c r="K87" i="9"/>
  <c r="K86" i="9"/>
  <c r="K85" i="9"/>
  <c r="K83" i="9"/>
  <c r="K82" i="9"/>
  <c r="K81" i="9"/>
  <c r="I88" i="9"/>
  <c r="I87" i="9"/>
  <c r="I86" i="9"/>
  <c r="I84" i="9"/>
  <c r="I83" i="9"/>
  <c r="I82" i="9"/>
  <c r="I81" i="9"/>
  <c r="K99" i="9"/>
  <c r="K95" i="9"/>
  <c r="K84" i="9"/>
  <c r="I85" i="9"/>
  <c r="M87" i="9"/>
  <c r="I93" i="9"/>
  <c r="M93" i="9"/>
  <c r="I94" i="9"/>
  <c r="K94" i="9"/>
  <c r="M94" i="9"/>
  <c r="M95" i="9"/>
  <c r="I98" i="9"/>
  <c r="K98" i="9"/>
  <c r="M98" i="9"/>
  <c r="M99" i="9" l="1"/>
  <c r="I95" i="9"/>
  <c r="I99" i="9"/>
  <c r="K93" i="9"/>
  <c r="G58" i="6" l="1"/>
  <c r="H58" i="6"/>
  <c r="I58" i="6"/>
  <c r="J58" i="6"/>
  <c r="L58" i="6"/>
  <c r="N58" i="6"/>
  <c r="P58" i="6"/>
  <c r="U58" i="6"/>
  <c r="V58" i="6"/>
  <c r="W58" i="6"/>
  <c r="X58" i="6"/>
  <c r="G59" i="6"/>
  <c r="H59" i="6"/>
  <c r="I59" i="6"/>
  <c r="J59" i="6"/>
  <c r="L59" i="6"/>
  <c r="N59" i="6"/>
  <c r="P59" i="6"/>
  <c r="U59" i="6"/>
  <c r="V59" i="6"/>
  <c r="W59" i="6"/>
  <c r="X59" i="6"/>
  <c r="G58" i="8"/>
  <c r="S58" i="8" s="1"/>
  <c r="H58" i="8"/>
  <c r="N58" i="8" s="1"/>
  <c r="I58" i="8"/>
  <c r="O58" i="8" s="1"/>
  <c r="J58" i="8"/>
  <c r="K58" i="8"/>
  <c r="L58" i="8"/>
  <c r="Q58" i="8"/>
  <c r="R58" i="8"/>
  <c r="U58" i="8"/>
  <c r="G59" i="8"/>
  <c r="M59" i="8" s="1"/>
  <c r="H59" i="8"/>
  <c r="N59" i="8" s="1"/>
  <c r="I59" i="8"/>
  <c r="O59" i="8" s="1"/>
  <c r="J59" i="8"/>
  <c r="K59" i="8"/>
  <c r="L59" i="8"/>
  <c r="Q59" i="8"/>
  <c r="R59" i="8"/>
  <c r="S59" i="8"/>
  <c r="U59" i="8"/>
  <c r="N58" i="1"/>
  <c r="O58" i="6" s="1"/>
  <c r="N59" i="1"/>
  <c r="O59" i="6" s="1"/>
  <c r="L58" i="1"/>
  <c r="M58" i="6" s="1"/>
  <c r="L59" i="1"/>
  <c r="M59" i="6" s="1"/>
  <c r="J58" i="1"/>
  <c r="K58" i="6" s="1"/>
  <c r="J59" i="1"/>
  <c r="P59" i="8" s="1"/>
  <c r="V61" i="3"/>
  <c r="U61" i="3"/>
  <c r="T61" i="3"/>
  <c r="S61" i="3"/>
  <c r="R61" i="3"/>
  <c r="Q61" i="3"/>
  <c r="P61" i="3"/>
  <c r="O61" i="3"/>
  <c r="N61" i="3"/>
  <c r="L61" i="3"/>
  <c r="K61" i="3"/>
  <c r="J61" i="3"/>
  <c r="I61" i="3" s="1"/>
  <c r="H61" i="3"/>
  <c r="G61" i="3"/>
  <c r="Y60" i="3"/>
  <c r="M60" i="3"/>
  <c r="K60" i="3"/>
  <c r="I60" i="3"/>
  <c r="M59" i="3"/>
  <c r="K59" i="3"/>
  <c r="I59" i="3"/>
  <c r="M58" i="3"/>
  <c r="K58" i="3"/>
  <c r="I58" i="3"/>
  <c r="Y57" i="3"/>
  <c r="M57" i="3"/>
  <c r="K57" i="3"/>
  <c r="I57" i="3"/>
  <c r="Y56" i="3"/>
  <c r="M56" i="3"/>
  <c r="K56" i="3"/>
  <c r="I56" i="3"/>
  <c r="Y55" i="3"/>
  <c r="M55" i="3"/>
  <c r="K55" i="3"/>
  <c r="I55" i="3"/>
  <c r="Y54" i="3"/>
  <c r="M54" i="3"/>
  <c r="K54" i="3"/>
  <c r="I54" i="3"/>
  <c r="V61" i="9"/>
  <c r="U61" i="9"/>
  <c r="T61" i="9"/>
  <c r="S61" i="9"/>
  <c r="R61" i="9"/>
  <c r="Q61" i="9"/>
  <c r="P61" i="9"/>
  <c r="O61" i="9"/>
  <c r="N61" i="9"/>
  <c r="L61" i="9"/>
  <c r="J61" i="9"/>
  <c r="H61" i="9"/>
  <c r="G61" i="9"/>
  <c r="M60" i="9"/>
  <c r="K60" i="9"/>
  <c r="I60" i="9"/>
  <c r="M59" i="9"/>
  <c r="K59" i="9"/>
  <c r="I59" i="9"/>
  <c r="M58" i="9"/>
  <c r="K58" i="9"/>
  <c r="I58" i="9"/>
  <c r="M57" i="9"/>
  <c r="K57" i="9"/>
  <c r="I57" i="9"/>
  <c r="M56" i="9"/>
  <c r="K56" i="9"/>
  <c r="I56" i="9"/>
  <c r="M55" i="9"/>
  <c r="K55" i="9"/>
  <c r="I55" i="9"/>
  <c r="M54" i="9"/>
  <c r="K54" i="9"/>
  <c r="I54" i="9"/>
  <c r="AD61" i="8"/>
  <c r="AC61" i="8"/>
  <c r="AB61" i="8"/>
  <c r="AA61" i="8"/>
  <c r="Z61" i="8"/>
  <c r="Y61" i="8"/>
  <c r="X61" i="8"/>
  <c r="W61" i="8"/>
  <c r="V61" i="8"/>
  <c r="T61" i="8"/>
  <c r="U61" i="8" s="1"/>
  <c r="U60" i="8"/>
  <c r="R60" i="8"/>
  <c r="Q60" i="8"/>
  <c r="L60" i="8"/>
  <c r="K60" i="8"/>
  <c r="J60" i="8"/>
  <c r="I60" i="8"/>
  <c r="O60" i="8" s="1"/>
  <c r="H60" i="8"/>
  <c r="N60" i="8" s="1"/>
  <c r="G60" i="8"/>
  <c r="AG60" i="8" s="1"/>
  <c r="U57" i="8"/>
  <c r="R57" i="8"/>
  <c r="Q57" i="8"/>
  <c r="L57" i="8"/>
  <c r="K57" i="8"/>
  <c r="J57" i="8"/>
  <c r="I57" i="8"/>
  <c r="O57" i="8" s="1"/>
  <c r="H57" i="8"/>
  <c r="G57" i="8"/>
  <c r="S57" i="8" s="1"/>
  <c r="U56" i="8"/>
  <c r="R56" i="8"/>
  <c r="Q56" i="8"/>
  <c r="N56" i="8" s="1"/>
  <c r="L56" i="8"/>
  <c r="K56" i="8"/>
  <c r="J56" i="8"/>
  <c r="I56" i="8"/>
  <c r="O56" i="8" s="1"/>
  <c r="H56" i="8"/>
  <c r="G56" i="8"/>
  <c r="AG56" i="8" s="1"/>
  <c r="U55" i="8"/>
  <c r="R55" i="8"/>
  <c r="Q55" i="8"/>
  <c r="N55" i="8"/>
  <c r="L55" i="8"/>
  <c r="K55" i="8"/>
  <c r="J55" i="8"/>
  <c r="I55" i="8"/>
  <c r="O55" i="8" s="1"/>
  <c r="H55" i="8"/>
  <c r="G55" i="8"/>
  <c r="S55" i="8" s="1"/>
  <c r="U54" i="8"/>
  <c r="R54" i="8"/>
  <c r="Q54" i="8"/>
  <c r="N54" i="8"/>
  <c r="L54" i="8"/>
  <c r="K54" i="8"/>
  <c r="J54" i="8"/>
  <c r="I54" i="8"/>
  <c r="O54" i="8" s="1"/>
  <c r="H54" i="8"/>
  <c r="G54" i="8"/>
  <c r="S54" i="8" s="1"/>
  <c r="X60" i="6"/>
  <c r="W60" i="6"/>
  <c r="V60" i="6"/>
  <c r="U60" i="6"/>
  <c r="I60" i="6"/>
  <c r="J60" i="6" s="1"/>
  <c r="H60" i="6"/>
  <c r="G60" i="6"/>
  <c r="X57" i="6"/>
  <c r="W57" i="6"/>
  <c r="V57" i="6"/>
  <c r="U57" i="6"/>
  <c r="I57" i="6"/>
  <c r="J57" i="6" s="1"/>
  <c r="H57" i="6"/>
  <c r="G57" i="6"/>
  <c r="X56" i="6"/>
  <c r="W56" i="6"/>
  <c r="V56" i="6"/>
  <c r="U56" i="6"/>
  <c r="I56" i="6"/>
  <c r="J56" i="6" s="1"/>
  <c r="H56" i="6"/>
  <c r="G56" i="6"/>
  <c r="X55" i="6"/>
  <c r="W55" i="6"/>
  <c r="W61" i="6" s="1"/>
  <c r="V55" i="6"/>
  <c r="U55" i="6"/>
  <c r="I55" i="6"/>
  <c r="J55" i="6" s="1"/>
  <c r="H55" i="6"/>
  <c r="G55" i="6"/>
  <c r="X54" i="6"/>
  <c r="W54" i="6"/>
  <c r="V54" i="6"/>
  <c r="U54" i="6"/>
  <c r="N54" i="6"/>
  <c r="L54" i="6"/>
  <c r="I54" i="6"/>
  <c r="H54" i="6"/>
  <c r="G54" i="6"/>
  <c r="G61" i="6" s="1"/>
  <c r="H61" i="6" s="1"/>
  <c r="D54" i="6"/>
  <c r="V61" i="1"/>
  <c r="U61" i="1"/>
  <c r="T61" i="1"/>
  <c r="S61" i="1"/>
  <c r="H61" i="1"/>
  <c r="G61" i="1"/>
  <c r="L60" i="1"/>
  <c r="N60" i="1" s="1"/>
  <c r="J60" i="1"/>
  <c r="L60" i="6" s="1"/>
  <c r="L57" i="1"/>
  <c r="M57" i="6" s="1"/>
  <c r="J57" i="1"/>
  <c r="L57" i="6" s="1"/>
  <c r="L56" i="1"/>
  <c r="N56" i="1" s="1"/>
  <c r="J56" i="1"/>
  <c r="P56" i="8" s="1"/>
  <c r="L55" i="1"/>
  <c r="N55" i="6" s="1"/>
  <c r="J55" i="1"/>
  <c r="L55" i="6" s="1"/>
  <c r="L54" i="1"/>
  <c r="M54" i="6" s="1"/>
  <c r="J54" i="1"/>
  <c r="P54" i="8" s="1"/>
  <c r="L61" i="8" l="1"/>
  <c r="M55" i="8"/>
  <c r="P57" i="8"/>
  <c r="I61" i="9"/>
  <c r="Q61" i="8"/>
  <c r="M56" i="6"/>
  <c r="N57" i="6"/>
  <c r="K61" i="8"/>
  <c r="P58" i="8"/>
  <c r="K59" i="6"/>
  <c r="N57" i="8"/>
  <c r="H61" i="8"/>
  <c r="K61" i="9"/>
  <c r="M61" i="3"/>
  <c r="R61" i="8"/>
  <c r="I61" i="6"/>
  <c r="J61" i="6" s="1"/>
  <c r="I61" i="8"/>
  <c r="O61" i="8" s="1"/>
  <c r="M58" i="8"/>
  <c r="J61" i="8"/>
  <c r="N61" i="8"/>
  <c r="U61" i="6"/>
  <c r="N55" i="1"/>
  <c r="P55" i="6" s="1"/>
  <c r="AG54" i="8"/>
  <c r="P55" i="8"/>
  <c r="K55" i="6"/>
  <c r="P60" i="8"/>
  <c r="N57" i="1"/>
  <c r="L56" i="6"/>
  <c r="AG55" i="8"/>
  <c r="S60" i="8"/>
  <c r="P56" i="6"/>
  <c r="O56" i="6"/>
  <c r="M54" i="8"/>
  <c r="P60" i="6"/>
  <c r="O60" i="6"/>
  <c r="N54" i="1"/>
  <c r="J61" i="1"/>
  <c r="I61" i="1" s="1"/>
  <c r="O55" i="6"/>
  <c r="K57" i="6"/>
  <c r="M60" i="6"/>
  <c r="S56" i="8"/>
  <c r="M60" i="8"/>
  <c r="J54" i="6"/>
  <c r="N56" i="6"/>
  <c r="K54" i="6"/>
  <c r="M55" i="6"/>
  <c r="K60" i="6"/>
  <c r="N60" i="6"/>
  <c r="M57" i="8"/>
  <c r="AG57" i="8"/>
  <c r="G61" i="8"/>
  <c r="M61" i="9"/>
  <c r="L61" i="1"/>
  <c r="K61" i="1" s="1"/>
  <c r="K56" i="6"/>
  <c r="M56" i="8"/>
  <c r="V20" i="9"/>
  <c r="U20" i="9"/>
  <c r="T20" i="9"/>
  <c r="S20" i="9"/>
  <c r="R20" i="9"/>
  <c r="Q20" i="9"/>
  <c r="P20" i="9"/>
  <c r="O20" i="9"/>
  <c r="V32" i="9"/>
  <c r="U32" i="9"/>
  <c r="T32" i="9"/>
  <c r="S32" i="9"/>
  <c r="R32" i="9"/>
  <c r="Q32" i="9"/>
  <c r="P32" i="9"/>
  <c r="O32" i="9"/>
  <c r="V43" i="9"/>
  <c r="U43" i="9"/>
  <c r="T43" i="9"/>
  <c r="S43" i="9"/>
  <c r="R43" i="9"/>
  <c r="Q43" i="9"/>
  <c r="P43" i="9"/>
  <c r="O43" i="9"/>
  <c r="G15" i="8"/>
  <c r="S15" i="8" s="1"/>
  <c r="H15" i="8"/>
  <c r="N15" i="8" s="1"/>
  <c r="I15" i="8"/>
  <c r="O15" i="8" s="1"/>
  <c r="J15" i="8"/>
  <c r="K15" i="8"/>
  <c r="L15" i="8"/>
  <c r="P15" i="8"/>
  <c r="Q15" i="8"/>
  <c r="R15" i="8"/>
  <c r="U15" i="8"/>
  <c r="G16" i="8"/>
  <c r="S16" i="8" s="1"/>
  <c r="H16" i="8"/>
  <c r="N16" i="8" s="1"/>
  <c r="I16" i="8"/>
  <c r="J16" i="8"/>
  <c r="K16" i="8"/>
  <c r="L16" i="8"/>
  <c r="O16" i="8"/>
  <c r="P16" i="8"/>
  <c r="Q16" i="8"/>
  <c r="R16" i="8"/>
  <c r="U16" i="8"/>
  <c r="G17" i="8"/>
  <c r="H17" i="8"/>
  <c r="I17" i="8"/>
  <c r="O17" i="8" s="1"/>
  <c r="J17" i="8"/>
  <c r="K17" i="8"/>
  <c r="L17" i="8"/>
  <c r="M17" i="8"/>
  <c r="N17" i="8"/>
  <c r="P17" i="8"/>
  <c r="Q17" i="8"/>
  <c r="R17" i="8"/>
  <c r="S17" i="8"/>
  <c r="U17" i="8"/>
  <c r="G18" i="8"/>
  <c r="S18" i="8" s="1"/>
  <c r="H18" i="8"/>
  <c r="N18" i="8" s="1"/>
  <c r="I18" i="8"/>
  <c r="O18" i="8" s="1"/>
  <c r="J18" i="8"/>
  <c r="K18" i="8"/>
  <c r="L18" i="8"/>
  <c r="M18" i="8"/>
  <c r="P18" i="8"/>
  <c r="Q18" i="8"/>
  <c r="R18" i="8"/>
  <c r="U18" i="8"/>
  <c r="M17" i="9"/>
  <c r="M18" i="9"/>
  <c r="M17" i="3"/>
  <c r="M18" i="3"/>
  <c r="K17" i="9"/>
  <c r="K18" i="9"/>
  <c r="K17" i="3"/>
  <c r="K18" i="3"/>
  <c r="I17" i="9"/>
  <c r="I18" i="9"/>
  <c r="I17" i="3"/>
  <c r="I18" i="3"/>
  <c r="M19" i="6"/>
  <c r="K19" i="6"/>
  <c r="I19" i="6"/>
  <c r="J19" i="6" s="1"/>
  <c r="H19" i="6"/>
  <c r="G19" i="6"/>
  <c r="M16" i="6"/>
  <c r="K16" i="6"/>
  <c r="I16" i="6"/>
  <c r="J16" i="6" s="1"/>
  <c r="H16" i="6"/>
  <c r="G16" i="6"/>
  <c r="M15" i="6"/>
  <c r="K15" i="6"/>
  <c r="I15" i="6"/>
  <c r="J15" i="6" s="1"/>
  <c r="H15" i="6"/>
  <c r="G15" i="6"/>
  <c r="M14" i="6"/>
  <c r="K14" i="6"/>
  <c r="I14" i="6"/>
  <c r="J14" i="6" s="1"/>
  <c r="H14" i="6"/>
  <c r="G14" i="6"/>
  <c r="M13" i="6"/>
  <c r="K13" i="6"/>
  <c r="I13" i="6"/>
  <c r="J13" i="6" s="1"/>
  <c r="H13" i="6"/>
  <c r="G13" i="6"/>
  <c r="M12" i="6"/>
  <c r="K12" i="6"/>
  <c r="I12" i="6"/>
  <c r="J12" i="6" s="1"/>
  <c r="H12" i="6"/>
  <c r="G12" i="6"/>
  <c r="M11" i="6"/>
  <c r="K11" i="6"/>
  <c r="I11" i="6"/>
  <c r="J11" i="6" s="1"/>
  <c r="H11" i="6"/>
  <c r="G11" i="6"/>
  <c r="M10" i="6"/>
  <c r="K10" i="6"/>
  <c r="I10" i="6"/>
  <c r="J10" i="6" s="1"/>
  <c r="H10" i="6"/>
  <c r="G10" i="6"/>
  <c r="M9" i="6"/>
  <c r="K9" i="6"/>
  <c r="I9" i="6"/>
  <c r="J9" i="6" s="1"/>
  <c r="H9" i="6"/>
  <c r="G9" i="6"/>
  <c r="M8" i="6"/>
  <c r="K8" i="6"/>
  <c r="I8" i="6"/>
  <c r="J8" i="6" s="1"/>
  <c r="H8" i="6"/>
  <c r="G8" i="6"/>
  <c r="M7" i="6"/>
  <c r="K7" i="6"/>
  <c r="J7" i="6"/>
  <c r="I7" i="6"/>
  <c r="H7" i="6"/>
  <c r="G7" i="6"/>
  <c r="V20" i="8"/>
  <c r="T20" i="8"/>
  <c r="U20" i="8" s="1"/>
  <c r="U19" i="8"/>
  <c r="R19" i="8"/>
  <c r="Q19" i="8"/>
  <c r="P19" i="8"/>
  <c r="M19" i="8"/>
  <c r="L19" i="8"/>
  <c r="K19" i="8"/>
  <c r="J19" i="8"/>
  <c r="I19" i="8"/>
  <c r="O19" i="8" s="1"/>
  <c r="H19" i="8"/>
  <c r="N19" i="8" s="1"/>
  <c r="G19" i="8"/>
  <c r="AG19" i="8" s="1"/>
  <c r="U14" i="8"/>
  <c r="R14" i="8"/>
  <c r="Q14" i="8"/>
  <c r="P14" i="8"/>
  <c r="L14" i="8"/>
  <c r="K14" i="8"/>
  <c r="J14" i="8"/>
  <c r="I14" i="8"/>
  <c r="O14" i="8" s="1"/>
  <c r="H14" i="8"/>
  <c r="N14" i="8" s="1"/>
  <c r="G14" i="8"/>
  <c r="S14" i="8" s="1"/>
  <c r="U13" i="8"/>
  <c r="R13" i="8"/>
  <c r="Q13" i="8"/>
  <c r="P13" i="8"/>
  <c r="L13" i="8"/>
  <c r="K13" i="8"/>
  <c r="J13" i="8"/>
  <c r="I13" i="8"/>
  <c r="O13" i="8" s="1"/>
  <c r="H13" i="8"/>
  <c r="N13" i="8" s="1"/>
  <c r="G13" i="8"/>
  <c r="S13" i="8" s="1"/>
  <c r="U12" i="8"/>
  <c r="R12" i="8"/>
  <c r="Q12" i="8"/>
  <c r="P12" i="8"/>
  <c r="L12" i="8"/>
  <c r="K12" i="8"/>
  <c r="J12" i="8"/>
  <c r="I12" i="8"/>
  <c r="O12" i="8" s="1"/>
  <c r="H12" i="8"/>
  <c r="N12" i="8" s="1"/>
  <c r="G12" i="8"/>
  <c r="AG12" i="8" s="1"/>
  <c r="U11" i="8"/>
  <c r="R11" i="8"/>
  <c r="Q11" i="8"/>
  <c r="P11" i="8"/>
  <c r="L11" i="8"/>
  <c r="K11" i="8"/>
  <c r="J11" i="8"/>
  <c r="I11" i="8"/>
  <c r="O11" i="8" s="1"/>
  <c r="H11" i="8"/>
  <c r="N11" i="8" s="1"/>
  <c r="G11" i="8"/>
  <c r="S11" i="8" s="1"/>
  <c r="R10" i="8"/>
  <c r="Q10" i="8"/>
  <c r="P10" i="8"/>
  <c r="L10" i="8"/>
  <c r="K10" i="8"/>
  <c r="J10" i="8"/>
  <c r="I10" i="8"/>
  <c r="O10" i="8" s="1"/>
  <c r="H10" i="8"/>
  <c r="N10" i="8" s="1"/>
  <c r="G10" i="8"/>
  <c r="AG10" i="8" s="1"/>
  <c r="U9" i="8"/>
  <c r="R9" i="8"/>
  <c r="Q9" i="8"/>
  <c r="P9" i="8"/>
  <c r="L9" i="8"/>
  <c r="K9" i="8"/>
  <c r="J9" i="8"/>
  <c r="I9" i="8"/>
  <c r="O9" i="8" s="1"/>
  <c r="H9" i="8"/>
  <c r="N9" i="8" s="1"/>
  <c r="G9" i="8"/>
  <c r="M9" i="8" s="1"/>
  <c r="U8" i="8"/>
  <c r="R8" i="8"/>
  <c r="Q8" i="8"/>
  <c r="P8" i="8"/>
  <c r="L8" i="8"/>
  <c r="K8" i="8"/>
  <c r="J8" i="8"/>
  <c r="I8" i="8"/>
  <c r="O8" i="8" s="1"/>
  <c r="H8" i="8"/>
  <c r="N8" i="8" s="1"/>
  <c r="G8" i="8"/>
  <c r="AG8" i="8" s="1"/>
  <c r="U7" i="8"/>
  <c r="R7" i="8"/>
  <c r="Q7" i="8"/>
  <c r="P7" i="8"/>
  <c r="L7" i="8"/>
  <c r="K7" i="8"/>
  <c r="J7" i="8"/>
  <c r="I7" i="8"/>
  <c r="O7" i="8" s="1"/>
  <c r="H7" i="8"/>
  <c r="N7" i="8" s="1"/>
  <c r="G7" i="8"/>
  <c r="S7" i="8" s="1"/>
  <c r="I15" i="9"/>
  <c r="K15" i="9"/>
  <c r="I16" i="9"/>
  <c r="K16" i="9"/>
  <c r="I15" i="3"/>
  <c r="L15" i="6" s="1"/>
  <c r="K15" i="3"/>
  <c r="N15" i="6" s="1"/>
  <c r="I16" i="3"/>
  <c r="L16" i="6" s="1"/>
  <c r="K16" i="3"/>
  <c r="N16" i="6" s="1"/>
  <c r="H20" i="1"/>
  <c r="G20" i="1"/>
  <c r="N20" i="9"/>
  <c r="L20" i="9"/>
  <c r="J20" i="9"/>
  <c r="H20" i="9"/>
  <c r="G20" i="9"/>
  <c r="M19" i="9"/>
  <c r="K19" i="9"/>
  <c r="I19" i="9"/>
  <c r="M16" i="9"/>
  <c r="M15" i="9"/>
  <c r="M14" i="9"/>
  <c r="K14" i="9"/>
  <c r="I14" i="9"/>
  <c r="M13" i="9"/>
  <c r="K13" i="9"/>
  <c r="I13" i="9"/>
  <c r="M12" i="9"/>
  <c r="K12" i="9"/>
  <c r="I12" i="9"/>
  <c r="M11" i="9"/>
  <c r="K11" i="9"/>
  <c r="I11" i="9"/>
  <c r="M10" i="9"/>
  <c r="K10" i="9"/>
  <c r="I10" i="9"/>
  <c r="M9" i="9"/>
  <c r="K9" i="9"/>
  <c r="I9" i="9"/>
  <c r="M8" i="9"/>
  <c r="K8" i="9"/>
  <c r="I8" i="9"/>
  <c r="M7" i="9"/>
  <c r="K7" i="9"/>
  <c r="I7" i="9"/>
  <c r="N20" i="3"/>
  <c r="L20" i="3"/>
  <c r="K20" i="3"/>
  <c r="J20" i="3"/>
  <c r="H20" i="3"/>
  <c r="G20" i="3"/>
  <c r="Y19" i="3"/>
  <c r="M19" i="3"/>
  <c r="K19" i="3"/>
  <c r="N19" i="6" s="1"/>
  <c r="I19" i="3"/>
  <c r="L19" i="6" s="1"/>
  <c r="M16" i="3"/>
  <c r="M15" i="3"/>
  <c r="Y14" i="3"/>
  <c r="M14" i="3"/>
  <c r="K14" i="3"/>
  <c r="N14" i="6" s="1"/>
  <c r="I14" i="3"/>
  <c r="L14" i="6" s="1"/>
  <c r="Y13" i="3"/>
  <c r="M13" i="3"/>
  <c r="K13" i="3"/>
  <c r="N13" i="6" s="1"/>
  <c r="I13" i="3"/>
  <c r="L13" i="6" s="1"/>
  <c r="Y12" i="3"/>
  <c r="M12" i="3"/>
  <c r="K12" i="3"/>
  <c r="N12" i="6" s="1"/>
  <c r="I12" i="3"/>
  <c r="L12" i="6" s="1"/>
  <c r="Y11" i="3"/>
  <c r="M11" i="3"/>
  <c r="K11" i="3"/>
  <c r="N11" i="6" s="1"/>
  <c r="I11" i="3"/>
  <c r="L11" i="6" s="1"/>
  <c r="Y10" i="3"/>
  <c r="M10" i="3"/>
  <c r="K10" i="3"/>
  <c r="N10" i="6" s="1"/>
  <c r="I10" i="3"/>
  <c r="L10" i="6" s="1"/>
  <c r="Y9" i="3"/>
  <c r="M9" i="3"/>
  <c r="K9" i="3"/>
  <c r="N9" i="6" s="1"/>
  <c r="I9" i="3"/>
  <c r="L9" i="6" s="1"/>
  <c r="Y8" i="3"/>
  <c r="M8" i="3"/>
  <c r="K8" i="3"/>
  <c r="N8" i="6" s="1"/>
  <c r="I8" i="3"/>
  <c r="L8" i="6" s="1"/>
  <c r="Y7" i="3"/>
  <c r="M7" i="3"/>
  <c r="K7" i="3"/>
  <c r="N7" i="6" s="1"/>
  <c r="I7" i="3"/>
  <c r="L7" i="6" s="1"/>
  <c r="M109" i="3"/>
  <c r="M110" i="3"/>
  <c r="M106" i="3"/>
  <c r="K109" i="1"/>
  <c r="K110" i="1"/>
  <c r="K109" i="3"/>
  <c r="K110" i="3"/>
  <c r="I106" i="3"/>
  <c r="I107" i="3"/>
  <c r="I108" i="3"/>
  <c r="I109" i="3"/>
  <c r="I110" i="3"/>
  <c r="M96" i="3"/>
  <c r="M97" i="3"/>
  <c r="K96" i="3"/>
  <c r="K97" i="3"/>
  <c r="I96" i="3"/>
  <c r="I97" i="3"/>
  <c r="M87" i="3"/>
  <c r="M88" i="3"/>
  <c r="M89" i="3"/>
  <c r="M90" i="3"/>
  <c r="M91" i="3"/>
  <c r="K87" i="3"/>
  <c r="K88" i="3"/>
  <c r="K89" i="3"/>
  <c r="K90" i="3"/>
  <c r="K91" i="3"/>
  <c r="I87" i="3"/>
  <c r="I88" i="3"/>
  <c r="I89" i="3"/>
  <c r="I90" i="3"/>
  <c r="I91" i="3"/>
  <c r="M77" i="9"/>
  <c r="M78" i="9"/>
  <c r="M77" i="3"/>
  <c r="M78" i="3"/>
  <c r="K77" i="9"/>
  <c r="K78" i="9"/>
  <c r="K77" i="3"/>
  <c r="K78" i="3"/>
  <c r="I77" i="9"/>
  <c r="I78" i="9"/>
  <c r="I77" i="3"/>
  <c r="I78" i="3"/>
  <c r="M66" i="9"/>
  <c r="M67" i="9"/>
  <c r="M66" i="3"/>
  <c r="M67" i="3"/>
  <c r="K66" i="9"/>
  <c r="K67" i="9"/>
  <c r="K66" i="3"/>
  <c r="K67" i="3"/>
  <c r="I66" i="9"/>
  <c r="I67" i="9"/>
  <c r="I66" i="3"/>
  <c r="I67" i="3"/>
  <c r="M50" i="9"/>
  <c r="M51" i="9"/>
  <c r="M50" i="3"/>
  <c r="M51" i="3"/>
  <c r="K50" i="9"/>
  <c r="K51" i="9"/>
  <c r="K50" i="3"/>
  <c r="K51" i="3"/>
  <c r="I50" i="9"/>
  <c r="I51" i="9"/>
  <c r="I50" i="3"/>
  <c r="I51" i="3"/>
  <c r="M40" i="9"/>
  <c r="M41" i="9"/>
  <c r="M40" i="3"/>
  <c r="M41" i="3"/>
  <c r="K40" i="9"/>
  <c r="K41" i="9"/>
  <c r="K40" i="3"/>
  <c r="K41" i="3"/>
  <c r="I40" i="9"/>
  <c r="I41" i="9"/>
  <c r="I40" i="3"/>
  <c r="I41" i="3"/>
  <c r="M29" i="9"/>
  <c r="M30" i="9"/>
  <c r="M29" i="3"/>
  <c r="M30" i="3"/>
  <c r="M24" i="9"/>
  <c r="M24" i="3"/>
  <c r="I24" i="9"/>
  <c r="I24" i="3"/>
  <c r="K24" i="9"/>
  <c r="K24" i="3"/>
  <c r="K29" i="9"/>
  <c r="K30" i="9"/>
  <c r="K29" i="3"/>
  <c r="K30" i="3"/>
  <c r="I29" i="9"/>
  <c r="I30" i="9"/>
  <c r="I29" i="3"/>
  <c r="I30" i="3"/>
  <c r="M6" i="1"/>
  <c r="K6" i="1"/>
  <c r="Y6" i="3"/>
  <c r="M6" i="3"/>
  <c r="K6" i="3"/>
  <c r="I6" i="3"/>
  <c r="M6" i="9"/>
  <c r="K6" i="9"/>
  <c r="I6" i="9"/>
  <c r="U6" i="8"/>
  <c r="R6" i="8"/>
  <c r="Q6" i="8"/>
  <c r="L6" i="8"/>
  <c r="K6" i="8"/>
  <c r="J6" i="8"/>
  <c r="I6" i="8"/>
  <c r="O6" i="8" s="1"/>
  <c r="H6" i="8"/>
  <c r="G6" i="8"/>
  <c r="S6" i="8" s="1"/>
  <c r="O6" i="6"/>
  <c r="J6" i="6"/>
  <c r="I6" i="6"/>
  <c r="H6" i="6"/>
  <c r="G6" i="6"/>
  <c r="D6" i="6"/>
  <c r="P61" i="8" l="1"/>
  <c r="S9" i="8"/>
  <c r="K61" i="6"/>
  <c r="L61" i="6" s="1"/>
  <c r="P57" i="6"/>
  <c r="O57" i="6"/>
  <c r="M61" i="6"/>
  <c r="N61" i="6" s="1"/>
  <c r="M10" i="8"/>
  <c r="N61" i="1"/>
  <c r="M61" i="1" s="1"/>
  <c r="O54" i="6"/>
  <c r="O61" i="6" s="1"/>
  <c r="P61" i="6" s="1"/>
  <c r="P54" i="6"/>
  <c r="M61" i="8"/>
  <c r="S61" i="8"/>
  <c r="S19" i="8"/>
  <c r="M15" i="8"/>
  <c r="M16" i="8"/>
  <c r="M14" i="8"/>
  <c r="K20" i="8"/>
  <c r="Q20" i="8"/>
  <c r="N6" i="8"/>
  <c r="M8" i="8"/>
  <c r="J20" i="8"/>
  <c r="R20" i="8"/>
  <c r="M11" i="8"/>
  <c r="AG14" i="8"/>
  <c r="I20" i="8"/>
  <c r="O20" i="8" s="1"/>
  <c r="L20" i="8"/>
  <c r="S8" i="8"/>
  <c r="AG9" i="8"/>
  <c r="AG11" i="8"/>
  <c r="P20" i="8"/>
  <c r="M20" i="6"/>
  <c r="N20" i="6" s="1"/>
  <c r="G20" i="6"/>
  <c r="H20" i="6" s="1"/>
  <c r="K20" i="6"/>
  <c r="L20" i="6" s="1"/>
  <c r="I20" i="6"/>
  <c r="J20" i="6" s="1"/>
  <c r="S12" i="8"/>
  <c r="AG13" i="8"/>
  <c r="H20" i="8"/>
  <c r="N20" i="8" s="1"/>
  <c r="G20" i="8"/>
  <c r="M7" i="8"/>
  <c r="AG7" i="8"/>
  <c r="M13" i="8"/>
  <c r="M12" i="8"/>
  <c r="M20" i="3"/>
  <c r="I20" i="9"/>
  <c r="I20" i="3"/>
  <c r="M20" i="9"/>
  <c r="L20" i="1"/>
  <c r="K20" i="1" s="1"/>
  <c r="N20" i="1"/>
  <c r="J20" i="1"/>
  <c r="I20" i="1" s="1"/>
  <c r="K20" i="9"/>
  <c r="AG6" i="8"/>
  <c r="I6" i="1"/>
  <c r="R111" i="8"/>
  <c r="Q111" i="8"/>
  <c r="R108" i="8"/>
  <c r="Q108" i="8"/>
  <c r="R107" i="8"/>
  <c r="Q107" i="8"/>
  <c r="R106" i="8"/>
  <c r="Q106" i="8"/>
  <c r="P106" i="8"/>
  <c r="R105" i="8"/>
  <c r="Q105" i="8"/>
  <c r="P105" i="8"/>
  <c r="R104" i="8"/>
  <c r="Q104" i="8"/>
  <c r="R103" i="8"/>
  <c r="Q103" i="8"/>
  <c r="R102" i="8"/>
  <c r="Q102" i="8"/>
  <c r="R101" i="8"/>
  <c r="Q101" i="8"/>
  <c r="R100" i="8"/>
  <c r="Q100" i="8"/>
  <c r="R98" i="8"/>
  <c r="Q98" i="8"/>
  <c r="P98" i="8"/>
  <c r="R95" i="8"/>
  <c r="Q95" i="8"/>
  <c r="P95" i="8"/>
  <c r="R94" i="8"/>
  <c r="Q94" i="8"/>
  <c r="R92" i="8"/>
  <c r="Q92" i="8"/>
  <c r="P92" i="8"/>
  <c r="R89" i="8"/>
  <c r="Q89" i="8"/>
  <c r="P89" i="8"/>
  <c r="R88" i="8"/>
  <c r="Q88" i="8"/>
  <c r="P88" i="8"/>
  <c r="R87" i="8"/>
  <c r="Q87" i="8"/>
  <c r="P87" i="8"/>
  <c r="R86" i="8"/>
  <c r="Q86" i="8"/>
  <c r="R85" i="8"/>
  <c r="Q85" i="8"/>
  <c r="R84" i="8"/>
  <c r="Q84" i="8"/>
  <c r="R83" i="8"/>
  <c r="Q83" i="8"/>
  <c r="P83" i="8"/>
  <c r="R82" i="8"/>
  <c r="Q82" i="8"/>
  <c r="P82" i="8"/>
  <c r="R81" i="8"/>
  <c r="Q81" i="8"/>
  <c r="P81" i="8"/>
  <c r="R79" i="8"/>
  <c r="P79" i="8"/>
  <c r="R76" i="8"/>
  <c r="P76" i="8"/>
  <c r="R75" i="8"/>
  <c r="R74" i="8"/>
  <c r="R73" i="8"/>
  <c r="R72" i="8"/>
  <c r="R71" i="8"/>
  <c r="R70" i="8"/>
  <c r="R68" i="8"/>
  <c r="Q68" i="8"/>
  <c r="R65" i="8"/>
  <c r="Q65" i="8"/>
  <c r="R64" i="8"/>
  <c r="Q64" i="8"/>
  <c r="R63" i="8"/>
  <c r="Q63" i="8"/>
  <c r="R62" i="8"/>
  <c r="Q62" i="8"/>
  <c r="R52" i="8"/>
  <c r="Q52" i="8"/>
  <c r="P52" i="8"/>
  <c r="R49" i="8"/>
  <c r="Q49" i="8"/>
  <c r="P49" i="8"/>
  <c r="R48" i="8"/>
  <c r="Q48" i="8"/>
  <c r="P48" i="8"/>
  <c r="R47" i="8"/>
  <c r="Q47" i="8"/>
  <c r="P47" i="8"/>
  <c r="R46" i="8"/>
  <c r="Q46" i="8"/>
  <c r="P46" i="8"/>
  <c r="R45" i="8"/>
  <c r="Q45" i="8"/>
  <c r="P45" i="8"/>
  <c r="R42" i="8"/>
  <c r="Q42" i="8"/>
  <c r="R39" i="8"/>
  <c r="Q39" i="8"/>
  <c r="R38" i="8"/>
  <c r="Q38" i="8"/>
  <c r="R37" i="8"/>
  <c r="Q37" i="8"/>
  <c r="R36" i="8"/>
  <c r="Q36" i="8"/>
  <c r="R35" i="8"/>
  <c r="Q35" i="8"/>
  <c r="R34" i="8"/>
  <c r="Q34" i="8"/>
  <c r="R33" i="8"/>
  <c r="Q33" i="8"/>
  <c r="R31" i="8"/>
  <c r="Q31" i="8"/>
  <c r="R28" i="8"/>
  <c r="Q28" i="8"/>
  <c r="R27" i="8"/>
  <c r="Q27" i="8"/>
  <c r="R26" i="8"/>
  <c r="Q26" i="8"/>
  <c r="R25" i="8"/>
  <c r="Q25" i="8"/>
  <c r="R24" i="8"/>
  <c r="Q24" i="8"/>
  <c r="P24" i="8"/>
  <c r="R23" i="8"/>
  <c r="Q23" i="8"/>
  <c r="R22" i="8"/>
  <c r="Q22" i="8"/>
  <c r="R21" i="8"/>
  <c r="Q21" i="8"/>
  <c r="R5" i="8"/>
  <c r="Q5" i="8"/>
  <c r="I5" i="8"/>
  <c r="O5" i="8" s="1"/>
  <c r="L111" i="8"/>
  <c r="K111" i="8"/>
  <c r="L108" i="8"/>
  <c r="L107" i="8"/>
  <c r="L106" i="8"/>
  <c r="K106" i="8"/>
  <c r="J106" i="8"/>
  <c r="L105" i="8"/>
  <c r="K105" i="8"/>
  <c r="J105" i="8"/>
  <c r="L104" i="8"/>
  <c r="K104" i="8"/>
  <c r="L103" i="8"/>
  <c r="K103" i="8"/>
  <c r="L102" i="8"/>
  <c r="K102" i="8"/>
  <c r="L101" i="8"/>
  <c r="K101" i="8"/>
  <c r="L100" i="8"/>
  <c r="K100" i="8"/>
  <c r="L98" i="8"/>
  <c r="K98" i="8"/>
  <c r="J98" i="8"/>
  <c r="L95" i="8"/>
  <c r="K95" i="8"/>
  <c r="J95" i="8"/>
  <c r="L94" i="8"/>
  <c r="K94" i="8"/>
  <c r="J94" i="8"/>
  <c r="L92" i="8"/>
  <c r="K92" i="8"/>
  <c r="J92" i="8"/>
  <c r="L89" i="8"/>
  <c r="K89" i="8"/>
  <c r="J89" i="8"/>
  <c r="L88" i="8"/>
  <c r="K88" i="8"/>
  <c r="J88" i="8"/>
  <c r="L87" i="8"/>
  <c r="K87" i="8"/>
  <c r="J87" i="8"/>
  <c r="L86" i="8"/>
  <c r="K86" i="8"/>
  <c r="J86" i="8"/>
  <c r="L85" i="8"/>
  <c r="K85" i="8"/>
  <c r="J85" i="8"/>
  <c r="L84" i="8"/>
  <c r="K84" i="8"/>
  <c r="J84" i="8"/>
  <c r="L83" i="8"/>
  <c r="K83" i="8"/>
  <c r="J83" i="8"/>
  <c r="L82" i="8"/>
  <c r="K82" i="8"/>
  <c r="J82" i="8"/>
  <c r="L81" i="8"/>
  <c r="K81" i="8"/>
  <c r="J81" i="8"/>
  <c r="L79" i="8"/>
  <c r="J79" i="8"/>
  <c r="L76" i="8"/>
  <c r="J76" i="8"/>
  <c r="L75" i="8"/>
  <c r="L74" i="8"/>
  <c r="L73" i="8"/>
  <c r="L72" i="8"/>
  <c r="L71" i="8"/>
  <c r="L70" i="8"/>
  <c r="L68" i="8"/>
  <c r="K68" i="8"/>
  <c r="J68" i="8"/>
  <c r="L65" i="8"/>
  <c r="K65" i="8"/>
  <c r="J65" i="8"/>
  <c r="L64" i="8"/>
  <c r="K64" i="8"/>
  <c r="J64" i="8"/>
  <c r="L63" i="8"/>
  <c r="K63" i="8"/>
  <c r="J63" i="8"/>
  <c r="L62" i="8"/>
  <c r="K62" i="8"/>
  <c r="J62" i="8"/>
  <c r="L52" i="8"/>
  <c r="K52" i="8"/>
  <c r="J52" i="8"/>
  <c r="L49" i="8"/>
  <c r="K49" i="8"/>
  <c r="J49" i="8"/>
  <c r="L48" i="8"/>
  <c r="K48" i="8"/>
  <c r="J48" i="8"/>
  <c r="L47" i="8"/>
  <c r="K47" i="8"/>
  <c r="J47" i="8"/>
  <c r="L46" i="8"/>
  <c r="K46" i="8"/>
  <c r="J46" i="8"/>
  <c r="L45" i="8"/>
  <c r="K45" i="8"/>
  <c r="J45" i="8"/>
  <c r="L42" i="8"/>
  <c r="K42" i="8"/>
  <c r="J42" i="8"/>
  <c r="L39" i="8"/>
  <c r="K39" i="8"/>
  <c r="J39" i="8"/>
  <c r="L38" i="8"/>
  <c r="K38" i="8"/>
  <c r="J38" i="8"/>
  <c r="L37" i="8"/>
  <c r="K37" i="8"/>
  <c r="J37" i="8"/>
  <c r="L36" i="8"/>
  <c r="K36" i="8"/>
  <c r="J36" i="8"/>
  <c r="L35" i="8"/>
  <c r="K35" i="8"/>
  <c r="J35" i="8"/>
  <c r="L34" i="8"/>
  <c r="K34" i="8"/>
  <c r="J34" i="8"/>
  <c r="L33" i="8"/>
  <c r="K33" i="8"/>
  <c r="J33" i="8"/>
  <c r="L31" i="8"/>
  <c r="K31" i="8"/>
  <c r="J31" i="8"/>
  <c r="L28" i="8"/>
  <c r="K28" i="8"/>
  <c r="J28" i="8"/>
  <c r="L27" i="8"/>
  <c r="K27" i="8"/>
  <c r="J27" i="8"/>
  <c r="L26" i="8"/>
  <c r="K26" i="8"/>
  <c r="J26" i="8"/>
  <c r="L25" i="8"/>
  <c r="K25" i="8"/>
  <c r="J25" i="8"/>
  <c r="L24" i="8"/>
  <c r="K24" i="8"/>
  <c r="J24" i="8"/>
  <c r="L23" i="8"/>
  <c r="K23" i="8"/>
  <c r="J23" i="8"/>
  <c r="L22" i="8"/>
  <c r="K22" i="8"/>
  <c r="J22" i="8"/>
  <c r="L21" i="8"/>
  <c r="K21" i="8"/>
  <c r="J21" i="8"/>
  <c r="L5" i="8"/>
  <c r="K5" i="8"/>
  <c r="J5" i="8"/>
  <c r="I111" i="8"/>
  <c r="O111" i="8" s="1"/>
  <c r="I108" i="8"/>
  <c r="O108" i="8" s="1"/>
  <c r="I107" i="8"/>
  <c r="O107" i="8" s="1"/>
  <c r="I106" i="8"/>
  <c r="O106" i="8" s="1"/>
  <c r="I105" i="8"/>
  <c r="O105" i="8" s="1"/>
  <c r="I104" i="8"/>
  <c r="O104" i="8" s="1"/>
  <c r="I103" i="8"/>
  <c r="O103" i="8" s="1"/>
  <c r="I102" i="8"/>
  <c r="O102" i="8" s="1"/>
  <c r="I101" i="8"/>
  <c r="O101" i="8" s="1"/>
  <c r="I100" i="8"/>
  <c r="O100" i="8" s="1"/>
  <c r="I98" i="8"/>
  <c r="O98" i="8" s="1"/>
  <c r="I95" i="8"/>
  <c r="O95" i="8" s="1"/>
  <c r="I94" i="8"/>
  <c r="O94" i="8" s="1"/>
  <c r="I92" i="8"/>
  <c r="O92" i="8" s="1"/>
  <c r="I89" i="8"/>
  <c r="O89" i="8" s="1"/>
  <c r="I88" i="8"/>
  <c r="O88" i="8" s="1"/>
  <c r="I87" i="8"/>
  <c r="I86" i="8"/>
  <c r="O86" i="8" s="1"/>
  <c r="I85" i="8"/>
  <c r="O85" i="8" s="1"/>
  <c r="I84" i="8"/>
  <c r="O84" i="8" s="1"/>
  <c r="I83" i="8"/>
  <c r="O83" i="8" s="1"/>
  <c r="I82" i="8"/>
  <c r="I81" i="8"/>
  <c r="O81" i="8" s="1"/>
  <c r="I79" i="8"/>
  <c r="O79" i="8" s="1"/>
  <c r="I76" i="8"/>
  <c r="O76" i="8" s="1"/>
  <c r="I75" i="8"/>
  <c r="O75" i="8" s="1"/>
  <c r="I74" i="8"/>
  <c r="O74" i="8" s="1"/>
  <c r="I73" i="8"/>
  <c r="O73" i="8" s="1"/>
  <c r="I72" i="8"/>
  <c r="O72" i="8" s="1"/>
  <c r="I71" i="8"/>
  <c r="O71" i="8" s="1"/>
  <c r="I70" i="8"/>
  <c r="O70" i="8" s="1"/>
  <c r="I68" i="8"/>
  <c r="O68" i="8" s="1"/>
  <c r="I65" i="8"/>
  <c r="O65" i="8" s="1"/>
  <c r="I64" i="8"/>
  <c r="O64" i="8" s="1"/>
  <c r="I63" i="8"/>
  <c r="O63" i="8" s="1"/>
  <c r="I62" i="8"/>
  <c r="O62" i="8" s="1"/>
  <c r="I52" i="8"/>
  <c r="O52" i="8" s="1"/>
  <c r="I49" i="8"/>
  <c r="O49" i="8" s="1"/>
  <c r="I48" i="8"/>
  <c r="O48" i="8" s="1"/>
  <c r="I47" i="8"/>
  <c r="O47" i="8" s="1"/>
  <c r="I46" i="8"/>
  <c r="O46" i="8" s="1"/>
  <c r="I45" i="8"/>
  <c r="O45" i="8" s="1"/>
  <c r="I42" i="8"/>
  <c r="O42" i="8" s="1"/>
  <c r="I39" i="8"/>
  <c r="O39" i="8" s="1"/>
  <c r="I38" i="8"/>
  <c r="O38" i="8" s="1"/>
  <c r="I37" i="8"/>
  <c r="O37" i="8" s="1"/>
  <c r="I36" i="8"/>
  <c r="O36" i="8" s="1"/>
  <c r="I35" i="8"/>
  <c r="O35" i="8" s="1"/>
  <c r="I34" i="8"/>
  <c r="O34" i="8" s="1"/>
  <c r="I33" i="8"/>
  <c r="O33" i="8" s="1"/>
  <c r="I31" i="8"/>
  <c r="O31" i="8" s="1"/>
  <c r="I28" i="8"/>
  <c r="O28" i="8" s="1"/>
  <c r="I27" i="8"/>
  <c r="O27" i="8" s="1"/>
  <c r="I26" i="8"/>
  <c r="O26" i="8" s="1"/>
  <c r="I25" i="8"/>
  <c r="O25" i="8" s="1"/>
  <c r="I24" i="8"/>
  <c r="O24" i="8" s="1"/>
  <c r="I23" i="8"/>
  <c r="O23" i="8" s="1"/>
  <c r="I22" i="8"/>
  <c r="O22" i="8" s="1"/>
  <c r="I21" i="8"/>
  <c r="O21" i="8" s="1"/>
  <c r="E113" i="9"/>
  <c r="D113" i="9"/>
  <c r="N112" i="9"/>
  <c r="L112" i="9"/>
  <c r="J112" i="9"/>
  <c r="H112" i="9"/>
  <c r="G112" i="9"/>
  <c r="V80" i="9"/>
  <c r="U80" i="9"/>
  <c r="T80" i="9"/>
  <c r="S80" i="9"/>
  <c r="R80" i="9"/>
  <c r="Q80" i="9"/>
  <c r="P80" i="9"/>
  <c r="O80" i="9"/>
  <c r="N80" i="9"/>
  <c r="L80" i="9"/>
  <c r="G80" i="9"/>
  <c r="M79" i="9"/>
  <c r="K79" i="9"/>
  <c r="I79" i="9"/>
  <c r="M76" i="9"/>
  <c r="K76" i="9"/>
  <c r="I76" i="9"/>
  <c r="M75" i="9"/>
  <c r="K75" i="9"/>
  <c r="I75" i="9"/>
  <c r="M74" i="9"/>
  <c r="K74" i="9"/>
  <c r="I74" i="9"/>
  <c r="M73" i="9"/>
  <c r="K73" i="9"/>
  <c r="I73" i="9"/>
  <c r="M72" i="9"/>
  <c r="K72" i="9"/>
  <c r="I72" i="9"/>
  <c r="M71" i="9"/>
  <c r="K71" i="9"/>
  <c r="J80" i="9"/>
  <c r="M70" i="9"/>
  <c r="K70" i="9"/>
  <c r="I70" i="9"/>
  <c r="H80" i="9"/>
  <c r="V69" i="9"/>
  <c r="U69" i="9"/>
  <c r="T69" i="9"/>
  <c r="S69" i="9"/>
  <c r="R69" i="9"/>
  <c r="Q69" i="9"/>
  <c r="P69" i="9"/>
  <c r="O69" i="9"/>
  <c r="N69" i="9"/>
  <c r="L69" i="9"/>
  <c r="J69" i="9"/>
  <c r="H69" i="9"/>
  <c r="G69" i="9"/>
  <c r="M68" i="9"/>
  <c r="K68" i="9"/>
  <c r="I68" i="9"/>
  <c r="M65" i="9"/>
  <c r="K65" i="9"/>
  <c r="I65" i="9"/>
  <c r="M64" i="9"/>
  <c r="K64" i="9"/>
  <c r="I64" i="9"/>
  <c r="M63" i="9"/>
  <c r="K63" i="9"/>
  <c r="I63" i="9"/>
  <c r="M62" i="9"/>
  <c r="K62" i="9"/>
  <c r="I62" i="9"/>
  <c r="V53" i="9"/>
  <c r="U53" i="9"/>
  <c r="T53" i="9"/>
  <c r="S53" i="9"/>
  <c r="R53" i="9"/>
  <c r="Q53" i="9"/>
  <c r="P53" i="9"/>
  <c r="O53" i="9"/>
  <c r="N53" i="9"/>
  <c r="L53" i="9"/>
  <c r="J53" i="9"/>
  <c r="H53" i="9"/>
  <c r="G53" i="9"/>
  <c r="M52" i="9"/>
  <c r="K52" i="9"/>
  <c r="I52" i="9"/>
  <c r="M49" i="9"/>
  <c r="K49" i="9"/>
  <c r="I49" i="9"/>
  <c r="M48" i="9"/>
  <c r="K48" i="9"/>
  <c r="I48" i="9"/>
  <c r="M47" i="9"/>
  <c r="K47" i="9"/>
  <c r="I47" i="9"/>
  <c r="M46" i="9"/>
  <c r="K46" i="9"/>
  <c r="I46" i="9"/>
  <c r="M45" i="9"/>
  <c r="K45" i="9"/>
  <c r="I45" i="9"/>
  <c r="E44" i="9"/>
  <c r="D44" i="9"/>
  <c r="N43" i="9"/>
  <c r="L43" i="9"/>
  <c r="J43" i="9"/>
  <c r="H43" i="9"/>
  <c r="G43" i="9"/>
  <c r="M42" i="9"/>
  <c r="K42" i="9"/>
  <c r="I42" i="9"/>
  <c r="M39" i="9"/>
  <c r="K39" i="9"/>
  <c r="I39" i="9"/>
  <c r="M38" i="9"/>
  <c r="K38" i="9"/>
  <c r="I38" i="9"/>
  <c r="M37" i="9"/>
  <c r="K37" i="9"/>
  <c r="I37" i="9"/>
  <c r="M36" i="9"/>
  <c r="K36" i="9"/>
  <c r="I36" i="9"/>
  <c r="M35" i="9"/>
  <c r="K35" i="9"/>
  <c r="I35" i="9"/>
  <c r="M34" i="9"/>
  <c r="K34" i="9"/>
  <c r="I34" i="9"/>
  <c r="M33" i="9"/>
  <c r="K33" i="9"/>
  <c r="I33" i="9"/>
  <c r="N32" i="9"/>
  <c r="L32" i="9"/>
  <c r="J32" i="9"/>
  <c r="H32" i="9"/>
  <c r="G32" i="9"/>
  <c r="M31" i="9"/>
  <c r="K31" i="9"/>
  <c r="I31" i="9"/>
  <c r="M28" i="9"/>
  <c r="K28" i="9"/>
  <c r="I28" i="9"/>
  <c r="M27" i="9"/>
  <c r="K27" i="9"/>
  <c r="I27" i="9"/>
  <c r="M26" i="9"/>
  <c r="K26" i="9"/>
  <c r="I26" i="9"/>
  <c r="M25" i="9"/>
  <c r="K25" i="9"/>
  <c r="I25" i="9"/>
  <c r="M23" i="9"/>
  <c r="K23" i="9"/>
  <c r="I23" i="9"/>
  <c r="M22" i="9"/>
  <c r="K22" i="9"/>
  <c r="I22" i="9"/>
  <c r="M21" i="9"/>
  <c r="K21" i="9"/>
  <c r="I21" i="9"/>
  <c r="M5" i="9"/>
  <c r="K5" i="9"/>
  <c r="I5" i="9"/>
  <c r="H111" i="8"/>
  <c r="N111" i="8" s="1"/>
  <c r="H108" i="8"/>
  <c r="H107" i="8"/>
  <c r="H106" i="8"/>
  <c r="H105" i="8"/>
  <c r="H104" i="8"/>
  <c r="N104" i="8" s="1"/>
  <c r="H103" i="8"/>
  <c r="N103" i="8" s="1"/>
  <c r="H102" i="8"/>
  <c r="N102" i="8" s="1"/>
  <c r="H101" i="8"/>
  <c r="N101" i="8" s="1"/>
  <c r="H100" i="8"/>
  <c r="N100" i="8" s="1"/>
  <c r="H98" i="8"/>
  <c r="H95" i="8"/>
  <c r="H94" i="8"/>
  <c r="H92" i="8"/>
  <c r="H89" i="8"/>
  <c r="H88" i="8"/>
  <c r="H87" i="8"/>
  <c r="N87" i="8" s="1"/>
  <c r="H86" i="8"/>
  <c r="H85" i="8"/>
  <c r="H84" i="8"/>
  <c r="H83" i="8"/>
  <c r="N83" i="8" s="1"/>
  <c r="H82" i="8"/>
  <c r="N82" i="8" s="1"/>
  <c r="H81" i="8"/>
  <c r="N81" i="8" s="1"/>
  <c r="H79" i="8"/>
  <c r="H76" i="8"/>
  <c r="H75" i="8"/>
  <c r="H74" i="8"/>
  <c r="H73" i="8"/>
  <c r="H72" i="8"/>
  <c r="H71" i="8"/>
  <c r="H70" i="8"/>
  <c r="H68" i="8"/>
  <c r="H65" i="8"/>
  <c r="H64" i="8"/>
  <c r="H63" i="8"/>
  <c r="N63" i="8" s="1"/>
  <c r="H62" i="8"/>
  <c r="H52" i="8"/>
  <c r="H49" i="8"/>
  <c r="H48" i="8"/>
  <c r="H47" i="8"/>
  <c r="N47" i="8" s="1"/>
  <c r="H46" i="8"/>
  <c r="N46" i="8" s="1"/>
  <c r="H45" i="8"/>
  <c r="N45" i="8" s="1"/>
  <c r="H42" i="8"/>
  <c r="H39" i="8"/>
  <c r="H38" i="8"/>
  <c r="H37" i="8"/>
  <c r="H36" i="8"/>
  <c r="H35" i="8"/>
  <c r="H34" i="8"/>
  <c r="H33" i="8"/>
  <c r="H31" i="8"/>
  <c r="N31" i="8" s="1"/>
  <c r="H28" i="8"/>
  <c r="H27" i="8"/>
  <c r="H26" i="8"/>
  <c r="H25" i="8"/>
  <c r="H24" i="8"/>
  <c r="H23" i="8"/>
  <c r="H22" i="8"/>
  <c r="H21" i="8"/>
  <c r="H5" i="8"/>
  <c r="G106" i="8"/>
  <c r="AG106" i="8" s="1"/>
  <c r="G105" i="8"/>
  <c r="M105" i="8" s="1"/>
  <c r="G98" i="8"/>
  <c r="AG98" i="8" s="1"/>
  <c r="G95" i="8"/>
  <c r="AG95" i="8" s="1"/>
  <c r="G94" i="8"/>
  <c r="AG94" i="8" s="1"/>
  <c r="G92" i="8"/>
  <c r="AG92" i="8" s="1"/>
  <c r="G89" i="8"/>
  <c r="S89" i="8" s="1"/>
  <c r="G88" i="8"/>
  <c r="S88" i="8" s="1"/>
  <c r="G87" i="8"/>
  <c r="M87" i="8" s="1"/>
  <c r="G86" i="8"/>
  <c r="S86" i="8" s="1"/>
  <c r="G85" i="8"/>
  <c r="AG85" i="8" s="1"/>
  <c r="G84" i="8"/>
  <c r="S84" i="8" s="1"/>
  <c r="G83" i="8"/>
  <c r="M83" i="8" s="1"/>
  <c r="G82" i="8"/>
  <c r="M82" i="8" s="1"/>
  <c r="G81" i="8"/>
  <c r="M81" i="8" s="1"/>
  <c r="G79" i="8"/>
  <c r="AG79" i="8" s="1"/>
  <c r="G76" i="8"/>
  <c r="S76" i="8" s="1"/>
  <c r="G75" i="8"/>
  <c r="S75" i="8" s="1"/>
  <c r="G74" i="8"/>
  <c r="S74" i="8" s="1"/>
  <c r="G73" i="8"/>
  <c r="AG73" i="8" s="1"/>
  <c r="G72" i="8"/>
  <c r="S72" i="8" s="1"/>
  <c r="G71" i="8"/>
  <c r="AG71" i="8" s="1"/>
  <c r="G70" i="8"/>
  <c r="S70" i="8" s="1"/>
  <c r="G68" i="8"/>
  <c r="S68" i="8" s="1"/>
  <c r="G65" i="8"/>
  <c r="S65" i="8" s="1"/>
  <c r="G64" i="8"/>
  <c r="S64" i="8" s="1"/>
  <c r="G63" i="8"/>
  <c r="AG63" i="8" s="1"/>
  <c r="G62" i="8"/>
  <c r="G52" i="8"/>
  <c r="S52" i="8" s="1"/>
  <c r="G49" i="8"/>
  <c r="G48" i="8"/>
  <c r="G47" i="8"/>
  <c r="AG47" i="8" s="1"/>
  <c r="G46" i="8"/>
  <c r="S46" i="8" s="1"/>
  <c r="G45" i="8"/>
  <c r="S45" i="8" s="1"/>
  <c r="G42" i="8"/>
  <c r="G39" i="8"/>
  <c r="G38" i="8"/>
  <c r="S38" i="8" s="1"/>
  <c r="G37" i="8"/>
  <c r="AG37" i="8" s="1"/>
  <c r="G36" i="8"/>
  <c r="G35" i="8"/>
  <c r="S35" i="8" s="1"/>
  <c r="G34" i="8"/>
  <c r="G33" i="8"/>
  <c r="AG33" i="8" s="1"/>
  <c r="G31" i="8"/>
  <c r="S31" i="8" s="1"/>
  <c r="G28" i="8"/>
  <c r="AG28" i="8" s="1"/>
  <c r="G27" i="8"/>
  <c r="AG27" i="8" s="1"/>
  <c r="G26" i="8"/>
  <c r="G25" i="8"/>
  <c r="AG25" i="8" s="1"/>
  <c r="G24" i="8"/>
  <c r="AG24" i="8" s="1"/>
  <c r="G23" i="8"/>
  <c r="S23" i="8" s="1"/>
  <c r="G22" i="8"/>
  <c r="G21" i="8"/>
  <c r="AG21" i="8" s="1"/>
  <c r="D113" i="8"/>
  <c r="V112" i="8"/>
  <c r="T112" i="8"/>
  <c r="U108" i="8"/>
  <c r="U107" i="8"/>
  <c r="U105" i="8"/>
  <c r="AD99" i="8"/>
  <c r="AC99" i="8"/>
  <c r="AB99" i="8"/>
  <c r="AA99" i="8"/>
  <c r="Z99" i="8"/>
  <c r="Y99" i="8"/>
  <c r="X99" i="8"/>
  <c r="W99" i="8"/>
  <c r="V99" i="8"/>
  <c r="T99" i="8"/>
  <c r="U98" i="8"/>
  <c r="U95" i="8"/>
  <c r="U94" i="8"/>
  <c r="AD93" i="8"/>
  <c r="AC93" i="8"/>
  <c r="AB93" i="8"/>
  <c r="AA93" i="8"/>
  <c r="Z93" i="8"/>
  <c r="Y93" i="8"/>
  <c r="X93" i="8"/>
  <c r="W93" i="8"/>
  <c r="V93" i="8"/>
  <c r="T93" i="8"/>
  <c r="U93" i="8" s="1"/>
  <c r="U92" i="8"/>
  <c r="U89" i="8"/>
  <c r="U88" i="8"/>
  <c r="U86" i="8"/>
  <c r="U85" i="8"/>
  <c r="U84" i="8"/>
  <c r="AD80" i="8"/>
  <c r="AC80" i="8"/>
  <c r="AB80" i="8"/>
  <c r="AA80" i="8"/>
  <c r="Z80" i="8"/>
  <c r="Y80" i="8"/>
  <c r="X80" i="8"/>
  <c r="W80" i="8"/>
  <c r="V80" i="8"/>
  <c r="T80" i="8"/>
  <c r="U79" i="8"/>
  <c r="U76" i="8"/>
  <c r="U75" i="8"/>
  <c r="U74" i="8"/>
  <c r="U73" i="8"/>
  <c r="U72" i="8"/>
  <c r="U71" i="8"/>
  <c r="U70" i="8"/>
  <c r="AD69" i="8"/>
  <c r="AC69" i="8"/>
  <c r="AB69" i="8"/>
  <c r="AA69" i="8"/>
  <c r="Z69" i="8"/>
  <c r="Y69" i="8"/>
  <c r="X69" i="8"/>
  <c r="W69" i="8"/>
  <c r="V69" i="8"/>
  <c r="T69" i="8"/>
  <c r="U68" i="8"/>
  <c r="U65" i="8"/>
  <c r="U64" i="8"/>
  <c r="U63" i="8"/>
  <c r="U62" i="8"/>
  <c r="AD53" i="8"/>
  <c r="AC53" i="8"/>
  <c r="AB53" i="8"/>
  <c r="AA53" i="8"/>
  <c r="Z53" i="8"/>
  <c r="Y53" i="8"/>
  <c r="X53" i="8"/>
  <c r="W53" i="8"/>
  <c r="V53" i="8"/>
  <c r="T53" i="8"/>
  <c r="U52" i="8"/>
  <c r="U49" i="8"/>
  <c r="U48" i="8"/>
  <c r="U47" i="8"/>
  <c r="U46" i="8"/>
  <c r="U45" i="8"/>
  <c r="D44" i="8"/>
  <c r="V43" i="8"/>
  <c r="T43" i="8"/>
  <c r="U42" i="8"/>
  <c r="U39" i="8"/>
  <c r="U38" i="8"/>
  <c r="U37" i="8"/>
  <c r="U36" i="8"/>
  <c r="U35" i="8"/>
  <c r="U34" i="8"/>
  <c r="U33" i="8"/>
  <c r="V32" i="8"/>
  <c r="T32" i="8"/>
  <c r="U31" i="8"/>
  <c r="U28" i="8"/>
  <c r="U27" i="8"/>
  <c r="U26" i="8"/>
  <c r="U25" i="8"/>
  <c r="U23" i="8"/>
  <c r="U22" i="8"/>
  <c r="U21" i="8"/>
  <c r="U5" i="8"/>
  <c r="K53" i="9" l="1"/>
  <c r="O82" i="8"/>
  <c r="O87" i="8"/>
  <c r="S20" i="8"/>
  <c r="M20" i="8"/>
  <c r="M20" i="1"/>
  <c r="N35" i="8"/>
  <c r="T44" i="8"/>
  <c r="U99" i="8"/>
  <c r="M112" i="9"/>
  <c r="M69" i="9"/>
  <c r="K112" i="9"/>
  <c r="U112" i="8"/>
  <c r="I69" i="9"/>
  <c r="D114" i="9"/>
  <c r="E114" i="9"/>
  <c r="N52" i="8"/>
  <c r="N84" i="8"/>
  <c r="N98" i="8"/>
  <c r="N33" i="8"/>
  <c r="N86" i="8"/>
  <c r="N108" i="8"/>
  <c r="N23" i="8"/>
  <c r="AG68" i="8"/>
  <c r="N106" i="8"/>
  <c r="AG88" i="8"/>
  <c r="M48" i="8"/>
  <c r="N21" i="8"/>
  <c r="N85" i="8"/>
  <c r="N107" i="8"/>
  <c r="N28" i="8"/>
  <c r="N42" i="8"/>
  <c r="M49" i="8"/>
  <c r="N22" i="8"/>
  <c r="N64" i="8"/>
  <c r="N25" i="8"/>
  <c r="N36" i="8"/>
  <c r="N89" i="8"/>
  <c r="N26" i="8"/>
  <c r="N37" i="8"/>
  <c r="N49" i="8"/>
  <c r="N92" i="8"/>
  <c r="N105" i="8"/>
  <c r="N62" i="8"/>
  <c r="N39" i="8"/>
  <c r="N95" i="8"/>
  <c r="N5" i="8"/>
  <c r="N27" i="8"/>
  <c r="N38" i="8"/>
  <c r="N94" i="8"/>
  <c r="M46" i="8"/>
  <c r="N65" i="8"/>
  <c r="V113" i="9"/>
  <c r="V114" i="9" s="1"/>
  <c r="N24" i="8"/>
  <c r="N68" i="8"/>
  <c r="N88" i="8"/>
  <c r="M76" i="8"/>
  <c r="M89" i="8"/>
  <c r="N48" i="8"/>
  <c r="I53" i="9"/>
  <c r="N34" i="8"/>
  <c r="U80" i="8"/>
  <c r="M80" i="9"/>
  <c r="M95" i="8"/>
  <c r="Q99" i="8"/>
  <c r="M92" i="8"/>
  <c r="S25" i="8"/>
  <c r="AG84" i="8"/>
  <c r="M98" i="8"/>
  <c r="R53" i="8"/>
  <c r="M24" i="8"/>
  <c r="M47" i="8"/>
  <c r="M79" i="8"/>
  <c r="M88" i="8"/>
  <c r="M52" i="8"/>
  <c r="M106" i="8"/>
  <c r="J93" i="8"/>
  <c r="M45" i="8"/>
  <c r="G93" i="8"/>
  <c r="S93" i="8" s="1"/>
  <c r="AG76" i="8"/>
  <c r="AG46" i="8"/>
  <c r="S79" i="8"/>
  <c r="H93" i="8"/>
  <c r="I93" i="8"/>
  <c r="K69" i="8"/>
  <c r="L93" i="8"/>
  <c r="Q32" i="8"/>
  <c r="R32" i="8"/>
  <c r="R80" i="8"/>
  <c r="Q93" i="8"/>
  <c r="K93" i="8"/>
  <c r="J99" i="8"/>
  <c r="Q43" i="8"/>
  <c r="Q53" i="8"/>
  <c r="R99" i="8"/>
  <c r="Q112" i="8"/>
  <c r="R43" i="8"/>
  <c r="Q69" i="8"/>
  <c r="R93" i="8"/>
  <c r="R112" i="8"/>
  <c r="R69" i="8"/>
  <c r="J53" i="8"/>
  <c r="K53" i="8"/>
  <c r="P53" i="8"/>
  <c r="AG45" i="8"/>
  <c r="S47" i="8"/>
  <c r="AG64" i="8"/>
  <c r="AG86" i="8"/>
  <c r="J43" i="8"/>
  <c r="L53" i="8"/>
  <c r="L99" i="8"/>
  <c r="J69" i="8"/>
  <c r="AG34" i="8"/>
  <c r="AG65" i="8"/>
  <c r="AG74" i="8"/>
  <c r="S98" i="8"/>
  <c r="H99" i="8"/>
  <c r="AG23" i="8"/>
  <c r="AG42" i="8"/>
  <c r="S49" i="8"/>
  <c r="S63" i="8"/>
  <c r="H69" i="8"/>
  <c r="AG31" i="8"/>
  <c r="G69" i="8"/>
  <c r="S69" i="8" s="1"/>
  <c r="S34" i="8"/>
  <c r="S42" i="8"/>
  <c r="S33" i="8"/>
  <c r="AG38" i="8"/>
  <c r="S94" i="8"/>
  <c r="AG35" i="8"/>
  <c r="S73" i="8"/>
  <c r="AG75" i="8"/>
  <c r="G43" i="8"/>
  <c r="S43" i="8" s="1"/>
  <c r="AG52" i="8"/>
  <c r="AG70" i="8"/>
  <c r="S95" i="8"/>
  <c r="G32" i="8"/>
  <c r="H53" i="8"/>
  <c r="L32" i="8"/>
  <c r="L69" i="8"/>
  <c r="K43" i="8"/>
  <c r="S105" i="8"/>
  <c r="H32" i="8"/>
  <c r="H43" i="8"/>
  <c r="H80" i="8"/>
  <c r="H112" i="8"/>
  <c r="L43" i="8"/>
  <c r="I32" i="8"/>
  <c r="O32" i="8" s="1"/>
  <c r="I43" i="8"/>
  <c r="O43" i="8" s="1"/>
  <c r="I53" i="8"/>
  <c r="O53" i="8" s="1"/>
  <c r="I80" i="8"/>
  <c r="O80" i="8" s="1"/>
  <c r="L80" i="8"/>
  <c r="AG62" i="8"/>
  <c r="AG72" i="8"/>
  <c r="AG105" i="8"/>
  <c r="S106" i="8"/>
  <c r="J32" i="8"/>
  <c r="K32" i="8"/>
  <c r="K99" i="8"/>
  <c r="L112" i="8"/>
  <c r="I112" i="8"/>
  <c r="I112" i="9"/>
  <c r="I99" i="8"/>
  <c r="O99" i="8" s="1"/>
  <c r="L113" i="9"/>
  <c r="U113" i="9"/>
  <c r="U114" i="9" s="1"/>
  <c r="T113" i="9"/>
  <c r="T114" i="9" s="1"/>
  <c r="S113" i="9"/>
  <c r="S114" i="9" s="1"/>
  <c r="I69" i="8"/>
  <c r="O69" i="8" s="1"/>
  <c r="G113" i="9"/>
  <c r="M53" i="9"/>
  <c r="J44" i="9"/>
  <c r="L44" i="9"/>
  <c r="K43" i="9"/>
  <c r="H44" i="9"/>
  <c r="M43" i="9"/>
  <c r="I32" i="9"/>
  <c r="M32" i="9"/>
  <c r="F44" i="9"/>
  <c r="F118" i="9" s="1"/>
  <c r="I80" i="9"/>
  <c r="J113" i="9"/>
  <c r="H113" i="9"/>
  <c r="I43" i="9"/>
  <c r="N44" i="9"/>
  <c r="G44" i="9"/>
  <c r="K69" i="9"/>
  <c r="K80" i="9"/>
  <c r="F113" i="9"/>
  <c r="N113" i="9"/>
  <c r="K32" i="9"/>
  <c r="I71" i="9"/>
  <c r="S36" i="8"/>
  <c r="AG36" i="8"/>
  <c r="AG89" i="8"/>
  <c r="G80" i="8"/>
  <c r="S80" i="8" s="1"/>
  <c r="S37" i="8"/>
  <c r="S39" i="8"/>
  <c r="AG49" i="8"/>
  <c r="S85" i="8"/>
  <c r="S92" i="8"/>
  <c r="G99" i="8"/>
  <c r="S99" i="8" s="1"/>
  <c r="AG39" i="8"/>
  <c r="S48" i="8"/>
  <c r="S62" i="8"/>
  <c r="G53" i="8"/>
  <c r="S71" i="8"/>
  <c r="AG48" i="8"/>
  <c r="S27" i="8"/>
  <c r="S28" i="8"/>
  <c r="AG26" i="8"/>
  <c r="S26" i="8"/>
  <c r="S22" i="8"/>
  <c r="AG22" i="8"/>
  <c r="S21" i="8"/>
  <c r="AA113" i="8"/>
  <c r="AA114" i="8" s="1"/>
  <c r="U43" i="8"/>
  <c r="U53" i="8"/>
  <c r="U32" i="8"/>
  <c r="AC113" i="8"/>
  <c r="AC114" i="8" s="1"/>
  <c r="V44" i="8"/>
  <c r="V113" i="8"/>
  <c r="AD113" i="8"/>
  <c r="AD114" i="8" s="1"/>
  <c r="AB113" i="8"/>
  <c r="AB114" i="8" s="1"/>
  <c r="D114" i="8"/>
  <c r="U69" i="8"/>
  <c r="T113" i="8"/>
  <c r="E113" i="3"/>
  <c r="E44" i="3"/>
  <c r="E113" i="6"/>
  <c r="E44" i="6"/>
  <c r="D5" i="6"/>
  <c r="D33" i="6"/>
  <c r="D21" i="6"/>
  <c r="R99" i="6"/>
  <c r="S99" i="6"/>
  <c r="T99" i="6"/>
  <c r="Q99" i="6"/>
  <c r="R93" i="6"/>
  <c r="S93" i="6"/>
  <c r="T93" i="6"/>
  <c r="Q93" i="6"/>
  <c r="N24" i="6"/>
  <c r="L24" i="6"/>
  <c r="Y68" i="3"/>
  <c r="Y70" i="3"/>
  <c r="Y71" i="3"/>
  <c r="Y72" i="3"/>
  <c r="Y73" i="3"/>
  <c r="Y74" i="3"/>
  <c r="Y75" i="3"/>
  <c r="Y76" i="3"/>
  <c r="Y79" i="3"/>
  <c r="Y84" i="3"/>
  <c r="Y85" i="3"/>
  <c r="Y86" i="3"/>
  <c r="Y88" i="3"/>
  <c r="Y89" i="3"/>
  <c r="Y92" i="3"/>
  <c r="Y94" i="3"/>
  <c r="Y95" i="3"/>
  <c r="Y98" i="3"/>
  <c r="Y100" i="3"/>
  <c r="Y101" i="3"/>
  <c r="Y102" i="3"/>
  <c r="Y103" i="3"/>
  <c r="Y104" i="3"/>
  <c r="Y105" i="3"/>
  <c r="Y106" i="3"/>
  <c r="Y107" i="3"/>
  <c r="Y108" i="3"/>
  <c r="Y111" i="3"/>
  <c r="Y21" i="3"/>
  <c r="Y22" i="3"/>
  <c r="Y23" i="3"/>
  <c r="Y24" i="3"/>
  <c r="Y25" i="3"/>
  <c r="Y26" i="3"/>
  <c r="Y27" i="3"/>
  <c r="Y28" i="3"/>
  <c r="Y31" i="3"/>
  <c r="Y33" i="3"/>
  <c r="Y34" i="3"/>
  <c r="Y35" i="3"/>
  <c r="Y36" i="3"/>
  <c r="Y37" i="3"/>
  <c r="Y38" i="3"/>
  <c r="Y39" i="3"/>
  <c r="Y42" i="3"/>
  <c r="Y45" i="3"/>
  <c r="Y46" i="3"/>
  <c r="Y47" i="3"/>
  <c r="Y48" i="3"/>
  <c r="Y49" i="3"/>
  <c r="Y52" i="3"/>
  <c r="Y62" i="3"/>
  <c r="Y63" i="3"/>
  <c r="Y64" i="3"/>
  <c r="Y65" i="3"/>
  <c r="Y5" i="3"/>
  <c r="R80" i="3"/>
  <c r="Q80" i="3"/>
  <c r="P80" i="3"/>
  <c r="O80" i="3"/>
  <c r="R69" i="3"/>
  <c r="Q69" i="3"/>
  <c r="P69" i="3"/>
  <c r="O69" i="3"/>
  <c r="R53" i="3"/>
  <c r="Q53" i="3"/>
  <c r="P53" i="3"/>
  <c r="O53" i="3"/>
  <c r="L53" i="3"/>
  <c r="G53" i="3"/>
  <c r="N112" i="3"/>
  <c r="G112" i="3"/>
  <c r="G94" i="6"/>
  <c r="G99" i="6" s="1"/>
  <c r="H99" i="6" s="1"/>
  <c r="M95" i="3"/>
  <c r="M98" i="3"/>
  <c r="K95" i="3"/>
  <c r="K98" i="3"/>
  <c r="I95" i="3"/>
  <c r="I98" i="3"/>
  <c r="M85" i="3"/>
  <c r="M86" i="3"/>
  <c r="M92" i="3"/>
  <c r="K85" i="3"/>
  <c r="K86" i="3"/>
  <c r="K92" i="3"/>
  <c r="I85" i="3"/>
  <c r="I86" i="3"/>
  <c r="I92" i="3"/>
  <c r="M84" i="3"/>
  <c r="K84" i="3"/>
  <c r="I84" i="3"/>
  <c r="P99" i="3"/>
  <c r="Q99" i="3"/>
  <c r="R99" i="3"/>
  <c r="S99" i="3"/>
  <c r="T99" i="3"/>
  <c r="U99" i="3"/>
  <c r="V99" i="3"/>
  <c r="P99" i="1"/>
  <c r="Q99" i="1"/>
  <c r="R99" i="1"/>
  <c r="S99" i="1"/>
  <c r="T99" i="1"/>
  <c r="U99" i="1"/>
  <c r="V99" i="1"/>
  <c r="O99" i="3"/>
  <c r="O99" i="1"/>
  <c r="N99" i="3"/>
  <c r="N99" i="1"/>
  <c r="L99" i="3"/>
  <c r="J99" i="3"/>
  <c r="H99" i="3"/>
  <c r="H99" i="1"/>
  <c r="G99" i="3"/>
  <c r="G99" i="1"/>
  <c r="H93" i="3"/>
  <c r="H93" i="1"/>
  <c r="Q93" i="3"/>
  <c r="R93" i="3"/>
  <c r="S93" i="3"/>
  <c r="T93" i="3"/>
  <c r="U93" i="3"/>
  <c r="V93" i="3"/>
  <c r="Q93" i="1"/>
  <c r="R93" i="1"/>
  <c r="S93" i="1"/>
  <c r="T93" i="1"/>
  <c r="U93" i="1"/>
  <c r="V93" i="1"/>
  <c r="P93" i="3"/>
  <c r="P93" i="1"/>
  <c r="O93" i="3"/>
  <c r="O93" i="1"/>
  <c r="N93" i="3"/>
  <c r="L93" i="3"/>
  <c r="L93" i="1"/>
  <c r="J93" i="3"/>
  <c r="G93" i="3"/>
  <c r="G93" i="1"/>
  <c r="O112" i="8" l="1"/>
  <c r="O93" i="8"/>
  <c r="M53" i="8"/>
  <c r="N69" i="8"/>
  <c r="N93" i="8"/>
  <c r="V93" i="6"/>
  <c r="V99" i="6"/>
  <c r="N43" i="8"/>
  <c r="J44" i="8"/>
  <c r="N99" i="8"/>
  <c r="N112" i="8"/>
  <c r="R113" i="8"/>
  <c r="N53" i="8"/>
  <c r="R44" i="8"/>
  <c r="Q44" i="8"/>
  <c r="N32" i="8"/>
  <c r="S53" i="8"/>
  <c r="L44" i="8"/>
  <c r="S32" i="8"/>
  <c r="I44" i="8"/>
  <c r="O44" i="8" s="1"/>
  <c r="L113" i="8"/>
  <c r="K44" i="8"/>
  <c r="H44" i="8"/>
  <c r="H113" i="8"/>
  <c r="I113" i="8"/>
  <c r="K113" i="9"/>
  <c r="M113" i="9"/>
  <c r="L114" i="9"/>
  <c r="I113" i="9"/>
  <c r="H114" i="9"/>
  <c r="F119" i="9"/>
  <c r="F117" i="9"/>
  <c r="F114" i="9"/>
  <c r="K44" i="9"/>
  <c r="G114" i="9"/>
  <c r="N114" i="9"/>
  <c r="M44" i="9"/>
  <c r="I44" i="9"/>
  <c r="J114" i="9"/>
  <c r="V114" i="8"/>
  <c r="U44" i="8"/>
  <c r="T114" i="8"/>
  <c r="U113" i="8"/>
  <c r="X99" i="6"/>
  <c r="X93" i="6"/>
  <c r="K53" i="3"/>
  <c r="K93" i="1"/>
  <c r="E114" i="3"/>
  <c r="Y114" i="3"/>
  <c r="E114" i="6"/>
  <c r="K99" i="3"/>
  <c r="M93" i="3"/>
  <c r="K93" i="3"/>
  <c r="I93" i="3"/>
  <c r="M99" i="3"/>
  <c r="I99" i="3"/>
  <c r="M114" i="9" l="1"/>
  <c r="O113" i="8"/>
  <c r="K114" i="9"/>
  <c r="H114" i="8"/>
  <c r="I114" i="8"/>
  <c r="L114" i="8"/>
  <c r="N44" i="8"/>
  <c r="R114" i="8"/>
  <c r="I114" i="9"/>
  <c r="U114" i="8"/>
  <c r="D100" i="6"/>
  <c r="D94" i="6"/>
  <c r="D81" i="6"/>
  <c r="D70" i="6"/>
  <c r="D62" i="6"/>
  <c r="D45" i="6"/>
  <c r="O114" i="8" l="1"/>
  <c r="D113" i="6"/>
  <c r="G69" i="3"/>
  <c r="N80" i="3" l="1"/>
  <c r="L80" i="3"/>
  <c r="M76" i="3"/>
  <c r="M79" i="3"/>
  <c r="M73" i="3"/>
  <c r="K76" i="3"/>
  <c r="K79" i="3"/>
  <c r="J79" i="3"/>
  <c r="Q79" i="8" s="1"/>
  <c r="N79" i="8" s="1"/>
  <c r="J76" i="3"/>
  <c r="Q76" i="8" s="1"/>
  <c r="N76" i="8" s="1"/>
  <c r="J75" i="3"/>
  <c r="Q75" i="8" s="1"/>
  <c r="N75" i="8" s="1"/>
  <c r="J74" i="3"/>
  <c r="Q74" i="8" s="1"/>
  <c r="N74" i="8" s="1"/>
  <c r="J73" i="3"/>
  <c r="Q73" i="8" s="1"/>
  <c r="N73" i="8" s="1"/>
  <c r="J72" i="3"/>
  <c r="Q72" i="8" s="1"/>
  <c r="N72" i="8" s="1"/>
  <c r="J71" i="3"/>
  <c r="Q71" i="8" s="1"/>
  <c r="N71" i="8" s="1"/>
  <c r="J70" i="3"/>
  <c r="Q70" i="8" s="1"/>
  <c r="G80" i="3"/>
  <c r="G113" i="3" s="1"/>
  <c r="H79" i="3"/>
  <c r="K79" i="8" s="1"/>
  <c r="H76" i="3"/>
  <c r="K76" i="8" s="1"/>
  <c r="S53" i="3"/>
  <c r="V61" i="6" s="1"/>
  <c r="T80" i="3"/>
  <c r="U80" i="3"/>
  <c r="X80" i="6" s="1"/>
  <c r="V80" i="3"/>
  <c r="S80" i="3"/>
  <c r="V80" i="6" s="1"/>
  <c r="V53" i="3"/>
  <c r="U53" i="3"/>
  <c r="X61" i="6" s="1"/>
  <c r="T53" i="3"/>
  <c r="W94" i="6"/>
  <c r="U94" i="6"/>
  <c r="X94" i="6"/>
  <c r="V94" i="6"/>
  <c r="X86" i="6"/>
  <c r="W86" i="6"/>
  <c r="V86" i="6"/>
  <c r="U86" i="6"/>
  <c r="X85" i="6"/>
  <c r="W85" i="6"/>
  <c r="V85" i="6"/>
  <c r="U85" i="6"/>
  <c r="X84" i="6"/>
  <c r="W84" i="6"/>
  <c r="V84" i="6"/>
  <c r="U84" i="6"/>
  <c r="U74" i="6"/>
  <c r="V74" i="6"/>
  <c r="W74" i="6"/>
  <c r="X74" i="6"/>
  <c r="U75" i="6"/>
  <c r="V75" i="6"/>
  <c r="W75" i="6"/>
  <c r="X75" i="6"/>
  <c r="X73" i="6"/>
  <c r="W73" i="6"/>
  <c r="V73" i="6"/>
  <c r="U73" i="6"/>
  <c r="X72" i="6"/>
  <c r="W72" i="6"/>
  <c r="V72" i="6"/>
  <c r="U72" i="6"/>
  <c r="X71" i="6"/>
  <c r="W71" i="6"/>
  <c r="V71" i="6"/>
  <c r="U71" i="6"/>
  <c r="X70" i="6"/>
  <c r="W70" i="6"/>
  <c r="V70" i="6"/>
  <c r="U70" i="6"/>
  <c r="N70" i="8" l="1"/>
  <c r="Q80" i="8"/>
  <c r="J80" i="3"/>
  <c r="I79" i="3"/>
  <c r="I76" i="3"/>
  <c r="W80" i="6"/>
  <c r="W93" i="6" s="1"/>
  <c r="W99" i="6" s="1"/>
  <c r="U80" i="6"/>
  <c r="U93" i="6" s="1"/>
  <c r="U99" i="6" s="1"/>
  <c r="N112" i="1"/>
  <c r="P107" i="6"/>
  <c r="P108" i="6"/>
  <c r="G68" i="6"/>
  <c r="H68" i="6"/>
  <c r="I68" i="6"/>
  <c r="J68" i="6" s="1"/>
  <c r="U68" i="6"/>
  <c r="V68" i="6"/>
  <c r="W68" i="6"/>
  <c r="X68" i="6"/>
  <c r="O108" i="6"/>
  <c r="O107" i="6"/>
  <c r="M105" i="3"/>
  <c r="K105" i="3"/>
  <c r="I105" i="3"/>
  <c r="N80" i="8" l="1"/>
  <c r="Q113" i="8"/>
  <c r="O112" i="6"/>
  <c r="P112" i="6" s="1"/>
  <c r="K106" i="3"/>
  <c r="H108" i="3"/>
  <c r="K108" i="8" s="1"/>
  <c r="H107" i="3"/>
  <c r="K107" i="8" s="1"/>
  <c r="K112" i="8" s="1"/>
  <c r="M68" i="3"/>
  <c r="K68" i="3"/>
  <c r="I68" i="3"/>
  <c r="Q114" i="8" l="1"/>
  <c r="N114" i="8" s="1"/>
  <c r="N113" i="8"/>
  <c r="V62" i="6"/>
  <c r="V64" i="6"/>
  <c r="V65" i="6"/>
  <c r="X62" i="6"/>
  <c r="X64" i="6"/>
  <c r="X65" i="6"/>
  <c r="X63" i="6"/>
  <c r="V63" i="6"/>
  <c r="W65" i="6"/>
  <c r="W64" i="6"/>
  <c r="W62" i="6"/>
  <c r="W63" i="6"/>
  <c r="U62" i="6"/>
  <c r="U64" i="6"/>
  <c r="U65" i="6"/>
  <c r="U63" i="6"/>
  <c r="V69" i="1"/>
  <c r="U69" i="1"/>
  <c r="T69" i="1"/>
  <c r="S69" i="1"/>
  <c r="U69" i="6" l="1"/>
  <c r="W69" i="6"/>
  <c r="V69" i="3"/>
  <c r="U69" i="3"/>
  <c r="U113" i="3" s="1"/>
  <c r="T69" i="3"/>
  <c r="S69" i="3"/>
  <c r="S113" i="3" s="1"/>
  <c r="M65" i="3"/>
  <c r="K65" i="3"/>
  <c r="I65" i="3"/>
  <c r="M64" i="3"/>
  <c r="K64" i="3"/>
  <c r="I64" i="3"/>
  <c r="M62" i="3"/>
  <c r="K62" i="3"/>
  <c r="I62" i="3"/>
  <c r="M63" i="3"/>
  <c r="K63" i="3"/>
  <c r="I63" i="3"/>
  <c r="T113" i="3" l="1"/>
  <c r="T114" i="3" s="1"/>
  <c r="V113" i="3"/>
  <c r="V114" i="3" s="1"/>
  <c r="V69" i="6"/>
  <c r="S114" i="3"/>
  <c r="X69" i="6"/>
  <c r="U114" i="3"/>
  <c r="G63" i="6"/>
  <c r="H63" i="6"/>
  <c r="I63" i="6"/>
  <c r="J63" i="6" s="1"/>
  <c r="G62" i="6"/>
  <c r="H62" i="6"/>
  <c r="I62" i="6"/>
  <c r="G64" i="6"/>
  <c r="H64" i="6"/>
  <c r="I64" i="6"/>
  <c r="J64" i="6" s="1"/>
  <c r="G65" i="6"/>
  <c r="H65" i="6"/>
  <c r="I65" i="6"/>
  <c r="J65" i="6" s="1"/>
  <c r="G70" i="6"/>
  <c r="H70" i="6"/>
  <c r="G71" i="6"/>
  <c r="H71" i="6"/>
  <c r="G72" i="6"/>
  <c r="H72" i="6"/>
  <c r="G73" i="6"/>
  <c r="H73" i="6"/>
  <c r="G74" i="6"/>
  <c r="H74" i="6"/>
  <c r="G75" i="6"/>
  <c r="H75" i="6"/>
  <c r="G84" i="6"/>
  <c r="H84" i="6"/>
  <c r="I84" i="6"/>
  <c r="G85" i="6"/>
  <c r="H85" i="6"/>
  <c r="I85" i="6"/>
  <c r="J85" i="6" s="1"/>
  <c r="G86" i="6"/>
  <c r="H86" i="6"/>
  <c r="I86" i="6"/>
  <c r="J86" i="6" s="1"/>
  <c r="H94" i="6"/>
  <c r="I94" i="6"/>
  <c r="L112" i="3"/>
  <c r="J112" i="3"/>
  <c r="H112" i="3"/>
  <c r="K80" i="3"/>
  <c r="N69" i="3"/>
  <c r="L69" i="3"/>
  <c r="J69" i="3"/>
  <c r="H69" i="3"/>
  <c r="N53" i="3"/>
  <c r="J53" i="3"/>
  <c r="H53" i="3"/>
  <c r="G80" i="1"/>
  <c r="H69" i="1"/>
  <c r="G69" i="1"/>
  <c r="H53" i="1"/>
  <c r="G53" i="1"/>
  <c r="I52" i="6"/>
  <c r="J52" i="6" s="1"/>
  <c r="H52" i="6"/>
  <c r="G52" i="6"/>
  <c r="I49" i="6"/>
  <c r="J49" i="6" s="1"/>
  <c r="H49" i="6"/>
  <c r="G49" i="6"/>
  <c r="I48" i="6"/>
  <c r="J48" i="6" s="1"/>
  <c r="H48" i="6"/>
  <c r="G48" i="6"/>
  <c r="I47" i="6"/>
  <c r="H47" i="6"/>
  <c r="G47" i="6"/>
  <c r="I28" i="6"/>
  <c r="J28" i="6" s="1"/>
  <c r="H28" i="6"/>
  <c r="G28" i="6"/>
  <c r="I27" i="6"/>
  <c r="J27" i="6" s="1"/>
  <c r="H27" i="6"/>
  <c r="G27" i="6"/>
  <c r="I26" i="6"/>
  <c r="J26" i="6" s="1"/>
  <c r="H26" i="6"/>
  <c r="G26" i="6"/>
  <c r="I25" i="6"/>
  <c r="J25" i="6" s="1"/>
  <c r="H25" i="6"/>
  <c r="G25" i="6"/>
  <c r="I23" i="6"/>
  <c r="J23" i="6" s="1"/>
  <c r="H23" i="6"/>
  <c r="G23" i="6"/>
  <c r="I22" i="6"/>
  <c r="J22" i="6" s="1"/>
  <c r="H22" i="6"/>
  <c r="G22" i="6"/>
  <c r="J21" i="6"/>
  <c r="I21" i="6"/>
  <c r="H21" i="6"/>
  <c r="G21" i="6"/>
  <c r="J5" i="6"/>
  <c r="I5" i="6"/>
  <c r="L113" i="3" l="1"/>
  <c r="I53" i="3"/>
  <c r="J113" i="3"/>
  <c r="N113" i="3"/>
  <c r="G93" i="6"/>
  <c r="H93" i="6" s="1"/>
  <c r="G53" i="6"/>
  <c r="H53" i="6" s="1"/>
  <c r="J62" i="6"/>
  <c r="I69" i="6"/>
  <c r="J69" i="6" s="1"/>
  <c r="G32" i="6"/>
  <c r="H32" i="6" s="1"/>
  <c r="J47" i="6"/>
  <c r="I53" i="6"/>
  <c r="J53" i="6" s="1"/>
  <c r="G80" i="6"/>
  <c r="H80" i="6" s="1"/>
  <c r="G69" i="6"/>
  <c r="H69" i="6" s="1"/>
  <c r="I32" i="6"/>
  <c r="J32" i="6" s="1"/>
  <c r="J94" i="6"/>
  <c r="I99" i="6"/>
  <c r="J99" i="6" s="1"/>
  <c r="J84" i="6"/>
  <c r="I93" i="6"/>
  <c r="J93" i="6" s="1"/>
  <c r="M53" i="3"/>
  <c r="M80" i="3"/>
  <c r="K112" i="3"/>
  <c r="I112" i="3"/>
  <c r="K69" i="3"/>
  <c r="I69" i="3"/>
  <c r="M69" i="3"/>
  <c r="M112" i="3"/>
  <c r="I80" i="3"/>
  <c r="N32" i="3"/>
  <c r="L32" i="3"/>
  <c r="J32" i="3"/>
  <c r="H32" i="3"/>
  <c r="G32" i="3"/>
  <c r="G43" i="3"/>
  <c r="N43" i="3"/>
  <c r="L43" i="3"/>
  <c r="J43" i="3"/>
  <c r="H43" i="3"/>
  <c r="H43" i="1"/>
  <c r="G43" i="1"/>
  <c r="H32" i="1"/>
  <c r="G32" i="1"/>
  <c r="H34" i="6"/>
  <c r="H35" i="6"/>
  <c r="H36" i="6"/>
  <c r="H37" i="6"/>
  <c r="H38" i="6"/>
  <c r="H39" i="6"/>
  <c r="H42" i="6"/>
  <c r="H33" i="6"/>
  <c r="J33" i="6"/>
  <c r="M113" i="3" l="1"/>
  <c r="M43" i="3"/>
  <c r="M32" i="3"/>
  <c r="K43" i="3"/>
  <c r="G44" i="3"/>
  <c r="J44" i="3"/>
  <c r="H44" i="1"/>
  <c r="I43" i="3"/>
  <c r="N44" i="3"/>
  <c r="L44" i="3"/>
  <c r="K32" i="3"/>
  <c r="I32" i="3"/>
  <c r="H44" i="3"/>
  <c r="I33" i="6"/>
  <c r="I34" i="6"/>
  <c r="J34" i="6" s="1"/>
  <c r="I35" i="6"/>
  <c r="J35" i="6" s="1"/>
  <c r="I36" i="6"/>
  <c r="J36" i="6" s="1"/>
  <c r="I37" i="6"/>
  <c r="J37" i="6" s="1"/>
  <c r="I38" i="6"/>
  <c r="J38" i="6" s="1"/>
  <c r="I39" i="6"/>
  <c r="J39" i="6" s="1"/>
  <c r="I42" i="6"/>
  <c r="J42" i="6" s="1"/>
  <c r="G34" i="6"/>
  <c r="G35" i="6"/>
  <c r="G36" i="6"/>
  <c r="G37" i="6"/>
  <c r="G38" i="6"/>
  <c r="G39" i="6"/>
  <c r="G42" i="6"/>
  <c r="G33" i="6"/>
  <c r="D44" i="6"/>
  <c r="D114" i="6" s="1"/>
  <c r="L35" i="1"/>
  <c r="N35" i="1" s="1"/>
  <c r="O35" i="6" s="1"/>
  <c r="J35" i="1"/>
  <c r="P35" i="8" s="1"/>
  <c r="M35" i="8" s="1"/>
  <c r="M35" i="3"/>
  <c r="P35" i="6" s="1"/>
  <c r="K35" i="3"/>
  <c r="N35" i="6" s="1"/>
  <c r="I35" i="3"/>
  <c r="L35" i="6" s="1"/>
  <c r="M44" i="3" l="1"/>
  <c r="N114" i="3"/>
  <c r="G43" i="6"/>
  <c r="H43" i="6" s="1"/>
  <c r="I43" i="6"/>
  <c r="J43" i="6" s="1"/>
  <c r="K44" i="3"/>
  <c r="I44" i="3"/>
  <c r="M35" i="6"/>
  <c r="K35" i="6"/>
  <c r="M46" i="3"/>
  <c r="M47" i="3"/>
  <c r="M48" i="3"/>
  <c r="M49" i="3"/>
  <c r="M52" i="3"/>
  <c r="M70" i="3"/>
  <c r="M71" i="3"/>
  <c r="M72" i="3"/>
  <c r="M74" i="3"/>
  <c r="M75" i="3"/>
  <c r="M94" i="3"/>
  <c r="M107" i="3"/>
  <c r="M108" i="3"/>
  <c r="M5" i="3"/>
  <c r="M22" i="3"/>
  <c r="M23" i="3"/>
  <c r="M25" i="3"/>
  <c r="M26" i="3"/>
  <c r="M27" i="3"/>
  <c r="M28" i="3"/>
  <c r="M31" i="3"/>
  <c r="M33" i="3"/>
  <c r="P33" i="6" s="1"/>
  <c r="M34" i="3"/>
  <c r="P34" i="6" s="1"/>
  <c r="M36" i="3"/>
  <c r="P36" i="6" s="1"/>
  <c r="M37" i="3"/>
  <c r="P37" i="6" s="1"/>
  <c r="M38" i="3"/>
  <c r="P38" i="6" s="1"/>
  <c r="M39" i="3"/>
  <c r="P39" i="6" s="1"/>
  <c r="M42" i="3"/>
  <c r="P42" i="6" s="1"/>
  <c r="M21" i="3"/>
  <c r="P6" i="6" s="1"/>
  <c r="I46" i="3"/>
  <c r="I47" i="3"/>
  <c r="I48" i="3"/>
  <c r="I49" i="3"/>
  <c r="I52" i="3"/>
  <c r="I70" i="3"/>
  <c r="I71" i="3"/>
  <c r="I72" i="3"/>
  <c r="I73" i="3"/>
  <c r="I74" i="3"/>
  <c r="I75" i="3"/>
  <c r="I94" i="3"/>
  <c r="I45" i="3"/>
  <c r="K46" i="3"/>
  <c r="K47" i="3"/>
  <c r="K48" i="3"/>
  <c r="K49" i="3"/>
  <c r="K52" i="3"/>
  <c r="K70" i="3"/>
  <c r="K71" i="3"/>
  <c r="K72" i="3"/>
  <c r="K73" i="3"/>
  <c r="K74" i="3"/>
  <c r="K75" i="3"/>
  <c r="K94" i="3"/>
  <c r="K108" i="3"/>
  <c r="K45" i="3"/>
  <c r="K21" i="3"/>
  <c r="K22" i="3"/>
  <c r="N22" i="6" s="1"/>
  <c r="K23" i="3"/>
  <c r="N23" i="6" s="1"/>
  <c r="K25" i="3"/>
  <c r="N25" i="6" s="1"/>
  <c r="K26" i="3"/>
  <c r="N26" i="6" s="1"/>
  <c r="K27" i="3"/>
  <c r="N27" i="6" s="1"/>
  <c r="K28" i="3"/>
  <c r="N28" i="6" s="1"/>
  <c r="K31" i="3"/>
  <c r="K33" i="3"/>
  <c r="N33" i="6" s="1"/>
  <c r="K34" i="3"/>
  <c r="N34" i="6" s="1"/>
  <c r="K36" i="3"/>
  <c r="N36" i="6" s="1"/>
  <c r="K37" i="3"/>
  <c r="N37" i="6" s="1"/>
  <c r="K38" i="3"/>
  <c r="N38" i="6" s="1"/>
  <c r="K39" i="3"/>
  <c r="N39" i="6" s="1"/>
  <c r="K42" i="3"/>
  <c r="N42" i="6" s="1"/>
  <c r="K5" i="3"/>
  <c r="I21" i="3"/>
  <c r="I22" i="3"/>
  <c r="L22" i="6" s="1"/>
  <c r="I23" i="3"/>
  <c r="L23" i="6" s="1"/>
  <c r="I25" i="3"/>
  <c r="L25" i="6" s="1"/>
  <c r="I26" i="3"/>
  <c r="L26" i="6" s="1"/>
  <c r="I27" i="3"/>
  <c r="L27" i="6" s="1"/>
  <c r="I28" i="3"/>
  <c r="L28" i="6" s="1"/>
  <c r="I31" i="3"/>
  <c r="I33" i="3"/>
  <c r="L33" i="6" s="1"/>
  <c r="I34" i="3"/>
  <c r="L34" i="6" s="1"/>
  <c r="I36" i="3"/>
  <c r="L36" i="6" s="1"/>
  <c r="I37" i="3"/>
  <c r="L37" i="6" s="1"/>
  <c r="I38" i="3"/>
  <c r="L38" i="6" s="1"/>
  <c r="I39" i="3"/>
  <c r="L39" i="6" s="1"/>
  <c r="I42" i="3"/>
  <c r="L42" i="6" s="1"/>
  <c r="D113" i="3"/>
  <c r="K107" i="3"/>
  <c r="H75" i="3"/>
  <c r="K75" i="8" s="1"/>
  <c r="H74" i="3"/>
  <c r="K74" i="8" s="1"/>
  <c r="H73" i="3"/>
  <c r="K73" i="8" s="1"/>
  <c r="H72" i="3"/>
  <c r="K72" i="8" s="1"/>
  <c r="H71" i="3"/>
  <c r="K71" i="8" s="1"/>
  <c r="H70" i="3"/>
  <c r="K70" i="8" s="1"/>
  <c r="D44" i="3"/>
  <c r="L21" i="6" l="1"/>
  <c r="L6" i="6"/>
  <c r="N21" i="6"/>
  <c r="N6" i="6"/>
  <c r="K80" i="8"/>
  <c r="K113" i="8" s="1"/>
  <c r="K114" i="8" s="1"/>
  <c r="I44" i="6"/>
  <c r="J44" i="6" s="1"/>
  <c r="H80" i="3"/>
  <c r="H113" i="3" s="1"/>
  <c r="D114" i="3"/>
  <c r="F113" i="3"/>
  <c r="G5" i="1"/>
  <c r="G5" i="8" s="1"/>
  <c r="M5" i="1"/>
  <c r="P5" i="6" s="1"/>
  <c r="J21" i="1"/>
  <c r="L21" i="1"/>
  <c r="M6" i="6" s="1"/>
  <c r="J22" i="1"/>
  <c r="P22" i="8" s="1"/>
  <c r="M22" i="8" s="1"/>
  <c r="L22" i="1"/>
  <c r="J23" i="1"/>
  <c r="P23" i="8" s="1"/>
  <c r="M23" i="8" s="1"/>
  <c r="L23" i="1"/>
  <c r="J25" i="1"/>
  <c r="P25" i="8" s="1"/>
  <c r="M25" i="8" s="1"/>
  <c r="L25" i="1"/>
  <c r="L26" i="1"/>
  <c r="J27" i="1"/>
  <c r="L27" i="1"/>
  <c r="J28" i="1"/>
  <c r="P28" i="8" s="1"/>
  <c r="M28" i="8" s="1"/>
  <c r="L28" i="1"/>
  <c r="J31" i="1"/>
  <c r="P31" i="8" s="1"/>
  <c r="M31" i="8" s="1"/>
  <c r="L31" i="1"/>
  <c r="J33" i="1"/>
  <c r="P33" i="8" s="1"/>
  <c r="L33" i="1"/>
  <c r="J34" i="1"/>
  <c r="P34" i="8" s="1"/>
  <c r="M34" i="8" s="1"/>
  <c r="L34" i="1"/>
  <c r="J36" i="1"/>
  <c r="P36" i="8" s="1"/>
  <c r="M36" i="8" s="1"/>
  <c r="L36" i="1"/>
  <c r="J37" i="1"/>
  <c r="P37" i="8" s="1"/>
  <c r="M37" i="8" s="1"/>
  <c r="L37" i="1"/>
  <c r="N37" i="1" s="1"/>
  <c r="O37" i="6" s="1"/>
  <c r="J38" i="1"/>
  <c r="P38" i="8" s="1"/>
  <c r="M38" i="8" s="1"/>
  <c r="L38" i="1"/>
  <c r="J39" i="1"/>
  <c r="P39" i="8" s="1"/>
  <c r="M39" i="8" s="1"/>
  <c r="L39" i="1"/>
  <c r="N39" i="1" s="1"/>
  <c r="O39" i="6" s="1"/>
  <c r="J42" i="1"/>
  <c r="P42" i="8" s="1"/>
  <c r="M42" i="8" s="1"/>
  <c r="L42" i="1"/>
  <c r="P21" i="8" l="1"/>
  <c r="K6" i="6"/>
  <c r="P6" i="8"/>
  <c r="M6" i="8" s="1"/>
  <c r="S5" i="8"/>
  <c r="E44" i="8"/>
  <c r="AG5" i="8"/>
  <c r="G44" i="8"/>
  <c r="M33" i="8"/>
  <c r="P43" i="8"/>
  <c r="M43" i="8" s="1"/>
  <c r="K27" i="6"/>
  <c r="P27" i="8"/>
  <c r="M27" i="8" s="1"/>
  <c r="M21" i="8"/>
  <c r="I5" i="1"/>
  <c r="J5" i="1" s="1"/>
  <c r="P5" i="8" s="1"/>
  <c r="M5" i="8" s="1"/>
  <c r="H5" i="6"/>
  <c r="G5" i="6"/>
  <c r="G44" i="6" s="1"/>
  <c r="G44" i="1"/>
  <c r="H114" i="3"/>
  <c r="K113" i="3"/>
  <c r="K21" i="6"/>
  <c r="N38" i="1"/>
  <c r="M38" i="6"/>
  <c r="K38" i="6"/>
  <c r="M23" i="6"/>
  <c r="N42" i="1"/>
  <c r="M42" i="6"/>
  <c r="N36" i="1"/>
  <c r="M36" i="6"/>
  <c r="M26" i="6"/>
  <c r="M22" i="6"/>
  <c r="M27" i="6"/>
  <c r="K23" i="6"/>
  <c r="K37" i="6"/>
  <c r="K42" i="6"/>
  <c r="K36" i="6"/>
  <c r="K22" i="6"/>
  <c r="M39" i="6"/>
  <c r="N34" i="1"/>
  <c r="M34" i="6"/>
  <c r="M28" i="6"/>
  <c r="M25" i="6"/>
  <c r="N32" i="1"/>
  <c r="N33" i="1"/>
  <c r="L43" i="1"/>
  <c r="M33" i="6"/>
  <c r="J43" i="1"/>
  <c r="K33" i="6"/>
  <c r="M37" i="6"/>
  <c r="K39" i="6"/>
  <c r="K34" i="6"/>
  <c r="K28" i="6"/>
  <c r="K25" i="6"/>
  <c r="M21" i="6"/>
  <c r="L32" i="1"/>
  <c r="K5" i="1"/>
  <c r="I113" i="3"/>
  <c r="G114" i="3"/>
  <c r="L114" i="3"/>
  <c r="M114" i="3" s="1"/>
  <c r="G107" i="1"/>
  <c r="G107" i="8" s="1"/>
  <c r="G102" i="1"/>
  <c r="H102" i="1" l="1"/>
  <c r="J102" i="8" s="1"/>
  <c r="G102" i="8"/>
  <c r="S107" i="8"/>
  <c r="AG107" i="8"/>
  <c r="S44" i="8"/>
  <c r="H107" i="1"/>
  <c r="H44" i="6"/>
  <c r="L5" i="1"/>
  <c r="M5" i="6" s="1"/>
  <c r="N5" i="6"/>
  <c r="K43" i="6"/>
  <c r="L43" i="6" s="1"/>
  <c r="M32" i="6"/>
  <c r="N32" i="6" s="1"/>
  <c r="M43" i="6"/>
  <c r="N43" i="6" s="1"/>
  <c r="G107" i="6"/>
  <c r="H107" i="6"/>
  <c r="J107" i="1"/>
  <c r="P107" i="8" s="1"/>
  <c r="M107" i="8" s="1"/>
  <c r="K107" i="1"/>
  <c r="L107" i="1" s="1"/>
  <c r="I102" i="1"/>
  <c r="J102" i="1" s="1"/>
  <c r="P102" i="8" s="1"/>
  <c r="K5" i="6"/>
  <c r="K114" i="3"/>
  <c r="M32" i="1"/>
  <c r="O34" i="6"/>
  <c r="K32" i="1"/>
  <c r="I43" i="1"/>
  <c r="O42" i="6"/>
  <c r="O38" i="6"/>
  <c r="K43" i="1"/>
  <c r="O33" i="6"/>
  <c r="N43" i="1"/>
  <c r="O36" i="6"/>
  <c r="K102" i="1"/>
  <c r="L102" i="1" s="1"/>
  <c r="I107" i="6" l="1"/>
  <c r="J107" i="6" s="1"/>
  <c r="J107" i="8"/>
  <c r="AG102" i="8"/>
  <c r="M102" i="8"/>
  <c r="L44" i="1"/>
  <c r="N5" i="1"/>
  <c r="N44" i="1" s="1"/>
  <c r="O43" i="6"/>
  <c r="P43" i="6" s="1"/>
  <c r="K107" i="6"/>
  <c r="L107" i="6"/>
  <c r="N107" i="6"/>
  <c r="M107" i="6"/>
  <c r="M44" i="6"/>
  <c r="M43" i="1"/>
  <c r="E44" i="1"/>
  <c r="N44" i="6" l="1"/>
  <c r="O5" i="6"/>
  <c r="O44" i="6" s="1"/>
  <c r="D44" i="1"/>
  <c r="D113" i="1"/>
  <c r="G103" i="1"/>
  <c r="K103" i="1" l="1"/>
  <c r="G103" i="8"/>
  <c r="AG103" i="8" s="1"/>
  <c r="P44" i="6"/>
  <c r="D114" i="1"/>
  <c r="K44" i="1"/>
  <c r="I103" i="1"/>
  <c r="H75" i="1" l="1"/>
  <c r="H72" i="1"/>
  <c r="H73" i="1"/>
  <c r="H74" i="1"/>
  <c r="H71" i="1"/>
  <c r="H70" i="1"/>
  <c r="J70" i="8" s="1"/>
  <c r="I74" i="6" l="1"/>
  <c r="J74" i="6" s="1"/>
  <c r="J74" i="8"/>
  <c r="I73" i="6"/>
  <c r="J73" i="6" s="1"/>
  <c r="J73" i="8"/>
  <c r="I72" i="6"/>
  <c r="J72" i="6" s="1"/>
  <c r="J72" i="8"/>
  <c r="I75" i="6"/>
  <c r="J75" i="6" s="1"/>
  <c r="J75" i="8"/>
  <c r="I71" i="6"/>
  <c r="J71" i="6" s="1"/>
  <c r="J71" i="8"/>
  <c r="H80" i="1"/>
  <c r="I70" i="6"/>
  <c r="N45" i="1"/>
  <c r="N46" i="1"/>
  <c r="N47" i="1"/>
  <c r="N48" i="1"/>
  <c r="N49" i="1"/>
  <c r="N52" i="1"/>
  <c r="N74" i="1"/>
  <c r="N84" i="1"/>
  <c r="N85" i="1"/>
  <c r="N86" i="1"/>
  <c r="L63" i="1"/>
  <c r="L62" i="1"/>
  <c r="L64" i="1"/>
  <c r="L65" i="1"/>
  <c r="N65" i="1" s="1"/>
  <c r="L68" i="1"/>
  <c r="L70" i="1"/>
  <c r="L71" i="1"/>
  <c r="L72" i="1"/>
  <c r="L73" i="1"/>
  <c r="L74" i="1"/>
  <c r="L75" i="1"/>
  <c r="L94" i="1"/>
  <c r="L99" i="1" s="1"/>
  <c r="L103" i="1"/>
  <c r="J63" i="1"/>
  <c r="P63" i="8" s="1"/>
  <c r="M63" i="8" s="1"/>
  <c r="J62" i="1"/>
  <c r="P62" i="8" s="1"/>
  <c r="J64" i="1"/>
  <c r="P64" i="8" s="1"/>
  <c r="M64" i="8" s="1"/>
  <c r="J65" i="1"/>
  <c r="P65" i="8" s="1"/>
  <c r="M65" i="8" s="1"/>
  <c r="J68" i="1"/>
  <c r="P68" i="8" s="1"/>
  <c r="M68" i="8" s="1"/>
  <c r="J70" i="1"/>
  <c r="P70" i="8" s="1"/>
  <c r="J71" i="1"/>
  <c r="P71" i="8" s="1"/>
  <c r="M71" i="8" s="1"/>
  <c r="J72" i="1"/>
  <c r="P72" i="8" s="1"/>
  <c r="M72" i="8" s="1"/>
  <c r="J73" i="1"/>
  <c r="P73" i="8" s="1"/>
  <c r="M73" i="8" s="1"/>
  <c r="J74" i="1"/>
  <c r="P74" i="8" s="1"/>
  <c r="M74" i="8" s="1"/>
  <c r="J75" i="1"/>
  <c r="P75" i="8" s="1"/>
  <c r="M75" i="8" s="1"/>
  <c r="J84" i="1"/>
  <c r="P84" i="8" s="1"/>
  <c r="J85" i="1"/>
  <c r="J86" i="1"/>
  <c r="J94" i="1"/>
  <c r="J103" i="1"/>
  <c r="P103" i="8" s="1"/>
  <c r="M103" i="8" s="1"/>
  <c r="J80" i="8" l="1"/>
  <c r="L85" i="6"/>
  <c r="P85" i="8"/>
  <c r="M85" i="8" s="1"/>
  <c r="M84" i="8"/>
  <c r="P69" i="8"/>
  <c r="M62" i="8"/>
  <c r="J99" i="1"/>
  <c r="I99" i="1" s="1"/>
  <c r="P94" i="8"/>
  <c r="L86" i="6"/>
  <c r="P86" i="8"/>
  <c r="M86" i="8" s="1"/>
  <c r="M70" i="8"/>
  <c r="P80" i="8"/>
  <c r="M80" i="8" s="1"/>
  <c r="M99" i="1"/>
  <c r="K99" i="1"/>
  <c r="L84" i="6"/>
  <c r="J93" i="1"/>
  <c r="I93" i="1" s="1"/>
  <c r="N93" i="1"/>
  <c r="M93" i="1" s="1"/>
  <c r="J70" i="6"/>
  <c r="I80" i="6"/>
  <c r="J80" i="6" s="1"/>
  <c r="M74" i="6"/>
  <c r="N74" i="6"/>
  <c r="K74" i="6"/>
  <c r="L74" i="6"/>
  <c r="M68" i="6"/>
  <c r="N68" i="6"/>
  <c r="L53" i="1"/>
  <c r="K53" i="1" s="1"/>
  <c r="K68" i="6"/>
  <c r="L68" i="6"/>
  <c r="K72" i="6"/>
  <c r="L72" i="6"/>
  <c r="J69" i="1"/>
  <c r="K63" i="6"/>
  <c r="L63" i="6"/>
  <c r="M94" i="6"/>
  <c r="M99" i="6" s="1"/>
  <c r="N99" i="6" s="1"/>
  <c r="N94" i="6"/>
  <c r="N71" i="6"/>
  <c r="M71" i="6"/>
  <c r="O74" i="6"/>
  <c r="P74" i="6"/>
  <c r="K71" i="6"/>
  <c r="L71" i="6"/>
  <c r="M86" i="6"/>
  <c r="N86" i="6"/>
  <c r="O65" i="6"/>
  <c r="P65" i="6"/>
  <c r="L70" i="6"/>
  <c r="K70" i="6"/>
  <c r="J80" i="1"/>
  <c r="O86" i="6"/>
  <c r="P86" i="6"/>
  <c r="K94" i="6"/>
  <c r="K99" i="6" s="1"/>
  <c r="L99" i="6" s="1"/>
  <c r="L94" i="6"/>
  <c r="M70" i="6"/>
  <c r="N70" i="6"/>
  <c r="L80" i="1"/>
  <c r="K86" i="6"/>
  <c r="N85" i="6"/>
  <c r="M85" i="6"/>
  <c r="M75" i="6"/>
  <c r="N75" i="6"/>
  <c r="N65" i="6"/>
  <c r="M65" i="6"/>
  <c r="J53" i="1"/>
  <c r="O85" i="6"/>
  <c r="P85" i="6"/>
  <c r="K85" i="6"/>
  <c r="M84" i="6"/>
  <c r="N84" i="6"/>
  <c r="K84" i="6"/>
  <c r="O94" i="6"/>
  <c r="O99" i="6" s="1"/>
  <c r="P99" i="6" s="1"/>
  <c r="P94" i="6"/>
  <c r="K75" i="6"/>
  <c r="L75" i="6"/>
  <c r="K65" i="6"/>
  <c r="L65" i="6"/>
  <c r="M64" i="6"/>
  <c r="N64" i="6"/>
  <c r="K64" i="6"/>
  <c r="L64" i="6"/>
  <c r="M73" i="6"/>
  <c r="N73" i="6"/>
  <c r="M62" i="6"/>
  <c r="N62" i="6"/>
  <c r="K73" i="6"/>
  <c r="L73" i="6"/>
  <c r="L62" i="6"/>
  <c r="K62" i="6"/>
  <c r="N72" i="6"/>
  <c r="M72" i="6"/>
  <c r="M63" i="6"/>
  <c r="L69" i="1"/>
  <c r="N63" i="6"/>
  <c r="P84" i="6"/>
  <c r="O84" i="6"/>
  <c r="N53" i="1"/>
  <c r="L49" i="6"/>
  <c r="K49" i="6"/>
  <c r="N71" i="1"/>
  <c r="N52" i="6"/>
  <c r="M52" i="6"/>
  <c r="L52" i="6"/>
  <c r="K52" i="6"/>
  <c r="N70" i="1"/>
  <c r="N48" i="6"/>
  <c r="M48" i="6"/>
  <c r="P52" i="6"/>
  <c r="O52" i="6"/>
  <c r="L48" i="6"/>
  <c r="K48" i="6"/>
  <c r="N68" i="1"/>
  <c r="N47" i="6"/>
  <c r="M47" i="6"/>
  <c r="P49" i="6"/>
  <c r="O49" i="6"/>
  <c r="L47" i="6"/>
  <c r="K47" i="6"/>
  <c r="N75" i="1"/>
  <c r="O48" i="6"/>
  <c r="P48" i="6"/>
  <c r="N64" i="1"/>
  <c r="O47" i="6"/>
  <c r="P47" i="6"/>
  <c r="N73" i="1"/>
  <c r="N62" i="1"/>
  <c r="N49" i="6"/>
  <c r="M49" i="6"/>
  <c r="N72" i="1"/>
  <c r="N63" i="1"/>
  <c r="G104" i="1"/>
  <c r="G101" i="1"/>
  <c r="G111" i="1"/>
  <c r="G108" i="1"/>
  <c r="H103" i="1"/>
  <c r="J103" i="8" s="1"/>
  <c r="G100" i="1"/>
  <c r="G100" i="8" s="1"/>
  <c r="M93" i="6" l="1"/>
  <c r="N93" i="6" s="1"/>
  <c r="AG100" i="8"/>
  <c r="G116" i="6"/>
  <c r="G108" i="8"/>
  <c r="P93" i="8"/>
  <c r="M93" i="8" s="1"/>
  <c r="K111" i="1"/>
  <c r="L111" i="1" s="1"/>
  <c r="G111" i="8"/>
  <c r="AG111" i="8" s="1"/>
  <c r="H101" i="1"/>
  <c r="J101" i="8" s="1"/>
  <c r="G101" i="8"/>
  <c r="AG101" i="8" s="1"/>
  <c r="I104" i="1"/>
  <c r="J104" i="1" s="1"/>
  <c r="P104" i="8" s="1"/>
  <c r="G104" i="8"/>
  <c r="AG104" i="8" s="1"/>
  <c r="M69" i="8"/>
  <c r="P99" i="8"/>
  <c r="M99" i="8" s="1"/>
  <c r="M94" i="8"/>
  <c r="M69" i="6"/>
  <c r="N69" i="6" s="1"/>
  <c r="O53" i="6"/>
  <c r="M53" i="6"/>
  <c r="N53" i="6" s="1"/>
  <c r="K69" i="6"/>
  <c r="L69" i="6" s="1"/>
  <c r="K80" i="6"/>
  <c r="L80" i="6" s="1"/>
  <c r="O93" i="6"/>
  <c r="P93" i="6" s="1"/>
  <c r="K93" i="6"/>
  <c r="L93" i="6" s="1"/>
  <c r="M80" i="6"/>
  <c r="N80" i="6" s="1"/>
  <c r="K53" i="6"/>
  <c r="L53" i="6" s="1"/>
  <c r="G112" i="1"/>
  <c r="K108" i="1"/>
  <c r="L108" i="1" s="1"/>
  <c r="N108" i="6" s="1"/>
  <c r="H108" i="6"/>
  <c r="G108" i="6"/>
  <c r="G112" i="6" s="1"/>
  <c r="H112" i="6" s="1"/>
  <c r="O68" i="6"/>
  <c r="P68" i="6"/>
  <c r="O72" i="6"/>
  <c r="P72" i="6"/>
  <c r="P75" i="6"/>
  <c r="O75" i="6"/>
  <c r="O73" i="6"/>
  <c r="P73" i="6"/>
  <c r="P62" i="6"/>
  <c r="O62" i="6"/>
  <c r="P64" i="6"/>
  <c r="O64" i="6"/>
  <c r="O63" i="6"/>
  <c r="P63" i="6"/>
  <c r="N69" i="1"/>
  <c r="P71" i="6"/>
  <c r="O71" i="6"/>
  <c r="N80" i="1"/>
  <c r="M80" i="1" s="1"/>
  <c r="O70" i="6"/>
  <c r="P70" i="6"/>
  <c r="M53" i="1"/>
  <c r="I53" i="1"/>
  <c r="I80" i="1"/>
  <c r="I69" i="1"/>
  <c r="K69" i="1"/>
  <c r="K80" i="1"/>
  <c r="K100" i="1"/>
  <c r="L100" i="1" s="1"/>
  <c r="H108" i="1"/>
  <c r="K104" i="1"/>
  <c r="L104" i="1" s="1"/>
  <c r="H104" i="1"/>
  <c r="J104" i="8" s="1"/>
  <c r="H111" i="1"/>
  <c r="J111" i="8" s="1"/>
  <c r="I111" i="1"/>
  <c r="J111" i="1" s="1"/>
  <c r="P111" i="8" s="1"/>
  <c r="I101" i="1"/>
  <c r="J101" i="1" s="1"/>
  <c r="P101" i="8" s="1"/>
  <c r="K101" i="1"/>
  <c r="L101" i="1" s="1"/>
  <c r="J108" i="1"/>
  <c r="P108" i="8" s="1"/>
  <c r="I100" i="1"/>
  <c r="J100" i="1" s="1"/>
  <c r="P100" i="8" s="1"/>
  <c r="H100" i="1"/>
  <c r="J100" i="8" s="1"/>
  <c r="M108" i="8" l="1"/>
  <c r="M111" i="8"/>
  <c r="E113" i="8"/>
  <c r="E114" i="8" s="1"/>
  <c r="I108" i="6"/>
  <c r="J108" i="6" s="1"/>
  <c r="J108" i="8"/>
  <c r="J112" i="8" s="1"/>
  <c r="J113" i="8" s="1"/>
  <c r="J114" i="8" s="1"/>
  <c r="M101" i="8"/>
  <c r="AG108" i="8"/>
  <c r="AG114" i="8" s="1"/>
  <c r="S108" i="8"/>
  <c r="M104" i="8"/>
  <c r="G112" i="8"/>
  <c r="F113" i="8"/>
  <c r="P112" i="8"/>
  <c r="M100" i="8"/>
  <c r="P53" i="6"/>
  <c r="O80" i="6"/>
  <c r="P80" i="6" s="1"/>
  <c r="O69" i="6"/>
  <c r="P69" i="6" s="1"/>
  <c r="M108" i="6"/>
  <c r="M112" i="6" s="1"/>
  <c r="N112" i="6" s="1"/>
  <c r="H112" i="1"/>
  <c r="G113" i="1"/>
  <c r="G113" i="6"/>
  <c r="N113" i="1"/>
  <c r="P113" i="6" s="1"/>
  <c r="K108" i="6"/>
  <c r="K112" i="6" s="1"/>
  <c r="L112" i="6" s="1"/>
  <c r="L108" i="6"/>
  <c r="L112" i="1"/>
  <c r="M69" i="1"/>
  <c r="J112" i="1"/>
  <c r="F113" i="1"/>
  <c r="N114" i="1"/>
  <c r="P114" i="6" s="1"/>
  <c r="M44" i="1"/>
  <c r="F44" i="3"/>
  <c r="F114" i="3" s="1"/>
  <c r="I5" i="3"/>
  <c r="L5" i="6" s="1"/>
  <c r="J114" i="3"/>
  <c r="I114" i="3" s="1"/>
  <c r="M112" i="8" l="1"/>
  <c r="I112" i="6"/>
  <c r="J112" i="6" s="1"/>
  <c r="G113" i="8"/>
  <c r="S112" i="8"/>
  <c r="P113" i="8"/>
  <c r="G114" i="6"/>
  <c r="H113" i="6"/>
  <c r="O113" i="6"/>
  <c r="O114" i="6" s="1"/>
  <c r="F117" i="3"/>
  <c r="M113" i="1"/>
  <c r="G114" i="1"/>
  <c r="H113" i="1"/>
  <c r="H114" i="1" s="1"/>
  <c r="M114" i="1"/>
  <c r="K112" i="1"/>
  <c r="M113" i="6"/>
  <c r="L113" i="1"/>
  <c r="K113" i="1" s="1"/>
  <c r="M112" i="1"/>
  <c r="K113" i="6"/>
  <c r="I112" i="1"/>
  <c r="J113" i="1"/>
  <c r="F113" i="6"/>
  <c r="F119" i="3"/>
  <c r="F118" i="3"/>
  <c r="M45" i="3"/>
  <c r="J26" i="1"/>
  <c r="P26" i="8" s="1"/>
  <c r="M113" i="8" l="1"/>
  <c r="S113" i="8"/>
  <c r="G114" i="8"/>
  <c r="S114" i="8" s="1"/>
  <c r="M26" i="8"/>
  <c r="P32" i="8"/>
  <c r="F44" i="8" s="1"/>
  <c r="L113" i="6"/>
  <c r="H114" i="6"/>
  <c r="M114" i="6"/>
  <c r="N113" i="6"/>
  <c r="L114" i="1"/>
  <c r="I113" i="1"/>
  <c r="K26" i="6"/>
  <c r="K32" i="6" s="1"/>
  <c r="L32" i="6" s="1"/>
  <c r="J32" i="1"/>
  <c r="F44" i="1" s="1"/>
  <c r="F114" i="8" l="1"/>
  <c r="F118" i="8"/>
  <c r="F117" i="8"/>
  <c r="F119" i="8"/>
  <c r="P44" i="8"/>
  <c r="M32" i="8"/>
  <c r="N114" i="6"/>
  <c r="K114" i="1"/>
  <c r="I32" i="1"/>
  <c r="K44" i="6"/>
  <c r="J44" i="1"/>
  <c r="F118" i="1"/>
  <c r="F114" i="1"/>
  <c r="F117" i="1"/>
  <c r="F119" i="1"/>
  <c r="M44" i="8" l="1"/>
  <c r="P114" i="8"/>
  <c r="M114" i="8" s="1"/>
  <c r="K114" i="6"/>
  <c r="L44" i="6"/>
  <c r="J114" i="1"/>
  <c r="I44" i="1"/>
  <c r="F44" i="6"/>
  <c r="L114" i="6" l="1"/>
  <c r="I114" i="1"/>
  <c r="F117" i="6"/>
  <c r="F114" i="6"/>
  <c r="F119" i="6"/>
  <c r="F118" i="6"/>
  <c r="I113" i="6"/>
  <c r="J113" i="6" s="1"/>
  <c r="I114" i="6" l="1"/>
  <c r="J114" i="6" s="1"/>
</calcChain>
</file>

<file path=xl/sharedStrings.xml><?xml version="1.0" encoding="utf-8"?>
<sst xmlns="http://schemas.openxmlformats.org/spreadsheetml/2006/main" count="2526" uniqueCount="173">
  <si>
    <t>AERE</t>
  </si>
  <si>
    <t>Salève Vivant</t>
  </si>
  <si>
    <t>APICY</t>
  </si>
  <si>
    <t>ProVélo GE</t>
  </si>
  <si>
    <t>EVAV</t>
  </si>
  <si>
    <t>AMANCY_Giratoire Coriandre</t>
  </si>
  <si>
    <t>PERS-JUSSY_Giratoire Casino</t>
  </si>
  <si>
    <t>REIGNIER_Giratoire église</t>
  </si>
  <si>
    <t>REIGNIER_Giratoire La Forge</t>
  </si>
  <si>
    <t>ARTHAZ_Giratoire lavage auto</t>
  </si>
  <si>
    <t>ETREMBIERES_Giratoire ex PN93</t>
  </si>
  <si>
    <t>ETREMBIERES_Carrefour sous Château</t>
  </si>
  <si>
    <t>SCIENTRIER_Carrefour Tour de Bellecombe</t>
  </si>
  <si>
    <t>LA ROCHE_Carrefour Biocoop</t>
  </si>
  <si>
    <t>LA ROCHE_Giratoire La Poste</t>
  </si>
  <si>
    <t>LA ROCHE_Giratoire ENILV</t>
  </si>
  <si>
    <t>ARENTHON_La Papeterie</t>
  </si>
  <si>
    <t>ST-PIERRE_Franchissement Borne-Dessy</t>
  </si>
  <si>
    <t>BONNEVILLE_Franchissement Borne-Tucinge</t>
  </si>
  <si>
    <t>ST-PIERRE_Pont principal sur le Borne</t>
  </si>
  <si>
    <t>NatEnv &amp; Fabrique à Biclou</t>
  </si>
  <si>
    <t>-</t>
  </si>
  <si>
    <t>GAILLARD_Douane de Moïllesullaz</t>
  </si>
  <si>
    <t>ANNEMASSE_Clos Fleury</t>
  </si>
  <si>
    <t>GAILLARD_Douane de Fossard</t>
  </si>
  <si>
    <t>AMBILLY_Voie verte Pont Noir</t>
  </si>
  <si>
    <t>ANNEMASSE_Voie verte Jura</t>
  </si>
  <si>
    <t>ARCHAMPS_Douane de Landecy</t>
  </si>
  <si>
    <t>COLLONGES_Douane de Croix de Rozon</t>
  </si>
  <si>
    <t>BOSSEY_Douane de Pierre-Grand</t>
  </si>
  <si>
    <t>BOSSEY_Douane de Troinex/Bossey</t>
  </si>
  <si>
    <t>VEYRIER_Douane du Pas de l'Echelle</t>
  </si>
  <si>
    <t>ST-JULIEN_Douane de Perly</t>
  </si>
  <si>
    <t>ST-JULIEN_Passage douanier des Crottes</t>
  </si>
  <si>
    <t>VIRY_Douane de Soral 2</t>
  </si>
  <si>
    <t>ST-JULIEN_Douane de Soral 1</t>
  </si>
  <si>
    <t>DIVONNE_Douane de Crassy / Crassier</t>
  </si>
  <si>
    <t>ST-GENIS_Giratoire Porte de France</t>
  </si>
  <si>
    <t>FERNEY_Douane de Mategnin</t>
  </si>
  <si>
    <t>Autres modes</t>
  </si>
  <si>
    <t>Piétons</t>
  </si>
  <si>
    <t>&gt; Suisse</t>
  </si>
  <si>
    <t>&gt; France</t>
  </si>
  <si>
    <t>total</t>
  </si>
  <si>
    <t>HP</t>
  </si>
  <si>
    <t>Groupe St-Julien</t>
  </si>
  <si>
    <t>ST-JULIEN_Douane de Certoux (rte Thérens)</t>
  </si>
  <si>
    <t>ST-JULIEN_Paguette (chemin de l'Aire)</t>
  </si>
  <si>
    <t>GENEVE_Rue du XXXI Décembre</t>
  </si>
  <si>
    <t>GENEVE_Bd Georges Favon</t>
  </si>
  <si>
    <t>GENEVE_Av. Pictet de Rochemont</t>
  </si>
  <si>
    <t>GENEVE_Voie Verte / Av. Frank Thomas</t>
  </si>
  <si>
    <t>GENEVE_Bd des Tranchées</t>
  </si>
  <si>
    <t>Association(s)</t>
  </si>
  <si>
    <t>Nombre de vélos</t>
  </si>
  <si>
    <t>% VAE dans le total</t>
  </si>
  <si>
    <t>% femmes dans le total</t>
  </si>
  <si>
    <t>% de VAE chez les femmes</t>
  </si>
  <si>
    <t>ANNEMASSE_Devant l'agglo</t>
  </si>
  <si>
    <t>France / Suisse / Frontière</t>
  </si>
  <si>
    <t>France</t>
  </si>
  <si>
    <t>Suisse</t>
  </si>
  <si>
    <t>Frontière</t>
  </si>
  <si>
    <t>NB VAE dans le total</t>
  </si>
  <si>
    <t>NB de VAE chez les femmes</t>
  </si>
  <si>
    <t>NB de femmes dans le total</t>
  </si>
  <si>
    <t>TOTAL</t>
  </si>
  <si>
    <t>Localisation des postes de comptage :</t>
  </si>
  <si>
    <t>données partielles</t>
  </si>
  <si>
    <t>Nombre de bénévoles</t>
  </si>
  <si>
    <t>UP Cluses</t>
  </si>
  <si>
    <t>CLUSES_Passerelle de Messy</t>
  </si>
  <si>
    <t>ATE Vaud / ProVélo La Côte</t>
  </si>
  <si>
    <t>GENEVE_Rue Ferdinand Hodler</t>
  </si>
  <si>
    <t>Arrière-pays</t>
  </si>
  <si>
    <t>OUI</t>
  </si>
  <si>
    <t>NON</t>
  </si>
  <si>
    <t>Sous-total périmètre urbain</t>
  </si>
  <si>
    <t>Sous-total périmètre "arrière-pays"</t>
  </si>
  <si>
    <t>Postes de comptage</t>
  </si>
  <si>
    <t>GENEVE_Voie Verte / Av. Bel-Air</t>
  </si>
  <si>
    <t>GENEVE_Arquebuse</t>
  </si>
  <si>
    <t>NatEnv (Nature Environnement en Pays rochois)
Fabrique à Biclou
Pays rochois en Transition</t>
  </si>
  <si>
    <t>AERE (Association Environnement Reignier-Esery)</t>
  </si>
  <si>
    <t>EVAV (En Ville A Vélo)</t>
  </si>
  <si>
    <t>APiCy (Association des Piétons et Cyclistes du Pays de Gex)</t>
  </si>
  <si>
    <t>Université Populaire de Cluses</t>
  </si>
  <si>
    <t>nombre total de cyclistes comptés sur toute la période</t>
  </si>
  <si>
    <t>Colonne</t>
  </si>
  <si>
    <t>D</t>
  </si>
  <si>
    <t>G</t>
  </si>
  <si>
    <t>H</t>
  </si>
  <si>
    <t>nombre de bénévoles par poste de comptage</t>
  </si>
  <si>
    <t>E</t>
  </si>
  <si>
    <t>nom/localisation du poste de comptage</t>
  </si>
  <si>
    <t>F</t>
  </si>
  <si>
    <t>implantation : France / Suisse / Frontière</t>
  </si>
  <si>
    <t>I</t>
  </si>
  <si>
    <t>J</t>
  </si>
  <si>
    <t>K</t>
  </si>
  <si>
    <t>L</t>
  </si>
  <si>
    <t>M</t>
  </si>
  <si>
    <t>N</t>
  </si>
  <si>
    <t>nombre de VAE dans le total (référence à la colonne G)</t>
  </si>
  <si>
    <t>nombre de femmes dans le total (référence à la colonne G)</t>
  </si>
  <si>
    <t>nombre de cyclistes comptés sur l'heure de pointe (7h30 - 8h30) uniquement</t>
  </si>
  <si>
    <t>S</t>
  </si>
  <si>
    <t>T</t>
  </si>
  <si>
    <t>U</t>
  </si>
  <si>
    <t>V</t>
  </si>
  <si>
    <t>FRONTIERE</t>
  </si>
  <si>
    <t xml:space="preserve">Eléments obligatoires pour les postes frontières et carrefours proches frontière               </t>
  </si>
  <si>
    <t>nombre total de cyclistes comptés sur toute la période - Direction Suisse</t>
  </si>
  <si>
    <t>nombre de cyclistes comptés sur l'heure de pointe (7h30 - 8h30) uniquement - Direction Suisse</t>
  </si>
  <si>
    <t>nombre total de cyclistes comptés sur toute la période - Direction France</t>
  </si>
  <si>
    <t>nombre de cyclistes comptés sur l'heure de pointe (7h30 - 8h30) uniquement - Direction France</t>
  </si>
  <si>
    <t>Ce qu'il faut renseigner</t>
  </si>
  <si>
    <t>O</t>
  </si>
  <si>
    <t>P</t>
  </si>
  <si>
    <t>Q</t>
  </si>
  <si>
    <t>R</t>
  </si>
  <si>
    <t>calcul automatique (du nombre de femmes dans le total)</t>
  </si>
  <si>
    <t>calcul automatique (du nombre de VAE dans le total)</t>
  </si>
  <si>
    <t>nombre total de VAE chez les femmes (valeur spécifique à relever)</t>
  </si>
  <si>
    <t>calcul automatique (du nombre total de VAE chez les femmes)</t>
  </si>
  <si>
    <t>DONNEES GENERALES</t>
  </si>
  <si>
    <t>AUTRES DONNEES</t>
  </si>
  <si>
    <t>nombre total de personnes comptées sur toute la période en "autre mode" (trottinette, gyropode…)</t>
  </si>
  <si>
    <t>nombre total de piétons comptés sur toute la période</t>
  </si>
  <si>
    <t>nombre total de piétons comptés en HPM (7h30 - 8h30)</t>
  </si>
  <si>
    <t>nombre total de personnes comptées en HPM (7h30 - 8h30) en "autre mode" (trottinette, gyropode…)</t>
  </si>
  <si>
    <t>Toutes les cellules blanches ne sont pas à renseigner (formule de calcul ou NC)</t>
  </si>
  <si>
    <t>REIGNIER_Giratoire Foron</t>
  </si>
  <si>
    <t>#</t>
  </si>
  <si>
    <t>%</t>
  </si>
  <si>
    <t>Evolution des vélos 2020-2021</t>
  </si>
  <si>
    <t>Evolution des VAE 2020-2021</t>
  </si>
  <si>
    <t>Evolution des femmes  2020-2021</t>
  </si>
  <si>
    <t>Sous-total</t>
  </si>
  <si>
    <t>Evolution des VAE chez les femmes 2020-2021</t>
  </si>
  <si>
    <t>LA ROCHE_Gare Passage à niveau (new2021)</t>
  </si>
  <si>
    <t>LA ROCHE_Gare Passage à niveau (new 2021)</t>
  </si>
  <si>
    <t>OK</t>
  </si>
  <si>
    <t>en HP</t>
  </si>
  <si>
    <t>THÔNEX_Ch. de la Mousse/Rte de Jussy</t>
  </si>
  <si>
    <t>CHÊNE-BOURG_Ecole de Haller</t>
  </si>
  <si>
    <t>Compté par ProVélo en 2021 (Salève Vivant en 2020)</t>
  </si>
  <si>
    <t>VALLEIRY_La Joux</t>
  </si>
  <si>
    <t>VIRY_Malagny</t>
  </si>
  <si>
    <t>VERSONNEX_Douane de Collex-Bossy</t>
  </si>
  <si>
    <t>SAUVERNY_Douane de Sauverny</t>
  </si>
  <si>
    <t>DIVONNE_Douane de Chavanne</t>
  </si>
  <si>
    <t>APiCy (Association des Piétons et Cyclistes du Pays de Gex)
+ ProVélo La Côte et ATE Vaud</t>
  </si>
  <si>
    <t>GRILLY_Douane du Pont</t>
  </si>
  <si>
    <t>DIVONNE-CRASSIER_Voie verte</t>
  </si>
  <si>
    <t>STJEAN_Douane de Dardagny</t>
  </si>
  <si>
    <t>CHALLEX_Douane de La Plaine</t>
  </si>
  <si>
    <t>POUGNY_Douane de Chancy</t>
  </si>
  <si>
    <t>FERNEY_Douane du GdSaconnex</t>
  </si>
  <si>
    <t>FERNEY_Douane de Vireloup</t>
  </si>
  <si>
    <t>Total</t>
  </si>
  <si>
    <t>VAE dans le total</t>
  </si>
  <si>
    <t>[en %]</t>
  </si>
  <si>
    <t>[en valeur]</t>
  </si>
  <si>
    <t>NB de béné-voles</t>
  </si>
  <si>
    <t>Eléments obligatoires &gt;&gt; cellules en vert dans l'onglet "2022"</t>
  </si>
  <si>
    <t>Eléments facultatifs &gt;&gt; cellules en rose dans l'onglet "2022"</t>
  </si>
  <si>
    <t>&gt;&gt; cellules en bleu dans l'onglet "2022"</t>
  </si>
  <si>
    <t>L'Abeille (Contamine)</t>
  </si>
  <si>
    <t>BONNE_Loëx (sous voie rapide)</t>
  </si>
  <si>
    <t>ACMB (Chablais)</t>
  </si>
  <si>
    <t>COMMUNE_Carrefour</t>
  </si>
  <si>
    <t>Le Préau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</si>
</sst>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\ _€_-;\-* #,##0\ _€_-;_-* &quot;-&quot;\ _€_-;_-@_-"/>
    <numFmt numFmtId="165" formatCode="0&quot; postes de comptages&quot;"/>
    <numFmt numFmtId="166" formatCode="0&quot; &quot;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trike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DFF8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rgb="FF00B0F0"/>
        <bgColor indexed="64"/>
      </patternFill>
    </fill>
  </fills>
  <borders count="19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/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/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/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/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/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theme="1" tint="0.499984740745262"/>
      </bottom>
      <diagonal/>
    </border>
    <border>
      <left/>
      <right style="thin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/>
      <right style="thin">
        <color auto="1"/>
      </right>
      <top style="dotted">
        <color theme="1" tint="0.499984740745262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ck">
        <color rgb="FF7030A0"/>
      </bottom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ck">
        <color rgb="FF7030A0"/>
      </left>
      <right/>
      <top style="thick">
        <color rgb="FF7030A0"/>
      </top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otted">
        <color theme="1" tint="0.499984740745262"/>
      </right>
      <top/>
      <bottom/>
      <diagonal/>
    </border>
    <border>
      <left style="dotted">
        <color theme="1" tint="0.499984740745262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medium">
        <color auto="1"/>
      </left>
      <right style="dotted">
        <color theme="1" tint="0.499984740745262"/>
      </right>
      <top/>
      <bottom/>
      <diagonal/>
    </border>
    <border>
      <left style="medium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thin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dotted">
        <color theme="1" tint="0.499984740745262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dotted">
        <color theme="1" tint="0.499984740745262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dotted">
        <color theme="1" tint="0.499984740745262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rgb="FF7F7F7F"/>
      </left>
      <right style="thin">
        <color rgb="FF000000"/>
      </right>
      <top style="thin">
        <color rgb="FF000000"/>
      </top>
      <bottom style="dotted">
        <color rgb="FF7F7F7F"/>
      </bottom>
      <diagonal/>
    </border>
    <border>
      <left style="dotted">
        <color rgb="FF7F7F7F"/>
      </left>
      <right style="thin">
        <color rgb="FF000000"/>
      </right>
      <top style="dotted">
        <color rgb="FF7F7F7F"/>
      </top>
      <bottom style="dotted">
        <color rgb="FF7F7F7F"/>
      </bottom>
      <diagonal/>
    </border>
    <border>
      <left style="medium">
        <color auto="1"/>
      </left>
      <right style="dotted">
        <color rgb="FF7F7F7F"/>
      </right>
      <top style="thin">
        <color rgb="FF000000"/>
      </top>
      <bottom style="dotted">
        <color rgb="FF7F7F7F"/>
      </bottom>
      <diagonal/>
    </border>
    <border>
      <left style="medium">
        <color auto="1"/>
      </left>
      <right style="dotted">
        <color rgb="FF7F7F7F"/>
      </right>
      <top style="dotted">
        <color rgb="FF7F7F7F"/>
      </top>
      <bottom style="dotted">
        <color rgb="FF7F7F7F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otted">
        <color rgb="FF7F7F7F"/>
      </left>
      <right style="thin">
        <color auto="1"/>
      </right>
      <top style="thin">
        <color rgb="FF000000"/>
      </top>
      <bottom style="dotted">
        <color rgb="FF7F7F7F"/>
      </bottom>
      <diagonal/>
    </border>
    <border>
      <left style="dotted">
        <color rgb="FF7F7F7F"/>
      </left>
      <right style="thin">
        <color auto="1"/>
      </right>
      <top style="dotted">
        <color rgb="FF7F7F7F"/>
      </top>
      <bottom style="dotted">
        <color rgb="FF7F7F7F"/>
      </bottom>
      <diagonal/>
    </border>
    <border>
      <left/>
      <right/>
      <top/>
      <bottom style="dotted">
        <color theme="1" tint="0.499984740745262"/>
      </bottom>
      <diagonal/>
    </border>
    <border>
      <left/>
      <right style="thin">
        <color auto="1"/>
      </right>
      <top/>
      <bottom style="dotted">
        <color theme="1" tint="0.499984740745262"/>
      </bottom>
      <diagonal/>
    </border>
    <border>
      <left style="medium">
        <color auto="1"/>
      </left>
      <right/>
      <top/>
      <bottom style="dotted">
        <color theme="1" tint="0.499984740745262"/>
      </bottom>
      <diagonal/>
    </border>
    <border>
      <left style="medium">
        <color auto="1"/>
      </left>
      <right/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auto="1"/>
      </left>
      <right/>
      <top style="dotted">
        <color theme="1" tint="0.499984740745262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tted">
        <color theme="1" tint="0.499984740745262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dotted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dotted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dotted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 style="dotted">
        <color theme="1" tint="0.499984740745262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dotted">
        <color theme="1" tint="0.499984740745262"/>
      </top>
      <bottom/>
      <diagonal/>
    </border>
    <border>
      <left/>
      <right/>
      <top style="dotted">
        <color theme="1" tint="0.499984740745262"/>
      </top>
      <bottom/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/>
      <diagonal/>
    </border>
    <border>
      <left/>
      <right/>
      <top style="medium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/>
      <diagonal/>
    </border>
    <border>
      <left style="dotted">
        <color theme="1" tint="0.499984740745262"/>
      </left>
      <right style="dotted">
        <color theme="1" tint="0.499984740745262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dotted">
        <color rgb="FF7F7F7F"/>
      </left>
      <right style="thin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/>
      <right style="thin">
        <color auto="1"/>
      </right>
      <top style="dotted">
        <color theme="1" tint="0.499984740745262"/>
      </top>
      <bottom/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/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/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/>
      <diagonal/>
    </border>
    <border>
      <left/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theme="1" tint="0.499984740745262"/>
      </right>
      <top style="dotted">
        <color auto="1"/>
      </top>
      <bottom/>
      <diagonal/>
    </border>
    <border>
      <left style="dotted">
        <color theme="1" tint="0.499984740745262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dotted">
        <color theme="1" tint="0.499984740745262"/>
      </right>
      <top style="dotted">
        <color auto="1"/>
      </top>
      <bottom/>
      <diagonal/>
    </border>
    <border>
      <left style="dotted">
        <color theme="1" tint="0.499984740745262"/>
      </left>
      <right style="medium">
        <color auto="1"/>
      </right>
      <top style="dotted">
        <color auto="1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auto="1"/>
      </top>
      <bottom/>
      <diagonal/>
    </border>
    <border>
      <left style="dotted">
        <color rgb="FF7F7F7F"/>
      </left>
      <right style="thin">
        <color auto="1"/>
      </right>
      <top style="thin">
        <color auto="1"/>
      </top>
      <bottom style="dotted">
        <color theme="1" tint="0.49998474074526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6" fontId="18" fillId="0" borderId="0" applyFont="0" applyBorder="0" applyProtection="0"/>
  </cellStyleXfs>
  <cellXfs count="92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3" borderId="2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9" fontId="0" fillId="3" borderId="9" xfId="1" applyFont="1" applyFill="1" applyBorder="1" applyAlignment="1">
      <alignment horizontal="center" vertical="center"/>
    </xf>
    <xf numFmtId="9" fontId="0" fillId="3" borderId="22" xfId="1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9" fontId="0" fillId="3" borderId="11" xfId="1" applyFont="1" applyFill="1" applyBorder="1" applyAlignment="1">
      <alignment horizontal="center" vertical="center"/>
    </xf>
    <xf numFmtId="9" fontId="0" fillId="3" borderId="23" xfId="1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9" fontId="0" fillId="3" borderId="13" xfId="1" applyFont="1" applyFill="1" applyBorder="1" applyAlignment="1">
      <alignment horizontal="center" vertical="center"/>
    </xf>
    <xf numFmtId="9" fontId="0" fillId="3" borderId="24" xfId="1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9" fontId="0" fillId="3" borderId="15" xfId="1" applyFont="1" applyFill="1" applyBorder="1" applyAlignment="1">
      <alignment horizontal="center" vertical="center"/>
    </xf>
    <xf numFmtId="9" fontId="0" fillId="3" borderId="25" xfId="1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3" fontId="2" fillId="3" borderId="18" xfId="1" applyNumberFormat="1" applyFont="1" applyFill="1" applyBorder="1" applyAlignment="1">
      <alignment horizontal="center" vertical="center"/>
    </xf>
    <xf numFmtId="3" fontId="2" fillId="3" borderId="19" xfId="1" applyNumberFormat="1" applyFont="1" applyFill="1" applyBorder="1" applyAlignment="1">
      <alignment horizontal="center" vertical="center"/>
    </xf>
    <xf numFmtId="3" fontId="2" fillId="3" borderId="20" xfId="1" applyNumberFormat="1" applyFont="1" applyFill="1" applyBorder="1" applyAlignment="1">
      <alignment horizontal="center" vertical="center"/>
    </xf>
    <xf numFmtId="3" fontId="2" fillId="3" borderId="21" xfId="1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3" fontId="2" fillId="3" borderId="22" xfId="1" applyNumberFormat="1" applyFont="1" applyFill="1" applyBorder="1" applyAlignment="1">
      <alignment horizontal="center" vertical="center"/>
    </xf>
    <xf numFmtId="3" fontId="2" fillId="3" borderId="23" xfId="1" applyNumberFormat="1" applyFont="1" applyFill="1" applyBorder="1" applyAlignment="1">
      <alignment horizontal="center" vertical="center"/>
    </xf>
    <xf numFmtId="3" fontId="2" fillId="3" borderId="24" xfId="1" applyNumberFormat="1" applyFont="1" applyFill="1" applyBorder="1" applyAlignment="1">
      <alignment horizontal="center" vertical="center"/>
    </xf>
    <xf numFmtId="3" fontId="2" fillId="3" borderId="25" xfId="1" applyNumberFormat="1" applyFont="1" applyFill="1" applyBorder="1" applyAlignment="1">
      <alignment horizontal="center" vertical="center"/>
    </xf>
    <xf numFmtId="3" fontId="4" fillId="3" borderId="45" xfId="0" applyNumberFormat="1" applyFont="1" applyFill="1" applyBorder="1" applyAlignment="1">
      <alignment horizontal="center" vertical="center"/>
    </xf>
    <xf numFmtId="3" fontId="4" fillId="3" borderId="39" xfId="0" applyNumberFormat="1" applyFont="1" applyFill="1" applyBorder="1" applyAlignment="1">
      <alignment horizontal="center" vertical="center"/>
    </xf>
    <xf numFmtId="9" fontId="4" fillId="3" borderId="37" xfId="1" applyNumberFormat="1" applyFont="1" applyFill="1" applyBorder="1" applyAlignment="1">
      <alignment horizontal="center" vertical="center"/>
    </xf>
    <xf numFmtId="3" fontId="5" fillId="3" borderId="38" xfId="1" applyNumberFormat="1" applyFont="1" applyFill="1" applyBorder="1" applyAlignment="1">
      <alignment horizontal="center" vertical="center"/>
    </xf>
    <xf numFmtId="9" fontId="4" fillId="3" borderId="38" xfId="1" applyNumberFormat="1" applyFont="1" applyFill="1" applyBorder="1" applyAlignment="1">
      <alignment horizontal="center" vertical="center"/>
    </xf>
    <xf numFmtId="3" fontId="4" fillId="3" borderId="37" xfId="0" applyNumberFormat="1" applyFont="1" applyFill="1" applyBorder="1" applyAlignment="1">
      <alignment horizontal="center" vertical="center"/>
    </xf>
    <xf numFmtId="3" fontId="4" fillId="3" borderId="46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3" borderId="51" xfId="0" applyFill="1" applyBorder="1" applyAlignment="1">
      <alignment vertical="center"/>
    </xf>
    <xf numFmtId="0" fontId="0" fillId="3" borderId="4" xfId="0" applyFill="1" applyBorder="1" applyAlignment="1">
      <alignment horizontal="center" vertical="center"/>
    </xf>
    <xf numFmtId="0" fontId="0" fillId="3" borderId="52" xfId="0" applyFill="1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0" fontId="0" fillId="3" borderId="53" xfId="0" applyFill="1" applyBorder="1" applyAlignment="1">
      <alignment vertical="center"/>
    </xf>
    <xf numFmtId="0" fontId="0" fillId="3" borderId="6" xfId="0" applyFill="1" applyBorder="1" applyAlignment="1">
      <alignment horizontal="center" vertical="center"/>
    </xf>
    <xf numFmtId="0" fontId="0" fillId="3" borderId="52" xfId="0" applyFont="1" applyFill="1" applyBorder="1" applyAlignment="1">
      <alignment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54" xfId="0" applyFill="1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0" fontId="4" fillId="3" borderId="47" xfId="0" applyFont="1" applyFill="1" applyBorder="1" applyAlignment="1">
      <alignment vertical="center"/>
    </xf>
    <xf numFmtId="0" fontId="4" fillId="3" borderId="55" xfId="0" applyFont="1" applyFill="1" applyBorder="1" applyAlignment="1">
      <alignment horizontal="center" vertical="center"/>
    </xf>
    <xf numFmtId="9" fontId="4" fillId="4" borderId="38" xfId="1" applyFont="1" applyFill="1" applyBorder="1" applyAlignment="1">
      <alignment horizontal="center" vertical="center"/>
    </xf>
    <xf numFmtId="3" fontId="5" fillId="4" borderId="39" xfId="1" applyNumberFormat="1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vertical="center"/>
    </xf>
    <xf numFmtId="0" fontId="6" fillId="3" borderId="51" xfId="0" applyFont="1" applyFill="1" applyBorder="1" applyAlignment="1">
      <alignment vertical="center"/>
    </xf>
    <xf numFmtId="0" fontId="6" fillId="3" borderId="52" xfId="0" applyFont="1" applyFill="1" applyBorder="1" applyAlignment="1">
      <alignment vertical="center"/>
    </xf>
    <xf numFmtId="0" fontId="6" fillId="3" borderId="53" xfId="0" applyFont="1" applyFill="1" applyBorder="1" applyAlignment="1">
      <alignment vertical="center"/>
    </xf>
    <xf numFmtId="0" fontId="4" fillId="3" borderId="61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vertical="center"/>
    </xf>
    <xf numFmtId="0" fontId="4" fillId="3" borderId="56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vertical="center"/>
    </xf>
    <xf numFmtId="0" fontId="4" fillId="5" borderId="57" xfId="0" applyFont="1" applyFill="1" applyBorder="1" applyAlignment="1">
      <alignment horizontal="center" vertical="center"/>
    </xf>
    <xf numFmtId="0" fontId="0" fillId="5" borderId="49" xfId="0" applyFill="1" applyBorder="1" applyAlignment="1">
      <alignment vertical="center"/>
    </xf>
    <xf numFmtId="0" fontId="0" fillId="5" borderId="50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9" fontId="0" fillId="5" borderId="40" xfId="1" applyFont="1" applyFill="1" applyBorder="1" applyAlignment="1">
      <alignment horizontal="center" vertical="center"/>
    </xf>
    <xf numFmtId="3" fontId="2" fillId="5" borderId="41" xfId="1" applyNumberFormat="1" applyFont="1" applyFill="1" applyBorder="1" applyAlignment="1">
      <alignment horizontal="center" vertical="center"/>
    </xf>
    <xf numFmtId="9" fontId="0" fillId="5" borderId="41" xfId="1" applyFont="1" applyFill="1" applyBorder="1" applyAlignment="1">
      <alignment horizontal="center" vertical="center"/>
    </xf>
    <xf numFmtId="3" fontId="2" fillId="5" borderId="36" xfId="1" applyNumberFormat="1" applyFont="1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0" fillId="5" borderId="44" xfId="0" applyFill="1" applyBorder="1" applyAlignment="1">
      <alignment horizontal="center" vertical="center"/>
    </xf>
    <xf numFmtId="0" fontId="0" fillId="5" borderId="51" xfId="0" applyFill="1" applyBorder="1" applyAlignment="1">
      <alignment vertical="center"/>
    </xf>
    <xf numFmtId="0" fontId="0" fillId="5" borderId="4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9" fontId="0" fillId="5" borderId="9" xfId="1" applyFont="1" applyFill="1" applyBorder="1" applyAlignment="1">
      <alignment horizontal="center" vertical="center"/>
    </xf>
    <xf numFmtId="3" fontId="2" fillId="5" borderId="22" xfId="1" applyNumberFormat="1" applyFont="1" applyFill="1" applyBorder="1" applyAlignment="1">
      <alignment horizontal="center" vertical="center"/>
    </xf>
    <xf numFmtId="9" fontId="0" fillId="5" borderId="22" xfId="1" applyFont="1" applyFill="1" applyBorder="1" applyAlignment="1">
      <alignment horizontal="center" vertical="center"/>
    </xf>
    <xf numFmtId="3" fontId="2" fillId="5" borderId="18" xfId="1" applyNumberFormat="1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52" xfId="0" applyFill="1" applyBorder="1" applyAlignment="1">
      <alignment vertical="center"/>
    </xf>
    <xf numFmtId="0" fontId="0" fillId="5" borderId="5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9" fontId="0" fillId="5" borderId="11" xfId="1" applyFont="1" applyFill="1" applyBorder="1" applyAlignment="1">
      <alignment horizontal="center" vertical="center"/>
    </xf>
    <xf numFmtId="3" fontId="2" fillId="5" borderId="23" xfId="1" applyNumberFormat="1" applyFont="1" applyFill="1" applyBorder="1" applyAlignment="1">
      <alignment horizontal="center" vertical="center"/>
    </xf>
    <xf numFmtId="9" fontId="0" fillId="5" borderId="23" xfId="1" applyFont="1" applyFill="1" applyBorder="1" applyAlignment="1">
      <alignment horizontal="center" vertical="center"/>
    </xf>
    <xf numFmtId="3" fontId="2" fillId="5" borderId="19" xfId="1" applyNumberFormat="1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53" xfId="0" applyFill="1" applyBorder="1" applyAlignment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9" fontId="0" fillId="5" borderId="13" xfId="1" applyFont="1" applyFill="1" applyBorder="1" applyAlignment="1">
      <alignment horizontal="center" vertical="center"/>
    </xf>
    <xf numFmtId="3" fontId="2" fillId="5" borderId="24" xfId="1" applyNumberFormat="1" applyFont="1" applyFill="1" applyBorder="1" applyAlignment="1">
      <alignment horizontal="center" vertical="center"/>
    </xf>
    <xf numFmtId="9" fontId="0" fillId="5" borderId="24" xfId="1" applyFont="1" applyFill="1" applyBorder="1" applyAlignment="1">
      <alignment horizontal="center" vertical="center"/>
    </xf>
    <xf numFmtId="3" fontId="2" fillId="5" borderId="20" xfId="1" applyNumberFormat="1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4" fillId="0" borderId="64" xfId="0" applyFont="1" applyBorder="1" applyAlignment="1">
      <alignment vertical="center" wrapText="1"/>
    </xf>
    <xf numFmtId="0" fontId="0" fillId="0" borderId="64" xfId="0" applyBorder="1" applyAlignment="1">
      <alignment vertical="center"/>
    </xf>
    <xf numFmtId="0" fontId="4" fillId="0" borderId="64" xfId="0" applyFont="1" applyBorder="1" applyAlignment="1">
      <alignment vertical="center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9" fontId="0" fillId="3" borderId="0" xfId="1" applyFont="1" applyFill="1" applyAlignment="1">
      <alignment horizontal="center" vertical="center"/>
    </xf>
    <xf numFmtId="9" fontId="2" fillId="3" borderId="0" xfId="1" applyFont="1" applyFill="1" applyAlignment="1">
      <alignment horizontal="center" vertical="center"/>
    </xf>
    <xf numFmtId="0" fontId="4" fillId="3" borderId="31" xfId="0" applyFont="1" applyFill="1" applyBorder="1" applyAlignment="1">
      <alignment vertical="center"/>
    </xf>
    <xf numFmtId="0" fontId="4" fillId="3" borderId="56" xfId="0" applyFont="1" applyFill="1" applyBorder="1" applyAlignment="1">
      <alignment horizontal="center" vertical="center"/>
    </xf>
    <xf numFmtId="0" fontId="7" fillId="0" borderId="65" xfId="0" applyFont="1" applyBorder="1" applyAlignment="1">
      <alignment vertical="center"/>
    </xf>
    <xf numFmtId="0" fontId="0" fillId="0" borderId="65" xfId="0" applyBorder="1" applyAlignment="1">
      <alignment horizontal="center" vertical="center"/>
    </xf>
    <xf numFmtId="165" fontId="4" fillId="3" borderId="47" xfId="0" applyNumberFormat="1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4" fillId="7" borderId="0" xfId="0" applyFont="1" applyFill="1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7" fillId="0" borderId="0" xfId="0" applyFont="1" applyFill="1" applyAlignment="1">
      <alignment vertical="center"/>
    </xf>
    <xf numFmtId="9" fontId="13" fillId="3" borderId="37" xfId="1" applyNumberFormat="1" applyFont="1" applyFill="1" applyBorder="1" applyAlignment="1">
      <alignment horizontal="center" vertical="center"/>
    </xf>
    <xf numFmtId="3" fontId="13" fillId="3" borderId="39" xfId="1" applyNumberFormat="1" applyFont="1" applyFill="1" applyBorder="1" applyAlignment="1">
      <alignment horizontal="center" vertical="center"/>
    </xf>
    <xf numFmtId="3" fontId="13" fillId="3" borderId="37" xfId="0" applyNumberFormat="1" applyFont="1" applyFill="1" applyBorder="1" applyAlignment="1">
      <alignment horizontal="center" vertical="center"/>
    </xf>
    <xf numFmtId="3" fontId="13" fillId="3" borderId="39" xfId="0" applyNumberFormat="1" applyFont="1" applyFill="1" applyBorder="1" applyAlignment="1">
      <alignment horizontal="center" vertical="center"/>
    </xf>
    <xf numFmtId="3" fontId="13" fillId="3" borderId="46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9" fontId="6" fillId="3" borderId="9" xfId="1" applyFont="1" applyFill="1" applyBorder="1" applyAlignment="1">
      <alignment horizontal="center" vertical="center"/>
    </xf>
    <xf numFmtId="9" fontId="6" fillId="3" borderId="22" xfId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9" fontId="6" fillId="3" borderId="11" xfId="1" applyFont="1" applyFill="1" applyBorder="1" applyAlignment="1">
      <alignment horizontal="center" vertical="center"/>
    </xf>
    <xf numFmtId="9" fontId="6" fillId="3" borderId="23" xfId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9" fontId="6" fillId="3" borderId="13" xfId="1" applyFont="1" applyFill="1" applyBorder="1" applyAlignment="1">
      <alignment horizontal="center" vertical="center"/>
    </xf>
    <xf numFmtId="9" fontId="6" fillId="3" borderId="24" xfId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9" fontId="6" fillId="3" borderId="15" xfId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3" fontId="13" fillId="3" borderId="45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1" applyFont="1" applyBorder="1" applyAlignment="1">
      <alignment horizontal="center" vertical="center"/>
    </xf>
    <xf numFmtId="0" fontId="4" fillId="6" borderId="57" xfId="0" applyFont="1" applyFill="1" applyBorder="1" applyAlignment="1">
      <alignment horizontal="center" vertical="center"/>
    </xf>
    <xf numFmtId="0" fontId="0" fillId="6" borderId="49" xfId="0" applyFill="1" applyBorder="1" applyAlignment="1">
      <alignment vertical="center"/>
    </xf>
    <xf numFmtId="0" fontId="0" fillId="6" borderId="50" xfId="0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/>
    </xf>
    <xf numFmtId="0" fontId="0" fillId="6" borderId="51" xfId="0" applyFill="1" applyBorder="1" applyAlignment="1">
      <alignment vertical="center"/>
    </xf>
    <xf numFmtId="0" fontId="0" fillId="6" borderId="4" xfId="0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0" fillId="6" borderId="52" xfId="0" applyFill="1" applyBorder="1" applyAlignment="1">
      <alignment vertical="center"/>
    </xf>
    <xf numFmtId="0" fontId="0" fillId="6" borderId="5" xfId="0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0" fillId="6" borderId="53" xfId="0" applyFill="1" applyBorder="1" applyAlignment="1">
      <alignment vertical="center"/>
    </xf>
    <xf numFmtId="0" fontId="0" fillId="6" borderId="6" xfId="0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0" fillId="6" borderId="5" xfId="0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center" vertical="center"/>
    </xf>
    <xf numFmtId="0" fontId="6" fillId="6" borderId="51" xfId="0" applyFont="1" applyFill="1" applyBorder="1" applyAlignment="1">
      <alignment vertical="center"/>
    </xf>
    <xf numFmtId="0" fontId="0" fillId="6" borderId="4" xfId="0" applyFont="1" applyFill="1" applyBorder="1" applyAlignment="1">
      <alignment horizontal="center" vertical="center"/>
    </xf>
    <xf numFmtId="0" fontId="6" fillId="6" borderId="52" xfId="0" applyFont="1" applyFill="1" applyBorder="1" applyAlignment="1">
      <alignment vertical="center"/>
    </xf>
    <xf numFmtId="0" fontId="6" fillId="6" borderId="53" xfId="0" applyFont="1" applyFill="1" applyBorder="1" applyAlignment="1">
      <alignment vertical="center"/>
    </xf>
    <xf numFmtId="0" fontId="4" fillId="3" borderId="32" xfId="0" applyFont="1" applyFill="1" applyBorder="1" applyAlignment="1">
      <alignment vertical="center"/>
    </xf>
    <xf numFmtId="9" fontId="6" fillId="3" borderId="41" xfId="1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44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3" fontId="6" fillId="8" borderId="36" xfId="1" applyNumberFormat="1" applyFont="1" applyFill="1" applyBorder="1" applyAlignment="1">
      <alignment horizontal="center" vertical="center"/>
    </xf>
    <xf numFmtId="3" fontId="6" fillId="8" borderId="18" xfId="1" applyNumberFormat="1" applyFont="1" applyFill="1" applyBorder="1" applyAlignment="1">
      <alignment horizontal="center" vertical="center"/>
    </xf>
    <xf numFmtId="3" fontId="6" fillId="8" borderId="19" xfId="1" applyNumberFormat="1" applyFont="1" applyFill="1" applyBorder="1" applyAlignment="1">
      <alignment horizontal="center" vertical="center"/>
    </xf>
    <xf numFmtId="3" fontId="6" fillId="8" borderId="20" xfId="1" applyNumberFormat="1" applyFont="1" applyFill="1" applyBorder="1" applyAlignment="1">
      <alignment horizontal="center" vertical="center"/>
    </xf>
    <xf numFmtId="0" fontId="6" fillId="8" borderId="40" xfId="0" applyFont="1" applyFill="1" applyBorder="1" applyAlignment="1">
      <alignment horizontal="center" vertical="center"/>
    </xf>
    <xf numFmtId="0" fontId="6" fillId="8" borderId="36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4" fillId="0" borderId="0" xfId="0" applyFont="1" applyAlignment="1">
      <alignment vertical="center"/>
    </xf>
    <xf numFmtId="0" fontId="10" fillId="10" borderId="0" xfId="0" applyFont="1" applyFill="1" applyAlignment="1">
      <alignment vertical="center"/>
    </xf>
    <xf numFmtId="0" fontId="7" fillId="10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0" fontId="14" fillId="10" borderId="0" xfId="0" applyFont="1" applyFill="1" applyAlignment="1">
      <alignment vertical="center"/>
    </xf>
    <xf numFmtId="0" fontId="15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vertical="center"/>
    </xf>
    <xf numFmtId="0" fontId="0" fillId="10" borderId="0" xfId="0" applyFill="1" applyAlignment="1">
      <alignment horizontal="center" vertical="center"/>
    </xf>
    <xf numFmtId="0" fontId="6" fillId="10" borderId="0" xfId="0" applyFont="1" applyFill="1" applyAlignment="1">
      <alignment vertical="center"/>
    </xf>
    <xf numFmtId="0" fontId="0" fillId="10" borderId="69" xfId="0" applyFill="1" applyBorder="1" applyAlignment="1">
      <alignment vertical="center"/>
    </xf>
    <xf numFmtId="0" fontId="0" fillId="10" borderId="69" xfId="0" applyFill="1" applyBorder="1" applyAlignment="1">
      <alignment horizontal="center" vertical="center"/>
    </xf>
    <xf numFmtId="0" fontId="0" fillId="10" borderId="70" xfId="0" applyFill="1" applyBorder="1" applyAlignment="1">
      <alignment vertical="center"/>
    </xf>
    <xf numFmtId="0" fontId="0" fillId="10" borderId="70" xfId="0" applyFill="1" applyBorder="1" applyAlignment="1">
      <alignment horizontal="center" vertical="center"/>
    </xf>
    <xf numFmtId="0" fontId="0" fillId="10" borderId="71" xfId="0" applyFill="1" applyBorder="1" applyAlignment="1">
      <alignment vertical="center"/>
    </xf>
    <xf numFmtId="0" fontId="0" fillId="10" borderId="72" xfId="0" applyFill="1" applyBorder="1" applyAlignment="1">
      <alignment vertical="center"/>
    </xf>
    <xf numFmtId="0" fontId="0" fillId="10" borderId="73" xfId="0" applyFill="1" applyBorder="1" applyAlignment="1">
      <alignment vertical="center"/>
    </xf>
    <xf numFmtId="0" fontId="7" fillId="10" borderId="73" xfId="0" applyFont="1" applyFill="1" applyBorder="1" applyAlignment="1">
      <alignment vertical="center"/>
    </xf>
    <xf numFmtId="0" fontId="7" fillId="10" borderId="72" xfId="0" applyFont="1" applyFill="1" applyBorder="1" applyAlignment="1">
      <alignment vertical="center"/>
    </xf>
    <xf numFmtId="0" fontId="14" fillId="10" borderId="73" xfId="0" applyFont="1" applyFill="1" applyBorder="1" applyAlignment="1">
      <alignment vertical="center"/>
    </xf>
    <xf numFmtId="0" fontId="14" fillId="10" borderId="72" xfId="0" applyFont="1" applyFill="1" applyBorder="1" applyAlignment="1">
      <alignment vertical="center"/>
    </xf>
    <xf numFmtId="0" fontId="0" fillId="10" borderId="74" xfId="0" applyFill="1" applyBorder="1" applyAlignment="1">
      <alignment vertical="center"/>
    </xf>
    <xf numFmtId="0" fontId="0" fillId="10" borderId="75" xfId="0" applyFill="1" applyBorder="1" applyAlignment="1">
      <alignment vertical="center"/>
    </xf>
    <xf numFmtId="0" fontId="0" fillId="10" borderId="76" xfId="0" applyFill="1" applyBorder="1" applyAlignment="1">
      <alignment vertical="center"/>
    </xf>
    <xf numFmtId="0" fontId="8" fillId="9" borderId="0" xfId="0" applyFont="1" applyFill="1" applyAlignment="1">
      <alignment vertical="center"/>
    </xf>
    <xf numFmtId="0" fontId="4" fillId="3" borderId="31" xfId="0" applyFont="1" applyFill="1" applyBorder="1" applyAlignment="1">
      <alignment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3" fillId="2" borderId="82" xfId="0" applyFont="1" applyFill="1" applyBorder="1" applyAlignment="1">
      <alignment horizontal="center" vertical="center" wrapText="1"/>
    </xf>
    <xf numFmtId="0" fontId="3" fillId="2" borderId="83" xfId="0" applyFont="1" applyFill="1" applyBorder="1" applyAlignment="1">
      <alignment horizontal="center" vertical="center" wrapText="1"/>
    </xf>
    <xf numFmtId="0" fontId="3" fillId="2" borderId="84" xfId="0" applyFont="1" applyFill="1" applyBorder="1" applyAlignment="1">
      <alignment horizontal="center" vertical="center" wrapText="1"/>
    </xf>
    <xf numFmtId="0" fontId="3" fillId="2" borderId="85" xfId="0" applyFont="1" applyFill="1" applyBorder="1" applyAlignment="1">
      <alignment horizontal="center" vertical="center" wrapText="1"/>
    </xf>
    <xf numFmtId="0" fontId="3" fillId="2" borderId="89" xfId="0" applyFont="1" applyFill="1" applyBorder="1" applyAlignment="1">
      <alignment horizontal="center" vertical="center" wrapText="1"/>
    </xf>
    <xf numFmtId="0" fontId="3" fillId="2" borderId="88" xfId="0" applyFont="1" applyFill="1" applyBorder="1" applyAlignment="1">
      <alignment horizontal="center" vertical="center" wrapText="1"/>
    </xf>
    <xf numFmtId="0" fontId="3" fillId="2" borderId="90" xfId="0" applyFont="1" applyFill="1" applyBorder="1" applyAlignment="1">
      <alignment horizontal="center" vertical="center" wrapText="1"/>
    </xf>
    <xf numFmtId="0" fontId="3" fillId="2" borderId="91" xfId="0" applyFont="1" applyFill="1" applyBorder="1" applyAlignment="1">
      <alignment horizontal="center" vertical="center" wrapText="1"/>
    </xf>
    <xf numFmtId="0" fontId="3" fillId="2" borderId="92" xfId="0" applyFont="1" applyFill="1" applyBorder="1" applyAlignment="1">
      <alignment horizontal="center" vertical="center" wrapText="1"/>
    </xf>
    <xf numFmtId="0" fontId="6" fillId="6" borderId="93" xfId="0" applyFont="1" applyFill="1" applyBorder="1" applyAlignment="1">
      <alignment horizontal="center" vertical="center"/>
    </xf>
    <xf numFmtId="0" fontId="3" fillId="2" borderId="97" xfId="0" applyFont="1" applyFill="1" applyBorder="1" applyAlignment="1">
      <alignment horizontal="center" vertical="center" wrapText="1"/>
    </xf>
    <xf numFmtId="9" fontId="3" fillId="2" borderId="98" xfId="1" applyFont="1" applyFill="1" applyBorder="1" applyAlignment="1">
      <alignment horizontal="center" vertical="center" wrapText="1"/>
    </xf>
    <xf numFmtId="9" fontId="3" fillId="2" borderId="92" xfId="1" applyFont="1" applyFill="1" applyBorder="1" applyAlignment="1">
      <alignment horizontal="center" vertical="center" wrapText="1"/>
    </xf>
    <xf numFmtId="0" fontId="3" fillId="2" borderId="98" xfId="0" applyFont="1" applyFill="1" applyBorder="1" applyAlignment="1">
      <alignment horizontal="center" vertical="center" wrapText="1"/>
    </xf>
    <xf numFmtId="0" fontId="6" fillId="3" borderId="82" xfId="0" applyFont="1" applyFill="1" applyBorder="1" applyAlignment="1">
      <alignment horizontal="center" vertical="center"/>
    </xf>
    <xf numFmtId="0" fontId="6" fillId="3" borderId="83" xfId="0" applyFont="1" applyFill="1" applyBorder="1" applyAlignment="1">
      <alignment horizontal="center" vertical="center"/>
    </xf>
    <xf numFmtId="0" fontId="6" fillId="3" borderId="101" xfId="0" applyFont="1" applyFill="1" applyBorder="1" applyAlignment="1">
      <alignment horizontal="center" vertical="center"/>
    </xf>
    <xf numFmtId="0" fontId="4" fillId="5" borderId="100" xfId="0" applyFont="1" applyFill="1" applyBorder="1" applyAlignment="1">
      <alignment horizontal="center" vertical="center" wrapText="1"/>
    </xf>
    <xf numFmtId="0" fontId="0" fillId="5" borderId="81" xfId="0" applyFill="1" applyBorder="1" applyAlignment="1">
      <alignment vertical="center"/>
    </xf>
    <xf numFmtId="0" fontId="0" fillId="5" borderId="80" xfId="0" applyFill="1" applyBorder="1" applyAlignment="1">
      <alignment horizontal="center" vertical="center"/>
    </xf>
    <xf numFmtId="0" fontId="0" fillId="5" borderId="83" xfId="0" applyFill="1" applyBorder="1" applyAlignment="1">
      <alignment horizontal="center" vertical="center"/>
    </xf>
    <xf numFmtId="0" fontId="0" fillId="5" borderId="82" xfId="0" applyFill="1" applyBorder="1" applyAlignment="1">
      <alignment horizontal="center" vertical="center"/>
    </xf>
    <xf numFmtId="0" fontId="0" fillId="5" borderId="101" xfId="0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3" borderId="100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9" fontId="0" fillId="5" borderId="15" xfId="1" applyFont="1" applyFill="1" applyBorder="1" applyAlignment="1">
      <alignment horizontal="center" vertical="center"/>
    </xf>
    <xf numFmtId="3" fontId="2" fillId="5" borderId="25" xfId="1" applyNumberFormat="1" applyFont="1" applyFill="1" applyBorder="1" applyAlignment="1">
      <alignment horizontal="center" vertical="center"/>
    </xf>
    <xf numFmtId="9" fontId="0" fillId="5" borderId="25" xfId="1" applyFont="1" applyFill="1" applyBorder="1" applyAlignment="1">
      <alignment horizontal="center" vertical="center"/>
    </xf>
    <xf numFmtId="3" fontId="2" fillId="5" borderId="21" xfId="1" applyNumberFormat="1" applyFont="1" applyFill="1" applyBorder="1" applyAlignment="1">
      <alignment horizontal="center" vertical="center"/>
    </xf>
    <xf numFmtId="0" fontId="6" fillId="8" borderId="118" xfId="0" applyFont="1" applyFill="1" applyBorder="1" applyAlignment="1">
      <alignment horizontal="center" vertical="center"/>
    </xf>
    <xf numFmtId="3" fontId="6" fillId="8" borderId="9" xfId="1" applyNumberFormat="1" applyFont="1" applyFill="1" applyBorder="1" applyAlignment="1">
      <alignment horizontal="center" vertical="center"/>
    </xf>
    <xf numFmtId="3" fontId="6" fillId="8" borderId="11" xfId="1" applyNumberFormat="1" applyFont="1" applyFill="1" applyBorder="1" applyAlignment="1">
      <alignment horizontal="center" vertical="center"/>
    </xf>
    <xf numFmtId="3" fontId="6" fillId="8" borderId="13" xfId="1" applyNumberFormat="1" applyFont="1" applyFill="1" applyBorder="1" applyAlignment="1">
      <alignment horizontal="center" vertical="center"/>
    </xf>
    <xf numFmtId="3" fontId="6" fillId="8" borderId="118" xfId="1" applyNumberFormat="1" applyFont="1" applyFill="1" applyBorder="1" applyAlignment="1">
      <alignment horizontal="center" vertical="center"/>
    </xf>
    <xf numFmtId="3" fontId="6" fillId="8" borderId="40" xfId="1" applyNumberFormat="1" applyFont="1" applyFill="1" applyBorder="1" applyAlignment="1">
      <alignment horizontal="center" vertical="center"/>
    </xf>
    <xf numFmtId="3" fontId="6" fillId="8" borderId="15" xfId="1" applyNumberFormat="1" applyFont="1" applyFill="1" applyBorder="1" applyAlignment="1">
      <alignment horizontal="center" vertical="center"/>
    </xf>
    <xf numFmtId="0" fontId="6" fillId="8" borderId="117" xfId="0" applyFont="1" applyFill="1" applyBorder="1" applyAlignment="1">
      <alignment horizontal="center" vertical="center"/>
    </xf>
    <xf numFmtId="0" fontId="6" fillId="3" borderId="118" xfId="0" applyFont="1" applyFill="1" applyBorder="1" applyAlignment="1">
      <alignment horizontal="center" vertical="center"/>
    </xf>
    <xf numFmtId="0" fontId="6" fillId="3" borderId="117" xfId="0" applyFont="1" applyFill="1" applyBorder="1" applyAlignment="1">
      <alignment horizontal="center" vertical="center"/>
    </xf>
    <xf numFmtId="0" fontId="6" fillId="3" borderId="119" xfId="0" applyFont="1" applyFill="1" applyBorder="1" applyAlignment="1">
      <alignment horizontal="center" vertical="center"/>
    </xf>
    <xf numFmtId="3" fontId="16" fillId="8" borderId="37" xfId="1" applyNumberFormat="1" applyFont="1" applyFill="1" applyBorder="1" applyAlignment="1">
      <alignment horizontal="center" vertical="center"/>
    </xf>
    <xf numFmtId="0" fontId="16" fillId="8" borderId="37" xfId="0" applyFont="1" applyFill="1" applyBorder="1" applyAlignment="1">
      <alignment horizontal="center" vertical="center"/>
    </xf>
    <xf numFmtId="0" fontId="16" fillId="8" borderId="39" xfId="0" applyFont="1" applyFill="1" applyBorder="1" applyAlignment="1">
      <alignment horizontal="center" vertical="center"/>
    </xf>
    <xf numFmtId="0" fontId="16" fillId="3" borderId="37" xfId="0" applyFont="1" applyFill="1" applyBorder="1" applyAlignment="1">
      <alignment horizontal="center" vertical="center"/>
    </xf>
    <xf numFmtId="0" fontId="16" fillId="3" borderId="39" xfId="0" applyFont="1" applyFill="1" applyBorder="1" applyAlignment="1">
      <alignment horizontal="center" vertical="center"/>
    </xf>
    <xf numFmtId="0" fontId="16" fillId="3" borderId="46" xfId="0" applyFont="1" applyFill="1" applyBorder="1" applyAlignment="1">
      <alignment horizontal="center" vertical="center"/>
    </xf>
    <xf numFmtId="0" fontId="6" fillId="8" borderId="94" xfId="0" applyFont="1" applyFill="1" applyBorder="1" applyAlignment="1">
      <alignment horizontal="center" vertical="center"/>
    </xf>
    <xf numFmtId="0" fontId="6" fillId="8" borderId="93" xfId="0" applyFont="1" applyFill="1" applyBorder="1" applyAlignment="1">
      <alignment horizontal="center" vertical="center"/>
    </xf>
    <xf numFmtId="0" fontId="6" fillId="6" borderId="94" xfId="0" applyFont="1" applyFill="1" applyBorder="1" applyAlignment="1">
      <alignment horizontal="center" vertical="center"/>
    </xf>
    <xf numFmtId="0" fontId="6" fillId="6" borderId="124" xfId="0" applyFont="1" applyFill="1" applyBorder="1" applyAlignment="1">
      <alignment horizontal="center" vertical="center"/>
    </xf>
    <xf numFmtId="0" fontId="0" fillId="5" borderId="125" xfId="0" applyFill="1" applyBorder="1" applyAlignment="1">
      <alignment horizontal="center" vertical="center"/>
    </xf>
    <xf numFmtId="0" fontId="0" fillId="5" borderId="114" xfId="0" applyFill="1" applyBorder="1" applyAlignment="1">
      <alignment horizontal="center" vertical="center"/>
    </xf>
    <xf numFmtId="0" fontId="0" fillId="5" borderId="117" xfId="0" applyFill="1" applyBorder="1" applyAlignment="1">
      <alignment horizontal="center" vertical="center"/>
    </xf>
    <xf numFmtId="9" fontId="0" fillId="5" borderId="118" xfId="1" applyFont="1" applyFill="1" applyBorder="1" applyAlignment="1">
      <alignment horizontal="center" vertical="center"/>
    </xf>
    <xf numFmtId="3" fontId="2" fillId="5" borderId="99" xfId="1" applyNumberFormat="1" applyFont="1" applyFill="1" applyBorder="1" applyAlignment="1">
      <alignment horizontal="center" vertical="center"/>
    </xf>
    <xf numFmtId="9" fontId="0" fillId="5" borderId="99" xfId="1" applyFont="1" applyFill="1" applyBorder="1" applyAlignment="1">
      <alignment horizontal="center" vertical="center"/>
    </xf>
    <xf numFmtId="3" fontId="2" fillId="5" borderId="117" xfId="1" applyNumberFormat="1" applyFont="1" applyFill="1" applyBorder="1" applyAlignment="1">
      <alignment horizontal="center" vertical="center"/>
    </xf>
    <xf numFmtId="0" fontId="0" fillId="5" borderId="118" xfId="0" applyFill="1" applyBorder="1" applyAlignment="1">
      <alignment horizontal="center" vertical="center"/>
    </xf>
    <xf numFmtId="0" fontId="0" fillId="5" borderId="119" xfId="0" applyFill="1" applyBorder="1" applyAlignment="1">
      <alignment horizontal="center" vertical="center"/>
    </xf>
    <xf numFmtId="0" fontId="7" fillId="5" borderId="45" xfId="0" applyFont="1" applyFill="1" applyBorder="1" applyAlignment="1">
      <alignment horizontal="center" vertical="center"/>
    </xf>
    <xf numFmtId="0" fontId="7" fillId="5" borderId="39" xfId="0" applyFont="1" applyFill="1" applyBorder="1" applyAlignment="1">
      <alignment horizontal="center" vertical="center"/>
    </xf>
    <xf numFmtId="9" fontId="7" fillId="5" borderId="37" xfId="1" applyFont="1" applyFill="1" applyBorder="1" applyAlignment="1">
      <alignment horizontal="center" vertical="center"/>
    </xf>
    <xf numFmtId="3" fontId="17" fillId="5" borderId="38" xfId="1" applyNumberFormat="1" applyFont="1" applyFill="1" applyBorder="1" applyAlignment="1">
      <alignment horizontal="center" vertical="center"/>
    </xf>
    <xf numFmtId="9" fontId="7" fillId="5" borderId="38" xfId="1" applyFont="1" applyFill="1" applyBorder="1" applyAlignment="1">
      <alignment horizontal="center" vertical="center"/>
    </xf>
    <xf numFmtId="9" fontId="7" fillId="4" borderId="38" xfId="1" applyFont="1" applyFill="1" applyBorder="1" applyAlignment="1">
      <alignment horizontal="center" vertical="center"/>
    </xf>
    <xf numFmtId="3" fontId="17" fillId="4" borderId="39" xfId="1" applyNumberFormat="1" applyFont="1" applyFill="1" applyBorder="1" applyAlignment="1">
      <alignment horizontal="center" vertical="center"/>
    </xf>
    <xf numFmtId="0" fontId="0" fillId="3" borderId="126" xfId="0" applyFill="1" applyBorder="1" applyAlignment="1">
      <alignment horizontal="center" vertical="center"/>
    </xf>
    <xf numFmtId="0" fontId="0" fillId="3" borderId="122" xfId="0" applyFill="1" applyBorder="1" applyAlignment="1">
      <alignment horizontal="center" vertical="center"/>
    </xf>
    <xf numFmtId="0" fontId="0" fillId="3" borderId="93" xfId="0" applyFill="1" applyBorder="1" applyAlignment="1">
      <alignment horizontal="center" vertical="center"/>
    </xf>
    <xf numFmtId="9" fontId="0" fillId="3" borderId="94" xfId="1" applyFont="1" applyFill="1" applyBorder="1" applyAlignment="1">
      <alignment horizontal="center" vertical="center"/>
    </xf>
    <xf numFmtId="3" fontId="2" fillId="3" borderId="123" xfId="1" applyNumberFormat="1" applyFont="1" applyFill="1" applyBorder="1" applyAlignment="1">
      <alignment horizontal="center" vertical="center"/>
    </xf>
    <xf numFmtId="9" fontId="0" fillId="3" borderId="123" xfId="1" applyFont="1" applyFill="1" applyBorder="1" applyAlignment="1">
      <alignment horizontal="center" vertical="center"/>
    </xf>
    <xf numFmtId="3" fontId="2" fillId="3" borderId="93" xfId="1" applyNumberFormat="1" applyFont="1" applyFill="1" applyBorder="1" applyAlignment="1">
      <alignment horizontal="center" vertical="center"/>
    </xf>
    <xf numFmtId="0" fontId="0" fillId="3" borderId="94" xfId="0" applyFill="1" applyBorder="1" applyAlignment="1">
      <alignment horizontal="center" vertical="center"/>
    </xf>
    <xf numFmtId="0" fontId="0" fillId="3" borderId="124" xfId="0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9" fontId="7" fillId="3" borderId="37" xfId="1" applyFont="1" applyFill="1" applyBorder="1" applyAlignment="1">
      <alignment horizontal="center" vertical="center"/>
    </xf>
    <xf numFmtId="0" fontId="3" fillId="2" borderId="127" xfId="0" applyFont="1" applyFill="1" applyBorder="1" applyAlignment="1">
      <alignment horizontal="center" vertical="center" wrapText="1"/>
    </xf>
    <xf numFmtId="0" fontId="0" fillId="11" borderId="128" xfId="0" applyFill="1" applyBorder="1" applyAlignment="1">
      <alignment horizontal="center" vertical="center"/>
    </xf>
    <xf numFmtId="0" fontId="0" fillId="11" borderId="129" xfId="0" applyFill="1" applyBorder="1" applyAlignment="1">
      <alignment horizontal="center" vertical="center"/>
    </xf>
    <xf numFmtId="0" fontId="0" fillId="11" borderId="130" xfId="0" applyFill="1" applyBorder="1" applyAlignment="1">
      <alignment horizontal="center" vertical="center"/>
    </xf>
    <xf numFmtId="0" fontId="0" fillId="11" borderId="131" xfId="0" applyFill="1" applyBorder="1" applyAlignment="1">
      <alignment horizontal="center" vertical="center"/>
    </xf>
    <xf numFmtId="0" fontId="0" fillId="8" borderId="49" xfId="0" applyFill="1" applyBorder="1" applyAlignment="1">
      <alignment vertical="center"/>
    </xf>
    <xf numFmtId="0" fontId="0" fillId="8" borderId="50" xfId="0" applyFill="1" applyBorder="1" applyAlignment="1">
      <alignment horizontal="center" vertical="center"/>
    </xf>
    <xf numFmtId="0" fontId="6" fillId="8" borderId="35" xfId="0" applyFont="1" applyFill="1" applyBorder="1" applyAlignment="1">
      <alignment horizontal="center" vertical="center"/>
    </xf>
    <xf numFmtId="0" fontId="0" fillId="8" borderId="51" xfId="0" applyFill="1" applyBorder="1" applyAlignment="1">
      <alignment vertical="center"/>
    </xf>
    <xf numFmtId="0" fontId="0" fillId="8" borderId="4" xfId="0" applyFill="1" applyBorder="1" applyAlignment="1">
      <alignment horizontal="center" vertical="center"/>
    </xf>
    <xf numFmtId="0" fontId="6" fillId="8" borderId="27" xfId="0" applyFont="1" applyFill="1" applyBorder="1" applyAlignment="1">
      <alignment horizontal="center" vertical="center"/>
    </xf>
    <xf numFmtId="0" fontId="0" fillId="8" borderId="52" xfId="0" applyFill="1" applyBorder="1" applyAlignment="1">
      <alignment vertical="center"/>
    </xf>
    <xf numFmtId="0" fontId="0" fillId="8" borderId="5" xfId="0" applyFill="1" applyBorder="1" applyAlignment="1">
      <alignment horizontal="center" vertical="center"/>
    </xf>
    <xf numFmtId="0" fontId="6" fillId="8" borderId="28" xfId="0" applyFont="1" applyFill="1" applyBorder="1" applyAlignment="1">
      <alignment horizontal="center" vertical="center"/>
    </xf>
    <xf numFmtId="0" fontId="0" fillId="8" borderId="53" xfId="0" applyFill="1" applyBorder="1" applyAlignment="1">
      <alignment vertical="center"/>
    </xf>
    <xf numFmtId="0" fontId="0" fillId="8" borderId="6" xfId="0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 wrapText="1"/>
    </xf>
    <xf numFmtId="0" fontId="0" fillId="8" borderId="54" xfId="0" applyFill="1" applyBorder="1" applyAlignment="1">
      <alignment vertical="center"/>
    </xf>
    <xf numFmtId="0" fontId="0" fillId="8" borderId="7" xfId="0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4" fillId="8" borderId="100" xfId="0" applyFont="1" applyFill="1" applyBorder="1" applyAlignment="1">
      <alignment horizontal="center" vertical="center"/>
    </xf>
    <xf numFmtId="0" fontId="0" fillId="8" borderId="102" xfId="0" applyFill="1" applyBorder="1" applyAlignment="1">
      <alignment vertical="center"/>
    </xf>
    <xf numFmtId="0" fontId="0" fillId="8" borderId="103" xfId="0" applyFill="1" applyBorder="1" applyAlignment="1">
      <alignment horizontal="center" vertical="center"/>
    </xf>
    <xf numFmtId="0" fontId="6" fillId="8" borderId="114" xfId="0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65" fontId="4" fillId="8" borderId="47" xfId="0" applyNumberFormat="1" applyFont="1" applyFill="1" applyBorder="1" applyAlignment="1">
      <alignment horizontal="left" vertical="center"/>
    </xf>
    <xf numFmtId="0" fontId="4" fillId="8" borderId="55" xfId="0" applyFont="1" applyFill="1" applyBorder="1" applyAlignment="1">
      <alignment horizontal="center" vertical="center"/>
    </xf>
    <xf numFmtId="0" fontId="16" fillId="8" borderId="45" xfId="0" applyFont="1" applyFill="1" applyBorder="1" applyAlignment="1">
      <alignment horizontal="center" vertical="center"/>
    </xf>
    <xf numFmtId="0" fontId="0" fillId="8" borderId="52" xfId="0" applyFont="1" applyFill="1" applyBorder="1" applyAlignment="1">
      <alignment vertical="center"/>
    </xf>
    <xf numFmtId="0" fontId="0" fillId="8" borderId="5" xfId="0" applyFont="1" applyFill="1" applyBorder="1" applyAlignment="1">
      <alignment horizontal="center" vertical="center"/>
    </xf>
    <xf numFmtId="0" fontId="0" fillId="8" borderId="6" xfId="0" applyFont="1" applyFill="1" applyBorder="1" applyAlignment="1">
      <alignment horizontal="center" vertical="center"/>
    </xf>
    <xf numFmtId="0" fontId="6" fillId="8" borderId="51" xfId="0" applyFont="1" applyFill="1" applyBorder="1" applyAlignment="1">
      <alignment vertical="center"/>
    </xf>
    <xf numFmtId="0" fontId="0" fillId="8" borderId="4" xfId="0" applyFont="1" applyFill="1" applyBorder="1" applyAlignment="1">
      <alignment horizontal="center" vertical="center"/>
    </xf>
    <xf numFmtId="0" fontId="6" fillId="8" borderId="52" xfId="0" applyFont="1" applyFill="1" applyBorder="1" applyAlignment="1">
      <alignment vertical="center"/>
    </xf>
    <xf numFmtId="0" fontId="6" fillId="8" borderId="53" xfId="0" applyFont="1" applyFill="1" applyBorder="1" applyAlignment="1">
      <alignment vertical="center"/>
    </xf>
    <xf numFmtId="0" fontId="4" fillId="8" borderId="61" xfId="0" applyFont="1" applyFill="1" applyBorder="1" applyAlignment="1">
      <alignment horizontal="center" vertical="center"/>
    </xf>
    <xf numFmtId="3" fontId="13" fillId="8" borderId="45" xfId="0" applyNumberFormat="1" applyFont="1" applyFill="1" applyBorder="1" applyAlignment="1">
      <alignment horizontal="center" vertical="center"/>
    </xf>
    <xf numFmtId="0" fontId="6" fillId="8" borderId="105" xfId="0" applyFont="1" applyFill="1" applyBorder="1" applyAlignment="1">
      <alignment horizontal="center" vertical="center"/>
    </xf>
    <xf numFmtId="0" fontId="6" fillId="8" borderId="107" xfId="0" applyFont="1" applyFill="1" applyBorder="1" applyAlignment="1">
      <alignment horizontal="center" vertical="center"/>
    </xf>
    <xf numFmtId="0" fontId="6" fillId="8" borderId="109" xfId="0" applyFont="1" applyFill="1" applyBorder="1" applyAlignment="1">
      <alignment horizontal="center" vertical="center"/>
    </xf>
    <xf numFmtId="0" fontId="6" fillId="8" borderId="111" xfId="0" applyFont="1" applyFill="1" applyBorder="1" applyAlignment="1">
      <alignment horizontal="center" vertical="center"/>
    </xf>
    <xf numFmtId="0" fontId="6" fillId="8" borderId="113" xfId="0" applyFont="1" applyFill="1" applyBorder="1" applyAlignment="1">
      <alignment horizontal="center" vertical="center"/>
    </xf>
    <xf numFmtId="0" fontId="6" fillId="8" borderId="116" xfId="0" applyFont="1" applyFill="1" applyBorder="1" applyAlignment="1">
      <alignment horizontal="center" vertical="center"/>
    </xf>
    <xf numFmtId="0" fontId="16" fillId="8" borderId="121" xfId="0" applyFont="1" applyFill="1" applyBorder="1" applyAlignment="1">
      <alignment horizontal="center" vertical="center"/>
    </xf>
    <xf numFmtId="3" fontId="13" fillId="8" borderId="38" xfId="0" applyNumberFormat="1" applyFont="1" applyFill="1" applyBorder="1" applyAlignment="1">
      <alignment horizontal="center" vertical="center"/>
    </xf>
    <xf numFmtId="3" fontId="13" fillId="8" borderId="37" xfId="1" applyNumberFormat="1" applyFont="1" applyFill="1" applyBorder="1" applyAlignment="1">
      <alignment horizontal="center" vertical="center"/>
    </xf>
    <xf numFmtId="9" fontId="6" fillId="12" borderId="104" xfId="1" applyFont="1" applyFill="1" applyBorder="1" applyAlignment="1">
      <alignment horizontal="center" vertical="center"/>
    </xf>
    <xf numFmtId="9" fontId="6" fillId="12" borderId="106" xfId="1" applyFont="1" applyFill="1" applyBorder="1" applyAlignment="1">
      <alignment horizontal="center" vertical="center"/>
    </xf>
    <xf numFmtId="9" fontId="6" fillId="12" borderId="108" xfId="1" applyFont="1" applyFill="1" applyBorder="1" applyAlignment="1">
      <alignment horizontal="center" vertical="center"/>
    </xf>
    <xf numFmtId="9" fontId="6" fillId="12" borderId="110" xfId="1" applyFont="1" applyFill="1" applyBorder="1" applyAlignment="1">
      <alignment horizontal="center" vertical="center"/>
    </xf>
    <xf numFmtId="9" fontId="6" fillId="12" borderId="112" xfId="1" applyFont="1" applyFill="1" applyBorder="1" applyAlignment="1">
      <alignment horizontal="center" vertical="center"/>
    </xf>
    <xf numFmtId="9" fontId="6" fillId="12" borderId="115" xfId="1" applyFont="1" applyFill="1" applyBorder="1" applyAlignment="1">
      <alignment horizontal="center" vertical="center"/>
    </xf>
    <xf numFmtId="9" fontId="16" fillId="12" borderId="120" xfId="1" applyFont="1" applyFill="1" applyBorder="1" applyAlignment="1">
      <alignment horizontal="center" vertical="center"/>
    </xf>
    <xf numFmtId="9" fontId="6" fillId="12" borderId="36" xfId="1" applyFont="1" applyFill="1" applyBorder="1" applyAlignment="1">
      <alignment horizontal="center" vertical="center"/>
    </xf>
    <xf numFmtId="9" fontId="6" fillId="12" borderId="18" xfId="1" applyFont="1" applyFill="1" applyBorder="1" applyAlignment="1">
      <alignment horizontal="center" vertical="center"/>
    </xf>
    <xf numFmtId="9" fontId="6" fillId="12" borderId="19" xfId="1" applyFont="1" applyFill="1" applyBorder="1" applyAlignment="1">
      <alignment horizontal="center" vertical="center"/>
    </xf>
    <xf numFmtId="9" fontId="6" fillId="12" borderId="20" xfId="1" applyFont="1" applyFill="1" applyBorder="1" applyAlignment="1">
      <alignment horizontal="center" vertical="center"/>
    </xf>
    <xf numFmtId="9" fontId="6" fillId="12" borderId="21" xfId="1" applyFont="1" applyFill="1" applyBorder="1" applyAlignment="1">
      <alignment horizontal="center" vertical="center"/>
    </xf>
    <xf numFmtId="9" fontId="6" fillId="12" borderId="117" xfId="1" applyFont="1" applyFill="1" applyBorder="1" applyAlignment="1">
      <alignment horizontal="center" vertical="center"/>
    </xf>
    <xf numFmtId="9" fontId="16" fillId="12" borderId="39" xfId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0" fillId="3" borderId="81" xfId="0" applyFill="1" applyBorder="1" applyAlignment="1">
      <alignment vertical="center"/>
    </xf>
    <xf numFmtId="0" fontId="0" fillId="3" borderId="80" xfId="0" applyFill="1" applyBorder="1" applyAlignment="1">
      <alignment horizontal="center" vertical="center"/>
    </xf>
    <xf numFmtId="0" fontId="4" fillId="8" borderId="62" xfId="0" applyFont="1" applyFill="1" applyBorder="1" applyAlignment="1">
      <alignment horizontal="center" vertical="center"/>
    </xf>
    <xf numFmtId="0" fontId="0" fillId="8" borderId="132" xfId="0" applyFill="1" applyBorder="1" applyAlignment="1">
      <alignment vertical="center"/>
    </xf>
    <xf numFmtId="0" fontId="0" fillId="8" borderId="125" xfId="0" applyFill="1" applyBorder="1" applyAlignment="1">
      <alignment horizontal="center" vertical="center"/>
    </xf>
    <xf numFmtId="0" fontId="0" fillId="3" borderId="132" xfId="0" applyFill="1" applyBorder="1" applyAlignment="1">
      <alignment vertical="center"/>
    </xf>
    <xf numFmtId="0" fontId="0" fillId="3" borderId="125" xfId="0" applyFill="1" applyBorder="1" applyAlignment="1">
      <alignment horizontal="center" vertical="center"/>
    </xf>
    <xf numFmtId="0" fontId="0" fillId="3" borderId="114" xfId="0" applyFill="1" applyBorder="1" applyAlignment="1">
      <alignment horizontal="center" vertical="center"/>
    </xf>
    <xf numFmtId="0" fontId="0" fillId="3" borderId="117" xfId="0" applyFill="1" applyBorder="1" applyAlignment="1">
      <alignment horizontal="center" vertical="center"/>
    </xf>
    <xf numFmtId="3" fontId="2" fillId="3" borderId="99" xfId="1" applyNumberFormat="1" applyFont="1" applyFill="1" applyBorder="1" applyAlignment="1">
      <alignment horizontal="center" vertical="center"/>
    </xf>
    <xf numFmtId="3" fontId="2" fillId="3" borderId="117" xfId="1" applyNumberFormat="1" applyFont="1" applyFill="1" applyBorder="1" applyAlignment="1">
      <alignment horizontal="center" vertical="center"/>
    </xf>
    <xf numFmtId="0" fontId="0" fillId="3" borderId="118" xfId="0" applyFill="1" applyBorder="1" applyAlignment="1">
      <alignment horizontal="center" vertical="center"/>
    </xf>
    <xf numFmtId="0" fontId="0" fillId="3" borderId="119" xfId="0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 wrapText="1"/>
    </xf>
    <xf numFmtId="0" fontId="0" fillId="8" borderId="54" xfId="0" applyFont="1" applyFill="1" applyBorder="1" applyAlignment="1">
      <alignment vertical="center"/>
    </xf>
    <xf numFmtId="0" fontId="0" fillId="8" borderId="7" xfId="0" applyFont="1" applyFill="1" applyBorder="1" applyAlignment="1">
      <alignment horizontal="center" vertical="center"/>
    </xf>
    <xf numFmtId="0" fontId="6" fillId="8" borderId="54" xfId="0" applyFont="1" applyFill="1" applyBorder="1" applyAlignment="1">
      <alignment vertical="center"/>
    </xf>
    <xf numFmtId="0" fontId="0" fillId="3" borderId="54" xfId="0" applyFont="1" applyFill="1" applyBorder="1" applyAlignment="1">
      <alignment vertical="center"/>
    </xf>
    <xf numFmtId="0" fontId="0" fillId="3" borderId="7" xfId="0" applyFont="1" applyFill="1" applyBorder="1" applyAlignment="1">
      <alignment horizontal="center" vertical="center"/>
    </xf>
    <xf numFmtId="0" fontId="6" fillId="3" borderId="54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vertical="center"/>
    </xf>
    <xf numFmtId="3" fontId="6" fillId="3" borderId="21" xfId="1" applyNumberFormat="1" applyFont="1" applyFill="1" applyBorder="1" applyAlignment="1">
      <alignment horizontal="center" vertical="center"/>
    </xf>
    <xf numFmtId="3" fontId="6" fillId="3" borderId="117" xfId="1" applyNumberFormat="1" applyFont="1" applyFill="1" applyBorder="1" applyAlignment="1">
      <alignment horizontal="center" vertical="center"/>
    </xf>
    <xf numFmtId="0" fontId="4" fillId="0" borderId="64" xfId="0" applyFont="1" applyBorder="1" applyAlignment="1">
      <alignment horizontal="center" vertical="center" wrapText="1"/>
    </xf>
    <xf numFmtId="0" fontId="0" fillId="0" borderId="64" xfId="0" applyBorder="1" applyAlignment="1">
      <alignment horizontal="center" vertical="center"/>
    </xf>
    <xf numFmtId="0" fontId="0" fillId="0" borderId="64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9" fontId="6" fillId="6" borderId="18" xfId="1" applyFont="1" applyFill="1" applyBorder="1" applyAlignment="1">
      <alignment horizontal="center" vertical="center"/>
    </xf>
    <xf numFmtId="9" fontId="6" fillId="6" borderId="10" xfId="1" applyFont="1" applyFill="1" applyBorder="1" applyAlignment="1">
      <alignment horizontal="center" vertical="center"/>
    </xf>
    <xf numFmtId="9" fontId="6" fillId="6" borderId="19" xfId="1" applyFont="1" applyFill="1" applyBorder="1" applyAlignment="1">
      <alignment horizontal="center" vertical="center"/>
    </xf>
    <xf numFmtId="9" fontId="6" fillId="6" borderId="20" xfId="1" applyFont="1" applyFill="1" applyBorder="1" applyAlignment="1">
      <alignment horizontal="center" vertical="center"/>
    </xf>
    <xf numFmtId="9" fontId="6" fillId="6" borderId="12" xfId="1" applyFont="1" applyFill="1" applyBorder="1" applyAlignment="1">
      <alignment horizontal="center" vertical="center"/>
    </xf>
    <xf numFmtId="9" fontId="6" fillId="6" borderId="14" xfId="1" applyFont="1" applyFill="1" applyBorder="1" applyAlignment="1">
      <alignment horizontal="center" vertical="center"/>
    </xf>
    <xf numFmtId="9" fontId="6" fillId="6" borderId="21" xfId="1" applyFont="1" applyFill="1" applyBorder="1" applyAlignment="1">
      <alignment horizontal="center" vertical="center"/>
    </xf>
    <xf numFmtId="9" fontId="6" fillId="6" borderId="16" xfId="1" applyFont="1" applyFill="1" applyBorder="1" applyAlignment="1">
      <alignment horizontal="center" vertical="center"/>
    </xf>
    <xf numFmtId="3" fontId="0" fillId="3" borderId="19" xfId="1" applyNumberFormat="1" applyFont="1" applyFill="1" applyBorder="1" applyAlignment="1">
      <alignment horizontal="center" vertical="center"/>
    </xf>
    <xf numFmtId="9" fontId="13" fillId="12" borderId="39" xfId="1" applyFont="1" applyFill="1" applyBorder="1" applyAlignment="1">
      <alignment horizontal="center" vertical="center"/>
    </xf>
    <xf numFmtId="9" fontId="13" fillId="12" borderId="56" xfId="1" applyFont="1" applyFill="1" applyBorder="1" applyAlignment="1">
      <alignment horizontal="center" vertical="center"/>
    </xf>
    <xf numFmtId="3" fontId="13" fillId="4" borderId="37" xfId="1" applyNumberFormat="1" applyFont="1" applyFill="1" applyBorder="1" applyAlignment="1">
      <alignment horizontal="center" vertical="center"/>
    </xf>
    <xf numFmtId="9" fontId="13" fillId="4" borderId="39" xfId="1" applyFont="1" applyFill="1" applyBorder="1" applyAlignment="1">
      <alignment horizontal="center" vertical="center"/>
    </xf>
    <xf numFmtId="3" fontId="6" fillId="6" borderId="36" xfId="1" applyNumberFormat="1" applyFont="1" applyFill="1" applyBorder="1" applyAlignment="1">
      <alignment horizontal="center" vertical="center"/>
    </xf>
    <xf numFmtId="9" fontId="6" fillId="3" borderId="40" xfId="1" applyFont="1" applyFill="1" applyBorder="1" applyAlignment="1">
      <alignment horizontal="center" vertical="center"/>
    </xf>
    <xf numFmtId="3" fontId="0" fillId="11" borderId="133" xfId="2" applyNumberFormat="1" applyFont="1" applyFill="1" applyBorder="1" applyAlignment="1" applyProtection="1">
      <alignment horizontal="center" vertical="center"/>
    </xf>
    <xf numFmtId="3" fontId="0" fillId="11" borderId="134" xfId="2" applyNumberFormat="1" applyFont="1" applyFill="1" applyBorder="1" applyAlignment="1" applyProtection="1">
      <alignment horizontal="center" vertical="center"/>
    </xf>
    <xf numFmtId="3" fontId="6" fillId="6" borderId="20" xfId="1" applyNumberFormat="1" applyFont="1" applyFill="1" applyBorder="1" applyAlignment="1">
      <alignment horizontal="center" vertical="center"/>
    </xf>
    <xf numFmtId="3" fontId="6" fillId="6" borderId="18" xfId="1" applyNumberFormat="1" applyFont="1" applyFill="1" applyBorder="1" applyAlignment="1">
      <alignment horizontal="center" vertical="center"/>
    </xf>
    <xf numFmtId="3" fontId="6" fillId="6" borderId="19" xfId="1" applyNumberFormat="1" applyFont="1" applyFill="1" applyBorder="1" applyAlignment="1">
      <alignment horizontal="center" vertical="center"/>
    </xf>
    <xf numFmtId="3" fontId="16" fillId="3" borderId="39" xfId="1" applyNumberFormat="1" applyFont="1" applyFill="1" applyBorder="1" applyAlignment="1">
      <alignment horizontal="center" vertical="center"/>
    </xf>
    <xf numFmtId="9" fontId="16" fillId="3" borderId="37" xfId="1" applyFont="1" applyFill="1" applyBorder="1" applyAlignment="1">
      <alignment horizontal="center" vertical="center"/>
    </xf>
    <xf numFmtId="9" fontId="13" fillId="3" borderId="37" xfId="1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0" fillId="3" borderId="103" xfId="0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0" fontId="0" fillId="8" borderId="136" xfId="0" applyFill="1" applyBorder="1" applyAlignment="1">
      <alignment vertical="center"/>
    </xf>
    <xf numFmtId="0" fontId="0" fillId="0" borderId="137" xfId="0" applyBorder="1" applyAlignment="1">
      <alignment vertical="center"/>
    </xf>
    <xf numFmtId="0" fontId="0" fillId="0" borderId="135" xfId="0" applyBorder="1" applyAlignment="1">
      <alignment vertical="center"/>
    </xf>
    <xf numFmtId="0" fontId="0" fillId="0" borderId="138" xfId="0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139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66" xfId="0" applyBorder="1" applyAlignment="1">
      <alignment vertical="center"/>
    </xf>
    <xf numFmtId="0" fontId="0" fillId="0" borderId="100" xfId="0" applyBorder="1" applyAlignment="1">
      <alignment vertical="center"/>
    </xf>
    <xf numFmtId="0" fontId="0" fillId="0" borderId="140" xfId="0" applyBorder="1" applyAlignment="1">
      <alignment vertical="center"/>
    </xf>
    <xf numFmtId="0" fontId="0" fillId="0" borderId="58" xfId="0" applyBorder="1" applyAlignment="1">
      <alignment vertical="center"/>
    </xf>
    <xf numFmtId="0" fontId="4" fillId="3" borderId="61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 wrapText="1"/>
    </xf>
    <xf numFmtId="0" fontId="0" fillId="3" borderId="142" xfId="0" applyFill="1" applyBorder="1" applyAlignment="1">
      <alignment vertical="center"/>
    </xf>
    <xf numFmtId="0" fontId="0" fillId="3" borderId="143" xfId="0" applyFill="1" applyBorder="1" applyAlignment="1">
      <alignment horizontal="center" vertical="center"/>
    </xf>
    <xf numFmtId="0" fontId="0" fillId="3" borderId="144" xfId="0" applyFill="1" applyBorder="1" applyAlignment="1">
      <alignment horizontal="center" vertical="center"/>
    </xf>
    <xf numFmtId="0" fontId="0" fillId="3" borderId="145" xfId="0" applyFill="1" applyBorder="1" applyAlignment="1">
      <alignment horizontal="center" vertical="center"/>
    </xf>
    <xf numFmtId="9" fontId="0" fillId="3" borderId="146" xfId="1" applyFont="1" applyFill="1" applyBorder="1" applyAlignment="1">
      <alignment horizontal="center" vertical="center"/>
    </xf>
    <xf numFmtId="3" fontId="2" fillId="3" borderId="147" xfId="1" applyNumberFormat="1" applyFont="1" applyFill="1" applyBorder="1" applyAlignment="1">
      <alignment horizontal="center" vertical="center"/>
    </xf>
    <xf numFmtId="9" fontId="0" fillId="3" borderId="147" xfId="1" applyFont="1" applyFill="1" applyBorder="1" applyAlignment="1">
      <alignment horizontal="center" vertical="center"/>
    </xf>
    <xf numFmtId="3" fontId="2" fillId="3" borderId="145" xfId="1" applyNumberFormat="1" applyFont="1" applyFill="1" applyBorder="1" applyAlignment="1">
      <alignment horizontal="center" vertical="center"/>
    </xf>
    <xf numFmtId="0" fontId="0" fillId="3" borderId="146" xfId="0" applyFill="1" applyBorder="1" applyAlignment="1">
      <alignment horizontal="center" vertical="center"/>
    </xf>
    <xf numFmtId="0" fontId="0" fillId="3" borderId="148" xfId="0" applyFill="1" applyBorder="1" applyAlignment="1">
      <alignment horizontal="center" vertical="center"/>
    </xf>
    <xf numFmtId="0" fontId="0" fillId="3" borderId="150" xfId="0" applyFill="1" applyBorder="1" applyAlignment="1">
      <alignment vertical="center"/>
    </xf>
    <xf numFmtId="0" fontId="0" fillId="3" borderId="151" xfId="0" applyFill="1" applyBorder="1" applyAlignment="1">
      <alignment horizontal="center" vertical="center"/>
    </xf>
    <xf numFmtId="0" fontId="0" fillId="3" borderId="152" xfId="0" applyFill="1" applyBorder="1" applyAlignment="1">
      <alignment horizontal="center" vertical="center"/>
    </xf>
    <xf numFmtId="0" fontId="0" fillId="3" borderId="153" xfId="0" applyFill="1" applyBorder="1" applyAlignment="1">
      <alignment horizontal="center" vertical="center"/>
    </xf>
    <xf numFmtId="9" fontId="0" fillId="3" borderId="154" xfId="1" applyFont="1" applyFill="1" applyBorder="1" applyAlignment="1">
      <alignment horizontal="center" vertical="center"/>
    </xf>
    <xf numFmtId="3" fontId="2" fillId="3" borderId="155" xfId="1" applyNumberFormat="1" applyFont="1" applyFill="1" applyBorder="1" applyAlignment="1">
      <alignment horizontal="center" vertical="center"/>
    </xf>
    <xf numFmtId="9" fontId="0" fillId="3" borderId="155" xfId="1" applyFont="1" applyFill="1" applyBorder="1" applyAlignment="1">
      <alignment horizontal="center" vertical="center"/>
    </xf>
    <xf numFmtId="3" fontId="2" fillId="3" borderId="153" xfId="1" applyNumberFormat="1" applyFont="1" applyFill="1" applyBorder="1" applyAlignment="1">
      <alignment horizontal="center" vertical="center"/>
    </xf>
    <xf numFmtId="0" fontId="0" fillId="3" borderId="154" xfId="0" applyFill="1" applyBorder="1" applyAlignment="1">
      <alignment horizontal="center" vertical="center"/>
    </xf>
    <xf numFmtId="0" fontId="0" fillId="3" borderId="156" xfId="0" applyFill="1" applyBorder="1" applyAlignment="1">
      <alignment horizontal="center" vertical="center"/>
    </xf>
    <xf numFmtId="0" fontId="0" fillId="3" borderId="158" xfId="0" applyFont="1" applyFill="1" applyBorder="1" applyAlignment="1">
      <alignment vertical="center"/>
    </xf>
    <xf numFmtId="0" fontId="0" fillId="3" borderId="159" xfId="0" applyFont="1" applyFill="1" applyBorder="1" applyAlignment="1">
      <alignment horizontal="center" vertical="center"/>
    </xf>
    <xf numFmtId="0" fontId="0" fillId="3" borderId="160" xfId="0" applyFill="1" applyBorder="1" applyAlignment="1">
      <alignment horizontal="center" vertical="center"/>
    </xf>
    <xf numFmtId="0" fontId="0" fillId="3" borderId="161" xfId="0" applyFill="1" applyBorder="1" applyAlignment="1">
      <alignment horizontal="center" vertical="center"/>
    </xf>
    <xf numFmtId="9" fontId="0" fillId="3" borderId="162" xfId="1" applyFont="1" applyFill="1" applyBorder="1" applyAlignment="1">
      <alignment horizontal="center" vertical="center"/>
    </xf>
    <xf numFmtId="3" fontId="2" fillId="3" borderId="163" xfId="1" applyNumberFormat="1" applyFont="1" applyFill="1" applyBorder="1" applyAlignment="1">
      <alignment horizontal="center" vertical="center"/>
    </xf>
    <xf numFmtId="9" fontId="0" fillId="3" borderId="163" xfId="1" applyFont="1" applyFill="1" applyBorder="1" applyAlignment="1">
      <alignment horizontal="center" vertical="center"/>
    </xf>
    <xf numFmtId="3" fontId="2" fillId="3" borderId="161" xfId="1" applyNumberFormat="1" applyFont="1" applyFill="1" applyBorder="1" applyAlignment="1">
      <alignment horizontal="center" vertical="center"/>
    </xf>
    <xf numFmtId="0" fontId="0" fillId="3" borderId="162" xfId="0" applyFill="1" applyBorder="1" applyAlignment="1">
      <alignment horizontal="center" vertical="center"/>
    </xf>
    <xf numFmtId="0" fontId="0" fillId="3" borderId="164" xfId="0" applyFill="1" applyBorder="1" applyAlignment="1">
      <alignment horizontal="center" vertical="center"/>
    </xf>
    <xf numFmtId="0" fontId="6" fillId="8" borderId="146" xfId="0" applyFont="1" applyFill="1" applyBorder="1" applyAlignment="1">
      <alignment horizontal="center" vertical="center"/>
    </xf>
    <xf numFmtId="0" fontId="6" fillId="8" borderId="145" xfId="0" applyFont="1" applyFill="1" applyBorder="1" applyAlignment="1">
      <alignment horizontal="center" vertical="center"/>
    </xf>
    <xf numFmtId="0" fontId="6" fillId="8" borderId="154" xfId="0" applyFont="1" applyFill="1" applyBorder="1" applyAlignment="1">
      <alignment horizontal="center" vertical="center"/>
    </xf>
    <xf numFmtId="0" fontId="6" fillId="8" borderId="153" xfId="0" applyFont="1" applyFill="1" applyBorder="1" applyAlignment="1">
      <alignment horizontal="center" vertical="center"/>
    </xf>
    <xf numFmtId="0" fontId="6" fillId="8" borderId="162" xfId="0" applyFont="1" applyFill="1" applyBorder="1" applyAlignment="1">
      <alignment horizontal="center" vertical="center"/>
    </xf>
    <xf numFmtId="0" fontId="6" fillId="8" borderId="161" xfId="0" applyFont="1" applyFill="1" applyBorder="1" applyAlignment="1">
      <alignment horizontal="center" vertical="center"/>
    </xf>
    <xf numFmtId="0" fontId="0" fillId="6" borderId="142" xfId="0" applyFill="1" applyBorder="1" applyAlignment="1">
      <alignment vertical="center"/>
    </xf>
    <xf numFmtId="0" fontId="0" fillId="6" borderId="143" xfId="0" applyFill="1" applyBorder="1" applyAlignment="1">
      <alignment horizontal="center" vertical="center"/>
    </xf>
    <xf numFmtId="0" fontId="6" fillId="6" borderId="144" xfId="0" applyFont="1" applyFill="1" applyBorder="1" applyAlignment="1">
      <alignment horizontal="center" vertical="center"/>
    </xf>
    <xf numFmtId="0" fontId="6" fillId="6" borderId="145" xfId="0" applyFont="1" applyFill="1" applyBorder="1" applyAlignment="1">
      <alignment horizontal="center" vertical="center"/>
    </xf>
    <xf numFmtId="9" fontId="6" fillId="3" borderId="146" xfId="1" applyFont="1" applyFill="1" applyBorder="1" applyAlignment="1">
      <alignment horizontal="center" vertical="center"/>
    </xf>
    <xf numFmtId="3" fontId="6" fillId="6" borderId="145" xfId="1" applyNumberFormat="1" applyFont="1" applyFill="1" applyBorder="1" applyAlignment="1">
      <alignment horizontal="center" vertical="center"/>
    </xf>
    <xf numFmtId="3" fontId="6" fillId="8" borderId="145" xfId="1" applyNumberFormat="1" applyFont="1" applyFill="1" applyBorder="1" applyAlignment="1">
      <alignment horizontal="center" vertical="center"/>
    </xf>
    <xf numFmtId="0" fontId="0" fillId="6" borderId="150" xfId="0" applyFill="1" applyBorder="1" applyAlignment="1">
      <alignment vertical="center"/>
    </xf>
    <xf numFmtId="0" fontId="0" fillId="6" borderId="151" xfId="0" applyFill="1" applyBorder="1" applyAlignment="1">
      <alignment horizontal="center" vertical="center"/>
    </xf>
    <xf numFmtId="0" fontId="6" fillId="6" borderId="152" xfId="0" applyFont="1" applyFill="1" applyBorder="1" applyAlignment="1">
      <alignment horizontal="center" vertical="center"/>
    </xf>
    <xf numFmtId="0" fontId="6" fillId="6" borderId="153" xfId="0" applyFont="1" applyFill="1" applyBorder="1" applyAlignment="1">
      <alignment horizontal="center" vertical="center"/>
    </xf>
    <xf numFmtId="9" fontId="6" fillId="3" borderId="154" xfId="1" applyFont="1" applyFill="1" applyBorder="1" applyAlignment="1">
      <alignment horizontal="center" vertical="center"/>
    </xf>
    <xf numFmtId="3" fontId="6" fillId="6" borderId="153" xfId="1" applyNumberFormat="1" applyFont="1" applyFill="1" applyBorder="1" applyAlignment="1">
      <alignment horizontal="center" vertical="center"/>
    </xf>
    <xf numFmtId="3" fontId="6" fillId="8" borderId="153" xfId="1" applyNumberFormat="1" applyFont="1" applyFill="1" applyBorder="1" applyAlignment="1">
      <alignment horizontal="center" vertical="center"/>
    </xf>
    <xf numFmtId="0" fontId="0" fillId="6" borderId="158" xfId="0" applyFont="1" applyFill="1" applyBorder="1" applyAlignment="1">
      <alignment vertical="center"/>
    </xf>
    <xf numFmtId="0" fontId="0" fillId="6" borderId="159" xfId="0" applyFont="1" applyFill="1" applyBorder="1" applyAlignment="1">
      <alignment horizontal="center" vertical="center"/>
    </xf>
    <xf numFmtId="0" fontId="6" fillId="6" borderId="160" xfId="0" applyFont="1" applyFill="1" applyBorder="1" applyAlignment="1">
      <alignment horizontal="center" vertical="center"/>
    </xf>
    <xf numFmtId="0" fontId="6" fillId="6" borderId="161" xfId="0" applyFont="1" applyFill="1" applyBorder="1" applyAlignment="1">
      <alignment horizontal="center" vertical="center"/>
    </xf>
    <xf numFmtId="9" fontId="6" fillId="3" borderId="162" xfId="1" applyFont="1" applyFill="1" applyBorder="1" applyAlignment="1">
      <alignment horizontal="center" vertical="center"/>
    </xf>
    <xf numFmtId="3" fontId="6" fillId="6" borderId="161" xfId="1" applyNumberFormat="1" applyFont="1" applyFill="1" applyBorder="1" applyAlignment="1">
      <alignment horizontal="center" vertical="center"/>
    </xf>
    <xf numFmtId="3" fontId="6" fillId="8" borderId="161" xfId="1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0" fillId="8" borderId="165" xfId="0" applyFill="1" applyBorder="1" applyAlignment="1">
      <alignment vertical="center"/>
    </xf>
    <xf numFmtId="0" fontId="0" fillId="3" borderId="165" xfId="0" applyFill="1" applyBorder="1" applyAlignment="1">
      <alignment vertical="center"/>
    </xf>
    <xf numFmtId="0" fontId="0" fillId="0" borderId="166" xfId="0" applyBorder="1" applyAlignment="1">
      <alignment vertical="center"/>
    </xf>
    <xf numFmtId="0" fontId="0" fillId="0" borderId="167" xfId="0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3" fontId="6" fillId="3" borderId="23" xfId="1" applyNumberFormat="1" applyFont="1" applyFill="1" applyBorder="1" applyAlignment="1">
      <alignment horizontal="center" vertical="center"/>
    </xf>
    <xf numFmtId="3" fontId="6" fillId="3" borderId="19" xfId="1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3" fontId="6" fillId="3" borderId="24" xfId="1" applyNumberFormat="1" applyFont="1" applyFill="1" applyBorder="1" applyAlignment="1">
      <alignment horizontal="center" vertical="center"/>
    </xf>
    <xf numFmtId="3" fontId="6" fillId="3" borderId="20" xfId="1" applyNumberFormat="1" applyFont="1" applyFill="1" applyBorder="1" applyAlignment="1">
      <alignment horizontal="center" vertical="center"/>
    </xf>
    <xf numFmtId="3" fontId="6" fillId="3" borderId="25" xfId="1" applyNumberFormat="1" applyFont="1" applyFill="1" applyBorder="1" applyAlignment="1">
      <alignment horizontal="center" vertical="center"/>
    </xf>
    <xf numFmtId="9" fontId="6" fillId="3" borderId="25" xfId="1" applyFont="1" applyFill="1" applyBorder="1" applyAlignment="1">
      <alignment horizontal="center" vertical="center"/>
    </xf>
    <xf numFmtId="0" fontId="6" fillId="6" borderId="168" xfId="0" applyFont="1" applyFill="1" applyBorder="1" applyAlignment="1">
      <alignment horizontal="center" vertical="center"/>
    </xf>
    <xf numFmtId="9" fontId="6" fillId="6" borderId="169" xfId="1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13" fillId="3" borderId="61" xfId="0" applyFont="1" applyFill="1" applyBorder="1" applyAlignment="1">
      <alignment vertical="center"/>
    </xf>
    <xf numFmtId="9" fontId="16" fillId="12" borderId="39" xfId="1" applyNumberFormat="1" applyFont="1" applyFill="1" applyBorder="1" applyAlignment="1">
      <alignment horizontal="center" vertical="center"/>
    </xf>
    <xf numFmtId="0" fontId="0" fillId="8" borderId="53" xfId="0" applyFont="1" applyFill="1" applyBorder="1" applyAlignment="1">
      <alignment vertical="center"/>
    </xf>
    <xf numFmtId="0" fontId="0" fillId="0" borderId="0" xfId="0" quotePrefix="1" applyAlignment="1">
      <alignment vertical="center"/>
    </xf>
    <xf numFmtId="0" fontId="4" fillId="5" borderId="31" xfId="0" applyFont="1" applyFill="1" applyBorder="1" applyAlignment="1">
      <alignment vertical="center"/>
    </xf>
    <xf numFmtId="0" fontId="4" fillId="5" borderId="56" xfId="0" applyFont="1" applyFill="1" applyBorder="1" applyAlignment="1">
      <alignment horizontal="center" vertical="center"/>
    </xf>
    <xf numFmtId="165" fontId="4" fillId="5" borderId="47" xfId="0" applyNumberFormat="1" applyFont="1" applyFill="1" applyBorder="1" applyAlignment="1">
      <alignment horizontal="left" vertical="center"/>
    </xf>
    <xf numFmtId="0" fontId="4" fillId="5" borderId="55" xfId="0" applyFont="1" applyFill="1" applyBorder="1" applyAlignment="1">
      <alignment horizontal="center" vertical="center"/>
    </xf>
    <xf numFmtId="3" fontId="4" fillId="5" borderId="37" xfId="0" applyNumberFormat="1" applyFont="1" applyFill="1" applyBorder="1" applyAlignment="1">
      <alignment horizontal="center" vertical="center"/>
    </xf>
    <xf numFmtId="3" fontId="4" fillId="5" borderId="39" xfId="0" applyNumberFormat="1" applyFont="1" applyFill="1" applyBorder="1" applyAlignment="1">
      <alignment horizontal="center" vertical="center"/>
    </xf>
    <xf numFmtId="3" fontId="4" fillId="5" borderId="46" xfId="0" applyNumberFormat="1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4" fillId="3" borderId="100" xfId="0" applyFont="1" applyFill="1" applyBorder="1" applyAlignment="1">
      <alignment horizontal="center" vertical="center" wrapText="1"/>
    </xf>
    <xf numFmtId="0" fontId="13" fillId="3" borderId="6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 wrapText="1"/>
    </xf>
    <xf numFmtId="0" fontId="3" fillId="2" borderId="84" xfId="0" applyFont="1" applyFill="1" applyBorder="1" applyAlignment="1">
      <alignment horizontal="center" vertical="center" wrapText="1"/>
    </xf>
    <xf numFmtId="0" fontId="3" fillId="2" borderId="85" xfId="0" applyFont="1" applyFill="1" applyBorder="1" applyAlignment="1">
      <alignment horizontal="center" vertical="center" wrapText="1"/>
    </xf>
    <xf numFmtId="0" fontId="13" fillId="8" borderId="60" xfId="0" applyFont="1" applyFill="1" applyBorder="1" applyAlignment="1">
      <alignment horizontal="center" vertical="center"/>
    </xf>
    <xf numFmtId="0" fontId="0" fillId="0" borderId="137" xfId="0" applyBorder="1" applyAlignment="1">
      <alignment horizontal="center" vertical="center"/>
    </xf>
    <xf numFmtId="0" fontId="0" fillId="0" borderId="138" xfId="0" applyBorder="1" applyAlignment="1">
      <alignment horizontal="center" vertical="center"/>
    </xf>
    <xf numFmtId="0" fontId="0" fillId="0" borderId="166" xfId="0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Continuous" vertical="center" wrapText="1"/>
    </xf>
    <xf numFmtId="0" fontId="3" fillId="2" borderId="172" xfId="0" applyFont="1" applyFill="1" applyBorder="1" applyAlignment="1">
      <alignment horizontal="centerContinuous" vertical="center" wrapText="1"/>
    </xf>
    <xf numFmtId="0" fontId="3" fillId="2" borderId="89" xfId="0" applyFont="1" applyFill="1" applyBorder="1" applyAlignment="1">
      <alignment horizontal="centerContinuous" vertical="center" wrapText="1"/>
    </xf>
    <xf numFmtId="0" fontId="3" fillId="2" borderId="171" xfId="0" applyFont="1" applyFill="1" applyBorder="1" applyAlignment="1">
      <alignment horizontal="centerContinuous" vertical="center" wrapText="1"/>
    </xf>
    <xf numFmtId="0" fontId="3" fillId="2" borderId="83" xfId="0" applyFont="1" applyFill="1" applyBorder="1" applyAlignment="1">
      <alignment horizontal="centerContinuous" vertical="center" wrapText="1"/>
    </xf>
    <xf numFmtId="0" fontId="3" fillId="2" borderId="34" xfId="0" applyFont="1" applyFill="1" applyBorder="1" applyAlignment="1">
      <alignment horizontal="centerContinuous" vertical="center" wrapText="1"/>
    </xf>
    <xf numFmtId="0" fontId="3" fillId="2" borderId="82" xfId="0" applyFont="1" applyFill="1" applyBorder="1" applyAlignment="1">
      <alignment horizontal="centerContinuous" vertical="center" wrapText="1"/>
    </xf>
    <xf numFmtId="0" fontId="3" fillId="2" borderId="42" xfId="0" applyFont="1" applyFill="1" applyBorder="1" applyAlignment="1">
      <alignment horizontal="centerContinuous" vertical="center" wrapText="1"/>
    </xf>
    <xf numFmtId="164" fontId="6" fillId="6" borderId="29" xfId="0" applyNumberFormat="1" applyFont="1" applyFill="1" applyBorder="1" applyAlignment="1">
      <alignment horizontal="center" vertical="center"/>
    </xf>
    <xf numFmtId="164" fontId="6" fillId="6" borderId="24" xfId="0" applyNumberFormat="1" applyFont="1" applyFill="1" applyBorder="1" applyAlignment="1">
      <alignment horizontal="center" vertical="center"/>
    </xf>
    <xf numFmtId="164" fontId="6" fillId="6" borderId="20" xfId="0" applyNumberFormat="1" applyFont="1" applyFill="1" applyBorder="1" applyAlignment="1">
      <alignment horizontal="center" vertical="center"/>
    </xf>
    <xf numFmtId="164" fontId="6" fillId="6" borderId="13" xfId="0" applyNumberFormat="1" applyFont="1" applyFill="1" applyBorder="1" applyAlignment="1">
      <alignment horizontal="center" vertical="center"/>
    </xf>
    <xf numFmtId="164" fontId="0" fillId="3" borderId="30" xfId="0" applyNumberFormat="1" applyFill="1" applyBorder="1" applyAlignment="1">
      <alignment horizontal="center" vertical="center"/>
    </xf>
    <xf numFmtId="164" fontId="0" fillId="3" borderId="25" xfId="0" applyNumberFormat="1" applyFill="1" applyBorder="1" applyAlignment="1">
      <alignment horizontal="center" vertical="center"/>
    </xf>
    <xf numFmtId="164" fontId="0" fillId="3" borderId="21" xfId="0" applyNumberFormat="1" applyFill="1" applyBorder="1" applyAlignment="1">
      <alignment horizontal="center" vertical="center"/>
    </xf>
    <xf numFmtId="164" fontId="0" fillId="3" borderId="15" xfId="0" applyNumberFormat="1" applyFill="1" applyBorder="1" applyAlignment="1">
      <alignment horizontal="center" vertical="center"/>
    </xf>
    <xf numFmtId="164" fontId="6" fillId="6" borderId="27" xfId="0" applyNumberFormat="1" applyFont="1" applyFill="1" applyBorder="1" applyAlignment="1">
      <alignment horizontal="center" vertical="center"/>
    </xf>
    <xf numFmtId="164" fontId="6" fillId="6" borderId="22" xfId="0" applyNumberFormat="1" applyFont="1" applyFill="1" applyBorder="1" applyAlignment="1">
      <alignment horizontal="center" vertical="center"/>
    </xf>
    <xf numFmtId="164" fontId="6" fillId="6" borderId="18" xfId="0" applyNumberFormat="1" applyFont="1" applyFill="1" applyBorder="1" applyAlignment="1">
      <alignment horizontal="center" vertical="center"/>
    </xf>
    <xf numFmtId="164" fontId="6" fillId="6" borderId="9" xfId="0" applyNumberFormat="1" applyFont="1" applyFill="1" applyBorder="1" applyAlignment="1">
      <alignment horizontal="center" vertical="center"/>
    </xf>
    <xf numFmtId="164" fontId="6" fillId="6" borderId="28" xfId="0" applyNumberFormat="1" applyFont="1" applyFill="1" applyBorder="1" applyAlignment="1">
      <alignment horizontal="center" vertical="center"/>
    </xf>
    <xf numFmtId="164" fontId="6" fillId="6" borderId="23" xfId="0" applyNumberFormat="1" applyFont="1" applyFill="1" applyBorder="1" applyAlignment="1">
      <alignment horizontal="center" vertical="center"/>
    </xf>
    <xf numFmtId="164" fontId="6" fillId="6" borderId="19" xfId="0" applyNumberFormat="1" applyFont="1" applyFill="1" applyBorder="1" applyAlignment="1">
      <alignment horizontal="center" vertical="center"/>
    </xf>
    <xf numFmtId="164" fontId="6" fillId="6" borderId="11" xfId="0" applyNumberFormat="1" applyFont="1" applyFill="1" applyBorder="1" applyAlignment="1">
      <alignment horizontal="center" vertical="center"/>
    </xf>
    <xf numFmtId="164" fontId="7" fillId="3" borderId="45" xfId="0" applyNumberFormat="1" applyFont="1" applyFill="1" applyBorder="1" applyAlignment="1">
      <alignment horizontal="center" vertical="center"/>
    </xf>
    <xf numFmtId="164" fontId="7" fillId="3" borderId="38" xfId="0" applyNumberFormat="1" applyFont="1" applyFill="1" applyBorder="1" applyAlignment="1">
      <alignment horizontal="center" vertical="center"/>
    </xf>
    <xf numFmtId="164" fontId="7" fillId="3" borderId="39" xfId="0" applyNumberFormat="1" applyFont="1" applyFill="1" applyBorder="1" applyAlignment="1">
      <alignment horizontal="center" vertical="center"/>
    </xf>
    <xf numFmtId="164" fontId="7" fillId="3" borderId="37" xfId="0" applyNumberFormat="1" applyFont="1" applyFill="1" applyBorder="1" applyAlignment="1">
      <alignment horizontal="center" vertical="center"/>
    </xf>
    <xf numFmtId="164" fontId="0" fillId="6" borderId="27" xfId="0" applyNumberFormat="1" applyFill="1" applyBorder="1" applyAlignment="1">
      <alignment horizontal="center" vertical="center"/>
    </xf>
    <xf numFmtId="164" fontId="0" fillId="6" borderId="22" xfId="0" applyNumberFormat="1" applyFill="1" applyBorder="1" applyAlignment="1">
      <alignment horizontal="center" vertical="center"/>
    </xf>
    <xf numFmtId="164" fontId="0" fillId="6" borderId="18" xfId="0" applyNumberFormat="1" applyFill="1" applyBorder="1" applyAlignment="1">
      <alignment horizontal="center" vertical="center"/>
    </xf>
    <xf numFmtId="164" fontId="0" fillId="6" borderId="9" xfId="0" applyNumberFormat="1" applyFill="1" applyBorder="1" applyAlignment="1">
      <alignment horizontal="center" vertical="center"/>
    </xf>
    <xf numFmtId="164" fontId="0" fillId="6" borderId="28" xfId="0" applyNumberFormat="1" applyFill="1" applyBorder="1" applyAlignment="1">
      <alignment horizontal="center" vertical="center"/>
    </xf>
    <xf numFmtId="164" fontId="0" fillId="6" borderId="23" xfId="0" applyNumberFormat="1" applyFill="1" applyBorder="1" applyAlignment="1">
      <alignment horizontal="center" vertical="center"/>
    </xf>
    <xf numFmtId="164" fontId="0" fillId="6" borderId="19" xfId="0" applyNumberFormat="1" applyFill="1" applyBorder="1" applyAlignment="1">
      <alignment horizontal="center" vertical="center"/>
    </xf>
    <xf numFmtId="164" fontId="0" fillId="6" borderId="11" xfId="0" applyNumberFormat="1" applyFill="1" applyBorder="1" applyAlignment="1">
      <alignment horizontal="center" vertical="center"/>
    </xf>
    <xf numFmtId="164" fontId="0" fillId="3" borderId="29" xfId="0" applyNumberFormat="1" applyFill="1" applyBorder="1" applyAlignment="1">
      <alignment horizontal="center" vertical="center"/>
    </xf>
    <xf numFmtId="164" fontId="0" fillId="3" borderId="24" xfId="0" applyNumberFormat="1" applyFill="1" applyBorder="1" applyAlignment="1">
      <alignment horizontal="center" vertical="center"/>
    </xf>
    <xf numFmtId="164" fontId="0" fillId="3" borderId="20" xfId="0" applyNumberFormat="1" applyFill="1" applyBorder="1" applyAlignment="1">
      <alignment horizontal="center" vertical="center"/>
    </xf>
    <xf numFmtId="164" fontId="0" fillId="3" borderId="13" xfId="0" applyNumberFormat="1" applyFill="1" applyBorder="1" applyAlignment="1">
      <alignment horizontal="center" vertical="center"/>
    </xf>
    <xf numFmtId="164" fontId="0" fillId="3" borderId="114" xfId="0" applyNumberFormat="1" applyFill="1" applyBorder="1" applyAlignment="1">
      <alignment horizontal="center" vertical="center"/>
    </xf>
    <xf numFmtId="164" fontId="0" fillId="3" borderId="99" xfId="0" applyNumberFormat="1" applyFill="1" applyBorder="1" applyAlignment="1">
      <alignment horizontal="center" vertical="center"/>
    </xf>
    <xf numFmtId="164" fontId="0" fillId="3" borderId="117" xfId="0" applyNumberFormat="1" applyFill="1" applyBorder="1" applyAlignment="1">
      <alignment horizontal="center" vertical="center"/>
    </xf>
    <xf numFmtId="164" fontId="0" fillId="3" borderId="118" xfId="0" applyNumberFormat="1" applyFill="1" applyBorder="1" applyAlignment="1">
      <alignment horizontal="center" vertical="center"/>
    </xf>
    <xf numFmtId="164" fontId="13" fillId="3" borderId="45" xfId="0" applyNumberFormat="1" applyFont="1" applyFill="1" applyBorder="1" applyAlignment="1">
      <alignment horizontal="center" vertical="center"/>
    </xf>
    <xf numFmtId="164" fontId="13" fillId="3" borderId="38" xfId="0" applyNumberFormat="1" applyFont="1" applyFill="1" applyBorder="1" applyAlignment="1">
      <alignment horizontal="center" vertical="center"/>
    </xf>
    <xf numFmtId="164" fontId="13" fillId="3" borderId="39" xfId="0" applyNumberFormat="1" applyFont="1" applyFill="1" applyBorder="1" applyAlignment="1">
      <alignment horizontal="center" vertical="center"/>
    </xf>
    <xf numFmtId="164" fontId="13" fillId="3" borderId="37" xfId="0" applyNumberFormat="1" applyFont="1" applyFill="1" applyBorder="1" applyAlignment="1">
      <alignment horizontal="center" vertical="center"/>
    </xf>
    <xf numFmtId="9" fontId="3" fillId="2" borderId="83" xfId="1" applyFont="1" applyFill="1" applyBorder="1" applyAlignment="1">
      <alignment horizontal="centerContinuous" vertical="center" wrapText="1"/>
    </xf>
    <xf numFmtId="0" fontId="3" fillId="2" borderId="78" xfId="0" applyFont="1" applyFill="1" applyBorder="1" applyAlignment="1">
      <alignment horizontal="centerContinuous" vertical="center" wrapText="1"/>
    </xf>
    <xf numFmtId="0" fontId="3" fillId="2" borderId="1" xfId="0" applyFont="1" applyFill="1" applyBorder="1" applyAlignment="1">
      <alignment horizontal="centerContinuous" vertical="center" wrapText="1"/>
    </xf>
    <xf numFmtId="0" fontId="3" fillId="2" borderId="79" xfId="0" applyFont="1" applyFill="1" applyBorder="1" applyAlignment="1">
      <alignment horizontal="centerContinuous" vertical="center" wrapText="1"/>
    </xf>
    <xf numFmtId="9" fontId="3" fillId="2" borderId="1" xfId="1" applyFont="1" applyFill="1" applyBorder="1" applyAlignment="1">
      <alignment horizontal="centerContinuous" vertical="center" wrapText="1"/>
    </xf>
    <xf numFmtId="9" fontId="3" fillId="2" borderId="79" xfId="1" applyFont="1" applyFill="1" applyBorder="1" applyAlignment="1">
      <alignment horizontal="centerContinuous" vertical="center" wrapText="1"/>
    </xf>
    <xf numFmtId="1" fontId="3" fillId="2" borderId="34" xfId="1" applyNumberFormat="1" applyFont="1" applyFill="1" applyBorder="1" applyAlignment="1">
      <alignment horizontal="centerContinuous" vertical="center" wrapText="1"/>
    </xf>
    <xf numFmtId="1" fontId="3" fillId="2" borderId="42" xfId="1" applyNumberFormat="1" applyFont="1" applyFill="1" applyBorder="1" applyAlignment="1">
      <alignment horizontal="centerContinuous" vertical="center" wrapText="1"/>
    </xf>
    <xf numFmtId="1" fontId="3" fillId="2" borderId="172" xfId="1" applyNumberFormat="1" applyFont="1" applyFill="1" applyBorder="1" applyAlignment="1">
      <alignment horizontal="centerContinuous" vertical="center" wrapText="1"/>
    </xf>
    <xf numFmtId="9" fontId="3" fillId="2" borderId="82" xfId="1" applyFont="1" applyFill="1" applyBorder="1" applyAlignment="1">
      <alignment horizontal="centerContinuous" vertical="center" wrapText="1"/>
    </xf>
    <xf numFmtId="9" fontId="3" fillId="2" borderId="171" xfId="1" applyFont="1" applyFill="1" applyBorder="1" applyAlignment="1">
      <alignment horizontal="centerContinuous" vertical="center" wrapText="1"/>
    </xf>
    <xf numFmtId="9" fontId="6" fillId="3" borderId="21" xfId="1" applyFont="1" applyFill="1" applyBorder="1" applyAlignment="1">
      <alignment horizontal="center" vertical="center"/>
    </xf>
    <xf numFmtId="9" fontId="16" fillId="3" borderId="38" xfId="1" applyFont="1" applyFill="1" applyBorder="1" applyAlignment="1">
      <alignment horizontal="center" vertical="center"/>
    </xf>
    <xf numFmtId="9" fontId="16" fillId="3" borderId="39" xfId="1" applyFont="1" applyFill="1" applyBorder="1" applyAlignment="1">
      <alignment horizontal="center" vertical="center"/>
    </xf>
    <xf numFmtId="9" fontId="6" fillId="3" borderId="20" xfId="1" applyFont="1" applyFill="1" applyBorder="1" applyAlignment="1">
      <alignment horizontal="center" vertical="center"/>
    </xf>
    <xf numFmtId="9" fontId="6" fillId="3" borderId="118" xfId="1" applyFont="1" applyFill="1" applyBorder="1" applyAlignment="1">
      <alignment horizontal="center" vertical="center"/>
    </xf>
    <xf numFmtId="9" fontId="6" fillId="3" borderId="99" xfId="1" applyFont="1" applyFill="1" applyBorder="1" applyAlignment="1">
      <alignment horizontal="center" vertical="center"/>
    </xf>
    <xf numFmtId="9" fontId="6" fillId="3" borderId="117" xfId="1" applyFont="1" applyFill="1" applyBorder="1" applyAlignment="1">
      <alignment horizontal="center" vertical="center"/>
    </xf>
    <xf numFmtId="9" fontId="13" fillId="3" borderId="38" xfId="1" applyFont="1" applyFill="1" applyBorder="1" applyAlignment="1">
      <alignment horizontal="center" vertical="center"/>
    </xf>
    <xf numFmtId="9" fontId="13" fillId="3" borderId="39" xfId="1" applyFont="1" applyFill="1" applyBorder="1" applyAlignment="1">
      <alignment horizontal="center" vertical="center"/>
    </xf>
    <xf numFmtId="9" fontId="3" fillId="2" borderId="173" xfId="1" applyFont="1" applyFill="1" applyBorder="1" applyAlignment="1">
      <alignment horizontal="centerContinuous" vertical="center" wrapText="1"/>
    </xf>
    <xf numFmtId="164" fontId="0" fillId="11" borderId="28" xfId="0" applyNumberFormat="1" applyFill="1" applyBorder="1" applyAlignment="1">
      <alignment horizontal="center" vertical="center"/>
    </xf>
    <xf numFmtId="164" fontId="0" fillId="11" borderId="23" xfId="0" applyNumberFormat="1" applyFill="1" applyBorder="1" applyAlignment="1">
      <alignment horizontal="center" vertical="center"/>
    </xf>
    <xf numFmtId="164" fontId="0" fillId="11" borderId="19" xfId="0" applyNumberFormat="1" applyFill="1" applyBorder="1" applyAlignment="1">
      <alignment horizontal="center" vertical="center"/>
    </xf>
    <xf numFmtId="164" fontId="0" fillId="11" borderId="11" xfId="0" applyNumberFormat="1" applyFill="1" applyBorder="1" applyAlignment="1">
      <alignment horizontal="center" vertical="center"/>
    </xf>
    <xf numFmtId="3" fontId="0" fillId="11" borderId="174" xfId="2" applyNumberFormat="1" applyFont="1" applyFill="1" applyBorder="1" applyAlignment="1" applyProtection="1">
      <alignment horizontal="center" vertical="center"/>
    </xf>
    <xf numFmtId="0" fontId="0" fillId="6" borderId="53" xfId="0" applyFont="1" applyFill="1" applyBorder="1" applyAlignment="1">
      <alignment vertical="center"/>
    </xf>
    <xf numFmtId="9" fontId="0" fillId="13" borderId="11" xfId="1" applyFont="1" applyFill="1" applyBorder="1" applyAlignment="1" applyProtection="1">
      <alignment horizontal="center" vertical="center"/>
    </xf>
    <xf numFmtId="9" fontId="0" fillId="13" borderId="23" xfId="1" applyFont="1" applyFill="1" applyBorder="1" applyAlignment="1" applyProtection="1">
      <alignment horizontal="center" vertical="center"/>
    </xf>
    <xf numFmtId="9" fontId="0" fillId="13" borderId="19" xfId="1" applyFont="1" applyFill="1" applyBorder="1" applyAlignment="1" applyProtection="1">
      <alignment horizontal="center" vertical="center"/>
    </xf>
    <xf numFmtId="9" fontId="6" fillId="3" borderId="18" xfId="1" applyFont="1" applyFill="1" applyBorder="1" applyAlignment="1">
      <alignment horizontal="center" vertical="center"/>
    </xf>
    <xf numFmtId="9" fontId="6" fillId="3" borderId="19" xfId="1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4" fillId="3" borderId="100" xfId="0" applyFont="1" applyFill="1" applyBorder="1" applyAlignment="1">
      <alignment horizontal="center" vertical="center" wrapText="1"/>
    </xf>
    <xf numFmtId="0" fontId="4" fillId="3" borderId="57" xfId="0" applyFont="1" applyFill="1" applyBorder="1" applyAlignment="1">
      <alignment horizontal="center" vertical="center"/>
    </xf>
    <xf numFmtId="0" fontId="4" fillId="5" borderId="100" xfId="0" applyFont="1" applyFill="1" applyBorder="1" applyAlignment="1">
      <alignment horizontal="center" vertical="center" wrapText="1"/>
    </xf>
    <xf numFmtId="0" fontId="4" fillId="3" borderId="100" xfId="0" applyFont="1" applyFill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 wrapText="1"/>
    </xf>
    <xf numFmtId="0" fontId="4" fillId="8" borderId="61" xfId="0" applyFont="1" applyFill="1" applyBorder="1" applyAlignment="1">
      <alignment horizontal="center" vertical="center"/>
    </xf>
    <xf numFmtId="0" fontId="4" fillId="8" borderId="57" xfId="0" applyFont="1" applyFill="1" applyBorder="1" applyAlignment="1">
      <alignment horizontal="center" vertical="center"/>
    </xf>
    <xf numFmtId="0" fontId="4" fillId="14" borderId="0" xfId="0" applyFont="1" applyFill="1" applyAlignment="1">
      <alignment vertical="center"/>
    </xf>
    <xf numFmtId="0" fontId="11" fillId="14" borderId="0" xfId="0" applyFont="1" applyFill="1" applyAlignment="1">
      <alignment vertical="center"/>
    </xf>
    <xf numFmtId="0" fontId="0" fillId="14" borderId="0" xfId="0" applyFill="1" applyAlignment="1">
      <alignment horizontal="center" vertical="center"/>
    </xf>
    <xf numFmtId="0" fontId="0" fillId="14" borderId="0" xfId="0" applyFill="1" applyAlignment="1">
      <alignment vertical="center"/>
    </xf>
    <xf numFmtId="0" fontId="6" fillId="14" borderId="9" xfId="0" applyFont="1" applyFill="1" applyBorder="1" applyAlignment="1">
      <alignment horizontal="center" vertical="center"/>
    </xf>
    <xf numFmtId="0" fontId="6" fillId="14" borderId="18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6" fillId="14" borderId="12" xfId="0" applyFont="1" applyFill="1" applyBorder="1" applyAlignment="1">
      <alignment horizontal="center" vertical="center"/>
    </xf>
    <xf numFmtId="0" fontId="6" fillId="14" borderId="13" xfId="0" applyFont="1" applyFill="1" applyBorder="1" applyAlignment="1">
      <alignment horizontal="center" vertical="center"/>
    </xf>
    <xf numFmtId="0" fontId="6" fillId="14" borderId="20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46" xfId="0" applyFont="1" applyFill="1" applyBorder="1" applyAlignment="1">
      <alignment horizontal="center" vertical="center"/>
    </xf>
    <xf numFmtId="0" fontId="6" fillId="14" borderId="145" xfId="0" applyFont="1" applyFill="1" applyBorder="1" applyAlignment="1">
      <alignment horizontal="center" vertical="center"/>
    </xf>
    <xf numFmtId="0" fontId="6" fillId="14" borderId="148" xfId="0" applyFont="1" applyFill="1" applyBorder="1" applyAlignment="1">
      <alignment horizontal="center" vertical="center"/>
    </xf>
    <xf numFmtId="0" fontId="6" fillId="14" borderId="154" xfId="0" applyFont="1" applyFill="1" applyBorder="1" applyAlignment="1">
      <alignment horizontal="center" vertical="center"/>
    </xf>
    <xf numFmtId="0" fontId="6" fillId="14" borderId="153" xfId="0" applyFont="1" applyFill="1" applyBorder="1" applyAlignment="1">
      <alignment horizontal="center" vertical="center"/>
    </xf>
    <xf numFmtId="0" fontId="6" fillId="14" borderId="156" xfId="0" applyFont="1" applyFill="1" applyBorder="1" applyAlignment="1">
      <alignment horizontal="center" vertical="center"/>
    </xf>
    <xf numFmtId="0" fontId="6" fillId="14" borderId="162" xfId="0" applyFont="1" applyFill="1" applyBorder="1" applyAlignment="1">
      <alignment horizontal="center" vertical="center"/>
    </xf>
    <xf numFmtId="0" fontId="6" fillId="14" borderId="161" xfId="0" applyFont="1" applyFill="1" applyBorder="1" applyAlignment="1">
      <alignment horizontal="center" vertical="center"/>
    </xf>
    <xf numFmtId="0" fontId="6" fillId="14" borderId="164" xfId="0" applyFont="1" applyFill="1" applyBorder="1" applyAlignment="1">
      <alignment horizontal="center" vertical="center"/>
    </xf>
    <xf numFmtId="0" fontId="0" fillId="8" borderId="175" xfId="0" applyFill="1" applyBorder="1" applyAlignment="1">
      <alignment vertical="center"/>
    </xf>
    <xf numFmtId="0" fontId="0" fillId="8" borderId="176" xfId="0" applyFill="1" applyBorder="1" applyAlignment="1">
      <alignment horizontal="center" vertical="center"/>
    </xf>
    <xf numFmtId="0" fontId="6" fillId="8" borderId="177" xfId="0" applyFont="1" applyFill="1" applyBorder="1" applyAlignment="1">
      <alignment horizontal="center" vertical="center"/>
    </xf>
    <xf numFmtId="9" fontId="6" fillId="12" borderId="178" xfId="1" applyFont="1" applyFill="1" applyBorder="1" applyAlignment="1">
      <alignment horizontal="center" vertical="center"/>
    </xf>
    <xf numFmtId="0" fontId="6" fillId="8" borderId="179" xfId="0" applyFont="1" applyFill="1" applyBorder="1" applyAlignment="1">
      <alignment horizontal="center" vertical="center"/>
    </xf>
    <xf numFmtId="9" fontId="6" fillId="12" borderId="180" xfId="1" applyFont="1" applyFill="1" applyBorder="1" applyAlignment="1">
      <alignment horizontal="center" vertical="center"/>
    </xf>
    <xf numFmtId="3" fontId="6" fillId="8" borderId="168" xfId="1" applyNumberFormat="1" applyFont="1" applyFill="1" applyBorder="1" applyAlignment="1">
      <alignment horizontal="center" vertical="center"/>
    </xf>
    <xf numFmtId="0" fontId="6" fillId="8" borderId="168" xfId="0" applyFont="1" applyFill="1" applyBorder="1" applyAlignment="1">
      <alignment horizontal="center" vertical="center"/>
    </xf>
    <xf numFmtId="0" fontId="6" fillId="8" borderId="180" xfId="0" applyFont="1" applyFill="1" applyBorder="1" applyAlignment="1">
      <alignment horizontal="center" vertical="center"/>
    </xf>
    <xf numFmtId="0" fontId="6" fillId="3" borderId="168" xfId="0" applyFont="1" applyFill="1" applyBorder="1" applyAlignment="1">
      <alignment horizontal="center" vertical="center"/>
    </xf>
    <xf numFmtId="0" fontId="6" fillId="3" borderId="180" xfId="0" applyFont="1" applyFill="1" applyBorder="1" applyAlignment="1">
      <alignment horizontal="center" vertical="center"/>
    </xf>
    <xf numFmtId="0" fontId="6" fillId="3" borderId="169" xfId="0" applyFont="1" applyFill="1" applyBorder="1" applyAlignment="1">
      <alignment horizontal="center" vertical="center"/>
    </xf>
    <xf numFmtId="0" fontId="0" fillId="6" borderId="175" xfId="0" applyFill="1" applyBorder="1" applyAlignment="1">
      <alignment vertical="center"/>
    </xf>
    <xf numFmtId="0" fontId="0" fillId="6" borderId="176" xfId="0" applyFill="1" applyBorder="1" applyAlignment="1">
      <alignment horizontal="center" vertical="center"/>
    </xf>
    <xf numFmtId="164" fontId="0" fillId="11" borderId="177" xfId="0" applyNumberFormat="1" applyFill="1" applyBorder="1" applyAlignment="1">
      <alignment horizontal="center" vertical="center"/>
    </xf>
    <xf numFmtId="164" fontId="0" fillId="11" borderId="181" xfId="0" applyNumberFormat="1" applyFill="1" applyBorder="1" applyAlignment="1">
      <alignment horizontal="center" vertical="center"/>
    </xf>
    <xf numFmtId="164" fontId="0" fillId="11" borderId="180" xfId="0" applyNumberFormat="1" applyFill="1" applyBorder="1" applyAlignment="1">
      <alignment horizontal="center" vertical="center"/>
    </xf>
    <xf numFmtId="164" fontId="0" fillId="11" borderId="168" xfId="0" applyNumberFormat="1" applyFill="1" applyBorder="1" applyAlignment="1">
      <alignment horizontal="center" vertical="center"/>
    </xf>
    <xf numFmtId="9" fontId="0" fillId="13" borderId="168" xfId="1" applyFont="1" applyFill="1" applyBorder="1" applyAlignment="1" applyProtection="1">
      <alignment horizontal="center" vertical="center"/>
    </xf>
    <xf numFmtId="9" fontId="0" fillId="13" borderId="181" xfId="1" applyFont="1" applyFill="1" applyBorder="1" applyAlignment="1" applyProtection="1">
      <alignment horizontal="center" vertical="center"/>
    </xf>
    <xf numFmtId="9" fontId="0" fillId="13" borderId="180" xfId="1" applyFont="1" applyFill="1" applyBorder="1" applyAlignment="1" applyProtection="1">
      <alignment horizontal="center" vertical="center"/>
    </xf>
    <xf numFmtId="9" fontId="6" fillId="3" borderId="168" xfId="1" applyFont="1" applyFill="1" applyBorder="1" applyAlignment="1">
      <alignment horizontal="center" vertical="center"/>
    </xf>
    <xf numFmtId="3" fontId="0" fillId="11" borderId="175" xfId="2" applyNumberFormat="1" applyFont="1" applyFill="1" applyBorder="1" applyAlignment="1" applyProtection="1">
      <alignment horizontal="center" vertical="center"/>
    </xf>
    <xf numFmtId="3" fontId="6" fillId="8" borderId="180" xfId="1" applyNumberFormat="1" applyFont="1" applyFill="1" applyBorder="1" applyAlignment="1">
      <alignment horizontal="center" vertical="center"/>
    </xf>
    <xf numFmtId="0" fontId="0" fillId="11" borderId="64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9" fontId="6" fillId="3" borderId="181" xfId="1" applyFont="1" applyFill="1" applyBorder="1" applyAlignment="1">
      <alignment horizontal="center" vertical="center"/>
    </xf>
    <xf numFmtId="3" fontId="0" fillId="11" borderId="81" xfId="2" applyNumberFormat="1" applyFont="1" applyFill="1" applyBorder="1" applyAlignment="1" applyProtection="1">
      <alignment horizontal="center" vertical="center"/>
    </xf>
    <xf numFmtId="0" fontId="0" fillId="5" borderId="175" xfId="0" applyFill="1" applyBorder="1" applyAlignment="1">
      <alignment vertical="center"/>
    </xf>
    <xf numFmtId="0" fontId="0" fillId="5" borderId="176" xfId="0" applyFill="1" applyBorder="1" applyAlignment="1">
      <alignment horizontal="center" vertical="center"/>
    </xf>
    <xf numFmtId="0" fontId="0" fillId="5" borderId="177" xfId="0" applyFill="1" applyBorder="1" applyAlignment="1">
      <alignment horizontal="center" vertical="center"/>
    </xf>
    <xf numFmtId="0" fontId="0" fillId="5" borderId="180" xfId="0" applyFill="1" applyBorder="1" applyAlignment="1">
      <alignment horizontal="center" vertical="center"/>
    </xf>
    <xf numFmtId="3" fontId="2" fillId="5" borderId="181" xfId="1" applyNumberFormat="1" applyFont="1" applyFill="1" applyBorder="1" applyAlignment="1">
      <alignment horizontal="center" vertical="center"/>
    </xf>
    <xf numFmtId="3" fontId="2" fillId="5" borderId="180" xfId="1" applyNumberFormat="1" applyFont="1" applyFill="1" applyBorder="1" applyAlignment="1">
      <alignment horizontal="center" vertical="center"/>
    </xf>
    <xf numFmtId="0" fontId="0" fillId="5" borderId="168" xfId="0" applyFill="1" applyBorder="1" applyAlignment="1">
      <alignment horizontal="center" vertical="center"/>
    </xf>
    <xf numFmtId="0" fontId="0" fillId="5" borderId="169" xfId="0" applyFill="1" applyBorder="1" applyAlignment="1">
      <alignment horizontal="center" vertical="center"/>
    </xf>
    <xf numFmtId="164" fontId="6" fillId="6" borderId="177" xfId="0" applyNumberFormat="1" applyFont="1" applyFill="1" applyBorder="1" applyAlignment="1">
      <alignment horizontal="center" vertical="center"/>
    </xf>
    <xf numFmtId="164" fontId="6" fillId="6" borderId="181" xfId="0" applyNumberFormat="1" applyFont="1" applyFill="1" applyBorder="1" applyAlignment="1">
      <alignment horizontal="center" vertical="center"/>
    </xf>
    <xf numFmtId="164" fontId="6" fillId="6" borderId="180" xfId="0" applyNumberFormat="1" applyFont="1" applyFill="1" applyBorder="1" applyAlignment="1">
      <alignment horizontal="center" vertical="center"/>
    </xf>
    <xf numFmtId="164" fontId="6" fillId="6" borderId="168" xfId="0" applyNumberFormat="1" applyFont="1" applyFill="1" applyBorder="1" applyAlignment="1">
      <alignment horizontal="center" vertical="center"/>
    </xf>
    <xf numFmtId="9" fontId="6" fillId="3" borderId="180" xfId="1" applyFont="1" applyFill="1" applyBorder="1" applyAlignment="1">
      <alignment horizontal="center" vertical="center"/>
    </xf>
    <xf numFmtId="3" fontId="6" fillId="6" borderId="180" xfId="1" applyNumberFormat="1" applyFont="1" applyFill="1" applyBorder="1" applyAlignment="1">
      <alignment horizontal="center" vertical="center"/>
    </xf>
    <xf numFmtId="0" fontId="6" fillId="6" borderId="177" xfId="0" applyFont="1" applyFill="1" applyBorder="1" applyAlignment="1">
      <alignment horizontal="center" vertical="center"/>
    </xf>
    <xf numFmtId="0" fontId="6" fillId="6" borderId="180" xfId="0" applyFont="1" applyFill="1" applyBorder="1" applyAlignment="1">
      <alignment horizontal="center" vertical="center"/>
    </xf>
    <xf numFmtId="0" fontId="6" fillId="6" borderId="175" xfId="0" applyFont="1" applyFill="1" applyBorder="1" applyAlignment="1">
      <alignment vertical="center"/>
    </xf>
    <xf numFmtId="0" fontId="6" fillId="6" borderId="176" xfId="0" applyFont="1" applyFill="1" applyBorder="1" applyAlignment="1">
      <alignment horizontal="center" vertical="center"/>
    </xf>
    <xf numFmtId="0" fontId="0" fillId="3" borderId="175" xfId="0" applyFill="1" applyBorder="1" applyAlignment="1">
      <alignment vertical="center"/>
    </xf>
    <xf numFmtId="0" fontId="0" fillId="3" borderId="176" xfId="0" applyFill="1" applyBorder="1" applyAlignment="1">
      <alignment horizontal="center" vertical="center"/>
    </xf>
    <xf numFmtId="0" fontId="0" fillId="3" borderId="177" xfId="0" applyFill="1" applyBorder="1" applyAlignment="1">
      <alignment horizontal="center" vertical="center"/>
    </xf>
    <xf numFmtId="0" fontId="0" fillId="3" borderId="180" xfId="0" applyFill="1" applyBorder="1" applyAlignment="1">
      <alignment horizontal="center" vertical="center"/>
    </xf>
    <xf numFmtId="3" fontId="2" fillId="3" borderId="181" xfId="1" applyNumberFormat="1" applyFont="1" applyFill="1" applyBorder="1" applyAlignment="1">
      <alignment horizontal="center" vertical="center"/>
    </xf>
    <xf numFmtId="3" fontId="2" fillId="3" borderId="180" xfId="1" applyNumberFormat="1" applyFont="1" applyFill="1" applyBorder="1" applyAlignment="1">
      <alignment horizontal="center" vertical="center"/>
    </xf>
    <xf numFmtId="0" fontId="0" fillId="3" borderId="168" xfId="0" applyFill="1" applyBorder="1" applyAlignment="1">
      <alignment horizontal="center" vertical="center"/>
    </xf>
    <xf numFmtId="0" fontId="0" fillId="3" borderId="169" xfId="0" applyFill="1" applyBorder="1" applyAlignment="1">
      <alignment horizontal="center" vertical="center"/>
    </xf>
    <xf numFmtId="9" fontId="6" fillId="6" borderId="180" xfId="1" applyFont="1" applyFill="1" applyBorder="1" applyAlignment="1">
      <alignment horizontal="center" vertical="center"/>
    </xf>
    <xf numFmtId="0" fontId="6" fillId="14" borderId="168" xfId="0" applyFont="1" applyFill="1" applyBorder="1" applyAlignment="1">
      <alignment horizontal="center" vertical="center"/>
    </xf>
    <xf numFmtId="0" fontId="6" fillId="14" borderId="180" xfId="0" applyFont="1" applyFill="1" applyBorder="1" applyAlignment="1">
      <alignment horizontal="center" vertical="center"/>
    </xf>
    <xf numFmtId="0" fontId="6" fillId="14" borderId="169" xfId="0" applyFont="1" applyFill="1" applyBorder="1" applyAlignment="1">
      <alignment horizontal="center" vertical="center"/>
    </xf>
    <xf numFmtId="0" fontId="0" fillId="6" borderId="183" xfId="0" applyFill="1" applyBorder="1" applyAlignment="1">
      <alignment vertical="center"/>
    </xf>
    <xf numFmtId="0" fontId="0" fillId="6" borderId="184" xfId="0" applyFill="1" applyBorder="1" applyAlignment="1">
      <alignment horizontal="center" vertical="center"/>
    </xf>
    <xf numFmtId="0" fontId="6" fillId="6" borderId="185" xfId="0" applyFont="1" applyFill="1" applyBorder="1" applyAlignment="1">
      <alignment horizontal="center" vertical="center"/>
    </xf>
    <xf numFmtId="0" fontId="6" fillId="6" borderId="186" xfId="0" applyFont="1" applyFill="1" applyBorder="1" applyAlignment="1">
      <alignment horizontal="center" vertical="center"/>
    </xf>
    <xf numFmtId="3" fontId="6" fillId="6" borderId="186" xfId="1" applyNumberFormat="1" applyFont="1" applyFill="1" applyBorder="1" applyAlignment="1">
      <alignment horizontal="center" vertical="center"/>
    </xf>
    <xf numFmtId="3" fontId="6" fillId="8" borderId="186" xfId="1" applyNumberFormat="1" applyFont="1" applyFill="1" applyBorder="1" applyAlignment="1">
      <alignment horizontal="center" vertical="center"/>
    </xf>
    <xf numFmtId="0" fontId="6" fillId="8" borderId="187" xfId="0" applyFont="1" applyFill="1" applyBorder="1" applyAlignment="1">
      <alignment horizontal="center" vertical="center"/>
    </xf>
    <xf numFmtId="0" fontId="6" fillId="8" borderId="186" xfId="0" applyFont="1" applyFill="1" applyBorder="1" applyAlignment="1">
      <alignment horizontal="center" vertical="center"/>
    </xf>
    <xf numFmtId="0" fontId="6" fillId="14" borderId="187" xfId="0" applyFont="1" applyFill="1" applyBorder="1" applyAlignment="1">
      <alignment horizontal="center" vertical="center"/>
    </xf>
    <xf numFmtId="0" fontId="6" fillId="14" borderId="186" xfId="0" applyFont="1" applyFill="1" applyBorder="1" applyAlignment="1">
      <alignment horizontal="center" vertical="center"/>
    </xf>
    <xf numFmtId="0" fontId="6" fillId="14" borderId="188" xfId="0" applyFont="1" applyFill="1" applyBorder="1" applyAlignment="1">
      <alignment horizontal="center" vertical="center"/>
    </xf>
    <xf numFmtId="0" fontId="0" fillId="3" borderId="183" xfId="0" applyFill="1" applyBorder="1" applyAlignment="1">
      <alignment vertical="center"/>
    </xf>
    <xf numFmtId="0" fontId="0" fillId="3" borderId="184" xfId="0" applyFill="1" applyBorder="1" applyAlignment="1">
      <alignment horizontal="center" vertical="center"/>
    </xf>
    <xf numFmtId="0" fontId="0" fillId="3" borderId="185" xfId="0" applyFill="1" applyBorder="1" applyAlignment="1">
      <alignment horizontal="center" vertical="center"/>
    </xf>
    <xf numFmtId="0" fontId="0" fillId="3" borderId="186" xfId="0" applyFill="1" applyBorder="1" applyAlignment="1">
      <alignment horizontal="center" vertical="center"/>
    </xf>
    <xf numFmtId="3" fontId="2" fillId="3" borderId="189" xfId="1" applyNumberFormat="1" applyFont="1" applyFill="1" applyBorder="1" applyAlignment="1">
      <alignment horizontal="center" vertical="center"/>
    </xf>
    <xf numFmtId="3" fontId="2" fillId="3" borderId="186" xfId="1" applyNumberFormat="1" applyFont="1" applyFill="1" applyBorder="1" applyAlignment="1">
      <alignment horizontal="center" vertical="center"/>
    </xf>
    <xf numFmtId="0" fontId="0" fillId="3" borderId="187" xfId="0" applyFill="1" applyBorder="1" applyAlignment="1">
      <alignment horizontal="center" vertical="center"/>
    </xf>
    <xf numFmtId="0" fontId="0" fillId="3" borderId="188" xfId="0" applyFill="1" applyBorder="1" applyAlignment="1">
      <alignment horizontal="center" vertical="center"/>
    </xf>
    <xf numFmtId="0" fontId="6" fillId="8" borderId="175" xfId="0" applyFont="1" applyFill="1" applyBorder="1" applyAlignment="1">
      <alignment vertical="center"/>
    </xf>
    <xf numFmtId="0" fontId="0" fillId="8" borderId="176" xfId="0" applyFont="1" applyFill="1" applyBorder="1" applyAlignment="1">
      <alignment horizontal="center" vertical="center"/>
    </xf>
    <xf numFmtId="0" fontId="0" fillId="6" borderId="176" xfId="0" applyFont="1" applyFill="1" applyBorder="1" applyAlignment="1">
      <alignment horizontal="center" vertical="center"/>
    </xf>
    <xf numFmtId="0" fontId="6" fillId="3" borderId="175" xfId="0" applyFont="1" applyFill="1" applyBorder="1" applyAlignment="1">
      <alignment vertical="center"/>
    </xf>
    <xf numFmtId="0" fontId="0" fillId="3" borderId="176" xfId="0" applyFont="1" applyFill="1" applyBorder="1" applyAlignment="1">
      <alignment horizontal="center" vertical="center"/>
    </xf>
    <xf numFmtId="0" fontId="0" fillId="8" borderId="81" xfId="0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4" fillId="5" borderId="61" xfId="0" applyFont="1" applyFill="1" applyBorder="1" applyAlignment="1">
      <alignment horizontal="center" vertical="center"/>
    </xf>
    <xf numFmtId="0" fontId="0" fillId="5" borderId="54" xfId="0" applyFill="1" applyBorder="1" applyAlignment="1">
      <alignment vertical="center"/>
    </xf>
    <xf numFmtId="0" fontId="0" fillId="5" borderId="7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0" fillId="6" borderId="54" xfId="0" applyFill="1" applyBorder="1" applyAlignment="1">
      <alignment vertical="center"/>
    </xf>
    <xf numFmtId="0" fontId="0" fillId="6" borderId="7" xfId="0" applyFill="1" applyBorder="1" applyAlignment="1">
      <alignment horizontal="center" vertical="center"/>
    </xf>
    <xf numFmtId="0" fontId="6" fillId="6" borderId="30" xfId="0" applyFont="1" applyFill="1" applyBorder="1" applyAlignment="1">
      <alignment horizontal="center" vertical="center"/>
    </xf>
    <xf numFmtId="3" fontId="6" fillId="6" borderId="21" xfId="1" applyNumberFormat="1" applyFont="1" applyFill="1" applyBorder="1" applyAlignment="1">
      <alignment horizontal="center" vertical="center"/>
    </xf>
    <xf numFmtId="3" fontId="6" fillId="8" borderId="21" xfId="1" applyNumberFormat="1" applyFont="1" applyFill="1" applyBorder="1" applyAlignment="1">
      <alignment horizontal="center" vertical="center"/>
    </xf>
    <xf numFmtId="164" fontId="6" fillId="6" borderId="35" xfId="0" applyNumberFormat="1" applyFont="1" applyFill="1" applyBorder="1" applyAlignment="1">
      <alignment horizontal="center" vertical="center"/>
    </xf>
    <xf numFmtId="164" fontId="6" fillId="6" borderId="41" xfId="0" applyNumberFormat="1" applyFont="1" applyFill="1" applyBorder="1" applyAlignment="1">
      <alignment horizontal="center" vertical="center"/>
    </xf>
    <xf numFmtId="164" fontId="6" fillId="6" borderId="36" xfId="0" applyNumberFormat="1" applyFont="1" applyFill="1" applyBorder="1" applyAlignment="1">
      <alignment horizontal="center" vertical="center"/>
    </xf>
    <xf numFmtId="164" fontId="6" fillId="6" borderId="40" xfId="0" applyNumberFormat="1" applyFont="1" applyFill="1" applyBorder="1" applyAlignment="1">
      <alignment horizontal="center" vertical="center"/>
    </xf>
    <xf numFmtId="9" fontId="6" fillId="3" borderId="36" xfId="1" applyFont="1" applyFill="1" applyBorder="1" applyAlignment="1">
      <alignment horizontal="center" vertical="center"/>
    </xf>
    <xf numFmtId="164" fontId="6" fillId="6" borderId="30" xfId="0" applyNumberFormat="1" applyFont="1" applyFill="1" applyBorder="1" applyAlignment="1">
      <alignment horizontal="center" vertical="center"/>
    </xf>
    <xf numFmtId="164" fontId="6" fillId="6" borderId="25" xfId="0" applyNumberFormat="1" applyFont="1" applyFill="1" applyBorder="1" applyAlignment="1">
      <alignment horizontal="center" vertical="center"/>
    </xf>
    <xf numFmtId="164" fontId="6" fillId="6" borderId="21" xfId="0" applyNumberFormat="1" applyFont="1" applyFill="1" applyBorder="1" applyAlignment="1">
      <alignment horizontal="center" vertical="center"/>
    </xf>
    <xf numFmtId="164" fontId="6" fillId="6" borderId="15" xfId="0" applyNumberFormat="1" applyFont="1" applyFill="1" applyBorder="1" applyAlignment="1">
      <alignment horizontal="center" vertical="center"/>
    </xf>
    <xf numFmtId="164" fontId="0" fillId="11" borderId="27" xfId="0" applyNumberFormat="1" applyFill="1" applyBorder="1" applyAlignment="1">
      <alignment horizontal="center" vertical="center"/>
    </xf>
    <xf numFmtId="164" fontId="0" fillId="11" borderId="22" xfId="0" applyNumberFormat="1" applyFill="1" applyBorder="1" applyAlignment="1">
      <alignment horizontal="center" vertical="center"/>
    </xf>
    <xf numFmtId="164" fontId="0" fillId="11" borderId="18" xfId="0" applyNumberFormat="1" applyFill="1" applyBorder="1" applyAlignment="1">
      <alignment horizontal="center" vertical="center"/>
    </xf>
    <xf numFmtId="164" fontId="0" fillId="11" borderId="9" xfId="0" applyNumberFormat="1" applyFill="1" applyBorder="1" applyAlignment="1">
      <alignment horizontal="center" vertical="center"/>
    </xf>
    <xf numFmtId="9" fontId="0" fillId="13" borderId="9" xfId="1" applyFont="1" applyFill="1" applyBorder="1" applyAlignment="1" applyProtection="1">
      <alignment horizontal="center" vertical="center"/>
    </xf>
    <xf numFmtId="9" fontId="0" fillId="13" borderId="22" xfId="1" applyFont="1" applyFill="1" applyBorder="1" applyAlignment="1" applyProtection="1">
      <alignment horizontal="center" vertical="center"/>
    </xf>
    <xf numFmtId="9" fontId="0" fillId="13" borderId="18" xfId="1" applyFont="1" applyFill="1" applyBorder="1" applyAlignment="1" applyProtection="1">
      <alignment horizontal="center" vertical="center"/>
    </xf>
    <xf numFmtId="3" fontId="0" fillId="11" borderId="190" xfId="2" applyNumberFormat="1" applyFont="1" applyFill="1" applyBorder="1" applyAlignment="1" applyProtection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 textRotation="90"/>
    </xf>
    <xf numFmtId="0" fontId="8" fillId="9" borderId="0" xfId="0" applyFont="1" applyFill="1" applyAlignment="1">
      <alignment horizontal="center" vertical="center"/>
    </xf>
    <xf numFmtId="0" fontId="4" fillId="3" borderId="141" xfId="0" applyFont="1" applyFill="1" applyBorder="1" applyAlignment="1">
      <alignment horizontal="center" vertical="center"/>
    </xf>
    <xf numFmtId="0" fontId="4" fillId="3" borderId="149" xfId="0" applyFont="1" applyFill="1" applyBorder="1" applyAlignment="1">
      <alignment horizontal="center" vertical="center"/>
    </xf>
    <xf numFmtId="0" fontId="4" fillId="3" borderId="182" xfId="0" applyFont="1" applyFill="1" applyBorder="1" applyAlignment="1">
      <alignment horizontal="center" vertical="center"/>
    </xf>
    <xf numFmtId="0" fontId="4" fillId="3" borderId="157" xfId="0" applyFont="1" applyFill="1" applyBorder="1" applyAlignment="1">
      <alignment horizontal="center" vertical="center"/>
    </xf>
    <xf numFmtId="0" fontId="13" fillId="3" borderId="10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3" fillId="3" borderId="135" xfId="0" applyFont="1" applyFill="1" applyBorder="1" applyAlignment="1">
      <alignment horizontal="center" vertical="center"/>
    </xf>
    <xf numFmtId="9" fontId="0" fillId="4" borderId="1" xfId="1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4" fillId="3" borderId="10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65" xfId="0" applyFont="1" applyFill="1" applyBorder="1" applyAlignment="1">
      <alignment horizontal="center" vertical="center" wrapText="1"/>
    </xf>
    <xf numFmtId="0" fontId="4" fillId="3" borderId="5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80" xfId="0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horizontal="center" vertical="center" wrapText="1"/>
    </xf>
    <xf numFmtId="9" fontId="5" fillId="2" borderId="38" xfId="1" applyFont="1" applyFill="1" applyBorder="1" applyAlignment="1">
      <alignment horizontal="center" vertical="center" wrapText="1"/>
    </xf>
    <xf numFmtId="9" fontId="5" fillId="2" borderId="39" xfId="1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vertical="center" wrapText="1"/>
    </xf>
    <xf numFmtId="0" fontId="4" fillId="5" borderId="61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56" xfId="0" applyFont="1" applyFill="1" applyBorder="1" applyAlignment="1">
      <alignment horizontal="center" vertical="center" wrapText="1"/>
    </xf>
    <xf numFmtId="0" fontId="4" fillId="5" borderId="58" xfId="0" applyFont="1" applyFill="1" applyBorder="1" applyAlignment="1">
      <alignment horizontal="center" vertical="center"/>
    </xf>
    <xf numFmtId="0" fontId="4" fillId="5" borderId="59" xfId="0" applyFont="1" applyFill="1" applyBorder="1" applyAlignment="1">
      <alignment horizontal="center" vertical="center"/>
    </xf>
    <xf numFmtId="0" fontId="4" fillId="5" borderId="167" xfId="0" applyFont="1" applyFill="1" applyBorder="1" applyAlignment="1">
      <alignment horizontal="center" vertical="center"/>
    </xf>
    <xf numFmtId="0" fontId="4" fillId="5" borderId="60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vertical="center" wrapText="1"/>
    </xf>
    <xf numFmtId="0" fontId="4" fillId="5" borderId="64" xfId="0" applyFont="1" applyFill="1" applyBorder="1" applyAlignment="1">
      <alignment vertical="center" wrapText="1"/>
    </xf>
    <xf numFmtId="0" fontId="4" fillId="5" borderId="68" xfId="0" applyFont="1" applyFill="1" applyBorder="1" applyAlignment="1">
      <alignment vertical="center" wrapText="1"/>
    </xf>
    <xf numFmtId="0" fontId="0" fillId="0" borderId="67" xfId="0" applyBorder="1" applyAlignment="1">
      <alignment vertical="center" wrapText="1"/>
    </xf>
    <xf numFmtId="0" fontId="4" fillId="5" borderId="10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3" fillId="2" borderId="63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9" fontId="3" fillId="2" borderId="37" xfId="1" applyFont="1" applyFill="1" applyBorder="1" applyAlignment="1">
      <alignment horizontal="center" vertical="center" wrapText="1"/>
    </xf>
    <xf numFmtId="9" fontId="3" fillId="2" borderId="38" xfId="1" applyFont="1" applyFill="1" applyBorder="1" applyAlignment="1">
      <alignment horizontal="center" vertical="center" wrapText="1"/>
    </xf>
    <xf numFmtId="0" fontId="4" fillId="3" borderId="78" xfId="0" applyFont="1" applyFill="1" applyBorder="1" applyAlignment="1">
      <alignment vertical="center"/>
    </xf>
    <xf numFmtId="0" fontId="4" fillId="3" borderId="64" xfId="0" applyFont="1" applyFill="1" applyBorder="1" applyAlignment="1">
      <alignment vertical="center"/>
    </xf>
    <xf numFmtId="0" fontId="0" fillId="0" borderId="68" xfId="0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65" xfId="0" applyFont="1" applyFill="1" applyBorder="1" applyAlignment="1">
      <alignment horizontal="center" vertical="center"/>
    </xf>
    <xf numFmtId="0" fontId="4" fillId="3" borderId="66" xfId="0" applyFont="1" applyFill="1" applyBorder="1" applyAlignment="1">
      <alignment vertical="center"/>
    </xf>
    <xf numFmtId="0" fontId="4" fillId="3" borderId="67" xfId="0" applyFont="1" applyFill="1" applyBorder="1" applyAlignment="1">
      <alignment vertical="center"/>
    </xf>
    <xf numFmtId="0" fontId="4" fillId="3" borderId="68" xfId="0" applyFont="1" applyFill="1" applyBorder="1" applyAlignment="1">
      <alignment vertical="center"/>
    </xf>
    <xf numFmtId="0" fontId="4" fillId="3" borderId="100" xfId="0" applyFont="1" applyFill="1" applyBorder="1" applyAlignment="1">
      <alignment horizontal="center" vertical="center"/>
    </xf>
    <xf numFmtId="0" fontId="4" fillId="3" borderId="66" xfId="0" applyFont="1" applyFill="1" applyBorder="1" applyAlignment="1">
      <alignment vertical="center" wrapText="1"/>
    </xf>
    <xf numFmtId="0" fontId="4" fillId="3" borderId="64" xfId="0" applyFont="1" applyFill="1" applyBorder="1" applyAlignment="1">
      <alignment vertical="center" wrapText="1"/>
    </xf>
    <xf numFmtId="0" fontId="4" fillId="3" borderId="68" xfId="0" applyFont="1" applyFill="1" applyBorder="1" applyAlignment="1">
      <alignment vertical="center" wrapText="1"/>
    </xf>
    <xf numFmtId="0" fontId="4" fillId="3" borderId="58" xfId="0" applyFont="1" applyFill="1" applyBorder="1" applyAlignment="1">
      <alignment horizontal="center" vertical="center"/>
    </xf>
    <xf numFmtId="0" fontId="4" fillId="3" borderId="59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13" fillId="6" borderId="100" xfId="0" applyFont="1" applyFill="1" applyBorder="1" applyAlignment="1">
      <alignment horizontal="center" vertical="center"/>
    </xf>
    <xf numFmtId="0" fontId="13" fillId="6" borderId="0" xfId="0" applyFont="1" applyFill="1" applyBorder="1" applyAlignment="1">
      <alignment horizontal="center" vertical="center"/>
    </xf>
    <xf numFmtId="0" fontId="13" fillId="6" borderId="135" xfId="0" applyFont="1" applyFill="1" applyBorder="1" applyAlignment="1">
      <alignment horizontal="center" vertical="center"/>
    </xf>
    <xf numFmtId="0" fontId="4" fillId="3" borderId="135" xfId="0" applyFont="1" applyFill="1" applyBorder="1" applyAlignment="1">
      <alignment horizontal="center" vertical="center"/>
    </xf>
    <xf numFmtId="0" fontId="13" fillId="6" borderId="61" xfId="0" applyFont="1" applyFill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 wrapText="1"/>
    </xf>
    <xf numFmtId="0" fontId="4" fillId="6" borderId="141" xfId="0" applyFont="1" applyFill="1" applyBorder="1" applyAlignment="1">
      <alignment horizontal="center" vertical="center"/>
    </xf>
    <xf numFmtId="0" fontId="4" fillId="6" borderId="149" xfId="0" applyFont="1" applyFill="1" applyBorder="1" applyAlignment="1">
      <alignment horizontal="center" vertical="center"/>
    </xf>
    <xf numFmtId="0" fontId="4" fillId="6" borderId="182" xfId="0" applyFont="1" applyFill="1" applyBorder="1" applyAlignment="1">
      <alignment horizontal="center" vertical="center"/>
    </xf>
    <xf numFmtId="0" fontId="4" fillId="6" borderId="157" xfId="0" applyFont="1" applyFill="1" applyBorder="1" applyAlignment="1">
      <alignment horizontal="center" vertical="center"/>
    </xf>
    <xf numFmtId="9" fontId="3" fillId="2" borderId="39" xfId="1" applyFont="1" applyFill="1" applyBorder="1" applyAlignment="1">
      <alignment horizontal="center" vertical="center" wrapText="1"/>
    </xf>
    <xf numFmtId="0" fontId="4" fillId="6" borderId="58" xfId="0" applyFont="1" applyFill="1" applyBorder="1" applyAlignment="1">
      <alignment horizontal="center" vertical="center"/>
    </xf>
    <xf numFmtId="0" fontId="4" fillId="6" borderId="59" xfId="0" applyFont="1" applyFill="1" applyBorder="1" applyAlignment="1">
      <alignment horizontal="center" vertical="center"/>
    </xf>
    <xf numFmtId="0" fontId="4" fillId="6" borderId="167" xfId="0" applyFont="1" applyFill="1" applyBorder="1" applyAlignment="1">
      <alignment horizontal="center" vertical="center"/>
    </xf>
    <xf numFmtId="0" fontId="4" fillId="6" borderId="60" xfId="0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13" fillId="6" borderId="100" xfId="0" applyFont="1" applyFill="1" applyBorder="1" applyAlignment="1">
      <alignment horizontal="center" vertical="center" wrapText="1"/>
    </xf>
    <xf numFmtId="0" fontId="13" fillId="6" borderId="0" xfId="0" applyFont="1" applyFill="1" applyBorder="1" applyAlignment="1">
      <alignment horizontal="center" vertical="center" wrapText="1"/>
    </xf>
    <xf numFmtId="0" fontId="13" fillId="6" borderId="65" xfId="0" applyFont="1" applyFill="1" applyBorder="1" applyAlignment="1">
      <alignment horizontal="center" vertical="center" wrapText="1"/>
    </xf>
    <xf numFmtId="0" fontId="13" fillId="3" borderId="66" xfId="0" applyFont="1" applyFill="1" applyBorder="1" applyAlignment="1">
      <alignment vertical="center" wrapText="1"/>
    </xf>
    <xf numFmtId="0" fontId="13" fillId="3" borderId="64" xfId="0" applyFont="1" applyFill="1" applyBorder="1" applyAlignment="1">
      <alignment vertical="center" wrapText="1"/>
    </xf>
    <xf numFmtId="0" fontId="13" fillId="3" borderId="68" xfId="0" applyFont="1" applyFill="1" applyBorder="1" applyAlignment="1">
      <alignment vertical="center" wrapText="1"/>
    </xf>
    <xf numFmtId="0" fontId="13" fillId="6" borderId="57" xfId="0" applyFont="1" applyFill="1" applyBorder="1" applyAlignment="1">
      <alignment horizontal="center" vertical="center"/>
    </xf>
    <xf numFmtId="0" fontId="13" fillId="6" borderId="58" xfId="0" applyFont="1" applyFill="1" applyBorder="1" applyAlignment="1">
      <alignment horizontal="center" vertical="center" wrapText="1"/>
    </xf>
    <xf numFmtId="0" fontId="13" fillId="6" borderId="59" xfId="0" applyFont="1" applyFill="1" applyBorder="1" applyAlignment="1">
      <alignment horizontal="center" vertical="center" wrapText="1"/>
    </xf>
    <xf numFmtId="0" fontId="13" fillId="6" borderId="167" xfId="0" applyFont="1" applyFill="1" applyBorder="1" applyAlignment="1">
      <alignment horizontal="center" vertical="center" wrapText="1"/>
    </xf>
    <xf numFmtId="0" fontId="13" fillId="6" borderId="60" xfId="0" applyFont="1" applyFill="1" applyBorder="1" applyAlignment="1">
      <alignment horizontal="center" vertical="center" wrapText="1"/>
    </xf>
    <xf numFmtId="0" fontId="13" fillId="6" borderId="58" xfId="0" applyFont="1" applyFill="1" applyBorder="1" applyAlignment="1">
      <alignment horizontal="center" vertical="center"/>
    </xf>
    <xf numFmtId="0" fontId="13" fillId="6" borderId="59" xfId="0" applyFont="1" applyFill="1" applyBorder="1" applyAlignment="1">
      <alignment horizontal="center" vertical="center"/>
    </xf>
    <xf numFmtId="0" fontId="13" fillId="6" borderId="167" xfId="0" applyFont="1" applyFill="1" applyBorder="1" applyAlignment="1">
      <alignment horizontal="center" vertical="center"/>
    </xf>
    <xf numFmtId="0" fontId="13" fillId="6" borderId="60" xfId="0" applyFont="1" applyFill="1" applyBorder="1" applyAlignment="1">
      <alignment horizontal="center" vertical="center"/>
    </xf>
    <xf numFmtId="0" fontId="13" fillId="6" borderId="170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4" fillId="6" borderId="59" xfId="0" applyFont="1" applyFill="1" applyBorder="1" applyAlignment="1">
      <alignment horizontal="center" vertical="center" wrapText="1"/>
    </xf>
    <xf numFmtId="0" fontId="4" fillId="6" borderId="167" xfId="0" applyFont="1" applyFill="1" applyBorder="1" applyAlignment="1">
      <alignment horizontal="center" vertical="center" wrapText="1"/>
    </xf>
    <xf numFmtId="0" fontId="4" fillId="6" borderId="60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8" borderId="58" xfId="0" applyFont="1" applyFill="1" applyBorder="1" applyAlignment="1">
      <alignment horizontal="center" vertical="center"/>
    </xf>
    <xf numFmtId="0" fontId="4" fillId="8" borderId="59" xfId="0" applyFont="1" applyFill="1" applyBorder="1" applyAlignment="1">
      <alignment horizontal="center" vertical="center"/>
    </xf>
    <xf numFmtId="0" fontId="4" fillId="8" borderId="167" xfId="0" applyFont="1" applyFill="1" applyBorder="1" applyAlignment="1">
      <alignment horizontal="center" vertical="center"/>
    </xf>
    <xf numFmtId="0" fontId="4" fillId="8" borderId="60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 wrapText="1"/>
    </xf>
    <xf numFmtId="0" fontId="4" fillId="8" borderId="61" xfId="0" applyFont="1" applyFill="1" applyBorder="1" applyAlignment="1">
      <alignment horizontal="center" vertical="center"/>
    </xf>
    <xf numFmtId="0" fontId="4" fillId="8" borderId="57" xfId="0" applyFont="1" applyFill="1" applyBorder="1" applyAlignment="1">
      <alignment horizontal="center" vertical="center"/>
    </xf>
    <xf numFmtId="0" fontId="3" fillId="2" borderId="95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9" xfId="0" applyFont="1" applyFill="1" applyBorder="1" applyAlignment="1">
      <alignment horizontal="center" vertical="center" wrapText="1"/>
    </xf>
    <xf numFmtId="0" fontId="3" fillId="2" borderId="86" xfId="0" applyFont="1" applyFill="1" applyBorder="1" applyAlignment="1">
      <alignment horizontal="center" vertical="center" wrapText="1"/>
    </xf>
    <xf numFmtId="0" fontId="3" fillId="2" borderId="87" xfId="0" applyFont="1" applyFill="1" applyBorder="1" applyAlignment="1">
      <alignment horizontal="center" vertical="center" wrapText="1"/>
    </xf>
    <xf numFmtId="0" fontId="3" fillId="2" borderId="88" xfId="0" applyFont="1" applyFill="1" applyBorder="1" applyAlignment="1">
      <alignment horizontal="center" vertical="center" wrapText="1"/>
    </xf>
    <xf numFmtId="0" fontId="3" fillId="2" borderId="84" xfId="0" applyFont="1" applyFill="1" applyBorder="1" applyAlignment="1">
      <alignment horizontal="center" vertical="center" wrapText="1"/>
    </xf>
    <xf numFmtId="0" fontId="3" fillId="2" borderId="81" xfId="0" applyFont="1" applyFill="1" applyBorder="1" applyAlignment="1">
      <alignment horizontal="center" vertical="center" wrapText="1"/>
    </xf>
    <xf numFmtId="0" fontId="3" fillId="2" borderId="85" xfId="0" applyFont="1" applyFill="1" applyBorder="1" applyAlignment="1">
      <alignment horizontal="center" vertical="center" wrapText="1"/>
    </xf>
    <xf numFmtId="9" fontId="3" fillId="2" borderId="95" xfId="1" applyFont="1" applyFill="1" applyBorder="1" applyAlignment="1">
      <alignment horizontal="center" vertical="center" wrapText="1"/>
    </xf>
    <xf numFmtId="9" fontId="3" fillId="2" borderId="96" xfId="1" applyFont="1" applyFill="1" applyBorder="1" applyAlignment="1">
      <alignment horizontal="center" vertical="center" wrapText="1"/>
    </xf>
    <xf numFmtId="0" fontId="4" fillId="8" borderId="58" xfId="0" applyFont="1" applyFill="1" applyBorder="1" applyAlignment="1">
      <alignment horizontal="center" vertical="center" wrapText="1"/>
    </xf>
    <xf numFmtId="0" fontId="4" fillId="8" borderId="59" xfId="0" applyFont="1" applyFill="1" applyBorder="1" applyAlignment="1">
      <alignment horizontal="center" vertical="center" wrapText="1"/>
    </xf>
    <xf numFmtId="0" fontId="4" fillId="8" borderId="167" xfId="0" applyFont="1" applyFill="1" applyBorder="1" applyAlignment="1">
      <alignment horizontal="center" vertical="center" wrapText="1"/>
    </xf>
    <xf numFmtId="0" fontId="4" fillId="8" borderId="60" xfId="0" applyFont="1" applyFill="1" applyBorder="1" applyAlignment="1">
      <alignment horizontal="center" vertical="center" wrapText="1"/>
    </xf>
    <xf numFmtId="0" fontId="13" fillId="8" borderId="100" xfId="0" applyFont="1" applyFill="1" applyBorder="1" applyAlignment="1">
      <alignment horizontal="center" vertical="center"/>
    </xf>
    <xf numFmtId="0" fontId="13" fillId="8" borderId="0" xfId="0" applyFont="1" applyFill="1" applyBorder="1" applyAlignment="1">
      <alignment horizontal="center" vertical="center"/>
    </xf>
    <xf numFmtId="0" fontId="13" fillId="8" borderId="135" xfId="0" applyFont="1" applyFill="1" applyBorder="1" applyAlignment="1">
      <alignment horizontal="center" vertical="center"/>
    </xf>
    <xf numFmtId="0" fontId="19" fillId="6" borderId="52" xfId="0" applyFont="1" applyFill="1" applyBorder="1" applyAlignment="1">
      <alignment vertical="center"/>
    </xf>
  </cellXfs>
  <cellStyles count="3">
    <cellStyle name="Excel Built-in Percent" xfId="2" xr:uid="{00000000-0005-0000-0000-000000000000}"/>
    <cellStyle name="Normal" xfId="0" builtinId="0"/>
    <cellStyle name="Percent" xfId="1" builtinId="5"/>
  </cellStyles>
  <dxfs count="10"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rgb="FF92D050"/>
      </font>
    </dxf>
  </dxfs>
  <tableStyles count="0" defaultTableStyle="TableStyleMedium2" defaultPivotStyle="PivotStyleLight16"/>
  <colors>
    <mruColors>
      <color rgb="FFFF99CC"/>
      <color rgb="FFFFCCCC"/>
      <color rgb="FFCC99FF"/>
      <color rgb="FFFF33CC"/>
      <color rgb="FFA9DA74"/>
      <color rgb="FF2DFF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H35"/>
  <sheetViews>
    <sheetView zoomScaleNormal="100" workbookViewId="0">
      <selection activeCell="C3" sqref="C3:F3"/>
    </sheetView>
  </sheetViews>
  <sheetFormatPr defaultColWidth="11.44140625" defaultRowHeight="14.4" x14ac:dyDescent="0.3"/>
  <cols>
    <col min="1" max="2" width="1.109375" style="1" customWidth="1"/>
    <col min="3" max="4" width="2.109375" style="1" customWidth="1"/>
    <col min="5" max="5" width="6.5546875" style="2" customWidth="1"/>
    <col min="6" max="6" width="91.6640625" style="1" customWidth="1"/>
    <col min="7" max="8" width="1.109375" style="1" customWidth="1"/>
    <col min="9" max="16384" width="11.44140625" style="1"/>
  </cols>
  <sheetData>
    <row r="1" spans="1:8" ht="7.5" customHeight="1" thickBot="1" x14ac:dyDescent="0.35">
      <c r="A1" s="220"/>
      <c r="B1" s="226"/>
      <c r="C1" s="226"/>
      <c r="D1" s="226"/>
      <c r="E1" s="227"/>
      <c r="F1" s="226"/>
      <c r="G1" s="226"/>
      <c r="H1" s="220"/>
    </row>
    <row r="2" spans="1:8" ht="7.5" customHeight="1" thickTop="1" x14ac:dyDescent="0.3">
      <c r="A2" s="232"/>
      <c r="B2" s="238"/>
      <c r="C2" s="228"/>
      <c r="D2" s="228"/>
      <c r="E2" s="229"/>
      <c r="F2" s="228"/>
      <c r="G2" s="230"/>
      <c r="H2" s="231"/>
    </row>
    <row r="3" spans="1:8" ht="24.75" customHeight="1" x14ac:dyDescent="0.3">
      <c r="A3" s="232"/>
      <c r="B3" s="231"/>
      <c r="C3" s="794"/>
      <c r="D3" s="794"/>
      <c r="E3" s="794"/>
      <c r="F3" s="794"/>
      <c r="G3" s="232"/>
      <c r="H3" s="231"/>
    </row>
    <row r="4" spans="1:8" s="134" customFormat="1" ht="6.75" customHeight="1" x14ac:dyDescent="0.3">
      <c r="A4" s="232"/>
      <c r="B4" s="231"/>
      <c r="C4" s="217"/>
      <c r="D4" s="217"/>
      <c r="E4" s="217"/>
      <c r="F4" s="217"/>
      <c r="G4" s="232"/>
      <c r="H4" s="231"/>
    </row>
    <row r="5" spans="1:8" s="138" customFormat="1" ht="17.25" customHeight="1" x14ac:dyDescent="0.3">
      <c r="A5" s="233"/>
      <c r="B5" s="234"/>
      <c r="C5" s="218"/>
      <c r="D5" s="796" t="s">
        <v>88</v>
      </c>
      <c r="E5" s="796"/>
      <c r="F5" s="240" t="s">
        <v>116</v>
      </c>
      <c r="G5" s="233"/>
      <c r="H5" s="234"/>
    </row>
    <row r="6" spans="1:8" s="134" customFormat="1" ht="6.75" customHeight="1" x14ac:dyDescent="0.3">
      <c r="A6" s="232"/>
      <c r="B6" s="231"/>
      <c r="C6" s="217"/>
      <c r="D6" s="217"/>
      <c r="E6" s="217"/>
      <c r="F6" s="217"/>
      <c r="G6" s="232"/>
      <c r="H6" s="231"/>
    </row>
    <row r="7" spans="1:8" ht="18" x14ac:dyDescent="0.3">
      <c r="A7" s="232"/>
      <c r="B7" s="231"/>
      <c r="C7" s="219"/>
      <c r="D7" s="125" t="s">
        <v>131</v>
      </c>
      <c r="E7" s="126"/>
      <c r="F7" s="123"/>
      <c r="G7" s="232"/>
      <c r="H7" s="231"/>
    </row>
    <row r="8" spans="1:8" s="134" customFormat="1" ht="6.75" customHeight="1" x14ac:dyDescent="0.3">
      <c r="A8" s="232"/>
      <c r="B8" s="231"/>
      <c r="C8" s="217"/>
      <c r="D8" s="217"/>
      <c r="E8" s="217"/>
      <c r="F8" s="217"/>
      <c r="G8" s="232"/>
      <c r="H8" s="231"/>
    </row>
    <row r="9" spans="1:8" ht="18" x14ac:dyDescent="0.3">
      <c r="A9" s="232"/>
      <c r="B9" s="231"/>
      <c r="C9" s="219"/>
      <c r="D9" s="135" t="s">
        <v>165</v>
      </c>
      <c r="E9" s="136"/>
      <c r="F9" s="137"/>
      <c r="G9" s="232"/>
      <c r="H9" s="231"/>
    </row>
    <row r="10" spans="1:8" x14ac:dyDescent="0.3">
      <c r="A10" s="232"/>
      <c r="B10" s="231"/>
      <c r="C10" s="220"/>
      <c r="D10" s="795" t="s">
        <v>125</v>
      </c>
      <c r="E10" s="224" t="s">
        <v>89</v>
      </c>
      <c r="F10" s="220" t="s">
        <v>92</v>
      </c>
      <c r="G10" s="232"/>
      <c r="H10" s="231"/>
    </row>
    <row r="11" spans="1:8" x14ac:dyDescent="0.3">
      <c r="A11" s="232"/>
      <c r="B11" s="231"/>
      <c r="C11" s="220"/>
      <c r="D11" s="795"/>
      <c r="E11" s="224" t="s">
        <v>93</v>
      </c>
      <c r="F11" s="220" t="s">
        <v>94</v>
      </c>
      <c r="G11" s="232"/>
      <c r="H11" s="231"/>
    </row>
    <row r="12" spans="1:8" x14ac:dyDescent="0.3">
      <c r="A12" s="232"/>
      <c r="B12" s="231"/>
      <c r="C12" s="220"/>
      <c r="D12" s="795"/>
      <c r="E12" s="224" t="s">
        <v>95</v>
      </c>
      <c r="F12" s="220" t="s">
        <v>96</v>
      </c>
      <c r="G12" s="232"/>
      <c r="H12" s="231"/>
    </row>
    <row r="13" spans="1:8" x14ac:dyDescent="0.3">
      <c r="A13" s="232"/>
      <c r="B13" s="231"/>
      <c r="C13" s="220"/>
      <c r="D13" s="795"/>
      <c r="E13" s="224" t="s">
        <v>90</v>
      </c>
      <c r="F13" s="220" t="s">
        <v>87</v>
      </c>
      <c r="G13" s="232"/>
      <c r="H13" s="231"/>
    </row>
    <row r="14" spans="1:8" x14ac:dyDescent="0.3">
      <c r="A14" s="232"/>
      <c r="B14" s="231"/>
      <c r="C14" s="220"/>
      <c r="D14" s="795"/>
      <c r="E14" s="224" t="s">
        <v>91</v>
      </c>
      <c r="F14" s="220" t="s">
        <v>105</v>
      </c>
      <c r="G14" s="232"/>
      <c r="H14" s="231"/>
    </row>
    <row r="15" spans="1:8" s="216" customFormat="1" x14ac:dyDescent="0.3">
      <c r="A15" s="235"/>
      <c r="B15" s="236"/>
      <c r="C15" s="221"/>
      <c r="D15" s="795"/>
      <c r="E15" s="222" t="s">
        <v>97</v>
      </c>
      <c r="F15" s="223" t="s">
        <v>122</v>
      </c>
      <c r="G15" s="235"/>
      <c r="H15" s="236"/>
    </row>
    <row r="16" spans="1:8" x14ac:dyDescent="0.3">
      <c r="A16" s="232"/>
      <c r="B16" s="231"/>
      <c r="C16" s="220"/>
      <c r="D16" s="795"/>
      <c r="E16" s="224" t="s">
        <v>98</v>
      </c>
      <c r="F16" s="220" t="s">
        <v>103</v>
      </c>
      <c r="G16" s="232"/>
      <c r="H16" s="231"/>
    </row>
    <row r="17" spans="1:8" s="216" customFormat="1" x14ac:dyDescent="0.3">
      <c r="A17" s="235"/>
      <c r="B17" s="236"/>
      <c r="C17" s="221"/>
      <c r="D17" s="795"/>
      <c r="E17" s="222" t="s">
        <v>99</v>
      </c>
      <c r="F17" s="223" t="s">
        <v>121</v>
      </c>
      <c r="G17" s="235"/>
      <c r="H17" s="236"/>
    </row>
    <row r="18" spans="1:8" x14ac:dyDescent="0.3">
      <c r="A18" s="232"/>
      <c r="B18" s="231"/>
      <c r="C18" s="220"/>
      <c r="D18" s="795"/>
      <c r="E18" s="224" t="s">
        <v>100</v>
      </c>
      <c r="F18" s="220" t="s">
        <v>104</v>
      </c>
      <c r="G18" s="232"/>
      <c r="H18" s="231"/>
    </row>
    <row r="19" spans="1:8" ht="6.75" customHeight="1" x14ac:dyDescent="0.3">
      <c r="A19" s="232"/>
      <c r="B19" s="231"/>
      <c r="C19" s="220"/>
      <c r="D19" s="220"/>
      <c r="E19" s="224"/>
      <c r="F19" s="220"/>
      <c r="G19" s="232"/>
      <c r="H19" s="231"/>
    </row>
    <row r="20" spans="1:8" ht="15.75" customHeight="1" x14ac:dyDescent="0.3">
      <c r="A20" s="232"/>
      <c r="B20" s="231"/>
      <c r="C20" s="220"/>
      <c r="D20" s="658" t="s">
        <v>111</v>
      </c>
      <c r="E20" s="658"/>
      <c r="F20" s="658"/>
      <c r="G20" s="232"/>
      <c r="H20" s="231"/>
    </row>
    <row r="21" spans="1:8" ht="15.6" x14ac:dyDescent="0.3">
      <c r="A21" s="232"/>
      <c r="B21" s="231"/>
      <c r="C21" s="220"/>
      <c r="D21" s="659" t="s">
        <v>167</v>
      </c>
      <c r="E21" s="660"/>
      <c r="F21" s="661"/>
      <c r="G21" s="232"/>
      <c r="H21" s="231"/>
    </row>
    <row r="22" spans="1:8" x14ac:dyDescent="0.3">
      <c r="A22" s="232"/>
      <c r="B22" s="231"/>
      <c r="C22" s="220"/>
      <c r="D22" s="795" t="s">
        <v>110</v>
      </c>
      <c r="E22" s="224" t="s">
        <v>106</v>
      </c>
      <c r="F22" s="225" t="s">
        <v>112</v>
      </c>
      <c r="G22" s="232"/>
      <c r="H22" s="231"/>
    </row>
    <row r="23" spans="1:8" x14ac:dyDescent="0.3">
      <c r="A23" s="232"/>
      <c r="B23" s="231"/>
      <c r="C23" s="220"/>
      <c r="D23" s="795"/>
      <c r="E23" s="224" t="s">
        <v>107</v>
      </c>
      <c r="F23" s="220" t="s">
        <v>113</v>
      </c>
      <c r="G23" s="232"/>
      <c r="H23" s="231"/>
    </row>
    <row r="24" spans="1:8" x14ac:dyDescent="0.3">
      <c r="A24" s="232"/>
      <c r="B24" s="231"/>
      <c r="C24" s="220"/>
      <c r="D24" s="795"/>
      <c r="E24" s="224" t="s">
        <v>108</v>
      </c>
      <c r="F24" s="225" t="s">
        <v>114</v>
      </c>
      <c r="G24" s="232"/>
      <c r="H24" s="231"/>
    </row>
    <row r="25" spans="1:8" x14ac:dyDescent="0.3">
      <c r="A25" s="232"/>
      <c r="B25" s="231"/>
      <c r="C25" s="220"/>
      <c r="D25" s="795"/>
      <c r="E25" s="224" t="s">
        <v>109</v>
      </c>
      <c r="F25" s="220" t="s">
        <v>115</v>
      </c>
      <c r="G25" s="232"/>
      <c r="H25" s="231"/>
    </row>
    <row r="26" spans="1:8" s="134" customFormat="1" ht="6.75" customHeight="1" x14ac:dyDescent="0.3">
      <c r="A26" s="232"/>
      <c r="B26" s="231"/>
      <c r="C26" s="217"/>
      <c r="D26" s="217"/>
      <c r="E26" s="217"/>
      <c r="F26" s="217"/>
      <c r="G26" s="232"/>
      <c r="H26" s="231"/>
    </row>
    <row r="27" spans="1:8" ht="18" x14ac:dyDescent="0.3">
      <c r="A27" s="232"/>
      <c r="B27" s="231"/>
      <c r="C27" s="219"/>
      <c r="D27" s="213" t="s">
        <v>166</v>
      </c>
      <c r="E27" s="214"/>
      <c r="F27" s="215"/>
      <c r="G27" s="232"/>
      <c r="H27" s="231"/>
    </row>
    <row r="28" spans="1:8" s="216" customFormat="1" ht="15" customHeight="1" x14ac:dyDescent="0.3">
      <c r="A28" s="235"/>
      <c r="B28" s="236"/>
      <c r="C28" s="221"/>
      <c r="D28" s="795" t="s">
        <v>126</v>
      </c>
      <c r="E28" s="222" t="s">
        <v>101</v>
      </c>
      <c r="F28" s="223" t="s">
        <v>124</v>
      </c>
      <c r="G28" s="235"/>
      <c r="H28" s="236"/>
    </row>
    <row r="29" spans="1:8" x14ac:dyDescent="0.3">
      <c r="A29" s="232"/>
      <c r="B29" s="231"/>
      <c r="C29" s="220"/>
      <c r="D29" s="795"/>
      <c r="E29" s="224" t="s">
        <v>102</v>
      </c>
      <c r="F29" s="220" t="s">
        <v>123</v>
      </c>
      <c r="G29" s="232"/>
      <c r="H29" s="231"/>
    </row>
    <row r="30" spans="1:8" x14ac:dyDescent="0.3">
      <c r="A30" s="232"/>
      <c r="B30" s="231"/>
      <c r="C30" s="220"/>
      <c r="D30" s="795"/>
      <c r="E30" s="224" t="s">
        <v>117</v>
      </c>
      <c r="F30" s="220" t="s">
        <v>127</v>
      </c>
      <c r="G30" s="232"/>
      <c r="H30" s="231"/>
    </row>
    <row r="31" spans="1:8" x14ac:dyDescent="0.3">
      <c r="A31" s="232"/>
      <c r="B31" s="231"/>
      <c r="C31" s="220"/>
      <c r="D31" s="795"/>
      <c r="E31" s="224" t="s">
        <v>118</v>
      </c>
      <c r="F31" s="220" t="s">
        <v>130</v>
      </c>
      <c r="G31" s="232"/>
      <c r="H31" s="231"/>
    </row>
    <row r="32" spans="1:8" x14ac:dyDescent="0.3">
      <c r="A32" s="232"/>
      <c r="B32" s="231"/>
      <c r="C32" s="220"/>
      <c r="D32" s="795"/>
      <c r="E32" s="224" t="s">
        <v>119</v>
      </c>
      <c r="F32" s="220" t="s">
        <v>128</v>
      </c>
      <c r="G32" s="232"/>
      <c r="H32" s="231"/>
    </row>
    <row r="33" spans="1:8" x14ac:dyDescent="0.3">
      <c r="A33" s="232"/>
      <c r="B33" s="231"/>
      <c r="C33" s="220"/>
      <c r="D33" s="795"/>
      <c r="E33" s="224" t="s">
        <v>120</v>
      </c>
      <c r="F33" s="220" t="s">
        <v>129</v>
      </c>
      <c r="G33" s="232"/>
      <c r="H33" s="231"/>
    </row>
    <row r="34" spans="1:8" ht="7.5" customHeight="1" thickBot="1" x14ac:dyDescent="0.35">
      <c r="A34" s="232"/>
      <c r="B34" s="239"/>
      <c r="C34" s="226"/>
      <c r="D34" s="226"/>
      <c r="E34" s="227"/>
      <c r="F34" s="226"/>
      <c r="G34" s="237"/>
      <c r="H34" s="231"/>
    </row>
    <row r="35" spans="1:8" ht="7.5" customHeight="1" thickTop="1" x14ac:dyDescent="0.3">
      <c r="A35" s="220"/>
      <c r="B35" s="228"/>
      <c r="C35" s="228"/>
      <c r="D35" s="228"/>
      <c r="E35" s="229"/>
      <c r="F35" s="228"/>
      <c r="G35" s="228"/>
      <c r="H35" s="220"/>
    </row>
  </sheetData>
  <mergeCells count="5">
    <mergeCell ref="C3:F3"/>
    <mergeCell ref="D22:D25"/>
    <mergeCell ref="D5:E5"/>
    <mergeCell ref="D10:D18"/>
    <mergeCell ref="D28:D3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Y142"/>
  <sheetViews>
    <sheetView zoomScale="70" zoomScaleNormal="70" workbookViewId="0">
      <pane xSplit="6" ySplit="4" topLeftCell="G47" activePane="bottomRight" state="frozen"/>
      <selection activeCell="C3" sqref="C3:F3"/>
      <selection pane="topRight" activeCell="C3" sqref="C3:F3"/>
      <selection pane="bottomLeft" activeCell="C3" sqref="C3:F3"/>
      <selection pane="bottomRight" activeCell="C3" sqref="C3:F3"/>
    </sheetView>
  </sheetViews>
  <sheetFormatPr defaultColWidth="11.44140625" defaultRowHeight="14.4" x14ac:dyDescent="0.3"/>
  <cols>
    <col min="1" max="1" width="0.44140625" style="123" customWidth="1"/>
    <col min="2" max="2" width="38.88671875" style="1" customWidth="1"/>
    <col min="3" max="3" width="11.5546875" style="2" customWidth="1"/>
    <col min="4" max="4" width="15.33203125" style="2" customWidth="1"/>
    <col min="5" max="5" width="42.88671875" style="1" bestFit="1" customWidth="1"/>
    <col min="6" max="6" width="11.109375" style="2" hidden="1" customWidth="1"/>
    <col min="7" max="8" width="11.44140625" style="2"/>
    <col min="9" max="9" width="11.44140625" style="3" customWidth="1"/>
    <col min="10" max="10" width="11.44140625" style="4" customWidth="1"/>
    <col min="11" max="11" width="11.44140625" style="3"/>
    <col min="12" max="12" width="11.44140625" style="4" customWidth="1"/>
    <col min="13" max="13" width="11.44140625" style="3"/>
    <col min="14" max="14" width="11.44140625" style="4" customWidth="1"/>
    <col min="15" max="22" width="7.5546875" style="2" customWidth="1"/>
    <col min="23" max="16384" width="11.44140625" style="1"/>
  </cols>
  <sheetData>
    <row r="1" spans="1:23" s="123" customFormat="1" ht="2.25" customHeight="1" thickBot="1" x14ac:dyDescent="0.35">
      <c r="C1" s="126"/>
      <c r="D1" s="126"/>
      <c r="F1" s="126"/>
      <c r="G1" s="126"/>
      <c r="H1" s="126"/>
      <c r="I1" s="127"/>
      <c r="J1" s="128"/>
      <c r="K1" s="127"/>
      <c r="L1" s="128"/>
      <c r="M1" s="127"/>
      <c r="N1" s="128"/>
      <c r="O1" s="126"/>
      <c r="P1" s="126"/>
      <c r="Q1" s="126"/>
      <c r="R1" s="126"/>
      <c r="S1" s="126"/>
      <c r="T1" s="126"/>
      <c r="U1" s="126"/>
      <c r="V1" s="126"/>
    </row>
    <row r="2" spans="1:23" s="6" customFormat="1" ht="30" customHeight="1" thickBot="1" x14ac:dyDescent="0.35">
      <c r="A2" s="124"/>
      <c r="B2" s="817" t="s">
        <v>53</v>
      </c>
      <c r="C2" s="820" t="s">
        <v>74</v>
      </c>
      <c r="D2" s="820" t="s">
        <v>69</v>
      </c>
      <c r="E2" s="815" t="s">
        <v>79</v>
      </c>
      <c r="F2" s="810" t="s">
        <v>59</v>
      </c>
      <c r="G2" s="834" t="s">
        <v>54</v>
      </c>
      <c r="H2" s="819"/>
      <c r="I2" s="835" t="s">
        <v>55</v>
      </c>
      <c r="J2" s="813" t="s">
        <v>63</v>
      </c>
      <c r="K2" s="836" t="s">
        <v>56</v>
      </c>
      <c r="L2" s="813" t="s">
        <v>65</v>
      </c>
      <c r="M2" s="836" t="s">
        <v>57</v>
      </c>
      <c r="N2" s="814" t="s">
        <v>64</v>
      </c>
      <c r="O2" s="818" t="s">
        <v>39</v>
      </c>
      <c r="P2" s="819"/>
      <c r="Q2" s="818" t="s">
        <v>40</v>
      </c>
      <c r="R2" s="819"/>
      <c r="S2" s="818" t="s">
        <v>41</v>
      </c>
      <c r="T2" s="819"/>
      <c r="U2" s="810" t="s">
        <v>42</v>
      </c>
      <c r="V2" s="833"/>
      <c r="W2" s="120"/>
    </row>
    <row r="3" spans="1:23" s="6" customFormat="1" ht="30" customHeight="1" thickBot="1" x14ac:dyDescent="0.35">
      <c r="A3" s="124"/>
      <c r="B3" s="817"/>
      <c r="C3" s="820"/>
      <c r="D3" s="820"/>
      <c r="E3" s="815"/>
      <c r="F3" s="811"/>
      <c r="G3" s="249"/>
      <c r="H3" s="246"/>
      <c r="I3" s="835"/>
      <c r="J3" s="813"/>
      <c r="K3" s="836"/>
      <c r="L3" s="813"/>
      <c r="M3" s="836"/>
      <c r="N3" s="814"/>
      <c r="O3" s="245"/>
      <c r="P3" s="246"/>
      <c r="Q3" s="245"/>
      <c r="R3" s="246"/>
      <c r="S3" s="245"/>
      <c r="T3" s="246"/>
      <c r="U3" s="247"/>
      <c r="V3" s="248"/>
      <c r="W3" s="120"/>
    </row>
    <row r="4" spans="1:23" s="6" customFormat="1" ht="30" customHeight="1" thickBot="1" x14ac:dyDescent="0.35">
      <c r="A4" s="124"/>
      <c r="B4" s="817"/>
      <c r="C4" s="820"/>
      <c r="D4" s="820"/>
      <c r="E4" s="815"/>
      <c r="F4" s="812"/>
      <c r="G4" s="31" t="s">
        <v>43</v>
      </c>
      <c r="H4" s="32" t="s">
        <v>44</v>
      </c>
      <c r="I4" s="835"/>
      <c r="J4" s="813"/>
      <c r="K4" s="836"/>
      <c r="L4" s="813"/>
      <c r="M4" s="836"/>
      <c r="N4" s="814"/>
      <c r="O4" s="33" t="s">
        <v>43</v>
      </c>
      <c r="P4" s="32" t="s">
        <v>44</v>
      </c>
      <c r="Q4" s="33" t="s">
        <v>43</v>
      </c>
      <c r="R4" s="32" t="s">
        <v>44</v>
      </c>
      <c r="S4" s="33" t="s">
        <v>43</v>
      </c>
      <c r="T4" s="32" t="s">
        <v>44</v>
      </c>
      <c r="U4" s="33" t="s">
        <v>43</v>
      </c>
      <c r="V4" s="34" t="s">
        <v>44</v>
      </c>
      <c r="W4" s="120"/>
    </row>
    <row r="5" spans="1:23" ht="15.6" x14ac:dyDescent="0.3">
      <c r="B5" s="78" t="s">
        <v>70</v>
      </c>
      <c r="C5" s="79" t="s">
        <v>75</v>
      </c>
      <c r="D5" s="79">
        <v>2</v>
      </c>
      <c r="E5" s="80" t="s">
        <v>71</v>
      </c>
      <c r="F5" s="81" t="s">
        <v>60</v>
      </c>
      <c r="G5" s="82">
        <f>27+11+2+15+8</f>
        <v>63</v>
      </c>
      <c r="H5" s="83">
        <v>29</v>
      </c>
      <c r="I5" s="84">
        <f>2/G5</f>
        <v>3.1746031746031744E-2</v>
      </c>
      <c r="J5" s="85">
        <f>I5*G5</f>
        <v>2</v>
      </c>
      <c r="K5" s="86">
        <f>(2+15)/G5</f>
        <v>0.26984126984126983</v>
      </c>
      <c r="L5" s="85">
        <f>K5*G5</f>
        <v>17</v>
      </c>
      <c r="M5" s="86">
        <f>2/17</f>
        <v>0.11764705882352941</v>
      </c>
      <c r="N5" s="87">
        <f>IF(M5="-","-",M5*L5)</f>
        <v>2</v>
      </c>
      <c r="O5" s="88"/>
      <c r="P5" s="83"/>
      <c r="Q5" s="88"/>
      <c r="R5" s="83"/>
      <c r="S5" s="88"/>
      <c r="T5" s="83"/>
      <c r="U5" s="88"/>
      <c r="V5" s="89"/>
      <c r="W5" s="121"/>
    </row>
    <row r="6" spans="1:23" ht="15.6" x14ac:dyDescent="0.3">
      <c r="B6" s="763" t="s">
        <v>168</v>
      </c>
      <c r="C6" s="764" t="s">
        <v>75</v>
      </c>
      <c r="D6" s="764">
        <v>2</v>
      </c>
      <c r="E6" s="765" t="s">
        <v>169</v>
      </c>
      <c r="F6" s="766" t="s">
        <v>60</v>
      </c>
      <c r="G6" s="273"/>
      <c r="H6" s="274"/>
      <c r="I6" s="275" t="e">
        <f>2/G6</f>
        <v>#DIV/0!</v>
      </c>
      <c r="J6" s="276"/>
      <c r="K6" s="277" t="e">
        <f>(2+15)/G6</f>
        <v>#DIV/0!</v>
      </c>
      <c r="L6" s="276"/>
      <c r="M6" s="277">
        <f>2/17</f>
        <v>0.11764705882352941</v>
      </c>
      <c r="N6" s="278"/>
      <c r="O6" s="767"/>
      <c r="P6" s="274"/>
      <c r="Q6" s="767"/>
      <c r="R6" s="274"/>
      <c r="S6" s="767"/>
      <c r="T6" s="274"/>
      <c r="U6" s="767"/>
      <c r="V6" s="768"/>
      <c r="W6" s="121"/>
    </row>
    <row r="7" spans="1:23" ht="15" customHeight="1" x14ac:dyDescent="0.3">
      <c r="B7" s="825" t="s">
        <v>170</v>
      </c>
      <c r="C7" s="829" t="s">
        <v>75</v>
      </c>
      <c r="D7" s="816">
        <v>8</v>
      </c>
      <c r="E7" s="90" t="s">
        <v>171</v>
      </c>
      <c r="F7" s="91" t="s">
        <v>60</v>
      </c>
      <c r="G7" s="92"/>
      <c r="H7" s="93"/>
      <c r="I7" s="94">
        <v>0.32258064516129031</v>
      </c>
      <c r="J7" s="95"/>
      <c r="K7" s="96">
        <v>0.32258064516129031</v>
      </c>
      <c r="L7" s="95"/>
      <c r="M7" s="96" t="s">
        <v>21</v>
      </c>
      <c r="N7" s="97" t="s">
        <v>21</v>
      </c>
      <c r="O7" s="98" t="s">
        <v>21</v>
      </c>
      <c r="P7" s="93" t="s">
        <v>21</v>
      </c>
      <c r="Q7" s="98" t="s">
        <v>21</v>
      </c>
      <c r="R7" s="93" t="s">
        <v>21</v>
      </c>
      <c r="S7" s="98"/>
      <c r="T7" s="93"/>
      <c r="U7" s="98"/>
      <c r="V7" s="99"/>
      <c r="W7" s="121"/>
    </row>
    <row r="8" spans="1:23" ht="15" customHeight="1" x14ac:dyDescent="0.3">
      <c r="B8" s="826"/>
      <c r="C8" s="830"/>
      <c r="D8" s="816"/>
      <c r="E8" s="100" t="s">
        <v>171</v>
      </c>
      <c r="F8" s="101" t="s">
        <v>60</v>
      </c>
      <c r="G8" s="102"/>
      <c r="H8" s="103"/>
      <c r="I8" s="104">
        <v>0.48</v>
      </c>
      <c r="J8" s="105"/>
      <c r="K8" s="106">
        <v>0.36</v>
      </c>
      <c r="L8" s="105"/>
      <c r="M8" s="106" t="s">
        <v>21</v>
      </c>
      <c r="N8" s="107" t="s">
        <v>21</v>
      </c>
      <c r="O8" s="108" t="s">
        <v>21</v>
      </c>
      <c r="P8" s="103" t="s">
        <v>21</v>
      </c>
      <c r="Q8" s="108" t="s">
        <v>21</v>
      </c>
      <c r="R8" s="103" t="s">
        <v>21</v>
      </c>
      <c r="S8" s="108"/>
      <c r="T8" s="103"/>
      <c r="U8" s="108"/>
      <c r="V8" s="109"/>
      <c r="W8" s="121"/>
    </row>
    <row r="9" spans="1:23" ht="15" customHeight="1" x14ac:dyDescent="0.3">
      <c r="B9" s="826"/>
      <c r="C9" s="830"/>
      <c r="D9" s="816"/>
      <c r="E9" s="100" t="s">
        <v>171</v>
      </c>
      <c r="F9" s="101" t="s">
        <v>60</v>
      </c>
      <c r="G9" s="102"/>
      <c r="H9" s="103"/>
      <c r="I9" s="104">
        <v>0.5</v>
      </c>
      <c r="J9" s="105"/>
      <c r="K9" s="106">
        <v>0.16666666666666666</v>
      </c>
      <c r="L9" s="105"/>
      <c r="M9" s="106" t="s">
        <v>21</v>
      </c>
      <c r="N9" s="107" t="s">
        <v>21</v>
      </c>
      <c r="O9" s="108" t="s">
        <v>21</v>
      </c>
      <c r="P9" s="103" t="s">
        <v>21</v>
      </c>
      <c r="Q9" s="108" t="s">
        <v>21</v>
      </c>
      <c r="R9" s="103" t="s">
        <v>21</v>
      </c>
      <c r="S9" s="108"/>
      <c r="T9" s="103"/>
      <c r="U9" s="108"/>
      <c r="V9" s="109"/>
      <c r="W9" s="121"/>
    </row>
    <row r="10" spans="1:23" ht="15" customHeight="1" x14ac:dyDescent="0.3">
      <c r="B10" s="826"/>
      <c r="C10" s="830"/>
      <c r="D10" s="816"/>
      <c r="E10" s="100" t="s">
        <v>171</v>
      </c>
      <c r="F10" s="101"/>
      <c r="G10" s="102"/>
      <c r="H10" s="103"/>
      <c r="I10" s="104">
        <v>0.5</v>
      </c>
      <c r="J10" s="105"/>
      <c r="K10" s="106">
        <v>0.16666666666666666</v>
      </c>
      <c r="L10" s="105"/>
      <c r="M10" s="106" t="s">
        <v>21</v>
      </c>
      <c r="N10" s="107" t="s">
        <v>21</v>
      </c>
      <c r="O10" s="108" t="s">
        <v>21</v>
      </c>
      <c r="P10" s="103" t="s">
        <v>21</v>
      </c>
      <c r="Q10" s="108" t="s">
        <v>21</v>
      </c>
      <c r="R10" s="103" t="s">
        <v>21</v>
      </c>
      <c r="S10" s="108"/>
      <c r="T10" s="103"/>
      <c r="U10" s="108"/>
      <c r="V10" s="109"/>
      <c r="W10" s="121"/>
    </row>
    <row r="11" spans="1:23" ht="15" customHeight="1" x14ac:dyDescent="0.3">
      <c r="B11" s="826"/>
      <c r="C11" s="830"/>
      <c r="D11" s="816"/>
      <c r="E11" s="100" t="s">
        <v>171</v>
      </c>
      <c r="F11" s="101" t="s">
        <v>60</v>
      </c>
      <c r="G11" s="102"/>
      <c r="H11" s="103"/>
      <c r="I11" s="104">
        <v>7.1428571428571425E-2</v>
      </c>
      <c r="J11" s="105"/>
      <c r="K11" s="106">
        <v>7.1428571428571425E-2</v>
      </c>
      <c r="L11" s="105"/>
      <c r="M11" s="106" t="s">
        <v>21</v>
      </c>
      <c r="N11" s="107" t="s">
        <v>21</v>
      </c>
      <c r="O11" s="108" t="s">
        <v>21</v>
      </c>
      <c r="P11" s="103" t="s">
        <v>21</v>
      </c>
      <c r="Q11" s="108" t="s">
        <v>21</v>
      </c>
      <c r="R11" s="103" t="s">
        <v>21</v>
      </c>
      <c r="S11" s="108"/>
      <c r="T11" s="103"/>
      <c r="U11" s="108"/>
      <c r="V11" s="109"/>
      <c r="W11" s="121"/>
    </row>
    <row r="12" spans="1:23" ht="15" customHeight="1" x14ac:dyDescent="0.3">
      <c r="B12" s="826"/>
      <c r="C12" s="830"/>
      <c r="D12" s="816"/>
      <c r="E12" s="100" t="s">
        <v>171</v>
      </c>
      <c r="F12" s="101" t="s">
        <v>60</v>
      </c>
      <c r="G12" s="102"/>
      <c r="H12" s="103"/>
      <c r="I12" s="104">
        <v>4.1666666666666664E-2</v>
      </c>
      <c r="J12" s="105"/>
      <c r="K12" s="106">
        <v>0.20833333333333334</v>
      </c>
      <c r="L12" s="105"/>
      <c r="M12" s="106" t="s">
        <v>21</v>
      </c>
      <c r="N12" s="107" t="s">
        <v>21</v>
      </c>
      <c r="O12" s="108" t="s">
        <v>21</v>
      </c>
      <c r="P12" s="103" t="s">
        <v>21</v>
      </c>
      <c r="Q12" s="108" t="s">
        <v>21</v>
      </c>
      <c r="R12" s="103" t="s">
        <v>21</v>
      </c>
      <c r="S12" s="108"/>
      <c r="T12" s="103"/>
      <c r="U12" s="108"/>
      <c r="V12" s="109"/>
      <c r="W12" s="121"/>
    </row>
    <row r="13" spans="1:23" ht="15" customHeight="1" x14ac:dyDescent="0.3">
      <c r="B13" s="826"/>
      <c r="C13" s="830"/>
      <c r="D13" s="816"/>
      <c r="E13" s="100" t="s">
        <v>171</v>
      </c>
      <c r="F13" s="101" t="s">
        <v>60</v>
      </c>
      <c r="G13" s="102"/>
      <c r="H13" s="103"/>
      <c r="I13" s="104">
        <v>0</v>
      </c>
      <c r="J13" s="105"/>
      <c r="K13" s="106">
        <v>0.41379310344827586</v>
      </c>
      <c r="L13" s="105"/>
      <c r="M13" s="106" t="s">
        <v>21</v>
      </c>
      <c r="N13" s="107" t="s">
        <v>21</v>
      </c>
      <c r="O13" s="108" t="s">
        <v>21</v>
      </c>
      <c r="P13" s="103" t="s">
        <v>21</v>
      </c>
      <c r="Q13" s="108" t="s">
        <v>21</v>
      </c>
      <c r="R13" s="103" t="s">
        <v>21</v>
      </c>
      <c r="S13" s="108"/>
      <c r="T13" s="103"/>
      <c r="U13" s="108"/>
      <c r="V13" s="109"/>
      <c r="W13" s="121"/>
    </row>
    <row r="14" spans="1:23" ht="15" customHeight="1" x14ac:dyDescent="0.3">
      <c r="B14" s="826"/>
      <c r="C14" s="830"/>
      <c r="D14" s="816"/>
      <c r="E14" s="100" t="s">
        <v>171</v>
      </c>
      <c r="F14" s="101" t="s">
        <v>60</v>
      </c>
      <c r="G14" s="102"/>
      <c r="H14" s="103"/>
      <c r="I14" s="104">
        <v>0.25925925925925924</v>
      </c>
      <c r="J14" s="105"/>
      <c r="K14" s="106">
        <v>0.48148148148148145</v>
      </c>
      <c r="L14" s="105"/>
      <c r="M14" s="106" t="s">
        <v>21</v>
      </c>
      <c r="N14" s="107" t="s">
        <v>21</v>
      </c>
      <c r="O14" s="108" t="s">
        <v>21</v>
      </c>
      <c r="P14" s="103" t="s">
        <v>21</v>
      </c>
      <c r="Q14" s="108" t="s">
        <v>21</v>
      </c>
      <c r="R14" s="103" t="s">
        <v>21</v>
      </c>
      <c r="S14" s="108"/>
      <c r="T14" s="103"/>
      <c r="U14" s="108"/>
      <c r="V14" s="109"/>
      <c r="W14" s="121"/>
    </row>
    <row r="15" spans="1:23" ht="15" customHeight="1" x14ac:dyDescent="0.3">
      <c r="B15" s="826"/>
      <c r="C15" s="830"/>
      <c r="D15" s="816"/>
      <c r="E15" s="708" t="s">
        <v>171</v>
      </c>
      <c r="F15" s="709"/>
      <c r="G15" s="102"/>
      <c r="H15" s="103"/>
      <c r="I15" s="104">
        <v>0.25925925925925924</v>
      </c>
      <c r="J15" s="105"/>
      <c r="K15" s="106">
        <v>0.48148148148148145</v>
      </c>
      <c r="L15" s="105"/>
      <c r="M15" s="106" t="s">
        <v>21</v>
      </c>
      <c r="N15" s="713" t="s">
        <v>21</v>
      </c>
      <c r="O15" s="714" t="s">
        <v>21</v>
      </c>
      <c r="P15" s="711" t="s">
        <v>21</v>
      </c>
      <c r="Q15" s="714" t="s">
        <v>21</v>
      </c>
      <c r="R15" s="711" t="s">
        <v>21</v>
      </c>
      <c r="S15" s="714"/>
      <c r="T15" s="711"/>
      <c r="U15" s="714"/>
      <c r="V15" s="715"/>
      <c r="W15" s="121"/>
    </row>
    <row r="16" spans="1:23" ht="15" customHeight="1" x14ac:dyDescent="0.3">
      <c r="B16" s="826"/>
      <c r="C16" s="830"/>
      <c r="D16" s="816"/>
      <c r="E16" s="708" t="s">
        <v>171</v>
      </c>
      <c r="F16" s="709"/>
      <c r="G16" s="102"/>
      <c r="H16" s="103"/>
      <c r="I16" s="104">
        <v>0.25925925925925924</v>
      </c>
      <c r="J16" s="105"/>
      <c r="K16" s="106">
        <v>0.48148148148148145</v>
      </c>
      <c r="L16" s="105"/>
      <c r="M16" s="106" t="s">
        <v>21</v>
      </c>
      <c r="N16" s="713" t="s">
        <v>21</v>
      </c>
      <c r="O16" s="714" t="s">
        <v>21</v>
      </c>
      <c r="P16" s="711" t="s">
        <v>21</v>
      </c>
      <c r="Q16" s="714" t="s">
        <v>21</v>
      </c>
      <c r="R16" s="711" t="s">
        <v>21</v>
      </c>
      <c r="S16" s="714"/>
      <c r="T16" s="711"/>
      <c r="U16" s="714"/>
      <c r="V16" s="715"/>
      <c r="W16" s="121"/>
    </row>
    <row r="17" spans="2:23" ht="15" customHeight="1" x14ac:dyDescent="0.3">
      <c r="B17" s="826"/>
      <c r="C17" s="830"/>
      <c r="D17" s="816"/>
      <c r="E17" s="708"/>
      <c r="F17" s="709"/>
      <c r="G17" s="710"/>
      <c r="H17" s="711"/>
      <c r="I17" s="104">
        <v>0.25925925925925924</v>
      </c>
      <c r="J17" s="712"/>
      <c r="K17" s="106">
        <v>0.48148148148148145</v>
      </c>
      <c r="L17" s="712"/>
      <c r="M17" s="106" t="s">
        <v>21</v>
      </c>
      <c r="N17" s="713" t="s">
        <v>21</v>
      </c>
      <c r="O17" s="714" t="s">
        <v>21</v>
      </c>
      <c r="P17" s="711" t="s">
        <v>21</v>
      </c>
      <c r="Q17" s="714" t="s">
        <v>21</v>
      </c>
      <c r="R17" s="711" t="s">
        <v>21</v>
      </c>
      <c r="S17" s="714"/>
      <c r="T17" s="711"/>
      <c r="U17" s="714"/>
      <c r="V17" s="715"/>
      <c r="W17" s="121"/>
    </row>
    <row r="18" spans="2:23" ht="15" customHeight="1" x14ac:dyDescent="0.3">
      <c r="B18" s="826"/>
      <c r="C18" s="830"/>
      <c r="D18" s="816"/>
      <c r="E18" s="708"/>
      <c r="F18" s="709"/>
      <c r="G18" s="710"/>
      <c r="H18" s="711"/>
      <c r="I18" s="104">
        <v>0.25925925925925924</v>
      </c>
      <c r="J18" s="712"/>
      <c r="K18" s="106">
        <v>0.48148148148148145</v>
      </c>
      <c r="L18" s="712"/>
      <c r="M18" s="106" t="s">
        <v>21</v>
      </c>
      <c r="N18" s="713" t="s">
        <v>21</v>
      </c>
      <c r="O18" s="714" t="s">
        <v>21</v>
      </c>
      <c r="P18" s="711" t="s">
        <v>21</v>
      </c>
      <c r="Q18" s="714" t="s">
        <v>21</v>
      </c>
      <c r="R18" s="711" t="s">
        <v>21</v>
      </c>
      <c r="S18" s="714"/>
      <c r="T18" s="711"/>
      <c r="U18" s="714"/>
      <c r="V18" s="715"/>
      <c r="W18" s="121"/>
    </row>
    <row r="19" spans="2:23" ht="15" customHeight="1" x14ac:dyDescent="0.3">
      <c r="B19" s="826"/>
      <c r="C19" s="830"/>
      <c r="D19" s="816"/>
      <c r="E19" s="110" t="s">
        <v>171</v>
      </c>
      <c r="F19" s="111" t="s">
        <v>60</v>
      </c>
      <c r="G19" s="112"/>
      <c r="H19" s="113"/>
      <c r="I19" s="114">
        <v>0.5</v>
      </c>
      <c r="J19" s="115"/>
      <c r="K19" s="116">
        <v>0</v>
      </c>
      <c r="L19" s="115"/>
      <c r="M19" s="116" t="s">
        <v>21</v>
      </c>
      <c r="N19" s="117" t="s">
        <v>21</v>
      </c>
      <c r="O19" s="118" t="s">
        <v>21</v>
      </c>
      <c r="P19" s="113" t="s">
        <v>21</v>
      </c>
      <c r="Q19" s="118" t="s">
        <v>21</v>
      </c>
      <c r="R19" s="113" t="s">
        <v>21</v>
      </c>
      <c r="S19" s="118"/>
      <c r="T19" s="113"/>
      <c r="U19" s="118"/>
      <c r="V19" s="119"/>
      <c r="W19" s="121"/>
    </row>
    <row r="20" spans="2:23" ht="15.6" x14ac:dyDescent="0.3">
      <c r="B20" s="827"/>
      <c r="C20" s="831"/>
      <c r="D20" s="652" t="s">
        <v>138</v>
      </c>
      <c r="E20" s="263"/>
      <c r="F20" s="264"/>
      <c r="G20" s="273">
        <f>SUM(G7:G19)</f>
        <v>0</v>
      </c>
      <c r="H20" s="274">
        <f>SUM(H7:H19)</f>
        <v>0</v>
      </c>
      <c r="I20" s="275" t="e">
        <f>J20/G20</f>
        <v>#DIV/0!</v>
      </c>
      <c r="J20" s="276">
        <f>SUM(J7:J19)</f>
        <v>0</v>
      </c>
      <c r="K20" s="277" t="e">
        <f>L20/G20</f>
        <v>#DIV/0!</v>
      </c>
      <c r="L20" s="276">
        <f>SUM(L7:L19)</f>
        <v>0</v>
      </c>
      <c r="M20" s="277" t="e">
        <f>N20/L20</f>
        <v>#DIV/0!</v>
      </c>
      <c r="N20" s="278">
        <f>SUM(N7:N19)</f>
        <v>0</v>
      </c>
      <c r="O20" s="266"/>
      <c r="P20" s="265"/>
      <c r="Q20" s="266"/>
      <c r="R20" s="265"/>
      <c r="S20" s="266"/>
      <c r="T20" s="265"/>
      <c r="U20" s="266"/>
      <c r="V20" s="267"/>
      <c r="W20" s="121"/>
    </row>
    <row r="21" spans="2:23" ht="15" customHeight="1" x14ac:dyDescent="0.3">
      <c r="B21" s="825" t="s">
        <v>20</v>
      </c>
      <c r="C21" s="829" t="s">
        <v>75</v>
      </c>
      <c r="D21" s="816">
        <v>8</v>
      </c>
      <c r="E21" s="90" t="s">
        <v>13</v>
      </c>
      <c r="F21" s="91" t="s">
        <v>60</v>
      </c>
      <c r="G21" s="92">
        <v>31</v>
      </c>
      <c r="H21" s="93">
        <v>23</v>
      </c>
      <c r="I21" s="94">
        <v>0.32258064516129031</v>
      </c>
      <c r="J21" s="95">
        <f t="shared" ref="J21:J111" si="0">I21*G21</f>
        <v>10</v>
      </c>
      <c r="K21" s="96">
        <v>0.32258064516129031</v>
      </c>
      <c r="L21" s="95">
        <f t="shared" ref="L21:L111" si="1">K21*G21</f>
        <v>10</v>
      </c>
      <c r="M21" s="96" t="s">
        <v>21</v>
      </c>
      <c r="N21" s="97" t="s">
        <v>21</v>
      </c>
      <c r="O21" s="98" t="s">
        <v>21</v>
      </c>
      <c r="P21" s="93" t="s">
        <v>21</v>
      </c>
      <c r="Q21" s="98" t="s">
        <v>21</v>
      </c>
      <c r="R21" s="93" t="s">
        <v>21</v>
      </c>
      <c r="S21" s="98"/>
      <c r="T21" s="93"/>
      <c r="U21" s="98"/>
      <c r="V21" s="99"/>
      <c r="W21" s="121"/>
    </row>
    <row r="22" spans="2:23" ht="15" customHeight="1" x14ac:dyDescent="0.3">
      <c r="B22" s="826"/>
      <c r="C22" s="830"/>
      <c r="D22" s="816"/>
      <c r="E22" s="100" t="s">
        <v>14</v>
      </c>
      <c r="F22" s="101" t="s">
        <v>60</v>
      </c>
      <c r="G22" s="102">
        <v>25</v>
      </c>
      <c r="H22" s="103">
        <v>13</v>
      </c>
      <c r="I22" s="104">
        <v>0.48</v>
      </c>
      <c r="J22" s="105">
        <f t="shared" si="0"/>
        <v>12</v>
      </c>
      <c r="K22" s="106">
        <v>0.36</v>
      </c>
      <c r="L22" s="105">
        <f t="shared" si="1"/>
        <v>9</v>
      </c>
      <c r="M22" s="106" t="s">
        <v>21</v>
      </c>
      <c r="N22" s="107" t="s">
        <v>21</v>
      </c>
      <c r="O22" s="108" t="s">
        <v>21</v>
      </c>
      <c r="P22" s="103" t="s">
        <v>21</v>
      </c>
      <c r="Q22" s="108" t="s">
        <v>21</v>
      </c>
      <c r="R22" s="103" t="s">
        <v>21</v>
      </c>
      <c r="S22" s="108"/>
      <c r="T22" s="103"/>
      <c r="U22" s="108"/>
      <c r="V22" s="109"/>
      <c r="W22" s="121"/>
    </row>
    <row r="23" spans="2:23" ht="15" customHeight="1" x14ac:dyDescent="0.3">
      <c r="B23" s="826"/>
      <c r="C23" s="830"/>
      <c r="D23" s="816"/>
      <c r="E23" s="100" t="s">
        <v>15</v>
      </c>
      <c r="F23" s="101" t="s">
        <v>60</v>
      </c>
      <c r="G23" s="102">
        <v>18</v>
      </c>
      <c r="H23" s="103">
        <v>10</v>
      </c>
      <c r="I23" s="104">
        <v>0.5</v>
      </c>
      <c r="J23" s="105">
        <f t="shared" si="0"/>
        <v>9</v>
      </c>
      <c r="K23" s="106">
        <v>0.16666666666666666</v>
      </c>
      <c r="L23" s="105">
        <f t="shared" si="1"/>
        <v>3</v>
      </c>
      <c r="M23" s="106" t="s">
        <v>21</v>
      </c>
      <c r="N23" s="107" t="s">
        <v>21</v>
      </c>
      <c r="O23" s="108" t="s">
        <v>21</v>
      </c>
      <c r="P23" s="103" t="s">
        <v>21</v>
      </c>
      <c r="Q23" s="108" t="s">
        <v>21</v>
      </c>
      <c r="R23" s="103" t="s">
        <v>21</v>
      </c>
      <c r="S23" s="108"/>
      <c r="T23" s="103"/>
      <c r="U23" s="108"/>
      <c r="V23" s="109"/>
      <c r="W23" s="121"/>
    </row>
    <row r="24" spans="2:23" ht="15" customHeight="1" x14ac:dyDescent="0.3">
      <c r="B24" s="826"/>
      <c r="C24" s="830"/>
      <c r="D24" s="816"/>
      <c r="E24" s="100"/>
      <c r="F24" s="101"/>
      <c r="G24" s="102"/>
      <c r="H24" s="103"/>
      <c r="I24" s="104">
        <v>0.5</v>
      </c>
      <c r="J24" s="105"/>
      <c r="K24" s="106">
        <v>0.16666666666666666</v>
      </c>
      <c r="L24" s="105"/>
      <c r="M24" s="106" t="s">
        <v>21</v>
      </c>
      <c r="N24" s="107" t="s">
        <v>21</v>
      </c>
      <c r="O24" s="108" t="s">
        <v>21</v>
      </c>
      <c r="P24" s="103" t="s">
        <v>21</v>
      </c>
      <c r="Q24" s="108" t="s">
        <v>21</v>
      </c>
      <c r="R24" s="103" t="s">
        <v>21</v>
      </c>
      <c r="S24" s="108"/>
      <c r="T24" s="103"/>
      <c r="U24" s="108"/>
      <c r="V24" s="109"/>
      <c r="W24" s="121"/>
    </row>
    <row r="25" spans="2:23" ht="15" customHeight="1" x14ac:dyDescent="0.3">
      <c r="B25" s="826"/>
      <c r="C25" s="830"/>
      <c r="D25" s="816"/>
      <c r="E25" s="100" t="s">
        <v>16</v>
      </c>
      <c r="F25" s="101" t="s">
        <v>60</v>
      </c>
      <c r="G25" s="102">
        <v>14</v>
      </c>
      <c r="H25" s="103">
        <v>9</v>
      </c>
      <c r="I25" s="104">
        <v>7.1428571428571425E-2</v>
      </c>
      <c r="J25" s="105">
        <f t="shared" si="0"/>
        <v>1</v>
      </c>
      <c r="K25" s="106">
        <v>7.1428571428571425E-2</v>
      </c>
      <c r="L25" s="105">
        <f t="shared" si="1"/>
        <v>1</v>
      </c>
      <c r="M25" s="106" t="s">
        <v>21</v>
      </c>
      <c r="N25" s="107" t="s">
        <v>21</v>
      </c>
      <c r="O25" s="108" t="s">
        <v>21</v>
      </c>
      <c r="P25" s="103" t="s">
        <v>21</v>
      </c>
      <c r="Q25" s="108" t="s">
        <v>21</v>
      </c>
      <c r="R25" s="103" t="s">
        <v>21</v>
      </c>
      <c r="S25" s="108"/>
      <c r="T25" s="103"/>
      <c r="U25" s="108"/>
      <c r="V25" s="109"/>
      <c r="W25" s="121"/>
    </row>
    <row r="26" spans="2:23" ht="15" customHeight="1" x14ac:dyDescent="0.3">
      <c r="B26" s="826"/>
      <c r="C26" s="830"/>
      <c r="D26" s="816"/>
      <c r="E26" s="100" t="s">
        <v>17</v>
      </c>
      <c r="F26" s="101" t="s">
        <v>60</v>
      </c>
      <c r="G26" s="102">
        <v>24</v>
      </c>
      <c r="H26" s="103">
        <v>16</v>
      </c>
      <c r="I26" s="104">
        <v>4.1666666666666664E-2</v>
      </c>
      <c r="J26" s="105">
        <f t="shared" si="0"/>
        <v>1</v>
      </c>
      <c r="K26" s="106">
        <v>0.20833333333333334</v>
      </c>
      <c r="L26" s="105">
        <f t="shared" si="1"/>
        <v>5</v>
      </c>
      <c r="M26" s="106" t="s">
        <v>21</v>
      </c>
      <c r="N26" s="107" t="s">
        <v>21</v>
      </c>
      <c r="O26" s="108" t="s">
        <v>21</v>
      </c>
      <c r="P26" s="103" t="s">
        <v>21</v>
      </c>
      <c r="Q26" s="108" t="s">
        <v>21</v>
      </c>
      <c r="R26" s="103" t="s">
        <v>21</v>
      </c>
      <c r="S26" s="108"/>
      <c r="T26" s="103"/>
      <c r="U26" s="108"/>
      <c r="V26" s="109"/>
      <c r="W26" s="121"/>
    </row>
    <row r="27" spans="2:23" ht="15" customHeight="1" x14ac:dyDescent="0.3">
      <c r="B27" s="826"/>
      <c r="C27" s="830"/>
      <c r="D27" s="816"/>
      <c r="E27" s="100" t="s">
        <v>18</v>
      </c>
      <c r="F27" s="101" t="s">
        <v>60</v>
      </c>
      <c r="G27" s="102">
        <v>29</v>
      </c>
      <c r="H27" s="103">
        <v>21</v>
      </c>
      <c r="I27" s="104">
        <v>0</v>
      </c>
      <c r="J27" s="105">
        <f t="shared" si="0"/>
        <v>0</v>
      </c>
      <c r="K27" s="106">
        <v>0.41379310344827586</v>
      </c>
      <c r="L27" s="105">
        <f t="shared" si="1"/>
        <v>12</v>
      </c>
      <c r="M27" s="106" t="s">
        <v>21</v>
      </c>
      <c r="N27" s="107" t="s">
        <v>21</v>
      </c>
      <c r="O27" s="108" t="s">
        <v>21</v>
      </c>
      <c r="P27" s="103" t="s">
        <v>21</v>
      </c>
      <c r="Q27" s="108" t="s">
        <v>21</v>
      </c>
      <c r="R27" s="103" t="s">
        <v>21</v>
      </c>
      <c r="S27" s="108"/>
      <c r="T27" s="103"/>
      <c r="U27" s="108"/>
      <c r="V27" s="109"/>
      <c r="W27" s="121"/>
    </row>
    <row r="28" spans="2:23" ht="15" customHeight="1" x14ac:dyDescent="0.3">
      <c r="B28" s="826"/>
      <c r="C28" s="830"/>
      <c r="D28" s="816"/>
      <c r="E28" s="100" t="s">
        <v>19</v>
      </c>
      <c r="F28" s="101" t="s">
        <v>60</v>
      </c>
      <c r="G28" s="102">
        <v>27</v>
      </c>
      <c r="H28" s="103">
        <v>17</v>
      </c>
      <c r="I28" s="104">
        <v>0.25925925925925924</v>
      </c>
      <c r="J28" s="105">
        <f t="shared" si="0"/>
        <v>7</v>
      </c>
      <c r="K28" s="106">
        <v>0.48148148148148145</v>
      </c>
      <c r="L28" s="105">
        <f t="shared" si="1"/>
        <v>13</v>
      </c>
      <c r="M28" s="106" t="s">
        <v>21</v>
      </c>
      <c r="N28" s="107" t="s">
        <v>21</v>
      </c>
      <c r="O28" s="108" t="s">
        <v>21</v>
      </c>
      <c r="P28" s="103" t="s">
        <v>21</v>
      </c>
      <c r="Q28" s="108" t="s">
        <v>21</v>
      </c>
      <c r="R28" s="103" t="s">
        <v>21</v>
      </c>
      <c r="S28" s="108"/>
      <c r="T28" s="103"/>
      <c r="U28" s="108"/>
      <c r="V28" s="109"/>
      <c r="W28" s="121"/>
    </row>
    <row r="29" spans="2:23" ht="15" customHeight="1" x14ac:dyDescent="0.3">
      <c r="B29" s="826"/>
      <c r="C29" s="830"/>
      <c r="D29" s="816"/>
      <c r="E29" s="708"/>
      <c r="F29" s="709"/>
      <c r="G29" s="710"/>
      <c r="H29" s="711"/>
      <c r="I29" s="104">
        <v>0.25925925925925924</v>
      </c>
      <c r="J29" s="712"/>
      <c r="K29" s="106">
        <v>0.48148148148148145</v>
      </c>
      <c r="L29" s="712"/>
      <c r="M29" s="106" t="s">
        <v>21</v>
      </c>
      <c r="N29" s="713" t="s">
        <v>21</v>
      </c>
      <c r="O29" s="714" t="s">
        <v>21</v>
      </c>
      <c r="P29" s="711" t="s">
        <v>21</v>
      </c>
      <c r="Q29" s="714" t="s">
        <v>21</v>
      </c>
      <c r="R29" s="711" t="s">
        <v>21</v>
      </c>
      <c r="S29" s="714"/>
      <c r="T29" s="711"/>
      <c r="U29" s="714"/>
      <c r="V29" s="715"/>
      <c r="W29" s="121"/>
    </row>
    <row r="30" spans="2:23" ht="15" customHeight="1" x14ac:dyDescent="0.3">
      <c r="B30" s="826"/>
      <c r="C30" s="830"/>
      <c r="D30" s="816"/>
      <c r="E30" s="708"/>
      <c r="F30" s="709"/>
      <c r="G30" s="710"/>
      <c r="H30" s="711"/>
      <c r="I30" s="104">
        <v>0.25925925925925924</v>
      </c>
      <c r="J30" s="712"/>
      <c r="K30" s="106">
        <v>0.48148148148148145</v>
      </c>
      <c r="L30" s="712"/>
      <c r="M30" s="106" t="s">
        <v>21</v>
      </c>
      <c r="N30" s="713" t="s">
        <v>21</v>
      </c>
      <c r="O30" s="714" t="s">
        <v>21</v>
      </c>
      <c r="P30" s="711" t="s">
        <v>21</v>
      </c>
      <c r="Q30" s="714" t="s">
        <v>21</v>
      </c>
      <c r="R30" s="711" t="s">
        <v>21</v>
      </c>
      <c r="S30" s="714"/>
      <c r="T30" s="711"/>
      <c r="U30" s="714"/>
      <c r="V30" s="715"/>
      <c r="W30" s="121"/>
    </row>
    <row r="31" spans="2:23" ht="15" customHeight="1" x14ac:dyDescent="0.3">
      <c r="B31" s="826"/>
      <c r="C31" s="830"/>
      <c r="D31" s="816"/>
      <c r="E31" s="110" t="s">
        <v>5</v>
      </c>
      <c r="F31" s="111" t="s">
        <v>60</v>
      </c>
      <c r="G31" s="112">
        <v>4</v>
      </c>
      <c r="H31" s="113">
        <v>2</v>
      </c>
      <c r="I31" s="114">
        <v>0.5</v>
      </c>
      <c r="J31" s="115">
        <f t="shared" si="0"/>
        <v>2</v>
      </c>
      <c r="K31" s="116">
        <v>0</v>
      </c>
      <c r="L31" s="115">
        <f t="shared" si="1"/>
        <v>0</v>
      </c>
      <c r="M31" s="116" t="s">
        <v>21</v>
      </c>
      <c r="N31" s="117" t="s">
        <v>21</v>
      </c>
      <c r="O31" s="118" t="s">
        <v>21</v>
      </c>
      <c r="P31" s="113" t="s">
        <v>21</v>
      </c>
      <c r="Q31" s="118" t="s">
        <v>21</v>
      </c>
      <c r="R31" s="113" t="s">
        <v>21</v>
      </c>
      <c r="S31" s="118"/>
      <c r="T31" s="113"/>
      <c r="U31" s="118"/>
      <c r="V31" s="119"/>
      <c r="W31" s="121"/>
    </row>
    <row r="32" spans="2:23" ht="15.6" x14ac:dyDescent="0.3">
      <c r="B32" s="827"/>
      <c r="C32" s="831"/>
      <c r="D32" s="262" t="s">
        <v>138</v>
      </c>
      <c r="E32" s="263"/>
      <c r="F32" s="264"/>
      <c r="G32" s="273">
        <f>SUM(G21:G31)</f>
        <v>172</v>
      </c>
      <c r="H32" s="274">
        <f>SUM(H21:H31)</f>
        <v>111</v>
      </c>
      <c r="I32" s="275">
        <f>J32/G32</f>
        <v>0.2441860465116279</v>
      </c>
      <c r="J32" s="276">
        <f>SUM(J21:J31)</f>
        <v>42</v>
      </c>
      <c r="K32" s="277">
        <f>L32/G32</f>
        <v>0.30813953488372092</v>
      </c>
      <c r="L32" s="276">
        <f>SUM(L21:L31)</f>
        <v>53</v>
      </c>
      <c r="M32" s="277">
        <f>N32/L32</f>
        <v>0</v>
      </c>
      <c r="N32" s="278">
        <f>SUM(N21:N31)</f>
        <v>0</v>
      </c>
      <c r="O32" s="266"/>
      <c r="P32" s="265"/>
      <c r="Q32" s="266"/>
      <c r="R32" s="265"/>
      <c r="S32" s="266"/>
      <c r="T32" s="265"/>
      <c r="U32" s="266"/>
      <c r="V32" s="267"/>
      <c r="W32" s="121"/>
    </row>
    <row r="33" spans="1:23" x14ac:dyDescent="0.3">
      <c r="B33" s="825" t="s">
        <v>0</v>
      </c>
      <c r="C33" s="829" t="s">
        <v>75</v>
      </c>
      <c r="D33" s="821">
        <v>9</v>
      </c>
      <c r="E33" s="90" t="s">
        <v>10</v>
      </c>
      <c r="F33" s="91" t="s">
        <v>60</v>
      </c>
      <c r="G33" s="92">
        <v>37</v>
      </c>
      <c r="H33" s="93">
        <v>23</v>
      </c>
      <c r="I33" s="94">
        <v>0.38</v>
      </c>
      <c r="J33" s="95">
        <f t="shared" si="0"/>
        <v>14.06</v>
      </c>
      <c r="K33" s="96">
        <v>0.16</v>
      </c>
      <c r="L33" s="95">
        <f t="shared" si="1"/>
        <v>5.92</v>
      </c>
      <c r="M33" s="96">
        <v>1</v>
      </c>
      <c r="N33" s="97">
        <f t="shared" ref="N33:N34" si="2">IF(M33="-","-",M33*L33)</f>
        <v>5.92</v>
      </c>
      <c r="O33" s="98"/>
      <c r="P33" s="93"/>
      <c r="Q33" s="98"/>
      <c r="R33" s="93"/>
      <c r="S33" s="98"/>
      <c r="T33" s="93"/>
      <c r="U33" s="98"/>
      <c r="V33" s="99"/>
      <c r="W33" s="121"/>
    </row>
    <row r="34" spans="1:23" x14ac:dyDescent="0.3">
      <c r="B34" s="826"/>
      <c r="C34" s="830"/>
      <c r="D34" s="822"/>
      <c r="E34" s="100" t="s">
        <v>11</v>
      </c>
      <c r="F34" s="101" t="s">
        <v>60</v>
      </c>
      <c r="G34" s="102">
        <v>33</v>
      </c>
      <c r="H34" s="103">
        <v>15</v>
      </c>
      <c r="I34" s="104">
        <v>0.3</v>
      </c>
      <c r="J34" s="105">
        <f t="shared" si="0"/>
        <v>9.9</v>
      </c>
      <c r="K34" s="106">
        <v>0.09</v>
      </c>
      <c r="L34" s="105">
        <f t="shared" si="1"/>
        <v>2.9699999999999998</v>
      </c>
      <c r="M34" s="106">
        <v>1</v>
      </c>
      <c r="N34" s="107">
        <f t="shared" si="2"/>
        <v>2.9699999999999998</v>
      </c>
      <c r="O34" s="108"/>
      <c r="P34" s="103"/>
      <c r="Q34" s="108"/>
      <c r="R34" s="103"/>
      <c r="S34" s="108"/>
      <c r="T34" s="103"/>
      <c r="U34" s="108"/>
      <c r="V34" s="109"/>
      <c r="W34" s="121"/>
    </row>
    <row r="35" spans="1:23" x14ac:dyDescent="0.3">
      <c r="B35" s="826"/>
      <c r="C35" s="830"/>
      <c r="D35" s="822"/>
      <c r="E35" s="100" t="s">
        <v>12</v>
      </c>
      <c r="F35" s="101" t="s">
        <v>60</v>
      </c>
      <c r="G35" s="102">
        <v>6</v>
      </c>
      <c r="H35" s="103">
        <v>5</v>
      </c>
      <c r="I35" s="104">
        <v>0</v>
      </c>
      <c r="J35" s="105">
        <f t="shared" ref="J35" si="3">I35*G35</f>
        <v>0</v>
      </c>
      <c r="K35" s="106">
        <v>0</v>
      </c>
      <c r="L35" s="105">
        <f t="shared" ref="L35" si="4">K35*G35</f>
        <v>0</v>
      </c>
      <c r="M35" s="106">
        <v>0</v>
      </c>
      <c r="N35" s="107">
        <f>IF(M35="-","-",M35*L35)</f>
        <v>0</v>
      </c>
      <c r="O35" s="108"/>
      <c r="P35" s="103"/>
      <c r="Q35" s="108"/>
      <c r="R35" s="103"/>
      <c r="S35" s="108"/>
      <c r="T35" s="103"/>
      <c r="U35" s="108"/>
      <c r="V35" s="109"/>
      <c r="W35" s="121"/>
    </row>
    <row r="36" spans="1:23" x14ac:dyDescent="0.3">
      <c r="B36" s="826"/>
      <c r="C36" s="830"/>
      <c r="D36" s="822"/>
      <c r="E36" s="100" t="s">
        <v>7</v>
      </c>
      <c r="F36" s="101" t="s">
        <v>60</v>
      </c>
      <c r="G36" s="102">
        <v>25</v>
      </c>
      <c r="H36" s="103">
        <v>15</v>
      </c>
      <c r="I36" s="104">
        <v>0.28000000000000003</v>
      </c>
      <c r="J36" s="105">
        <f t="shared" si="0"/>
        <v>7.0000000000000009</v>
      </c>
      <c r="K36" s="106">
        <v>0.16</v>
      </c>
      <c r="L36" s="105">
        <f t="shared" si="1"/>
        <v>4</v>
      </c>
      <c r="M36" s="106">
        <v>0.25</v>
      </c>
      <c r="N36" s="107">
        <f t="shared" ref="N36:N42" si="5">IF(M36="-","-",M36*L36)</f>
        <v>1</v>
      </c>
      <c r="O36" s="108"/>
      <c r="P36" s="103"/>
      <c r="Q36" s="108"/>
      <c r="R36" s="103"/>
      <c r="S36" s="108"/>
      <c r="T36" s="103"/>
      <c r="U36" s="108"/>
      <c r="V36" s="109"/>
      <c r="W36" s="121"/>
    </row>
    <row r="37" spans="1:23" x14ac:dyDescent="0.3">
      <c r="B37" s="826"/>
      <c r="C37" s="830"/>
      <c r="D37" s="822"/>
      <c r="E37" s="100" t="s">
        <v>132</v>
      </c>
      <c r="F37" s="101" t="s">
        <v>60</v>
      </c>
      <c r="G37" s="102">
        <v>15</v>
      </c>
      <c r="H37" s="103">
        <v>9</v>
      </c>
      <c r="I37" s="104">
        <v>0.13</v>
      </c>
      <c r="J37" s="105">
        <f t="shared" si="0"/>
        <v>1.9500000000000002</v>
      </c>
      <c r="K37" s="106">
        <v>7.0000000000000007E-2</v>
      </c>
      <c r="L37" s="105">
        <f t="shared" si="1"/>
        <v>1.05</v>
      </c>
      <c r="M37" s="106">
        <v>0</v>
      </c>
      <c r="N37" s="107">
        <f t="shared" si="5"/>
        <v>0</v>
      </c>
      <c r="O37" s="108"/>
      <c r="P37" s="103"/>
      <c r="Q37" s="108"/>
      <c r="R37" s="103"/>
      <c r="S37" s="108"/>
      <c r="T37" s="103"/>
      <c r="U37" s="108"/>
      <c r="V37" s="109"/>
      <c r="W37" s="121"/>
    </row>
    <row r="38" spans="1:23" x14ac:dyDescent="0.3">
      <c r="B38" s="826"/>
      <c r="C38" s="830"/>
      <c r="D38" s="822"/>
      <c r="E38" s="100" t="s">
        <v>8</v>
      </c>
      <c r="F38" s="101" t="s">
        <v>60</v>
      </c>
      <c r="G38" s="102">
        <v>16</v>
      </c>
      <c r="H38" s="103">
        <v>14</v>
      </c>
      <c r="I38" s="104">
        <v>0.38</v>
      </c>
      <c r="J38" s="105">
        <f t="shared" si="0"/>
        <v>6.08</v>
      </c>
      <c r="K38" s="106">
        <v>0.13</v>
      </c>
      <c r="L38" s="105">
        <f t="shared" si="1"/>
        <v>2.08</v>
      </c>
      <c r="M38" s="106">
        <v>1</v>
      </c>
      <c r="N38" s="107">
        <f t="shared" si="5"/>
        <v>2.08</v>
      </c>
      <c r="O38" s="108"/>
      <c r="P38" s="103"/>
      <c r="Q38" s="108"/>
      <c r="R38" s="103"/>
      <c r="S38" s="108"/>
      <c r="T38" s="103"/>
      <c r="U38" s="108"/>
      <c r="V38" s="109"/>
      <c r="W38" s="121"/>
    </row>
    <row r="39" spans="1:23" x14ac:dyDescent="0.3">
      <c r="B39" s="826"/>
      <c r="C39" s="830"/>
      <c r="D39" s="822"/>
      <c r="E39" s="100" t="s">
        <v>6</v>
      </c>
      <c r="F39" s="101" t="s">
        <v>60</v>
      </c>
      <c r="G39" s="102">
        <v>7</v>
      </c>
      <c r="H39" s="103">
        <v>5</v>
      </c>
      <c r="I39" s="104">
        <v>0.14000000000000001</v>
      </c>
      <c r="J39" s="105">
        <f t="shared" si="0"/>
        <v>0.98000000000000009</v>
      </c>
      <c r="K39" s="106">
        <v>0</v>
      </c>
      <c r="L39" s="105">
        <f t="shared" si="1"/>
        <v>0</v>
      </c>
      <c r="M39" s="106">
        <v>0</v>
      </c>
      <c r="N39" s="107">
        <f t="shared" si="5"/>
        <v>0</v>
      </c>
      <c r="O39" s="108"/>
      <c r="P39" s="103"/>
      <c r="Q39" s="108"/>
      <c r="R39" s="103"/>
      <c r="S39" s="108"/>
      <c r="T39" s="103"/>
      <c r="U39" s="108"/>
      <c r="V39" s="109"/>
      <c r="W39" s="121"/>
    </row>
    <row r="40" spans="1:23" x14ac:dyDescent="0.3">
      <c r="B40" s="826"/>
      <c r="C40" s="830"/>
      <c r="D40" s="823"/>
      <c r="E40" s="708"/>
      <c r="F40" s="709"/>
      <c r="G40" s="710"/>
      <c r="H40" s="711"/>
      <c r="I40" s="104">
        <v>0.14000000000000001</v>
      </c>
      <c r="J40" s="712"/>
      <c r="K40" s="106">
        <v>0</v>
      </c>
      <c r="L40" s="712"/>
      <c r="M40" s="106">
        <v>0</v>
      </c>
      <c r="N40" s="713"/>
      <c r="O40" s="714"/>
      <c r="P40" s="711"/>
      <c r="Q40" s="714"/>
      <c r="R40" s="711"/>
      <c r="S40" s="714"/>
      <c r="T40" s="711"/>
      <c r="U40" s="714"/>
      <c r="V40" s="715"/>
      <c r="W40" s="121"/>
    </row>
    <row r="41" spans="1:23" x14ac:dyDescent="0.3">
      <c r="B41" s="826"/>
      <c r="C41" s="830"/>
      <c r="D41" s="823"/>
      <c r="E41" s="708"/>
      <c r="F41" s="709"/>
      <c r="G41" s="710"/>
      <c r="H41" s="711"/>
      <c r="I41" s="104">
        <v>0.14000000000000001</v>
      </c>
      <c r="J41" s="712"/>
      <c r="K41" s="106">
        <v>0</v>
      </c>
      <c r="L41" s="712"/>
      <c r="M41" s="106">
        <v>0</v>
      </c>
      <c r="N41" s="713"/>
      <c r="O41" s="714"/>
      <c r="P41" s="711"/>
      <c r="Q41" s="714"/>
      <c r="R41" s="711"/>
      <c r="S41" s="714"/>
      <c r="T41" s="711"/>
      <c r="U41" s="714"/>
      <c r="V41" s="715"/>
      <c r="W41" s="121"/>
    </row>
    <row r="42" spans="1:23" x14ac:dyDescent="0.3">
      <c r="B42" s="826"/>
      <c r="C42" s="830"/>
      <c r="D42" s="824"/>
      <c r="E42" s="110" t="s">
        <v>9</v>
      </c>
      <c r="F42" s="111" t="s">
        <v>60</v>
      </c>
      <c r="G42" s="112">
        <v>20</v>
      </c>
      <c r="H42" s="113">
        <v>9</v>
      </c>
      <c r="I42" s="114">
        <v>0.25</v>
      </c>
      <c r="J42" s="115">
        <f t="shared" si="0"/>
        <v>5</v>
      </c>
      <c r="K42" s="116">
        <v>0.15</v>
      </c>
      <c r="L42" s="115">
        <f t="shared" si="1"/>
        <v>3</v>
      </c>
      <c r="M42" s="116">
        <v>0.33</v>
      </c>
      <c r="N42" s="117">
        <f t="shared" si="5"/>
        <v>0.99</v>
      </c>
      <c r="O42" s="118"/>
      <c r="P42" s="113"/>
      <c r="Q42" s="118"/>
      <c r="R42" s="113"/>
      <c r="S42" s="118"/>
      <c r="T42" s="113"/>
      <c r="U42" s="118"/>
      <c r="V42" s="119"/>
      <c r="W42" s="121"/>
    </row>
    <row r="43" spans="1:23" ht="16.2" thickBot="1" x14ac:dyDescent="0.35">
      <c r="B43" s="828"/>
      <c r="C43" s="832"/>
      <c r="D43" s="268" t="s">
        <v>138</v>
      </c>
      <c r="E43" s="263"/>
      <c r="F43" s="300"/>
      <c r="G43" s="301">
        <f>SUM(G33:G42)</f>
        <v>159</v>
      </c>
      <c r="H43" s="302">
        <f t="shared" ref="H43" si="6">SUM(H33:H42)</f>
        <v>95</v>
      </c>
      <c r="I43" s="303">
        <f>J43/G43</f>
        <v>0.28283018867924525</v>
      </c>
      <c r="J43" s="304">
        <f t="shared" ref="J43" si="7">SUM(J33:J42)</f>
        <v>44.97</v>
      </c>
      <c r="K43" s="305">
        <f>L43/G43</f>
        <v>0.11962264150943398</v>
      </c>
      <c r="L43" s="304">
        <f t="shared" ref="L43" si="8">SUM(L33:L42)</f>
        <v>19.020000000000003</v>
      </c>
      <c r="M43" s="305">
        <f>N43/L43</f>
        <v>0.68138801261829651</v>
      </c>
      <c r="N43" s="306">
        <f t="shared" ref="N43" si="9">SUM(N33:N42)</f>
        <v>12.96</v>
      </c>
      <c r="O43" s="307"/>
      <c r="P43" s="302"/>
      <c r="Q43" s="307"/>
      <c r="R43" s="302"/>
      <c r="S43" s="307"/>
      <c r="T43" s="302"/>
      <c r="U43" s="307"/>
      <c r="V43" s="308"/>
      <c r="W43" s="121"/>
    </row>
    <row r="44" spans="1:23" s="53" customFormat="1" ht="21" customHeight="1" thickBot="1" x14ac:dyDescent="0.35">
      <c r="A44" s="125"/>
      <c r="B44" s="545" t="s">
        <v>78</v>
      </c>
      <c r="C44" s="546"/>
      <c r="D44" s="546">
        <f>SUM(D5:D42)</f>
        <v>29</v>
      </c>
      <c r="E44" s="547">
        <f>COUNT(G5:G42)</f>
        <v>19</v>
      </c>
      <c r="F44" s="548">
        <f>COUNT(J5:J42)</f>
        <v>19</v>
      </c>
      <c r="G44" s="309">
        <f>G5+G32+G43</f>
        <v>394</v>
      </c>
      <c r="H44" s="310">
        <f>H5+H32+H43</f>
        <v>235</v>
      </c>
      <c r="I44" s="311">
        <f>J44/G44</f>
        <v>0.22581218274111675</v>
      </c>
      <c r="J44" s="312">
        <f>J5+J32+J43</f>
        <v>88.97</v>
      </c>
      <c r="K44" s="313">
        <f>L44/G44</f>
        <v>0.22593908629441628</v>
      </c>
      <c r="L44" s="312">
        <f>L5+L32+L43</f>
        <v>89.02000000000001</v>
      </c>
      <c r="M44" s="314">
        <f>N44/(L5+L33+L34+L36+L38+L42)</f>
        <v>0.42779525307406352</v>
      </c>
      <c r="N44" s="315">
        <f>N5+N32+N43</f>
        <v>14.96</v>
      </c>
      <c r="O44" s="549"/>
      <c r="P44" s="550"/>
      <c r="Q44" s="549"/>
      <c r="R44" s="550"/>
      <c r="S44" s="549"/>
      <c r="T44" s="550"/>
      <c r="U44" s="549"/>
      <c r="V44" s="551"/>
      <c r="W44" s="122"/>
    </row>
    <row r="45" spans="1:23" ht="15" customHeight="1" x14ac:dyDescent="0.3">
      <c r="B45" s="837" t="s">
        <v>4</v>
      </c>
      <c r="C45" s="840" t="s">
        <v>76</v>
      </c>
      <c r="D45" s="809">
        <v>31</v>
      </c>
      <c r="E45" s="54" t="s">
        <v>25</v>
      </c>
      <c r="F45" s="316" t="s">
        <v>60</v>
      </c>
      <c r="G45" s="317">
        <v>603</v>
      </c>
      <c r="H45" s="318">
        <v>173</v>
      </c>
      <c r="I45" s="319">
        <v>0.43</v>
      </c>
      <c r="J45" s="320">
        <v>261</v>
      </c>
      <c r="K45" s="321">
        <v>0.38</v>
      </c>
      <c r="L45" s="320">
        <v>242</v>
      </c>
      <c r="M45" s="321" t="s">
        <v>21</v>
      </c>
      <c r="N45" s="322" t="str">
        <f t="shared" ref="N45:N86" si="10">IF(M45="-","-",M45*L45)</f>
        <v>-</v>
      </c>
      <c r="O45" s="323"/>
      <c r="P45" s="318"/>
      <c r="Q45" s="323"/>
      <c r="R45" s="318"/>
      <c r="S45" s="323"/>
      <c r="T45" s="318"/>
      <c r="U45" s="323"/>
      <c r="V45" s="324"/>
      <c r="W45" s="121"/>
    </row>
    <row r="46" spans="1:23" ht="15" customHeight="1" x14ac:dyDescent="0.3">
      <c r="B46" s="838"/>
      <c r="C46" s="841"/>
      <c r="D46" s="805"/>
      <c r="E46" s="56" t="s">
        <v>26</v>
      </c>
      <c r="F46" s="57" t="s">
        <v>60</v>
      </c>
      <c r="G46" s="13">
        <v>354</v>
      </c>
      <c r="H46" s="14">
        <v>103</v>
      </c>
      <c r="I46" s="15">
        <v>0.4</v>
      </c>
      <c r="J46" s="43">
        <v>142</v>
      </c>
      <c r="K46" s="16">
        <v>0.42</v>
      </c>
      <c r="L46" s="43">
        <v>161</v>
      </c>
      <c r="M46" s="16" t="s">
        <v>21</v>
      </c>
      <c r="N46" s="38" t="str">
        <f t="shared" si="10"/>
        <v>-</v>
      </c>
      <c r="O46" s="17"/>
      <c r="P46" s="14"/>
      <c r="Q46" s="17"/>
      <c r="R46" s="14"/>
      <c r="S46" s="17"/>
      <c r="T46" s="14"/>
      <c r="U46" s="17"/>
      <c r="V46" s="18"/>
      <c r="W46" s="121"/>
    </row>
    <row r="47" spans="1:23" ht="15" customHeight="1" x14ac:dyDescent="0.3">
      <c r="B47" s="838"/>
      <c r="C47" s="841"/>
      <c r="D47" s="805"/>
      <c r="E47" s="56" t="s">
        <v>58</v>
      </c>
      <c r="F47" s="57" t="s">
        <v>60</v>
      </c>
      <c r="G47" s="13">
        <v>222</v>
      </c>
      <c r="H47" s="14">
        <v>66</v>
      </c>
      <c r="I47" s="15">
        <v>0.36</v>
      </c>
      <c r="J47" s="43">
        <v>137</v>
      </c>
      <c r="K47" s="16">
        <v>0.38</v>
      </c>
      <c r="L47" s="43">
        <v>88</v>
      </c>
      <c r="M47" s="16" t="s">
        <v>21</v>
      </c>
      <c r="N47" s="38" t="str">
        <f t="shared" si="10"/>
        <v>-</v>
      </c>
      <c r="O47" s="17"/>
      <c r="P47" s="14"/>
      <c r="Q47" s="17"/>
      <c r="R47" s="14"/>
      <c r="S47" s="17"/>
      <c r="T47" s="14"/>
      <c r="U47" s="17"/>
      <c r="V47" s="18"/>
      <c r="W47" s="121"/>
    </row>
    <row r="48" spans="1:23" ht="15" customHeight="1" x14ac:dyDescent="0.3">
      <c r="B48" s="838"/>
      <c r="C48" s="841"/>
      <c r="D48" s="805"/>
      <c r="E48" s="60" t="s">
        <v>24</v>
      </c>
      <c r="F48" s="61" t="s">
        <v>62</v>
      </c>
      <c r="G48" s="13">
        <v>106</v>
      </c>
      <c r="H48" s="14">
        <v>35</v>
      </c>
      <c r="I48" s="15">
        <v>0.38</v>
      </c>
      <c r="J48" s="43">
        <v>39</v>
      </c>
      <c r="K48" s="16">
        <v>0.44</v>
      </c>
      <c r="L48" s="43">
        <v>48</v>
      </c>
      <c r="M48" s="16" t="s">
        <v>21</v>
      </c>
      <c r="N48" s="38" t="str">
        <f t="shared" si="10"/>
        <v>-</v>
      </c>
      <c r="O48" s="17"/>
      <c r="P48" s="14"/>
      <c r="Q48" s="17"/>
      <c r="R48" s="14"/>
      <c r="S48" s="17"/>
      <c r="T48" s="14"/>
      <c r="U48" s="17"/>
      <c r="V48" s="18"/>
      <c r="W48" s="121"/>
    </row>
    <row r="49" spans="2:25" ht="15" customHeight="1" x14ac:dyDescent="0.3">
      <c r="B49" s="838"/>
      <c r="C49" s="841"/>
      <c r="D49" s="805"/>
      <c r="E49" s="56" t="s">
        <v>23</v>
      </c>
      <c r="F49" s="57" t="s">
        <v>60</v>
      </c>
      <c r="G49" s="13">
        <v>206</v>
      </c>
      <c r="H49" s="14">
        <v>70</v>
      </c>
      <c r="I49" s="15">
        <v>0.43</v>
      </c>
      <c r="J49" s="43">
        <v>87</v>
      </c>
      <c r="K49" s="16">
        <v>0.39</v>
      </c>
      <c r="L49" s="43">
        <v>83</v>
      </c>
      <c r="M49" s="16" t="s">
        <v>21</v>
      </c>
      <c r="N49" s="38" t="str">
        <f t="shared" si="10"/>
        <v>-</v>
      </c>
      <c r="O49" s="17"/>
      <c r="P49" s="14"/>
      <c r="Q49" s="17"/>
      <c r="R49" s="14"/>
      <c r="S49" s="17"/>
      <c r="T49" s="14"/>
      <c r="U49" s="17"/>
      <c r="V49" s="18"/>
      <c r="W49" s="121"/>
      <c r="X49" s="410"/>
      <c r="Y49" s="410"/>
    </row>
    <row r="50" spans="2:25" ht="15" customHeight="1" x14ac:dyDescent="0.3">
      <c r="B50" s="838"/>
      <c r="C50" s="841"/>
      <c r="D50" s="805"/>
      <c r="E50" s="726"/>
      <c r="F50" s="727"/>
      <c r="G50" s="728"/>
      <c r="H50" s="729"/>
      <c r="I50" s="15">
        <v>0.43</v>
      </c>
      <c r="J50" s="730"/>
      <c r="K50" s="16">
        <v>0.39</v>
      </c>
      <c r="L50" s="730"/>
      <c r="M50" s="16" t="s">
        <v>21</v>
      </c>
      <c r="N50" s="731"/>
      <c r="O50" s="732"/>
      <c r="P50" s="729"/>
      <c r="Q50" s="732"/>
      <c r="R50" s="729"/>
      <c r="S50" s="732"/>
      <c r="T50" s="729"/>
      <c r="U50" s="732"/>
      <c r="V50" s="733"/>
      <c r="W50" s="121"/>
      <c r="X50" s="410"/>
      <c r="Y50" s="410"/>
    </row>
    <row r="51" spans="2:25" ht="15" customHeight="1" x14ac:dyDescent="0.3">
      <c r="B51" s="838"/>
      <c r="C51" s="841"/>
      <c r="D51" s="805"/>
      <c r="E51" s="726"/>
      <c r="F51" s="727"/>
      <c r="G51" s="728"/>
      <c r="H51" s="729"/>
      <c r="I51" s="15">
        <v>0.43</v>
      </c>
      <c r="J51" s="730"/>
      <c r="K51" s="16">
        <v>0.39</v>
      </c>
      <c r="L51" s="730"/>
      <c r="M51" s="16" t="s">
        <v>21</v>
      </c>
      <c r="N51" s="731"/>
      <c r="O51" s="732"/>
      <c r="P51" s="729"/>
      <c r="Q51" s="732"/>
      <c r="R51" s="729"/>
      <c r="S51" s="732"/>
      <c r="T51" s="729"/>
      <c r="U51" s="732"/>
      <c r="V51" s="733"/>
      <c r="W51" s="121"/>
      <c r="X51" s="410"/>
      <c r="Y51" s="410"/>
    </row>
    <row r="52" spans="2:25" ht="15" customHeight="1" x14ac:dyDescent="0.3">
      <c r="B52" s="838"/>
      <c r="C52" s="841"/>
      <c r="D52" s="805"/>
      <c r="E52" s="58" t="s">
        <v>22</v>
      </c>
      <c r="F52" s="59" t="s">
        <v>62</v>
      </c>
      <c r="G52" s="19">
        <v>173</v>
      </c>
      <c r="H52" s="20">
        <v>62</v>
      </c>
      <c r="I52" s="21">
        <v>0.23</v>
      </c>
      <c r="J52" s="44">
        <v>39</v>
      </c>
      <c r="K52" s="22">
        <v>0.39</v>
      </c>
      <c r="L52" s="44">
        <v>75</v>
      </c>
      <c r="M52" s="22" t="s">
        <v>21</v>
      </c>
      <c r="N52" s="39" t="str">
        <f t="shared" si="10"/>
        <v>-</v>
      </c>
      <c r="O52" s="23"/>
      <c r="P52" s="20"/>
      <c r="Q52" s="23"/>
      <c r="R52" s="20"/>
      <c r="S52" s="23"/>
      <c r="T52" s="20"/>
      <c r="U52" s="23"/>
      <c r="V52" s="24"/>
      <c r="W52" s="121"/>
      <c r="X52" s="410"/>
      <c r="Y52" s="410"/>
    </row>
    <row r="53" spans="2:25" ht="15.6" x14ac:dyDescent="0.3">
      <c r="B53" s="839"/>
      <c r="C53" s="842"/>
      <c r="D53" s="74" t="s">
        <v>138</v>
      </c>
      <c r="E53" s="64"/>
      <c r="F53" s="65"/>
      <c r="G53" s="25">
        <f>SUM(G45:G52)</f>
        <v>1664</v>
      </c>
      <c r="H53" s="26">
        <f>SUM(H45:H52)</f>
        <v>509</v>
      </c>
      <c r="I53" s="27">
        <f>J53/G53</f>
        <v>0.42367788461538464</v>
      </c>
      <c r="J53" s="45">
        <f>SUM(J45:J52)</f>
        <v>705</v>
      </c>
      <c r="K53" s="28">
        <f>L53/G53</f>
        <v>0.41887019230769229</v>
      </c>
      <c r="L53" s="45">
        <f>SUM(L45:L52)</f>
        <v>697</v>
      </c>
      <c r="M53" s="28">
        <f>N53/L53</f>
        <v>0</v>
      </c>
      <c r="N53" s="40">
        <f>SUM(N45:N52)</f>
        <v>0</v>
      </c>
      <c r="O53" s="29"/>
      <c r="P53" s="26"/>
      <c r="Q53" s="29"/>
      <c r="R53" s="26"/>
      <c r="S53" s="29"/>
      <c r="T53" s="26"/>
      <c r="U53" s="29"/>
      <c r="V53" s="30"/>
      <c r="W53" s="121"/>
      <c r="X53" s="410"/>
      <c r="Y53" s="410"/>
    </row>
    <row r="54" spans="2:25" x14ac:dyDescent="0.3">
      <c r="B54" s="838" t="s">
        <v>172</v>
      </c>
      <c r="C54" s="841" t="s">
        <v>76</v>
      </c>
      <c r="D54" s="797">
        <v>12</v>
      </c>
      <c r="E54" s="458" t="s">
        <v>171</v>
      </c>
      <c r="F54" s="459" t="s">
        <v>62</v>
      </c>
      <c r="G54" s="460"/>
      <c r="H54" s="461"/>
      <c r="I54" s="462">
        <v>0.63636363636363635</v>
      </c>
      <c r="J54" s="463">
        <f t="shared" ref="J54" si="11">I54*G54</f>
        <v>0</v>
      </c>
      <c r="K54" s="464">
        <v>0.24242424242424243</v>
      </c>
      <c r="L54" s="463">
        <f t="shared" ref="L54" si="12">K54*G54</f>
        <v>0</v>
      </c>
      <c r="M54" s="464">
        <v>0.875</v>
      </c>
      <c r="N54" s="465">
        <f t="shared" ref="N54" si="13">IF(M54="-","-",M54*L54)</f>
        <v>0</v>
      </c>
      <c r="O54" s="466"/>
      <c r="P54" s="461"/>
      <c r="Q54" s="466"/>
      <c r="R54" s="461"/>
      <c r="S54" s="466"/>
      <c r="T54" s="461"/>
      <c r="U54" s="466"/>
      <c r="V54" s="467"/>
      <c r="W54" s="121"/>
      <c r="X54" s="410"/>
      <c r="Y54" s="410"/>
    </row>
    <row r="55" spans="2:25" x14ac:dyDescent="0.3">
      <c r="B55" s="838"/>
      <c r="C55" s="841"/>
      <c r="D55" s="798"/>
      <c r="E55" s="468" t="s">
        <v>171</v>
      </c>
      <c r="F55" s="469" t="s">
        <v>62</v>
      </c>
      <c r="G55" s="470"/>
      <c r="H55" s="471"/>
      <c r="I55" s="472">
        <v>0.60227272727272729</v>
      </c>
      <c r="J55" s="473">
        <f>I55*G55</f>
        <v>0</v>
      </c>
      <c r="K55" s="474">
        <v>0.36363636363636365</v>
      </c>
      <c r="L55" s="473">
        <f>K55*G55</f>
        <v>0</v>
      </c>
      <c r="M55" s="474">
        <v>0.84375</v>
      </c>
      <c r="N55" s="475">
        <f>IF(M55="-","-",M55*L55)</f>
        <v>0</v>
      </c>
      <c r="O55" s="476"/>
      <c r="P55" s="471"/>
      <c r="Q55" s="476"/>
      <c r="R55" s="471"/>
      <c r="S55" s="476"/>
      <c r="T55" s="471"/>
      <c r="U55" s="476"/>
      <c r="V55" s="477"/>
      <c r="W55" s="121"/>
      <c r="X55" s="410"/>
      <c r="Y55" s="410"/>
    </row>
    <row r="56" spans="2:25" x14ac:dyDescent="0.3">
      <c r="B56" s="838"/>
      <c r="C56" s="841"/>
      <c r="D56" s="798"/>
      <c r="E56" s="468" t="s">
        <v>171</v>
      </c>
      <c r="F56" s="469" t="s">
        <v>62</v>
      </c>
      <c r="G56" s="470"/>
      <c r="H56" s="471"/>
      <c r="I56" s="472">
        <v>0.6428571428571429</v>
      </c>
      <c r="J56" s="473">
        <f t="shared" ref="J56:J59" si="14">I56*G56</f>
        <v>0</v>
      </c>
      <c r="K56" s="474">
        <v>0.5</v>
      </c>
      <c r="L56" s="473">
        <f t="shared" ref="L56:L59" si="15">K56*G56</f>
        <v>0</v>
      </c>
      <c r="M56" s="474">
        <v>0.5714285714285714</v>
      </c>
      <c r="N56" s="475">
        <f t="shared" ref="N56:N59" si="16">IF(M56="-","-",M56*L56)</f>
        <v>0</v>
      </c>
      <c r="O56" s="476"/>
      <c r="P56" s="471"/>
      <c r="Q56" s="476"/>
      <c r="R56" s="471"/>
      <c r="S56" s="476"/>
      <c r="T56" s="471"/>
      <c r="U56" s="476"/>
      <c r="V56" s="477"/>
      <c r="W56" s="121"/>
      <c r="X56" s="410"/>
      <c r="Y56" s="410"/>
    </row>
    <row r="57" spans="2:25" x14ac:dyDescent="0.3">
      <c r="B57" s="838"/>
      <c r="C57" s="841"/>
      <c r="D57" s="798"/>
      <c r="E57" s="468" t="s">
        <v>171</v>
      </c>
      <c r="F57" s="469" t="s">
        <v>62</v>
      </c>
      <c r="G57" s="470"/>
      <c r="H57" s="471"/>
      <c r="I57" s="472">
        <v>0.65217391304347827</v>
      </c>
      <c r="J57" s="473">
        <f t="shared" si="14"/>
        <v>0</v>
      </c>
      <c r="K57" s="474">
        <v>0.47826086956521741</v>
      </c>
      <c r="L57" s="473">
        <f t="shared" si="15"/>
        <v>0</v>
      </c>
      <c r="M57" s="474">
        <v>0.72727272727272729</v>
      </c>
      <c r="N57" s="475">
        <f t="shared" si="16"/>
        <v>0</v>
      </c>
      <c r="O57" s="476"/>
      <c r="P57" s="471"/>
      <c r="Q57" s="476"/>
      <c r="R57" s="471"/>
      <c r="S57" s="476"/>
      <c r="T57" s="471"/>
      <c r="U57" s="476"/>
      <c r="V57" s="477"/>
      <c r="W57" s="121"/>
      <c r="X57" s="410"/>
      <c r="Y57" s="410"/>
    </row>
    <row r="58" spans="2:25" x14ac:dyDescent="0.3">
      <c r="B58" s="838"/>
      <c r="C58" s="841"/>
      <c r="D58" s="799"/>
      <c r="E58" s="749" t="s">
        <v>171</v>
      </c>
      <c r="F58" s="750"/>
      <c r="G58" s="751"/>
      <c r="H58" s="752"/>
      <c r="I58" s="472">
        <v>0.65217391304347827</v>
      </c>
      <c r="J58" s="473">
        <f t="shared" si="14"/>
        <v>0</v>
      </c>
      <c r="K58" s="474">
        <v>0.47826086956521741</v>
      </c>
      <c r="L58" s="473">
        <f t="shared" si="15"/>
        <v>0</v>
      </c>
      <c r="M58" s="474">
        <v>0.72727272727272729</v>
      </c>
      <c r="N58" s="475">
        <f t="shared" si="16"/>
        <v>0</v>
      </c>
      <c r="O58" s="755"/>
      <c r="P58" s="752"/>
      <c r="Q58" s="755"/>
      <c r="R58" s="752"/>
      <c r="S58" s="755"/>
      <c r="T58" s="752"/>
      <c r="U58" s="755"/>
      <c r="V58" s="756"/>
      <c r="W58" s="121"/>
      <c r="X58" s="410"/>
      <c r="Y58" s="410"/>
    </row>
    <row r="59" spans="2:25" x14ac:dyDescent="0.3">
      <c r="B59" s="838"/>
      <c r="C59" s="841"/>
      <c r="D59" s="799"/>
      <c r="E59" s="749" t="s">
        <v>171</v>
      </c>
      <c r="F59" s="750"/>
      <c r="G59" s="751"/>
      <c r="H59" s="752"/>
      <c r="I59" s="472">
        <v>0.65217391304347827</v>
      </c>
      <c r="J59" s="473">
        <f t="shared" si="14"/>
        <v>0</v>
      </c>
      <c r="K59" s="474">
        <v>0.47826086956521741</v>
      </c>
      <c r="L59" s="473">
        <f t="shared" si="15"/>
        <v>0</v>
      </c>
      <c r="M59" s="474">
        <v>0.72727272727272729</v>
      </c>
      <c r="N59" s="475">
        <f t="shared" si="16"/>
        <v>0</v>
      </c>
      <c r="O59" s="755"/>
      <c r="P59" s="752"/>
      <c r="Q59" s="755"/>
      <c r="R59" s="752"/>
      <c r="S59" s="755"/>
      <c r="T59" s="752"/>
      <c r="U59" s="755"/>
      <c r="V59" s="756"/>
      <c r="W59" s="121"/>
      <c r="X59" s="410"/>
      <c r="Y59" s="410"/>
    </row>
    <row r="60" spans="2:25" x14ac:dyDescent="0.3">
      <c r="B60" s="838"/>
      <c r="C60" s="841"/>
      <c r="D60" s="800"/>
      <c r="E60" s="478" t="s">
        <v>171</v>
      </c>
      <c r="F60" s="479" t="s">
        <v>62</v>
      </c>
      <c r="G60" s="480"/>
      <c r="H60" s="481"/>
      <c r="I60" s="482">
        <v>0.5</v>
      </c>
      <c r="J60" s="483">
        <f t="shared" ref="J60" si="17">I60*G60</f>
        <v>0</v>
      </c>
      <c r="K60" s="484">
        <v>0.47222222222222221</v>
      </c>
      <c r="L60" s="483">
        <f t="shared" ref="L60" si="18">K60*G60</f>
        <v>0</v>
      </c>
      <c r="M60" s="484">
        <v>0.76470588235294112</v>
      </c>
      <c r="N60" s="485">
        <f t="shared" ref="N60" si="19">IF(M60="-","-",M60*L60)</f>
        <v>0</v>
      </c>
      <c r="O60" s="486"/>
      <c r="P60" s="481"/>
      <c r="Q60" s="486"/>
      <c r="R60" s="481"/>
      <c r="S60" s="486"/>
      <c r="T60" s="481"/>
      <c r="U60" s="486"/>
      <c r="V60" s="487"/>
      <c r="W60" s="121"/>
      <c r="X60" s="410"/>
      <c r="Y60" s="410"/>
    </row>
    <row r="61" spans="2:25" ht="15.6" x14ac:dyDescent="0.3">
      <c r="B61" s="839"/>
      <c r="C61" s="842"/>
      <c r="D61" s="792" t="s">
        <v>138</v>
      </c>
      <c r="E61" s="407"/>
      <c r="F61" s="408"/>
      <c r="G61" s="25">
        <f>SUM(G54:G60)</f>
        <v>0</v>
      </c>
      <c r="H61" s="26">
        <f>SUM(H54:H60)</f>
        <v>0</v>
      </c>
      <c r="I61" s="27" t="e">
        <f>J61/G61</f>
        <v>#DIV/0!</v>
      </c>
      <c r="J61" s="45">
        <f>SUM(J54:J60)</f>
        <v>0</v>
      </c>
      <c r="K61" s="28" t="e">
        <f>L61/G61</f>
        <v>#DIV/0!</v>
      </c>
      <c r="L61" s="45">
        <f>SUM(L54:L60)</f>
        <v>0</v>
      </c>
      <c r="M61" s="28" t="e">
        <f>N61/L61</f>
        <v>#DIV/0!</v>
      </c>
      <c r="N61" s="40">
        <f>SUM(N54:N60)</f>
        <v>0</v>
      </c>
      <c r="O61" s="29"/>
      <c r="P61" s="26"/>
      <c r="Q61" s="29"/>
      <c r="R61" s="26"/>
      <c r="S61" s="29">
        <f>SUM(S54:S60)</f>
        <v>0</v>
      </c>
      <c r="T61" s="26">
        <f>SUM(T54:T60)</f>
        <v>0</v>
      </c>
      <c r="U61" s="29">
        <f>SUM(U54:U60)</f>
        <v>0</v>
      </c>
      <c r="V61" s="30">
        <f>SUM(V54:V60)</f>
        <v>0</v>
      </c>
      <c r="W61" s="121"/>
      <c r="X61" s="410"/>
      <c r="Y61" s="410"/>
    </row>
    <row r="62" spans="2:25" x14ac:dyDescent="0.3">
      <c r="B62" s="838" t="s">
        <v>1</v>
      </c>
      <c r="C62" s="841" t="s">
        <v>76</v>
      </c>
      <c r="D62" s="797">
        <v>12</v>
      </c>
      <c r="E62" s="458" t="s">
        <v>27</v>
      </c>
      <c r="F62" s="459" t="s">
        <v>62</v>
      </c>
      <c r="G62" s="460">
        <v>33</v>
      </c>
      <c r="H62" s="461">
        <v>33</v>
      </c>
      <c r="I62" s="462">
        <v>0.63636363636363635</v>
      </c>
      <c r="J62" s="463">
        <f t="shared" si="0"/>
        <v>21</v>
      </c>
      <c r="K62" s="464">
        <v>0.24242424242424243</v>
      </c>
      <c r="L62" s="463">
        <f t="shared" si="1"/>
        <v>8</v>
      </c>
      <c r="M62" s="464">
        <v>0.875</v>
      </c>
      <c r="N62" s="465">
        <f t="shared" si="10"/>
        <v>7</v>
      </c>
      <c r="O62" s="466"/>
      <c r="P62" s="461"/>
      <c r="Q62" s="466"/>
      <c r="R62" s="461"/>
      <c r="S62" s="466">
        <v>33</v>
      </c>
      <c r="T62" s="461">
        <v>33</v>
      </c>
      <c r="U62" s="466">
        <v>0</v>
      </c>
      <c r="V62" s="467">
        <v>0</v>
      </c>
      <c r="W62" s="121"/>
      <c r="X62" s="410"/>
      <c r="Y62" s="410"/>
    </row>
    <row r="63" spans="2:25" x14ac:dyDescent="0.3">
      <c r="B63" s="838"/>
      <c r="C63" s="841"/>
      <c r="D63" s="798"/>
      <c r="E63" s="468" t="s">
        <v>28</v>
      </c>
      <c r="F63" s="469" t="s">
        <v>62</v>
      </c>
      <c r="G63" s="470">
        <v>88</v>
      </c>
      <c r="H63" s="471">
        <v>88</v>
      </c>
      <c r="I63" s="472">
        <v>0.60227272727272729</v>
      </c>
      <c r="J63" s="473">
        <f>I63*G63</f>
        <v>53</v>
      </c>
      <c r="K63" s="474">
        <v>0.36363636363636365</v>
      </c>
      <c r="L63" s="473">
        <f>K63*G63</f>
        <v>32</v>
      </c>
      <c r="M63" s="474">
        <v>0.84375</v>
      </c>
      <c r="N63" s="475">
        <f>IF(M63="-","-",M63*L63)</f>
        <v>27</v>
      </c>
      <c r="O63" s="476"/>
      <c r="P63" s="471"/>
      <c r="Q63" s="476"/>
      <c r="R63" s="471"/>
      <c r="S63" s="476">
        <v>78</v>
      </c>
      <c r="T63" s="471">
        <v>78</v>
      </c>
      <c r="U63" s="476">
        <v>10</v>
      </c>
      <c r="V63" s="477">
        <v>10</v>
      </c>
      <c r="W63" s="121"/>
      <c r="X63" s="410"/>
      <c r="Y63" s="410"/>
    </row>
    <row r="64" spans="2:25" x14ac:dyDescent="0.3">
      <c r="B64" s="838"/>
      <c r="C64" s="841"/>
      <c r="D64" s="798"/>
      <c r="E64" s="468" t="s">
        <v>29</v>
      </c>
      <c r="F64" s="469" t="s">
        <v>62</v>
      </c>
      <c r="G64" s="470">
        <v>14</v>
      </c>
      <c r="H64" s="471">
        <v>14</v>
      </c>
      <c r="I64" s="472">
        <v>0.6428571428571429</v>
      </c>
      <c r="J64" s="473">
        <f t="shared" si="0"/>
        <v>9</v>
      </c>
      <c r="K64" s="474">
        <v>0.5</v>
      </c>
      <c r="L64" s="473">
        <f t="shared" si="1"/>
        <v>7</v>
      </c>
      <c r="M64" s="474">
        <v>0.5714285714285714</v>
      </c>
      <c r="N64" s="475">
        <f t="shared" si="10"/>
        <v>4</v>
      </c>
      <c r="O64" s="476"/>
      <c r="P64" s="471"/>
      <c r="Q64" s="476"/>
      <c r="R64" s="471"/>
      <c r="S64" s="476">
        <v>14</v>
      </c>
      <c r="T64" s="471">
        <v>14</v>
      </c>
      <c r="U64" s="476">
        <v>0</v>
      </c>
      <c r="V64" s="477">
        <v>0</v>
      </c>
      <c r="W64" s="121"/>
      <c r="X64" s="410"/>
      <c r="Y64" s="410"/>
    </row>
    <row r="65" spans="2:25" x14ac:dyDescent="0.3">
      <c r="B65" s="838"/>
      <c r="C65" s="841"/>
      <c r="D65" s="798"/>
      <c r="E65" s="468" t="s">
        <v>30</v>
      </c>
      <c r="F65" s="469" t="s">
        <v>62</v>
      </c>
      <c r="G65" s="470">
        <v>23</v>
      </c>
      <c r="H65" s="471">
        <v>23</v>
      </c>
      <c r="I65" s="472">
        <v>0.65217391304347827</v>
      </c>
      <c r="J65" s="473">
        <f t="shared" si="0"/>
        <v>15</v>
      </c>
      <c r="K65" s="474">
        <v>0.47826086956521741</v>
      </c>
      <c r="L65" s="473">
        <f t="shared" si="1"/>
        <v>11</v>
      </c>
      <c r="M65" s="474">
        <v>0.72727272727272729</v>
      </c>
      <c r="N65" s="475">
        <f t="shared" si="10"/>
        <v>8</v>
      </c>
      <c r="O65" s="476"/>
      <c r="P65" s="471"/>
      <c r="Q65" s="476"/>
      <c r="R65" s="471"/>
      <c r="S65" s="476">
        <v>20</v>
      </c>
      <c r="T65" s="471">
        <v>20</v>
      </c>
      <c r="U65" s="476">
        <v>3</v>
      </c>
      <c r="V65" s="477">
        <v>3</v>
      </c>
      <c r="W65" s="121"/>
      <c r="X65" s="410"/>
      <c r="Y65" s="410"/>
    </row>
    <row r="66" spans="2:25" x14ac:dyDescent="0.3">
      <c r="B66" s="838"/>
      <c r="C66" s="841"/>
      <c r="D66" s="799"/>
      <c r="E66" s="749"/>
      <c r="F66" s="750"/>
      <c r="G66" s="751"/>
      <c r="H66" s="752"/>
      <c r="I66" s="472">
        <v>0.65217391304347827</v>
      </c>
      <c r="J66" s="753"/>
      <c r="K66" s="474">
        <v>0.47826086956521741</v>
      </c>
      <c r="L66" s="753"/>
      <c r="M66" s="474">
        <v>0.72727272727272729</v>
      </c>
      <c r="N66" s="754"/>
      <c r="O66" s="755"/>
      <c r="P66" s="752"/>
      <c r="Q66" s="755"/>
      <c r="R66" s="752"/>
      <c r="S66" s="755"/>
      <c r="T66" s="752"/>
      <c r="U66" s="755"/>
      <c r="V66" s="756"/>
      <c r="W66" s="121"/>
      <c r="X66" s="410"/>
      <c r="Y66" s="410"/>
    </row>
    <row r="67" spans="2:25" x14ac:dyDescent="0.3">
      <c r="B67" s="838"/>
      <c r="C67" s="841"/>
      <c r="D67" s="799"/>
      <c r="E67" s="749"/>
      <c r="F67" s="750"/>
      <c r="G67" s="751"/>
      <c r="H67" s="752"/>
      <c r="I67" s="472">
        <v>0.65217391304347827</v>
      </c>
      <c r="J67" s="753"/>
      <c r="K67" s="474">
        <v>0.47826086956521741</v>
      </c>
      <c r="L67" s="753"/>
      <c r="M67" s="474">
        <v>0.72727272727272729</v>
      </c>
      <c r="N67" s="754"/>
      <c r="O67" s="755"/>
      <c r="P67" s="752"/>
      <c r="Q67" s="755"/>
      <c r="R67" s="752"/>
      <c r="S67" s="755"/>
      <c r="T67" s="752"/>
      <c r="U67" s="755"/>
      <c r="V67" s="756"/>
      <c r="W67" s="121"/>
      <c r="X67" s="410"/>
      <c r="Y67" s="410"/>
    </row>
    <row r="68" spans="2:25" x14ac:dyDescent="0.3">
      <c r="B68" s="838"/>
      <c r="C68" s="841"/>
      <c r="D68" s="800"/>
      <c r="E68" s="478" t="s">
        <v>31</v>
      </c>
      <c r="F68" s="479" t="s">
        <v>62</v>
      </c>
      <c r="G68" s="480">
        <v>36</v>
      </c>
      <c r="H68" s="481">
        <v>36</v>
      </c>
      <c r="I68" s="482">
        <v>0.5</v>
      </c>
      <c r="J68" s="483">
        <f t="shared" si="0"/>
        <v>18</v>
      </c>
      <c r="K68" s="484">
        <v>0.47222222222222221</v>
      </c>
      <c r="L68" s="483">
        <f t="shared" si="1"/>
        <v>17</v>
      </c>
      <c r="M68" s="484">
        <v>0.76470588235294112</v>
      </c>
      <c r="N68" s="485">
        <f t="shared" si="10"/>
        <v>13</v>
      </c>
      <c r="O68" s="486"/>
      <c r="P68" s="481"/>
      <c r="Q68" s="486"/>
      <c r="R68" s="481"/>
      <c r="S68" s="486">
        <v>36</v>
      </c>
      <c r="T68" s="481">
        <v>36</v>
      </c>
      <c r="U68" s="486">
        <v>0</v>
      </c>
      <c r="V68" s="487">
        <v>0</v>
      </c>
      <c r="W68" s="121"/>
      <c r="X68" s="410"/>
      <c r="Y68" s="410"/>
    </row>
    <row r="69" spans="2:25" ht="15.6" x14ac:dyDescent="0.3">
      <c r="B69" s="839"/>
      <c r="C69" s="842"/>
      <c r="D69" s="455" t="s">
        <v>138</v>
      </c>
      <c r="E69" s="407"/>
      <c r="F69" s="408"/>
      <c r="G69" s="25">
        <f>SUM(G62:G68)</f>
        <v>194</v>
      </c>
      <c r="H69" s="26">
        <f>SUM(H62:H68)</f>
        <v>194</v>
      </c>
      <c r="I69" s="27">
        <f>J69/G69</f>
        <v>0.59793814432989689</v>
      </c>
      <c r="J69" s="45">
        <f>SUM(J62:J68)</f>
        <v>116</v>
      </c>
      <c r="K69" s="28">
        <f>L69/G69</f>
        <v>0.38659793814432991</v>
      </c>
      <c r="L69" s="45">
        <f>SUM(L62:L68)</f>
        <v>75</v>
      </c>
      <c r="M69" s="28">
        <f>N69/L69</f>
        <v>0.78666666666666663</v>
      </c>
      <c r="N69" s="40">
        <f>SUM(N62:N68)</f>
        <v>59</v>
      </c>
      <c r="O69" s="29"/>
      <c r="P69" s="26"/>
      <c r="Q69" s="29"/>
      <c r="R69" s="26"/>
      <c r="S69" s="29">
        <f>SUM(S62:S68)</f>
        <v>181</v>
      </c>
      <c r="T69" s="26">
        <f>SUM(T62:T68)</f>
        <v>181</v>
      </c>
      <c r="U69" s="29">
        <f>SUM(U62:U68)</f>
        <v>13</v>
      </c>
      <c r="V69" s="30">
        <f>SUM(V62:V68)</f>
        <v>13</v>
      </c>
      <c r="W69" s="121"/>
      <c r="X69" s="410"/>
      <c r="Y69" s="410"/>
    </row>
    <row r="70" spans="2:25" ht="15" customHeight="1" x14ac:dyDescent="0.3">
      <c r="B70" s="843" t="s">
        <v>45</v>
      </c>
      <c r="C70" s="806" t="s">
        <v>76</v>
      </c>
      <c r="D70" s="806">
        <v>10</v>
      </c>
      <c r="E70" s="71" t="s">
        <v>32</v>
      </c>
      <c r="F70" s="63" t="s">
        <v>62</v>
      </c>
      <c r="G70" s="7">
        <v>59</v>
      </c>
      <c r="H70" s="8">
        <f>G70</f>
        <v>59</v>
      </c>
      <c r="I70" s="9">
        <v>0.51</v>
      </c>
      <c r="J70" s="42">
        <f t="shared" si="0"/>
        <v>30.09</v>
      </c>
      <c r="K70" s="10">
        <v>0.44</v>
      </c>
      <c r="L70" s="42">
        <f t="shared" si="1"/>
        <v>25.96</v>
      </c>
      <c r="M70" s="10">
        <v>0.62</v>
      </c>
      <c r="N70" s="37">
        <f t="shared" si="10"/>
        <v>16.095200000000002</v>
      </c>
      <c r="O70" s="11"/>
      <c r="P70" s="8"/>
      <c r="Q70" s="11"/>
      <c r="R70" s="8"/>
      <c r="S70" s="11"/>
      <c r="T70" s="8"/>
      <c r="U70" s="11"/>
      <c r="V70" s="12"/>
      <c r="W70" s="121"/>
      <c r="X70" s="410"/>
      <c r="Y70" s="410"/>
    </row>
    <row r="71" spans="2:25" ht="15" customHeight="1" x14ac:dyDescent="0.3">
      <c r="B71" s="838"/>
      <c r="C71" s="807"/>
      <c r="D71" s="807"/>
      <c r="E71" s="72" t="s">
        <v>33</v>
      </c>
      <c r="F71" s="61" t="s">
        <v>62</v>
      </c>
      <c r="G71" s="13">
        <v>45</v>
      </c>
      <c r="H71" s="14">
        <f>G71</f>
        <v>45</v>
      </c>
      <c r="I71" s="15">
        <v>0.57999999999999996</v>
      </c>
      <c r="J71" s="43">
        <f t="shared" si="0"/>
        <v>26.099999999999998</v>
      </c>
      <c r="K71" s="16">
        <v>0.44</v>
      </c>
      <c r="L71" s="43">
        <f t="shared" si="1"/>
        <v>19.8</v>
      </c>
      <c r="M71" s="16">
        <v>0.65</v>
      </c>
      <c r="N71" s="38">
        <f t="shared" si="10"/>
        <v>12.870000000000001</v>
      </c>
      <c r="O71" s="17"/>
      <c r="P71" s="14"/>
      <c r="Q71" s="17"/>
      <c r="R71" s="14"/>
      <c r="S71" s="17"/>
      <c r="T71" s="14"/>
      <c r="U71" s="17"/>
      <c r="V71" s="18"/>
      <c r="W71" s="121"/>
      <c r="X71" s="410"/>
      <c r="Y71" s="410"/>
    </row>
    <row r="72" spans="2:25" ht="15" customHeight="1" x14ac:dyDescent="0.3">
      <c r="B72" s="838"/>
      <c r="C72" s="807"/>
      <c r="D72" s="807"/>
      <c r="E72" s="72" t="s">
        <v>47</v>
      </c>
      <c r="F72" s="61" t="s">
        <v>62</v>
      </c>
      <c r="G72" s="13">
        <v>16</v>
      </c>
      <c r="H72" s="14">
        <f t="shared" ref="H72:H74" si="20">G72</f>
        <v>16</v>
      </c>
      <c r="I72" s="15">
        <v>0.44</v>
      </c>
      <c r="J72" s="43">
        <f t="shared" si="0"/>
        <v>7.04</v>
      </c>
      <c r="K72" s="16">
        <v>0.31</v>
      </c>
      <c r="L72" s="43">
        <f t="shared" si="1"/>
        <v>4.96</v>
      </c>
      <c r="M72" s="16">
        <v>0.4</v>
      </c>
      <c r="N72" s="38">
        <f t="shared" si="10"/>
        <v>1.984</v>
      </c>
      <c r="O72" s="17"/>
      <c r="P72" s="14"/>
      <c r="Q72" s="17"/>
      <c r="R72" s="14"/>
      <c r="S72" s="17"/>
      <c r="T72" s="14"/>
      <c r="U72" s="17"/>
      <c r="V72" s="18"/>
      <c r="W72" s="121"/>
      <c r="X72" s="410"/>
      <c r="Y72" s="410"/>
    </row>
    <row r="73" spans="2:25" ht="15" customHeight="1" x14ac:dyDescent="0.3">
      <c r="B73" s="838"/>
      <c r="C73" s="807"/>
      <c r="D73" s="807"/>
      <c r="E73" s="72" t="s">
        <v>46</v>
      </c>
      <c r="F73" s="61" t="s">
        <v>62</v>
      </c>
      <c r="G73" s="13">
        <v>31</v>
      </c>
      <c r="H73" s="14">
        <f t="shared" si="20"/>
        <v>31</v>
      </c>
      <c r="I73" s="15">
        <v>0.28999999999999998</v>
      </c>
      <c r="J73" s="43">
        <f t="shared" si="0"/>
        <v>8.99</v>
      </c>
      <c r="K73" s="16">
        <v>0.32</v>
      </c>
      <c r="L73" s="43">
        <f t="shared" si="1"/>
        <v>9.92</v>
      </c>
      <c r="M73" s="16">
        <v>0.3</v>
      </c>
      <c r="N73" s="38">
        <f t="shared" si="10"/>
        <v>2.976</v>
      </c>
      <c r="O73" s="17"/>
      <c r="P73" s="14"/>
      <c r="Q73" s="17"/>
      <c r="R73" s="14"/>
      <c r="S73" s="17"/>
      <c r="T73" s="14"/>
      <c r="U73" s="17"/>
      <c r="V73" s="18"/>
      <c r="W73" s="121"/>
      <c r="X73" s="410"/>
      <c r="Y73" s="410"/>
    </row>
    <row r="74" spans="2:25" ht="15" customHeight="1" x14ac:dyDescent="0.3">
      <c r="B74" s="838"/>
      <c r="C74" s="807"/>
      <c r="D74" s="807"/>
      <c r="E74" s="72" t="s">
        <v>35</v>
      </c>
      <c r="F74" s="61" t="s">
        <v>62</v>
      </c>
      <c r="G74" s="13">
        <v>3</v>
      </c>
      <c r="H74" s="14">
        <f t="shared" si="20"/>
        <v>3</v>
      </c>
      <c r="I74" s="15">
        <v>0</v>
      </c>
      <c r="J74" s="43">
        <f t="shared" si="0"/>
        <v>0</v>
      </c>
      <c r="K74" s="16">
        <v>0</v>
      </c>
      <c r="L74" s="43">
        <f t="shared" si="1"/>
        <v>0</v>
      </c>
      <c r="M74" s="16" t="s">
        <v>21</v>
      </c>
      <c r="N74" s="38" t="str">
        <f t="shared" si="10"/>
        <v>-</v>
      </c>
      <c r="O74" s="17"/>
      <c r="P74" s="14"/>
      <c r="Q74" s="17"/>
      <c r="R74" s="14"/>
      <c r="S74" s="17"/>
      <c r="T74" s="14"/>
      <c r="U74" s="17"/>
      <c r="V74" s="18"/>
      <c r="W74" s="121"/>
      <c r="X74" s="410"/>
      <c r="Y74" s="410"/>
    </row>
    <row r="75" spans="2:25" ht="15" customHeight="1" x14ac:dyDescent="0.3">
      <c r="B75" s="838"/>
      <c r="C75" s="807"/>
      <c r="D75" s="807"/>
      <c r="E75" s="72" t="s">
        <v>34</v>
      </c>
      <c r="F75" s="61" t="s">
        <v>62</v>
      </c>
      <c r="G75" s="13">
        <v>13</v>
      </c>
      <c r="H75" s="14">
        <f>G75</f>
        <v>13</v>
      </c>
      <c r="I75" s="15">
        <v>0.23</v>
      </c>
      <c r="J75" s="43">
        <f t="shared" si="0"/>
        <v>2.99</v>
      </c>
      <c r="K75" s="16">
        <v>0.15</v>
      </c>
      <c r="L75" s="43">
        <f t="shared" si="1"/>
        <v>1.95</v>
      </c>
      <c r="M75" s="16">
        <v>0.5</v>
      </c>
      <c r="N75" s="38">
        <f t="shared" si="10"/>
        <v>0.97499999999999998</v>
      </c>
      <c r="O75" s="17"/>
      <c r="P75" s="14"/>
      <c r="Q75" s="17"/>
      <c r="R75" s="14"/>
      <c r="S75" s="17"/>
      <c r="T75" s="14"/>
      <c r="U75" s="17"/>
      <c r="V75" s="18"/>
      <c r="W75" s="121"/>
      <c r="X75" s="410"/>
      <c r="Y75" s="410"/>
    </row>
    <row r="76" spans="2:25" ht="15.75" customHeight="1" x14ac:dyDescent="0.3">
      <c r="B76" s="838"/>
      <c r="C76" s="807"/>
      <c r="D76" s="807"/>
      <c r="E76" s="72" t="s">
        <v>148</v>
      </c>
      <c r="F76" s="61"/>
      <c r="G76" s="13"/>
      <c r="H76" s="14"/>
      <c r="I76" s="15"/>
      <c r="J76" s="43"/>
      <c r="K76" s="16"/>
      <c r="L76" s="43"/>
      <c r="M76" s="16"/>
      <c r="N76" s="38"/>
      <c r="O76" s="17"/>
      <c r="P76" s="14"/>
      <c r="Q76" s="17"/>
      <c r="R76" s="14"/>
      <c r="S76" s="17"/>
      <c r="T76" s="14"/>
      <c r="U76" s="17"/>
      <c r="V76" s="18"/>
      <c r="W76" s="121"/>
      <c r="X76" s="410"/>
      <c r="Y76" s="410"/>
    </row>
    <row r="77" spans="2:25" ht="15.75" customHeight="1" x14ac:dyDescent="0.3">
      <c r="B77" s="838"/>
      <c r="C77" s="807"/>
      <c r="D77" s="807"/>
      <c r="E77" s="760"/>
      <c r="F77" s="761"/>
      <c r="G77" s="728"/>
      <c r="H77" s="729"/>
      <c r="I77" s="15"/>
      <c r="J77" s="730"/>
      <c r="K77" s="16"/>
      <c r="L77" s="730"/>
      <c r="M77" s="16"/>
      <c r="N77" s="731"/>
      <c r="O77" s="732"/>
      <c r="P77" s="729"/>
      <c r="Q77" s="732"/>
      <c r="R77" s="729"/>
      <c r="S77" s="732"/>
      <c r="T77" s="729"/>
      <c r="U77" s="732"/>
      <c r="V77" s="733"/>
      <c r="W77" s="121"/>
      <c r="X77" s="410"/>
      <c r="Y77" s="410"/>
    </row>
    <row r="78" spans="2:25" ht="15.75" customHeight="1" x14ac:dyDescent="0.3">
      <c r="B78" s="838"/>
      <c r="C78" s="807"/>
      <c r="D78" s="807"/>
      <c r="E78" s="760"/>
      <c r="F78" s="761"/>
      <c r="G78" s="728"/>
      <c r="H78" s="729"/>
      <c r="I78" s="15"/>
      <c r="J78" s="730"/>
      <c r="K78" s="16"/>
      <c r="L78" s="730"/>
      <c r="M78" s="16"/>
      <c r="N78" s="731"/>
      <c r="O78" s="732"/>
      <c r="P78" s="729"/>
      <c r="Q78" s="732"/>
      <c r="R78" s="729"/>
      <c r="S78" s="732"/>
      <c r="T78" s="729"/>
      <c r="U78" s="732"/>
      <c r="V78" s="733"/>
      <c r="W78" s="121"/>
      <c r="X78" s="410"/>
      <c r="Y78" s="410"/>
    </row>
    <row r="79" spans="2:25" ht="15.75" customHeight="1" x14ac:dyDescent="0.3">
      <c r="B79" s="838"/>
      <c r="C79" s="807"/>
      <c r="D79" s="808"/>
      <c r="E79" s="73" t="s">
        <v>147</v>
      </c>
      <c r="F79" s="62"/>
      <c r="G79" s="19"/>
      <c r="H79" s="20"/>
      <c r="I79" s="21"/>
      <c r="J79" s="44"/>
      <c r="K79" s="22"/>
      <c r="L79" s="44"/>
      <c r="M79" s="22"/>
      <c r="N79" s="39"/>
      <c r="O79" s="23"/>
      <c r="P79" s="20"/>
      <c r="Q79" s="23"/>
      <c r="R79" s="20"/>
      <c r="S79" s="23"/>
      <c r="T79" s="20"/>
      <c r="U79" s="23"/>
      <c r="V79" s="24"/>
      <c r="W79" s="121"/>
      <c r="X79" s="410"/>
      <c r="Y79" s="410"/>
    </row>
    <row r="80" spans="2:25" ht="15.6" x14ac:dyDescent="0.3">
      <c r="B80" s="839"/>
      <c r="C80" s="808"/>
      <c r="D80" s="403" t="s">
        <v>138</v>
      </c>
      <c r="E80" s="409"/>
      <c r="F80" s="408"/>
      <c r="G80" s="25">
        <f>SUM(G70:G75)</f>
        <v>167</v>
      </c>
      <c r="H80" s="26">
        <f>SUM(H70:H75)</f>
        <v>167</v>
      </c>
      <c r="I80" s="27">
        <f>J80/G80</f>
        <v>0.45035928143712572</v>
      </c>
      <c r="J80" s="45">
        <f>SUM(J70:J75)</f>
        <v>75.209999999999994</v>
      </c>
      <c r="K80" s="28">
        <f>L80/G80</f>
        <v>0.37479041916167671</v>
      </c>
      <c r="L80" s="45">
        <f>SUM(L70:L75)</f>
        <v>62.590000000000011</v>
      </c>
      <c r="M80" s="28">
        <f>N80/L80</f>
        <v>0.55760025563189008</v>
      </c>
      <c r="N80" s="40">
        <f>SUM(N70:N75)</f>
        <v>34.900200000000005</v>
      </c>
      <c r="O80" s="29"/>
      <c r="P80" s="26"/>
      <c r="Q80" s="29"/>
      <c r="R80" s="26"/>
      <c r="S80" s="29"/>
      <c r="T80" s="26"/>
      <c r="U80" s="29"/>
      <c r="V80" s="30"/>
      <c r="W80" s="121"/>
      <c r="X80" s="410"/>
      <c r="Y80" s="410"/>
    </row>
    <row r="81" spans="2:25" x14ac:dyDescent="0.3">
      <c r="B81" s="847" t="s">
        <v>2</v>
      </c>
      <c r="C81" s="850" t="s">
        <v>76</v>
      </c>
      <c r="D81" s="801">
        <v>14</v>
      </c>
      <c r="E81" s="71" t="s">
        <v>155</v>
      </c>
      <c r="F81" s="63"/>
      <c r="G81" s="7"/>
      <c r="H81" s="8"/>
      <c r="I81" s="9"/>
      <c r="J81" s="42"/>
      <c r="K81" s="10"/>
      <c r="L81" s="42"/>
      <c r="M81" s="10"/>
      <c r="N81" s="37"/>
      <c r="O81" s="11"/>
      <c r="P81" s="8"/>
      <c r="Q81" s="11"/>
      <c r="R81" s="8"/>
      <c r="S81" s="11"/>
      <c r="T81" s="8"/>
      <c r="U81" s="11"/>
      <c r="V81" s="12"/>
      <c r="W81" s="445"/>
      <c r="X81" s="446"/>
      <c r="Y81" s="410"/>
    </row>
    <row r="82" spans="2:25" ht="15.75" customHeight="1" x14ac:dyDescent="0.3">
      <c r="B82" s="848"/>
      <c r="C82" s="851"/>
      <c r="D82" s="802"/>
      <c r="E82" s="72" t="s">
        <v>156</v>
      </c>
      <c r="F82" s="61"/>
      <c r="G82" s="13"/>
      <c r="H82" s="14"/>
      <c r="I82" s="15"/>
      <c r="J82" s="43"/>
      <c r="K82" s="16"/>
      <c r="L82" s="43"/>
      <c r="M82" s="16"/>
      <c r="N82" s="38"/>
      <c r="O82" s="17"/>
      <c r="P82" s="14"/>
      <c r="Q82" s="17"/>
      <c r="R82" s="14"/>
      <c r="S82" s="17"/>
      <c r="T82" s="14"/>
      <c r="U82" s="17"/>
      <c r="V82" s="18"/>
      <c r="W82" s="447"/>
      <c r="X82" s="448"/>
      <c r="Y82" s="410"/>
    </row>
    <row r="83" spans="2:25" ht="15.75" customHeight="1" x14ac:dyDescent="0.3">
      <c r="B83" s="848"/>
      <c r="C83" s="851"/>
      <c r="D83" s="802"/>
      <c r="E83" s="72" t="s">
        <v>157</v>
      </c>
      <c r="F83" s="61"/>
      <c r="G83" s="13"/>
      <c r="H83" s="14"/>
      <c r="I83" s="15"/>
      <c r="J83" s="43"/>
      <c r="K83" s="16"/>
      <c r="L83" s="43"/>
      <c r="M83" s="16"/>
      <c r="N83" s="38"/>
      <c r="O83" s="17"/>
      <c r="P83" s="14"/>
      <c r="Q83" s="17"/>
      <c r="R83" s="14"/>
      <c r="S83" s="17"/>
      <c r="T83" s="14"/>
      <c r="U83" s="17"/>
      <c r="V83" s="18"/>
      <c r="W83" s="447"/>
      <c r="X83" s="448"/>
      <c r="Y83" s="410"/>
    </row>
    <row r="84" spans="2:25" ht="15" customHeight="1" x14ac:dyDescent="0.3">
      <c r="B84" s="848"/>
      <c r="C84" s="851"/>
      <c r="D84" s="802"/>
      <c r="E84" s="72" t="s">
        <v>37</v>
      </c>
      <c r="F84" s="527" t="s">
        <v>60</v>
      </c>
      <c r="G84" s="528">
        <v>217</v>
      </c>
      <c r="H84" s="150">
        <v>102</v>
      </c>
      <c r="I84" s="151">
        <v>0.28999999999999998</v>
      </c>
      <c r="J84" s="529">
        <f t="shared" si="0"/>
        <v>62.929999999999993</v>
      </c>
      <c r="K84" s="152">
        <v>0.32</v>
      </c>
      <c r="L84" s="529">
        <v>69</v>
      </c>
      <c r="M84" s="152" t="s">
        <v>21</v>
      </c>
      <c r="N84" s="530" t="str">
        <f t="shared" si="10"/>
        <v>-</v>
      </c>
      <c r="O84" s="153">
        <v>27</v>
      </c>
      <c r="P84" s="150">
        <v>8</v>
      </c>
      <c r="Q84" s="153">
        <v>33</v>
      </c>
      <c r="R84" s="150">
        <v>14</v>
      </c>
      <c r="S84" s="153">
        <v>241</v>
      </c>
      <c r="T84" s="150">
        <v>112</v>
      </c>
      <c r="U84" s="153">
        <v>9</v>
      </c>
      <c r="V84" s="157">
        <v>4</v>
      </c>
      <c r="W84" s="447"/>
      <c r="X84" s="448"/>
      <c r="Y84" s="410"/>
    </row>
    <row r="85" spans="2:25" ht="15" customHeight="1" x14ac:dyDescent="0.3">
      <c r="B85" s="848"/>
      <c r="C85" s="851"/>
      <c r="D85" s="802"/>
      <c r="E85" s="72" t="s">
        <v>158</v>
      </c>
      <c r="F85" s="527" t="s">
        <v>62</v>
      </c>
      <c r="G85" s="528">
        <v>156</v>
      </c>
      <c r="H85" s="150">
        <v>87</v>
      </c>
      <c r="I85" s="151">
        <v>0.4</v>
      </c>
      <c r="J85" s="529">
        <f t="shared" si="0"/>
        <v>62.400000000000006</v>
      </c>
      <c r="K85" s="152">
        <v>0.39</v>
      </c>
      <c r="L85" s="529">
        <v>61</v>
      </c>
      <c r="M85" s="152" t="s">
        <v>21</v>
      </c>
      <c r="N85" s="530" t="str">
        <f t="shared" si="10"/>
        <v>-</v>
      </c>
      <c r="O85" s="153">
        <v>7</v>
      </c>
      <c r="P85" s="150">
        <v>5</v>
      </c>
      <c r="Q85" s="153">
        <v>4</v>
      </c>
      <c r="R85" s="150">
        <v>1</v>
      </c>
      <c r="S85" s="153">
        <v>146</v>
      </c>
      <c r="T85" s="150">
        <v>81</v>
      </c>
      <c r="U85" s="153">
        <v>14</v>
      </c>
      <c r="V85" s="157">
        <v>7</v>
      </c>
      <c r="W85" s="447"/>
      <c r="X85" s="448"/>
      <c r="Y85" s="410"/>
    </row>
    <row r="86" spans="2:25" ht="15" customHeight="1" x14ac:dyDescent="0.3">
      <c r="B86" s="848"/>
      <c r="C86" s="851"/>
      <c r="D86" s="802"/>
      <c r="E86" s="72" t="s">
        <v>38</v>
      </c>
      <c r="F86" s="527" t="s">
        <v>62</v>
      </c>
      <c r="G86" s="528">
        <v>167</v>
      </c>
      <c r="H86" s="150">
        <v>80</v>
      </c>
      <c r="I86" s="151">
        <v>0.26</v>
      </c>
      <c r="J86" s="529">
        <f t="shared" si="0"/>
        <v>43.42</v>
      </c>
      <c r="K86" s="152">
        <v>0.37</v>
      </c>
      <c r="L86" s="529">
        <v>62</v>
      </c>
      <c r="M86" s="152" t="s">
        <v>21</v>
      </c>
      <c r="N86" s="530" t="str">
        <f t="shared" si="10"/>
        <v>-</v>
      </c>
      <c r="O86" s="153">
        <v>7</v>
      </c>
      <c r="P86" s="150">
        <v>3</v>
      </c>
      <c r="Q86" s="153">
        <v>33</v>
      </c>
      <c r="R86" s="150">
        <v>14</v>
      </c>
      <c r="S86" s="153">
        <v>153</v>
      </c>
      <c r="T86" s="150">
        <v>74</v>
      </c>
      <c r="U86" s="153">
        <v>47</v>
      </c>
      <c r="V86" s="157">
        <v>20</v>
      </c>
      <c r="W86" s="447"/>
      <c r="X86" s="448"/>
      <c r="Y86" s="410"/>
    </row>
    <row r="87" spans="2:25" ht="15" customHeight="1" x14ac:dyDescent="0.3">
      <c r="B87" s="848"/>
      <c r="C87" s="851"/>
      <c r="D87" s="802"/>
      <c r="E87" s="72" t="s">
        <v>159</v>
      </c>
      <c r="F87" s="527"/>
      <c r="G87" s="528"/>
      <c r="H87" s="150"/>
      <c r="I87" s="151">
        <v>0.26</v>
      </c>
      <c r="J87" s="529"/>
      <c r="K87" s="152">
        <v>0.37</v>
      </c>
      <c r="L87" s="529"/>
      <c r="M87" s="152" t="s">
        <v>21</v>
      </c>
      <c r="N87" s="530"/>
      <c r="O87" s="153"/>
      <c r="P87" s="150"/>
      <c r="Q87" s="153"/>
      <c r="R87" s="150"/>
      <c r="S87" s="153"/>
      <c r="T87" s="150"/>
      <c r="U87" s="153"/>
      <c r="V87" s="157"/>
      <c r="W87" s="447"/>
      <c r="X87" s="448"/>
      <c r="Y87" s="410"/>
    </row>
    <row r="88" spans="2:25" ht="15" customHeight="1" x14ac:dyDescent="0.3">
      <c r="B88" s="848"/>
      <c r="C88" s="851"/>
      <c r="D88" s="802"/>
      <c r="E88" s="72" t="s">
        <v>149</v>
      </c>
      <c r="F88" s="527"/>
      <c r="G88" s="528"/>
      <c r="H88" s="150"/>
      <c r="I88" s="151">
        <v>0.26</v>
      </c>
      <c r="J88" s="529"/>
      <c r="K88" s="152">
        <v>0.37</v>
      </c>
      <c r="L88" s="529"/>
      <c r="M88" s="152" t="s">
        <v>21</v>
      </c>
      <c r="N88" s="530"/>
      <c r="O88" s="153"/>
      <c r="P88" s="150"/>
      <c r="Q88" s="153"/>
      <c r="R88" s="150"/>
      <c r="S88" s="153"/>
      <c r="T88" s="150"/>
      <c r="U88" s="153"/>
      <c r="V88" s="157"/>
      <c r="W88" s="447"/>
      <c r="X88" s="448"/>
      <c r="Y88" s="410"/>
    </row>
    <row r="89" spans="2:25" ht="15" customHeight="1" x14ac:dyDescent="0.3">
      <c r="B89" s="848"/>
      <c r="C89" s="851"/>
      <c r="D89" s="802"/>
      <c r="E89" s="72" t="s">
        <v>150</v>
      </c>
      <c r="F89" s="527"/>
      <c r="G89" s="528"/>
      <c r="H89" s="150"/>
      <c r="I89" s="151">
        <v>0.26</v>
      </c>
      <c r="J89" s="529"/>
      <c r="K89" s="152">
        <v>0.37</v>
      </c>
      <c r="L89" s="529"/>
      <c r="M89" s="152" t="s">
        <v>21</v>
      </c>
      <c r="N89" s="530"/>
      <c r="O89" s="153"/>
      <c r="P89" s="150"/>
      <c r="Q89" s="153"/>
      <c r="R89" s="150"/>
      <c r="S89" s="153"/>
      <c r="T89" s="150"/>
      <c r="U89" s="153"/>
      <c r="V89" s="157"/>
      <c r="W89" s="447"/>
      <c r="X89" s="448"/>
      <c r="Y89" s="410"/>
    </row>
    <row r="90" spans="2:25" ht="15" customHeight="1" x14ac:dyDescent="0.3">
      <c r="B90" s="848"/>
      <c r="C90" s="851"/>
      <c r="D90" s="802"/>
      <c r="E90" s="72"/>
      <c r="F90" s="527"/>
      <c r="G90" s="528"/>
      <c r="H90" s="150"/>
      <c r="I90" s="151">
        <v>0.26</v>
      </c>
      <c r="J90" s="529"/>
      <c r="K90" s="152">
        <v>0.37</v>
      </c>
      <c r="L90" s="529"/>
      <c r="M90" s="152" t="s">
        <v>21</v>
      </c>
      <c r="N90" s="530"/>
      <c r="O90" s="153"/>
      <c r="P90" s="150"/>
      <c r="Q90" s="153"/>
      <c r="R90" s="150"/>
      <c r="S90" s="153"/>
      <c r="T90" s="150"/>
      <c r="U90" s="153"/>
      <c r="V90" s="157"/>
      <c r="W90" s="447"/>
      <c r="X90" s="448"/>
      <c r="Y90" s="410"/>
    </row>
    <row r="91" spans="2:25" ht="15" customHeight="1" x14ac:dyDescent="0.3">
      <c r="B91" s="848"/>
      <c r="C91" s="851"/>
      <c r="D91" s="802"/>
      <c r="E91" s="72"/>
      <c r="F91" s="527"/>
      <c r="G91" s="528"/>
      <c r="H91" s="150"/>
      <c r="I91" s="151">
        <v>0.26</v>
      </c>
      <c r="J91" s="529"/>
      <c r="K91" s="152">
        <v>0.37</v>
      </c>
      <c r="L91" s="529"/>
      <c r="M91" s="152" t="s">
        <v>21</v>
      </c>
      <c r="N91" s="530"/>
      <c r="O91" s="153"/>
      <c r="P91" s="150"/>
      <c r="Q91" s="153"/>
      <c r="R91" s="150"/>
      <c r="S91" s="153"/>
      <c r="T91" s="150"/>
      <c r="U91" s="153"/>
      <c r="V91" s="157"/>
      <c r="W91" s="447"/>
      <c r="X91" s="448"/>
      <c r="Y91" s="410"/>
    </row>
    <row r="92" spans="2:25" ht="15" customHeight="1" x14ac:dyDescent="0.3">
      <c r="B92" s="848"/>
      <c r="C92" s="851"/>
      <c r="D92" s="803"/>
      <c r="E92" s="72" t="s">
        <v>153</v>
      </c>
      <c r="F92" s="527"/>
      <c r="G92" s="528"/>
      <c r="H92" s="150"/>
      <c r="I92" s="151"/>
      <c r="J92" s="529"/>
      <c r="K92" s="152"/>
      <c r="L92" s="529"/>
      <c r="M92" s="152"/>
      <c r="N92" s="530"/>
      <c r="O92" s="153"/>
      <c r="P92" s="150"/>
      <c r="Q92" s="153"/>
      <c r="R92" s="150"/>
      <c r="S92" s="153"/>
      <c r="T92" s="150"/>
      <c r="U92" s="153"/>
      <c r="V92" s="157"/>
      <c r="W92" s="447"/>
      <c r="X92" s="448"/>
      <c r="Y92" s="410"/>
    </row>
    <row r="93" spans="2:25" ht="15.6" x14ac:dyDescent="0.3">
      <c r="B93" s="849"/>
      <c r="C93" s="852"/>
      <c r="D93" s="554" t="s">
        <v>138</v>
      </c>
      <c r="E93" s="73"/>
      <c r="F93" s="531"/>
      <c r="G93" s="532">
        <f>SUM(G84:G92)</f>
        <v>540</v>
      </c>
      <c r="H93" s="158">
        <f>SUM(H84:H92)</f>
        <v>269</v>
      </c>
      <c r="I93" s="159">
        <f>J93/G93</f>
        <v>0.3125</v>
      </c>
      <c r="J93" s="533">
        <f>SUM(J84:J92)</f>
        <v>168.75</v>
      </c>
      <c r="K93" s="22">
        <f>L93/G93</f>
        <v>0.35555555555555557</v>
      </c>
      <c r="L93" s="533">
        <f>SUM(L84:L92)</f>
        <v>192</v>
      </c>
      <c r="M93" s="160">
        <f>N93/L93</f>
        <v>0</v>
      </c>
      <c r="N93" s="534">
        <f>SUM(N84:N92)</f>
        <v>0</v>
      </c>
      <c r="O93" s="161">
        <f>SUM(O84:O92)</f>
        <v>41</v>
      </c>
      <c r="P93" s="158">
        <f>SUM(P84:P92)</f>
        <v>16</v>
      </c>
      <c r="Q93" s="161">
        <f t="shared" ref="Q93:V93" si="21">SUM(Q84:Q92)</f>
        <v>70</v>
      </c>
      <c r="R93" s="158">
        <f t="shared" si="21"/>
        <v>29</v>
      </c>
      <c r="S93" s="161">
        <f t="shared" si="21"/>
        <v>540</v>
      </c>
      <c r="T93" s="158">
        <f t="shared" si="21"/>
        <v>267</v>
      </c>
      <c r="U93" s="161">
        <f t="shared" si="21"/>
        <v>70</v>
      </c>
      <c r="V93" s="198">
        <f t="shared" si="21"/>
        <v>31</v>
      </c>
      <c r="W93" s="521"/>
      <c r="X93" s="522"/>
      <c r="Y93" s="410"/>
    </row>
    <row r="94" spans="2:25" ht="15.75" customHeight="1" x14ac:dyDescent="0.3">
      <c r="B94" s="843" t="s">
        <v>72</v>
      </c>
      <c r="C94" s="846" t="s">
        <v>76</v>
      </c>
      <c r="D94" s="805">
        <v>2</v>
      </c>
      <c r="E94" s="54" t="s">
        <v>151</v>
      </c>
      <c r="F94" s="65" t="s">
        <v>62</v>
      </c>
      <c r="G94" s="7">
        <v>21</v>
      </c>
      <c r="H94" s="8">
        <v>8</v>
      </c>
      <c r="I94" s="9">
        <v>0.28999999999999998</v>
      </c>
      <c r="J94" s="42">
        <f t="shared" si="0"/>
        <v>6.09</v>
      </c>
      <c r="K94" s="10">
        <v>0.32</v>
      </c>
      <c r="L94" s="42">
        <f t="shared" si="1"/>
        <v>6.72</v>
      </c>
      <c r="M94" s="10" t="s">
        <v>21</v>
      </c>
      <c r="N94" s="37">
        <v>0</v>
      </c>
      <c r="O94" s="11">
        <v>1</v>
      </c>
      <c r="P94" s="8">
        <v>0</v>
      </c>
      <c r="Q94" s="11">
        <v>7</v>
      </c>
      <c r="R94" s="8">
        <v>5</v>
      </c>
      <c r="S94" s="11">
        <v>19</v>
      </c>
      <c r="T94" s="8">
        <v>8</v>
      </c>
      <c r="U94" s="11">
        <v>9</v>
      </c>
      <c r="V94" s="12">
        <v>5</v>
      </c>
      <c r="W94" s="445"/>
      <c r="X94" s="446"/>
      <c r="Y94" s="410"/>
    </row>
    <row r="95" spans="2:25" ht="15.75" customHeight="1" x14ac:dyDescent="0.3">
      <c r="B95" s="838"/>
      <c r="C95" s="841"/>
      <c r="D95" s="805"/>
      <c r="E95" s="443" t="s">
        <v>154</v>
      </c>
      <c r="F95" s="442"/>
      <c r="G95" s="13"/>
      <c r="H95" s="14"/>
      <c r="I95" s="15"/>
      <c r="J95" s="43"/>
      <c r="K95" s="16"/>
      <c r="L95" s="43"/>
      <c r="M95" s="16"/>
      <c r="N95" s="38"/>
      <c r="O95" s="17"/>
      <c r="P95" s="14"/>
      <c r="Q95" s="17"/>
      <c r="R95" s="14"/>
      <c r="S95" s="17"/>
      <c r="T95" s="14"/>
      <c r="U95" s="17"/>
      <c r="V95" s="18"/>
      <c r="W95" s="447"/>
      <c r="X95" s="448"/>
      <c r="Y95" s="410"/>
    </row>
    <row r="96" spans="2:25" ht="15.75" customHeight="1" x14ac:dyDescent="0.3">
      <c r="B96" s="838"/>
      <c r="C96" s="841"/>
      <c r="D96" s="805"/>
      <c r="E96" s="390"/>
      <c r="F96" s="442"/>
      <c r="G96" s="728"/>
      <c r="H96" s="729"/>
      <c r="I96" s="15"/>
      <c r="J96" s="730"/>
      <c r="K96" s="16"/>
      <c r="L96" s="730"/>
      <c r="M96" s="16"/>
      <c r="N96" s="731"/>
      <c r="O96" s="732"/>
      <c r="P96" s="729"/>
      <c r="Q96" s="732"/>
      <c r="R96" s="729"/>
      <c r="S96" s="732"/>
      <c r="T96" s="729"/>
      <c r="U96" s="732"/>
      <c r="V96" s="733"/>
      <c r="W96" s="521"/>
      <c r="X96" s="522"/>
      <c r="Y96" s="410"/>
    </row>
    <row r="97" spans="2:25" ht="15.75" customHeight="1" x14ac:dyDescent="0.3">
      <c r="B97" s="838"/>
      <c r="C97" s="841"/>
      <c r="D97" s="805"/>
      <c r="E97" s="390"/>
      <c r="F97" s="442"/>
      <c r="G97" s="728"/>
      <c r="H97" s="729"/>
      <c r="I97" s="15"/>
      <c r="J97" s="730"/>
      <c r="K97" s="16"/>
      <c r="L97" s="730"/>
      <c r="M97" s="16"/>
      <c r="N97" s="731"/>
      <c r="O97" s="732"/>
      <c r="P97" s="729"/>
      <c r="Q97" s="732"/>
      <c r="R97" s="729"/>
      <c r="S97" s="732"/>
      <c r="T97" s="729"/>
      <c r="U97" s="732"/>
      <c r="V97" s="733"/>
      <c r="W97" s="521"/>
      <c r="X97" s="522"/>
      <c r="Y97" s="410"/>
    </row>
    <row r="98" spans="2:25" ht="15.75" customHeight="1" x14ac:dyDescent="0.3">
      <c r="B98" s="838"/>
      <c r="C98" s="841"/>
      <c r="D98" s="805"/>
      <c r="E98" s="520" t="s">
        <v>36</v>
      </c>
      <c r="F98" s="65"/>
      <c r="G98" s="19"/>
      <c r="H98" s="20"/>
      <c r="I98" s="21"/>
      <c r="J98" s="44"/>
      <c r="K98" s="22"/>
      <c r="L98" s="44"/>
      <c r="M98" s="22"/>
      <c r="N98" s="39"/>
      <c r="O98" s="23"/>
      <c r="P98" s="20"/>
      <c r="Q98" s="23"/>
      <c r="R98" s="20"/>
      <c r="S98" s="23"/>
      <c r="T98" s="20"/>
      <c r="U98" s="23"/>
      <c r="V98" s="24"/>
      <c r="W98" s="521"/>
      <c r="X98" s="522"/>
      <c r="Y98" s="410"/>
    </row>
    <row r="99" spans="2:25" ht="15.75" customHeight="1" x14ac:dyDescent="0.3">
      <c r="B99" s="845"/>
      <c r="C99" s="842"/>
      <c r="D99" s="539" t="s">
        <v>138</v>
      </c>
      <c r="E99" s="64"/>
      <c r="F99" s="65"/>
      <c r="G99" s="524">
        <f>SUM(G94:G98)</f>
        <v>21</v>
      </c>
      <c r="H99" s="271">
        <f>SUM(H94:H98)</f>
        <v>8</v>
      </c>
      <c r="I99" s="165">
        <f>J99/G99</f>
        <v>0.28999999999999998</v>
      </c>
      <c r="J99" s="535">
        <f>SUM(J94:J98)</f>
        <v>6.09</v>
      </c>
      <c r="K99" s="28">
        <f>L99/G99</f>
        <v>0.32</v>
      </c>
      <c r="L99" s="535">
        <f>SUM(L94:L98)</f>
        <v>6.72</v>
      </c>
      <c r="M99" s="536">
        <f>N99/L99</f>
        <v>0</v>
      </c>
      <c r="N99" s="412">
        <f>SUM(N94:N98)</f>
        <v>0</v>
      </c>
      <c r="O99" s="270">
        <f>SUM(O94:O98)</f>
        <v>1</v>
      </c>
      <c r="P99" s="271">
        <f t="shared" ref="P99:V99" si="22">SUM(P94:P98)</f>
        <v>0</v>
      </c>
      <c r="Q99" s="270">
        <f t="shared" si="22"/>
        <v>7</v>
      </c>
      <c r="R99" s="271">
        <f t="shared" si="22"/>
        <v>5</v>
      </c>
      <c r="S99" s="270">
        <f t="shared" si="22"/>
        <v>19</v>
      </c>
      <c r="T99" s="271">
        <f t="shared" si="22"/>
        <v>8</v>
      </c>
      <c r="U99" s="270">
        <f t="shared" si="22"/>
        <v>9</v>
      </c>
      <c r="V99" s="272">
        <f t="shared" si="22"/>
        <v>5</v>
      </c>
      <c r="W99" s="449"/>
      <c r="X99" s="450"/>
      <c r="Y99" s="410"/>
    </row>
    <row r="100" spans="2:25" ht="15.75" customHeight="1" thickBot="1" x14ac:dyDescent="0.35">
      <c r="B100" s="843" t="s">
        <v>3</v>
      </c>
      <c r="C100" s="853" t="s">
        <v>76</v>
      </c>
      <c r="D100" s="805">
        <v>14</v>
      </c>
      <c r="E100" s="54" t="s">
        <v>48</v>
      </c>
      <c r="F100" s="55" t="s">
        <v>61</v>
      </c>
      <c r="G100" s="7">
        <f>17+25</f>
        <v>42</v>
      </c>
      <c r="H100" s="8">
        <f>G100</f>
        <v>42</v>
      </c>
      <c r="I100" s="9">
        <f>17/G100</f>
        <v>0.40476190476190477</v>
      </c>
      <c r="J100" s="42">
        <f t="shared" si="0"/>
        <v>17</v>
      </c>
      <c r="K100" s="10">
        <f>21/G100</f>
        <v>0.5</v>
      </c>
      <c r="L100" s="42">
        <f t="shared" si="1"/>
        <v>21</v>
      </c>
      <c r="M100" s="10"/>
      <c r="N100" s="37"/>
      <c r="O100" s="11"/>
      <c r="P100" s="8"/>
      <c r="Q100" s="11"/>
      <c r="R100" s="8"/>
      <c r="S100" s="11"/>
      <c r="T100" s="8"/>
      <c r="U100" s="11"/>
      <c r="V100" s="12"/>
      <c r="W100" s="453"/>
      <c r="X100" s="454"/>
      <c r="Y100" s="410"/>
    </row>
    <row r="101" spans="2:25" ht="15.75" customHeight="1" thickBot="1" x14ac:dyDescent="0.35">
      <c r="B101" s="838"/>
      <c r="C101" s="854"/>
      <c r="D101" s="805"/>
      <c r="E101" s="56" t="s">
        <v>49</v>
      </c>
      <c r="F101" s="57" t="s">
        <v>61</v>
      </c>
      <c r="G101" s="13">
        <f>122+29+119+13</f>
        <v>283</v>
      </c>
      <c r="H101" s="14">
        <f>G101</f>
        <v>283</v>
      </c>
      <c r="I101" s="15">
        <f>(29+13)/G101</f>
        <v>0.14840989399293286</v>
      </c>
      <c r="J101" s="43">
        <f t="shared" si="0"/>
        <v>42</v>
      </c>
      <c r="K101" s="16">
        <f>(65+47)/G101</f>
        <v>0.39575971731448761</v>
      </c>
      <c r="L101" s="43">
        <f t="shared" si="1"/>
        <v>112</v>
      </c>
      <c r="M101" s="16"/>
      <c r="N101" s="38"/>
      <c r="O101" s="17"/>
      <c r="P101" s="14"/>
      <c r="Q101" s="17"/>
      <c r="R101" s="14"/>
      <c r="S101" s="17"/>
      <c r="T101" s="14"/>
      <c r="U101" s="17"/>
      <c r="V101" s="18"/>
      <c r="W101" s="447"/>
      <c r="X101" s="448"/>
      <c r="Y101" s="410"/>
    </row>
    <row r="102" spans="2:25" ht="15.75" customHeight="1" thickBot="1" x14ac:dyDescent="0.35">
      <c r="B102" s="838"/>
      <c r="C102" s="854"/>
      <c r="D102" s="805"/>
      <c r="E102" s="56" t="s">
        <v>81</v>
      </c>
      <c r="F102" s="57" t="s">
        <v>61</v>
      </c>
      <c r="G102" s="13">
        <f>(19+11+31+18)</f>
        <v>79</v>
      </c>
      <c r="H102" s="14">
        <f>G102</f>
        <v>79</v>
      </c>
      <c r="I102" s="15">
        <f>(11+18)/G102</f>
        <v>0.36708860759493672</v>
      </c>
      <c r="J102" s="43">
        <f t="shared" ref="J102" si="23">I102*G102</f>
        <v>29</v>
      </c>
      <c r="K102" s="16">
        <f>(5+28)/G102</f>
        <v>0.41772151898734178</v>
      </c>
      <c r="L102" s="43">
        <f t="shared" ref="L102" si="24">K102*G102</f>
        <v>33</v>
      </c>
      <c r="M102" s="16"/>
      <c r="N102" s="38"/>
      <c r="O102" s="17"/>
      <c r="P102" s="14"/>
      <c r="Q102" s="17"/>
      <c r="R102" s="14"/>
      <c r="S102" s="17"/>
      <c r="T102" s="14"/>
      <c r="U102" s="17"/>
      <c r="V102" s="18"/>
      <c r="W102" s="447"/>
      <c r="X102" s="448"/>
      <c r="Y102" s="410"/>
    </row>
    <row r="103" spans="2:25" ht="15.75" customHeight="1" thickBot="1" x14ac:dyDescent="0.35">
      <c r="B103" s="838"/>
      <c r="C103" s="854"/>
      <c r="D103" s="805"/>
      <c r="E103" s="56" t="s">
        <v>73</v>
      </c>
      <c r="F103" s="57" t="s">
        <v>61</v>
      </c>
      <c r="G103" s="13">
        <f>15+8+12+6+33+34</f>
        <v>108</v>
      </c>
      <c r="H103" s="14">
        <f t="shared" ref="H103:H111" si="25">G103</f>
        <v>108</v>
      </c>
      <c r="I103" s="15">
        <f>(8+6+33)/G103</f>
        <v>0.43518518518518517</v>
      </c>
      <c r="J103" s="43">
        <f t="shared" si="0"/>
        <v>47</v>
      </c>
      <c r="K103" s="16">
        <f>(12+6+33)/G103</f>
        <v>0.47222222222222221</v>
      </c>
      <c r="L103" s="43">
        <f t="shared" si="1"/>
        <v>51</v>
      </c>
      <c r="M103" s="16"/>
      <c r="N103" s="38"/>
      <c r="O103" s="17"/>
      <c r="P103" s="14"/>
      <c r="Q103" s="17"/>
      <c r="R103" s="14"/>
      <c r="S103" s="17"/>
      <c r="T103" s="14"/>
      <c r="U103" s="17"/>
      <c r="V103" s="18"/>
      <c r="W103" s="447"/>
      <c r="X103" s="448"/>
      <c r="Y103" s="410"/>
    </row>
    <row r="104" spans="2:25" ht="15.75" customHeight="1" thickBot="1" x14ac:dyDescent="0.35">
      <c r="B104" s="838"/>
      <c r="C104" s="854"/>
      <c r="D104" s="805"/>
      <c r="E104" s="56" t="s">
        <v>50</v>
      </c>
      <c r="F104" s="57" t="s">
        <v>61</v>
      </c>
      <c r="G104" s="13">
        <f>56+28+19+14</f>
        <v>117</v>
      </c>
      <c r="H104" s="14">
        <f t="shared" si="25"/>
        <v>117</v>
      </c>
      <c r="I104" s="15">
        <f>(28+14)/G104</f>
        <v>0.35897435897435898</v>
      </c>
      <c r="J104" s="43">
        <f t="shared" si="0"/>
        <v>42</v>
      </c>
      <c r="K104" s="16">
        <f>(31+21)/G104</f>
        <v>0.44444444444444442</v>
      </c>
      <c r="L104" s="43">
        <f t="shared" si="1"/>
        <v>52</v>
      </c>
      <c r="M104" s="16"/>
      <c r="N104" s="38"/>
      <c r="O104" s="17"/>
      <c r="P104" s="14"/>
      <c r="Q104" s="17"/>
      <c r="R104" s="14"/>
      <c r="S104" s="17"/>
      <c r="T104" s="14"/>
      <c r="U104" s="17"/>
      <c r="V104" s="18"/>
      <c r="W104" s="447"/>
      <c r="X104" s="448"/>
      <c r="Y104" s="410"/>
    </row>
    <row r="105" spans="2:25" ht="15.75" customHeight="1" thickBot="1" x14ac:dyDescent="0.35">
      <c r="B105" s="838"/>
      <c r="C105" s="854"/>
      <c r="D105" s="805"/>
      <c r="E105" s="56" t="s">
        <v>145</v>
      </c>
      <c r="F105" s="57"/>
      <c r="G105" s="13"/>
      <c r="H105" s="14"/>
      <c r="I105" s="15"/>
      <c r="J105" s="43"/>
      <c r="K105" s="16"/>
      <c r="L105" s="43"/>
      <c r="M105" s="16"/>
      <c r="N105" s="426"/>
      <c r="O105" s="17"/>
      <c r="P105" s="14"/>
      <c r="Q105" s="17"/>
      <c r="R105" s="14"/>
      <c r="S105" s="17"/>
      <c r="T105" s="14"/>
      <c r="U105" s="17"/>
      <c r="V105" s="18"/>
      <c r="W105" s="447"/>
      <c r="X105" s="448"/>
      <c r="Y105" s="410"/>
    </row>
    <row r="106" spans="2:25" ht="15.75" customHeight="1" thickBot="1" x14ac:dyDescent="0.35">
      <c r="B106" s="838"/>
      <c r="C106" s="854"/>
      <c r="D106" s="805"/>
      <c r="E106" s="56" t="s">
        <v>144</v>
      </c>
      <c r="F106" s="57"/>
      <c r="G106" s="13"/>
      <c r="H106" s="14"/>
      <c r="I106" s="15"/>
      <c r="J106" s="43"/>
      <c r="K106" s="16"/>
      <c r="L106" s="43"/>
      <c r="M106" s="16"/>
      <c r="N106" s="426"/>
      <c r="O106" s="17"/>
      <c r="P106" s="14"/>
      <c r="Q106" s="17"/>
      <c r="R106" s="14"/>
      <c r="S106" s="17"/>
      <c r="T106" s="14"/>
      <c r="U106" s="17"/>
      <c r="V106" s="18"/>
      <c r="W106" s="447"/>
      <c r="X106" s="448"/>
      <c r="Y106" s="410"/>
    </row>
    <row r="107" spans="2:25" ht="15.75" customHeight="1" thickBot="1" x14ac:dyDescent="0.35">
      <c r="B107" s="838"/>
      <c r="C107" s="854"/>
      <c r="D107" s="805"/>
      <c r="E107" s="56" t="s">
        <v>80</v>
      </c>
      <c r="F107" s="57" t="s">
        <v>61</v>
      </c>
      <c r="G107" s="13">
        <f>(388+263)</f>
        <v>651</v>
      </c>
      <c r="H107" s="14">
        <f>G107</f>
        <v>651</v>
      </c>
      <c r="I107" s="15"/>
      <c r="J107" s="43">
        <f t="shared" ref="J107" si="26">I107*G107</f>
        <v>0</v>
      </c>
      <c r="K107" s="16">
        <f>250/G107</f>
        <v>0.38402457757296465</v>
      </c>
      <c r="L107" s="43">
        <f t="shared" ref="L107" si="27">K107*G107</f>
        <v>250</v>
      </c>
      <c r="M107" s="16"/>
      <c r="N107" s="426"/>
      <c r="O107" s="17"/>
      <c r="P107" s="14"/>
      <c r="Q107" s="17"/>
      <c r="R107" s="14"/>
      <c r="S107" s="17"/>
      <c r="T107" s="14"/>
      <c r="U107" s="17"/>
      <c r="V107" s="18"/>
      <c r="W107" s="447"/>
      <c r="X107" s="448"/>
      <c r="Y107" s="410"/>
    </row>
    <row r="108" spans="2:25" ht="15.75" customHeight="1" thickBot="1" x14ac:dyDescent="0.35">
      <c r="B108" s="838"/>
      <c r="C108" s="854"/>
      <c r="D108" s="805"/>
      <c r="E108" s="56" t="s">
        <v>51</v>
      </c>
      <c r="F108" s="57" t="s">
        <v>61</v>
      </c>
      <c r="G108" s="13">
        <f>284+220+60+51</f>
        <v>615</v>
      </c>
      <c r="H108" s="14">
        <f t="shared" si="25"/>
        <v>615</v>
      </c>
      <c r="I108" s="15"/>
      <c r="J108" s="43">
        <f t="shared" si="0"/>
        <v>0</v>
      </c>
      <c r="K108" s="16">
        <f>(195+46)/G108</f>
        <v>0.39186991869918697</v>
      </c>
      <c r="L108" s="43">
        <f t="shared" si="1"/>
        <v>241</v>
      </c>
      <c r="M108" s="16"/>
      <c r="N108" s="38"/>
      <c r="O108" s="17"/>
      <c r="P108" s="14"/>
      <c r="Q108" s="17"/>
      <c r="R108" s="14"/>
      <c r="S108" s="17"/>
      <c r="T108" s="14"/>
      <c r="U108" s="17"/>
      <c r="V108" s="18"/>
      <c r="W108" s="447"/>
      <c r="X108" s="448"/>
      <c r="Y108" s="410"/>
    </row>
    <row r="109" spans="2:25" ht="15.75" customHeight="1" thickBot="1" x14ac:dyDescent="0.35">
      <c r="B109" s="838"/>
      <c r="C109" s="854"/>
      <c r="D109" s="805"/>
      <c r="E109" s="726"/>
      <c r="F109" s="727"/>
      <c r="G109" s="728"/>
      <c r="H109" s="729"/>
      <c r="I109" s="15"/>
      <c r="J109" s="730"/>
      <c r="K109" s="16" t="e">
        <f t="shared" ref="K109:K110" si="28">(195+46)/G109</f>
        <v>#DIV/0!</v>
      </c>
      <c r="L109" s="730"/>
      <c r="M109" s="16"/>
      <c r="N109" s="731"/>
      <c r="O109" s="732"/>
      <c r="P109" s="729"/>
      <c r="Q109" s="732"/>
      <c r="R109" s="729"/>
      <c r="S109" s="732"/>
      <c r="T109" s="729"/>
      <c r="U109" s="732"/>
      <c r="V109" s="733"/>
      <c r="W109" s="521"/>
      <c r="X109" s="522"/>
      <c r="Y109" s="410"/>
    </row>
    <row r="110" spans="2:25" ht="15.75" customHeight="1" thickBot="1" x14ac:dyDescent="0.35">
      <c r="B110" s="838"/>
      <c r="C110" s="854"/>
      <c r="D110" s="805"/>
      <c r="E110" s="726"/>
      <c r="F110" s="727"/>
      <c r="G110" s="728"/>
      <c r="H110" s="729"/>
      <c r="I110" s="15"/>
      <c r="J110" s="730"/>
      <c r="K110" s="16" t="e">
        <f t="shared" si="28"/>
        <v>#DIV/0!</v>
      </c>
      <c r="L110" s="730"/>
      <c r="M110" s="16"/>
      <c r="N110" s="731"/>
      <c r="O110" s="732"/>
      <c r="P110" s="729"/>
      <c r="Q110" s="732"/>
      <c r="R110" s="729"/>
      <c r="S110" s="732"/>
      <c r="T110" s="729"/>
      <c r="U110" s="732"/>
      <c r="V110" s="733"/>
      <c r="W110" s="521"/>
      <c r="X110" s="522"/>
      <c r="Y110" s="410"/>
    </row>
    <row r="111" spans="2:25" ht="15.75" customHeight="1" thickBot="1" x14ac:dyDescent="0.35">
      <c r="B111" s="838"/>
      <c r="C111" s="854"/>
      <c r="D111" s="805"/>
      <c r="E111" s="58" t="s">
        <v>52</v>
      </c>
      <c r="F111" s="59" t="s">
        <v>61</v>
      </c>
      <c r="G111" s="19">
        <f>215+82+11+8</f>
        <v>316</v>
      </c>
      <c r="H111" s="20">
        <f t="shared" si="25"/>
        <v>316</v>
      </c>
      <c r="I111" s="21">
        <f>(82+8)/G111</f>
        <v>0.2848101265822785</v>
      </c>
      <c r="J111" s="44">
        <f t="shared" si="0"/>
        <v>90</v>
      </c>
      <c r="K111" s="22">
        <f>(116+8)/G111</f>
        <v>0.39240506329113922</v>
      </c>
      <c r="L111" s="44">
        <f t="shared" si="1"/>
        <v>124</v>
      </c>
      <c r="M111" s="22"/>
      <c r="N111" s="39"/>
      <c r="O111" s="23"/>
      <c r="P111" s="20"/>
      <c r="Q111" s="23"/>
      <c r="R111" s="20"/>
      <c r="S111" s="23"/>
      <c r="T111" s="20"/>
      <c r="U111" s="23"/>
      <c r="V111" s="24"/>
      <c r="W111" s="449"/>
      <c r="X111" s="450"/>
      <c r="Y111" s="410"/>
    </row>
    <row r="112" spans="2:25" ht="16.2" thickBot="1" x14ac:dyDescent="0.35">
      <c r="B112" s="844"/>
      <c r="C112" s="854"/>
      <c r="D112" s="441" t="s">
        <v>138</v>
      </c>
      <c r="E112" s="395"/>
      <c r="F112" s="396"/>
      <c r="G112" s="397">
        <f>SUM(G100:G111)</f>
        <v>2211</v>
      </c>
      <c r="H112" s="398">
        <f>SUM(H100:H111)</f>
        <v>2211</v>
      </c>
      <c r="I112" s="27">
        <f>J112/G112</f>
        <v>0.12075983717774763</v>
      </c>
      <c r="J112" s="399">
        <f>SUM(J100:J111)</f>
        <v>267</v>
      </c>
      <c r="K112" s="28">
        <f>L112/G112</f>
        <v>0.39981908638625058</v>
      </c>
      <c r="L112" s="399">
        <f>SUM(L100:L111)</f>
        <v>884</v>
      </c>
      <c r="M112" s="28">
        <f>N112/L112</f>
        <v>0</v>
      </c>
      <c r="N112" s="400">
        <f>SUM(N100:N111)</f>
        <v>0</v>
      </c>
      <c r="O112" s="401"/>
      <c r="P112" s="398"/>
      <c r="Q112" s="401"/>
      <c r="R112" s="398"/>
      <c r="S112" s="401"/>
      <c r="T112" s="398"/>
      <c r="U112" s="401"/>
      <c r="V112" s="402"/>
      <c r="W112" s="451"/>
      <c r="X112" s="452"/>
      <c r="Y112" s="410"/>
    </row>
    <row r="113" spans="1:25" s="53" customFormat="1" ht="21" customHeight="1" thickBot="1" x14ac:dyDescent="0.35">
      <c r="A113" s="125"/>
      <c r="B113" s="76" t="s">
        <v>77</v>
      </c>
      <c r="C113" s="244"/>
      <c r="D113" s="77">
        <f>SUM(D45:D111)</f>
        <v>95</v>
      </c>
      <c r="E113" s="66"/>
      <c r="F113" s="67">
        <f>COUNT(J45:J111)</f>
        <v>42</v>
      </c>
      <c r="G113" s="46">
        <f>G53+G69+G80+G93+G94+G112</f>
        <v>4797</v>
      </c>
      <c r="H113" s="47">
        <f>H53+H69+H80+H93+H94+H112</f>
        <v>3358</v>
      </c>
      <c r="I113" s="48">
        <f>J113/G113</f>
        <v>0.27893475088597036</v>
      </c>
      <c r="J113" s="49">
        <f>J53+J69+J80+J93+J94+J112</f>
        <v>1338.05</v>
      </c>
      <c r="K113" s="50">
        <f>L113/G113</f>
        <v>0.39968938920158437</v>
      </c>
      <c r="L113" s="49">
        <f>L53+L69+L80+L93+L94+L112</f>
        <v>1917.3100000000002</v>
      </c>
      <c r="M113" s="68">
        <f>N113/(SUM(L62:L75))</f>
        <v>0.44169622277623599</v>
      </c>
      <c r="N113" s="69">
        <f>N53+N69+N80+N93+N94+N112</f>
        <v>93.900200000000012</v>
      </c>
      <c r="O113" s="51"/>
      <c r="P113" s="47"/>
      <c r="Q113" s="51"/>
      <c r="R113" s="47"/>
      <c r="S113" s="51"/>
      <c r="T113" s="47"/>
      <c r="U113" s="51"/>
      <c r="V113" s="52"/>
      <c r="W113" s="122"/>
      <c r="X113" s="411"/>
      <c r="Y113" s="411"/>
    </row>
    <row r="114" spans="1:25" s="53" customFormat="1" ht="21" customHeight="1" thickBot="1" x14ac:dyDescent="0.35">
      <c r="A114" s="125"/>
      <c r="B114" s="70" t="s">
        <v>66</v>
      </c>
      <c r="C114" s="77"/>
      <c r="D114" s="75">
        <f>D113+D44</f>
        <v>124</v>
      </c>
      <c r="E114" s="66"/>
      <c r="F114" s="67">
        <f>F113+F44</f>
        <v>61</v>
      </c>
      <c r="G114" s="46">
        <f>G44+G113</f>
        <v>5191</v>
      </c>
      <c r="H114" s="47">
        <f>H44+H113</f>
        <v>3593</v>
      </c>
      <c r="I114" s="48">
        <f>J114/G114</f>
        <v>0.27490271623964552</v>
      </c>
      <c r="J114" s="49">
        <f>J44+J113</f>
        <v>1427.02</v>
      </c>
      <c r="K114" s="50">
        <f>L114/G114</f>
        <v>0.38650163744943172</v>
      </c>
      <c r="L114" s="49">
        <f>L44+L113</f>
        <v>2006.3300000000002</v>
      </c>
      <c r="M114" s="68">
        <f>N114/(L5+L33+L34+L36+L38+L42+SUM(L62:L75))</f>
        <v>0.67805865244789154</v>
      </c>
      <c r="N114" s="69">
        <f>N5+N33+N34+N36+N38+N42+SUM(N62:N75)</f>
        <v>167.86020000000002</v>
      </c>
      <c r="O114" s="51"/>
      <c r="P114" s="47"/>
      <c r="Q114" s="51"/>
      <c r="R114" s="47"/>
      <c r="S114" s="51"/>
      <c r="T114" s="47"/>
      <c r="U114" s="51"/>
      <c r="V114" s="52"/>
      <c r="W114" s="122"/>
      <c r="X114" s="411"/>
      <c r="Y114" s="411"/>
    </row>
    <row r="115" spans="1:25" x14ac:dyDescent="0.3">
      <c r="B115" s="5"/>
      <c r="C115" s="35"/>
      <c r="D115" s="35"/>
      <c r="E115" s="5"/>
      <c r="F115" s="35"/>
      <c r="G115" s="35"/>
      <c r="H115" s="35"/>
      <c r="I115" s="36"/>
      <c r="J115" s="41"/>
      <c r="K115" s="36"/>
      <c r="L115" s="41"/>
      <c r="M115" s="804" t="s">
        <v>68</v>
      </c>
      <c r="N115" s="804"/>
      <c r="O115" s="35"/>
      <c r="P115" s="35"/>
      <c r="Q115" s="35"/>
      <c r="R115" s="35"/>
      <c r="S115" s="35"/>
      <c r="T115" s="35"/>
      <c r="U115" s="35"/>
      <c r="V115" s="35"/>
    </row>
    <row r="116" spans="1:25" x14ac:dyDescent="0.3">
      <c r="E116" s="131" t="s">
        <v>67</v>
      </c>
      <c r="F116" s="132"/>
    </row>
    <row r="117" spans="1:25" x14ac:dyDescent="0.3">
      <c r="E117" s="1" t="s">
        <v>60</v>
      </c>
      <c r="F117" s="2">
        <f>COUNTIF(F$5:F$111,E117)</f>
        <v>31</v>
      </c>
    </row>
    <row r="118" spans="1:25" x14ac:dyDescent="0.3">
      <c r="E118" s="1" t="s">
        <v>61</v>
      </c>
      <c r="F118" s="2">
        <f>COUNTIF(F$5:F$111,E118)</f>
        <v>8</v>
      </c>
    </row>
    <row r="119" spans="1:25" x14ac:dyDescent="0.3">
      <c r="E119" s="1" t="s">
        <v>62</v>
      </c>
      <c r="F119" s="2">
        <f>COUNTIF(F$5:F$111,E119)</f>
        <v>21</v>
      </c>
    </row>
    <row r="128" spans="1:25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.75" customHeight="1" x14ac:dyDescent="0.3"/>
    <row r="138" ht="15.7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</sheetData>
  <mergeCells count="47">
    <mergeCell ref="B45:B53"/>
    <mergeCell ref="C45:C53"/>
    <mergeCell ref="C62:C69"/>
    <mergeCell ref="C70:C80"/>
    <mergeCell ref="B100:B112"/>
    <mergeCell ref="B70:B80"/>
    <mergeCell ref="B94:B99"/>
    <mergeCell ref="C94:C99"/>
    <mergeCell ref="B81:B93"/>
    <mergeCell ref="C81:C93"/>
    <mergeCell ref="C100:C112"/>
    <mergeCell ref="B62:B69"/>
    <mergeCell ref="B54:B61"/>
    <mergeCell ref="C54:C61"/>
    <mergeCell ref="U2:V2"/>
    <mergeCell ref="Q2:R2"/>
    <mergeCell ref="O2:P2"/>
    <mergeCell ref="G2:H2"/>
    <mergeCell ref="I2:I4"/>
    <mergeCell ref="K2:K4"/>
    <mergeCell ref="M2:M4"/>
    <mergeCell ref="B2:B4"/>
    <mergeCell ref="S2:T2"/>
    <mergeCell ref="D2:D4"/>
    <mergeCell ref="D21:D31"/>
    <mergeCell ref="D33:D42"/>
    <mergeCell ref="C2:C4"/>
    <mergeCell ref="B21:B32"/>
    <mergeCell ref="B33:B43"/>
    <mergeCell ref="C21:C32"/>
    <mergeCell ref="C33:C43"/>
    <mergeCell ref="B7:B20"/>
    <mergeCell ref="C7:C20"/>
    <mergeCell ref="D45:D52"/>
    <mergeCell ref="F2:F4"/>
    <mergeCell ref="J2:J4"/>
    <mergeCell ref="L2:L4"/>
    <mergeCell ref="N2:N4"/>
    <mergeCell ref="E2:E4"/>
    <mergeCell ref="D7:D19"/>
    <mergeCell ref="D54:D60"/>
    <mergeCell ref="D81:D92"/>
    <mergeCell ref="M115:N115"/>
    <mergeCell ref="D62:D68"/>
    <mergeCell ref="D100:D111"/>
    <mergeCell ref="D70:D79"/>
    <mergeCell ref="D94:D98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I44 K44 I113:I114 M43:M44 I42:K43 I32:N32 I112:M112 I80:N80 K113:K114 I111:L111 I100:L104 I94:M94 I84:K86 M84:N86 I68:N75 I62:N62 I64:N65 J107:L108 I53:N53" formula="1"/>
    <ignoredError sqref="H32 N112" formulaRange="1"/>
    <ignoredError sqref="M113" evalError="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Y142"/>
  <sheetViews>
    <sheetView zoomScale="70" zoomScaleNormal="70" workbookViewId="0">
      <pane xSplit="6" ySplit="4" topLeftCell="G5" activePane="bottomRight" state="frozen"/>
      <selection activeCell="C3" sqref="C3:F3"/>
      <selection pane="topRight" activeCell="C3" sqref="C3:F3"/>
      <selection pane="bottomLeft" activeCell="C3" sqref="C3:F3"/>
      <selection pane="bottomRight" activeCell="C3" sqref="C3:F3"/>
    </sheetView>
  </sheetViews>
  <sheetFormatPr defaultColWidth="11.44140625" defaultRowHeight="14.4" x14ac:dyDescent="0.3"/>
  <cols>
    <col min="1" max="1" width="0.44140625" style="123" customWidth="1"/>
    <col min="2" max="2" width="38.88671875" style="1" customWidth="1"/>
    <col min="3" max="3" width="11.5546875" style="2" customWidth="1"/>
    <col min="4" max="4" width="15.33203125" style="2" customWidth="1"/>
    <col min="5" max="5" width="42.88671875" style="1" bestFit="1" customWidth="1"/>
    <col min="6" max="6" width="11.109375" style="2" hidden="1" customWidth="1"/>
    <col min="7" max="7" width="11.44140625" style="2"/>
    <col min="8" max="8" width="11.44140625" style="2" customWidth="1"/>
    <col min="9" max="9" width="11.44140625" style="3" customWidth="1"/>
    <col min="10" max="10" width="11.44140625" style="4" customWidth="1"/>
    <col min="11" max="11" width="11.44140625" style="3" customWidth="1"/>
    <col min="12" max="12" width="11.44140625" style="4" customWidth="1"/>
    <col min="13" max="13" width="11.44140625" style="3" customWidth="1"/>
    <col min="14" max="14" width="11.44140625" style="4" customWidth="1"/>
    <col min="15" max="22" width="7.5546875" style="2" customWidth="1"/>
    <col min="23" max="23" width="5.33203125" style="2" customWidth="1"/>
    <col min="24" max="24" width="11.44140625" style="1" customWidth="1"/>
    <col min="25" max="16384" width="11.44140625" style="1"/>
  </cols>
  <sheetData>
    <row r="1" spans="1:25" s="123" customFormat="1" ht="2.25" customHeight="1" thickBot="1" x14ac:dyDescent="0.35">
      <c r="C1" s="126"/>
      <c r="D1" s="126"/>
      <c r="F1" s="126"/>
      <c r="G1" s="126"/>
      <c r="H1" s="126"/>
      <c r="I1" s="127"/>
      <c r="J1" s="128"/>
      <c r="K1" s="127"/>
      <c r="L1" s="128"/>
      <c r="M1" s="127"/>
      <c r="N1" s="128"/>
      <c r="O1" s="126"/>
      <c r="P1" s="126"/>
      <c r="Q1" s="126"/>
      <c r="R1" s="126"/>
      <c r="S1" s="126"/>
      <c r="T1" s="126"/>
      <c r="U1" s="126"/>
      <c r="V1" s="126"/>
      <c r="W1" s="126"/>
    </row>
    <row r="2" spans="1:25" s="6" customFormat="1" ht="30" customHeight="1" thickBot="1" x14ac:dyDescent="0.35">
      <c r="A2" s="124"/>
      <c r="B2" s="817" t="s">
        <v>53</v>
      </c>
      <c r="C2" s="820" t="s">
        <v>74</v>
      </c>
      <c r="D2" s="820" t="s">
        <v>69</v>
      </c>
      <c r="E2" s="815" t="s">
        <v>79</v>
      </c>
      <c r="F2" s="810" t="s">
        <v>59</v>
      </c>
      <c r="G2" s="834" t="s">
        <v>54</v>
      </c>
      <c r="H2" s="819"/>
      <c r="I2" s="835" t="s">
        <v>55</v>
      </c>
      <c r="J2" s="865" t="s">
        <v>63</v>
      </c>
      <c r="K2" s="835" t="s">
        <v>56</v>
      </c>
      <c r="L2" s="865" t="s">
        <v>65</v>
      </c>
      <c r="M2" s="835" t="s">
        <v>57</v>
      </c>
      <c r="N2" s="865" t="s">
        <v>64</v>
      </c>
      <c r="O2" s="818" t="s">
        <v>39</v>
      </c>
      <c r="P2" s="819"/>
      <c r="Q2" s="818" t="s">
        <v>40</v>
      </c>
      <c r="R2" s="819"/>
      <c r="S2" s="818" t="s">
        <v>41</v>
      </c>
      <c r="T2" s="819"/>
      <c r="U2" s="810" t="s">
        <v>42</v>
      </c>
      <c r="V2" s="833"/>
      <c r="W2" s="414"/>
    </row>
    <row r="3" spans="1:25" s="6" customFormat="1" ht="30" customHeight="1" thickBot="1" x14ac:dyDescent="0.35">
      <c r="A3" s="124"/>
      <c r="B3" s="817"/>
      <c r="C3" s="820"/>
      <c r="D3" s="820"/>
      <c r="E3" s="815"/>
      <c r="F3" s="811"/>
      <c r="G3" s="249"/>
      <c r="H3" s="246"/>
      <c r="I3" s="835"/>
      <c r="J3" s="865"/>
      <c r="K3" s="835"/>
      <c r="L3" s="865"/>
      <c r="M3" s="835"/>
      <c r="N3" s="865"/>
      <c r="O3" s="245"/>
      <c r="P3" s="246"/>
      <c r="Q3" s="245"/>
      <c r="R3" s="246"/>
      <c r="S3" s="245"/>
      <c r="T3" s="246"/>
      <c r="U3" s="247"/>
      <c r="V3" s="248"/>
      <c r="W3" s="414"/>
    </row>
    <row r="4" spans="1:25" s="6" customFormat="1" ht="30" customHeight="1" thickBot="1" x14ac:dyDescent="0.35">
      <c r="A4" s="124"/>
      <c r="B4" s="817"/>
      <c r="C4" s="820"/>
      <c r="D4" s="820"/>
      <c r="E4" s="815"/>
      <c r="F4" s="812"/>
      <c r="G4" s="31" t="s">
        <v>43</v>
      </c>
      <c r="H4" s="32" t="s">
        <v>44</v>
      </c>
      <c r="I4" s="835"/>
      <c r="J4" s="865"/>
      <c r="K4" s="835"/>
      <c r="L4" s="865"/>
      <c r="M4" s="835"/>
      <c r="N4" s="865"/>
      <c r="O4" s="33" t="s">
        <v>43</v>
      </c>
      <c r="P4" s="32" t="s">
        <v>44</v>
      </c>
      <c r="Q4" s="33" t="s">
        <v>43</v>
      </c>
      <c r="R4" s="32" t="s">
        <v>44</v>
      </c>
      <c r="S4" s="33" t="s">
        <v>43</v>
      </c>
      <c r="T4" s="32" t="s">
        <v>44</v>
      </c>
      <c r="U4" s="33" t="s">
        <v>43</v>
      </c>
      <c r="V4" s="34" t="s">
        <v>44</v>
      </c>
      <c r="W4" s="414"/>
    </row>
    <row r="5" spans="1:25" ht="15.6" x14ac:dyDescent="0.3">
      <c r="B5" s="193" t="s">
        <v>86</v>
      </c>
      <c r="C5" s="651" t="s">
        <v>75</v>
      </c>
      <c r="D5" s="173">
        <v>2</v>
      </c>
      <c r="E5" s="174" t="s">
        <v>71</v>
      </c>
      <c r="F5" s="175" t="s">
        <v>60</v>
      </c>
      <c r="G5" s="176">
        <v>102</v>
      </c>
      <c r="H5" s="177">
        <v>94</v>
      </c>
      <c r="I5" s="194">
        <f>J5/G5</f>
        <v>1.9607843137254902E-2</v>
      </c>
      <c r="J5" s="431">
        <v>2</v>
      </c>
      <c r="K5" s="432">
        <f>L5/G5</f>
        <v>0.17647058823529413</v>
      </c>
      <c r="L5" s="431">
        <v>18</v>
      </c>
      <c r="M5" s="432">
        <f>IF(N5="-","-",N5/L5)</f>
        <v>0.1111111111111111</v>
      </c>
      <c r="N5" s="199">
        <v>2</v>
      </c>
      <c r="O5" s="203" t="s">
        <v>21</v>
      </c>
      <c r="P5" s="204" t="s">
        <v>21</v>
      </c>
      <c r="Q5" s="203" t="s">
        <v>21</v>
      </c>
      <c r="R5" s="204" t="s">
        <v>21</v>
      </c>
      <c r="S5" s="195" t="s">
        <v>21</v>
      </c>
      <c r="T5" s="196" t="s">
        <v>21</v>
      </c>
      <c r="U5" s="195" t="s">
        <v>21</v>
      </c>
      <c r="V5" s="197" t="s">
        <v>21</v>
      </c>
      <c r="W5" s="415" t="s">
        <v>142</v>
      </c>
      <c r="Y5" s="1">
        <f t="shared" ref="Y5:Y31" si="0">IF(G5="","",1)</f>
        <v>1</v>
      </c>
    </row>
    <row r="6" spans="1:25" ht="15.6" x14ac:dyDescent="0.3">
      <c r="B6" s="769" t="s">
        <v>168</v>
      </c>
      <c r="C6" s="649" t="s">
        <v>75</v>
      </c>
      <c r="D6" s="654">
        <v>2</v>
      </c>
      <c r="E6" s="770" t="s">
        <v>169</v>
      </c>
      <c r="F6" s="771" t="s">
        <v>60</v>
      </c>
      <c r="G6" s="772"/>
      <c r="H6" s="167"/>
      <c r="I6" s="536" t="e">
        <f>J6/G6</f>
        <v>#DIV/0!</v>
      </c>
      <c r="J6" s="773"/>
      <c r="K6" s="165" t="e">
        <f>L6/G6</f>
        <v>#DIV/0!</v>
      </c>
      <c r="L6" s="773"/>
      <c r="M6" s="165" t="e">
        <f>IF(N6="-","-",N6/L6)</f>
        <v>#DIV/0!</v>
      </c>
      <c r="N6" s="774"/>
      <c r="O6" s="211" t="s">
        <v>21</v>
      </c>
      <c r="P6" s="212" t="s">
        <v>21</v>
      </c>
      <c r="Q6" s="211" t="s">
        <v>21</v>
      </c>
      <c r="R6" s="212" t="s">
        <v>21</v>
      </c>
      <c r="S6" s="270" t="s">
        <v>21</v>
      </c>
      <c r="T6" s="271" t="s">
        <v>21</v>
      </c>
      <c r="U6" s="270" t="s">
        <v>21</v>
      </c>
      <c r="V6" s="272" t="s">
        <v>21</v>
      </c>
      <c r="W6" s="415" t="s">
        <v>142</v>
      </c>
      <c r="Y6" s="1" t="str">
        <f t="shared" ref="Y6:Y14" si="1">IF(G6="","",1)</f>
        <v/>
      </c>
    </row>
    <row r="7" spans="1:25" ht="15" customHeight="1" x14ac:dyDescent="0.3">
      <c r="B7" s="847" t="s">
        <v>170</v>
      </c>
      <c r="C7" s="806" t="s">
        <v>75</v>
      </c>
      <c r="D7" s="860">
        <v>9</v>
      </c>
      <c r="E7" s="178" t="s">
        <v>171</v>
      </c>
      <c r="F7" s="179" t="s">
        <v>60</v>
      </c>
      <c r="G7" s="331"/>
      <c r="H7" s="329"/>
      <c r="I7" s="146" t="e">
        <f t="shared" ref="I7:I19" si="2">J7/G7</f>
        <v>#DIV/0!</v>
      </c>
      <c r="J7" s="433"/>
      <c r="K7" s="145" t="e">
        <f t="shared" ref="K7:K19" si="3">L7/G7</f>
        <v>#DIV/0!</v>
      </c>
      <c r="L7" s="433"/>
      <c r="M7" s="145" t="str">
        <f>IF(N7="-","-",N7/L7)</f>
        <v>-</v>
      </c>
      <c r="N7" s="200" t="s">
        <v>21</v>
      </c>
      <c r="O7" s="205" t="s">
        <v>21</v>
      </c>
      <c r="P7" s="206" t="s">
        <v>21</v>
      </c>
      <c r="Q7" s="205" t="s">
        <v>21</v>
      </c>
      <c r="R7" s="206" t="s">
        <v>21</v>
      </c>
      <c r="S7" s="147" t="s">
        <v>21</v>
      </c>
      <c r="T7" s="144" t="s">
        <v>21</v>
      </c>
      <c r="U7" s="147" t="s">
        <v>21</v>
      </c>
      <c r="V7" s="169" t="s">
        <v>21</v>
      </c>
      <c r="W7" s="415" t="s">
        <v>142</v>
      </c>
      <c r="Y7" s="1" t="str">
        <f t="shared" si="1"/>
        <v/>
      </c>
    </row>
    <row r="8" spans="1:25" ht="15" customHeight="1" x14ac:dyDescent="0.3">
      <c r="B8" s="848"/>
      <c r="C8" s="807"/>
      <c r="D8" s="860"/>
      <c r="E8" s="181" t="s">
        <v>171</v>
      </c>
      <c r="F8" s="182" t="s">
        <v>60</v>
      </c>
      <c r="G8" s="332"/>
      <c r="H8" s="330"/>
      <c r="I8" s="152" t="e">
        <f t="shared" si="2"/>
        <v>#DIV/0!</v>
      </c>
      <c r="J8" s="434"/>
      <c r="K8" s="151" t="e">
        <f t="shared" si="3"/>
        <v>#DIV/0!</v>
      </c>
      <c r="L8" s="434"/>
      <c r="M8" s="151" t="str">
        <f t="shared" ref="M8:M19" si="4">IF(N8="-","-",N8/L8)</f>
        <v>-</v>
      </c>
      <c r="N8" s="201" t="s">
        <v>21</v>
      </c>
      <c r="O8" s="207" t="s">
        <v>21</v>
      </c>
      <c r="P8" s="208" t="s">
        <v>21</v>
      </c>
      <c r="Q8" s="207" t="s">
        <v>21</v>
      </c>
      <c r="R8" s="208" t="s">
        <v>21</v>
      </c>
      <c r="S8" s="153" t="s">
        <v>21</v>
      </c>
      <c r="T8" s="150" t="s">
        <v>21</v>
      </c>
      <c r="U8" s="153" t="s">
        <v>21</v>
      </c>
      <c r="V8" s="157" t="s">
        <v>21</v>
      </c>
      <c r="W8" s="415" t="s">
        <v>142</v>
      </c>
      <c r="Y8" s="1" t="str">
        <f t="shared" si="1"/>
        <v/>
      </c>
    </row>
    <row r="9" spans="1:25" ht="15" customHeight="1" x14ac:dyDescent="0.3">
      <c r="B9" s="848"/>
      <c r="C9" s="807"/>
      <c r="D9" s="860"/>
      <c r="E9" s="181" t="s">
        <v>171</v>
      </c>
      <c r="F9" s="182" t="s">
        <v>60</v>
      </c>
      <c r="G9" s="332"/>
      <c r="H9" s="330"/>
      <c r="I9" s="152" t="e">
        <f t="shared" si="2"/>
        <v>#DIV/0!</v>
      </c>
      <c r="J9" s="434"/>
      <c r="K9" s="151" t="e">
        <f t="shared" si="3"/>
        <v>#DIV/0!</v>
      </c>
      <c r="L9" s="434"/>
      <c r="M9" s="151" t="str">
        <f t="shared" si="4"/>
        <v>-</v>
      </c>
      <c r="N9" s="201" t="s">
        <v>21</v>
      </c>
      <c r="O9" s="207" t="s">
        <v>21</v>
      </c>
      <c r="P9" s="208" t="s">
        <v>21</v>
      </c>
      <c r="Q9" s="207" t="s">
        <v>21</v>
      </c>
      <c r="R9" s="208" t="s">
        <v>21</v>
      </c>
      <c r="S9" s="153" t="s">
        <v>21</v>
      </c>
      <c r="T9" s="150" t="s">
        <v>21</v>
      </c>
      <c r="U9" s="153" t="s">
        <v>21</v>
      </c>
      <c r="V9" s="157" t="s">
        <v>21</v>
      </c>
      <c r="W9" s="415" t="s">
        <v>142</v>
      </c>
      <c r="Y9" s="1" t="str">
        <f t="shared" si="1"/>
        <v/>
      </c>
    </row>
    <row r="10" spans="1:25" ht="15" customHeight="1" x14ac:dyDescent="0.3">
      <c r="B10" s="848"/>
      <c r="C10" s="807"/>
      <c r="D10" s="860"/>
      <c r="E10" s="181" t="s">
        <v>171</v>
      </c>
      <c r="F10" s="182" t="s">
        <v>60</v>
      </c>
      <c r="G10" s="332"/>
      <c r="H10" s="330"/>
      <c r="I10" s="152" t="e">
        <f t="shared" si="2"/>
        <v>#DIV/0!</v>
      </c>
      <c r="J10" s="434"/>
      <c r="K10" s="151" t="e">
        <f t="shared" si="3"/>
        <v>#DIV/0!</v>
      </c>
      <c r="L10" s="434"/>
      <c r="M10" s="151" t="str">
        <f t="shared" si="4"/>
        <v>-</v>
      </c>
      <c r="N10" s="201" t="s">
        <v>21</v>
      </c>
      <c r="O10" s="207" t="s">
        <v>21</v>
      </c>
      <c r="P10" s="208" t="s">
        <v>21</v>
      </c>
      <c r="Q10" s="207" t="s">
        <v>21</v>
      </c>
      <c r="R10" s="208" t="s">
        <v>21</v>
      </c>
      <c r="S10" s="153"/>
      <c r="T10" s="150"/>
      <c r="U10" s="153"/>
      <c r="V10" s="157"/>
      <c r="W10" s="415" t="s">
        <v>142</v>
      </c>
      <c r="Y10" s="1" t="str">
        <f t="shared" si="1"/>
        <v/>
      </c>
    </row>
    <row r="11" spans="1:25" ht="15" customHeight="1" x14ac:dyDescent="0.3">
      <c r="B11" s="848"/>
      <c r="C11" s="807"/>
      <c r="D11" s="860"/>
      <c r="E11" s="181" t="s">
        <v>171</v>
      </c>
      <c r="F11" s="182" t="s">
        <v>60</v>
      </c>
      <c r="G11" s="332"/>
      <c r="H11" s="330"/>
      <c r="I11" s="152" t="e">
        <f t="shared" si="2"/>
        <v>#DIV/0!</v>
      </c>
      <c r="J11" s="434"/>
      <c r="K11" s="151" t="e">
        <f t="shared" si="3"/>
        <v>#DIV/0!</v>
      </c>
      <c r="L11" s="434"/>
      <c r="M11" s="151" t="str">
        <f t="shared" si="4"/>
        <v>-</v>
      </c>
      <c r="N11" s="201" t="s">
        <v>21</v>
      </c>
      <c r="O11" s="207" t="s">
        <v>21</v>
      </c>
      <c r="P11" s="208" t="s">
        <v>21</v>
      </c>
      <c r="Q11" s="207" t="s">
        <v>21</v>
      </c>
      <c r="R11" s="208" t="s">
        <v>21</v>
      </c>
      <c r="S11" s="153" t="s">
        <v>21</v>
      </c>
      <c r="T11" s="150" t="s">
        <v>21</v>
      </c>
      <c r="U11" s="153" t="s">
        <v>21</v>
      </c>
      <c r="V11" s="157" t="s">
        <v>21</v>
      </c>
      <c r="W11" s="415" t="s">
        <v>142</v>
      </c>
      <c r="Y11" s="1" t="str">
        <f t="shared" si="1"/>
        <v/>
      </c>
    </row>
    <row r="12" spans="1:25" ht="15" customHeight="1" x14ac:dyDescent="0.3">
      <c r="B12" s="848"/>
      <c r="C12" s="807"/>
      <c r="D12" s="860"/>
      <c r="E12" s="181" t="s">
        <v>171</v>
      </c>
      <c r="F12" s="182" t="s">
        <v>60</v>
      </c>
      <c r="G12" s="332"/>
      <c r="H12" s="330"/>
      <c r="I12" s="152" t="e">
        <f t="shared" si="2"/>
        <v>#DIV/0!</v>
      </c>
      <c r="J12" s="434"/>
      <c r="K12" s="151" t="e">
        <f t="shared" si="3"/>
        <v>#DIV/0!</v>
      </c>
      <c r="L12" s="434"/>
      <c r="M12" s="151" t="str">
        <f t="shared" si="4"/>
        <v>-</v>
      </c>
      <c r="N12" s="201" t="s">
        <v>21</v>
      </c>
      <c r="O12" s="207" t="s">
        <v>21</v>
      </c>
      <c r="P12" s="208" t="s">
        <v>21</v>
      </c>
      <c r="Q12" s="207" t="s">
        <v>21</v>
      </c>
      <c r="R12" s="208" t="s">
        <v>21</v>
      </c>
      <c r="S12" s="153" t="s">
        <v>21</v>
      </c>
      <c r="T12" s="150" t="s">
        <v>21</v>
      </c>
      <c r="U12" s="153" t="s">
        <v>21</v>
      </c>
      <c r="V12" s="157" t="s">
        <v>21</v>
      </c>
      <c r="W12" s="415" t="s">
        <v>142</v>
      </c>
      <c r="Y12" s="1" t="str">
        <f t="shared" si="1"/>
        <v/>
      </c>
    </row>
    <row r="13" spans="1:25" ht="15" customHeight="1" x14ac:dyDescent="0.3">
      <c r="B13" s="848"/>
      <c r="C13" s="807"/>
      <c r="D13" s="860"/>
      <c r="E13" s="181" t="s">
        <v>171</v>
      </c>
      <c r="F13" s="182" t="s">
        <v>60</v>
      </c>
      <c r="G13" s="332"/>
      <c r="H13" s="330"/>
      <c r="I13" s="152" t="e">
        <f t="shared" si="2"/>
        <v>#DIV/0!</v>
      </c>
      <c r="J13" s="434"/>
      <c r="K13" s="151" t="e">
        <f t="shared" si="3"/>
        <v>#DIV/0!</v>
      </c>
      <c r="L13" s="434"/>
      <c r="M13" s="151" t="str">
        <f t="shared" si="4"/>
        <v>-</v>
      </c>
      <c r="N13" s="201" t="s">
        <v>21</v>
      </c>
      <c r="O13" s="207" t="s">
        <v>21</v>
      </c>
      <c r="P13" s="208" t="s">
        <v>21</v>
      </c>
      <c r="Q13" s="207" t="s">
        <v>21</v>
      </c>
      <c r="R13" s="208" t="s">
        <v>21</v>
      </c>
      <c r="S13" s="153" t="s">
        <v>21</v>
      </c>
      <c r="T13" s="150" t="s">
        <v>21</v>
      </c>
      <c r="U13" s="153" t="s">
        <v>21</v>
      </c>
      <c r="V13" s="157" t="s">
        <v>21</v>
      </c>
      <c r="W13" s="415" t="s">
        <v>142</v>
      </c>
      <c r="Y13" s="1" t="str">
        <f t="shared" si="1"/>
        <v/>
      </c>
    </row>
    <row r="14" spans="1:25" ht="15" customHeight="1" x14ac:dyDescent="0.3">
      <c r="B14" s="848"/>
      <c r="C14" s="807"/>
      <c r="D14" s="860"/>
      <c r="E14" s="181" t="s">
        <v>171</v>
      </c>
      <c r="F14" s="182" t="s">
        <v>60</v>
      </c>
      <c r="G14" s="332"/>
      <c r="H14" s="330"/>
      <c r="I14" s="152" t="e">
        <f t="shared" si="2"/>
        <v>#DIV/0!</v>
      </c>
      <c r="J14" s="434"/>
      <c r="K14" s="151" t="e">
        <f t="shared" si="3"/>
        <v>#DIV/0!</v>
      </c>
      <c r="L14" s="434"/>
      <c r="M14" s="151" t="str">
        <f t="shared" si="4"/>
        <v>-</v>
      </c>
      <c r="N14" s="201" t="s">
        <v>21</v>
      </c>
      <c r="O14" s="207" t="s">
        <v>21</v>
      </c>
      <c r="P14" s="208" t="s">
        <v>21</v>
      </c>
      <c r="Q14" s="207" t="s">
        <v>21</v>
      </c>
      <c r="R14" s="208" t="s">
        <v>21</v>
      </c>
      <c r="S14" s="153" t="s">
        <v>21</v>
      </c>
      <c r="T14" s="150" t="s">
        <v>21</v>
      </c>
      <c r="U14" s="153" t="s">
        <v>21</v>
      </c>
      <c r="V14" s="157" t="s">
        <v>21</v>
      </c>
      <c r="W14" s="415" t="s">
        <v>142</v>
      </c>
      <c r="Y14" s="1" t="str">
        <f t="shared" si="1"/>
        <v/>
      </c>
    </row>
    <row r="15" spans="1:25" ht="15" customHeight="1" x14ac:dyDescent="0.3">
      <c r="B15" s="848"/>
      <c r="C15" s="807"/>
      <c r="D15" s="860"/>
      <c r="E15" s="692" t="s">
        <v>171</v>
      </c>
      <c r="F15" s="693"/>
      <c r="G15" s="332"/>
      <c r="H15" s="330"/>
      <c r="I15" s="152" t="e">
        <f t="shared" ref="I15:I18" si="5">J15/G15</f>
        <v>#DIV/0!</v>
      </c>
      <c r="J15" s="434"/>
      <c r="K15" s="151" t="e">
        <f t="shared" ref="K15:K18" si="6">L15/G15</f>
        <v>#DIV/0!</v>
      </c>
      <c r="L15" s="434"/>
      <c r="M15" s="151" t="str">
        <f t="shared" si="4"/>
        <v>-</v>
      </c>
      <c r="N15" s="703" t="s">
        <v>21</v>
      </c>
      <c r="O15" s="687" t="s">
        <v>21</v>
      </c>
      <c r="P15" s="688" t="s">
        <v>21</v>
      </c>
      <c r="Q15" s="687" t="s">
        <v>21</v>
      </c>
      <c r="R15" s="688" t="s">
        <v>21</v>
      </c>
      <c r="S15" s="689"/>
      <c r="T15" s="690"/>
      <c r="U15" s="689"/>
      <c r="V15" s="691"/>
      <c r="W15" s="415"/>
    </row>
    <row r="16" spans="1:25" ht="15" customHeight="1" x14ac:dyDescent="0.3">
      <c r="B16" s="848"/>
      <c r="C16" s="807"/>
      <c r="D16" s="860"/>
      <c r="E16" s="692" t="s">
        <v>171</v>
      </c>
      <c r="F16" s="693"/>
      <c r="G16" s="332"/>
      <c r="H16" s="330"/>
      <c r="I16" s="152" t="e">
        <f t="shared" si="5"/>
        <v>#DIV/0!</v>
      </c>
      <c r="J16" s="434"/>
      <c r="K16" s="151" t="e">
        <f t="shared" si="6"/>
        <v>#DIV/0!</v>
      </c>
      <c r="L16" s="434"/>
      <c r="M16" s="151" t="str">
        <f t="shared" si="4"/>
        <v>-</v>
      </c>
      <c r="N16" s="703" t="s">
        <v>21</v>
      </c>
      <c r="O16" s="687" t="s">
        <v>21</v>
      </c>
      <c r="P16" s="688" t="s">
        <v>21</v>
      </c>
      <c r="Q16" s="687" t="s">
        <v>21</v>
      </c>
      <c r="R16" s="688" t="s">
        <v>21</v>
      </c>
      <c r="S16" s="689"/>
      <c r="T16" s="690"/>
      <c r="U16" s="689"/>
      <c r="V16" s="691"/>
      <c r="W16" s="415"/>
    </row>
    <row r="17" spans="2:25" ht="15" customHeight="1" x14ac:dyDescent="0.3">
      <c r="B17" s="848"/>
      <c r="C17" s="807"/>
      <c r="D17" s="860"/>
      <c r="E17" s="692"/>
      <c r="F17" s="693"/>
      <c r="G17" s="704"/>
      <c r="H17" s="705"/>
      <c r="I17" s="152" t="e">
        <f t="shared" si="5"/>
        <v>#DIV/0!</v>
      </c>
      <c r="J17" s="707"/>
      <c r="K17" s="151" t="e">
        <f t="shared" si="6"/>
        <v>#DIV/0!</v>
      </c>
      <c r="L17" s="707"/>
      <c r="M17" s="151" t="str">
        <f t="shared" si="4"/>
        <v>-</v>
      </c>
      <c r="N17" s="703" t="s">
        <v>21</v>
      </c>
      <c r="O17" s="687" t="s">
        <v>21</v>
      </c>
      <c r="P17" s="688" t="s">
        <v>21</v>
      </c>
      <c r="Q17" s="687" t="s">
        <v>21</v>
      </c>
      <c r="R17" s="688" t="s">
        <v>21</v>
      </c>
      <c r="S17" s="689"/>
      <c r="T17" s="690"/>
      <c r="U17" s="689"/>
      <c r="V17" s="691"/>
      <c r="W17" s="415"/>
    </row>
    <row r="18" spans="2:25" ht="15" customHeight="1" x14ac:dyDescent="0.3">
      <c r="B18" s="848"/>
      <c r="C18" s="807"/>
      <c r="D18" s="860"/>
      <c r="E18" s="692"/>
      <c r="F18" s="693"/>
      <c r="G18" s="704"/>
      <c r="H18" s="705"/>
      <c r="I18" s="152" t="e">
        <f t="shared" si="5"/>
        <v>#DIV/0!</v>
      </c>
      <c r="J18" s="707"/>
      <c r="K18" s="151" t="e">
        <f t="shared" si="6"/>
        <v>#DIV/0!</v>
      </c>
      <c r="L18" s="707"/>
      <c r="M18" s="151" t="str">
        <f t="shared" si="4"/>
        <v>-</v>
      </c>
      <c r="N18" s="703" t="s">
        <v>21</v>
      </c>
      <c r="O18" s="687" t="s">
        <v>21</v>
      </c>
      <c r="P18" s="688" t="s">
        <v>21</v>
      </c>
      <c r="Q18" s="687" t="s">
        <v>21</v>
      </c>
      <c r="R18" s="688" t="s">
        <v>21</v>
      </c>
      <c r="S18" s="689"/>
      <c r="T18" s="690"/>
      <c r="U18" s="689"/>
      <c r="V18" s="691"/>
      <c r="W18" s="415"/>
    </row>
    <row r="19" spans="2:25" ht="15" customHeight="1" x14ac:dyDescent="0.3">
      <c r="B19" s="848"/>
      <c r="C19" s="807"/>
      <c r="D19" s="860"/>
      <c r="E19" s="184" t="s">
        <v>171</v>
      </c>
      <c r="F19" s="185" t="s">
        <v>60</v>
      </c>
      <c r="G19" s="186"/>
      <c r="H19" s="163"/>
      <c r="I19" s="160" t="e">
        <f t="shared" si="2"/>
        <v>#DIV/0!</v>
      </c>
      <c r="J19" s="435"/>
      <c r="K19" s="159" t="e">
        <f t="shared" si="3"/>
        <v>#DIV/0!</v>
      </c>
      <c r="L19" s="435"/>
      <c r="M19" s="159" t="str">
        <f t="shared" si="4"/>
        <v>-</v>
      </c>
      <c r="N19" s="202" t="s">
        <v>21</v>
      </c>
      <c r="O19" s="209" t="s">
        <v>21</v>
      </c>
      <c r="P19" s="210" t="s">
        <v>21</v>
      </c>
      <c r="Q19" s="209" t="s">
        <v>21</v>
      </c>
      <c r="R19" s="210" t="s">
        <v>21</v>
      </c>
      <c r="S19" s="161" t="s">
        <v>21</v>
      </c>
      <c r="T19" s="158" t="s">
        <v>21</v>
      </c>
      <c r="U19" s="161" t="s">
        <v>21</v>
      </c>
      <c r="V19" s="198" t="s">
        <v>21</v>
      </c>
      <c r="W19" s="415" t="s">
        <v>142</v>
      </c>
      <c r="Y19" s="1" t="str">
        <f t="shared" ref="Y19" si="7">IF(G19="","",1)</f>
        <v/>
      </c>
    </row>
    <row r="20" spans="2:25" ht="15.6" x14ac:dyDescent="0.3">
      <c r="B20" s="849"/>
      <c r="C20" s="831"/>
      <c r="D20" s="650" t="s">
        <v>138</v>
      </c>
      <c r="E20" s="390"/>
      <c r="F20" s="391"/>
      <c r="G20" s="25">
        <f>SUM(G7:G19)</f>
        <v>0</v>
      </c>
      <c r="H20" s="26">
        <f>SUM(H7:H19)</f>
        <v>0</v>
      </c>
      <c r="I20" s="27" t="e">
        <f>J20/G20</f>
        <v>#DIV/0!</v>
      </c>
      <c r="J20" s="412">
        <f>SUM(J7:J19)</f>
        <v>0</v>
      </c>
      <c r="K20" s="27" t="e">
        <f>L20/G20</f>
        <v>#DIV/0!</v>
      </c>
      <c r="L20" s="412">
        <f>SUM(L7:L19)</f>
        <v>0</v>
      </c>
      <c r="M20" s="27" t="e">
        <f>N20/L20</f>
        <v>#DIV/0!</v>
      </c>
      <c r="N20" s="412">
        <f>SUM(N7:N19)</f>
        <v>0</v>
      </c>
      <c r="O20" s="259"/>
      <c r="P20" s="260"/>
      <c r="Q20" s="259"/>
      <c r="R20" s="260"/>
      <c r="S20" s="259"/>
      <c r="T20" s="260"/>
      <c r="U20" s="259"/>
      <c r="V20" s="261"/>
      <c r="W20" s="415" t="s">
        <v>142</v>
      </c>
    </row>
    <row r="21" spans="2:25" ht="15" customHeight="1" x14ac:dyDescent="0.3">
      <c r="B21" s="847" t="s">
        <v>82</v>
      </c>
      <c r="C21" s="806" t="s">
        <v>75</v>
      </c>
      <c r="D21" s="860">
        <v>9</v>
      </c>
      <c r="E21" s="178" t="s">
        <v>13</v>
      </c>
      <c r="F21" s="179" t="s">
        <v>60</v>
      </c>
      <c r="G21" s="331">
        <v>76</v>
      </c>
      <c r="H21" s="329">
        <v>50</v>
      </c>
      <c r="I21" s="146">
        <f t="shared" ref="I21:I42" si="8">J21/G21</f>
        <v>0.22368421052631579</v>
      </c>
      <c r="J21" s="433">
        <v>17</v>
      </c>
      <c r="K21" s="145">
        <f t="shared" ref="K21:K42" si="9">L21/G21</f>
        <v>0.36842105263157893</v>
      </c>
      <c r="L21" s="433">
        <v>28</v>
      </c>
      <c r="M21" s="145" t="str">
        <f>IF(N21="-","-",N21/L21)</f>
        <v>-</v>
      </c>
      <c r="N21" s="200" t="s">
        <v>21</v>
      </c>
      <c r="O21" s="205" t="s">
        <v>21</v>
      </c>
      <c r="P21" s="206" t="s">
        <v>21</v>
      </c>
      <c r="Q21" s="205" t="s">
        <v>21</v>
      </c>
      <c r="R21" s="206" t="s">
        <v>21</v>
      </c>
      <c r="S21" s="147" t="s">
        <v>21</v>
      </c>
      <c r="T21" s="144" t="s">
        <v>21</v>
      </c>
      <c r="U21" s="147" t="s">
        <v>21</v>
      </c>
      <c r="V21" s="169" t="s">
        <v>21</v>
      </c>
      <c r="W21" s="415" t="s">
        <v>142</v>
      </c>
      <c r="Y21" s="1">
        <f t="shared" si="0"/>
        <v>1</v>
      </c>
    </row>
    <row r="22" spans="2:25" ht="15" customHeight="1" x14ac:dyDescent="0.3">
      <c r="B22" s="848"/>
      <c r="C22" s="807"/>
      <c r="D22" s="860"/>
      <c r="E22" s="181" t="s">
        <v>14</v>
      </c>
      <c r="F22" s="182" t="s">
        <v>60</v>
      </c>
      <c r="G22" s="332">
        <v>45</v>
      </c>
      <c r="H22" s="330">
        <v>27</v>
      </c>
      <c r="I22" s="152">
        <f t="shared" si="8"/>
        <v>0.46666666666666667</v>
      </c>
      <c r="J22" s="434">
        <v>21</v>
      </c>
      <c r="K22" s="151">
        <f t="shared" si="9"/>
        <v>0.31111111111111112</v>
      </c>
      <c r="L22" s="434">
        <v>14</v>
      </c>
      <c r="M22" s="151" t="str">
        <f t="shared" ref="M22:M42" si="10">IF(N22="-","-",N22/L22)</f>
        <v>-</v>
      </c>
      <c r="N22" s="201" t="s">
        <v>21</v>
      </c>
      <c r="O22" s="207" t="s">
        <v>21</v>
      </c>
      <c r="P22" s="208" t="s">
        <v>21</v>
      </c>
      <c r="Q22" s="207" t="s">
        <v>21</v>
      </c>
      <c r="R22" s="208" t="s">
        <v>21</v>
      </c>
      <c r="S22" s="153" t="s">
        <v>21</v>
      </c>
      <c r="T22" s="150" t="s">
        <v>21</v>
      </c>
      <c r="U22" s="153" t="s">
        <v>21</v>
      </c>
      <c r="V22" s="157" t="s">
        <v>21</v>
      </c>
      <c r="W22" s="415" t="s">
        <v>142</v>
      </c>
      <c r="Y22" s="1">
        <f t="shared" si="0"/>
        <v>1</v>
      </c>
    </row>
    <row r="23" spans="2:25" ht="15" customHeight="1" x14ac:dyDescent="0.3">
      <c r="B23" s="848"/>
      <c r="C23" s="807"/>
      <c r="D23" s="860"/>
      <c r="E23" s="181" t="s">
        <v>15</v>
      </c>
      <c r="F23" s="182" t="s">
        <v>60</v>
      </c>
      <c r="G23" s="332">
        <v>16</v>
      </c>
      <c r="H23" s="330">
        <v>10</v>
      </c>
      <c r="I23" s="152">
        <f t="shared" si="8"/>
        <v>0.3125</v>
      </c>
      <c r="J23" s="434">
        <v>5</v>
      </c>
      <c r="K23" s="151">
        <f t="shared" si="9"/>
        <v>0.1875</v>
      </c>
      <c r="L23" s="434">
        <v>3</v>
      </c>
      <c r="M23" s="151" t="str">
        <f t="shared" si="10"/>
        <v>-</v>
      </c>
      <c r="N23" s="201" t="s">
        <v>21</v>
      </c>
      <c r="O23" s="207" t="s">
        <v>21</v>
      </c>
      <c r="P23" s="208" t="s">
        <v>21</v>
      </c>
      <c r="Q23" s="207" t="s">
        <v>21</v>
      </c>
      <c r="R23" s="208" t="s">
        <v>21</v>
      </c>
      <c r="S23" s="153" t="s">
        <v>21</v>
      </c>
      <c r="T23" s="150" t="s">
        <v>21</v>
      </c>
      <c r="U23" s="153" t="s">
        <v>21</v>
      </c>
      <c r="V23" s="157" t="s">
        <v>21</v>
      </c>
      <c r="W23" s="415" t="s">
        <v>142</v>
      </c>
      <c r="Y23" s="1">
        <f t="shared" si="0"/>
        <v>1</v>
      </c>
    </row>
    <row r="24" spans="2:25" ht="15" customHeight="1" x14ac:dyDescent="0.3">
      <c r="B24" s="848"/>
      <c r="C24" s="807"/>
      <c r="D24" s="860"/>
      <c r="E24" s="181" t="s">
        <v>141</v>
      </c>
      <c r="F24" s="182" t="s">
        <v>60</v>
      </c>
      <c r="G24" s="332">
        <v>56</v>
      </c>
      <c r="H24" s="330">
        <v>36</v>
      </c>
      <c r="I24" s="152">
        <f t="shared" si="8"/>
        <v>0.21428571428571427</v>
      </c>
      <c r="J24" s="434">
        <v>12</v>
      </c>
      <c r="K24" s="151">
        <f t="shared" si="9"/>
        <v>0.17857142857142858</v>
      </c>
      <c r="L24" s="434">
        <v>10</v>
      </c>
      <c r="M24" s="151" t="str">
        <f t="shared" si="10"/>
        <v>-</v>
      </c>
      <c r="N24" s="201" t="s">
        <v>21</v>
      </c>
      <c r="O24" s="207" t="s">
        <v>21</v>
      </c>
      <c r="P24" s="208" t="s">
        <v>21</v>
      </c>
      <c r="Q24" s="207" t="s">
        <v>21</v>
      </c>
      <c r="R24" s="208" t="s">
        <v>21</v>
      </c>
      <c r="S24" s="153"/>
      <c r="T24" s="150"/>
      <c r="U24" s="153"/>
      <c r="V24" s="157"/>
      <c r="W24" s="415" t="s">
        <v>142</v>
      </c>
      <c r="Y24" s="1">
        <f t="shared" si="0"/>
        <v>1</v>
      </c>
    </row>
    <row r="25" spans="2:25" ht="15" customHeight="1" x14ac:dyDescent="0.3">
      <c r="B25" s="848"/>
      <c r="C25" s="807"/>
      <c r="D25" s="860"/>
      <c r="E25" s="181" t="s">
        <v>16</v>
      </c>
      <c r="F25" s="182" t="s">
        <v>60</v>
      </c>
      <c r="G25" s="332">
        <v>13</v>
      </c>
      <c r="H25" s="330">
        <v>8</v>
      </c>
      <c r="I25" s="152">
        <f t="shared" si="8"/>
        <v>0.53846153846153844</v>
      </c>
      <c r="J25" s="434">
        <v>7</v>
      </c>
      <c r="K25" s="151">
        <f t="shared" si="9"/>
        <v>0.46153846153846156</v>
      </c>
      <c r="L25" s="434">
        <v>6</v>
      </c>
      <c r="M25" s="151" t="str">
        <f t="shared" si="10"/>
        <v>-</v>
      </c>
      <c r="N25" s="201" t="s">
        <v>21</v>
      </c>
      <c r="O25" s="207" t="s">
        <v>21</v>
      </c>
      <c r="P25" s="208" t="s">
        <v>21</v>
      </c>
      <c r="Q25" s="207" t="s">
        <v>21</v>
      </c>
      <c r="R25" s="208" t="s">
        <v>21</v>
      </c>
      <c r="S25" s="153" t="s">
        <v>21</v>
      </c>
      <c r="T25" s="150" t="s">
        <v>21</v>
      </c>
      <c r="U25" s="153" t="s">
        <v>21</v>
      </c>
      <c r="V25" s="157" t="s">
        <v>21</v>
      </c>
      <c r="W25" s="415" t="s">
        <v>142</v>
      </c>
      <c r="Y25" s="1">
        <f t="shared" si="0"/>
        <v>1</v>
      </c>
    </row>
    <row r="26" spans="2:25" ht="15" customHeight="1" x14ac:dyDescent="0.3">
      <c r="B26" s="848"/>
      <c r="C26" s="807"/>
      <c r="D26" s="860"/>
      <c r="E26" s="181" t="s">
        <v>17</v>
      </c>
      <c r="F26" s="182" t="s">
        <v>60</v>
      </c>
      <c r="G26" s="332">
        <v>24</v>
      </c>
      <c r="H26" s="330">
        <v>20</v>
      </c>
      <c r="I26" s="152">
        <f t="shared" si="8"/>
        <v>0.29166666666666669</v>
      </c>
      <c r="J26" s="434">
        <v>7</v>
      </c>
      <c r="K26" s="151">
        <f t="shared" si="9"/>
        <v>0.29166666666666669</v>
      </c>
      <c r="L26" s="434">
        <v>7</v>
      </c>
      <c r="M26" s="151" t="str">
        <f t="shared" si="10"/>
        <v>-</v>
      </c>
      <c r="N26" s="201" t="s">
        <v>21</v>
      </c>
      <c r="O26" s="207" t="s">
        <v>21</v>
      </c>
      <c r="P26" s="208" t="s">
        <v>21</v>
      </c>
      <c r="Q26" s="207" t="s">
        <v>21</v>
      </c>
      <c r="R26" s="208" t="s">
        <v>21</v>
      </c>
      <c r="S26" s="153" t="s">
        <v>21</v>
      </c>
      <c r="T26" s="150" t="s">
        <v>21</v>
      </c>
      <c r="U26" s="153" t="s">
        <v>21</v>
      </c>
      <c r="V26" s="157" t="s">
        <v>21</v>
      </c>
      <c r="W26" s="415" t="s">
        <v>142</v>
      </c>
      <c r="Y26" s="1">
        <f t="shared" si="0"/>
        <v>1</v>
      </c>
    </row>
    <row r="27" spans="2:25" ht="15" customHeight="1" x14ac:dyDescent="0.3">
      <c r="B27" s="848"/>
      <c r="C27" s="807"/>
      <c r="D27" s="860"/>
      <c r="E27" s="181" t="s">
        <v>18</v>
      </c>
      <c r="F27" s="182" t="s">
        <v>60</v>
      </c>
      <c r="G27" s="332">
        <v>33</v>
      </c>
      <c r="H27" s="330">
        <v>25</v>
      </c>
      <c r="I27" s="152">
        <f t="shared" si="8"/>
        <v>0</v>
      </c>
      <c r="J27" s="434">
        <v>0</v>
      </c>
      <c r="K27" s="151">
        <f t="shared" si="9"/>
        <v>0.21212121212121213</v>
      </c>
      <c r="L27" s="434">
        <v>7</v>
      </c>
      <c r="M27" s="151" t="str">
        <f t="shared" si="10"/>
        <v>-</v>
      </c>
      <c r="N27" s="201" t="s">
        <v>21</v>
      </c>
      <c r="O27" s="207" t="s">
        <v>21</v>
      </c>
      <c r="P27" s="208" t="s">
        <v>21</v>
      </c>
      <c r="Q27" s="207" t="s">
        <v>21</v>
      </c>
      <c r="R27" s="208" t="s">
        <v>21</v>
      </c>
      <c r="S27" s="153" t="s">
        <v>21</v>
      </c>
      <c r="T27" s="150" t="s">
        <v>21</v>
      </c>
      <c r="U27" s="153" t="s">
        <v>21</v>
      </c>
      <c r="V27" s="157" t="s">
        <v>21</v>
      </c>
      <c r="W27" s="415" t="s">
        <v>142</v>
      </c>
      <c r="Y27" s="1">
        <f t="shared" si="0"/>
        <v>1</v>
      </c>
    </row>
    <row r="28" spans="2:25" ht="15" customHeight="1" x14ac:dyDescent="0.3">
      <c r="B28" s="848"/>
      <c r="C28" s="807"/>
      <c r="D28" s="860"/>
      <c r="E28" s="181" t="s">
        <v>19</v>
      </c>
      <c r="F28" s="182" t="s">
        <v>60</v>
      </c>
      <c r="G28" s="332">
        <v>32</v>
      </c>
      <c r="H28" s="330">
        <v>17</v>
      </c>
      <c r="I28" s="152">
        <f t="shared" si="8"/>
        <v>0.15625</v>
      </c>
      <c r="J28" s="434">
        <v>5</v>
      </c>
      <c r="K28" s="151">
        <f t="shared" si="9"/>
        <v>0.375</v>
      </c>
      <c r="L28" s="434">
        <v>12</v>
      </c>
      <c r="M28" s="151" t="str">
        <f t="shared" si="10"/>
        <v>-</v>
      </c>
      <c r="N28" s="201" t="s">
        <v>21</v>
      </c>
      <c r="O28" s="207" t="s">
        <v>21</v>
      </c>
      <c r="P28" s="208" t="s">
        <v>21</v>
      </c>
      <c r="Q28" s="207" t="s">
        <v>21</v>
      </c>
      <c r="R28" s="208" t="s">
        <v>21</v>
      </c>
      <c r="S28" s="153" t="s">
        <v>21</v>
      </c>
      <c r="T28" s="150" t="s">
        <v>21</v>
      </c>
      <c r="U28" s="153" t="s">
        <v>21</v>
      </c>
      <c r="V28" s="157" t="s">
        <v>21</v>
      </c>
      <c r="W28" s="415" t="s">
        <v>142</v>
      </c>
      <c r="Y28" s="1">
        <f t="shared" si="0"/>
        <v>1</v>
      </c>
    </row>
    <row r="29" spans="2:25" ht="15" customHeight="1" x14ac:dyDescent="0.3">
      <c r="B29" s="848"/>
      <c r="C29" s="807"/>
      <c r="D29" s="860"/>
      <c r="E29" s="692"/>
      <c r="F29" s="693"/>
      <c r="G29" s="704"/>
      <c r="H29" s="705"/>
      <c r="I29" s="152" t="e">
        <f t="shared" si="8"/>
        <v>#DIV/0!</v>
      </c>
      <c r="J29" s="707"/>
      <c r="K29" s="151" t="e">
        <f t="shared" si="9"/>
        <v>#DIV/0!</v>
      </c>
      <c r="L29" s="707"/>
      <c r="M29" s="151" t="str">
        <f t="shared" si="10"/>
        <v>-</v>
      </c>
      <c r="N29" s="703" t="s">
        <v>21</v>
      </c>
      <c r="O29" s="687" t="s">
        <v>21</v>
      </c>
      <c r="P29" s="688" t="s">
        <v>21</v>
      </c>
      <c r="Q29" s="687" t="s">
        <v>21</v>
      </c>
      <c r="R29" s="688" t="s">
        <v>21</v>
      </c>
      <c r="S29" s="689"/>
      <c r="T29" s="690"/>
      <c r="U29" s="689"/>
      <c r="V29" s="691"/>
      <c r="W29" s="415"/>
    </row>
    <row r="30" spans="2:25" ht="15" customHeight="1" x14ac:dyDescent="0.3">
      <c r="B30" s="848"/>
      <c r="C30" s="807"/>
      <c r="D30" s="860"/>
      <c r="E30" s="692"/>
      <c r="F30" s="693"/>
      <c r="G30" s="704"/>
      <c r="H30" s="705"/>
      <c r="I30" s="152" t="e">
        <f t="shared" si="8"/>
        <v>#DIV/0!</v>
      </c>
      <c r="J30" s="707"/>
      <c r="K30" s="151" t="e">
        <f t="shared" si="9"/>
        <v>#DIV/0!</v>
      </c>
      <c r="L30" s="707"/>
      <c r="M30" s="151" t="str">
        <f t="shared" si="10"/>
        <v>-</v>
      </c>
      <c r="N30" s="703" t="s">
        <v>21</v>
      </c>
      <c r="O30" s="687" t="s">
        <v>21</v>
      </c>
      <c r="P30" s="688" t="s">
        <v>21</v>
      </c>
      <c r="Q30" s="687" t="s">
        <v>21</v>
      </c>
      <c r="R30" s="688" t="s">
        <v>21</v>
      </c>
      <c r="S30" s="689"/>
      <c r="T30" s="690"/>
      <c r="U30" s="689"/>
      <c r="V30" s="691"/>
      <c r="W30" s="415"/>
    </row>
    <row r="31" spans="2:25" ht="15" customHeight="1" x14ac:dyDescent="0.3">
      <c r="B31" s="848"/>
      <c r="C31" s="807"/>
      <c r="D31" s="860"/>
      <c r="E31" s="184" t="s">
        <v>5</v>
      </c>
      <c r="F31" s="185" t="s">
        <v>60</v>
      </c>
      <c r="G31" s="186"/>
      <c r="H31" s="163"/>
      <c r="I31" s="160" t="e">
        <f t="shared" si="8"/>
        <v>#DIV/0!</v>
      </c>
      <c r="J31" s="435"/>
      <c r="K31" s="159" t="e">
        <f t="shared" si="9"/>
        <v>#DIV/0!</v>
      </c>
      <c r="L31" s="435"/>
      <c r="M31" s="159" t="str">
        <f t="shared" si="10"/>
        <v>-</v>
      </c>
      <c r="N31" s="202" t="s">
        <v>21</v>
      </c>
      <c r="O31" s="209" t="s">
        <v>21</v>
      </c>
      <c r="P31" s="210" t="s">
        <v>21</v>
      </c>
      <c r="Q31" s="209" t="s">
        <v>21</v>
      </c>
      <c r="R31" s="210" t="s">
        <v>21</v>
      </c>
      <c r="S31" s="161" t="s">
        <v>21</v>
      </c>
      <c r="T31" s="158" t="s">
        <v>21</v>
      </c>
      <c r="U31" s="161" t="s">
        <v>21</v>
      </c>
      <c r="V31" s="198" t="s">
        <v>21</v>
      </c>
      <c r="W31" s="415" t="s">
        <v>142</v>
      </c>
      <c r="Y31" s="1" t="str">
        <f t="shared" si="0"/>
        <v/>
      </c>
    </row>
    <row r="32" spans="2:25" ht="15.6" x14ac:dyDescent="0.3">
      <c r="B32" s="849"/>
      <c r="C32" s="831"/>
      <c r="D32" s="269" t="s">
        <v>138</v>
      </c>
      <c r="E32" s="390"/>
      <c r="F32" s="391"/>
      <c r="G32" s="25">
        <f>SUM(G21:G31)</f>
        <v>295</v>
      </c>
      <c r="H32" s="26">
        <f>SUM(H21:H31)</f>
        <v>193</v>
      </c>
      <c r="I32" s="27">
        <f>J32/G32</f>
        <v>0.25084745762711863</v>
      </c>
      <c r="J32" s="412">
        <f>SUM(J21:J31)</f>
        <v>74</v>
      </c>
      <c r="K32" s="27">
        <f>L32/G32</f>
        <v>0.29491525423728815</v>
      </c>
      <c r="L32" s="412">
        <f>SUM(L21:L31)</f>
        <v>87</v>
      </c>
      <c r="M32" s="27">
        <f>N32/L32</f>
        <v>0</v>
      </c>
      <c r="N32" s="412">
        <f>SUM(N21:N31)</f>
        <v>0</v>
      </c>
      <c r="O32" s="259"/>
      <c r="P32" s="260"/>
      <c r="Q32" s="259"/>
      <c r="R32" s="260"/>
      <c r="S32" s="259"/>
      <c r="T32" s="260"/>
      <c r="U32" s="259"/>
      <c r="V32" s="261"/>
      <c r="W32" s="415" t="s">
        <v>142</v>
      </c>
    </row>
    <row r="33" spans="1:25" x14ac:dyDescent="0.3">
      <c r="B33" s="847" t="s">
        <v>83</v>
      </c>
      <c r="C33" s="806" t="s">
        <v>75</v>
      </c>
      <c r="D33" s="866">
        <v>9</v>
      </c>
      <c r="E33" s="178" t="s">
        <v>10</v>
      </c>
      <c r="F33" s="179" t="s">
        <v>60</v>
      </c>
      <c r="G33" s="180">
        <v>46</v>
      </c>
      <c r="H33" s="149">
        <v>32</v>
      </c>
      <c r="I33" s="146">
        <f t="shared" si="8"/>
        <v>0.65217391304347827</v>
      </c>
      <c r="J33" s="436">
        <v>30</v>
      </c>
      <c r="K33" s="145">
        <f t="shared" si="9"/>
        <v>0.19565217391304349</v>
      </c>
      <c r="L33" s="436">
        <v>9</v>
      </c>
      <c r="M33" s="145">
        <f t="shared" si="10"/>
        <v>1</v>
      </c>
      <c r="N33" s="200">
        <v>9</v>
      </c>
      <c r="O33" s="205" t="s">
        <v>21</v>
      </c>
      <c r="P33" s="206" t="s">
        <v>21</v>
      </c>
      <c r="Q33" s="205" t="s">
        <v>21</v>
      </c>
      <c r="R33" s="206" t="s">
        <v>21</v>
      </c>
      <c r="S33" s="147" t="s">
        <v>21</v>
      </c>
      <c r="T33" s="144" t="s">
        <v>21</v>
      </c>
      <c r="U33" s="147" t="s">
        <v>21</v>
      </c>
      <c r="V33" s="169" t="s">
        <v>21</v>
      </c>
      <c r="W33" s="415" t="s">
        <v>142</v>
      </c>
      <c r="Y33" s="1">
        <f t="shared" ref="Y33:Y42" si="11">IF(G33="","",1)</f>
        <v>1</v>
      </c>
    </row>
    <row r="34" spans="1:25" x14ac:dyDescent="0.3">
      <c r="B34" s="848"/>
      <c r="C34" s="807"/>
      <c r="D34" s="867"/>
      <c r="E34" s="181" t="s">
        <v>11</v>
      </c>
      <c r="F34" s="182" t="s">
        <v>60</v>
      </c>
      <c r="G34" s="183">
        <v>28</v>
      </c>
      <c r="H34" s="155">
        <v>17</v>
      </c>
      <c r="I34" s="152">
        <f t="shared" si="8"/>
        <v>0.6428571428571429</v>
      </c>
      <c r="J34" s="437">
        <v>18</v>
      </c>
      <c r="K34" s="151">
        <f t="shared" si="9"/>
        <v>0.32142857142857145</v>
      </c>
      <c r="L34" s="437">
        <v>9</v>
      </c>
      <c r="M34" s="151">
        <f t="shared" si="10"/>
        <v>0.77777777777777779</v>
      </c>
      <c r="N34" s="201">
        <v>7</v>
      </c>
      <c r="O34" s="207" t="s">
        <v>21</v>
      </c>
      <c r="P34" s="208" t="s">
        <v>21</v>
      </c>
      <c r="Q34" s="207" t="s">
        <v>21</v>
      </c>
      <c r="R34" s="208" t="s">
        <v>21</v>
      </c>
      <c r="S34" s="153" t="s">
        <v>21</v>
      </c>
      <c r="T34" s="150" t="s">
        <v>21</v>
      </c>
      <c r="U34" s="153" t="s">
        <v>21</v>
      </c>
      <c r="V34" s="157" t="s">
        <v>21</v>
      </c>
      <c r="W34" s="415" t="s">
        <v>142</v>
      </c>
      <c r="Y34" s="1">
        <f t="shared" si="11"/>
        <v>1</v>
      </c>
    </row>
    <row r="35" spans="1:25" x14ac:dyDescent="0.3">
      <c r="B35" s="848"/>
      <c r="C35" s="807"/>
      <c r="D35" s="867"/>
      <c r="E35" s="181" t="s">
        <v>12</v>
      </c>
      <c r="F35" s="182" t="s">
        <v>60</v>
      </c>
      <c r="G35" s="183">
        <v>5</v>
      </c>
      <c r="H35" s="155">
        <v>5</v>
      </c>
      <c r="I35" s="152">
        <f t="shared" ref="I35" si="12">J35/G35</f>
        <v>0.6</v>
      </c>
      <c r="J35" s="437">
        <v>3</v>
      </c>
      <c r="K35" s="151">
        <f t="shared" ref="K35" si="13">L35/G35</f>
        <v>0.2</v>
      </c>
      <c r="L35" s="437">
        <v>1</v>
      </c>
      <c r="M35" s="151">
        <f t="shared" ref="M35" si="14">IF(N35="-","-",N35/L35)</f>
        <v>1</v>
      </c>
      <c r="N35" s="201">
        <v>1</v>
      </c>
      <c r="O35" s="207" t="s">
        <v>21</v>
      </c>
      <c r="P35" s="208" t="s">
        <v>21</v>
      </c>
      <c r="Q35" s="207" t="s">
        <v>21</v>
      </c>
      <c r="R35" s="208" t="s">
        <v>21</v>
      </c>
      <c r="S35" s="153" t="s">
        <v>21</v>
      </c>
      <c r="T35" s="150" t="s">
        <v>21</v>
      </c>
      <c r="U35" s="153" t="s">
        <v>21</v>
      </c>
      <c r="V35" s="157" t="s">
        <v>21</v>
      </c>
      <c r="W35" s="415" t="s">
        <v>142</v>
      </c>
      <c r="Y35" s="1">
        <f t="shared" si="11"/>
        <v>1</v>
      </c>
    </row>
    <row r="36" spans="1:25" x14ac:dyDescent="0.3">
      <c r="B36" s="848"/>
      <c r="C36" s="807"/>
      <c r="D36" s="867"/>
      <c r="E36" s="181" t="s">
        <v>7</v>
      </c>
      <c r="F36" s="182" t="s">
        <v>60</v>
      </c>
      <c r="G36" s="183">
        <v>45</v>
      </c>
      <c r="H36" s="155">
        <v>26</v>
      </c>
      <c r="I36" s="152">
        <f t="shared" si="8"/>
        <v>0.26666666666666666</v>
      </c>
      <c r="J36" s="437">
        <v>12</v>
      </c>
      <c r="K36" s="151">
        <f t="shared" si="9"/>
        <v>0.26666666666666666</v>
      </c>
      <c r="L36" s="437">
        <v>12</v>
      </c>
      <c r="M36" s="151">
        <f t="shared" si="10"/>
        <v>0.25</v>
      </c>
      <c r="N36" s="201">
        <v>3</v>
      </c>
      <c r="O36" s="207" t="s">
        <v>21</v>
      </c>
      <c r="P36" s="208" t="s">
        <v>21</v>
      </c>
      <c r="Q36" s="207" t="s">
        <v>21</v>
      </c>
      <c r="R36" s="208" t="s">
        <v>21</v>
      </c>
      <c r="S36" s="153" t="s">
        <v>21</v>
      </c>
      <c r="T36" s="150" t="s">
        <v>21</v>
      </c>
      <c r="U36" s="153" t="s">
        <v>21</v>
      </c>
      <c r="V36" s="157" t="s">
        <v>21</v>
      </c>
      <c r="W36" s="415" t="s">
        <v>142</v>
      </c>
      <c r="Y36" s="1">
        <f t="shared" si="11"/>
        <v>1</v>
      </c>
    </row>
    <row r="37" spans="1:25" x14ac:dyDescent="0.3">
      <c r="B37" s="848"/>
      <c r="C37" s="807"/>
      <c r="D37" s="867"/>
      <c r="E37" s="181" t="s">
        <v>132</v>
      </c>
      <c r="F37" s="182" t="s">
        <v>60</v>
      </c>
      <c r="G37" s="183">
        <v>14</v>
      </c>
      <c r="H37" s="155">
        <v>9</v>
      </c>
      <c r="I37" s="152">
        <f t="shared" si="8"/>
        <v>0.21428571428571427</v>
      </c>
      <c r="J37" s="437">
        <v>3</v>
      </c>
      <c r="K37" s="151">
        <f t="shared" si="9"/>
        <v>0.14285714285714285</v>
      </c>
      <c r="L37" s="437">
        <v>2</v>
      </c>
      <c r="M37" s="151">
        <f t="shared" si="10"/>
        <v>0.5</v>
      </c>
      <c r="N37" s="201">
        <v>1</v>
      </c>
      <c r="O37" s="207" t="s">
        <v>21</v>
      </c>
      <c r="P37" s="208" t="s">
        <v>21</v>
      </c>
      <c r="Q37" s="207" t="s">
        <v>21</v>
      </c>
      <c r="R37" s="208" t="s">
        <v>21</v>
      </c>
      <c r="S37" s="153" t="s">
        <v>21</v>
      </c>
      <c r="T37" s="150" t="s">
        <v>21</v>
      </c>
      <c r="U37" s="153" t="s">
        <v>21</v>
      </c>
      <c r="V37" s="157" t="s">
        <v>21</v>
      </c>
      <c r="W37" s="415" t="s">
        <v>142</v>
      </c>
      <c r="Y37" s="1">
        <f t="shared" si="11"/>
        <v>1</v>
      </c>
    </row>
    <row r="38" spans="1:25" x14ac:dyDescent="0.3">
      <c r="B38" s="848"/>
      <c r="C38" s="807"/>
      <c r="D38" s="867"/>
      <c r="E38" s="181" t="s">
        <v>8</v>
      </c>
      <c r="F38" s="182" t="s">
        <v>60</v>
      </c>
      <c r="G38" s="183">
        <v>31</v>
      </c>
      <c r="H38" s="155">
        <v>23</v>
      </c>
      <c r="I38" s="152">
        <f t="shared" si="8"/>
        <v>0.54838709677419351</v>
      </c>
      <c r="J38" s="437">
        <v>17</v>
      </c>
      <c r="K38" s="151">
        <f t="shared" si="9"/>
        <v>0.16129032258064516</v>
      </c>
      <c r="L38" s="437">
        <v>5</v>
      </c>
      <c r="M38" s="151">
        <f t="shared" si="10"/>
        <v>1</v>
      </c>
      <c r="N38" s="201">
        <v>5</v>
      </c>
      <c r="O38" s="207" t="s">
        <v>21</v>
      </c>
      <c r="P38" s="208" t="s">
        <v>21</v>
      </c>
      <c r="Q38" s="207" t="s">
        <v>21</v>
      </c>
      <c r="R38" s="208" t="s">
        <v>21</v>
      </c>
      <c r="S38" s="153" t="s">
        <v>21</v>
      </c>
      <c r="T38" s="150" t="s">
        <v>21</v>
      </c>
      <c r="U38" s="153" t="s">
        <v>21</v>
      </c>
      <c r="V38" s="157" t="s">
        <v>21</v>
      </c>
      <c r="W38" s="415" t="s">
        <v>142</v>
      </c>
      <c r="Y38" s="1">
        <f t="shared" si="11"/>
        <v>1</v>
      </c>
    </row>
    <row r="39" spans="1:25" x14ac:dyDescent="0.3">
      <c r="B39" s="848"/>
      <c r="C39" s="807"/>
      <c r="D39" s="867"/>
      <c r="E39" s="181" t="s">
        <v>6</v>
      </c>
      <c r="F39" s="182" t="s">
        <v>60</v>
      </c>
      <c r="G39" s="183">
        <v>12</v>
      </c>
      <c r="H39" s="155">
        <v>7</v>
      </c>
      <c r="I39" s="152">
        <f t="shared" si="8"/>
        <v>0.33333333333333331</v>
      </c>
      <c r="J39" s="437">
        <v>4</v>
      </c>
      <c r="K39" s="151">
        <f t="shared" si="9"/>
        <v>0.33333333333333331</v>
      </c>
      <c r="L39" s="437">
        <v>4</v>
      </c>
      <c r="M39" s="151">
        <f t="shared" si="10"/>
        <v>0.5</v>
      </c>
      <c r="N39" s="201">
        <v>2</v>
      </c>
      <c r="O39" s="207" t="s">
        <v>21</v>
      </c>
      <c r="P39" s="208" t="s">
        <v>21</v>
      </c>
      <c r="Q39" s="207" t="s">
        <v>21</v>
      </c>
      <c r="R39" s="208" t="s">
        <v>21</v>
      </c>
      <c r="S39" s="153" t="s">
        <v>21</v>
      </c>
      <c r="T39" s="150" t="s">
        <v>21</v>
      </c>
      <c r="U39" s="153" t="s">
        <v>21</v>
      </c>
      <c r="V39" s="157" t="s">
        <v>21</v>
      </c>
      <c r="W39" s="415" t="s">
        <v>142</v>
      </c>
      <c r="Y39" s="1">
        <f t="shared" si="11"/>
        <v>1</v>
      </c>
    </row>
    <row r="40" spans="1:25" x14ac:dyDescent="0.3">
      <c r="B40" s="848"/>
      <c r="C40" s="807"/>
      <c r="D40" s="868"/>
      <c r="E40" s="692"/>
      <c r="F40" s="693"/>
      <c r="G40" s="722"/>
      <c r="H40" s="723"/>
      <c r="I40" s="152" t="e">
        <f t="shared" si="8"/>
        <v>#DIV/0!</v>
      </c>
      <c r="J40" s="721"/>
      <c r="K40" s="151" t="e">
        <f t="shared" si="9"/>
        <v>#DIV/0!</v>
      </c>
      <c r="L40" s="721"/>
      <c r="M40" s="151" t="e">
        <f t="shared" si="10"/>
        <v>#DIV/0!</v>
      </c>
      <c r="N40" s="703"/>
      <c r="O40" s="687"/>
      <c r="P40" s="688"/>
      <c r="Q40" s="687"/>
      <c r="R40" s="688"/>
      <c r="S40" s="689"/>
      <c r="T40" s="690"/>
      <c r="U40" s="689"/>
      <c r="V40" s="691"/>
      <c r="W40" s="415"/>
    </row>
    <row r="41" spans="1:25" x14ac:dyDescent="0.3">
      <c r="B41" s="848"/>
      <c r="C41" s="807"/>
      <c r="D41" s="868"/>
      <c r="E41" s="692"/>
      <c r="F41" s="693"/>
      <c r="G41" s="722"/>
      <c r="H41" s="723"/>
      <c r="I41" s="152" t="e">
        <f t="shared" si="8"/>
        <v>#DIV/0!</v>
      </c>
      <c r="J41" s="721"/>
      <c r="K41" s="151" t="e">
        <f t="shared" si="9"/>
        <v>#DIV/0!</v>
      </c>
      <c r="L41" s="721"/>
      <c r="M41" s="151" t="e">
        <f t="shared" si="10"/>
        <v>#DIV/0!</v>
      </c>
      <c r="N41" s="703"/>
      <c r="O41" s="687"/>
      <c r="P41" s="688"/>
      <c r="Q41" s="687"/>
      <c r="R41" s="688"/>
      <c r="S41" s="689"/>
      <c r="T41" s="690"/>
      <c r="U41" s="689"/>
      <c r="V41" s="691"/>
      <c r="W41" s="415"/>
    </row>
    <row r="42" spans="1:25" x14ac:dyDescent="0.3">
      <c r="B42" s="848"/>
      <c r="C42" s="807"/>
      <c r="D42" s="869"/>
      <c r="E42" s="184" t="s">
        <v>9</v>
      </c>
      <c r="F42" s="185" t="s">
        <v>60</v>
      </c>
      <c r="G42" s="186">
        <v>17</v>
      </c>
      <c r="H42" s="163">
        <v>9</v>
      </c>
      <c r="I42" s="160">
        <f t="shared" si="8"/>
        <v>0.41176470588235292</v>
      </c>
      <c r="J42" s="435">
        <v>7</v>
      </c>
      <c r="K42" s="159">
        <f t="shared" si="9"/>
        <v>0.23529411764705882</v>
      </c>
      <c r="L42" s="435">
        <v>4</v>
      </c>
      <c r="M42" s="159">
        <f t="shared" si="10"/>
        <v>0.25</v>
      </c>
      <c r="N42" s="202">
        <v>1</v>
      </c>
      <c r="O42" s="209" t="s">
        <v>21</v>
      </c>
      <c r="P42" s="210" t="s">
        <v>21</v>
      </c>
      <c r="Q42" s="209" t="s">
        <v>21</v>
      </c>
      <c r="R42" s="210" t="s">
        <v>21</v>
      </c>
      <c r="S42" s="161" t="s">
        <v>21</v>
      </c>
      <c r="T42" s="158" t="s">
        <v>21</v>
      </c>
      <c r="U42" s="161" t="s">
        <v>21</v>
      </c>
      <c r="V42" s="198" t="s">
        <v>21</v>
      </c>
      <c r="W42" s="415" t="s">
        <v>142</v>
      </c>
      <c r="Y42" s="1">
        <f t="shared" si="11"/>
        <v>1</v>
      </c>
    </row>
    <row r="43" spans="1:25" ht="16.2" thickBot="1" x14ac:dyDescent="0.35">
      <c r="B43" s="828"/>
      <c r="C43" s="832"/>
      <c r="D43" s="389" t="s">
        <v>138</v>
      </c>
      <c r="E43" s="390"/>
      <c r="F43" s="391"/>
      <c r="G43" s="25">
        <f>SUM(G33:G42)</f>
        <v>198</v>
      </c>
      <c r="H43" s="26">
        <f t="shared" ref="H43" si="15">SUM(H33:H42)</f>
        <v>128</v>
      </c>
      <c r="I43" s="27">
        <f>J43/G43</f>
        <v>0.47474747474747475</v>
      </c>
      <c r="J43" s="412">
        <f t="shared" ref="J43" si="16">SUM(J33:J42)</f>
        <v>94</v>
      </c>
      <c r="K43" s="27">
        <f>L43/G43</f>
        <v>0.23232323232323232</v>
      </c>
      <c r="L43" s="412">
        <f t="shared" ref="L43" si="17">SUM(L33:L42)</f>
        <v>46</v>
      </c>
      <c r="M43" s="27">
        <f>N43/L43</f>
        <v>0.63043478260869568</v>
      </c>
      <c r="N43" s="412">
        <f t="shared" ref="N43" si="18">SUM(N33:N42)</f>
        <v>29</v>
      </c>
      <c r="O43" s="259"/>
      <c r="P43" s="260"/>
      <c r="Q43" s="259"/>
      <c r="R43" s="260"/>
      <c r="S43" s="259"/>
      <c r="T43" s="260"/>
      <c r="U43" s="259"/>
      <c r="V43" s="261"/>
      <c r="W43" s="415" t="s">
        <v>142</v>
      </c>
    </row>
    <row r="44" spans="1:25" s="53" customFormat="1" ht="21" customHeight="1" thickBot="1" x14ac:dyDescent="0.35">
      <c r="A44" s="125"/>
      <c r="B44" s="129" t="s">
        <v>78</v>
      </c>
      <c r="C44" s="130"/>
      <c r="D44" s="130">
        <f>SUM(D5:D42)</f>
        <v>31</v>
      </c>
      <c r="E44" s="133">
        <f>COUNT(G5:G31,G33:G42)</f>
        <v>18</v>
      </c>
      <c r="F44" s="67">
        <f>COUNT(J5:J42)</f>
        <v>19</v>
      </c>
      <c r="G44" s="325">
        <f>G5+G32+G43</f>
        <v>595</v>
      </c>
      <c r="H44" s="326">
        <f>H5+H32+H43</f>
        <v>415</v>
      </c>
      <c r="I44" s="327">
        <f>J44/G44</f>
        <v>0.2857142857142857</v>
      </c>
      <c r="J44" s="438">
        <f>J5+J32+J43</f>
        <v>170</v>
      </c>
      <c r="K44" s="439">
        <f>L44/G44</f>
        <v>0.253781512605042</v>
      </c>
      <c r="L44" s="438">
        <f>L5+L32+L43</f>
        <v>151</v>
      </c>
      <c r="M44" s="327">
        <f>N44/(L5+SUM(L33:L42))</f>
        <v>0.484375</v>
      </c>
      <c r="N44" s="438">
        <f>N5+N32+N43</f>
        <v>31</v>
      </c>
      <c r="O44" s="141"/>
      <c r="P44" s="142"/>
      <c r="Q44" s="141"/>
      <c r="R44" s="142"/>
      <c r="S44" s="141"/>
      <c r="T44" s="142"/>
      <c r="U44" s="141"/>
      <c r="V44" s="143"/>
      <c r="W44" s="416" t="s">
        <v>142</v>
      </c>
      <c r="Y44" s="1"/>
    </row>
    <row r="45" spans="1:25" ht="15" customHeight="1" x14ac:dyDescent="0.3">
      <c r="B45" s="837" t="s">
        <v>84</v>
      </c>
      <c r="C45" s="840" t="s">
        <v>76</v>
      </c>
      <c r="D45" s="878">
        <v>6</v>
      </c>
      <c r="E45" s="189" t="s">
        <v>25</v>
      </c>
      <c r="F45" s="515" t="s">
        <v>60</v>
      </c>
      <c r="G45" s="180"/>
      <c r="H45" s="149"/>
      <c r="I45" s="145" t="e">
        <f>J45/G45</f>
        <v>#DIV/0!</v>
      </c>
      <c r="J45" s="436"/>
      <c r="K45" s="145" t="e">
        <f>L45/G45</f>
        <v>#DIV/0!</v>
      </c>
      <c r="L45" s="436"/>
      <c r="M45" s="145" t="str">
        <f>IF(N45="-","-",N45/L45)</f>
        <v>-</v>
      </c>
      <c r="N45" s="200" t="s">
        <v>21</v>
      </c>
      <c r="O45" s="205" t="s">
        <v>21</v>
      </c>
      <c r="P45" s="206" t="s">
        <v>21</v>
      </c>
      <c r="Q45" s="205" t="s">
        <v>21</v>
      </c>
      <c r="R45" s="206" t="s">
        <v>21</v>
      </c>
      <c r="S45" s="147"/>
      <c r="T45" s="144"/>
      <c r="U45" s="147"/>
      <c r="V45" s="169"/>
      <c r="W45" s="516" t="s">
        <v>142</v>
      </c>
      <c r="Y45" s="1" t="str">
        <f t="shared" ref="Y45:Y52" si="19">IF(G45="","",1)</f>
        <v/>
      </c>
    </row>
    <row r="46" spans="1:25" ht="15" customHeight="1" x14ac:dyDescent="0.3">
      <c r="B46" s="838"/>
      <c r="C46" s="841"/>
      <c r="D46" s="859"/>
      <c r="E46" s="191" t="s">
        <v>26</v>
      </c>
      <c r="F46" s="517" t="s">
        <v>60</v>
      </c>
      <c r="G46" s="183"/>
      <c r="H46" s="155"/>
      <c r="I46" s="151" t="e">
        <f t="shared" ref="I46:I110" si="20">J46/G46</f>
        <v>#DIV/0!</v>
      </c>
      <c r="J46" s="437"/>
      <c r="K46" s="151" t="e">
        <f t="shared" ref="K46:K110" si="21">L46/G46</f>
        <v>#DIV/0!</v>
      </c>
      <c r="L46" s="437"/>
      <c r="M46" s="151" t="str">
        <f t="shared" ref="M46:M110" si="22">IF(N46="-","-",N46/L46)</f>
        <v>-</v>
      </c>
      <c r="N46" s="201" t="s">
        <v>21</v>
      </c>
      <c r="O46" s="207" t="s">
        <v>21</v>
      </c>
      <c r="P46" s="208" t="s">
        <v>21</v>
      </c>
      <c r="Q46" s="207" t="s">
        <v>21</v>
      </c>
      <c r="R46" s="208" t="s">
        <v>21</v>
      </c>
      <c r="S46" s="153"/>
      <c r="T46" s="150"/>
      <c r="U46" s="153"/>
      <c r="V46" s="157"/>
      <c r="W46" s="516" t="s">
        <v>142</v>
      </c>
      <c r="Y46" s="1" t="str">
        <f t="shared" si="19"/>
        <v/>
      </c>
    </row>
    <row r="47" spans="1:25" ht="15" customHeight="1" x14ac:dyDescent="0.3">
      <c r="B47" s="838"/>
      <c r="C47" s="841"/>
      <c r="D47" s="859"/>
      <c r="E47" s="191" t="s">
        <v>58</v>
      </c>
      <c r="F47" s="517" t="s">
        <v>60</v>
      </c>
      <c r="G47" s="183">
        <v>228</v>
      </c>
      <c r="H47" s="155">
        <v>125</v>
      </c>
      <c r="I47" s="151">
        <f t="shared" si="20"/>
        <v>0.39473684210526316</v>
      </c>
      <c r="J47" s="437">
        <v>90</v>
      </c>
      <c r="K47" s="151">
        <f t="shared" si="21"/>
        <v>0.39912280701754388</v>
      </c>
      <c r="L47" s="437">
        <v>91</v>
      </c>
      <c r="M47" s="151" t="str">
        <f t="shared" si="22"/>
        <v>-</v>
      </c>
      <c r="N47" s="201" t="s">
        <v>21</v>
      </c>
      <c r="O47" s="207" t="s">
        <v>21</v>
      </c>
      <c r="P47" s="208" t="s">
        <v>21</v>
      </c>
      <c r="Q47" s="207" t="s">
        <v>21</v>
      </c>
      <c r="R47" s="208" t="s">
        <v>21</v>
      </c>
      <c r="S47" s="153" t="s">
        <v>21</v>
      </c>
      <c r="T47" s="150" t="s">
        <v>21</v>
      </c>
      <c r="U47" s="153" t="s">
        <v>21</v>
      </c>
      <c r="V47" s="157" t="s">
        <v>21</v>
      </c>
      <c r="W47" s="516" t="s">
        <v>142</v>
      </c>
      <c r="Y47" s="1">
        <f t="shared" si="19"/>
        <v>1</v>
      </c>
    </row>
    <row r="48" spans="1:25" ht="15" customHeight="1" x14ac:dyDescent="0.3">
      <c r="B48" s="838"/>
      <c r="C48" s="841"/>
      <c r="D48" s="859"/>
      <c r="E48" s="191" t="s">
        <v>24</v>
      </c>
      <c r="F48" s="517" t="s">
        <v>62</v>
      </c>
      <c r="G48" s="183">
        <v>141</v>
      </c>
      <c r="H48" s="155">
        <v>80</v>
      </c>
      <c r="I48" s="151">
        <f t="shared" si="20"/>
        <v>0.46099290780141844</v>
      </c>
      <c r="J48" s="437">
        <v>65</v>
      </c>
      <c r="K48" s="151">
        <f t="shared" si="21"/>
        <v>0.43971631205673761</v>
      </c>
      <c r="L48" s="437">
        <v>62</v>
      </c>
      <c r="M48" s="151" t="str">
        <f t="shared" si="22"/>
        <v>-</v>
      </c>
      <c r="N48" s="201" t="s">
        <v>21</v>
      </c>
      <c r="O48" s="207" t="s">
        <v>21</v>
      </c>
      <c r="P48" s="208" t="s">
        <v>21</v>
      </c>
      <c r="Q48" s="207" t="s">
        <v>21</v>
      </c>
      <c r="R48" s="208" t="s">
        <v>21</v>
      </c>
      <c r="S48" s="153"/>
      <c r="T48" s="150"/>
      <c r="U48" s="153"/>
      <c r="V48" s="157"/>
      <c r="W48" s="516" t="s">
        <v>142</v>
      </c>
      <c r="Y48" s="1">
        <f t="shared" si="19"/>
        <v>1</v>
      </c>
    </row>
    <row r="49" spans="2:25" ht="15" customHeight="1" x14ac:dyDescent="0.3">
      <c r="B49" s="838"/>
      <c r="C49" s="841"/>
      <c r="D49" s="859"/>
      <c r="E49" s="191" t="s">
        <v>23</v>
      </c>
      <c r="F49" s="517" t="s">
        <v>60</v>
      </c>
      <c r="G49" s="183">
        <v>234</v>
      </c>
      <c r="H49" s="155">
        <v>127</v>
      </c>
      <c r="I49" s="151">
        <f t="shared" si="20"/>
        <v>0.42307692307692307</v>
      </c>
      <c r="J49" s="437">
        <v>99</v>
      </c>
      <c r="K49" s="151">
        <f t="shared" si="21"/>
        <v>0.47863247863247865</v>
      </c>
      <c r="L49" s="437">
        <v>112</v>
      </c>
      <c r="M49" s="151" t="str">
        <f t="shared" si="22"/>
        <v>-</v>
      </c>
      <c r="N49" s="201" t="s">
        <v>21</v>
      </c>
      <c r="O49" s="207" t="s">
        <v>21</v>
      </c>
      <c r="P49" s="208" t="s">
        <v>21</v>
      </c>
      <c r="Q49" s="207" t="s">
        <v>21</v>
      </c>
      <c r="R49" s="208" t="s">
        <v>21</v>
      </c>
      <c r="S49" s="153" t="s">
        <v>21</v>
      </c>
      <c r="T49" s="150" t="s">
        <v>21</v>
      </c>
      <c r="U49" s="153" t="s">
        <v>21</v>
      </c>
      <c r="V49" s="157" t="s">
        <v>21</v>
      </c>
      <c r="W49" s="516" t="s">
        <v>142</v>
      </c>
      <c r="Y49" s="1">
        <f t="shared" si="19"/>
        <v>1</v>
      </c>
    </row>
    <row r="50" spans="2:25" ht="15" customHeight="1" x14ac:dyDescent="0.3">
      <c r="B50" s="838"/>
      <c r="C50" s="841"/>
      <c r="D50" s="859"/>
      <c r="E50" s="724"/>
      <c r="F50" s="725"/>
      <c r="G50" s="722"/>
      <c r="H50" s="723"/>
      <c r="I50" s="151" t="e">
        <f t="shared" si="20"/>
        <v>#DIV/0!</v>
      </c>
      <c r="J50" s="721"/>
      <c r="K50" s="151" t="e">
        <f t="shared" si="21"/>
        <v>#DIV/0!</v>
      </c>
      <c r="L50" s="721"/>
      <c r="M50" s="151" t="e">
        <f t="shared" si="22"/>
        <v>#DIV/0!</v>
      </c>
      <c r="N50" s="703"/>
      <c r="O50" s="687"/>
      <c r="P50" s="688"/>
      <c r="Q50" s="687"/>
      <c r="R50" s="688"/>
      <c r="S50" s="689"/>
      <c r="T50" s="690"/>
      <c r="U50" s="689"/>
      <c r="V50" s="691"/>
      <c r="W50" s="516"/>
    </row>
    <row r="51" spans="2:25" ht="15" customHeight="1" x14ac:dyDescent="0.3">
      <c r="B51" s="838"/>
      <c r="C51" s="841"/>
      <c r="D51" s="859"/>
      <c r="E51" s="724"/>
      <c r="F51" s="725"/>
      <c r="G51" s="722"/>
      <c r="H51" s="723"/>
      <c r="I51" s="151" t="e">
        <f t="shared" si="20"/>
        <v>#DIV/0!</v>
      </c>
      <c r="J51" s="721"/>
      <c r="K51" s="151" t="e">
        <f t="shared" si="21"/>
        <v>#DIV/0!</v>
      </c>
      <c r="L51" s="721"/>
      <c r="M51" s="151" t="e">
        <f t="shared" si="22"/>
        <v>#DIV/0!</v>
      </c>
      <c r="N51" s="703"/>
      <c r="O51" s="687"/>
      <c r="P51" s="688"/>
      <c r="Q51" s="687"/>
      <c r="R51" s="688"/>
      <c r="S51" s="689"/>
      <c r="T51" s="690"/>
      <c r="U51" s="689"/>
      <c r="V51" s="691"/>
      <c r="W51" s="516"/>
    </row>
    <row r="52" spans="2:25" ht="15" customHeight="1" x14ac:dyDescent="0.3">
      <c r="B52" s="838"/>
      <c r="C52" s="841"/>
      <c r="D52" s="859"/>
      <c r="E52" s="192" t="s">
        <v>22</v>
      </c>
      <c r="F52" s="518" t="s">
        <v>62</v>
      </c>
      <c r="G52" s="186">
        <v>157</v>
      </c>
      <c r="H52" s="163">
        <v>82</v>
      </c>
      <c r="I52" s="159">
        <f t="shared" si="20"/>
        <v>0.22929936305732485</v>
      </c>
      <c r="J52" s="435">
        <v>36</v>
      </c>
      <c r="K52" s="159">
        <f t="shared" si="21"/>
        <v>0.31210191082802546</v>
      </c>
      <c r="L52" s="435">
        <v>49</v>
      </c>
      <c r="M52" s="159" t="str">
        <f t="shared" si="22"/>
        <v>-</v>
      </c>
      <c r="N52" s="202" t="s">
        <v>21</v>
      </c>
      <c r="O52" s="209" t="s">
        <v>21</v>
      </c>
      <c r="P52" s="210" t="s">
        <v>21</v>
      </c>
      <c r="Q52" s="209" t="s">
        <v>21</v>
      </c>
      <c r="R52" s="210" t="s">
        <v>21</v>
      </c>
      <c r="S52" s="161"/>
      <c r="T52" s="158"/>
      <c r="U52" s="161"/>
      <c r="V52" s="198"/>
      <c r="W52" s="516" t="s">
        <v>142</v>
      </c>
      <c r="Y52" s="1">
        <f t="shared" si="19"/>
        <v>1</v>
      </c>
    </row>
    <row r="53" spans="2:25" ht="15.6" x14ac:dyDescent="0.3">
      <c r="B53" s="839"/>
      <c r="C53" s="842"/>
      <c r="D53" s="74" t="s">
        <v>138</v>
      </c>
      <c r="E53" s="64"/>
      <c r="F53" s="65"/>
      <c r="G53" s="25">
        <f>SUM(G45:G52)</f>
        <v>760</v>
      </c>
      <c r="H53" s="26">
        <f>SUM(H45:H52)</f>
        <v>414</v>
      </c>
      <c r="I53" s="27">
        <f>J53/G53</f>
        <v>0.38157894736842107</v>
      </c>
      <c r="J53" s="412">
        <f>SUM(J45:J52)</f>
        <v>290</v>
      </c>
      <c r="K53" s="165">
        <f>L53/G53</f>
        <v>0.41315789473684211</v>
      </c>
      <c r="L53" s="412">
        <f>SUM(L45:L52)</f>
        <v>314</v>
      </c>
      <c r="M53" s="27">
        <f>N53/L53</f>
        <v>0</v>
      </c>
      <c r="N53" s="412">
        <f t="shared" ref="N53:V53" si="23">SUM(N45:N52)</f>
        <v>0</v>
      </c>
      <c r="O53" s="270">
        <f t="shared" si="23"/>
        <v>0</v>
      </c>
      <c r="P53" s="271">
        <f t="shared" si="23"/>
        <v>0</v>
      </c>
      <c r="Q53" s="270">
        <f t="shared" si="23"/>
        <v>0</v>
      </c>
      <c r="R53" s="271">
        <f t="shared" si="23"/>
        <v>0</v>
      </c>
      <c r="S53" s="270">
        <f t="shared" si="23"/>
        <v>0</v>
      </c>
      <c r="T53" s="271">
        <f t="shared" si="23"/>
        <v>0</v>
      </c>
      <c r="U53" s="270">
        <f t="shared" si="23"/>
        <v>0</v>
      </c>
      <c r="V53" s="272">
        <f t="shared" si="23"/>
        <v>0</v>
      </c>
      <c r="W53" s="415"/>
    </row>
    <row r="54" spans="2:25" x14ac:dyDescent="0.3">
      <c r="B54" s="838" t="s">
        <v>172</v>
      </c>
      <c r="C54" s="841" t="s">
        <v>76</v>
      </c>
      <c r="D54" s="861">
        <v>11</v>
      </c>
      <c r="E54" s="494" t="s">
        <v>171</v>
      </c>
      <c r="F54" s="495" t="s">
        <v>62</v>
      </c>
      <c r="G54" s="496"/>
      <c r="H54" s="497"/>
      <c r="I54" s="498" t="e">
        <f t="shared" ref="I54" si="24">J54/G54</f>
        <v>#DIV/0!</v>
      </c>
      <c r="J54" s="499">
        <v>32</v>
      </c>
      <c r="K54" s="498" t="e">
        <f t="shared" ref="K54" si="25">L54/G54</f>
        <v>#DIV/0!</v>
      </c>
      <c r="L54" s="499">
        <v>12</v>
      </c>
      <c r="M54" s="498">
        <f>IF(N54="-","-",N54/L54)</f>
        <v>0.83333333333333337</v>
      </c>
      <c r="N54" s="500">
        <v>10</v>
      </c>
      <c r="O54" s="488" t="s">
        <v>21</v>
      </c>
      <c r="P54" s="489" t="s">
        <v>21</v>
      </c>
      <c r="Q54" s="488" t="s">
        <v>21</v>
      </c>
      <c r="R54" s="489" t="s">
        <v>21</v>
      </c>
      <c r="S54" s="671"/>
      <c r="T54" s="672"/>
      <c r="U54" s="671"/>
      <c r="V54" s="673"/>
      <c r="W54" s="415" t="s">
        <v>142</v>
      </c>
      <c r="Y54" s="1" t="str">
        <f>IF(G54="","",1)</f>
        <v/>
      </c>
    </row>
    <row r="55" spans="2:25" x14ac:dyDescent="0.3">
      <c r="B55" s="838"/>
      <c r="C55" s="841"/>
      <c r="D55" s="862"/>
      <c r="E55" s="501" t="s">
        <v>171</v>
      </c>
      <c r="F55" s="502" t="s">
        <v>62</v>
      </c>
      <c r="G55" s="503"/>
      <c r="H55" s="504"/>
      <c r="I55" s="505" t="e">
        <f>J55/G55</f>
        <v>#DIV/0!</v>
      </c>
      <c r="J55" s="506">
        <v>81</v>
      </c>
      <c r="K55" s="505" t="e">
        <f>L55/G55</f>
        <v>#DIV/0!</v>
      </c>
      <c r="L55" s="506">
        <v>47</v>
      </c>
      <c r="M55" s="505">
        <f>IF(N55="-","-",N55/L55)</f>
        <v>0.7021276595744681</v>
      </c>
      <c r="N55" s="507">
        <v>33</v>
      </c>
      <c r="O55" s="490" t="s">
        <v>21</v>
      </c>
      <c r="P55" s="491" t="s">
        <v>21</v>
      </c>
      <c r="Q55" s="490" t="s">
        <v>21</v>
      </c>
      <c r="R55" s="491" t="s">
        <v>21</v>
      </c>
      <c r="S55" s="674"/>
      <c r="T55" s="675"/>
      <c r="U55" s="674"/>
      <c r="V55" s="676"/>
      <c r="W55" s="415" t="s">
        <v>142</v>
      </c>
      <c r="Y55" s="1" t="str">
        <f>IF(G55="","",1)</f>
        <v/>
      </c>
    </row>
    <row r="56" spans="2:25" x14ac:dyDescent="0.3">
      <c r="B56" s="838"/>
      <c r="C56" s="841"/>
      <c r="D56" s="862"/>
      <c r="E56" s="501" t="s">
        <v>171</v>
      </c>
      <c r="F56" s="502" t="s">
        <v>62</v>
      </c>
      <c r="G56" s="503"/>
      <c r="H56" s="504"/>
      <c r="I56" s="505" t="e">
        <f t="shared" ref="I56:I60" si="26">J56/G56</f>
        <v>#DIV/0!</v>
      </c>
      <c r="J56" s="506">
        <v>16</v>
      </c>
      <c r="K56" s="505" t="e">
        <f t="shared" ref="K56:K60" si="27">L56/G56</f>
        <v>#DIV/0!</v>
      </c>
      <c r="L56" s="506">
        <v>12</v>
      </c>
      <c r="M56" s="505">
        <f>IF(N56="-","-",N56/L56)</f>
        <v>0.75</v>
      </c>
      <c r="N56" s="507">
        <v>9</v>
      </c>
      <c r="O56" s="490" t="s">
        <v>21</v>
      </c>
      <c r="P56" s="491" t="s">
        <v>21</v>
      </c>
      <c r="Q56" s="490" t="s">
        <v>21</v>
      </c>
      <c r="R56" s="491" t="s">
        <v>21</v>
      </c>
      <c r="S56" s="674"/>
      <c r="T56" s="675"/>
      <c r="U56" s="674"/>
      <c r="V56" s="676"/>
      <c r="W56" s="415" t="s">
        <v>142</v>
      </c>
      <c r="Y56" s="1" t="str">
        <f>IF(G56="","",1)</f>
        <v/>
      </c>
    </row>
    <row r="57" spans="2:25" x14ac:dyDescent="0.3">
      <c r="B57" s="838"/>
      <c r="C57" s="841"/>
      <c r="D57" s="862"/>
      <c r="E57" s="501" t="s">
        <v>171</v>
      </c>
      <c r="F57" s="502" t="s">
        <v>62</v>
      </c>
      <c r="G57" s="503"/>
      <c r="H57" s="504"/>
      <c r="I57" s="505" t="e">
        <f t="shared" si="26"/>
        <v>#DIV/0!</v>
      </c>
      <c r="J57" s="506">
        <v>35</v>
      </c>
      <c r="K57" s="505" t="e">
        <f t="shared" si="27"/>
        <v>#DIV/0!</v>
      </c>
      <c r="L57" s="506">
        <v>20</v>
      </c>
      <c r="M57" s="505">
        <f>IF(N57="-","-",N57/L57)</f>
        <v>0.85</v>
      </c>
      <c r="N57" s="507">
        <v>17</v>
      </c>
      <c r="O57" s="490" t="s">
        <v>21</v>
      </c>
      <c r="P57" s="491" t="s">
        <v>21</v>
      </c>
      <c r="Q57" s="490" t="s">
        <v>21</v>
      </c>
      <c r="R57" s="491" t="s">
        <v>21</v>
      </c>
      <c r="S57" s="674"/>
      <c r="T57" s="675"/>
      <c r="U57" s="674"/>
      <c r="V57" s="676"/>
      <c r="W57" s="415" t="s">
        <v>142</v>
      </c>
      <c r="Y57" s="1" t="str">
        <f>IF(G57="","",1)</f>
        <v/>
      </c>
    </row>
    <row r="58" spans="2:25" x14ac:dyDescent="0.3">
      <c r="B58" s="838"/>
      <c r="C58" s="841"/>
      <c r="D58" s="863"/>
      <c r="E58" s="738" t="s">
        <v>171</v>
      </c>
      <c r="F58" s="739"/>
      <c r="G58" s="740"/>
      <c r="H58" s="741"/>
      <c r="I58" s="505" t="e">
        <f t="shared" si="26"/>
        <v>#DIV/0!</v>
      </c>
      <c r="J58" s="506">
        <v>35</v>
      </c>
      <c r="K58" s="505" t="e">
        <f t="shared" si="27"/>
        <v>#DIV/0!</v>
      </c>
      <c r="L58" s="506">
        <v>20</v>
      </c>
      <c r="M58" s="505">
        <f t="shared" ref="M58:M59" si="28">IF(N58="-","-",N58/L58)</f>
        <v>0.85</v>
      </c>
      <c r="N58" s="507">
        <v>17</v>
      </c>
      <c r="O58" s="744"/>
      <c r="P58" s="745"/>
      <c r="Q58" s="744"/>
      <c r="R58" s="745"/>
      <c r="S58" s="746"/>
      <c r="T58" s="747"/>
      <c r="U58" s="746"/>
      <c r="V58" s="748"/>
      <c r="W58" s="415"/>
    </row>
    <row r="59" spans="2:25" x14ac:dyDescent="0.3">
      <c r="B59" s="838"/>
      <c r="C59" s="841"/>
      <c r="D59" s="863"/>
      <c r="E59" s="738" t="s">
        <v>171</v>
      </c>
      <c r="F59" s="739"/>
      <c r="G59" s="740"/>
      <c r="H59" s="741"/>
      <c r="I59" s="505" t="e">
        <f t="shared" si="26"/>
        <v>#DIV/0!</v>
      </c>
      <c r="J59" s="506">
        <v>35</v>
      </c>
      <c r="K59" s="505" t="e">
        <f t="shared" si="27"/>
        <v>#DIV/0!</v>
      </c>
      <c r="L59" s="506">
        <v>20</v>
      </c>
      <c r="M59" s="505">
        <f t="shared" si="28"/>
        <v>0.85</v>
      </c>
      <c r="N59" s="507">
        <v>17</v>
      </c>
      <c r="O59" s="744"/>
      <c r="P59" s="745"/>
      <c r="Q59" s="744"/>
      <c r="R59" s="745"/>
      <c r="S59" s="746"/>
      <c r="T59" s="747"/>
      <c r="U59" s="746"/>
      <c r="V59" s="748"/>
      <c r="W59" s="415"/>
    </row>
    <row r="60" spans="2:25" x14ac:dyDescent="0.3">
      <c r="B60" s="838"/>
      <c r="C60" s="841"/>
      <c r="D60" s="864"/>
      <c r="E60" s="508" t="s">
        <v>171</v>
      </c>
      <c r="F60" s="509" t="s">
        <v>62</v>
      </c>
      <c r="G60" s="510"/>
      <c r="H60" s="511"/>
      <c r="I60" s="512" t="e">
        <f t="shared" si="26"/>
        <v>#DIV/0!</v>
      </c>
      <c r="J60" s="513">
        <v>28</v>
      </c>
      <c r="K60" s="512" t="e">
        <f t="shared" si="27"/>
        <v>#DIV/0!</v>
      </c>
      <c r="L60" s="513">
        <v>16</v>
      </c>
      <c r="M60" s="512">
        <f>IF(N60="-","-",N60/L60)</f>
        <v>0.9375</v>
      </c>
      <c r="N60" s="514">
        <v>15</v>
      </c>
      <c r="O60" s="492" t="s">
        <v>21</v>
      </c>
      <c r="P60" s="493" t="s">
        <v>21</v>
      </c>
      <c r="Q60" s="492" t="s">
        <v>21</v>
      </c>
      <c r="R60" s="493" t="s">
        <v>21</v>
      </c>
      <c r="S60" s="677"/>
      <c r="T60" s="678"/>
      <c r="U60" s="677"/>
      <c r="V60" s="679"/>
      <c r="W60" s="415" t="s">
        <v>142</v>
      </c>
      <c r="X60" s="410" t="s">
        <v>146</v>
      </c>
      <c r="Y60" s="1" t="str">
        <f>IF(G60="","",1)</f>
        <v/>
      </c>
    </row>
    <row r="61" spans="2:25" ht="15.6" x14ac:dyDescent="0.3">
      <c r="B61" s="839"/>
      <c r="C61" s="842"/>
      <c r="D61" s="792" t="s">
        <v>138</v>
      </c>
      <c r="E61" s="407"/>
      <c r="F61" s="408"/>
      <c r="G61" s="25">
        <f>SUM(G54:G60)</f>
        <v>0</v>
      </c>
      <c r="H61" s="26">
        <f>SUM(H54:H60)</f>
        <v>0</v>
      </c>
      <c r="I61" s="27" t="e">
        <f>J61/G61</f>
        <v>#DIV/0!</v>
      </c>
      <c r="J61" s="412">
        <f>SUM(J54:J60)</f>
        <v>262</v>
      </c>
      <c r="K61" s="165" t="e">
        <f>L61/G61</f>
        <v>#DIV/0!</v>
      </c>
      <c r="L61" s="412">
        <f>SUM(L54:L60)</f>
        <v>147</v>
      </c>
      <c r="M61" s="27">
        <f>N61/L61</f>
        <v>0.80272108843537415</v>
      </c>
      <c r="N61" s="412">
        <f t="shared" ref="N61:V61" si="29">SUM(N54:N60)</f>
        <v>118</v>
      </c>
      <c r="O61" s="270">
        <f t="shared" si="29"/>
        <v>0</v>
      </c>
      <c r="P61" s="271">
        <f t="shared" si="29"/>
        <v>0</v>
      </c>
      <c r="Q61" s="270">
        <f t="shared" si="29"/>
        <v>0</v>
      </c>
      <c r="R61" s="271">
        <f t="shared" si="29"/>
        <v>0</v>
      </c>
      <c r="S61" s="270">
        <f t="shared" si="29"/>
        <v>0</v>
      </c>
      <c r="T61" s="271">
        <f t="shared" si="29"/>
        <v>0</v>
      </c>
      <c r="U61" s="270">
        <f t="shared" si="29"/>
        <v>0</v>
      </c>
      <c r="V61" s="272">
        <f t="shared" si="29"/>
        <v>0</v>
      </c>
      <c r="W61" s="415" t="s">
        <v>142</v>
      </c>
      <c r="X61" s="410"/>
    </row>
    <row r="62" spans="2:25" x14ac:dyDescent="0.3">
      <c r="B62" s="838" t="s">
        <v>1</v>
      </c>
      <c r="C62" s="841" t="s">
        <v>76</v>
      </c>
      <c r="D62" s="861">
        <v>11</v>
      </c>
      <c r="E62" s="494" t="s">
        <v>27</v>
      </c>
      <c r="F62" s="495" t="s">
        <v>62</v>
      </c>
      <c r="G62" s="496">
        <v>53</v>
      </c>
      <c r="H62" s="497">
        <v>38</v>
      </c>
      <c r="I62" s="498">
        <f t="shared" ref="I62:I68" si="30">J62/G62</f>
        <v>0.60377358490566035</v>
      </c>
      <c r="J62" s="499">
        <v>32</v>
      </c>
      <c r="K62" s="498">
        <f t="shared" ref="K62:K68" si="31">L62/G62</f>
        <v>0.22641509433962265</v>
      </c>
      <c r="L62" s="499">
        <v>12</v>
      </c>
      <c r="M62" s="498">
        <f>IF(N62="-","-",N62/L62)</f>
        <v>0.83333333333333337</v>
      </c>
      <c r="N62" s="500">
        <v>10</v>
      </c>
      <c r="O62" s="488" t="s">
        <v>21</v>
      </c>
      <c r="P62" s="489" t="s">
        <v>21</v>
      </c>
      <c r="Q62" s="488" t="s">
        <v>21</v>
      </c>
      <c r="R62" s="489" t="s">
        <v>21</v>
      </c>
      <c r="S62" s="671">
        <v>51</v>
      </c>
      <c r="T62" s="672">
        <v>36</v>
      </c>
      <c r="U62" s="671">
        <v>2</v>
      </c>
      <c r="V62" s="673">
        <v>2</v>
      </c>
      <c r="W62" s="415" t="s">
        <v>142</v>
      </c>
      <c r="Y62" s="1">
        <f>IF(G62="","",1)</f>
        <v>1</v>
      </c>
    </row>
    <row r="63" spans="2:25" x14ac:dyDescent="0.3">
      <c r="B63" s="838"/>
      <c r="C63" s="841"/>
      <c r="D63" s="862"/>
      <c r="E63" s="501" t="s">
        <v>28</v>
      </c>
      <c r="F63" s="502" t="s">
        <v>62</v>
      </c>
      <c r="G63" s="503">
        <v>117</v>
      </c>
      <c r="H63" s="504">
        <v>86</v>
      </c>
      <c r="I63" s="505">
        <f>J63/G63</f>
        <v>0.69230769230769229</v>
      </c>
      <c r="J63" s="506">
        <v>81</v>
      </c>
      <c r="K63" s="505">
        <f>L63/G63</f>
        <v>0.40170940170940173</v>
      </c>
      <c r="L63" s="506">
        <v>47</v>
      </c>
      <c r="M63" s="505">
        <f>IF(N63="-","-",N63/L63)</f>
        <v>0.7021276595744681</v>
      </c>
      <c r="N63" s="507">
        <v>33</v>
      </c>
      <c r="O63" s="490" t="s">
        <v>21</v>
      </c>
      <c r="P63" s="491" t="s">
        <v>21</v>
      </c>
      <c r="Q63" s="490" t="s">
        <v>21</v>
      </c>
      <c r="R63" s="491" t="s">
        <v>21</v>
      </c>
      <c r="S63" s="674">
        <v>112</v>
      </c>
      <c r="T63" s="675">
        <v>82</v>
      </c>
      <c r="U63" s="674">
        <v>5</v>
      </c>
      <c r="V63" s="676">
        <v>4</v>
      </c>
      <c r="W63" s="415" t="s">
        <v>142</v>
      </c>
      <c r="Y63" s="1">
        <f>IF(G63="","",1)</f>
        <v>1</v>
      </c>
    </row>
    <row r="64" spans="2:25" x14ac:dyDescent="0.3">
      <c r="B64" s="838"/>
      <c r="C64" s="841"/>
      <c r="D64" s="862"/>
      <c r="E64" s="501" t="s">
        <v>29</v>
      </c>
      <c r="F64" s="502" t="s">
        <v>62</v>
      </c>
      <c r="G64" s="503">
        <v>22</v>
      </c>
      <c r="H64" s="504">
        <v>20</v>
      </c>
      <c r="I64" s="505">
        <f t="shared" si="30"/>
        <v>0.72727272727272729</v>
      </c>
      <c r="J64" s="506">
        <v>16</v>
      </c>
      <c r="K64" s="505">
        <f t="shared" si="31"/>
        <v>0.54545454545454541</v>
      </c>
      <c r="L64" s="506">
        <v>12</v>
      </c>
      <c r="M64" s="505">
        <f>IF(N64="-","-",N64/L64)</f>
        <v>0.75</v>
      </c>
      <c r="N64" s="507">
        <v>9</v>
      </c>
      <c r="O64" s="490" t="s">
        <v>21</v>
      </c>
      <c r="P64" s="491" t="s">
        <v>21</v>
      </c>
      <c r="Q64" s="490" t="s">
        <v>21</v>
      </c>
      <c r="R64" s="491" t="s">
        <v>21</v>
      </c>
      <c r="S64" s="674">
        <v>22</v>
      </c>
      <c r="T64" s="675">
        <v>20</v>
      </c>
      <c r="U64" s="674">
        <v>0</v>
      </c>
      <c r="V64" s="676">
        <v>0</v>
      </c>
      <c r="W64" s="415" t="s">
        <v>142</v>
      </c>
      <c r="Y64" s="1">
        <f>IF(G64="","",1)</f>
        <v>1</v>
      </c>
    </row>
    <row r="65" spans="2:25" x14ac:dyDescent="0.3">
      <c r="B65" s="838"/>
      <c r="C65" s="841"/>
      <c r="D65" s="862"/>
      <c r="E65" s="501" t="s">
        <v>30</v>
      </c>
      <c r="F65" s="502" t="s">
        <v>62</v>
      </c>
      <c r="G65" s="503">
        <v>49</v>
      </c>
      <c r="H65" s="504">
        <v>33</v>
      </c>
      <c r="I65" s="505">
        <f t="shared" si="30"/>
        <v>0.7142857142857143</v>
      </c>
      <c r="J65" s="506">
        <v>35</v>
      </c>
      <c r="K65" s="505">
        <f t="shared" si="31"/>
        <v>0.40816326530612246</v>
      </c>
      <c r="L65" s="506">
        <v>20</v>
      </c>
      <c r="M65" s="505">
        <f>IF(N65="-","-",N65/L65)</f>
        <v>0.85</v>
      </c>
      <c r="N65" s="507">
        <v>17</v>
      </c>
      <c r="O65" s="490" t="s">
        <v>21</v>
      </c>
      <c r="P65" s="491" t="s">
        <v>21</v>
      </c>
      <c r="Q65" s="490" t="s">
        <v>21</v>
      </c>
      <c r="R65" s="491" t="s">
        <v>21</v>
      </c>
      <c r="S65" s="674">
        <v>46</v>
      </c>
      <c r="T65" s="675">
        <v>31</v>
      </c>
      <c r="U65" s="674">
        <v>3</v>
      </c>
      <c r="V65" s="676">
        <v>2</v>
      </c>
      <c r="W65" s="415" t="s">
        <v>142</v>
      </c>
      <c r="Y65" s="1">
        <f>IF(G65="","",1)</f>
        <v>1</v>
      </c>
    </row>
    <row r="66" spans="2:25" x14ac:dyDescent="0.3">
      <c r="B66" s="838"/>
      <c r="C66" s="841"/>
      <c r="D66" s="863"/>
      <c r="E66" s="738"/>
      <c r="F66" s="739"/>
      <c r="G66" s="740"/>
      <c r="H66" s="741"/>
      <c r="I66" s="505" t="e">
        <f t="shared" si="30"/>
        <v>#DIV/0!</v>
      </c>
      <c r="J66" s="742"/>
      <c r="K66" s="505" t="e">
        <f t="shared" si="31"/>
        <v>#DIV/0!</v>
      </c>
      <c r="L66" s="742"/>
      <c r="M66" s="505" t="e">
        <f t="shared" ref="M66:M67" si="32">IF(N66="-","-",N66/L66)</f>
        <v>#DIV/0!</v>
      </c>
      <c r="N66" s="743"/>
      <c r="O66" s="744"/>
      <c r="P66" s="745"/>
      <c r="Q66" s="744"/>
      <c r="R66" s="745"/>
      <c r="S66" s="746"/>
      <c r="T66" s="747"/>
      <c r="U66" s="746"/>
      <c r="V66" s="748"/>
      <c r="W66" s="415"/>
    </row>
    <row r="67" spans="2:25" x14ac:dyDescent="0.3">
      <c r="B67" s="838"/>
      <c r="C67" s="841"/>
      <c r="D67" s="863"/>
      <c r="E67" s="738"/>
      <c r="F67" s="739"/>
      <c r="G67" s="740"/>
      <c r="H67" s="741"/>
      <c r="I67" s="505" t="e">
        <f t="shared" si="30"/>
        <v>#DIV/0!</v>
      </c>
      <c r="J67" s="742"/>
      <c r="K67" s="505" t="e">
        <f t="shared" si="31"/>
        <v>#DIV/0!</v>
      </c>
      <c r="L67" s="742"/>
      <c r="M67" s="505" t="e">
        <f t="shared" si="32"/>
        <v>#DIV/0!</v>
      </c>
      <c r="N67" s="743"/>
      <c r="O67" s="744"/>
      <c r="P67" s="745"/>
      <c r="Q67" s="744"/>
      <c r="R67" s="745"/>
      <c r="S67" s="746"/>
      <c r="T67" s="747"/>
      <c r="U67" s="746"/>
      <c r="V67" s="748"/>
      <c r="W67" s="415"/>
    </row>
    <row r="68" spans="2:25" x14ac:dyDescent="0.3">
      <c r="B68" s="838"/>
      <c r="C68" s="841"/>
      <c r="D68" s="864"/>
      <c r="E68" s="508" t="s">
        <v>31</v>
      </c>
      <c r="F68" s="509" t="s">
        <v>62</v>
      </c>
      <c r="G68" s="510">
        <v>44</v>
      </c>
      <c r="H68" s="511">
        <v>44</v>
      </c>
      <c r="I68" s="512">
        <f t="shared" si="30"/>
        <v>0.63636363636363635</v>
      </c>
      <c r="J68" s="513">
        <v>28</v>
      </c>
      <c r="K68" s="512">
        <f t="shared" si="31"/>
        <v>0.36363636363636365</v>
      </c>
      <c r="L68" s="513">
        <v>16</v>
      </c>
      <c r="M68" s="512">
        <f>IF(N68="-","-",N68/L68)</f>
        <v>0.9375</v>
      </c>
      <c r="N68" s="514">
        <v>15</v>
      </c>
      <c r="O68" s="492" t="s">
        <v>21</v>
      </c>
      <c r="P68" s="493" t="s">
        <v>21</v>
      </c>
      <c r="Q68" s="492" t="s">
        <v>21</v>
      </c>
      <c r="R68" s="493" t="s">
        <v>21</v>
      </c>
      <c r="S68" s="677">
        <v>40</v>
      </c>
      <c r="T68" s="678">
        <v>40</v>
      </c>
      <c r="U68" s="677">
        <v>4</v>
      </c>
      <c r="V68" s="679">
        <v>4</v>
      </c>
      <c r="W68" s="415" t="s">
        <v>142</v>
      </c>
      <c r="X68" s="410" t="s">
        <v>146</v>
      </c>
      <c r="Y68" s="1">
        <f>IF(G68="","",1)</f>
        <v>1</v>
      </c>
    </row>
    <row r="69" spans="2:25" ht="15.6" x14ac:dyDescent="0.3">
      <c r="B69" s="839"/>
      <c r="C69" s="842"/>
      <c r="D69" s="455" t="s">
        <v>138</v>
      </c>
      <c r="E69" s="407"/>
      <c r="F69" s="408"/>
      <c r="G69" s="25">
        <f>SUM(G62:G68)</f>
        <v>285</v>
      </c>
      <c r="H69" s="26">
        <f>SUM(H62:H68)</f>
        <v>221</v>
      </c>
      <c r="I69" s="27">
        <f>J69/G69</f>
        <v>0.67368421052631577</v>
      </c>
      <c r="J69" s="412">
        <f>SUM(J62:J68)</f>
        <v>192</v>
      </c>
      <c r="K69" s="165">
        <f>L69/G69</f>
        <v>0.37543859649122807</v>
      </c>
      <c r="L69" s="412">
        <f>SUM(L62:L68)</f>
        <v>107</v>
      </c>
      <c r="M69" s="27">
        <f>N69/L69</f>
        <v>0.78504672897196259</v>
      </c>
      <c r="N69" s="412">
        <f t="shared" ref="N69:V69" si="33">SUM(N62:N68)</f>
        <v>84</v>
      </c>
      <c r="O69" s="270">
        <f t="shared" si="33"/>
        <v>0</v>
      </c>
      <c r="P69" s="271">
        <f t="shared" si="33"/>
        <v>0</v>
      </c>
      <c r="Q69" s="270">
        <f t="shared" si="33"/>
        <v>0</v>
      </c>
      <c r="R69" s="271">
        <f t="shared" si="33"/>
        <v>0</v>
      </c>
      <c r="S69" s="270">
        <f t="shared" si="33"/>
        <v>271</v>
      </c>
      <c r="T69" s="271">
        <f t="shared" si="33"/>
        <v>209</v>
      </c>
      <c r="U69" s="270">
        <f t="shared" si="33"/>
        <v>14</v>
      </c>
      <c r="V69" s="272">
        <f t="shared" si="33"/>
        <v>12</v>
      </c>
      <c r="W69" s="415" t="s">
        <v>142</v>
      </c>
      <c r="X69" s="410"/>
    </row>
    <row r="70" spans="2:25" ht="15" customHeight="1" x14ac:dyDescent="0.3">
      <c r="B70" s="843" t="s">
        <v>45</v>
      </c>
      <c r="C70" s="806" t="s">
        <v>76</v>
      </c>
      <c r="D70" s="872">
        <v>17</v>
      </c>
      <c r="E70" s="189" t="s">
        <v>32</v>
      </c>
      <c r="F70" s="190" t="s">
        <v>62</v>
      </c>
      <c r="G70" s="180">
        <v>76</v>
      </c>
      <c r="H70" s="149">
        <f>G70</f>
        <v>76</v>
      </c>
      <c r="I70" s="145">
        <f t="shared" si="20"/>
        <v>0.5</v>
      </c>
      <c r="J70" s="436">
        <f>17+21</f>
        <v>38</v>
      </c>
      <c r="K70" s="145">
        <f t="shared" si="21"/>
        <v>0.38157894736842107</v>
      </c>
      <c r="L70" s="436">
        <v>29</v>
      </c>
      <c r="M70" s="145">
        <f t="shared" si="22"/>
        <v>0.72413793103448276</v>
      </c>
      <c r="N70" s="200">
        <v>21</v>
      </c>
      <c r="O70" s="205" t="s">
        <v>21</v>
      </c>
      <c r="P70" s="206" t="s">
        <v>21</v>
      </c>
      <c r="Q70" s="205" t="s">
        <v>21</v>
      </c>
      <c r="R70" s="206" t="s">
        <v>21</v>
      </c>
      <c r="S70" s="662">
        <v>75</v>
      </c>
      <c r="T70" s="663">
        <v>75</v>
      </c>
      <c r="U70" s="662">
        <v>1</v>
      </c>
      <c r="V70" s="664">
        <v>1</v>
      </c>
      <c r="W70" s="415" t="s">
        <v>142</v>
      </c>
      <c r="X70" s="410"/>
      <c r="Y70" s="1">
        <f t="shared" ref="Y70:Y79" si="34">IF(G70="","",1)</f>
        <v>1</v>
      </c>
    </row>
    <row r="71" spans="2:25" ht="15" customHeight="1" x14ac:dyDescent="0.3">
      <c r="B71" s="838"/>
      <c r="C71" s="807"/>
      <c r="D71" s="873"/>
      <c r="E71" s="191" t="s">
        <v>33</v>
      </c>
      <c r="F71" s="187" t="s">
        <v>62</v>
      </c>
      <c r="G71" s="183">
        <v>80</v>
      </c>
      <c r="H71" s="155">
        <f>G71</f>
        <v>80</v>
      </c>
      <c r="I71" s="151">
        <f t="shared" si="20"/>
        <v>0.63749999999999996</v>
      </c>
      <c r="J71" s="437">
        <f>25+26</f>
        <v>51</v>
      </c>
      <c r="K71" s="151">
        <f t="shared" si="21"/>
        <v>0.5</v>
      </c>
      <c r="L71" s="437">
        <v>40</v>
      </c>
      <c r="M71" s="151">
        <f t="shared" si="22"/>
        <v>0.65</v>
      </c>
      <c r="N71" s="201">
        <v>26</v>
      </c>
      <c r="O71" s="207" t="s">
        <v>21</v>
      </c>
      <c r="P71" s="208" t="s">
        <v>21</v>
      </c>
      <c r="Q71" s="207" t="s">
        <v>21</v>
      </c>
      <c r="R71" s="208" t="s">
        <v>21</v>
      </c>
      <c r="S71" s="665">
        <v>74</v>
      </c>
      <c r="T71" s="666">
        <v>74</v>
      </c>
      <c r="U71" s="665">
        <v>6</v>
      </c>
      <c r="V71" s="667">
        <v>6</v>
      </c>
      <c r="W71" s="415" t="s">
        <v>142</v>
      </c>
      <c r="X71" s="410"/>
      <c r="Y71" s="1">
        <f t="shared" si="34"/>
        <v>1</v>
      </c>
    </row>
    <row r="72" spans="2:25" ht="15" customHeight="1" x14ac:dyDescent="0.3">
      <c r="B72" s="838"/>
      <c r="C72" s="807"/>
      <c r="D72" s="873"/>
      <c r="E72" s="191" t="s">
        <v>47</v>
      </c>
      <c r="F72" s="187" t="s">
        <v>62</v>
      </c>
      <c r="G72" s="183">
        <v>31</v>
      </c>
      <c r="H72" s="155">
        <f t="shared" ref="H72:H74" si="35">G72</f>
        <v>31</v>
      </c>
      <c r="I72" s="151">
        <f t="shared" si="20"/>
        <v>0.32258064516129031</v>
      </c>
      <c r="J72" s="437">
        <f>5+5</f>
        <v>10</v>
      </c>
      <c r="K72" s="151">
        <f t="shared" si="21"/>
        <v>0.35483870967741937</v>
      </c>
      <c r="L72" s="437">
        <v>11</v>
      </c>
      <c r="M72" s="151">
        <f t="shared" si="22"/>
        <v>0.45454545454545453</v>
      </c>
      <c r="N72" s="201">
        <v>5</v>
      </c>
      <c r="O72" s="207" t="s">
        <v>21</v>
      </c>
      <c r="P72" s="208" t="s">
        <v>21</v>
      </c>
      <c r="Q72" s="207" t="s">
        <v>21</v>
      </c>
      <c r="R72" s="208" t="s">
        <v>21</v>
      </c>
      <c r="S72" s="665">
        <v>31</v>
      </c>
      <c r="T72" s="666">
        <v>31</v>
      </c>
      <c r="U72" s="665">
        <v>0</v>
      </c>
      <c r="V72" s="667">
        <v>0</v>
      </c>
      <c r="W72" s="415" t="s">
        <v>142</v>
      </c>
      <c r="X72" s="410"/>
      <c r="Y72" s="1">
        <f t="shared" si="34"/>
        <v>1</v>
      </c>
    </row>
    <row r="73" spans="2:25" ht="15" customHeight="1" x14ac:dyDescent="0.3">
      <c r="B73" s="838"/>
      <c r="C73" s="807"/>
      <c r="D73" s="873"/>
      <c r="E73" s="191" t="s">
        <v>46</v>
      </c>
      <c r="F73" s="187" t="s">
        <v>62</v>
      </c>
      <c r="G73" s="183">
        <v>15</v>
      </c>
      <c r="H73" s="155">
        <f t="shared" si="35"/>
        <v>15</v>
      </c>
      <c r="I73" s="151">
        <f t="shared" si="20"/>
        <v>0.33333333333333331</v>
      </c>
      <c r="J73" s="437">
        <f>5+0</f>
        <v>5</v>
      </c>
      <c r="K73" s="151">
        <f t="shared" si="21"/>
        <v>0</v>
      </c>
      <c r="L73" s="437">
        <v>0</v>
      </c>
      <c r="M73" s="151" t="str">
        <f>IF(N73=0,"-",N73/L73)</f>
        <v>-</v>
      </c>
      <c r="N73" s="201">
        <v>0</v>
      </c>
      <c r="O73" s="207" t="s">
        <v>21</v>
      </c>
      <c r="P73" s="208" t="s">
        <v>21</v>
      </c>
      <c r="Q73" s="207" t="s">
        <v>21</v>
      </c>
      <c r="R73" s="208" t="s">
        <v>21</v>
      </c>
      <c r="S73" s="665">
        <v>15</v>
      </c>
      <c r="T73" s="666">
        <v>15</v>
      </c>
      <c r="U73" s="665">
        <v>0</v>
      </c>
      <c r="V73" s="667">
        <v>0</v>
      </c>
      <c r="W73" s="415" t="s">
        <v>142</v>
      </c>
      <c r="X73" s="410"/>
      <c r="Y73" s="1">
        <f t="shared" si="34"/>
        <v>1</v>
      </c>
    </row>
    <row r="74" spans="2:25" ht="15" customHeight="1" x14ac:dyDescent="0.3">
      <c r="B74" s="838"/>
      <c r="C74" s="807"/>
      <c r="D74" s="873"/>
      <c r="E74" s="191" t="s">
        <v>35</v>
      </c>
      <c r="F74" s="187" t="s">
        <v>62</v>
      </c>
      <c r="G74" s="183">
        <v>2</v>
      </c>
      <c r="H74" s="155">
        <f t="shared" si="35"/>
        <v>2</v>
      </c>
      <c r="I74" s="151">
        <f t="shared" si="20"/>
        <v>0.5</v>
      </c>
      <c r="J74" s="437">
        <f>0+1</f>
        <v>1</v>
      </c>
      <c r="K74" s="151">
        <f t="shared" si="21"/>
        <v>0.5</v>
      </c>
      <c r="L74" s="437">
        <v>1</v>
      </c>
      <c r="M74" s="151">
        <f t="shared" si="22"/>
        <v>1</v>
      </c>
      <c r="N74" s="201">
        <v>1</v>
      </c>
      <c r="O74" s="207" t="s">
        <v>21</v>
      </c>
      <c r="P74" s="208" t="s">
        <v>21</v>
      </c>
      <c r="Q74" s="207" t="s">
        <v>21</v>
      </c>
      <c r="R74" s="208" t="s">
        <v>21</v>
      </c>
      <c r="S74" s="665">
        <v>1</v>
      </c>
      <c r="T74" s="666">
        <v>1</v>
      </c>
      <c r="U74" s="665">
        <v>1</v>
      </c>
      <c r="V74" s="667">
        <v>1</v>
      </c>
      <c r="W74" s="415" t="s">
        <v>142</v>
      </c>
      <c r="X74" s="410"/>
      <c r="Y74" s="1">
        <f t="shared" si="34"/>
        <v>1</v>
      </c>
    </row>
    <row r="75" spans="2:25" ht="15" customHeight="1" x14ac:dyDescent="0.3">
      <c r="B75" s="838"/>
      <c r="C75" s="807"/>
      <c r="D75" s="873"/>
      <c r="E75" s="191" t="s">
        <v>34</v>
      </c>
      <c r="F75" s="187" t="s">
        <v>62</v>
      </c>
      <c r="G75" s="183">
        <v>15</v>
      </c>
      <c r="H75" s="155">
        <f>G75</f>
        <v>15</v>
      </c>
      <c r="I75" s="151">
        <f t="shared" si="20"/>
        <v>0.53333333333333333</v>
      </c>
      <c r="J75" s="437">
        <f>6+2</f>
        <v>8</v>
      </c>
      <c r="K75" s="151">
        <f t="shared" si="21"/>
        <v>0.26666666666666666</v>
      </c>
      <c r="L75" s="437">
        <v>4</v>
      </c>
      <c r="M75" s="151">
        <f t="shared" si="22"/>
        <v>0.5</v>
      </c>
      <c r="N75" s="201">
        <v>2</v>
      </c>
      <c r="O75" s="207" t="s">
        <v>21</v>
      </c>
      <c r="P75" s="208" t="s">
        <v>21</v>
      </c>
      <c r="Q75" s="207" t="s">
        <v>21</v>
      </c>
      <c r="R75" s="208" t="s">
        <v>21</v>
      </c>
      <c r="S75" s="665">
        <v>13</v>
      </c>
      <c r="T75" s="666">
        <v>13</v>
      </c>
      <c r="U75" s="665">
        <v>2</v>
      </c>
      <c r="V75" s="667">
        <v>2</v>
      </c>
      <c r="W75" s="415" t="s">
        <v>142</v>
      </c>
      <c r="X75" s="410"/>
      <c r="Y75" s="1">
        <f t="shared" si="34"/>
        <v>1</v>
      </c>
    </row>
    <row r="76" spans="2:25" ht="15.75" customHeight="1" x14ac:dyDescent="0.3">
      <c r="B76" s="838"/>
      <c r="C76" s="807"/>
      <c r="D76" s="873"/>
      <c r="E76" s="191" t="s">
        <v>148</v>
      </c>
      <c r="F76" s="187"/>
      <c r="G76" s="183">
        <v>12</v>
      </c>
      <c r="H76" s="155">
        <f>G76</f>
        <v>12</v>
      </c>
      <c r="I76" s="151">
        <f t="shared" si="20"/>
        <v>0.83333333333333337</v>
      </c>
      <c r="J76" s="437">
        <f>3+7</f>
        <v>10</v>
      </c>
      <c r="K76" s="151">
        <f t="shared" si="21"/>
        <v>0.58333333333333337</v>
      </c>
      <c r="L76" s="437">
        <v>7</v>
      </c>
      <c r="M76" s="151">
        <f t="shared" si="22"/>
        <v>1</v>
      </c>
      <c r="N76" s="201">
        <v>7</v>
      </c>
      <c r="O76" s="207" t="s">
        <v>21</v>
      </c>
      <c r="P76" s="208" t="s">
        <v>21</v>
      </c>
      <c r="Q76" s="207" t="s">
        <v>21</v>
      </c>
      <c r="R76" s="208" t="s">
        <v>21</v>
      </c>
      <c r="S76" s="665">
        <v>12</v>
      </c>
      <c r="T76" s="666">
        <v>12</v>
      </c>
      <c r="U76" s="665">
        <v>0</v>
      </c>
      <c r="V76" s="667">
        <v>0</v>
      </c>
      <c r="W76" s="415" t="s">
        <v>142</v>
      </c>
      <c r="X76" s="410"/>
      <c r="Y76" s="1">
        <f t="shared" si="34"/>
        <v>1</v>
      </c>
    </row>
    <row r="77" spans="2:25" ht="15.75" customHeight="1" x14ac:dyDescent="0.3">
      <c r="B77" s="838"/>
      <c r="C77" s="807"/>
      <c r="D77" s="873"/>
      <c r="E77" s="724"/>
      <c r="F77" s="759"/>
      <c r="G77" s="722"/>
      <c r="H77" s="723"/>
      <c r="I77" s="151" t="e">
        <f t="shared" si="20"/>
        <v>#DIV/0!</v>
      </c>
      <c r="J77" s="721"/>
      <c r="K77" s="151" t="e">
        <f t="shared" si="21"/>
        <v>#DIV/0!</v>
      </c>
      <c r="L77" s="721"/>
      <c r="M77" s="151" t="e">
        <f t="shared" si="22"/>
        <v>#DIV/0!</v>
      </c>
      <c r="N77" s="703"/>
      <c r="O77" s="687"/>
      <c r="P77" s="688"/>
      <c r="Q77" s="687"/>
      <c r="R77" s="688"/>
      <c r="S77" s="735"/>
      <c r="T77" s="736"/>
      <c r="U77" s="735"/>
      <c r="V77" s="737"/>
      <c r="W77" s="415"/>
      <c r="X77" s="410"/>
    </row>
    <row r="78" spans="2:25" ht="15.75" customHeight="1" x14ac:dyDescent="0.3">
      <c r="B78" s="838"/>
      <c r="C78" s="807"/>
      <c r="D78" s="873"/>
      <c r="E78" s="724"/>
      <c r="F78" s="759"/>
      <c r="G78" s="722"/>
      <c r="H78" s="723"/>
      <c r="I78" s="151" t="e">
        <f t="shared" si="20"/>
        <v>#DIV/0!</v>
      </c>
      <c r="J78" s="721"/>
      <c r="K78" s="151" t="e">
        <f t="shared" si="21"/>
        <v>#DIV/0!</v>
      </c>
      <c r="L78" s="721"/>
      <c r="M78" s="151" t="e">
        <f t="shared" si="22"/>
        <v>#DIV/0!</v>
      </c>
      <c r="N78" s="703"/>
      <c r="O78" s="687"/>
      <c r="P78" s="688"/>
      <c r="Q78" s="687"/>
      <c r="R78" s="688"/>
      <c r="S78" s="735"/>
      <c r="T78" s="736"/>
      <c r="U78" s="735"/>
      <c r="V78" s="737"/>
      <c r="W78" s="415"/>
      <c r="X78" s="410"/>
    </row>
    <row r="79" spans="2:25" ht="15.75" customHeight="1" x14ac:dyDescent="0.3">
      <c r="B79" s="838"/>
      <c r="C79" s="807"/>
      <c r="D79" s="874"/>
      <c r="E79" s="192" t="s">
        <v>147</v>
      </c>
      <c r="F79" s="188"/>
      <c r="G79" s="186">
        <v>14</v>
      </c>
      <c r="H79" s="163">
        <f>G79</f>
        <v>14</v>
      </c>
      <c r="I79" s="159">
        <f t="shared" si="20"/>
        <v>1</v>
      </c>
      <c r="J79" s="435">
        <f>9+5</f>
        <v>14</v>
      </c>
      <c r="K79" s="159">
        <f t="shared" si="21"/>
        <v>0.35714285714285715</v>
      </c>
      <c r="L79" s="435">
        <v>5</v>
      </c>
      <c r="M79" s="159">
        <f t="shared" si="22"/>
        <v>1</v>
      </c>
      <c r="N79" s="202">
        <v>5</v>
      </c>
      <c r="O79" s="209" t="s">
        <v>21</v>
      </c>
      <c r="P79" s="210" t="s">
        <v>21</v>
      </c>
      <c r="Q79" s="209" t="s">
        <v>21</v>
      </c>
      <c r="R79" s="210" t="s">
        <v>21</v>
      </c>
      <c r="S79" s="668">
        <v>14</v>
      </c>
      <c r="T79" s="669">
        <v>14</v>
      </c>
      <c r="U79" s="668">
        <v>0</v>
      </c>
      <c r="V79" s="670">
        <v>0</v>
      </c>
      <c r="W79" s="415" t="s">
        <v>142</v>
      </c>
      <c r="X79" s="410"/>
      <c r="Y79" s="1">
        <f t="shared" si="34"/>
        <v>1</v>
      </c>
    </row>
    <row r="80" spans="2:25" ht="15.6" x14ac:dyDescent="0.3">
      <c r="B80" s="839"/>
      <c r="C80" s="808"/>
      <c r="D80" s="403" t="s">
        <v>138</v>
      </c>
      <c r="E80" s="409"/>
      <c r="F80" s="408"/>
      <c r="G80" s="25">
        <f>SUM(G70:G79)</f>
        <v>245</v>
      </c>
      <c r="H80" s="26">
        <f>SUM(H70:H79)</f>
        <v>245</v>
      </c>
      <c r="I80" s="27">
        <f>J80/G80</f>
        <v>0.5591836734693878</v>
      </c>
      <c r="J80" s="412">
        <f>SUM(J70:J79)</f>
        <v>137</v>
      </c>
      <c r="K80" s="165">
        <f>L80/G80</f>
        <v>0.39591836734693875</v>
      </c>
      <c r="L80" s="412">
        <f>SUM(L70:L79)</f>
        <v>97</v>
      </c>
      <c r="M80" s="27">
        <f>N80/L80</f>
        <v>0.69072164948453607</v>
      </c>
      <c r="N80" s="412">
        <f>SUM(N70:N79)</f>
        <v>67</v>
      </c>
      <c r="O80" s="270">
        <f>SUM(O70:O79)</f>
        <v>0</v>
      </c>
      <c r="P80" s="271">
        <f t="shared" ref="P80" si="36">SUM(P70:P79)</f>
        <v>0</v>
      </c>
      <c r="Q80" s="270">
        <f>SUM(Q70:Q79)</f>
        <v>0</v>
      </c>
      <c r="R80" s="271">
        <f t="shared" ref="R80:V80" si="37">SUM(R70:R79)</f>
        <v>0</v>
      </c>
      <c r="S80" s="270">
        <f>SUM(S70:S79)</f>
        <v>235</v>
      </c>
      <c r="T80" s="271">
        <f t="shared" si="37"/>
        <v>235</v>
      </c>
      <c r="U80" s="270">
        <f t="shared" si="37"/>
        <v>10</v>
      </c>
      <c r="V80" s="272">
        <f t="shared" si="37"/>
        <v>10</v>
      </c>
      <c r="W80" s="415" t="s">
        <v>142</v>
      </c>
      <c r="X80" s="410"/>
    </row>
    <row r="81" spans="2:25" x14ac:dyDescent="0.3">
      <c r="B81" s="847" t="s">
        <v>152</v>
      </c>
      <c r="C81" s="850" t="s">
        <v>76</v>
      </c>
      <c r="D81" s="855">
        <v>17</v>
      </c>
      <c r="E81" s="189" t="s">
        <v>155</v>
      </c>
      <c r="F81" s="190"/>
      <c r="G81" s="565"/>
      <c r="H81" s="566"/>
      <c r="I81" s="9"/>
      <c r="J81" s="436"/>
      <c r="K81" s="145"/>
      <c r="L81" s="436"/>
      <c r="M81" s="9"/>
      <c r="N81" s="200"/>
      <c r="O81" s="205"/>
      <c r="P81" s="206"/>
      <c r="Q81" s="205"/>
      <c r="R81" s="206"/>
      <c r="S81" s="662"/>
      <c r="T81" s="663"/>
      <c r="U81" s="662"/>
      <c r="V81" s="664"/>
      <c r="W81" s="562"/>
      <c r="X81" s="446"/>
    </row>
    <row r="82" spans="2:25" ht="15.75" customHeight="1" x14ac:dyDescent="0.3">
      <c r="B82" s="848"/>
      <c r="C82" s="851"/>
      <c r="D82" s="856"/>
      <c r="E82" s="191" t="s">
        <v>156</v>
      </c>
      <c r="F82" s="187"/>
      <c r="G82" s="567"/>
      <c r="H82" s="568"/>
      <c r="I82" s="15"/>
      <c r="J82" s="437"/>
      <c r="K82" s="151"/>
      <c r="L82" s="437"/>
      <c r="M82" s="15"/>
      <c r="N82" s="201"/>
      <c r="O82" s="207"/>
      <c r="P82" s="208"/>
      <c r="Q82" s="207"/>
      <c r="R82" s="208"/>
      <c r="S82" s="665"/>
      <c r="T82" s="666"/>
      <c r="U82" s="665"/>
      <c r="V82" s="667"/>
      <c r="W82" s="563"/>
      <c r="X82" s="448"/>
    </row>
    <row r="83" spans="2:25" ht="15.75" customHeight="1" x14ac:dyDescent="0.3">
      <c r="B83" s="848"/>
      <c r="C83" s="851"/>
      <c r="D83" s="856"/>
      <c r="E83" s="191" t="s">
        <v>157</v>
      </c>
      <c r="F83" s="187"/>
      <c r="G83" s="567"/>
      <c r="H83" s="568"/>
      <c r="I83" s="15"/>
      <c r="J83" s="437"/>
      <c r="K83" s="151"/>
      <c r="L83" s="437"/>
      <c r="M83" s="15"/>
      <c r="N83" s="201"/>
      <c r="O83" s="207"/>
      <c r="P83" s="208"/>
      <c r="Q83" s="207"/>
      <c r="R83" s="208"/>
      <c r="S83" s="665"/>
      <c r="T83" s="666"/>
      <c r="U83" s="665"/>
      <c r="V83" s="667"/>
      <c r="W83" s="563"/>
      <c r="X83" s="448"/>
    </row>
    <row r="84" spans="2:25" ht="15" customHeight="1" x14ac:dyDescent="0.3">
      <c r="B84" s="848"/>
      <c r="C84" s="851"/>
      <c r="D84" s="856"/>
      <c r="E84" s="191" t="s">
        <v>37</v>
      </c>
      <c r="F84" s="517" t="s">
        <v>60</v>
      </c>
      <c r="G84" s="183">
        <v>346</v>
      </c>
      <c r="H84" s="155">
        <v>174</v>
      </c>
      <c r="I84" s="151">
        <f t="shared" si="20"/>
        <v>0.31502890173410403</v>
      </c>
      <c r="J84" s="437">
        <v>109</v>
      </c>
      <c r="K84" s="151">
        <f t="shared" si="21"/>
        <v>0.23699421965317918</v>
      </c>
      <c r="L84" s="437">
        <v>82</v>
      </c>
      <c r="M84" s="151">
        <f t="shared" si="22"/>
        <v>0.52439024390243905</v>
      </c>
      <c r="N84" s="201">
        <v>43</v>
      </c>
      <c r="O84" s="207">
        <v>11</v>
      </c>
      <c r="P84" s="208">
        <v>7</v>
      </c>
      <c r="Q84" s="207">
        <v>50</v>
      </c>
      <c r="R84" s="208">
        <v>36</v>
      </c>
      <c r="S84" s="665">
        <v>374</v>
      </c>
      <c r="T84" s="666">
        <v>195</v>
      </c>
      <c r="U84" s="665">
        <v>22</v>
      </c>
      <c r="V84" s="667">
        <v>15</v>
      </c>
      <c r="W84" s="563" t="s">
        <v>142</v>
      </c>
      <c r="X84" s="448"/>
      <c r="Y84" s="1">
        <f>IF(G84="","",1)</f>
        <v>1</v>
      </c>
    </row>
    <row r="85" spans="2:25" ht="15" customHeight="1" x14ac:dyDescent="0.3">
      <c r="B85" s="848"/>
      <c r="C85" s="851"/>
      <c r="D85" s="856"/>
      <c r="E85" s="191" t="s">
        <v>158</v>
      </c>
      <c r="F85" s="517" t="s">
        <v>62</v>
      </c>
      <c r="G85" s="183">
        <v>230</v>
      </c>
      <c r="H85" s="155">
        <v>116</v>
      </c>
      <c r="I85" s="151">
        <f t="shared" si="20"/>
        <v>0.4</v>
      </c>
      <c r="J85" s="437">
        <v>92</v>
      </c>
      <c r="K85" s="151">
        <f t="shared" si="21"/>
        <v>0.33478260869565218</v>
      </c>
      <c r="L85" s="437">
        <v>77</v>
      </c>
      <c r="M85" s="151">
        <f t="shared" si="22"/>
        <v>0.45454545454545453</v>
      </c>
      <c r="N85" s="201">
        <v>35</v>
      </c>
      <c r="O85" s="207">
        <v>20</v>
      </c>
      <c r="P85" s="208">
        <v>9</v>
      </c>
      <c r="Q85" s="207">
        <v>4</v>
      </c>
      <c r="R85" s="208">
        <v>3</v>
      </c>
      <c r="S85" s="665">
        <v>216</v>
      </c>
      <c r="T85" s="666">
        <v>106</v>
      </c>
      <c r="U85" s="665">
        <v>18</v>
      </c>
      <c r="V85" s="667">
        <v>10</v>
      </c>
      <c r="W85" s="563" t="s">
        <v>142</v>
      </c>
      <c r="X85" s="448"/>
      <c r="Y85" s="1">
        <f>IF(G85="","",1)</f>
        <v>1</v>
      </c>
    </row>
    <row r="86" spans="2:25" ht="15" customHeight="1" x14ac:dyDescent="0.3">
      <c r="B86" s="848"/>
      <c r="C86" s="851"/>
      <c r="D86" s="856"/>
      <c r="E86" s="191" t="s">
        <v>38</v>
      </c>
      <c r="F86" s="517" t="s">
        <v>62</v>
      </c>
      <c r="G86" s="183">
        <v>239</v>
      </c>
      <c r="H86" s="155">
        <v>114</v>
      </c>
      <c r="I86" s="151">
        <f t="shared" si="20"/>
        <v>0.35564853556485354</v>
      </c>
      <c r="J86" s="437">
        <v>85</v>
      </c>
      <c r="K86" s="151">
        <f t="shared" si="21"/>
        <v>0.32217573221757323</v>
      </c>
      <c r="L86" s="437">
        <v>77</v>
      </c>
      <c r="M86" s="151">
        <f t="shared" si="22"/>
        <v>0.38961038961038963</v>
      </c>
      <c r="N86" s="201">
        <v>30</v>
      </c>
      <c r="O86" s="207">
        <v>13</v>
      </c>
      <c r="P86" s="208">
        <v>5</v>
      </c>
      <c r="Q86" s="207">
        <v>36</v>
      </c>
      <c r="R86" s="208">
        <v>17</v>
      </c>
      <c r="S86" s="665">
        <v>228</v>
      </c>
      <c r="T86" s="666">
        <v>105</v>
      </c>
      <c r="U86" s="665">
        <v>47</v>
      </c>
      <c r="V86" s="667">
        <v>26</v>
      </c>
      <c r="W86" s="563" t="s">
        <v>142</v>
      </c>
      <c r="X86" s="448"/>
      <c r="Y86" s="1">
        <f>IF(G86="","",1)</f>
        <v>1</v>
      </c>
    </row>
    <row r="87" spans="2:25" ht="15" customHeight="1" x14ac:dyDescent="0.3">
      <c r="B87" s="848"/>
      <c r="C87" s="851"/>
      <c r="D87" s="856"/>
      <c r="E87" s="191" t="s">
        <v>159</v>
      </c>
      <c r="F87" s="517"/>
      <c r="G87" s="183"/>
      <c r="H87" s="155"/>
      <c r="I87" s="151" t="e">
        <f t="shared" si="20"/>
        <v>#DIV/0!</v>
      </c>
      <c r="J87" s="437"/>
      <c r="K87" s="151" t="e">
        <f t="shared" si="21"/>
        <v>#DIV/0!</v>
      </c>
      <c r="L87" s="437"/>
      <c r="M87" s="151" t="e">
        <f t="shared" si="22"/>
        <v>#DIV/0!</v>
      </c>
      <c r="N87" s="201"/>
      <c r="O87" s="207"/>
      <c r="P87" s="208"/>
      <c r="Q87" s="207"/>
      <c r="R87" s="208"/>
      <c r="S87" s="665"/>
      <c r="T87" s="666"/>
      <c r="U87" s="665"/>
      <c r="V87" s="667"/>
      <c r="W87" s="563"/>
      <c r="X87" s="448"/>
    </row>
    <row r="88" spans="2:25" ht="15" customHeight="1" x14ac:dyDescent="0.3">
      <c r="B88" s="848"/>
      <c r="C88" s="851"/>
      <c r="D88" s="856"/>
      <c r="E88" s="191" t="s">
        <v>149</v>
      </c>
      <c r="F88" s="517"/>
      <c r="G88" s="183">
        <v>40</v>
      </c>
      <c r="H88" s="155">
        <v>20</v>
      </c>
      <c r="I88" s="151">
        <f t="shared" si="20"/>
        <v>0.375</v>
      </c>
      <c r="J88" s="437">
        <v>15</v>
      </c>
      <c r="K88" s="151">
        <f t="shared" si="21"/>
        <v>0.32500000000000001</v>
      </c>
      <c r="L88" s="437">
        <v>13</v>
      </c>
      <c r="M88" s="151">
        <f t="shared" si="22"/>
        <v>0.53846153846153844</v>
      </c>
      <c r="N88" s="201">
        <v>7</v>
      </c>
      <c r="O88" s="207">
        <v>0</v>
      </c>
      <c r="P88" s="208">
        <v>0</v>
      </c>
      <c r="Q88" s="207">
        <v>0</v>
      </c>
      <c r="R88" s="208">
        <v>0</v>
      </c>
      <c r="S88" s="665">
        <v>28</v>
      </c>
      <c r="T88" s="666">
        <v>15</v>
      </c>
      <c r="U88" s="665">
        <v>12</v>
      </c>
      <c r="V88" s="667">
        <v>5</v>
      </c>
      <c r="W88" s="563" t="s">
        <v>142</v>
      </c>
      <c r="X88" s="448"/>
      <c r="Y88" s="1">
        <f>IF(G88="","",1)</f>
        <v>1</v>
      </c>
    </row>
    <row r="89" spans="2:25" ht="15" customHeight="1" x14ac:dyDescent="0.3">
      <c r="B89" s="848"/>
      <c r="C89" s="851"/>
      <c r="D89" s="856"/>
      <c r="E89" s="191" t="s">
        <v>150</v>
      </c>
      <c r="F89" s="517"/>
      <c r="G89" s="183">
        <v>24</v>
      </c>
      <c r="H89" s="155">
        <v>18</v>
      </c>
      <c r="I89" s="151">
        <f t="shared" si="20"/>
        <v>0.45833333333333331</v>
      </c>
      <c r="J89" s="437">
        <v>11</v>
      </c>
      <c r="K89" s="151">
        <f t="shared" si="21"/>
        <v>0.33333333333333331</v>
      </c>
      <c r="L89" s="437">
        <v>8</v>
      </c>
      <c r="M89" s="151">
        <f t="shared" si="22"/>
        <v>0.5</v>
      </c>
      <c r="N89" s="201">
        <v>4</v>
      </c>
      <c r="O89" s="207">
        <v>1</v>
      </c>
      <c r="P89" s="208">
        <v>1</v>
      </c>
      <c r="Q89" s="207">
        <v>10</v>
      </c>
      <c r="R89" s="208">
        <v>9</v>
      </c>
      <c r="S89" s="665">
        <v>32</v>
      </c>
      <c r="T89" s="666">
        <v>25</v>
      </c>
      <c r="U89" s="665">
        <v>2</v>
      </c>
      <c r="V89" s="667">
        <v>2</v>
      </c>
      <c r="W89" s="563" t="s">
        <v>142</v>
      </c>
      <c r="X89" s="448"/>
      <c r="Y89" s="1">
        <f>IF(G89="","",1)</f>
        <v>1</v>
      </c>
    </row>
    <row r="90" spans="2:25" ht="15" customHeight="1" x14ac:dyDescent="0.3">
      <c r="B90" s="848"/>
      <c r="C90" s="851"/>
      <c r="D90" s="856"/>
      <c r="E90" s="191"/>
      <c r="F90" s="517"/>
      <c r="G90" s="183"/>
      <c r="H90" s="155"/>
      <c r="I90" s="151" t="e">
        <f t="shared" si="20"/>
        <v>#DIV/0!</v>
      </c>
      <c r="J90" s="437"/>
      <c r="K90" s="151" t="e">
        <f t="shared" si="21"/>
        <v>#DIV/0!</v>
      </c>
      <c r="L90" s="437"/>
      <c r="M90" s="151" t="e">
        <f t="shared" si="22"/>
        <v>#DIV/0!</v>
      </c>
      <c r="N90" s="201"/>
      <c r="O90" s="207"/>
      <c r="P90" s="208"/>
      <c r="Q90" s="207"/>
      <c r="R90" s="208"/>
      <c r="S90" s="665"/>
      <c r="T90" s="666"/>
      <c r="U90" s="665"/>
      <c r="V90" s="667"/>
      <c r="W90" s="563"/>
      <c r="X90" s="448"/>
    </row>
    <row r="91" spans="2:25" ht="15" customHeight="1" x14ac:dyDescent="0.3">
      <c r="B91" s="848"/>
      <c r="C91" s="851"/>
      <c r="D91" s="856"/>
      <c r="E91" s="191"/>
      <c r="F91" s="517"/>
      <c r="G91" s="183"/>
      <c r="H91" s="155"/>
      <c r="I91" s="151" t="e">
        <f t="shared" si="20"/>
        <v>#DIV/0!</v>
      </c>
      <c r="J91" s="437"/>
      <c r="K91" s="151" t="e">
        <f t="shared" si="21"/>
        <v>#DIV/0!</v>
      </c>
      <c r="L91" s="437"/>
      <c r="M91" s="151" t="e">
        <f t="shared" si="22"/>
        <v>#DIV/0!</v>
      </c>
      <c r="N91" s="201"/>
      <c r="O91" s="207"/>
      <c r="P91" s="208"/>
      <c r="Q91" s="207"/>
      <c r="R91" s="208"/>
      <c r="S91" s="665"/>
      <c r="T91" s="666"/>
      <c r="U91" s="665"/>
      <c r="V91" s="667"/>
      <c r="W91" s="563"/>
      <c r="X91" s="448"/>
    </row>
    <row r="92" spans="2:25" ht="15" customHeight="1" x14ac:dyDescent="0.3">
      <c r="B92" s="848"/>
      <c r="C92" s="851"/>
      <c r="D92" s="857"/>
      <c r="E92" s="191" t="s">
        <v>153</v>
      </c>
      <c r="F92" s="517"/>
      <c r="G92" s="183">
        <v>3</v>
      </c>
      <c r="H92" s="155">
        <v>3</v>
      </c>
      <c r="I92" s="151">
        <f t="shared" si="20"/>
        <v>0.66666666666666663</v>
      </c>
      <c r="J92" s="437">
        <v>2</v>
      </c>
      <c r="K92" s="151">
        <f t="shared" si="21"/>
        <v>0.66666666666666663</v>
      </c>
      <c r="L92" s="437">
        <v>2</v>
      </c>
      <c r="M92" s="151">
        <f t="shared" si="22"/>
        <v>0.5</v>
      </c>
      <c r="N92" s="201">
        <v>1</v>
      </c>
      <c r="O92" s="207">
        <v>0</v>
      </c>
      <c r="P92" s="208">
        <v>0</v>
      </c>
      <c r="Q92" s="207">
        <v>0</v>
      </c>
      <c r="R92" s="208">
        <v>0</v>
      </c>
      <c r="S92" s="665">
        <v>3</v>
      </c>
      <c r="T92" s="666">
        <v>3</v>
      </c>
      <c r="U92" s="665">
        <v>0</v>
      </c>
      <c r="V92" s="667">
        <v>0</v>
      </c>
      <c r="W92" s="563" t="s">
        <v>142</v>
      </c>
      <c r="X92" s="448"/>
      <c r="Y92" s="1">
        <f>IF(G92="","",1)</f>
        <v>1</v>
      </c>
    </row>
    <row r="93" spans="2:25" ht="15.6" x14ac:dyDescent="0.3">
      <c r="B93" s="849"/>
      <c r="C93" s="852"/>
      <c r="D93" s="554" t="s">
        <v>138</v>
      </c>
      <c r="E93" s="73"/>
      <c r="F93" s="531"/>
      <c r="G93" s="19">
        <f>SUM(G84:G92)</f>
        <v>882</v>
      </c>
      <c r="H93" s="20">
        <f>SUM(H84:H92)</f>
        <v>445</v>
      </c>
      <c r="I93" s="21">
        <f>J93/G93</f>
        <v>0.35600907029478457</v>
      </c>
      <c r="J93" s="534">
        <f>SUM(J84:J92)</f>
        <v>314</v>
      </c>
      <c r="K93" s="159">
        <f>L93/G93</f>
        <v>0.29365079365079366</v>
      </c>
      <c r="L93" s="534">
        <f>SUM(L84:L92)</f>
        <v>259</v>
      </c>
      <c r="M93" s="21">
        <f>N93/L93</f>
        <v>0.46332046332046334</v>
      </c>
      <c r="N93" s="534">
        <f>SUM(N84:N92)</f>
        <v>120</v>
      </c>
      <c r="O93" s="161">
        <f>SUM(O84:O92)</f>
        <v>45</v>
      </c>
      <c r="P93" s="158">
        <f>SUM(P84:P92)</f>
        <v>22</v>
      </c>
      <c r="Q93" s="161">
        <f t="shared" ref="Q93:V93" si="38">SUM(Q84:Q92)</f>
        <v>100</v>
      </c>
      <c r="R93" s="158">
        <f t="shared" si="38"/>
        <v>65</v>
      </c>
      <c r="S93" s="161">
        <f t="shared" si="38"/>
        <v>881</v>
      </c>
      <c r="T93" s="158">
        <f t="shared" si="38"/>
        <v>449</v>
      </c>
      <c r="U93" s="161">
        <f t="shared" si="38"/>
        <v>101</v>
      </c>
      <c r="V93" s="198">
        <f t="shared" si="38"/>
        <v>58</v>
      </c>
      <c r="W93" s="564" t="s">
        <v>142</v>
      </c>
      <c r="X93" s="522"/>
    </row>
    <row r="94" spans="2:25" ht="15.75" customHeight="1" x14ac:dyDescent="0.3">
      <c r="B94" s="875" t="s">
        <v>72</v>
      </c>
      <c r="C94" s="850" t="s">
        <v>76</v>
      </c>
      <c r="D94" s="859">
        <v>5</v>
      </c>
      <c r="E94" s="189" t="s">
        <v>151</v>
      </c>
      <c r="F94" s="515" t="s">
        <v>62</v>
      </c>
      <c r="G94" s="180">
        <v>47</v>
      </c>
      <c r="H94" s="149">
        <v>38</v>
      </c>
      <c r="I94" s="145">
        <f t="shared" si="20"/>
        <v>0.19148936170212766</v>
      </c>
      <c r="J94" s="436">
        <v>9</v>
      </c>
      <c r="K94" s="145">
        <f t="shared" si="21"/>
        <v>0.23404255319148937</v>
      </c>
      <c r="L94" s="436">
        <v>11</v>
      </c>
      <c r="M94" s="145">
        <f t="shared" si="22"/>
        <v>0.54545454545454541</v>
      </c>
      <c r="N94" s="200">
        <v>6</v>
      </c>
      <c r="O94" s="205">
        <v>1</v>
      </c>
      <c r="P94" s="206">
        <v>0</v>
      </c>
      <c r="Q94" s="205">
        <v>1</v>
      </c>
      <c r="R94" s="206">
        <v>1</v>
      </c>
      <c r="S94" s="662">
        <v>45</v>
      </c>
      <c r="T94" s="663">
        <v>38</v>
      </c>
      <c r="U94" s="662">
        <v>3</v>
      </c>
      <c r="V94" s="664">
        <v>1</v>
      </c>
      <c r="W94" s="415" t="s">
        <v>142</v>
      </c>
      <c r="X94" s="410"/>
      <c r="Y94" s="1">
        <f>IF(G94="","",1)</f>
        <v>1</v>
      </c>
    </row>
    <row r="95" spans="2:25" ht="15.75" customHeight="1" x14ac:dyDescent="0.3">
      <c r="B95" s="876"/>
      <c r="C95" s="858"/>
      <c r="D95" s="859"/>
      <c r="E95" s="191" t="s">
        <v>154</v>
      </c>
      <c r="F95" s="517"/>
      <c r="G95" s="183">
        <v>23</v>
      </c>
      <c r="H95" s="155">
        <v>7</v>
      </c>
      <c r="I95" s="151">
        <f t="shared" si="20"/>
        <v>0.39130434782608697</v>
      </c>
      <c r="J95" s="437">
        <v>9</v>
      </c>
      <c r="K95" s="151">
        <f t="shared" si="21"/>
        <v>0.39130434782608697</v>
      </c>
      <c r="L95" s="437">
        <v>9</v>
      </c>
      <c r="M95" s="151">
        <f t="shared" si="22"/>
        <v>0.55555555555555558</v>
      </c>
      <c r="N95" s="201">
        <v>5</v>
      </c>
      <c r="O95" s="207">
        <v>0</v>
      </c>
      <c r="P95" s="208">
        <v>0</v>
      </c>
      <c r="Q95" s="207">
        <v>8</v>
      </c>
      <c r="R95" s="208">
        <v>7</v>
      </c>
      <c r="S95" s="665">
        <v>22</v>
      </c>
      <c r="T95" s="666">
        <v>10</v>
      </c>
      <c r="U95" s="665">
        <v>9</v>
      </c>
      <c r="V95" s="667">
        <v>4</v>
      </c>
      <c r="W95" s="415" t="s">
        <v>142</v>
      </c>
      <c r="X95" s="410"/>
      <c r="Y95" s="1">
        <f>IF(G95="","",1)</f>
        <v>1</v>
      </c>
    </row>
    <row r="96" spans="2:25" ht="15.75" customHeight="1" x14ac:dyDescent="0.3">
      <c r="B96" s="876"/>
      <c r="C96" s="841"/>
      <c r="D96" s="859"/>
      <c r="E96" s="724"/>
      <c r="F96" s="725"/>
      <c r="G96" s="722"/>
      <c r="H96" s="723"/>
      <c r="I96" s="151" t="e">
        <f t="shared" si="20"/>
        <v>#DIV/0!</v>
      </c>
      <c r="J96" s="721"/>
      <c r="K96" s="151" t="e">
        <f t="shared" si="21"/>
        <v>#DIV/0!</v>
      </c>
      <c r="L96" s="721"/>
      <c r="M96" s="151" t="e">
        <f t="shared" si="22"/>
        <v>#DIV/0!</v>
      </c>
      <c r="N96" s="703"/>
      <c r="O96" s="687"/>
      <c r="P96" s="688"/>
      <c r="Q96" s="687"/>
      <c r="R96" s="688"/>
      <c r="S96" s="735"/>
      <c r="T96" s="736"/>
      <c r="U96" s="735"/>
      <c r="V96" s="737"/>
      <c r="W96" s="415"/>
      <c r="X96" s="410"/>
    </row>
    <row r="97" spans="2:25" ht="15.75" customHeight="1" x14ac:dyDescent="0.3">
      <c r="B97" s="876"/>
      <c r="C97" s="841"/>
      <c r="D97" s="859"/>
      <c r="E97" s="724"/>
      <c r="F97" s="725"/>
      <c r="G97" s="722"/>
      <c r="H97" s="723"/>
      <c r="I97" s="151" t="e">
        <f t="shared" si="20"/>
        <v>#DIV/0!</v>
      </c>
      <c r="J97" s="721"/>
      <c r="K97" s="151" t="e">
        <f t="shared" si="21"/>
        <v>#DIV/0!</v>
      </c>
      <c r="L97" s="721"/>
      <c r="M97" s="151" t="e">
        <f t="shared" si="22"/>
        <v>#DIV/0!</v>
      </c>
      <c r="N97" s="703"/>
      <c r="O97" s="687"/>
      <c r="P97" s="688"/>
      <c r="Q97" s="687"/>
      <c r="R97" s="688"/>
      <c r="S97" s="735"/>
      <c r="T97" s="736"/>
      <c r="U97" s="735"/>
      <c r="V97" s="737"/>
      <c r="W97" s="415"/>
      <c r="X97" s="410"/>
    </row>
    <row r="98" spans="2:25" ht="15.75" customHeight="1" x14ac:dyDescent="0.3">
      <c r="B98" s="876"/>
      <c r="C98" s="841"/>
      <c r="D98" s="859"/>
      <c r="E98" s="192" t="s">
        <v>36</v>
      </c>
      <c r="F98" s="518"/>
      <c r="G98" s="186">
        <v>13</v>
      </c>
      <c r="H98" s="163">
        <v>11</v>
      </c>
      <c r="I98" s="159">
        <f t="shared" si="20"/>
        <v>0.38461538461538464</v>
      </c>
      <c r="J98" s="435">
        <v>5</v>
      </c>
      <c r="K98" s="159">
        <f t="shared" si="21"/>
        <v>0.23076923076923078</v>
      </c>
      <c r="L98" s="435">
        <v>3</v>
      </c>
      <c r="M98" s="159">
        <f t="shared" si="22"/>
        <v>0.66666666666666663</v>
      </c>
      <c r="N98" s="202">
        <v>2</v>
      </c>
      <c r="O98" s="209">
        <v>0</v>
      </c>
      <c r="P98" s="210">
        <v>0</v>
      </c>
      <c r="Q98" s="209">
        <v>2</v>
      </c>
      <c r="R98" s="210">
        <v>1</v>
      </c>
      <c r="S98" s="668">
        <v>11</v>
      </c>
      <c r="T98" s="669">
        <v>8</v>
      </c>
      <c r="U98" s="668">
        <v>4</v>
      </c>
      <c r="V98" s="670">
        <v>4</v>
      </c>
      <c r="W98" s="415" t="s">
        <v>142</v>
      </c>
      <c r="X98" s="410"/>
      <c r="Y98" s="1">
        <f>IF(G98="","",1)</f>
        <v>1</v>
      </c>
    </row>
    <row r="99" spans="2:25" ht="15.75" customHeight="1" x14ac:dyDescent="0.3">
      <c r="B99" s="877"/>
      <c r="C99" s="852"/>
      <c r="D99" s="541" t="s">
        <v>138</v>
      </c>
      <c r="E99" s="409"/>
      <c r="F99" s="523"/>
      <c r="G99" s="25">
        <f>SUM(G94:G98)</f>
        <v>83</v>
      </c>
      <c r="H99" s="26">
        <f>SUM(H94:H98)</f>
        <v>56</v>
      </c>
      <c r="I99" s="27">
        <f>J99/G99</f>
        <v>0.27710843373493976</v>
      </c>
      <c r="J99" s="412">
        <f>SUM(J94:J98)</f>
        <v>23</v>
      </c>
      <c r="K99" s="165">
        <f>L99/G99</f>
        <v>0.27710843373493976</v>
      </c>
      <c r="L99" s="412">
        <f>SUM(L94:L98)</f>
        <v>23</v>
      </c>
      <c r="M99" s="27">
        <f>N99/L99</f>
        <v>0.56521739130434778</v>
      </c>
      <c r="N99" s="412">
        <f>SUM(N94:N98)</f>
        <v>13</v>
      </c>
      <c r="O99" s="270">
        <f>SUM(O94:O98)</f>
        <v>1</v>
      </c>
      <c r="P99" s="271">
        <f t="shared" ref="P99:V99" si="39">SUM(P94:P98)</f>
        <v>0</v>
      </c>
      <c r="Q99" s="270">
        <f t="shared" si="39"/>
        <v>11</v>
      </c>
      <c r="R99" s="271">
        <f t="shared" si="39"/>
        <v>9</v>
      </c>
      <c r="S99" s="270">
        <f t="shared" si="39"/>
        <v>78</v>
      </c>
      <c r="T99" s="271">
        <f t="shared" si="39"/>
        <v>56</v>
      </c>
      <c r="U99" s="270">
        <f t="shared" si="39"/>
        <v>16</v>
      </c>
      <c r="V99" s="272">
        <f t="shared" si="39"/>
        <v>9</v>
      </c>
      <c r="W99" s="415" t="s">
        <v>142</v>
      </c>
      <c r="X99" s="410"/>
    </row>
    <row r="100" spans="2:25" ht="15.75" customHeight="1" thickBot="1" x14ac:dyDescent="0.35">
      <c r="B100" s="843" t="s">
        <v>3</v>
      </c>
      <c r="C100" s="853" t="s">
        <v>76</v>
      </c>
      <c r="D100" s="871">
        <v>11</v>
      </c>
      <c r="E100" s="178" t="s">
        <v>48</v>
      </c>
      <c r="F100" s="179" t="s">
        <v>61</v>
      </c>
      <c r="G100" s="180"/>
      <c r="H100" s="149"/>
      <c r="I100" s="145"/>
      <c r="J100" s="436"/>
      <c r="K100" s="145"/>
      <c r="L100" s="436"/>
      <c r="M100" s="145"/>
      <c r="N100" s="200"/>
      <c r="O100" s="205" t="s">
        <v>21</v>
      </c>
      <c r="P100" s="206" t="s">
        <v>21</v>
      </c>
      <c r="Q100" s="205" t="s">
        <v>21</v>
      </c>
      <c r="R100" s="206" t="s">
        <v>21</v>
      </c>
      <c r="S100" s="147"/>
      <c r="T100" s="144"/>
      <c r="U100" s="147"/>
      <c r="V100" s="169"/>
      <c r="W100" s="415" t="s">
        <v>142</v>
      </c>
      <c r="X100" s="410"/>
      <c r="Y100" s="1" t="str">
        <f t="shared" ref="Y100:Y111" si="40">IF(G100="","",1)</f>
        <v/>
      </c>
    </row>
    <row r="101" spans="2:25" ht="15.75" customHeight="1" thickBot="1" x14ac:dyDescent="0.35">
      <c r="B101" s="838"/>
      <c r="C101" s="854"/>
      <c r="D101" s="871"/>
      <c r="E101" s="181" t="s">
        <v>49</v>
      </c>
      <c r="F101" s="182" t="s">
        <v>61</v>
      </c>
      <c r="G101" s="183"/>
      <c r="H101" s="155"/>
      <c r="I101" s="151"/>
      <c r="J101" s="437"/>
      <c r="K101" s="151"/>
      <c r="L101" s="437"/>
      <c r="M101" s="151"/>
      <c r="N101" s="201"/>
      <c r="O101" s="207" t="s">
        <v>21</v>
      </c>
      <c r="P101" s="208" t="s">
        <v>21</v>
      </c>
      <c r="Q101" s="207" t="s">
        <v>21</v>
      </c>
      <c r="R101" s="208" t="s">
        <v>21</v>
      </c>
      <c r="S101" s="153"/>
      <c r="T101" s="150"/>
      <c r="U101" s="153"/>
      <c r="V101" s="157"/>
      <c r="W101" s="415" t="s">
        <v>142</v>
      </c>
      <c r="X101" s="410"/>
      <c r="Y101" s="1" t="str">
        <f t="shared" si="40"/>
        <v/>
      </c>
    </row>
    <row r="102" spans="2:25" ht="15.75" customHeight="1" thickBot="1" x14ac:dyDescent="0.35">
      <c r="B102" s="838"/>
      <c r="C102" s="854"/>
      <c r="D102" s="871"/>
      <c r="E102" s="181" t="s">
        <v>81</v>
      </c>
      <c r="F102" s="182" t="s">
        <v>61</v>
      </c>
      <c r="G102" s="183"/>
      <c r="H102" s="155"/>
      <c r="I102" s="151"/>
      <c r="J102" s="437"/>
      <c r="K102" s="151"/>
      <c r="L102" s="437"/>
      <c r="M102" s="151"/>
      <c r="N102" s="201"/>
      <c r="O102" s="207" t="s">
        <v>21</v>
      </c>
      <c r="P102" s="208" t="s">
        <v>21</v>
      </c>
      <c r="Q102" s="207" t="s">
        <v>21</v>
      </c>
      <c r="R102" s="208" t="s">
        <v>21</v>
      </c>
      <c r="S102" s="153"/>
      <c r="T102" s="150"/>
      <c r="U102" s="153"/>
      <c r="V102" s="157"/>
      <c r="W102" s="415" t="s">
        <v>142</v>
      </c>
      <c r="X102" s="410"/>
      <c r="Y102" s="1" t="str">
        <f t="shared" si="40"/>
        <v/>
      </c>
    </row>
    <row r="103" spans="2:25" ht="15.75" customHeight="1" thickBot="1" x14ac:dyDescent="0.35">
      <c r="B103" s="838"/>
      <c r="C103" s="854"/>
      <c r="D103" s="871"/>
      <c r="E103" s="181" t="s">
        <v>73</v>
      </c>
      <c r="F103" s="182" t="s">
        <v>61</v>
      </c>
      <c r="G103" s="183"/>
      <c r="H103" s="155"/>
      <c r="I103" s="151"/>
      <c r="J103" s="437"/>
      <c r="K103" s="151"/>
      <c r="L103" s="437"/>
      <c r="M103" s="151"/>
      <c r="N103" s="201"/>
      <c r="O103" s="207" t="s">
        <v>21</v>
      </c>
      <c r="P103" s="208" t="s">
        <v>21</v>
      </c>
      <c r="Q103" s="207" t="s">
        <v>21</v>
      </c>
      <c r="R103" s="208" t="s">
        <v>21</v>
      </c>
      <c r="S103" s="153"/>
      <c r="T103" s="150"/>
      <c r="U103" s="153"/>
      <c r="V103" s="157"/>
      <c r="W103" s="415" t="s">
        <v>142</v>
      </c>
      <c r="X103" s="410"/>
      <c r="Y103" s="1" t="str">
        <f t="shared" si="40"/>
        <v/>
      </c>
    </row>
    <row r="104" spans="2:25" ht="15.75" customHeight="1" thickBot="1" x14ac:dyDescent="0.35">
      <c r="B104" s="838"/>
      <c r="C104" s="854"/>
      <c r="D104" s="871"/>
      <c r="E104" s="181" t="s">
        <v>50</v>
      </c>
      <c r="F104" s="182" t="s">
        <v>61</v>
      </c>
      <c r="G104" s="183"/>
      <c r="H104" s="155"/>
      <c r="I104" s="151"/>
      <c r="J104" s="437"/>
      <c r="K104" s="151"/>
      <c r="L104" s="437"/>
      <c r="M104" s="151"/>
      <c r="N104" s="201"/>
      <c r="O104" s="207" t="s">
        <v>21</v>
      </c>
      <c r="P104" s="208" t="s">
        <v>21</v>
      </c>
      <c r="Q104" s="207" t="s">
        <v>21</v>
      </c>
      <c r="R104" s="208" t="s">
        <v>21</v>
      </c>
      <c r="S104" s="153"/>
      <c r="T104" s="150"/>
      <c r="U104" s="153"/>
      <c r="V104" s="157"/>
      <c r="W104" s="415" t="s">
        <v>142</v>
      </c>
      <c r="X104" s="410"/>
      <c r="Y104" s="1" t="str">
        <f t="shared" si="40"/>
        <v/>
      </c>
    </row>
    <row r="105" spans="2:25" ht="15.75" customHeight="1" thickBot="1" x14ac:dyDescent="0.35">
      <c r="B105" s="838"/>
      <c r="C105" s="854"/>
      <c r="D105" s="871"/>
      <c r="E105" s="181" t="s">
        <v>145</v>
      </c>
      <c r="F105" s="182"/>
      <c r="G105" s="183">
        <v>159</v>
      </c>
      <c r="H105" s="155">
        <v>159</v>
      </c>
      <c r="I105" s="151">
        <f t="shared" si="20"/>
        <v>0.34591194968553457</v>
      </c>
      <c r="J105" s="437">
        <v>55</v>
      </c>
      <c r="K105" s="151">
        <f t="shared" si="21"/>
        <v>0.41509433962264153</v>
      </c>
      <c r="L105" s="437">
        <v>66</v>
      </c>
      <c r="M105" s="151">
        <f t="shared" si="22"/>
        <v>0.46969696969696972</v>
      </c>
      <c r="N105" s="201">
        <v>31</v>
      </c>
      <c r="O105" s="207" t="s">
        <v>21</v>
      </c>
      <c r="P105" s="208" t="s">
        <v>21</v>
      </c>
      <c r="Q105" s="207" t="s">
        <v>21</v>
      </c>
      <c r="R105" s="208" t="s">
        <v>21</v>
      </c>
      <c r="S105" s="153"/>
      <c r="T105" s="150"/>
      <c r="U105" s="153"/>
      <c r="V105" s="157"/>
      <c r="W105" s="415" t="s">
        <v>142</v>
      </c>
      <c r="X105" s="410"/>
      <c r="Y105" s="1">
        <f t="shared" si="40"/>
        <v>1</v>
      </c>
    </row>
    <row r="106" spans="2:25" ht="15.75" customHeight="1" thickBot="1" x14ac:dyDescent="0.35">
      <c r="B106" s="838"/>
      <c r="C106" s="854"/>
      <c r="D106" s="871"/>
      <c r="E106" s="181" t="s">
        <v>144</v>
      </c>
      <c r="F106" s="182"/>
      <c r="G106" s="183">
        <v>165</v>
      </c>
      <c r="H106" s="155">
        <v>165</v>
      </c>
      <c r="I106" s="151">
        <f t="shared" si="20"/>
        <v>0</v>
      </c>
      <c r="J106" s="437"/>
      <c r="K106" s="151">
        <f t="shared" si="21"/>
        <v>0</v>
      </c>
      <c r="L106" s="437"/>
      <c r="M106" s="151" t="e">
        <f t="shared" si="22"/>
        <v>#DIV/0!</v>
      </c>
      <c r="N106" s="201"/>
      <c r="O106" s="207" t="s">
        <v>21</v>
      </c>
      <c r="P106" s="208" t="s">
        <v>21</v>
      </c>
      <c r="Q106" s="207" t="s">
        <v>21</v>
      </c>
      <c r="R106" s="208" t="s">
        <v>21</v>
      </c>
      <c r="S106" s="153"/>
      <c r="T106" s="150"/>
      <c r="U106" s="153"/>
      <c r="V106" s="157"/>
      <c r="W106" s="415" t="s">
        <v>142</v>
      </c>
      <c r="X106" s="410"/>
      <c r="Y106" s="1">
        <f t="shared" si="40"/>
        <v>1</v>
      </c>
    </row>
    <row r="107" spans="2:25" ht="15.75" customHeight="1" thickBot="1" x14ac:dyDescent="0.35">
      <c r="B107" s="838"/>
      <c r="C107" s="854"/>
      <c r="D107" s="871"/>
      <c r="E107" s="181" t="s">
        <v>80</v>
      </c>
      <c r="F107" s="182" t="s">
        <v>61</v>
      </c>
      <c r="G107" s="183">
        <v>773</v>
      </c>
      <c r="H107" s="155">
        <f>G107</f>
        <v>773</v>
      </c>
      <c r="I107" s="151">
        <f t="shared" si="20"/>
        <v>0.39327296248382926</v>
      </c>
      <c r="J107" s="437">
        <v>304</v>
      </c>
      <c r="K107" s="151">
        <f t="shared" si="21"/>
        <v>0.43078913324708928</v>
      </c>
      <c r="L107" s="437">
        <v>333</v>
      </c>
      <c r="M107" s="151">
        <f t="shared" si="22"/>
        <v>0.57657657657657657</v>
      </c>
      <c r="N107" s="201">
        <v>192</v>
      </c>
      <c r="O107" s="207" t="s">
        <v>21</v>
      </c>
      <c r="P107" s="208" t="s">
        <v>21</v>
      </c>
      <c r="Q107" s="207" t="s">
        <v>21</v>
      </c>
      <c r="R107" s="208" t="s">
        <v>21</v>
      </c>
      <c r="S107" s="153"/>
      <c r="T107" s="150"/>
      <c r="U107" s="153"/>
      <c r="V107" s="157"/>
      <c r="W107" s="415" t="s">
        <v>142</v>
      </c>
      <c r="X107" s="410"/>
      <c r="Y107" s="1">
        <f t="shared" si="40"/>
        <v>1</v>
      </c>
    </row>
    <row r="108" spans="2:25" ht="15.75" customHeight="1" thickBot="1" x14ac:dyDescent="0.35">
      <c r="B108" s="838"/>
      <c r="C108" s="854"/>
      <c r="D108" s="871"/>
      <c r="E108" s="181" t="s">
        <v>51</v>
      </c>
      <c r="F108" s="182" t="s">
        <v>61</v>
      </c>
      <c r="G108" s="183">
        <v>629</v>
      </c>
      <c r="H108" s="155">
        <f t="shared" ref="H108" si="41">G108</f>
        <v>629</v>
      </c>
      <c r="I108" s="151">
        <f t="shared" si="20"/>
        <v>0.47058823529411764</v>
      </c>
      <c r="J108" s="437">
        <v>296</v>
      </c>
      <c r="K108" s="151">
        <f t="shared" si="21"/>
        <v>0.49443561208267089</v>
      </c>
      <c r="L108" s="437">
        <v>311</v>
      </c>
      <c r="M108" s="151">
        <f t="shared" si="22"/>
        <v>0.58520900321543412</v>
      </c>
      <c r="N108" s="201">
        <v>182</v>
      </c>
      <c r="O108" s="207" t="s">
        <v>21</v>
      </c>
      <c r="P108" s="208" t="s">
        <v>21</v>
      </c>
      <c r="Q108" s="207" t="s">
        <v>21</v>
      </c>
      <c r="R108" s="208" t="s">
        <v>21</v>
      </c>
      <c r="S108" s="153"/>
      <c r="T108" s="150"/>
      <c r="U108" s="153"/>
      <c r="V108" s="157"/>
      <c r="W108" s="415" t="s">
        <v>142</v>
      </c>
      <c r="X108" s="410"/>
      <c r="Y108" s="1">
        <f t="shared" si="40"/>
        <v>1</v>
      </c>
    </row>
    <row r="109" spans="2:25" ht="15.75" customHeight="1" thickBot="1" x14ac:dyDescent="0.35">
      <c r="B109" s="838"/>
      <c r="C109" s="854"/>
      <c r="D109" s="871"/>
      <c r="E109" s="692"/>
      <c r="F109" s="693"/>
      <c r="G109" s="722"/>
      <c r="H109" s="723"/>
      <c r="I109" s="151" t="e">
        <f t="shared" si="20"/>
        <v>#DIV/0!</v>
      </c>
      <c r="J109" s="721"/>
      <c r="K109" s="151" t="e">
        <f t="shared" si="21"/>
        <v>#DIV/0!</v>
      </c>
      <c r="L109" s="721"/>
      <c r="M109" s="151" t="e">
        <f t="shared" si="22"/>
        <v>#DIV/0!</v>
      </c>
      <c r="N109" s="703"/>
      <c r="O109" s="687"/>
      <c r="P109" s="688"/>
      <c r="Q109" s="687"/>
      <c r="R109" s="688"/>
      <c r="S109" s="689"/>
      <c r="T109" s="690"/>
      <c r="U109" s="689"/>
      <c r="V109" s="691"/>
      <c r="W109" s="415"/>
      <c r="X109" s="410"/>
    </row>
    <row r="110" spans="2:25" ht="15.75" customHeight="1" thickBot="1" x14ac:dyDescent="0.35">
      <c r="B110" s="838"/>
      <c r="C110" s="854"/>
      <c r="D110" s="871"/>
      <c r="E110" s="692"/>
      <c r="F110" s="693"/>
      <c r="G110" s="722"/>
      <c r="H110" s="723"/>
      <c r="I110" s="151" t="e">
        <f t="shared" si="20"/>
        <v>#DIV/0!</v>
      </c>
      <c r="J110" s="721"/>
      <c r="K110" s="151" t="e">
        <f t="shared" si="21"/>
        <v>#DIV/0!</v>
      </c>
      <c r="L110" s="721"/>
      <c r="M110" s="151" t="e">
        <f t="shared" si="22"/>
        <v>#DIV/0!</v>
      </c>
      <c r="N110" s="703"/>
      <c r="O110" s="687"/>
      <c r="P110" s="688"/>
      <c r="Q110" s="687"/>
      <c r="R110" s="688"/>
      <c r="S110" s="689"/>
      <c r="T110" s="690"/>
      <c r="U110" s="689"/>
      <c r="V110" s="691"/>
      <c r="W110" s="415"/>
      <c r="X110" s="410"/>
    </row>
    <row r="111" spans="2:25" ht="15.75" customHeight="1" thickBot="1" x14ac:dyDescent="0.35">
      <c r="B111" s="838"/>
      <c r="C111" s="854"/>
      <c r="D111" s="871"/>
      <c r="E111" s="184" t="s">
        <v>52</v>
      </c>
      <c r="F111" s="185" t="s">
        <v>61</v>
      </c>
      <c r="G111" s="186"/>
      <c r="H111" s="163"/>
      <c r="I111" s="159"/>
      <c r="J111" s="435"/>
      <c r="K111" s="159"/>
      <c r="L111" s="435"/>
      <c r="M111" s="159"/>
      <c r="N111" s="202"/>
      <c r="O111" s="209" t="s">
        <v>21</v>
      </c>
      <c r="P111" s="210" t="s">
        <v>21</v>
      </c>
      <c r="Q111" s="209" t="s">
        <v>21</v>
      </c>
      <c r="R111" s="210" t="s">
        <v>21</v>
      </c>
      <c r="S111" s="161"/>
      <c r="T111" s="158"/>
      <c r="U111" s="161"/>
      <c r="V111" s="198"/>
      <c r="W111" s="415" t="s">
        <v>142</v>
      </c>
      <c r="X111" s="410"/>
      <c r="Y111" s="1" t="str">
        <f t="shared" si="40"/>
        <v/>
      </c>
    </row>
    <row r="112" spans="2:25" ht="16.2" thickBot="1" x14ac:dyDescent="0.35">
      <c r="B112" s="844"/>
      <c r="C112" s="854"/>
      <c r="D112" s="243" t="s">
        <v>138</v>
      </c>
      <c r="E112" s="395"/>
      <c r="F112" s="396"/>
      <c r="G112" s="397">
        <f>SUM(G100:G111)</f>
        <v>1726</v>
      </c>
      <c r="H112" s="398">
        <f>SUM(H100:H111)</f>
        <v>1726</v>
      </c>
      <c r="I112" s="27">
        <f>J112/G112</f>
        <v>0.37949015063731173</v>
      </c>
      <c r="J112" s="413">
        <f>SUM(J100:J111)</f>
        <v>655</v>
      </c>
      <c r="K112" s="165">
        <f>L112/G112</f>
        <v>0.41135573580533025</v>
      </c>
      <c r="L112" s="413">
        <f>SUM(L100:L111)</f>
        <v>710</v>
      </c>
      <c r="M112" s="27">
        <f>N112/L112</f>
        <v>0.57042253521126762</v>
      </c>
      <c r="N112" s="413">
        <f>SUM(N100:N111)</f>
        <v>405</v>
      </c>
      <c r="O112" s="287"/>
      <c r="P112" s="288"/>
      <c r="Q112" s="287"/>
      <c r="R112" s="288"/>
      <c r="S112" s="287"/>
      <c r="T112" s="288"/>
      <c r="U112" s="287"/>
      <c r="V112" s="289"/>
      <c r="W112" s="415" t="s">
        <v>142</v>
      </c>
      <c r="X112" s="410"/>
      <c r="Y112" s="410"/>
    </row>
    <row r="113" spans="1:25" s="53" customFormat="1" ht="21" customHeight="1" thickBot="1" x14ac:dyDescent="0.35">
      <c r="A113" s="125"/>
      <c r="B113" s="129" t="s">
        <v>77</v>
      </c>
      <c r="C113" s="244"/>
      <c r="D113" s="130">
        <f>SUM(D45:D111)</f>
        <v>78</v>
      </c>
      <c r="E113" s="133">
        <f>COUNT(G45:G52,G62:G68,G70:G79,G84:G92,G94:G98,G100:G111)</f>
        <v>30</v>
      </c>
      <c r="F113" s="67">
        <f>COUNT(J45:J111)</f>
        <v>42</v>
      </c>
      <c r="G113" s="170">
        <f>G53+G69+G80+G93+G99+G112</f>
        <v>3981</v>
      </c>
      <c r="H113" s="142">
        <f>H53+H69+H80+H93+H99+H112</f>
        <v>3107</v>
      </c>
      <c r="I113" s="139">
        <f>J113/G113</f>
        <v>0.4046721929163527</v>
      </c>
      <c r="J113" s="140">
        <f>J53+J69+J80+J93+J99+J112</f>
        <v>1611</v>
      </c>
      <c r="K113" s="139">
        <f>L113/G113</f>
        <v>0.37930168299422257</v>
      </c>
      <c r="L113" s="140">
        <f>L53+L69+L80+L93+L99+L112</f>
        <v>1510</v>
      </c>
      <c r="M113" s="440">
        <f>N113/L113</f>
        <v>0.4562913907284768</v>
      </c>
      <c r="N113" s="140">
        <f>N53+N69+N80+N93+N99+N112</f>
        <v>689</v>
      </c>
      <c r="O113" s="141"/>
      <c r="P113" s="142"/>
      <c r="Q113" s="141"/>
      <c r="R113" s="142"/>
      <c r="S113" s="141">
        <f>S53+S69+S80+S93+S99</f>
        <v>1465</v>
      </c>
      <c r="T113" s="142">
        <f t="shared" ref="T113:V113" si="42">T53+T69+T80+T93+T99</f>
        <v>949</v>
      </c>
      <c r="U113" s="141">
        <f t="shared" si="42"/>
        <v>141</v>
      </c>
      <c r="V113" s="143">
        <f t="shared" si="42"/>
        <v>89</v>
      </c>
      <c r="W113" s="417"/>
      <c r="X113" s="411"/>
      <c r="Y113" s="411"/>
    </row>
    <row r="114" spans="1:25" s="53" customFormat="1" ht="21" customHeight="1" thickBot="1" x14ac:dyDescent="0.35">
      <c r="A114" s="125"/>
      <c r="B114" s="129" t="s">
        <v>66</v>
      </c>
      <c r="C114" s="130"/>
      <c r="D114" s="130">
        <f>D113+D44</f>
        <v>109</v>
      </c>
      <c r="E114" s="133">
        <f>E44+E113</f>
        <v>48</v>
      </c>
      <c r="F114" s="67">
        <f>F113+F44</f>
        <v>61</v>
      </c>
      <c r="G114" s="170">
        <f>G44+G113</f>
        <v>4576</v>
      </c>
      <c r="H114" s="142">
        <f>H44+H113</f>
        <v>3522</v>
      </c>
      <c r="I114" s="139">
        <f>J114/G114</f>
        <v>0.38920454545454547</v>
      </c>
      <c r="J114" s="140">
        <f>J44+J113</f>
        <v>1781</v>
      </c>
      <c r="K114" s="139">
        <f>L114/G114</f>
        <v>0.36298076923076922</v>
      </c>
      <c r="L114" s="140">
        <f>L44+L113</f>
        <v>1661</v>
      </c>
      <c r="M114" s="440">
        <f>N114/L114</f>
        <v>0.43347381095725468</v>
      </c>
      <c r="N114" s="140">
        <f>N44+N113</f>
        <v>720</v>
      </c>
      <c r="O114" s="141"/>
      <c r="P114" s="142"/>
      <c r="Q114" s="141"/>
      <c r="R114" s="142"/>
      <c r="S114" s="141">
        <f>S113</f>
        <v>1465</v>
      </c>
      <c r="T114" s="142">
        <f>T113</f>
        <v>949</v>
      </c>
      <c r="U114" s="141">
        <f>U113</f>
        <v>141</v>
      </c>
      <c r="V114" s="143">
        <f>V113</f>
        <v>89</v>
      </c>
      <c r="W114" s="417"/>
      <c r="Y114" s="53">
        <f>SUM(Y1:Y113)</f>
        <v>47</v>
      </c>
    </row>
    <row r="115" spans="1:25" x14ac:dyDescent="0.3">
      <c r="B115" s="5"/>
      <c r="C115" s="35"/>
      <c r="D115" s="35"/>
      <c r="E115" s="5"/>
      <c r="F115" s="35"/>
      <c r="G115" s="171"/>
      <c r="H115" s="171"/>
      <c r="I115" s="172"/>
      <c r="J115" s="172"/>
      <c r="K115" s="172"/>
      <c r="L115" s="172"/>
      <c r="M115" s="870" t="s">
        <v>68</v>
      </c>
      <c r="N115" s="870"/>
      <c r="O115" s="171"/>
      <c r="P115" s="171"/>
      <c r="Q115" s="171"/>
      <c r="R115" s="171"/>
      <c r="S115" s="171"/>
      <c r="T115" s="171"/>
      <c r="U115" s="171"/>
      <c r="V115" s="171"/>
    </row>
    <row r="116" spans="1:25" x14ac:dyDescent="0.3">
      <c r="E116" s="131" t="s">
        <v>67</v>
      </c>
      <c r="F116" s="132"/>
    </row>
    <row r="117" spans="1:25" x14ac:dyDescent="0.3">
      <c r="E117" s="1" t="s">
        <v>60</v>
      </c>
      <c r="F117" s="2">
        <f>COUNTIF(F$5:F$111,E117)</f>
        <v>33</v>
      </c>
    </row>
    <row r="118" spans="1:25" x14ac:dyDescent="0.3">
      <c r="E118" s="1" t="s">
        <v>61</v>
      </c>
      <c r="F118" s="2">
        <f>COUNTIF(F$5:F$111,E118)</f>
        <v>8</v>
      </c>
    </row>
    <row r="119" spans="1:25" x14ac:dyDescent="0.3">
      <c r="E119" s="1" t="s">
        <v>62</v>
      </c>
      <c r="F119" s="2">
        <f>COUNTIF(F$5:F$111,E119)</f>
        <v>21</v>
      </c>
    </row>
    <row r="128" spans="1:25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.75" customHeight="1" x14ac:dyDescent="0.3"/>
    <row r="138" ht="15.7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</sheetData>
  <mergeCells count="47">
    <mergeCell ref="B2:B4"/>
    <mergeCell ref="C2:C4"/>
    <mergeCell ref="D33:D42"/>
    <mergeCell ref="M115:N115"/>
    <mergeCell ref="D100:D111"/>
    <mergeCell ref="B100:B112"/>
    <mergeCell ref="C100:C112"/>
    <mergeCell ref="D70:D79"/>
    <mergeCell ref="B21:B32"/>
    <mergeCell ref="B33:B43"/>
    <mergeCell ref="C21:C32"/>
    <mergeCell ref="C33:C43"/>
    <mergeCell ref="B70:B80"/>
    <mergeCell ref="B94:B99"/>
    <mergeCell ref="D45:D52"/>
    <mergeCell ref="D62:D68"/>
    <mergeCell ref="S2:T2"/>
    <mergeCell ref="U2:V2"/>
    <mergeCell ref="D21:D31"/>
    <mergeCell ref="I2:I4"/>
    <mergeCell ref="J2:J4"/>
    <mergeCell ref="K2:K4"/>
    <mergeCell ref="L2:L4"/>
    <mergeCell ref="M2:M4"/>
    <mergeCell ref="N2:N4"/>
    <mergeCell ref="D2:D4"/>
    <mergeCell ref="E2:E4"/>
    <mergeCell ref="F2:F4"/>
    <mergeCell ref="G2:H2"/>
    <mergeCell ref="O2:P2"/>
    <mergeCell ref="Q2:R2"/>
    <mergeCell ref="D81:D92"/>
    <mergeCell ref="C94:C99"/>
    <mergeCell ref="C70:C80"/>
    <mergeCell ref="D94:D98"/>
    <mergeCell ref="B7:B20"/>
    <mergeCell ref="C7:C20"/>
    <mergeCell ref="D7:D19"/>
    <mergeCell ref="B62:B69"/>
    <mergeCell ref="B45:B53"/>
    <mergeCell ref="C45:C53"/>
    <mergeCell ref="C62:C69"/>
    <mergeCell ref="B81:B93"/>
    <mergeCell ref="C81:C93"/>
    <mergeCell ref="B54:B61"/>
    <mergeCell ref="C54:C61"/>
    <mergeCell ref="D54:D60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I114:M114 I43:M43 M32 M44 I44:K44 H112:M112 K107:K108 M107:M108 I113 K113 H69:M69 H75 H70:I74 K70:K74 M70:M74 I52 K52 M113 I98:M99 I80:J80 I79:M79 L80 M52:M53 H53:K53 E114 I84:M86 M47:M49 K47:K49 I47:I49 I75:M76 J88:J89 I92:M95 L88:L89" formula="1"/>
    <ignoredError sqref="H32:L32 M80 K80" formula="1" formulaRange="1"/>
    <ignoredError sqref="I31:K31 I45:K46" evalError="1"/>
    <ignoredError sqref="G3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Y142"/>
  <sheetViews>
    <sheetView tabSelected="1" zoomScale="90" zoomScaleNormal="90" workbookViewId="0">
      <pane xSplit="6" ySplit="4" topLeftCell="G69" activePane="bottomRight" state="frozen"/>
      <selection activeCell="C3" sqref="C3:F3"/>
      <selection pane="topRight" activeCell="C3" sqref="C3:F3"/>
      <selection pane="bottomLeft" activeCell="C3" sqref="C3:F3"/>
      <selection pane="bottomRight" activeCell="A87" sqref="A87:XFD87"/>
    </sheetView>
  </sheetViews>
  <sheetFormatPr defaultColWidth="11.44140625" defaultRowHeight="14.4" x14ac:dyDescent="0.3"/>
  <cols>
    <col min="1" max="1" width="0.44140625" style="123" customWidth="1"/>
    <col min="2" max="2" width="38.88671875" style="1" customWidth="1"/>
    <col min="3" max="3" width="11.5546875" style="2" customWidth="1"/>
    <col min="4" max="4" width="15.33203125" style="2" customWidth="1"/>
    <col min="5" max="5" width="42.88671875" style="1" bestFit="1" customWidth="1"/>
    <col min="6" max="6" width="11.109375" style="2" hidden="1" customWidth="1"/>
    <col min="7" max="7" width="11.44140625" style="2"/>
    <col min="8" max="8" width="11.44140625" style="2" customWidth="1"/>
    <col min="9" max="9" width="11.44140625" style="3" customWidth="1"/>
    <col min="10" max="10" width="11.44140625" style="4" customWidth="1"/>
    <col min="11" max="11" width="11.44140625" style="3" customWidth="1"/>
    <col min="12" max="12" width="11.44140625" style="4" customWidth="1"/>
    <col min="13" max="13" width="11.44140625" style="3" customWidth="1"/>
    <col min="14" max="14" width="11.44140625" style="4" customWidth="1"/>
    <col min="15" max="22" width="7.5546875" style="2" customWidth="1"/>
    <col min="23" max="23" width="5.33203125" style="2" customWidth="1"/>
    <col min="24" max="24" width="11.44140625" style="1" customWidth="1"/>
    <col min="25" max="16384" width="11.44140625" style="1"/>
  </cols>
  <sheetData>
    <row r="1" spans="1:23" s="123" customFormat="1" ht="2.25" customHeight="1" thickBot="1" x14ac:dyDescent="0.35">
      <c r="C1" s="126"/>
      <c r="D1" s="126"/>
      <c r="F1" s="126"/>
      <c r="G1" s="126"/>
      <c r="H1" s="126"/>
      <c r="I1" s="127"/>
      <c r="J1" s="128"/>
      <c r="K1" s="127"/>
      <c r="L1" s="128"/>
      <c r="M1" s="127"/>
      <c r="N1" s="128"/>
      <c r="O1" s="126"/>
      <c r="P1" s="126"/>
      <c r="Q1" s="126"/>
      <c r="R1" s="126"/>
      <c r="S1" s="126"/>
      <c r="T1" s="126"/>
      <c r="U1" s="126"/>
      <c r="V1" s="126"/>
      <c r="W1" s="126"/>
    </row>
    <row r="2" spans="1:23" s="6" customFormat="1" ht="30" customHeight="1" thickBot="1" x14ac:dyDescent="0.35">
      <c r="A2" s="124"/>
      <c r="B2" s="817" t="s">
        <v>53</v>
      </c>
      <c r="C2" s="820" t="s">
        <v>74</v>
      </c>
      <c r="D2" s="820" t="s">
        <v>69</v>
      </c>
      <c r="E2" s="815" t="s">
        <v>79</v>
      </c>
      <c r="F2" s="810" t="s">
        <v>59</v>
      </c>
      <c r="G2" s="834" t="s">
        <v>54</v>
      </c>
      <c r="H2" s="819"/>
      <c r="I2" s="835" t="s">
        <v>55</v>
      </c>
      <c r="J2" s="865" t="s">
        <v>63</v>
      </c>
      <c r="K2" s="835" t="s">
        <v>56</v>
      </c>
      <c r="L2" s="865" t="s">
        <v>65</v>
      </c>
      <c r="M2" s="835" t="s">
        <v>57</v>
      </c>
      <c r="N2" s="865" t="s">
        <v>64</v>
      </c>
      <c r="O2" s="818" t="s">
        <v>39</v>
      </c>
      <c r="P2" s="819"/>
      <c r="Q2" s="818" t="s">
        <v>40</v>
      </c>
      <c r="R2" s="819"/>
      <c r="S2" s="818" t="s">
        <v>41</v>
      </c>
      <c r="T2" s="819"/>
      <c r="U2" s="810" t="s">
        <v>42</v>
      </c>
      <c r="V2" s="833"/>
      <c r="W2" s="414"/>
    </row>
    <row r="3" spans="1:23" s="6" customFormat="1" ht="30" customHeight="1" thickBot="1" x14ac:dyDescent="0.35">
      <c r="A3" s="124"/>
      <c r="B3" s="817"/>
      <c r="C3" s="820"/>
      <c r="D3" s="820"/>
      <c r="E3" s="815"/>
      <c r="F3" s="811"/>
      <c r="G3" s="249"/>
      <c r="H3" s="246"/>
      <c r="I3" s="835"/>
      <c r="J3" s="865"/>
      <c r="K3" s="835"/>
      <c r="L3" s="865"/>
      <c r="M3" s="835"/>
      <c r="N3" s="865"/>
      <c r="O3" s="245"/>
      <c r="P3" s="246"/>
      <c r="Q3" s="245"/>
      <c r="R3" s="246"/>
      <c r="S3" s="245"/>
      <c r="T3" s="246"/>
      <c r="U3" s="559"/>
      <c r="V3" s="560"/>
      <c r="W3" s="414"/>
    </row>
    <row r="4" spans="1:23" s="6" customFormat="1" ht="30" customHeight="1" thickBot="1" x14ac:dyDescent="0.35">
      <c r="A4" s="124"/>
      <c r="B4" s="817"/>
      <c r="C4" s="820"/>
      <c r="D4" s="820"/>
      <c r="E4" s="815"/>
      <c r="F4" s="812"/>
      <c r="G4" s="31" t="s">
        <v>43</v>
      </c>
      <c r="H4" s="32" t="s">
        <v>44</v>
      </c>
      <c r="I4" s="835"/>
      <c r="J4" s="865"/>
      <c r="K4" s="835"/>
      <c r="L4" s="865"/>
      <c r="M4" s="835"/>
      <c r="N4" s="865"/>
      <c r="O4" s="33" t="s">
        <v>43</v>
      </c>
      <c r="P4" s="32" t="s">
        <v>44</v>
      </c>
      <c r="Q4" s="33" t="s">
        <v>43</v>
      </c>
      <c r="R4" s="32" t="s">
        <v>44</v>
      </c>
      <c r="S4" s="33" t="s">
        <v>43</v>
      </c>
      <c r="T4" s="32" t="s">
        <v>44</v>
      </c>
      <c r="U4" s="33" t="s">
        <v>43</v>
      </c>
      <c r="V4" s="34" t="s">
        <v>44</v>
      </c>
      <c r="W4" s="414"/>
    </row>
    <row r="5" spans="1:23" ht="15.6" x14ac:dyDescent="0.3">
      <c r="B5" s="193" t="s">
        <v>86</v>
      </c>
      <c r="C5" s="651" t="s">
        <v>75</v>
      </c>
      <c r="D5" s="173">
        <v>2</v>
      </c>
      <c r="E5" s="174" t="s">
        <v>71</v>
      </c>
      <c r="F5" s="175" t="s">
        <v>60</v>
      </c>
      <c r="G5" s="176"/>
      <c r="H5" s="177"/>
      <c r="I5" s="194" t="e">
        <f>J5/G5</f>
        <v>#DIV/0!</v>
      </c>
      <c r="J5" s="431"/>
      <c r="K5" s="432" t="e">
        <f>L5/G5</f>
        <v>#DIV/0!</v>
      </c>
      <c r="L5" s="431"/>
      <c r="M5" s="432" t="e">
        <f>IF(N5="-","-",N5/L5)</f>
        <v>#DIV/0!</v>
      </c>
      <c r="N5" s="199"/>
      <c r="O5" s="203"/>
      <c r="P5" s="204"/>
      <c r="Q5" s="203"/>
      <c r="R5" s="204"/>
      <c r="S5" s="195" t="s">
        <v>21</v>
      </c>
      <c r="T5" s="196" t="s">
        <v>21</v>
      </c>
      <c r="U5" s="195" t="s">
        <v>21</v>
      </c>
      <c r="V5" s="197" t="s">
        <v>21</v>
      </c>
      <c r="W5" s="415"/>
    </row>
    <row r="6" spans="1:23" ht="15.6" x14ac:dyDescent="0.3">
      <c r="B6" s="769" t="s">
        <v>168</v>
      </c>
      <c r="C6" s="649" t="s">
        <v>75</v>
      </c>
      <c r="D6" s="654">
        <v>2</v>
      </c>
      <c r="E6" s="770" t="s">
        <v>169</v>
      </c>
      <c r="F6" s="771" t="s">
        <v>60</v>
      </c>
      <c r="G6" s="772"/>
      <c r="H6" s="167"/>
      <c r="I6" s="536" t="e">
        <f>J6/G6</f>
        <v>#DIV/0!</v>
      </c>
      <c r="J6" s="773"/>
      <c r="K6" s="165" t="e">
        <f>L6/G6</f>
        <v>#DIV/0!</v>
      </c>
      <c r="L6" s="773"/>
      <c r="M6" s="165" t="e">
        <f>IF(N6="-","-",N6/L6)</f>
        <v>#DIV/0!</v>
      </c>
      <c r="N6" s="774"/>
      <c r="O6" s="211"/>
      <c r="P6" s="212"/>
      <c r="Q6" s="211"/>
      <c r="R6" s="212"/>
      <c r="S6" s="270" t="s">
        <v>21</v>
      </c>
      <c r="T6" s="271" t="s">
        <v>21</v>
      </c>
      <c r="U6" s="270" t="s">
        <v>21</v>
      </c>
      <c r="V6" s="272" t="s">
        <v>21</v>
      </c>
      <c r="W6" s="415"/>
    </row>
    <row r="7" spans="1:23" ht="15" customHeight="1" x14ac:dyDescent="0.3">
      <c r="B7" s="847" t="s">
        <v>170</v>
      </c>
      <c r="C7" s="806" t="s">
        <v>75</v>
      </c>
      <c r="D7" s="860">
        <v>9</v>
      </c>
      <c r="E7" s="178" t="s">
        <v>171</v>
      </c>
      <c r="F7" s="179" t="s">
        <v>60</v>
      </c>
      <c r="G7" s="331"/>
      <c r="H7" s="329"/>
      <c r="I7" s="146" t="e">
        <f t="shared" ref="I7:I19" si="0">J7/G7</f>
        <v>#DIV/0!</v>
      </c>
      <c r="J7" s="433"/>
      <c r="K7" s="145" t="e">
        <f t="shared" ref="K7:K19" si="1">L7/G7</f>
        <v>#DIV/0!</v>
      </c>
      <c r="L7" s="433"/>
      <c r="M7" s="145" t="e">
        <f>IF(N7="-","-",N7/L7)</f>
        <v>#DIV/0!</v>
      </c>
      <c r="N7" s="200"/>
      <c r="O7" s="205"/>
      <c r="P7" s="206"/>
      <c r="Q7" s="205"/>
      <c r="R7" s="206"/>
      <c r="S7" s="147" t="s">
        <v>21</v>
      </c>
      <c r="T7" s="144" t="s">
        <v>21</v>
      </c>
      <c r="U7" s="147" t="s">
        <v>21</v>
      </c>
      <c r="V7" s="169" t="s">
        <v>21</v>
      </c>
      <c r="W7" s="415"/>
    </row>
    <row r="8" spans="1:23" ht="15" customHeight="1" x14ac:dyDescent="0.3">
      <c r="B8" s="848"/>
      <c r="C8" s="807"/>
      <c r="D8" s="860"/>
      <c r="E8" s="181" t="s">
        <v>171</v>
      </c>
      <c r="F8" s="182" t="s">
        <v>60</v>
      </c>
      <c r="G8" s="332"/>
      <c r="H8" s="330"/>
      <c r="I8" s="152" t="e">
        <f t="shared" si="0"/>
        <v>#DIV/0!</v>
      </c>
      <c r="J8" s="434"/>
      <c r="K8" s="151" t="e">
        <f t="shared" si="1"/>
        <v>#DIV/0!</v>
      </c>
      <c r="L8" s="434"/>
      <c r="M8" s="151" t="e">
        <f t="shared" ref="M8:M19" si="2">IF(N8="-","-",N8/L8)</f>
        <v>#DIV/0!</v>
      </c>
      <c r="N8" s="201"/>
      <c r="O8" s="207"/>
      <c r="P8" s="208"/>
      <c r="Q8" s="207"/>
      <c r="R8" s="208"/>
      <c r="S8" s="153" t="s">
        <v>21</v>
      </c>
      <c r="T8" s="150" t="s">
        <v>21</v>
      </c>
      <c r="U8" s="153" t="s">
        <v>21</v>
      </c>
      <c r="V8" s="157" t="s">
        <v>21</v>
      </c>
      <c r="W8" s="415"/>
    </row>
    <row r="9" spans="1:23" ht="15" customHeight="1" x14ac:dyDescent="0.3">
      <c r="B9" s="848"/>
      <c r="C9" s="807"/>
      <c r="D9" s="860"/>
      <c r="E9" s="181" t="s">
        <v>171</v>
      </c>
      <c r="F9" s="182" t="s">
        <v>60</v>
      </c>
      <c r="G9" s="332"/>
      <c r="H9" s="330"/>
      <c r="I9" s="152" t="e">
        <f t="shared" si="0"/>
        <v>#DIV/0!</v>
      </c>
      <c r="J9" s="434"/>
      <c r="K9" s="151" t="e">
        <f t="shared" si="1"/>
        <v>#DIV/0!</v>
      </c>
      <c r="L9" s="434"/>
      <c r="M9" s="151" t="e">
        <f t="shared" si="2"/>
        <v>#DIV/0!</v>
      </c>
      <c r="N9" s="201"/>
      <c r="O9" s="207"/>
      <c r="P9" s="208"/>
      <c r="Q9" s="207"/>
      <c r="R9" s="208"/>
      <c r="S9" s="153" t="s">
        <v>21</v>
      </c>
      <c r="T9" s="150" t="s">
        <v>21</v>
      </c>
      <c r="U9" s="153" t="s">
        <v>21</v>
      </c>
      <c r="V9" s="157" t="s">
        <v>21</v>
      </c>
      <c r="W9" s="415"/>
    </row>
    <row r="10" spans="1:23" ht="15" customHeight="1" x14ac:dyDescent="0.3">
      <c r="B10" s="848"/>
      <c r="C10" s="807"/>
      <c r="D10" s="860"/>
      <c r="E10" s="181" t="s">
        <v>171</v>
      </c>
      <c r="F10" s="182" t="s">
        <v>60</v>
      </c>
      <c r="G10" s="332"/>
      <c r="H10" s="330"/>
      <c r="I10" s="152" t="e">
        <f t="shared" si="0"/>
        <v>#DIV/0!</v>
      </c>
      <c r="J10" s="434"/>
      <c r="K10" s="151" t="e">
        <f t="shared" si="1"/>
        <v>#DIV/0!</v>
      </c>
      <c r="L10" s="434"/>
      <c r="M10" s="151" t="e">
        <f t="shared" si="2"/>
        <v>#DIV/0!</v>
      </c>
      <c r="N10" s="201"/>
      <c r="O10" s="207"/>
      <c r="P10" s="208"/>
      <c r="Q10" s="207"/>
      <c r="R10" s="208"/>
      <c r="S10" s="153" t="s">
        <v>21</v>
      </c>
      <c r="T10" s="150" t="s">
        <v>21</v>
      </c>
      <c r="U10" s="153" t="s">
        <v>21</v>
      </c>
      <c r="V10" s="157" t="s">
        <v>21</v>
      </c>
      <c r="W10" s="415"/>
    </row>
    <row r="11" spans="1:23" ht="15" customHeight="1" x14ac:dyDescent="0.3">
      <c r="B11" s="848"/>
      <c r="C11" s="807"/>
      <c r="D11" s="860"/>
      <c r="E11" s="181" t="s">
        <v>171</v>
      </c>
      <c r="F11" s="182" t="s">
        <v>60</v>
      </c>
      <c r="G11" s="332"/>
      <c r="H11" s="330"/>
      <c r="I11" s="152" t="e">
        <f t="shared" si="0"/>
        <v>#DIV/0!</v>
      </c>
      <c r="J11" s="434"/>
      <c r="K11" s="151" t="e">
        <f t="shared" si="1"/>
        <v>#DIV/0!</v>
      </c>
      <c r="L11" s="434"/>
      <c r="M11" s="151" t="e">
        <f t="shared" si="2"/>
        <v>#DIV/0!</v>
      </c>
      <c r="N11" s="201"/>
      <c r="O11" s="207"/>
      <c r="P11" s="208"/>
      <c r="Q11" s="207"/>
      <c r="R11" s="208"/>
      <c r="S11" s="153" t="s">
        <v>21</v>
      </c>
      <c r="T11" s="150" t="s">
        <v>21</v>
      </c>
      <c r="U11" s="153" t="s">
        <v>21</v>
      </c>
      <c r="V11" s="157" t="s">
        <v>21</v>
      </c>
      <c r="W11" s="415"/>
    </row>
    <row r="12" spans="1:23" ht="15" customHeight="1" x14ac:dyDescent="0.3">
      <c r="B12" s="848"/>
      <c r="C12" s="807"/>
      <c r="D12" s="860"/>
      <c r="E12" s="181" t="s">
        <v>171</v>
      </c>
      <c r="F12" s="182" t="s">
        <v>60</v>
      </c>
      <c r="G12" s="332"/>
      <c r="H12" s="330"/>
      <c r="I12" s="152" t="e">
        <f t="shared" si="0"/>
        <v>#DIV/0!</v>
      </c>
      <c r="J12" s="434"/>
      <c r="K12" s="151" t="e">
        <f t="shared" si="1"/>
        <v>#DIV/0!</v>
      </c>
      <c r="L12" s="434"/>
      <c r="M12" s="151" t="e">
        <f t="shared" si="2"/>
        <v>#DIV/0!</v>
      </c>
      <c r="N12" s="201"/>
      <c r="O12" s="207"/>
      <c r="P12" s="208"/>
      <c r="Q12" s="207"/>
      <c r="R12" s="208"/>
      <c r="S12" s="153" t="s">
        <v>21</v>
      </c>
      <c r="T12" s="150" t="s">
        <v>21</v>
      </c>
      <c r="U12" s="153" t="s">
        <v>21</v>
      </c>
      <c r="V12" s="157" t="s">
        <v>21</v>
      </c>
      <c r="W12" s="415"/>
    </row>
    <row r="13" spans="1:23" ht="15" customHeight="1" x14ac:dyDescent="0.3">
      <c r="B13" s="848"/>
      <c r="C13" s="807"/>
      <c r="D13" s="860"/>
      <c r="E13" s="181" t="s">
        <v>171</v>
      </c>
      <c r="F13" s="182" t="s">
        <v>60</v>
      </c>
      <c r="G13" s="332"/>
      <c r="H13" s="330"/>
      <c r="I13" s="152" t="e">
        <f t="shared" si="0"/>
        <v>#DIV/0!</v>
      </c>
      <c r="J13" s="434"/>
      <c r="K13" s="151" t="e">
        <f t="shared" si="1"/>
        <v>#DIV/0!</v>
      </c>
      <c r="L13" s="434"/>
      <c r="M13" s="151" t="e">
        <f t="shared" si="2"/>
        <v>#DIV/0!</v>
      </c>
      <c r="N13" s="201"/>
      <c r="O13" s="207"/>
      <c r="P13" s="208"/>
      <c r="Q13" s="207"/>
      <c r="R13" s="208"/>
      <c r="S13" s="153" t="s">
        <v>21</v>
      </c>
      <c r="T13" s="150" t="s">
        <v>21</v>
      </c>
      <c r="U13" s="153" t="s">
        <v>21</v>
      </c>
      <c r="V13" s="157" t="s">
        <v>21</v>
      </c>
      <c r="W13" s="415"/>
    </row>
    <row r="14" spans="1:23" ht="15" customHeight="1" x14ac:dyDescent="0.3">
      <c r="B14" s="848"/>
      <c r="C14" s="807"/>
      <c r="D14" s="860"/>
      <c r="E14" s="181" t="s">
        <v>171</v>
      </c>
      <c r="F14" s="182" t="s">
        <v>60</v>
      </c>
      <c r="G14" s="332"/>
      <c r="H14" s="330"/>
      <c r="I14" s="152" t="e">
        <f t="shared" si="0"/>
        <v>#DIV/0!</v>
      </c>
      <c r="J14" s="434"/>
      <c r="K14" s="151" t="e">
        <f t="shared" si="1"/>
        <v>#DIV/0!</v>
      </c>
      <c r="L14" s="434"/>
      <c r="M14" s="151" t="e">
        <f t="shared" si="2"/>
        <v>#DIV/0!</v>
      </c>
      <c r="N14" s="201"/>
      <c r="O14" s="207"/>
      <c r="P14" s="208"/>
      <c r="Q14" s="207"/>
      <c r="R14" s="208"/>
      <c r="S14" s="153" t="s">
        <v>21</v>
      </c>
      <c r="T14" s="150" t="s">
        <v>21</v>
      </c>
      <c r="U14" s="153" t="s">
        <v>21</v>
      </c>
      <c r="V14" s="157" t="s">
        <v>21</v>
      </c>
      <c r="W14" s="415"/>
    </row>
    <row r="15" spans="1:23" ht="15" customHeight="1" x14ac:dyDescent="0.3">
      <c r="B15" s="848"/>
      <c r="C15" s="807"/>
      <c r="D15" s="860"/>
      <c r="E15" s="692" t="s">
        <v>171</v>
      </c>
      <c r="F15" s="693"/>
      <c r="G15" s="332"/>
      <c r="H15" s="330"/>
      <c r="I15" s="152" t="e">
        <f t="shared" ref="I15:I18" si="3">J15/G15</f>
        <v>#DIV/0!</v>
      </c>
      <c r="J15" s="434"/>
      <c r="K15" s="151" t="e">
        <f t="shared" ref="K15:K18" si="4">L15/G15</f>
        <v>#DIV/0!</v>
      </c>
      <c r="L15" s="434"/>
      <c r="M15" s="151" t="e">
        <f t="shared" si="2"/>
        <v>#DIV/0!</v>
      </c>
      <c r="N15" s="703"/>
      <c r="O15" s="687"/>
      <c r="P15" s="688"/>
      <c r="Q15" s="687"/>
      <c r="R15" s="688"/>
      <c r="S15" s="689" t="s">
        <v>21</v>
      </c>
      <c r="T15" s="690" t="s">
        <v>21</v>
      </c>
      <c r="U15" s="689" t="s">
        <v>21</v>
      </c>
      <c r="V15" s="691" t="s">
        <v>21</v>
      </c>
      <c r="W15" s="415"/>
    </row>
    <row r="16" spans="1:23" ht="15" customHeight="1" x14ac:dyDescent="0.3">
      <c r="B16" s="848"/>
      <c r="C16" s="807"/>
      <c r="D16" s="860"/>
      <c r="E16" s="692" t="s">
        <v>171</v>
      </c>
      <c r="F16" s="693"/>
      <c r="G16" s="332"/>
      <c r="H16" s="330"/>
      <c r="I16" s="152" t="e">
        <f t="shared" si="3"/>
        <v>#DIV/0!</v>
      </c>
      <c r="J16" s="434"/>
      <c r="K16" s="151" t="e">
        <f t="shared" si="4"/>
        <v>#DIV/0!</v>
      </c>
      <c r="L16" s="434"/>
      <c r="M16" s="151" t="e">
        <f t="shared" si="2"/>
        <v>#DIV/0!</v>
      </c>
      <c r="N16" s="703"/>
      <c r="O16" s="687"/>
      <c r="P16" s="688"/>
      <c r="Q16" s="687"/>
      <c r="R16" s="688"/>
      <c r="S16" s="689" t="s">
        <v>21</v>
      </c>
      <c r="T16" s="690" t="s">
        <v>21</v>
      </c>
      <c r="U16" s="689" t="s">
        <v>21</v>
      </c>
      <c r="V16" s="691" t="s">
        <v>21</v>
      </c>
      <c r="W16" s="415"/>
    </row>
    <row r="17" spans="2:23" ht="15" customHeight="1" x14ac:dyDescent="0.3">
      <c r="B17" s="848"/>
      <c r="C17" s="807"/>
      <c r="D17" s="860"/>
      <c r="E17" s="692"/>
      <c r="F17" s="693"/>
      <c r="G17" s="704"/>
      <c r="H17" s="705"/>
      <c r="I17" s="152" t="e">
        <f t="shared" si="3"/>
        <v>#DIV/0!</v>
      </c>
      <c r="J17" s="707"/>
      <c r="K17" s="151" t="e">
        <f t="shared" si="4"/>
        <v>#DIV/0!</v>
      </c>
      <c r="L17" s="707"/>
      <c r="M17" s="151" t="e">
        <f t="shared" si="2"/>
        <v>#DIV/0!</v>
      </c>
      <c r="N17" s="703"/>
      <c r="O17" s="687"/>
      <c r="P17" s="688"/>
      <c r="Q17" s="687"/>
      <c r="R17" s="688"/>
      <c r="S17" s="689" t="s">
        <v>21</v>
      </c>
      <c r="T17" s="690" t="s">
        <v>21</v>
      </c>
      <c r="U17" s="689" t="s">
        <v>21</v>
      </c>
      <c r="V17" s="691" t="s">
        <v>21</v>
      </c>
      <c r="W17" s="415"/>
    </row>
    <row r="18" spans="2:23" ht="15" customHeight="1" x14ac:dyDescent="0.3">
      <c r="B18" s="848"/>
      <c r="C18" s="807"/>
      <c r="D18" s="860"/>
      <c r="E18" s="692"/>
      <c r="F18" s="693"/>
      <c r="G18" s="704"/>
      <c r="H18" s="705"/>
      <c r="I18" s="152" t="e">
        <f t="shared" si="3"/>
        <v>#DIV/0!</v>
      </c>
      <c r="J18" s="707"/>
      <c r="K18" s="151" t="e">
        <f t="shared" si="4"/>
        <v>#DIV/0!</v>
      </c>
      <c r="L18" s="707"/>
      <c r="M18" s="151" t="e">
        <f t="shared" si="2"/>
        <v>#DIV/0!</v>
      </c>
      <c r="N18" s="703"/>
      <c r="O18" s="687"/>
      <c r="P18" s="688"/>
      <c r="Q18" s="687"/>
      <c r="R18" s="688"/>
      <c r="S18" s="689" t="s">
        <v>21</v>
      </c>
      <c r="T18" s="690" t="s">
        <v>21</v>
      </c>
      <c r="U18" s="689" t="s">
        <v>21</v>
      </c>
      <c r="V18" s="691" t="s">
        <v>21</v>
      </c>
      <c r="W18" s="415"/>
    </row>
    <row r="19" spans="2:23" ht="15" customHeight="1" x14ac:dyDescent="0.3">
      <c r="B19" s="848"/>
      <c r="C19" s="807"/>
      <c r="D19" s="860"/>
      <c r="E19" s="184" t="s">
        <v>171</v>
      </c>
      <c r="F19" s="185" t="s">
        <v>60</v>
      </c>
      <c r="G19" s="186"/>
      <c r="H19" s="163"/>
      <c r="I19" s="160" t="e">
        <f t="shared" si="0"/>
        <v>#DIV/0!</v>
      </c>
      <c r="J19" s="435"/>
      <c r="K19" s="159" t="e">
        <f t="shared" si="1"/>
        <v>#DIV/0!</v>
      </c>
      <c r="L19" s="435"/>
      <c r="M19" s="159" t="e">
        <f t="shared" si="2"/>
        <v>#DIV/0!</v>
      </c>
      <c r="N19" s="202"/>
      <c r="O19" s="209"/>
      <c r="P19" s="210"/>
      <c r="Q19" s="209"/>
      <c r="R19" s="210"/>
      <c r="S19" s="161" t="s">
        <v>21</v>
      </c>
      <c r="T19" s="158" t="s">
        <v>21</v>
      </c>
      <c r="U19" s="161" t="s">
        <v>21</v>
      </c>
      <c r="V19" s="198" t="s">
        <v>21</v>
      </c>
      <c r="W19" s="415"/>
    </row>
    <row r="20" spans="2:23" ht="15.6" x14ac:dyDescent="0.3">
      <c r="B20" s="849"/>
      <c r="C20" s="831"/>
      <c r="D20" s="650" t="s">
        <v>138</v>
      </c>
      <c r="E20" s="390"/>
      <c r="F20" s="391"/>
      <c r="G20" s="25">
        <f>SUM(G7:G19)</f>
        <v>0</v>
      </c>
      <c r="H20" s="26">
        <f>SUM(H7:H19)</f>
        <v>0</v>
      </c>
      <c r="I20" s="27" t="e">
        <f>J20/G20</f>
        <v>#DIV/0!</v>
      </c>
      <c r="J20" s="412">
        <f>SUM(J7:J19)</f>
        <v>0</v>
      </c>
      <c r="K20" s="27" t="e">
        <f>L20/G20</f>
        <v>#DIV/0!</v>
      </c>
      <c r="L20" s="412">
        <f>SUM(L7:L19)</f>
        <v>0</v>
      </c>
      <c r="M20" s="27" t="e">
        <f>N20/L20</f>
        <v>#DIV/0!</v>
      </c>
      <c r="N20" s="412">
        <f>SUM(N7:N19)</f>
        <v>0</v>
      </c>
      <c r="O20" s="259">
        <f t="shared" ref="O20:V20" si="5">SUM(O7:O19)</f>
        <v>0</v>
      </c>
      <c r="P20" s="260">
        <f t="shared" si="5"/>
        <v>0</v>
      </c>
      <c r="Q20" s="259">
        <f t="shared" si="5"/>
        <v>0</v>
      </c>
      <c r="R20" s="260">
        <f t="shared" si="5"/>
        <v>0</v>
      </c>
      <c r="S20" s="259">
        <f t="shared" si="5"/>
        <v>0</v>
      </c>
      <c r="T20" s="260">
        <f t="shared" si="5"/>
        <v>0</v>
      </c>
      <c r="U20" s="259">
        <f t="shared" si="5"/>
        <v>0</v>
      </c>
      <c r="V20" s="261">
        <f t="shared" si="5"/>
        <v>0</v>
      </c>
      <c r="W20" s="415"/>
    </row>
    <row r="21" spans="2:23" ht="15" customHeight="1" x14ac:dyDescent="0.3">
      <c r="B21" s="847" t="s">
        <v>82</v>
      </c>
      <c r="C21" s="806" t="s">
        <v>75</v>
      </c>
      <c r="D21" s="860">
        <v>9</v>
      </c>
      <c r="E21" s="178" t="s">
        <v>13</v>
      </c>
      <c r="F21" s="179" t="s">
        <v>60</v>
      </c>
      <c r="G21" s="331"/>
      <c r="H21" s="329"/>
      <c r="I21" s="146" t="e">
        <f t="shared" ref="I21:I42" si="6">J21/G21</f>
        <v>#DIV/0!</v>
      </c>
      <c r="J21" s="433"/>
      <c r="K21" s="145" t="e">
        <f t="shared" ref="K21:K42" si="7">L21/G21</f>
        <v>#DIV/0!</v>
      </c>
      <c r="L21" s="433"/>
      <c r="M21" s="145" t="e">
        <f>IF(N21="-","-",N21/L21)</f>
        <v>#DIV/0!</v>
      </c>
      <c r="N21" s="200"/>
      <c r="O21" s="205"/>
      <c r="P21" s="206"/>
      <c r="Q21" s="205"/>
      <c r="R21" s="206"/>
      <c r="S21" s="147" t="s">
        <v>21</v>
      </c>
      <c r="T21" s="144" t="s">
        <v>21</v>
      </c>
      <c r="U21" s="147" t="s">
        <v>21</v>
      </c>
      <c r="V21" s="169" t="s">
        <v>21</v>
      </c>
      <c r="W21" s="415"/>
    </row>
    <row r="22" spans="2:23" ht="15" customHeight="1" x14ac:dyDescent="0.3">
      <c r="B22" s="848"/>
      <c r="C22" s="807"/>
      <c r="D22" s="860"/>
      <c r="E22" s="181" t="s">
        <v>14</v>
      </c>
      <c r="F22" s="182" t="s">
        <v>60</v>
      </c>
      <c r="G22" s="332"/>
      <c r="H22" s="330"/>
      <c r="I22" s="152" t="e">
        <f t="shared" si="6"/>
        <v>#DIV/0!</v>
      </c>
      <c r="J22" s="434"/>
      <c r="K22" s="151" t="e">
        <f t="shared" si="7"/>
        <v>#DIV/0!</v>
      </c>
      <c r="L22" s="434"/>
      <c r="M22" s="151" t="e">
        <f t="shared" ref="M22:M42" si="8">IF(N22="-","-",N22/L22)</f>
        <v>#DIV/0!</v>
      </c>
      <c r="N22" s="201"/>
      <c r="O22" s="207"/>
      <c r="P22" s="208"/>
      <c r="Q22" s="207"/>
      <c r="R22" s="208"/>
      <c r="S22" s="153" t="s">
        <v>21</v>
      </c>
      <c r="T22" s="150" t="s">
        <v>21</v>
      </c>
      <c r="U22" s="153" t="s">
        <v>21</v>
      </c>
      <c r="V22" s="157" t="s">
        <v>21</v>
      </c>
      <c r="W22" s="415"/>
    </row>
    <row r="23" spans="2:23" ht="15" customHeight="1" x14ac:dyDescent="0.3">
      <c r="B23" s="848"/>
      <c r="C23" s="807"/>
      <c r="D23" s="860"/>
      <c r="E23" s="181" t="s">
        <v>15</v>
      </c>
      <c r="F23" s="182" t="s">
        <v>60</v>
      </c>
      <c r="G23" s="332"/>
      <c r="H23" s="330"/>
      <c r="I23" s="152" t="e">
        <f t="shared" si="6"/>
        <v>#DIV/0!</v>
      </c>
      <c r="J23" s="434"/>
      <c r="K23" s="151" t="e">
        <f t="shared" si="7"/>
        <v>#DIV/0!</v>
      </c>
      <c r="L23" s="434"/>
      <c r="M23" s="151" t="e">
        <f t="shared" si="8"/>
        <v>#DIV/0!</v>
      </c>
      <c r="N23" s="201"/>
      <c r="O23" s="207"/>
      <c r="P23" s="208"/>
      <c r="Q23" s="207"/>
      <c r="R23" s="208"/>
      <c r="S23" s="153" t="s">
        <v>21</v>
      </c>
      <c r="T23" s="150" t="s">
        <v>21</v>
      </c>
      <c r="U23" s="153" t="s">
        <v>21</v>
      </c>
      <c r="V23" s="157" t="s">
        <v>21</v>
      </c>
      <c r="W23" s="415"/>
    </row>
    <row r="24" spans="2:23" ht="15" customHeight="1" x14ac:dyDescent="0.3">
      <c r="B24" s="848"/>
      <c r="C24" s="807"/>
      <c r="D24" s="860"/>
      <c r="E24" s="181" t="s">
        <v>141</v>
      </c>
      <c r="F24" s="182" t="s">
        <v>60</v>
      </c>
      <c r="G24" s="332"/>
      <c r="H24" s="330"/>
      <c r="I24" s="152" t="e">
        <f t="shared" si="6"/>
        <v>#DIV/0!</v>
      </c>
      <c r="J24" s="434"/>
      <c r="K24" s="151" t="e">
        <f t="shared" si="7"/>
        <v>#DIV/0!</v>
      </c>
      <c r="L24" s="434"/>
      <c r="M24" s="151" t="e">
        <f t="shared" si="8"/>
        <v>#DIV/0!</v>
      </c>
      <c r="N24" s="201"/>
      <c r="O24" s="207"/>
      <c r="P24" s="208"/>
      <c r="Q24" s="207"/>
      <c r="R24" s="208"/>
      <c r="S24" s="153" t="s">
        <v>21</v>
      </c>
      <c r="T24" s="150" t="s">
        <v>21</v>
      </c>
      <c r="U24" s="153" t="s">
        <v>21</v>
      </c>
      <c r="V24" s="157" t="s">
        <v>21</v>
      </c>
      <c r="W24" s="415"/>
    </row>
    <row r="25" spans="2:23" ht="15" customHeight="1" x14ac:dyDescent="0.3">
      <c r="B25" s="848"/>
      <c r="C25" s="807"/>
      <c r="D25" s="860"/>
      <c r="E25" s="181" t="s">
        <v>16</v>
      </c>
      <c r="F25" s="182" t="s">
        <v>60</v>
      </c>
      <c r="G25" s="332"/>
      <c r="H25" s="330"/>
      <c r="I25" s="152" t="e">
        <f t="shared" si="6"/>
        <v>#DIV/0!</v>
      </c>
      <c r="J25" s="434"/>
      <c r="K25" s="151" t="e">
        <f t="shared" si="7"/>
        <v>#DIV/0!</v>
      </c>
      <c r="L25" s="434"/>
      <c r="M25" s="151" t="e">
        <f t="shared" si="8"/>
        <v>#DIV/0!</v>
      </c>
      <c r="N25" s="201"/>
      <c r="O25" s="207"/>
      <c r="P25" s="208"/>
      <c r="Q25" s="207"/>
      <c r="R25" s="208"/>
      <c r="S25" s="153" t="s">
        <v>21</v>
      </c>
      <c r="T25" s="150" t="s">
        <v>21</v>
      </c>
      <c r="U25" s="153" t="s">
        <v>21</v>
      </c>
      <c r="V25" s="157" t="s">
        <v>21</v>
      </c>
      <c r="W25" s="415"/>
    </row>
    <row r="26" spans="2:23" ht="15" customHeight="1" x14ac:dyDescent="0.3">
      <c r="B26" s="848"/>
      <c r="C26" s="807"/>
      <c r="D26" s="860"/>
      <c r="E26" s="181" t="s">
        <v>17</v>
      </c>
      <c r="F26" s="182" t="s">
        <v>60</v>
      </c>
      <c r="G26" s="332"/>
      <c r="H26" s="330"/>
      <c r="I26" s="152" t="e">
        <f t="shared" si="6"/>
        <v>#DIV/0!</v>
      </c>
      <c r="J26" s="434"/>
      <c r="K26" s="151" t="e">
        <f t="shared" si="7"/>
        <v>#DIV/0!</v>
      </c>
      <c r="L26" s="434"/>
      <c r="M26" s="151" t="e">
        <f t="shared" si="8"/>
        <v>#DIV/0!</v>
      </c>
      <c r="N26" s="201"/>
      <c r="O26" s="207"/>
      <c r="P26" s="208"/>
      <c r="Q26" s="207"/>
      <c r="R26" s="208"/>
      <c r="S26" s="153" t="s">
        <v>21</v>
      </c>
      <c r="T26" s="150" t="s">
        <v>21</v>
      </c>
      <c r="U26" s="153" t="s">
        <v>21</v>
      </c>
      <c r="V26" s="157" t="s">
        <v>21</v>
      </c>
      <c r="W26" s="415"/>
    </row>
    <row r="27" spans="2:23" ht="15" customHeight="1" x14ac:dyDescent="0.3">
      <c r="B27" s="848"/>
      <c r="C27" s="807"/>
      <c r="D27" s="860"/>
      <c r="E27" s="181" t="s">
        <v>18</v>
      </c>
      <c r="F27" s="182" t="s">
        <v>60</v>
      </c>
      <c r="G27" s="332"/>
      <c r="H27" s="330"/>
      <c r="I27" s="152" t="e">
        <f t="shared" si="6"/>
        <v>#DIV/0!</v>
      </c>
      <c r="J27" s="434"/>
      <c r="K27" s="151" t="e">
        <f t="shared" si="7"/>
        <v>#DIV/0!</v>
      </c>
      <c r="L27" s="434"/>
      <c r="M27" s="151" t="e">
        <f t="shared" si="8"/>
        <v>#DIV/0!</v>
      </c>
      <c r="N27" s="201"/>
      <c r="O27" s="207"/>
      <c r="P27" s="208"/>
      <c r="Q27" s="207"/>
      <c r="R27" s="208"/>
      <c r="S27" s="153" t="s">
        <v>21</v>
      </c>
      <c r="T27" s="150" t="s">
        <v>21</v>
      </c>
      <c r="U27" s="153" t="s">
        <v>21</v>
      </c>
      <c r="V27" s="157" t="s">
        <v>21</v>
      </c>
      <c r="W27" s="415"/>
    </row>
    <row r="28" spans="2:23" ht="15" customHeight="1" x14ac:dyDescent="0.3">
      <c r="B28" s="848"/>
      <c r="C28" s="807"/>
      <c r="D28" s="860"/>
      <c r="E28" s="181" t="s">
        <v>19</v>
      </c>
      <c r="F28" s="182" t="s">
        <v>60</v>
      </c>
      <c r="G28" s="332"/>
      <c r="H28" s="330"/>
      <c r="I28" s="152" t="e">
        <f t="shared" si="6"/>
        <v>#DIV/0!</v>
      </c>
      <c r="J28" s="434"/>
      <c r="K28" s="151" t="e">
        <f t="shared" si="7"/>
        <v>#DIV/0!</v>
      </c>
      <c r="L28" s="434"/>
      <c r="M28" s="151" t="e">
        <f t="shared" si="8"/>
        <v>#DIV/0!</v>
      </c>
      <c r="N28" s="201"/>
      <c r="O28" s="207"/>
      <c r="P28" s="208"/>
      <c r="Q28" s="207"/>
      <c r="R28" s="208"/>
      <c r="S28" s="153" t="s">
        <v>21</v>
      </c>
      <c r="T28" s="150" t="s">
        <v>21</v>
      </c>
      <c r="U28" s="153" t="s">
        <v>21</v>
      </c>
      <c r="V28" s="157" t="s">
        <v>21</v>
      </c>
      <c r="W28" s="415"/>
    </row>
    <row r="29" spans="2:23" ht="15" customHeight="1" x14ac:dyDescent="0.3">
      <c r="B29" s="848"/>
      <c r="C29" s="807"/>
      <c r="D29" s="860"/>
      <c r="E29" s="692"/>
      <c r="F29" s="693"/>
      <c r="G29" s="704"/>
      <c r="H29" s="705"/>
      <c r="I29" s="152" t="e">
        <f t="shared" si="6"/>
        <v>#DIV/0!</v>
      </c>
      <c r="J29" s="707"/>
      <c r="K29" s="151" t="e">
        <f t="shared" si="7"/>
        <v>#DIV/0!</v>
      </c>
      <c r="L29" s="707"/>
      <c r="M29" s="151" t="e">
        <f t="shared" si="8"/>
        <v>#DIV/0!</v>
      </c>
      <c r="N29" s="703"/>
      <c r="O29" s="687"/>
      <c r="P29" s="688"/>
      <c r="Q29" s="687"/>
      <c r="R29" s="688"/>
      <c r="S29" s="689" t="s">
        <v>21</v>
      </c>
      <c r="T29" s="690" t="s">
        <v>21</v>
      </c>
      <c r="U29" s="689" t="s">
        <v>21</v>
      </c>
      <c r="V29" s="691" t="s">
        <v>21</v>
      </c>
      <c r="W29" s="415"/>
    </row>
    <row r="30" spans="2:23" ht="15" customHeight="1" x14ac:dyDescent="0.3">
      <c r="B30" s="848"/>
      <c r="C30" s="807"/>
      <c r="D30" s="860"/>
      <c r="E30" s="692"/>
      <c r="F30" s="693"/>
      <c r="G30" s="704"/>
      <c r="H30" s="705"/>
      <c r="I30" s="152" t="e">
        <f t="shared" si="6"/>
        <v>#DIV/0!</v>
      </c>
      <c r="J30" s="707"/>
      <c r="K30" s="151" t="e">
        <f t="shared" si="7"/>
        <v>#DIV/0!</v>
      </c>
      <c r="L30" s="707"/>
      <c r="M30" s="151" t="e">
        <f t="shared" si="8"/>
        <v>#DIV/0!</v>
      </c>
      <c r="N30" s="703"/>
      <c r="O30" s="687"/>
      <c r="P30" s="688"/>
      <c r="Q30" s="687"/>
      <c r="R30" s="688"/>
      <c r="S30" s="689" t="s">
        <v>21</v>
      </c>
      <c r="T30" s="690" t="s">
        <v>21</v>
      </c>
      <c r="U30" s="689" t="s">
        <v>21</v>
      </c>
      <c r="V30" s="691" t="s">
        <v>21</v>
      </c>
      <c r="W30" s="415"/>
    </row>
    <row r="31" spans="2:23" ht="15" customHeight="1" x14ac:dyDescent="0.3">
      <c r="B31" s="848"/>
      <c r="C31" s="807"/>
      <c r="D31" s="860"/>
      <c r="E31" s="184" t="s">
        <v>5</v>
      </c>
      <c r="F31" s="185" t="s">
        <v>60</v>
      </c>
      <c r="G31" s="186"/>
      <c r="H31" s="163"/>
      <c r="I31" s="160" t="e">
        <f t="shared" si="6"/>
        <v>#DIV/0!</v>
      </c>
      <c r="J31" s="435"/>
      <c r="K31" s="159" t="e">
        <f t="shared" si="7"/>
        <v>#DIV/0!</v>
      </c>
      <c r="L31" s="435"/>
      <c r="M31" s="159" t="e">
        <f t="shared" si="8"/>
        <v>#DIV/0!</v>
      </c>
      <c r="N31" s="202"/>
      <c r="O31" s="209"/>
      <c r="P31" s="210"/>
      <c r="Q31" s="209"/>
      <c r="R31" s="210"/>
      <c r="S31" s="161" t="s">
        <v>21</v>
      </c>
      <c r="T31" s="158" t="s">
        <v>21</v>
      </c>
      <c r="U31" s="161" t="s">
        <v>21</v>
      </c>
      <c r="V31" s="198" t="s">
        <v>21</v>
      </c>
      <c r="W31" s="415"/>
    </row>
    <row r="32" spans="2:23" ht="15.6" x14ac:dyDescent="0.3">
      <c r="B32" s="849"/>
      <c r="C32" s="831"/>
      <c r="D32" s="553" t="s">
        <v>138</v>
      </c>
      <c r="E32" s="390"/>
      <c r="F32" s="391"/>
      <c r="G32" s="25">
        <f>SUM(G21:G31)</f>
        <v>0</v>
      </c>
      <c r="H32" s="26">
        <f>SUM(H21:H31)</f>
        <v>0</v>
      </c>
      <c r="I32" s="27" t="e">
        <f>J32/G32</f>
        <v>#DIV/0!</v>
      </c>
      <c r="J32" s="412">
        <f>SUM(J21:J31)</f>
        <v>0</v>
      </c>
      <c r="K32" s="27" t="e">
        <f>L32/G32</f>
        <v>#DIV/0!</v>
      </c>
      <c r="L32" s="412">
        <f>SUM(L21:L31)</f>
        <v>0</v>
      </c>
      <c r="M32" s="27" t="e">
        <f>N32/L32</f>
        <v>#DIV/0!</v>
      </c>
      <c r="N32" s="412">
        <f>SUM(N21:N31)</f>
        <v>0</v>
      </c>
      <c r="O32" s="259">
        <f t="shared" ref="O32:V32" si="9">SUM(O21:O31)</f>
        <v>0</v>
      </c>
      <c r="P32" s="260">
        <f t="shared" si="9"/>
        <v>0</v>
      </c>
      <c r="Q32" s="259">
        <f t="shared" si="9"/>
        <v>0</v>
      </c>
      <c r="R32" s="260">
        <f t="shared" si="9"/>
        <v>0</v>
      </c>
      <c r="S32" s="259">
        <f t="shared" si="9"/>
        <v>0</v>
      </c>
      <c r="T32" s="260">
        <f t="shared" si="9"/>
        <v>0</v>
      </c>
      <c r="U32" s="259">
        <f t="shared" si="9"/>
        <v>0</v>
      </c>
      <c r="V32" s="261">
        <f t="shared" si="9"/>
        <v>0</v>
      </c>
      <c r="W32" s="415"/>
    </row>
    <row r="33" spans="1:25" x14ac:dyDescent="0.3">
      <c r="B33" s="847" t="s">
        <v>83</v>
      </c>
      <c r="C33" s="806" t="s">
        <v>75</v>
      </c>
      <c r="D33" s="866">
        <v>9</v>
      </c>
      <c r="E33" s="178" t="s">
        <v>10</v>
      </c>
      <c r="F33" s="179" t="s">
        <v>60</v>
      </c>
      <c r="G33" s="180"/>
      <c r="H33" s="149"/>
      <c r="I33" s="146" t="e">
        <f t="shared" si="6"/>
        <v>#DIV/0!</v>
      </c>
      <c r="J33" s="436"/>
      <c r="K33" s="145" t="e">
        <f t="shared" si="7"/>
        <v>#DIV/0!</v>
      </c>
      <c r="L33" s="436"/>
      <c r="M33" s="145" t="e">
        <f t="shared" si="8"/>
        <v>#DIV/0!</v>
      </c>
      <c r="N33" s="200"/>
      <c r="O33" s="205"/>
      <c r="P33" s="206"/>
      <c r="Q33" s="205"/>
      <c r="R33" s="206"/>
      <c r="S33" s="147" t="s">
        <v>21</v>
      </c>
      <c r="T33" s="144" t="s">
        <v>21</v>
      </c>
      <c r="U33" s="147" t="s">
        <v>21</v>
      </c>
      <c r="V33" s="169" t="s">
        <v>21</v>
      </c>
      <c r="W33" s="415"/>
    </row>
    <row r="34" spans="1:25" x14ac:dyDescent="0.3">
      <c r="B34" s="848"/>
      <c r="C34" s="807"/>
      <c r="D34" s="867"/>
      <c r="E34" s="181" t="s">
        <v>11</v>
      </c>
      <c r="F34" s="182" t="s">
        <v>60</v>
      </c>
      <c r="G34" s="183"/>
      <c r="H34" s="155"/>
      <c r="I34" s="152" t="e">
        <f t="shared" si="6"/>
        <v>#DIV/0!</v>
      </c>
      <c r="J34" s="437"/>
      <c r="K34" s="151" t="e">
        <f t="shared" si="7"/>
        <v>#DIV/0!</v>
      </c>
      <c r="L34" s="437"/>
      <c r="M34" s="151" t="e">
        <f t="shared" si="8"/>
        <v>#DIV/0!</v>
      </c>
      <c r="N34" s="201"/>
      <c r="O34" s="207"/>
      <c r="P34" s="208"/>
      <c r="Q34" s="207"/>
      <c r="R34" s="208"/>
      <c r="S34" s="153" t="s">
        <v>21</v>
      </c>
      <c r="T34" s="150" t="s">
        <v>21</v>
      </c>
      <c r="U34" s="153" t="s">
        <v>21</v>
      </c>
      <c r="V34" s="157" t="s">
        <v>21</v>
      </c>
      <c r="W34" s="415"/>
    </row>
    <row r="35" spans="1:25" x14ac:dyDescent="0.3">
      <c r="B35" s="848"/>
      <c r="C35" s="807"/>
      <c r="D35" s="867"/>
      <c r="E35" s="181" t="s">
        <v>12</v>
      </c>
      <c r="F35" s="182" t="s">
        <v>60</v>
      </c>
      <c r="G35" s="183"/>
      <c r="H35" s="155"/>
      <c r="I35" s="152" t="e">
        <f t="shared" si="6"/>
        <v>#DIV/0!</v>
      </c>
      <c r="J35" s="437"/>
      <c r="K35" s="151" t="e">
        <f t="shared" si="7"/>
        <v>#DIV/0!</v>
      </c>
      <c r="L35" s="437"/>
      <c r="M35" s="151" t="e">
        <f t="shared" si="8"/>
        <v>#DIV/0!</v>
      </c>
      <c r="N35" s="201"/>
      <c r="O35" s="207"/>
      <c r="P35" s="208"/>
      <c r="Q35" s="207"/>
      <c r="R35" s="208"/>
      <c r="S35" s="153" t="s">
        <v>21</v>
      </c>
      <c r="T35" s="150" t="s">
        <v>21</v>
      </c>
      <c r="U35" s="153" t="s">
        <v>21</v>
      </c>
      <c r="V35" s="157" t="s">
        <v>21</v>
      </c>
      <c r="W35" s="415"/>
    </row>
    <row r="36" spans="1:25" x14ac:dyDescent="0.3">
      <c r="B36" s="848"/>
      <c r="C36" s="807"/>
      <c r="D36" s="867"/>
      <c r="E36" s="181" t="s">
        <v>7</v>
      </c>
      <c r="F36" s="182" t="s">
        <v>60</v>
      </c>
      <c r="G36" s="183"/>
      <c r="H36" s="155"/>
      <c r="I36" s="152" t="e">
        <f t="shared" si="6"/>
        <v>#DIV/0!</v>
      </c>
      <c r="J36" s="437"/>
      <c r="K36" s="151" t="e">
        <f t="shared" si="7"/>
        <v>#DIV/0!</v>
      </c>
      <c r="L36" s="437"/>
      <c r="M36" s="151" t="e">
        <f t="shared" si="8"/>
        <v>#DIV/0!</v>
      </c>
      <c r="N36" s="201"/>
      <c r="O36" s="207"/>
      <c r="P36" s="208"/>
      <c r="Q36" s="207"/>
      <c r="R36" s="208"/>
      <c r="S36" s="153" t="s">
        <v>21</v>
      </c>
      <c r="T36" s="150" t="s">
        <v>21</v>
      </c>
      <c r="U36" s="153" t="s">
        <v>21</v>
      </c>
      <c r="V36" s="157" t="s">
        <v>21</v>
      </c>
      <c r="W36" s="415"/>
    </row>
    <row r="37" spans="1:25" x14ac:dyDescent="0.3">
      <c r="B37" s="848"/>
      <c r="C37" s="807"/>
      <c r="D37" s="867"/>
      <c r="E37" s="181" t="s">
        <v>132</v>
      </c>
      <c r="F37" s="182" t="s">
        <v>60</v>
      </c>
      <c r="G37" s="183"/>
      <c r="H37" s="155"/>
      <c r="I37" s="152" t="e">
        <f t="shared" si="6"/>
        <v>#DIV/0!</v>
      </c>
      <c r="J37" s="437"/>
      <c r="K37" s="151" t="e">
        <f t="shared" si="7"/>
        <v>#DIV/0!</v>
      </c>
      <c r="L37" s="437"/>
      <c r="M37" s="151" t="e">
        <f t="shared" si="8"/>
        <v>#DIV/0!</v>
      </c>
      <c r="N37" s="201"/>
      <c r="O37" s="207"/>
      <c r="P37" s="208"/>
      <c r="Q37" s="207"/>
      <c r="R37" s="208"/>
      <c r="S37" s="153" t="s">
        <v>21</v>
      </c>
      <c r="T37" s="150" t="s">
        <v>21</v>
      </c>
      <c r="U37" s="153" t="s">
        <v>21</v>
      </c>
      <c r="V37" s="157" t="s">
        <v>21</v>
      </c>
      <c r="W37" s="415"/>
    </row>
    <row r="38" spans="1:25" x14ac:dyDescent="0.3">
      <c r="B38" s="848"/>
      <c r="C38" s="807"/>
      <c r="D38" s="867"/>
      <c r="E38" s="181" t="s">
        <v>8</v>
      </c>
      <c r="F38" s="182" t="s">
        <v>60</v>
      </c>
      <c r="G38" s="183"/>
      <c r="H38" s="155"/>
      <c r="I38" s="152" t="e">
        <f t="shared" si="6"/>
        <v>#DIV/0!</v>
      </c>
      <c r="J38" s="437"/>
      <c r="K38" s="151" t="e">
        <f t="shared" si="7"/>
        <v>#DIV/0!</v>
      </c>
      <c r="L38" s="437"/>
      <c r="M38" s="151" t="e">
        <f t="shared" si="8"/>
        <v>#DIV/0!</v>
      </c>
      <c r="N38" s="201"/>
      <c r="O38" s="207"/>
      <c r="P38" s="208"/>
      <c r="Q38" s="207"/>
      <c r="R38" s="208"/>
      <c r="S38" s="153" t="s">
        <v>21</v>
      </c>
      <c r="T38" s="150" t="s">
        <v>21</v>
      </c>
      <c r="U38" s="153" t="s">
        <v>21</v>
      </c>
      <c r="V38" s="157" t="s">
        <v>21</v>
      </c>
      <c r="W38" s="415"/>
    </row>
    <row r="39" spans="1:25" x14ac:dyDescent="0.3">
      <c r="B39" s="848"/>
      <c r="C39" s="807"/>
      <c r="D39" s="867"/>
      <c r="E39" s="181" t="s">
        <v>6</v>
      </c>
      <c r="F39" s="182" t="s">
        <v>60</v>
      </c>
      <c r="G39" s="183"/>
      <c r="H39" s="155"/>
      <c r="I39" s="152" t="e">
        <f t="shared" si="6"/>
        <v>#DIV/0!</v>
      </c>
      <c r="J39" s="437"/>
      <c r="K39" s="151" t="e">
        <f t="shared" si="7"/>
        <v>#DIV/0!</v>
      </c>
      <c r="L39" s="437"/>
      <c r="M39" s="151" t="e">
        <f t="shared" si="8"/>
        <v>#DIV/0!</v>
      </c>
      <c r="N39" s="201"/>
      <c r="O39" s="207"/>
      <c r="P39" s="208"/>
      <c r="Q39" s="207"/>
      <c r="R39" s="208"/>
      <c r="S39" s="153" t="s">
        <v>21</v>
      </c>
      <c r="T39" s="150" t="s">
        <v>21</v>
      </c>
      <c r="U39" s="153" t="s">
        <v>21</v>
      </c>
      <c r="V39" s="157" t="s">
        <v>21</v>
      </c>
      <c r="W39" s="415"/>
    </row>
    <row r="40" spans="1:25" x14ac:dyDescent="0.3">
      <c r="B40" s="848"/>
      <c r="C40" s="807"/>
      <c r="D40" s="868"/>
      <c r="E40" s="692"/>
      <c r="F40" s="693"/>
      <c r="G40" s="722"/>
      <c r="H40" s="723"/>
      <c r="I40" s="152" t="e">
        <f t="shared" si="6"/>
        <v>#DIV/0!</v>
      </c>
      <c r="J40" s="721"/>
      <c r="K40" s="151" t="e">
        <f t="shared" si="7"/>
        <v>#DIV/0!</v>
      </c>
      <c r="L40" s="721"/>
      <c r="M40" s="151" t="e">
        <f t="shared" si="8"/>
        <v>#DIV/0!</v>
      </c>
      <c r="N40" s="703"/>
      <c r="O40" s="687"/>
      <c r="P40" s="688"/>
      <c r="Q40" s="687"/>
      <c r="R40" s="688"/>
      <c r="S40" s="689" t="s">
        <v>21</v>
      </c>
      <c r="T40" s="690" t="s">
        <v>21</v>
      </c>
      <c r="U40" s="689" t="s">
        <v>21</v>
      </c>
      <c r="V40" s="691" t="s">
        <v>21</v>
      </c>
      <c r="W40" s="415"/>
    </row>
    <row r="41" spans="1:25" x14ac:dyDescent="0.3">
      <c r="B41" s="848"/>
      <c r="C41" s="807"/>
      <c r="D41" s="868"/>
      <c r="E41" s="692"/>
      <c r="F41" s="693"/>
      <c r="G41" s="722"/>
      <c r="H41" s="723"/>
      <c r="I41" s="152" t="e">
        <f t="shared" si="6"/>
        <v>#DIV/0!</v>
      </c>
      <c r="J41" s="721"/>
      <c r="K41" s="151" t="e">
        <f t="shared" si="7"/>
        <v>#DIV/0!</v>
      </c>
      <c r="L41" s="721"/>
      <c r="M41" s="151" t="e">
        <f t="shared" si="8"/>
        <v>#DIV/0!</v>
      </c>
      <c r="N41" s="703"/>
      <c r="O41" s="687"/>
      <c r="P41" s="688"/>
      <c r="Q41" s="687"/>
      <c r="R41" s="688"/>
      <c r="S41" s="689" t="s">
        <v>21</v>
      </c>
      <c r="T41" s="690" t="s">
        <v>21</v>
      </c>
      <c r="U41" s="689" t="s">
        <v>21</v>
      </c>
      <c r="V41" s="691" t="s">
        <v>21</v>
      </c>
      <c r="W41" s="415"/>
    </row>
    <row r="42" spans="1:25" x14ac:dyDescent="0.3">
      <c r="B42" s="848"/>
      <c r="C42" s="807"/>
      <c r="D42" s="869"/>
      <c r="E42" s="184" t="s">
        <v>9</v>
      </c>
      <c r="F42" s="185" t="s">
        <v>60</v>
      </c>
      <c r="G42" s="186"/>
      <c r="H42" s="163"/>
      <c r="I42" s="160" t="e">
        <f t="shared" si="6"/>
        <v>#DIV/0!</v>
      </c>
      <c r="J42" s="435"/>
      <c r="K42" s="159" t="e">
        <f t="shared" si="7"/>
        <v>#DIV/0!</v>
      </c>
      <c r="L42" s="435"/>
      <c r="M42" s="159" t="e">
        <f t="shared" si="8"/>
        <v>#DIV/0!</v>
      </c>
      <c r="N42" s="202"/>
      <c r="O42" s="209"/>
      <c r="P42" s="210"/>
      <c r="Q42" s="209"/>
      <c r="R42" s="210"/>
      <c r="S42" s="161" t="s">
        <v>21</v>
      </c>
      <c r="T42" s="158" t="s">
        <v>21</v>
      </c>
      <c r="U42" s="161" t="s">
        <v>21</v>
      </c>
      <c r="V42" s="198" t="s">
        <v>21</v>
      </c>
      <c r="W42" s="415"/>
    </row>
    <row r="43" spans="1:25" ht="16.2" thickBot="1" x14ac:dyDescent="0.35">
      <c r="B43" s="828"/>
      <c r="C43" s="832"/>
      <c r="D43" s="555" t="s">
        <v>138</v>
      </c>
      <c r="E43" s="390"/>
      <c r="F43" s="391"/>
      <c r="G43" s="25">
        <f>SUM(G33:G42)</f>
        <v>0</v>
      </c>
      <c r="H43" s="26">
        <f t="shared" ref="H43" si="10">SUM(H33:H42)</f>
        <v>0</v>
      </c>
      <c r="I43" s="27" t="e">
        <f>J43/G43</f>
        <v>#DIV/0!</v>
      </c>
      <c r="J43" s="412">
        <f t="shared" ref="J43" si="11">SUM(J33:J42)</f>
        <v>0</v>
      </c>
      <c r="K43" s="27" t="e">
        <f>L43/G43</f>
        <v>#DIV/0!</v>
      </c>
      <c r="L43" s="412">
        <f t="shared" ref="L43" si="12">SUM(L33:L42)</f>
        <v>0</v>
      </c>
      <c r="M43" s="27" t="e">
        <f>N43/L43</f>
        <v>#DIV/0!</v>
      </c>
      <c r="N43" s="412">
        <f t="shared" ref="N43:V43" si="13">SUM(N33:N42)</f>
        <v>0</v>
      </c>
      <c r="O43" s="259">
        <f t="shared" si="13"/>
        <v>0</v>
      </c>
      <c r="P43" s="260">
        <f t="shared" si="13"/>
        <v>0</v>
      </c>
      <c r="Q43" s="259">
        <f t="shared" si="13"/>
        <v>0</v>
      </c>
      <c r="R43" s="260">
        <f t="shared" si="13"/>
        <v>0</v>
      </c>
      <c r="S43" s="259">
        <f t="shared" si="13"/>
        <v>0</v>
      </c>
      <c r="T43" s="260">
        <f t="shared" si="13"/>
        <v>0</v>
      </c>
      <c r="U43" s="259">
        <f t="shared" si="13"/>
        <v>0</v>
      </c>
      <c r="V43" s="261">
        <f t="shared" si="13"/>
        <v>0</v>
      </c>
      <c r="W43" s="415"/>
    </row>
    <row r="44" spans="1:25" s="53" customFormat="1" ht="21" customHeight="1" thickBot="1" x14ac:dyDescent="0.35">
      <c r="A44" s="125"/>
      <c r="B44" s="241" t="s">
        <v>78</v>
      </c>
      <c r="C44" s="557"/>
      <c r="D44" s="557">
        <f>SUM(D5:D42)</f>
        <v>31</v>
      </c>
      <c r="E44" s="133">
        <f>COUNT(G5:G31,G33:G42)</f>
        <v>1</v>
      </c>
      <c r="F44" s="67">
        <f>COUNT(J5:J42)</f>
        <v>2</v>
      </c>
      <c r="G44" s="325">
        <f>G5+G32+G43</f>
        <v>0</v>
      </c>
      <c r="H44" s="326">
        <f>H5+H32+H43</f>
        <v>0</v>
      </c>
      <c r="I44" s="327" t="e">
        <f>J44/G44</f>
        <v>#DIV/0!</v>
      </c>
      <c r="J44" s="438">
        <f>J5+J32+J43</f>
        <v>0</v>
      </c>
      <c r="K44" s="439" t="e">
        <f>L44/G44</f>
        <v>#DIV/0!</v>
      </c>
      <c r="L44" s="438">
        <f>L5+L32+L43</f>
        <v>0</v>
      </c>
      <c r="M44" s="327" t="e">
        <f>N44/(L5+SUM(L33:L42))</f>
        <v>#DIV/0!</v>
      </c>
      <c r="N44" s="438">
        <f>N5+N32+N43</f>
        <v>0</v>
      </c>
      <c r="O44" s="141"/>
      <c r="P44" s="142"/>
      <c r="Q44" s="141"/>
      <c r="R44" s="142"/>
      <c r="S44" s="141"/>
      <c r="T44" s="142"/>
      <c r="U44" s="141"/>
      <c r="V44" s="143"/>
      <c r="W44" s="416"/>
      <c r="Y44" s="1"/>
    </row>
    <row r="45" spans="1:25" ht="15" customHeight="1" x14ac:dyDescent="0.3">
      <c r="B45" s="837" t="s">
        <v>84</v>
      </c>
      <c r="C45" s="840" t="s">
        <v>76</v>
      </c>
      <c r="D45" s="878">
        <v>6</v>
      </c>
      <c r="E45" s="189" t="s">
        <v>25</v>
      </c>
      <c r="F45" s="515" t="s">
        <v>60</v>
      </c>
      <c r="G45" s="180"/>
      <c r="H45" s="149"/>
      <c r="I45" s="145" t="e">
        <f>J45/G45</f>
        <v>#DIV/0!</v>
      </c>
      <c r="J45" s="436"/>
      <c r="K45" s="145" t="e">
        <f>L45/G45</f>
        <v>#DIV/0!</v>
      </c>
      <c r="L45" s="436"/>
      <c r="M45" s="145" t="e">
        <f>IF(N45="-","-",N45/L45)</f>
        <v>#DIV/0!</v>
      </c>
      <c r="N45" s="200"/>
      <c r="O45" s="205"/>
      <c r="P45" s="206"/>
      <c r="Q45" s="205"/>
      <c r="R45" s="206"/>
      <c r="S45" s="147"/>
      <c r="T45" s="144"/>
      <c r="U45" s="147"/>
      <c r="V45" s="169"/>
      <c r="W45" s="516"/>
    </row>
    <row r="46" spans="1:25" ht="15" customHeight="1" x14ac:dyDescent="0.3">
      <c r="B46" s="838"/>
      <c r="C46" s="841"/>
      <c r="D46" s="859"/>
      <c r="E46" s="191" t="s">
        <v>26</v>
      </c>
      <c r="F46" s="517" t="s">
        <v>60</v>
      </c>
      <c r="G46" s="183"/>
      <c r="H46" s="155"/>
      <c r="I46" s="151" t="e">
        <f t="shared" ref="I46:I110" si="14">J46/G46</f>
        <v>#DIV/0!</v>
      </c>
      <c r="J46" s="437"/>
      <c r="K46" s="151" t="e">
        <f t="shared" ref="K46:K110" si="15">L46/G46</f>
        <v>#DIV/0!</v>
      </c>
      <c r="L46" s="437"/>
      <c r="M46" s="151" t="e">
        <f t="shared" ref="M46:M110" si="16">IF(N46="-","-",N46/L46)</f>
        <v>#DIV/0!</v>
      </c>
      <c r="N46" s="201"/>
      <c r="O46" s="207"/>
      <c r="P46" s="208"/>
      <c r="Q46" s="207"/>
      <c r="R46" s="208"/>
      <c r="S46" s="153"/>
      <c r="T46" s="150"/>
      <c r="U46" s="153"/>
      <c r="V46" s="157"/>
      <c r="W46" s="516"/>
    </row>
    <row r="47" spans="1:25" ht="15" customHeight="1" x14ac:dyDescent="0.3">
      <c r="B47" s="838"/>
      <c r="C47" s="841"/>
      <c r="D47" s="859"/>
      <c r="E47" s="191" t="s">
        <v>58</v>
      </c>
      <c r="F47" s="517" t="s">
        <v>60</v>
      </c>
      <c r="G47" s="183"/>
      <c r="H47" s="155"/>
      <c r="I47" s="151" t="e">
        <f t="shared" si="14"/>
        <v>#DIV/0!</v>
      </c>
      <c r="J47" s="437"/>
      <c r="K47" s="151" t="e">
        <f t="shared" si="15"/>
        <v>#DIV/0!</v>
      </c>
      <c r="L47" s="437"/>
      <c r="M47" s="151" t="e">
        <f t="shared" si="16"/>
        <v>#DIV/0!</v>
      </c>
      <c r="N47" s="201"/>
      <c r="O47" s="207"/>
      <c r="P47" s="208"/>
      <c r="Q47" s="207"/>
      <c r="R47" s="208"/>
      <c r="S47" s="153" t="s">
        <v>21</v>
      </c>
      <c r="T47" s="150" t="s">
        <v>21</v>
      </c>
      <c r="U47" s="153" t="s">
        <v>21</v>
      </c>
      <c r="V47" s="157" t="s">
        <v>21</v>
      </c>
      <c r="W47" s="516"/>
    </row>
    <row r="48" spans="1:25" ht="15" customHeight="1" x14ac:dyDescent="0.3">
      <c r="B48" s="838"/>
      <c r="C48" s="841"/>
      <c r="D48" s="859"/>
      <c r="E48" s="191" t="s">
        <v>24</v>
      </c>
      <c r="F48" s="517" t="s">
        <v>62</v>
      </c>
      <c r="G48" s="183"/>
      <c r="H48" s="155"/>
      <c r="I48" s="151" t="e">
        <f t="shared" si="14"/>
        <v>#DIV/0!</v>
      </c>
      <c r="J48" s="437"/>
      <c r="K48" s="151" t="e">
        <f t="shared" si="15"/>
        <v>#DIV/0!</v>
      </c>
      <c r="L48" s="437"/>
      <c r="M48" s="151" t="e">
        <f t="shared" si="16"/>
        <v>#DIV/0!</v>
      </c>
      <c r="N48" s="201"/>
      <c r="O48" s="207"/>
      <c r="P48" s="208"/>
      <c r="Q48" s="207"/>
      <c r="R48" s="208"/>
      <c r="S48" s="153"/>
      <c r="T48" s="150"/>
      <c r="U48" s="153"/>
      <c r="V48" s="157"/>
      <c r="W48" s="516"/>
    </row>
    <row r="49" spans="2:24" ht="15" customHeight="1" x14ac:dyDescent="0.3">
      <c r="B49" s="838"/>
      <c r="C49" s="841"/>
      <c r="D49" s="859"/>
      <c r="E49" s="191" t="s">
        <v>23</v>
      </c>
      <c r="F49" s="517" t="s">
        <v>60</v>
      </c>
      <c r="G49" s="183"/>
      <c r="H49" s="155"/>
      <c r="I49" s="151" t="e">
        <f t="shared" si="14"/>
        <v>#DIV/0!</v>
      </c>
      <c r="J49" s="437"/>
      <c r="K49" s="151" t="e">
        <f t="shared" si="15"/>
        <v>#DIV/0!</v>
      </c>
      <c r="L49" s="437"/>
      <c r="M49" s="151" t="e">
        <f t="shared" si="16"/>
        <v>#DIV/0!</v>
      </c>
      <c r="N49" s="201"/>
      <c r="O49" s="207"/>
      <c r="P49" s="208"/>
      <c r="Q49" s="207"/>
      <c r="R49" s="208"/>
      <c r="S49" s="153" t="s">
        <v>21</v>
      </c>
      <c r="T49" s="150" t="s">
        <v>21</v>
      </c>
      <c r="U49" s="153" t="s">
        <v>21</v>
      </c>
      <c r="V49" s="157" t="s">
        <v>21</v>
      </c>
      <c r="W49" s="516"/>
    </row>
    <row r="50" spans="2:24" ht="15" customHeight="1" x14ac:dyDescent="0.3">
      <c r="B50" s="838"/>
      <c r="C50" s="841"/>
      <c r="D50" s="859"/>
      <c r="E50" s="724"/>
      <c r="F50" s="725"/>
      <c r="G50" s="722"/>
      <c r="H50" s="723"/>
      <c r="I50" s="151" t="e">
        <f t="shared" si="14"/>
        <v>#DIV/0!</v>
      </c>
      <c r="J50" s="721"/>
      <c r="K50" s="151" t="e">
        <f t="shared" si="15"/>
        <v>#DIV/0!</v>
      </c>
      <c r="L50" s="721"/>
      <c r="M50" s="151" t="e">
        <f t="shared" si="16"/>
        <v>#DIV/0!</v>
      </c>
      <c r="N50" s="703"/>
      <c r="O50" s="687"/>
      <c r="P50" s="688"/>
      <c r="Q50" s="687"/>
      <c r="R50" s="688"/>
      <c r="S50" s="689"/>
      <c r="T50" s="690"/>
      <c r="U50" s="689"/>
      <c r="V50" s="691"/>
      <c r="W50" s="516"/>
    </row>
    <row r="51" spans="2:24" ht="15" customHeight="1" x14ac:dyDescent="0.3">
      <c r="B51" s="838"/>
      <c r="C51" s="841"/>
      <c r="D51" s="859"/>
      <c r="E51" s="724"/>
      <c r="F51" s="725"/>
      <c r="G51" s="722"/>
      <c r="H51" s="723"/>
      <c r="I51" s="151" t="e">
        <f t="shared" si="14"/>
        <v>#DIV/0!</v>
      </c>
      <c r="J51" s="721"/>
      <c r="K51" s="151" t="e">
        <f t="shared" si="15"/>
        <v>#DIV/0!</v>
      </c>
      <c r="L51" s="721"/>
      <c r="M51" s="151" t="e">
        <f t="shared" si="16"/>
        <v>#DIV/0!</v>
      </c>
      <c r="N51" s="703"/>
      <c r="O51" s="687"/>
      <c r="P51" s="688"/>
      <c r="Q51" s="687"/>
      <c r="R51" s="688"/>
      <c r="S51" s="689"/>
      <c r="T51" s="690"/>
      <c r="U51" s="689"/>
      <c r="V51" s="691"/>
      <c r="W51" s="516"/>
    </row>
    <row r="52" spans="2:24" ht="15" customHeight="1" x14ac:dyDescent="0.3">
      <c r="B52" s="838"/>
      <c r="C52" s="841"/>
      <c r="D52" s="859"/>
      <c r="E52" s="192" t="s">
        <v>22</v>
      </c>
      <c r="F52" s="518" t="s">
        <v>62</v>
      </c>
      <c r="G52" s="186"/>
      <c r="H52" s="163"/>
      <c r="I52" s="159" t="e">
        <f t="shared" si="14"/>
        <v>#DIV/0!</v>
      </c>
      <c r="J52" s="435"/>
      <c r="K52" s="159" t="e">
        <f t="shared" si="15"/>
        <v>#DIV/0!</v>
      </c>
      <c r="L52" s="435"/>
      <c r="M52" s="159" t="e">
        <f t="shared" si="16"/>
        <v>#DIV/0!</v>
      </c>
      <c r="N52" s="202"/>
      <c r="O52" s="209"/>
      <c r="P52" s="210"/>
      <c r="Q52" s="209"/>
      <c r="R52" s="210"/>
      <c r="S52" s="161"/>
      <c r="T52" s="158"/>
      <c r="U52" s="161"/>
      <c r="V52" s="198"/>
      <c r="W52" s="516"/>
    </row>
    <row r="53" spans="2:24" ht="15.6" x14ac:dyDescent="0.3">
      <c r="B53" s="839"/>
      <c r="C53" s="842"/>
      <c r="D53" s="552" t="s">
        <v>138</v>
      </c>
      <c r="E53" s="64"/>
      <c r="F53" s="65"/>
      <c r="G53" s="25">
        <f>SUM(G45:G52)</f>
        <v>0</v>
      </c>
      <c r="H53" s="26">
        <f>SUM(H45:H52)</f>
        <v>0</v>
      </c>
      <c r="I53" s="27" t="e">
        <f>J53/G53</f>
        <v>#DIV/0!</v>
      </c>
      <c r="J53" s="412">
        <f>SUM(J45:J52)</f>
        <v>0</v>
      </c>
      <c r="K53" s="165" t="e">
        <f>L53/G53</f>
        <v>#DIV/0!</v>
      </c>
      <c r="L53" s="412">
        <f>SUM(L45:L52)</f>
        <v>0</v>
      </c>
      <c r="M53" s="27" t="e">
        <f>N53/L53</f>
        <v>#DIV/0!</v>
      </c>
      <c r="N53" s="412">
        <f t="shared" ref="N53:V53" si="17">SUM(N45:N52)</f>
        <v>0</v>
      </c>
      <c r="O53" s="270">
        <f t="shared" si="17"/>
        <v>0</v>
      </c>
      <c r="P53" s="271">
        <f t="shared" si="17"/>
        <v>0</v>
      </c>
      <c r="Q53" s="270">
        <f t="shared" si="17"/>
        <v>0</v>
      </c>
      <c r="R53" s="271">
        <f t="shared" si="17"/>
        <v>0</v>
      </c>
      <c r="S53" s="270">
        <f t="shared" si="17"/>
        <v>0</v>
      </c>
      <c r="T53" s="271">
        <f t="shared" si="17"/>
        <v>0</v>
      </c>
      <c r="U53" s="270">
        <f t="shared" si="17"/>
        <v>0</v>
      </c>
      <c r="V53" s="272">
        <f t="shared" si="17"/>
        <v>0</v>
      </c>
      <c r="W53" s="415"/>
    </row>
    <row r="54" spans="2:24" x14ac:dyDescent="0.3">
      <c r="B54" s="838" t="s">
        <v>172</v>
      </c>
      <c r="C54" s="841" t="s">
        <v>76</v>
      </c>
      <c r="D54" s="861">
        <v>11</v>
      </c>
      <c r="E54" s="494" t="s">
        <v>171</v>
      </c>
      <c r="F54" s="495" t="s">
        <v>62</v>
      </c>
      <c r="G54" s="496"/>
      <c r="H54" s="497"/>
      <c r="I54" s="498" t="e">
        <f t="shared" ref="I54" si="18">J54/G54</f>
        <v>#DIV/0!</v>
      </c>
      <c r="J54" s="499"/>
      <c r="K54" s="498" t="e">
        <f t="shared" ref="K54" si="19">L54/G54</f>
        <v>#DIV/0!</v>
      </c>
      <c r="L54" s="499"/>
      <c r="M54" s="498" t="e">
        <f>IF(N54="-","-",N54/L54)</f>
        <v>#DIV/0!</v>
      </c>
      <c r="N54" s="500"/>
      <c r="O54" s="488"/>
      <c r="P54" s="489"/>
      <c r="Q54" s="488"/>
      <c r="R54" s="489"/>
      <c r="S54" s="671"/>
      <c r="T54" s="672"/>
      <c r="U54" s="671"/>
      <c r="V54" s="673"/>
      <c r="W54" s="415"/>
    </row>
    <row r="55" spans="2:24" x14ac:dyDescent="0.3">
      <c r="B55" s="838"/>
      <c r="C55" s="841"/>
      <c r="D55" s="862"/>
      <c r="E55" s="501" t="s">
        <v>171</v>
      </c>
      <c r="F55" s="502" t="s">
        <v>62</v>
      </c>
      <c r="G55" s="503"/>
      <c r="H55" s="504"/>
      <c r="I55" s="505" t="e">
        <f>J55/G55</f>
        <v>#DIV/0!</v>
      </c>
      <c r="J55" s="506"/>
      <c r="K55" s="505" t="e">
        <f>L55/G55</f>
        <v>#DIV/0!</v>
      </c>
      <c r="L55" s="506"/>
      <c r="M55" s="505" t="e">
        <f>IF(N55="-","-",N55/L55)</f>
        <v>#DIV/0!</v>
      </c>
      <c r="N55" s="507"/>
      <c r="O55" s="490"/>
      <c r="P55" s="491"/>
      <c r="Q55" s="490"/>
      <c r="R55" s="491"/>
      <c r="S55" s="674"/>
      <c r="T55" s="675"/>
      <c r="U55" s="674"/>
      <c r="V55" s="676"/>
      <c r="W55" s="415"/>
    </row>
    <row r="56" spans="2:24" x14ac:dyDescent="0.3">
      <c r="B56" s="838"/>
      <c r="C56" s="841"/>
      <c r="D56" s="862"/>
      <c r="E56" s="501" t="s">
        <v>171</v>
      </c>
      <c r="F56" s="502" t="s">
        <v>62</v>
      </c>
      <c r="G56" s="503"/>
      <c r="H56" s="504"/>
      <c r="I56" s="505" t="e">
        <f t="shared" ref="I56:I60" si="20">J56/G56</f>
        <v>#DIV/0!</v>
      </c>
      <c r="J56" s="506"/>
      <c r="K56" s="505" t="e">
        <f t="shared" ref="K56:K60" si="21">L56/G56</f>
        <v>#DIV/0!</v>
      </c>
      <c r="L56" s="506"/>
      <c r="M56" s="505" t="e">
        <f>IF(N56="-","-",N56/L56)</f>
        <v>#DIV/0!</v>
      </c>
      <c r="N56" s="507"/>
      <c r="O56" s="490"/>
      <c r="P56" s="491"/>
      <c r="Q56" s="490"/>
      <c r="R56" s="491"/>
      <c r="S56" s="674"/>
      <c r="T56" s="675"/>
      <c r="U56" s="674"/>
      <c r="V56" s="676"/>
      <c r="W56" s="415"/>
    </row>
    <row r="57" spans="2:24" x14ac:dyDescent="0.3">
      <c r="B57" s="838"/>
      <c r="C57" s="841"/>
      <c r="D57" s="862"/>
      <c r="E57" s="501" t="s">
        <v>171</v>
      </c>
      <c r="F57" s="502" t="s">
        <v>62</v>
      </c>
      <c r="G57" s="503"/>
      <c r="H57" s="504"/>
      <c r="I57" s="505" t="e">
        <f t="shared" si="20"/>
        <v>#DIV/0!</v>
      </c>
      <c r="J57" s="506"/>
      <c r="K57" s="505" t="e">
        <f t="shared" si="21"/>
        <v>#DIV/0!</v>
      </c>
      <c r="L57" s="506"/>
      <c r="M57" s="505" t="e">
        <f>IF(N57="-","-",N57/L57)</f>
        <v>#DIV/0!</v>
      </c>
      <c r="N57" s="507"/>
      <c r="O57" s="490"/>
      <c r="P57" s="491"/>
      <c r="Q57" s="490"/>
      <c r="R57" s="491"/>
      <c r="S57" s="674"/>
      <c r="T57" s="675"/>
      <c r="U57" s="674"/>
      <c r="V57" s="676"/>
      <c r="W57" s="415"/>
    </row>
    <row r="58" spans="2:24" x14ac:dyDescent="0.3">
      <c r="B58" s="838"/>
      <c r="C58" s="841"/>
      <c r="D58" s="863"/>
      <c r="E58" s="738" t="s">
        <v>171</v>
      </c>
      <c r="F58" s="739"/>
      <c r="G58" s="740"/>
      <c r="H58" s="741"/>
      <c r="I58" s="505" t="e">
        <f t="shared" si="20"/>
        <v>#DIV/0!</v>
      </c>
      <c r="J58" s="506"/>
      <c r="K58" s="505" t="e">
        <f t="shared" si="21"/>
        <v>#DIV/0!</v>
      </c>
      <c r="L58" s="506"/>
      <c r="M58" s="505" t="e">
        <f t="shared" ref="M58:M59" si="22">IF(N58="-","-",N58/L58)</f>
        <v>#DIV/0!</v>
      </c>
      <c r="N58" s="507"/>
      <c r="O58" s="744"/>
      <c r="P58" s="745"/>
      <c r="Q58" s="744"/>
      <c r="R58" s="745"/>
      <c r="S58" s="746"/>
      <c r="T58" s="747"/>
      <c r="U58" s="746"/>
      <c r="V58" s="748"/>
      <c r="W58" s="415"/>
    </row>
    <row r="59" spans="2:24" x14ac:dyDescent="0.3">
      <c r="B59" s="838"/>
      <c r="C59" s="841"/>
      <c r="D59" s="863"/>
      <c r="E59" s="738" t="s">
        <v>171</v>
      </c>
      <c r="F59" s="739"/>
      <c r="G59" s="740"/>
      <c r="H59" s="741"/>
      <c r="I59" s="505" t="e">
        <f t="shared" si="20"/>
        <v>#DIV/0!</v>
      </c>
      <c r="J59" s="506"/>
      <c r="K59" s="505" t="e">
        <f t="shared" si="21"/>
        <v>#DIV/0!</v>
      </c>
      <c r="L59" s="506"/>
      <c r="M59" s="505" t="e">
        <f t="shared" si="22"/>
        <v>#DIV/0!</v>
      </c>
      <c r="N59" s="507"/>
      <c r="O59" s="744"/>
      <c r="P59" s="745"/>
      <c r="Q59" s="744"/>
      <c r="R59" s="745"/>
      <c r="S59" s="746"/>
      <c r="T59" s="747"/>
      <c r="U59" s="746"/>
      <c r="V59" s="748"/>
      <c r="W59" s="415"/>
    </row>
    <row r="60" spans="2:24" x14ac:dyDescent="0.3">
      <c r="B60" s="838"/>
      <c r="C60" s="841"/>
      <c r="D60" s="864"/>
      <c r="E60" s="508" t="s">
        <v>171</v>
      </c>
      <c r="F60" s="509" t="s">
        <v>62</v>
      </c>
      <c r="G60" s="510"/>
      <c r="H60" s="511"/>
      <c r="I60" s="512" t="e">
        <f t="shared" si="20"/>
        <v>#DIV/0!</v>
      </c>
      <c r="J60" s="513"/>
      <c r="K60" s="512" t="e">
        <f t="shared" si="21"/>
        <v>#DIV/0!</v>
      </c>
      <c r="L60" s="513"/>
      <c r="M60" s="512" t="e">
        <f>IF(N60="-","-",N60/L60)</f>
        <v>#DIV/0!</v>
      </c>
      <c r="N60" s="514"/>
      <c r="O60" s="492"/>
      <c r="P60" s="493"/>
      <c r="Q60" s="492"/>
      <c r="R60" s="493"/>
      <c r="S60" s="677"/>
      <c r="T60" s="678"/>
      <c r="U60" s="677"/>
      <c r="V60" s="679"/>
      <c r="W60" s="415"/>
      <c r="X60" s="410" t="s">
        <v>146</v>
      </c>
    </row>
    <row r="61" spans="2:24" ht="15.6" x14ac:dyDescent="0.3">
      <c r="B61" s="839"/>
      <c r="C61" s="842"/>
      <c r="D61" s="792" t="s">
        <v>138</v>
      </c>
      <c r="E61" s="407"/>
      <c r="F61" s="408"/>
      <c r="G61" s="25">
        <f>SUM(G54:G60)</f>
        <v>0</v>
      </c>
      <c r="H61" s="26">
        <f>SUM(H54:H60)</f>
        <v>0</v>
      </c>
      <c r="I61" s="27" t="e">
        <f>J61/G61</f>
        <v>#DIV/0!</v>
      </c>
      <c r="J61" s="412">
        <f>SUM(J54:J60)</f>
        <v>0</v>
      </c>
      <c r="K61" s="165" t="e">
        <f>L61/G61</f>
        <v>#DIV/0!</v>
      </c>
      <c r="L61" s="412">
        <f>SUM(L54:L60)</f>
        <v>0</v>
      </c>
      <c r="M61" s="27" t="e">
        <f>N61/L61</f>
        <v>#DIV/0!</v>
      </c>
      <c r="N61" s="412">
        <f t="shared" ref="N61:V61" si="23">SUM(N54:N60)</f>
        <v>0</v>
      </c>
      <c r="O61" s="270">
        <f t="shared" si="23"/>
        <v>0</v>
      </c>
      <c r="P61" s="271">
        <f t="shared" si="23"/>
        <v>0</v>
      </c>
      <c r="Q61" s="270">
        <f t="shared" si="23"/>
        <v>0</v>
      </c>
      <c r="R61" s="271">
        <f t="shared" si="23"/>
        <v>0</v>
      </c>
      <c r="S61" s="270">
        <f t="shared" si="23"/>
        <v>0</v>
      </c>
      <c r="T61" s="271">
        <f t="shared" si="23"/>
        <v>0</v>
      </c>
      <c r="U61" s="270">
        <f t="shared" si="23"/>
        <v>0</v>
      </c>
      <c r="V61" s="272">
        <f t="shared" si="23"/>
        <v>0</v>
      </c>
      <c r="W61" s="415"/>
      <c r="X61" s="410"/>
    </row>
    <row r="62" spans="2:24" x14ac:dyDescent="0.3">
      <c r="B62" s="838" t="s">
        <v>1</v>
      </c>
      <c r="C62" s="841" t="s">
        <v>76</v>
      </c>
      <c r="D62" s="861">
        <v>11</v>
      </c>
      <c r="E62" s="494" t="s">
        <v>27</v>
      </c>
      <c r="F62" s="495" t="s">
        <v>62</v>
      </c>
      <c r="G62" s="496"/>
      <c r="H62" s="497"/>
      <c r="I62" s="498" t="e">
        <f t="shared" ref="I62:I68" si="24">J62/G62</f>
        <v>#DIV/0!</v>
      </c>
      <c r="J62" s="499"/>
      <c r="K62" s="498" t="e">
        <f t="shared" ref="K62:K68" si="25">L62/G62</f>
        <v>#DIV/0!</v>
      </c>
      <c r="L62" s="499"/>
      <c r="M62" s="498" t="e">
        <f>IF(N62="-","-",N62/L62)</f>
        <v>#DIV/0!</v>
      </c>
      <c r="N62" s="500"/>
      <c r="O62" s="488"/>
      <c r="P62" s="489"/>
      <c r="Q62" s="488"/>
      <c r="R62" s="489"/>
      <c r="S62" s="671"/>
      <c r="T62" s="672"/>
      <c r="U62" s="671"/>
      <c r="V62" s="673"/>
      <c r="W62" s="415"/>
    </row>
    <row r="63" spans="2:24" x14ac:dyDescent="0.3">
      <c r="B63" s="838"/>
      <c r="C63" s="841"/>
      <c r="D63" s="862"/>
      <c r="E63" s="501" t="s">
        <v>28</v>
      </c>
      <c r="F63" s="502" t="s">
        <v>62</v>
      </c>
      <c r="G63" s="503"/>
      <c r="H63" s="504"/>
      <c r="I63" s="505" t="e">
        <f>J63/G63</f>
        <v>#DIV/0!</v>
      </c>
      <c r="J63" s="506"/>
      <c r="K63" s="505" t="e">
        <f>L63/G63</f>
        <v>#DIV/0!</v>
      </c>
      <c r="L63" s="506"/>
      <c r="M63" s="505" t="e">
        <f>IF(N63="-","-",N63/L63)</f>
        <v>#DIV/0!</v>
      </c>
      <c r="N63" s="507"/>
      <c r="O63" s="490"/>
      <c r="P63" s="491"/>
      <c r="Q63" s="490"/>
      <c r="R63" s="491"/>
      <c r="S63" s="674"/>
      <c r="T63" s="675"/>
      <c r="U63" s="674"/>
      <c r="V63" s="676"/>
      <c r="W63" s="415"/>
    </row>
    <row r="64" spans="2:24" x14ac:dyDescent="0.3">
      <c r="B64" s="838"/>
      <c r="C64" s="841"/>
      <c r="D64" s="862"/>
      <c r="E64" s="501" t="s">
        <v>29</v>
      </c>
      <c r="F64" s="502" t="s">
        <v>62</v>
      </c>
      <c r="G64" s="503"/>
      <c r="H64" s="504"/>
      <c r="I64" s="505" t="e">
        <f t="shared" si="24"/>
        <v>#DIV/0!</v>
      </c>
      <c r="J64" s="506"/>
      <c r="K64" s="505" t="e">
        <f t="shared" si="25"/>
        <v>#DIV/0!</v>
      </c>
      <c r="L64" s="506"/>
      <c r="M64" s="505" t="e">
        <f>IF(N64="-","-",N64/L64)</f>
        <v>#DIV/0!</v>
      </c>
      <c r="N64" s="507"/>
      <c r="O64" s="490"/>
      <c r="P64" s="491"/>
      <c r="Q64" s="490"/>
      <c r="R64" s="491"/>
      <c r="S64" s="674"/>
      <c r="T64" s="675"/>
      <c r="U64" s="674"/>
      <c r="V64" s="676"/>
      <c r="W64" s="415"/>
    </row>
    <row r="65" spans="2:24" x14ac:dyDescent="0.3">
      <c r="B65" s="838"/>
      <c r="C65" s="841"/>
      <c r="D65" s="862"/>
      <c r="E65" s="501" t="s">
        <v>30</v>
      </c>
      <c r="F65" s="502" t="s">
        <v>62</v>
      </c>
      <c r="G65" s="503"/>
      <c r="H65" s="504"/>
      <c r="I65" s="505" t="e">
        <f t="shared" si="24"/>
        <v>#DIV/0!</v>
      </c>
      <c r="J65" s="506"/>
      <c r="K65" s="505" t="e">
        <f t="shared" si="25"/>
        <v>#DIV/0!</v>
      </c>
      <c r="L65" s="506"/>
      <c r="M65" s="505" t="e">
        <f>IF(N65="-","-",N65/L65)</f>
        <v>#DIV/0!</v>
      </c>
      <c r="N65" s="507"/>
      <c r="O65" s="490"/>
      <c r="P65" s="491"/>
      <c r="Q65" s="490"/>
      <c r="R65" s="491"/>
      <c r="S65" s="674"/>
      <c r="T65" s="675"/>
      <c r="U65" s="674"/>
      <c r="V65" s="676"/>
      <c r="W65" s="415"/>
    </row>
    <row r="66" spans="2:24" x14ac:dyDescent="0.3">
      <c r="B66" s="838"/>
      <c r="C66" s="841"/>
      <c r="D66" s="863"/>
      <c r="E66" s="738"/>
      <c r="F66" s="739"/>
      <c r="G66" s="740"/>
      <c r="H66" s="741"/>
      <c r="I66" s="505" t="e">
        <f t="shared" si="24"/>
        <v>#DIV/0!</v>
      </c>
      <c r="J66" s="742"/>
      <c r="K66" s="505" t="e">
        <f t="shared" si="25"/>
        <v>#DIV/0!</v>
      </c>
      <c r="L66" s="742"/>
      <c r="M66" s="505" t="e">
        <f t="shared" ref="M66:M67" si="26">IF(N66="-","-",N66/L66)</f>
        <v>#DIV/0!</v>
      </c>
      <c r="N66" s="743"/>
      <c r="O66" s="744"/>
      <c r="P66" s="745"/>
      <c r="Q66" s="744"/>
      <c r="R66" s="745"/>
      <c r="S66" s="746"/>
      <c r="T66" s="747"/>
      <c r="U66" s="746"/>
      <c r="V66" s="748"/>
      <c r="W66" s="415"/>
    </row>
    <row r="67" spans="2:24" x14ac:dyDescent="0.3">
      <c r="B67" s="838"/>
      <c r="C67" s="841"/>
      <c r="D67" s="863"/>
      <c r="E67" s="738"/>
      <c r="F67" s="739"/>
      <c r="G67" s="740"/>
      <c r="H67" s="741"/>
      <c r="I67" s="505" t="e">
        <f t="shared" si="24"/>
        <v>#DIV/0!</v>
      </c>
      <c r="J67" s="742"/>
      <c r="K67" s="505" t="e">
        <f t="shared" si="25"/>
        <v>#DIV/0!</v>
      </c>
      <c r="L67" s="742"/>
      <c r="M67" s="505" t="e">
        <f t="shared" si="26"/>
        <v>#DIV/0!</v>
      </c>
      <c r="N67" s="743"/>
      <c r="O67" s="744"/>
      <c r="P67" s="745"/>
      <c r="Q67" s="744"/>
      <c r="R67" s="745"/>
      <c r="S67" s="746"/>
      <c r="T67" s="747"/>
      <c r="U67" s="746"/>
      <c r="V67" s="748"/>
      <c r="W67" s="415"/>
    </row>
    <row r="68" spans="2:24" x14ac:dyDescent="0.3">
      <c r="B68" s="838"/>
      <c r="C68" s="841"/>
      <c r="D68" s="864"/>
      <c r="E68" s="508" t="s">
        <v>31</v>
      </c>
      <c r="F68" s="509" t="s">
        <v>62</v>
      </c>
      <c r="G68" s="510"/>
      <c r="H68" s="511"/>
      <c r="I68" s="512" t="e">
        <f t="shared" si="24"/>
        <v>#DIV/0!</v>
      </c>
      <c r="J68" s="513"/>
      <c r="K68" s="512" t="e">
        <f t="shared" si="25"/>
        <v>#DIV/0!</v>
      </c>
      <c r="L68" s="513"/>
      <c r="M68" s="512" t="e">
        <f>IF(N68="-","-",N68/L68)</f>
        <v>#DIV/0!</v>
      </c>
      <c r="N68" s="514"/>
      <c r="O68" s="492"/>
      <c r="P68" s="493"/>
      <c r="Q68" s="492"/>
      <c r="R68" s="493"/>
      <c r="S68" s="677"/>
      <c r="T68" s="678"/>
      <c r="U68" s="677"/>
      <c r="V68" s="679"/>
      <c r="W68" s="415"/>
      <c r="X68" s="410" t="s">
        <v>146</v>
      </c>
    </row>
    <row r="69" spans="2:24" ht="15.6" x14ac:dyDescent="0.3">
      <c r="B69" s="839"/>
      <c r="C69" s="842"/>
      <c r="D69" s="552" t="s">
        <v>138</v>
      </c>
      <c r="E69" s="407"/>
      <c r="F69" s="408"/>
      <c r="G69" s="25">
        <f>SUM(G62:G68)</f>
        <v>0</v>
      </c>
      <c r="H69" s="26">
        <f>SUM(H62:H68)</f>
        <v>0</v>
      </c>
      <c r="I69" s="27" t="e">
        <f>J69/G69</f>
        <v>#DIV/0!</v>
      </c>
      <c r="J69" s="412">
        <f>SUM(J62:J68)</f>
        <v>0</v>
      </c>
      <c r="K69" s="165" t="e">
        <f>L69/G69</f>
        <v>#DIV/0!</v>
      </c>
      <c r="L69" s="412">
        <f>SUM(L62:L68)</f>
        <v>0</v>
      </c>
      <c r="M69" s="27" t="e">
        <f>N69/L69</f>
        <v>#DIV/0!</v>
      </c>
      <c r="N69" s="412">
        <f t="shared" ref="N69:V69" si="27">SUM(N62:N68)</f>
        <v>0</v>
      </c>
      <c r="O69" s="270">
        <f t="shared" si="27"/>
        <v>0</v>
      </c>
      <c r="P69" s="271">
        <f t="shared" si="27"/>
        <v>0</v>
      </c>
      <c r="Q69" s="270">
        <f t="shared" si="27"/>
        <v>0</v>
      </c>
      <c r="R69" s="271">
        <f t="shared" si="27"/>
        <v>0</v>
      </c>
      <c r="S69" s="270">
        <f t="shared" si="27"/>
        <v>0</v>
      </c>
      <c r="T69" s="271">
        <f t="shared" si="27"/>
        <v>0</v>
      </c>
      <c r="U69" s="270">
        <f t="shared" si="27"/>
        <v>0</v>
      </c>
      <c r="V69" s="272">
        <f t="shared" si="27"/>
        <v>0</v>
      </c>
      <c r="W69" s="415"/>
      <c r="X69" s="410"/>
    </row>
    <row r="70" spans="2:24" ht="15" customHeight="1" x14ac:dyDescent="0.3">
      <c r="B70" s="843" t="s">
        <v>45</v>
      </c>
      <c r="C70" s="806" t="s">
        <v>76</v>
      </c>
      <c r="D70" s="872">
        <v>17</v>
      </c>
      <c r="E70" s="189" t="s">
        <v>32</v>
      </c>
      <c r="F70" s="190" t="s">
        <v>62</v>
      </c>
      <c r="G70" s="180"/>
      <c r="H70" s="149"/>
      <c r="I70" s="145" t="e">
        <f t="shared" si="14"/>
        <v>#DIV/0!</v>
      </c>
      <c r="J70" s="436"/>
      <c r="K70" s="145" t="e">
        <f t="shared" si="15"/>
        <v>#DIV/0!</v>
      </c>
      <c r="L70" s="436"/>
      <c r="M70" s="145" t="e">
        <f t="shared" si="16"/>
        <v>#DIV/0!</v>
      </c>
      <c r="N70" s="200"/>
      <c r="O70" s="205"/>
      <c r="P70" s="206"/>
      <c r="Q70" s="205"/>
      <c r="R70" s="206"/>
      <c r="S70" s="662"/>
      <c r="T70" s="663"/>
      <c r="U70" s="662"/>
      <c r="V70" s="664"/>
      <c r="W70" s="415"/>
      <c r="X70" s="410"/>
    </row>
    <row r="71" spans="2:24" ht="15" customHeight="1" x14ac:dyDescent="0.3">
      <c r="B71" s="838"/>
      <c r="C71" s="807"/>
      <c r="D71" s="873"/>
      <c r="E71" s="191" t="s">
        <v>33</v>
      </c>
      <c r="F71" s="187" t="s">
        <v>62</v>
      </c>
      <c r="G71" s="183"/>
      <c r="H71" s="155"/>
      <c r="I71" s="151" t="e">
        <f t="shared" si="14"/>
        <v>#DIV/0!</v>
      </c>
      <c r="J71" s="437"/>
      <c r="K71" s="151" t="e">
        <f t="shared" si="15"/>
        <v>#DIV/0!</v>
      </c>
      <c r="L71" s="437"/>
      <c r="M71" s="151" t="e">
        <f t="shared" si="16"/>
        <v>#DIV/0!</v>
      </c>
      <c r="N71" s="201"/>
      <c r="O71" s="207"/>
      <c r="P71" s="208"/>
      <c r="Q71" s="207"/>
      <c r="R71" s="208"/>
      <c r="S71" s="665"/>
      <c r="T71" s="666"/>
      <c r="U71" s="665"/>
      <c r="V71" s="667"/>
      <c r="W71" s="415"/>
      <c r="X71" s="410"/>
    </row>
    <row r="72" spans="2:24" ht="15" customHeight="1" x14ac:dyDescent="0.3">
      <c r="B72" s="838"/>
      <c r="C72" s="807"/>
      <c r="D72" s="873"/>
      <c r="E72" s="191" t="s">
        <v>47</v>
      </c>
      <c r="F72" s="187" t="s">
        <v>62</v>
      </c>
      <c r="G72" s="183"/>
      <c r="H72" s="155"/>
      <c r="I72" s="151" t="e">
        <f t="shared" si="14"/>
        <v>#DIV/0!</v>
      </c>
      <c r="J72" s="437"/>
      <c r="K72" s="151" t="e">
        <f t="shared" si="15"/>
        <v>#DIV/0!</v>
      </c>
      <c r="L72" s="437"/>
      <c r="M72" s="151" t="e">
        <f t="shared" si="16"/>
        <v>#DIV/0!</v>
      </c>
      <c r="N72" s="201"/>
      <c r="O72" s="207"/>
      <c r="P72" s="208"/>
      <c r="Q72" s="207"/>
      <c r="R72" s="208"/>
      <c r="S72" s="665"/>
      <c r="T72" s="666"/>
      <c r="U72" s="665"/>
      <c r="V72" s="667"/>
      <c r="W72" s="415"/>
      <c r="X72" s="410"/>
    </row>
    <row r="73" spans="2:24" ht="15" customHeight="1" x14ac:dyDescent="0.3">
      <c r="B73" s="838"/>
      <c r="C73" s="807"/>
      <c r="D73" s="873"/>
      <c r="E73" s="191" t="s">
        <v>46</v>
      </c>
      <c r="F73" s="187" t="s">
        <v>62</v>
      </c>
      <c r="G73" s="183"/>
      <c r="H73" s="155"/>
      <c r="I73" s="151" t="e">
        <f t="shared" si="14"/>
        <v>#DIV/0!</v>
      </c>
      <c r="J73" s="437"/>
      <c r="K73" s="151" t="e">
        <f t="shared" si="15"/>
        <v>#DIV/0!</v>
      </c>
      <c r="L73" s="437"/>
      <c r="M73" s="151" t="str">
        <f>IF(N73=0,"-",N73/L73)</f>
        <v>-</v>
      </c>
      <c r="N73" s="201"/>
      <c r="O73" s="207"/>
      <c r="P73" s="208"/>
      <c r="Q73" s="207"/>
      <c r="R73" s="208"/>
      <c r="S73" s="665"/>
      <c r="T73" s="666"/>
      <c r="U73" s="665"/>
      <c r="V73" s="667"/>
      <c r="W73" s="415"/>
      <c r="X73" s="410"/>
    </row>
    <row r="74" spans="2:24" ht="15" customHeight="1" x14ac:dyDescent="0.3">
      <c r="B74" s="838"/>
      <c r="C74" s="807"/>
      <c r="D74" s="873"/>
      <c r="E74" s="191" t="s">
        <v>35</v>
      </c>
      <c r="F74" s="187" t="s">
        <v>62</v>
      </c>
      <c r="G74" s="183"/>
      <c r="H74" s="155"/>
      <c r="I74" s="151" t="e">
        <f t="shared" si="14"/>
        <v>#DIV/0!</v>
      </c>
      <c r="J74" s="437"/>
      <c r="K74" s="151" t="e">
        <f t="shared" si="15"/>
        <v>#DIV/0!</v>
      </c>
      <c r="L74" s="437"/>
      <c r="M74" s="151" t="e">
        <f t="shared" si="16"/>
        <v>#DIV/0!</v>
      </c>
      <c r="N74" s="201"/>
      <c r="O74" s="207"/>
      <c r="P74" s="208"/>
      <c r="Q74" s="207"/>
      <c r="R74" s="208"/>
      <c r="S74" s="665"/>
      <c r="T74" s="666"/>
      <c r="U74" s="665"/>
      <c r="V74" s="667"/>
      <c r="W74" s="415"/>
      <c r="X74" s="410"/>
    </row>
    <row r="75" spans="2:24" ht="15" customHeight="1" x14ac:dyDescent="0.3">
      <c r="B75" s="838"/>
      <c r="C75" s="807"/>
      <c r="D75" s="873"/>
      <c r="E75" s="191" t="s">
        <v>34</v>
      </c>
      <c r="F75" s="187" t="s">
        <v>62</v>
      </c>
      <c r="G75" s="183"/>
      <c r="H75" s="155"/>
      <c r="I75" s="151" t="e">
        <f t="shared" si="14"/>
        <v>#DIV/0!</v>
      </c>
      <c r="J75" s="437"/>
      <c r="K75" s="151" t="e">
        <f t="shared" si="15"/>
        <v>#DIV/0!</v>
      </c>
      <c r="L75" s="437"/>
      <c r="M75" s="151" t="e">
        <f t="shared" si="16"/>
        <v>#DIV/0!</v>
      </c>
      <c r="N75" s="201"/>
      <c r="O75" s="207"/>
      <c r="P75" s="208"/>
      <c r="Q75" s="207"/>
      <c r="R75" s="208"/>
      <c r="S75" s="665"/>
      <c r="T75" s="666"/>
      <c r="U75" s="665"/>
      <c r="V75" s="667"/>
      <c r="W75" s="415"/>
      <c r="X75" s="410"/>
    </row>
    <row r="76" spans="2:24" ht="15.75" customHeight="1" x14ac:dyDescent="0.3">
      <c r="B76" s="838"/>
      <c r="C76" s="807"/>
      <c r="D76" s="873"/>
      <c r="E76" s="191" t="s">
        <v>148</v>
      </c>
      <c r="F76" s="187"/>
      <c r="G76" s="183"/>
      <c r="H76" s="155"/>
      <c r="I76" s="151" t="e">
        <f t="shared" si="14"/>
        <v>#DIV/0!</v>
      </c>
      <c r="J76" s="437"/>
      <c r="K76" s="151" t="e">
        <f t="shared" si="15"/>
        <v>#DIV/0!</v>
      </c>
      <c r="L76" s="437"/>
      <c r="M76" s="151" t="e">
        <f t="shared" si="16"/>
        <v>#DIV/0!</v>
      </c>
      <c r="N76" s="201"/>
      <c r="O76" s="207"/>
      <c r="P76" s="208"/>
      <c r="Q76" s="207"/>
      <c r="R76" s="208"/>
      <c r="S76" s="665"/>
      <c r="T76" s="666"/>
      <c r="U76" s="665"/>
      <c r="V76" s="667"/>
      <c r="W76" s="415"/>
      <c r="X76" s="410"/>
    </row>
    <row r="77" spans="2:24" ht="15.75" customHeight="1" x14ac:dyDescent="0.3">
      <c r="B77" s="838"/>
      <c r="C77" s="807"/>
      <c r="D77" s="873"/>
      <c r="E77" s="724"/>
      <c r="F77" s="759"/>
      <c r="G77" s="722"/>
      <c r="H77" s="723"/>
      <c r="I77" s="151" t="e">
        <f t="shared" si="14"/>
        <v>#DIV/0!</v>
      </c>
      <c r="J77" s="721"/>
      <c r="K77" s="151" t="e">
        <f t="shared" si="15"/>
        <v>#DIV/0!</v>
      </c>
      <c r="L77" s="721"/>
      <c r="M77" s="151" t="e">
        <f t="shared" si="16"/>
        <v>#DIV/0!</v>
      </c>
      <c r="N77" s="703"/>
      <c r="O77" s="687"/>
      <c r="P77" s="688"/>
      <c r="Q77" s="687"/>
      <c r="R77" s="688"/>
      <c r="S77" s="735"/>
      <c r="T77" s="736"/>
      <c r="U77" s="735"/>
      <c r="V77" s="737"/>
      <c r="W77" s="415"/>
      <c r="X77" s="410"/>
    </row>
    <row r="78" spans="2:24" ht="15.75" customHeight="1" x14ac:dyDescent="0.3">
      <c r="B78" s="838"/>
      <c r="C78" s="807"/>
      <c r="D78" s="873"/>
      <c r="E78" s="724"/>
      <c r="F78" s="759"/>
      <c r="G78" s="722"/>
      <c r="H78" s="723"/>
      <c r="I78" s="151" t="e">
        <f t="shared" si="14"/>
        <v>#DIV/0!</v>
      </c>
      <c r="J78" s="721"/>
      <c r="K78" s="151" t="e">
        <f t="shared" si="15"/>
        <v>#DIV/0!</v>
      </c>
      <c r="L78" s="721"/>
      <c r="M78" s="151" t="e">
        <f t="shared" si="16"/>
        <v>#DIV/0!</v>
      </c>
      <c r="N78" s="703"/>
      <c r="O78" s="687"/>
      <c r="P78" s="688"/>
      <c r="Q78" s="687"/>
      <c r="R78" s="688"/>
      <c r="S78" s="735"/>
      <c r="T78" s="736"/>
      <c r="U78" s="735"/>
      <c r="V78" s="737"/>
      <c r="W78" s="415"/>
      <c r="X78" s="410"/>
    </row>
    <row r="79" spans="2:24" ht="15.75" customHeight="1" x14ac:dyDescent="0.3">
      <c r="B79" s="838"/>
      <c r="C79" s="807"/>
      <c r="D79" s="874"/>
      <c r="E79" s="192" t="s">
        <v>147</v>
      </c>
      <c r="F79" s="188"/>
      <c r="G79" s="186"/>
      <c r="H79" s="163"/>
      <c r="I79" s="159" t="e">
        <f t="shared" si="14"/>
        <v>#DIV/0!</v>
      </c>
      <c r="J79" s="435"/>
      <c r="K79" s="159" t="e">
        <f t="shared" si="15"/>
        <v>#DIV/0!</v>
      </c>
      <c r="L79" s="435"/>
      <c r="M79" s="159" t="e">
        <f t="shared" si="16"/>
        <v>#DIV/0!</v>
      </c>
      <c r="N79" s="202"/>
      <c r="O79" s="209"/>
      <c r="P79" s="210"/>
      <c r="Q79" s="209"/>
      <c r="R79" s="210"/>
      <c r="S79" s="668"/>
      <c r="T79" s="669"/>
      <c r="U79" s="668"/>
      <c r="V79" s="670"/>
      <c r="W79" s="415"/>
      <c r="X79" s="410"/>
    </row>
    <row r="80" spans="2:24" ht="15.6" x14ac:dyDescent="0.3">
      <c r="B80" s="839"/>
      <c r="C80" s="808"/>
      <c r="D80" s="558" t="s">
        <v>138</v>
      </c>
      <c r="E80" s="409"/>
      <c r="F80" s="408"/>
      <c r="G80" s="25">
        <f>SUM(G70:G79)</f>
        <v>0</v>
      </c>
      <c r="H80" s="26">
        <f>SUM(H70:H79)</f>
        <v>0</v>
      </c>
      <c r="I80" s="27" t="e">
        <f>J80/G80</f>
        <v>#DIV/0!</v>
      </c>
      <c r="J80" s="412">
        <f>SUM(J70:J79)</f>
        <v>0</v>
      </c>
      <c r="K80" s="165" t="e">
        <f>L80/G80</f>
        <v>#DIV/0!</v>
      </c>
      <c r="L80" s="412">
        <f>SUM(L70:L79)</f>
        <v>0</v>
      </c>
      <c r="M80" s="27" t="e">
        <f>N80/L80</f>
        <v>#DIV/0!</v>
      </c>
      <c r="N80" s="412">
        <f>SUM(N70:N79)</f>
        <v>0</v>
      </c>
      <c r="O80" s="270">
        <f>SUM(O70:O79)</f>
        <v>0</v>
      </c>
      <c r="P80" s="271">
        <f t="shared" ref="P80" si="28">SUM(P70:P79)</f>
        <v>0</v>
      </c>
      <c r="Q80" s="270">
        <f>SUM(Q70:Q79)</f>
        <v>0</v>
      </c>
      <c r="R80" s="271">
        <f t="shared" ref="R80:V80" si="29">SUM(R70:R79)</f>
        <v>0</v>
      </c>
      <c r="S80" s="270">
        <f>SUM(S70:S79)</f>
        <v>0</v>
      </c>
      <c r="T80" s="271">
        <f t="shared" si="29"/>
        <v>0</v>
      </c>
      <c r="U80" s="270">
        <f t="shared" si="29"/>
        <v>0</v>
      </c>
      <c r="V80" s="272">
        <f t="shared" si="29"/>
        <v>0</v>
      </c>
      <c r="W80" s="415"/>
      <c r="X80" s="410"/>
    </row>
    <row r="81" spans="2:24" x14ac:dyDescent="0.3">
      <c r="B81" s="847" t="s">
        <v>152</v>
      </c>
      <c r="C81" s="850" t="s">
        <v>76</v>
      </c>
      <c r="D81" s="855">
        <v>23</v>
      </c>
      <c r="E81" s="189" t="s">
        <v>155</v>
      </c>
      <c r="F81" s="190"/>
      <c r="G81" s="565">
        <v>5</v>
      </c>
      <c r="H81" s="566">
        <v>4</v>
      </c>
      <c r="I81" s="151">
        <f t="shared" si="14"/>
        <v>0</v>
      </c>
      <c r="J81" s="436">
        <v>0</v>
      </c>
      <c r="K81" s="151">
        <f t="shared" si="15"/>
        <v>0.2</v>
      </c>
      <c r="L81" s="436">
        <v>1</v>
      </c>
      <c r="M81" s="151">
        <f t="shared" si="16"/>
        <v>0</v>
      </c>
      <c r="N81" s="200">
        <v>0</v>
      </c>
      <c r="O81" s="205">
        <v>0</v>
      </c>
      <c r="P81" s="206">
        <v>0</v>
      </c>
      <c r="Q81" s="205">
        <v>0</v>
      </c>
      <c r="R81" s="206">
        <v>0</v>
      </c>
      <c r="S81" s="662">
        <v>5</v>
      </c>
      <c r="T81" s="663">
        <v>4</v>
      </c>
      <c r="U81" s="662">
        <v>0</v>
      </c>
      <c r="V81" s="664">
        <v>0</v>
      </c>
      <c r="W81" s="562"/>
      <c r="X81" s="446"/>
    </row>
    <row r="82" spans="2:24" ht="15.75" customHeight="1" x14ac:dyDescent="0.3">
      <c r="B82" s="848"/>
      <c r="C82" s="851"/>
      <c r="D82" s="856"/>
      <c r="E82" s="191" t="s">
        <v>156</v>
      </c>
      <c r="F82" s="187"/>
      <c r="G82" s="567">
        <v>14</v>
      </c>
      <c r="H82" s="568">
        <v>6</v>
      </c>
      <c r="I82" s="151">
        <f t="shared" si="14"/>
        <v>0.5</v>
      </c>
      <c r="J82" s="437">
        <v>7</v>
      </c>
      <c r="K82" s="151">
        <f t="shared" si="15"/>
        <v>0.14285714285714285</v>
      </c>
      <c r="L82" s="437">
        <v>2</v>
      </c>
      <c r="M82" s="151">
        <f t="shared" si="16"/>
        <v>0.5</v>
      </c>
      <c r="N82" s="201">
        <v>1</v>
      </c>
      <c r="O82" s="207">
        <v>0</v>
      </c>
      <c r="P82" s="208">
        <v>0</v>
      </c>
      <c r="Q82" s="207">
        <v>3</v>
      </c>
      <c r="R82" s="208">
        <v>3</v>
      </c>
      <c r="S82" s="665">
        <v>14</v>
      </c>
      <c r="T82" s="666">
        <v>6</v>
      </c>
      <c r="U82" s="665">
        <v>3</v>
      </c>
      <c r="V82" s="667">
        <v>3</v>
      </c>
      <c r="W82" s="563"/>
      <c r="X82" s="448"/>
    </row>
    <row r="83" spans="2:24" ht="15.75" customHeight="1" x14ac:dyDescent="0.3">
      <c r="B83" s="848"/>
      <c r="C83" s="851"/>
      <c r="D83" s="856"/>
      <c r="E83" s="191" t="s">
        <v>157</v>
      </c>
      <c r="F83" s="187"/>
      <c r="G83" s="567">
        <v>8</v>
      </c>
      <c r="H83" s="568">
        <v>3</v>
      </c>
      <c r="I83" s="151">
        <f t="shared" si="14"/>
        <v>0.5</v>
      </c>
      <c r="J83" s="437">
        <v>4</v>
      </c>
      <c r="K83" s="151">
        <f t="shared" si="15"/>
        <v>0.375</v>
      </c>
      <c r="L83" s="437">
        <v>3</v>
      </c>
      <c r="M83" s="151">
        <f t="shared" si="16"/>
        <v>0.66666666666666663</v>
      </c>
      <c r="N83" s="201">
        <v>2</v>
      </c>
      <c r="O83" s="207">
        <v>0</v>
      </c>
      <c r="P83" s="208">
        <v>0</v>
      </c>
      <c r="Q83" s="207">
        <v>3</v>
      </c>
      <c r="R83" s="208">
        <v>1</v>
      </c>
      <c r="S83" s="665">
        <v>8</v>
      </c>
      <c r="T83" s="666">
        <v>3</v>
      </c>
      <c r="U83" s="665">
        <v>3</v>
      </c>
      <c r="V83" s="667">
        <v>1</v>
      </c>
      <c r="W83" s="563"/>
      <c r="X83" s="448"/>
    </row>
    <row r="84" spans="2:24" ht="15" customHeight="1" x14ac:dyDescent="0.3">
      <c r="B84" s="848"/>
      <c r="C84" s="851"/>
      <c r="D84" s="856"/>
      <c r="E84" s="191" t="s">
        <v>37</v>
      </c>
      <c r="F84" s="517" t="s">
        <v>60</v>
      </c>
      <c r="G84" s="183">
        <v>458</v>
      </c>
      <c r="H84" s="155">
        <v>230</v>
      </c>
      <c r="I84" s="151">
        <f t="shared" si="14"/>
        <v>0.27292576419213976</v>
      </c>
      <c r="J84" s="437">
        <v>125</v>
      </c>
      <c r="K84" s="151">
        <f t="shared" si="15"/>
        <v>0.29039301310043669</v>
      </c>
      <c r="L84" s="437">
        <v>133</v>
      </c>
      <c r="M84" s="151">
        <f t="shared" si="16"/>
        <v>0.33834586466165412</v>
      </c>
      <c r="N84" s="201">
        <v>45</v>
      </c>
      <c r="O84" s="207">
        <v>32</v>
      </c>
      <c r="P84" s="208">
        <v>15</v>
      </c>
      <c r="Q84" s="207">
        <v>84</v>
      </c>
      <c r="R84" s="208">
        <v>32</v>
      </c>
      <c r="S84" s="665">
        <v>519</v>
      </c>
      <c r="T84" s="666">
        <v>247</v>
      </c>
      <c r="U84" s="665">
        <v>23</v>
      </c>
      <c r="V84" s="667">
        <v>15</v>
      </c>
      <c r="W84" s="563"/>
      <c r="X84" s="448"/>
    </row>
    <row r="85" spans="2:24" ht="15" customHeight="1" x14ac:dyDescent="0.3">
      <c r="B85" s="848"/>
      <c r="C85" s="851"/>
      <c r="D85" s="856"/>
      <c r="E85" s="191" t="s">
        <v>158</v>
      </c>
      <c r="F85" s="517" t="s">
        <v>62</v>
      </c>
      <c r="G85" s="183">
        <v>283</v>
      </c>
      <c r="H85" s="155">
        <v>161</v>
      </c>
      <c r="I85" s="151">
        <f t="shared" si="14"/>
        <v>0.52296819787985871</v>
      </c>
      <c r="J85" s="437">
        <v>148</v>
      </c>
      <c r="K85" s="151">
        <f t="shared" si="15"/>
        <v>0.38162544169611307</v>
      </c>
      <c r="L85" s="437">
        <v>108</v>
      </c>
      <c r="M85" s="151">
        <f t="shared" si="16"/>
        <v>0.67592592592592593</v>
      </c>
      <c r="N85" s="201">
        <v>73</v>
      </c>
      <c r="O85" s="207">
        <v>7</v>
      </c>
      <c r="P85" s="208">
        <v>4</v>
      </c>
      <c r="Q85" s="207">
        <v>8</v>
      </c>
      <c r="R85" s="208">
        <v>5</v>
      </c>
      <c r="S85" s="665">
        <v>283</v>
      </c>
      <c r="T85" s="666">
        <v>160</v>
      </c>
      <c r="U85" s="665">
        <v>8</v>
      </c>
      <c r="V85" s="667">
        <v>6</v>
      </c>
      <c r="W85" s="563"/>
      <c r="X85" s="448"/>
    </row>
    <row r="86" spans="2:24" ht="15" customHeight="1" x14ac:dyDescent="0.3">
      <c r="B86" s="848"/>
      <c r="C86" s="851"/>
      <c r="D86" s="856"/>
      <c r="E86" s="191" t="s">
        <v>38</v>
      </c>
      <c r="F86" s="517" t="s">
        <v>62</v>
      </c>
      <c r="G86" s="183">
        <v>312</v>
      </c>
      <c r="H86" s="155">
        <v>170</v>
      </c>
      <c r="I86" s="151">
        <f t="shared" si="14"/>
        <v>0.40064102564102566</v>
      </c>
      <c r="J86" s="437">
        <v>125</v>
      </c>
      <c r="K86" s="151">
        <f t="shared" si="15"/>
        <v>0.30448717948717946</v>
      </c>
      <c r="L86" s="437">
        <v>95</v>
      </c>
      <c r="M86" s="151">
        <f t="shared" si="16"/>
        <v>0.48421052631578948</v>
      </c>
      <c r="N86" s="201">
        <v>46</v>
      </c>
      <c r="O86" s="207">
        <v>21</v>
      </c>
      <c r="P86" s="208">
        <v>10</v>
      </c>
      <c r="Q86" s="207">
        <v>45</v>
      </c>
      <c r="R86" s="208">
        <v>22</v>
      </c>
      <c r="S86" s="665">
        <v>306</v>
      </c>
      <c r="T86" s="666">
        <v>167</v>
      </c>
      <c r="U86" s="665">
        <v>51</v>
      </c>
      <c r="V86" s="667">
        <v>25</v>
      </c>
      <c r="W86" s="563"/>
      <c r="X86" s="448"/>
    </row>
    <row r="87" spans="2:24" ht="15" customHeight="1" x14ac:dyDescent="0.3">
      <c r="B87" s="848"/>
      <c r="C87" s="851"/>
      <c r="D87" s="856"/>
      <c r="E87" s="191" t="s">
        <v>159</v>
      </c>
      <c r="F87" s="517"/>
      <c r="G87" s="183">
        <v>110</v>
      </c>
      <c r="H87" s="155">
        <v>68</v>
      </c>
      <c r="I87" s="151">
        <f t="shared" si="14"/>
        <v>0.42727272727272725</v>
      </c>
      <c r="J87" s="437">
        <v>47</v>
      </c>
      <c r="K87" s="151">
        <f t="shared" si="15"/>
        <v>0.36363636363636365</v>
      </c>
      <c r="L87" s="437">
        <v>40</v>
      </c>
      <c r="M87" s="151">
        <f t="shared" si="16"/>
        <v>0.5</v>
      </c>
      <c r="N87" s="201">
        <v>20</v>
      </c>
      <c r="O87" s="207">
        <v>6</v>
      </c>
      <c r="P87" s="208">
        <v>6</v>
      </c>
      <c r="Q87" s="207">
        <v>3</v>
      </c>
      <c r="R87" s="208">
        <v>0</v>
      </c>
      <c r="S87" s="665">
        <v>77</v>
      </c>
      <c r="T87" s="666">
        <v>47</v>
      </c>
      <c r="U87" s="665">
        <v>36</v>
      </c>
      <c r="V87" s="667">
        <v>21</v>
      </c>
      <c r="W87" s="563"/>
      <c r="X87" s="448"/>
    </row>
    <row r="88" spans="2:24" ht="15" customHeight="1" x14ac:dyDescent="0.3">
      <c r="B88" s="848"/>
      <c r="C88" s="851"/>
      <c r="D88" s="856"/>
      <c r="E88" s="191" t="s">
        <v>149</v>
      </c>
      <c r="F88" s="517"/>
      <c r="G88" s="183">
        <v>52</v>
      </c>
      <c r="H88" s="155">
        <v>30</v>
      </c>
      <c r="I88" s="151">
        <f t="shared" si="14"/>
        <v>0.40384615384615385</v>
      </c>
      <c r="J88" s="437">
        <v>21</v>
      </c>
      <c r="K88" s="151">
        <f t="shared" si="15"/>
        <v>0.32692307692307693</v>
      </c>
      <c r="L88" s="437">
        <v>17</v>
      </c>
      <c r="M88" s="151">
        <f t="shared" si="16"/>
        <v>0.47058823529411764</v>
      </c>
      <c r="N88" s="201">
        <v>8</v>
      </c>
      <c r="O88" s="207">
        <v>0</v>
      </c>
      <c r="P88" s="208">
        <v>0</v>
      </c>
      <c r="Q88" s="207">
        <v>1</v>
      </c>
      <c r="R88" s="208">
        <v>1</v>
      </c>
      <c r="S88" s="665">
        <v>46</v>
      </c>
      <c r="T88" s="666">
        <v>28</v>
      </c>
      <c r="U88" s="665">
        <v>7</v>
      </c>
      <c r="V88" s="667">
        <v>3</v>
      </c>
      <c r="W88" s="563"/>
      <c r="X88" s="448"/>
    </row>
    <row r="89" spans="2:24" ht="15" customHeight="1" x14ac:dyDescent="0.3">
      <c r="B89" s="848"/>
      <c r="C89" s="851"/>
      <c r="D89" s="856"/>
      <c r="E89" s="920" t="s">
        <v>150</v>
      </c>
      <c r="F89" s="517"/>
      <c r="G89" s="183"/>
      <c r="H89" s="155"/>
      <c r="I89" s="151"/>
      <c r="J89" s="437"/>
      <c r="K89" s="151"/>
      <c r="L89" s="437"/>
      <c r="M89" s="151"/>
      <c r="N89" s="201"/>
      <c r="O89" s="207"/>
      <c r="P89" s="208"/>
      <c r="Q89" s="207"/>
      <c r="R89" s="208"/>
      <c r="S89" s="665"/>
      <c r="T89" s="666"/>
      <c r="U89" s="665"/>
      <c r="V89" s="667"/>
      <c r="W89" s="563"/>
      <c r="X89" s="448"/>
    </row>
    <row r="90" spans="2:24" ht="15" customHeight="1" x14ac:dyDescent="0.3">
      <c r="B90" s="848"/>
      <c r="C90" s="851"/>
      <c r="D90" s="856"/>
      <c r="E90" s="920"/>
      <c r="F90" s="517"/>
      <c r="G90" s="183"/>
      <c r="H90" s="155"/>
      <c r="I90" s="151"/>
      <c r="J90" s="437"/>
      <c r="K90" s="151"/>
      <c r="L90" s="437"/>
      <c r="M90" s="151"/>
      <c r="N90" s="201"/>
      <c r="O90" s="207"/>
      <c r="P90" s="208"/>
      <c r="Q90" s="207"/>
      <c r="R90" s="208"/>
      <c r="S90" s="665"/>
      <c r="T90" s="666"/>
      <c r="U90" s="665"/>
      <c r="V90" s="667"/>
      <c r="W90" s="563"/>
      <c r="X90" s="448"/>
    </row>
    <row r="91" spans="2:24" ht="15" customHeight="1" x14ac:dyDescent="0.3">
      <c r="B91" s="848"/>
      <c r="C91" s="851"/>
      <c r="D91" s="856"/>
      <c r="E91" s="920"/>
      <c r="F91" s="517"/>
      <c r="G91" s="183"/>
      <c r="H91" s="155"/>
      <c r="I91" s="151"/>
      <c r="J91" s="437"/>
      <c r="K91" s="151"/>
      <c r="L91" s="437"/>
      <c r="M91" s="151"/>
      <c r="N91" s="201"/>
      <c r="O91" s="207"/>
      <c r="P91" s="208"/>
      <c r="Q91" s="207"/>
      <c r="R91" s="208"/>
      <c r="S91" s="665"/>
      <c r="T91" s="666"/>
      <c r="U91" s="665"/>
      <c r="V91" s="667"/>
      <c r="W91" s="563"/>
      <c r="X91" s="448"/>
    </row>
    <row r="92" spans="2:24" ht="15" customHeight="1" x14ac:dyDescent="0.3">
      <c r="B92" s="848"/>
      <c r="C92" s="851"/>
      <c r="D92" s="857"/>
      <c r="E92" s="920" t="s">
        <v>153</v>
      </c>
      <c r="F92" s="517"/>
      <c r="G92" s="183"/>
      <c r="H92" s="155"/>
      <c r="I92" s="151"/>
      <c r="J92" s="437"/>
      <c r="K92" s="151"/>
      <c r="L92" s="437"/>
      <c r="M92" s="151"/>
      <c r="N92" s="201"/>
      <c r="O92" s="207"/>
      <c r="P92" s="208"/>
      <c r="Q92" s="207"/>
      <c r="R92" s="208"/>
      <c r="S92" s="665"/>
      <c r="T92" s="666"/>
      <c r="U92" s="665"/>
      <c r="V92" s="667"/>
      <c r="W92" s="563"/>
      <c r="X92" s="448"/>
    </row>
    <row r="93" spans="2:24" ht="15.6" x14ac:dyDescent="0.3">
      <c r="B93" s="849"/>
      <c r="C93" s="852"/>
      <c r="D93" s="554" t="s">
        <v>138</v>
      </c>
      <c r="E93" s="73"/>
      <c r="F93" s="531"/>
      <c r="G93" s="19">
        <v>1242</v>
      </c>
      <c r="H93" s="20">
        <v>672</v>
      </c>
      <c r="I93" s="21">
        <f>J93/G93</f>
        <v>0.38405797101449274</v>
      </c>
      <c r="J93" s="534">
        <v>477</v>
      </c>
      <c r="K93" s="159">
        <f>L93/G93</f>
        <v>0.32125603864734298</v>
      </c>
      <c r="L93" s="534">
        <v>399</v>
      </c>
      <c r="M93" s="21">
        <f>N93/L93</f>
        <v>0.48872180451127817</v>
      </c>
      <c r="N93" s="534">
        <v>195</v>
      </c>
      <c r="O93" s="161">
        <v>66</v>
      </c>
      <c r="P93" s="158">
        <v>35</v>
      </c>
      <c r="Q93" s="161">
        <v>147</v>
      </c>
      <c r="R93" s="158">
        <v>64</v>
      </c>
      <c r="S93" s="161">
        <v>1258</v>
      </c>
      <c r="T93" s="158">
        <v>662</v>
      </c>
      <c r="U93" s="161">
        <v>131</v>
      </c>
      <c r="V93" s="198">
        <v>74</v>
      </c>
      <c r="W93" s="564"/>
      <c r="X93" s="522"/>
    </row>
    <row r="94" spans="2:24" ht="15.75" customHeight="1" x14ac:dyDescent="0.3">
      <c r="B94" s="875" t="s">
        <v>72</v>
      </c>
      <c r="C94" s="850" t="s">
        <v>76</v>
      </c>
      <c r="D94" s="859">
        <v>3</v>
      </c>
      <c r="E94" s="189" t="s">
        <v>151</v>
      </c>
      <c r="F94" s="515" t="s">
        <v>62</v>
      </c>
      <c r="G94" s="180">
        <v>45</v>
      </c>
      <c r="H94" s="149">
        <v>24</v>
      </c>
      <c r="I94" s="145">
        <f t="shared" si="14"/>
        <v>0.28888888888888886</v>
      </c>
      <c r="J94" s="436">
        <v>13</v>
      </c>
      <c r="K94" s="145">
        <f t="shared" si="15"/>
        <v>0.24444444444444444</v>
      </c>
      <c r="L94" s="436">
        <v>11</v>
      </c>
      <c r="M94" s="145">
        <f t="shared" si="16"/>
        <v>0.45454545454545453</v>
      </c>
      <c r="N94" s="200">
        <v>5</v>
      </c>
      <c r="O94" s="205">
        <v>2</v>
      </c>
      <c r="P94" s="206">
        <v>1</v>
      </c>
      <c r="Q94" s="205">
        <v>22</v>
      </c>
      <c r="R94" s="206">
        <v>12</v>
      </c>
      <c r="S94" s="662">
        <v>58</v>
      </c>
      <c r="T94" s="663">
        <v>33</v>
      </c>
      <c r="U94" s="662">
        <v>9</v>
      </c>
      <c r="V94" s="664">
        <v>3</v>
      </c>
      <c r="W94" s="415"/>
      <c r="X94" s="410"/>
    </row>
    <row r="95" spans="2:24" ht="15.75" customHeight="1" x14ac:dyDescent="0.3">
      <c r="B95" s="876"/>
      <c r="C95" s="858"/>
      <c r="D95" s="859"/>
      <c r="E95" s="191" t="s">
        <v>154</v>
      </c>
      <c r="F95" s="517"/>
      <c r="G95" s="183">
        <v>16</v>
      </c>
      <c r="H95" s="155">
        <v>10</v>
      </c>
      <c r="I95" s="151">
        <f t="shared" si="14"/>
        <v>0.25</v>
      </c>
      <c r="J95" s="437">
        <v>4</v>
      </c>
      <c r="K95" s="151">
        <f t="shared" si="15"/>
        <v>0.3125</v>
      </c>
      <c r="L95" s="437">
        <v>5</v>
      </c>
      <c r="M95" s="151">
        <f t="shared" si="16"/>
        <v>0.2</v>
      </c>
      <c r="N95" s="201">
        <v>1</v>
      </c>
      <c r="O95" s="207">
        <v>0</v>
      </c>
      <c r="P95" s="208">
        <v>0</v>
      </c>
      <c r="Q95" s="207">
        <v>4</v>
      </c>
      <c r="R95" s="208">
        <v>2</v>
      </c>
      <c r="S95" s="665">
        <v>17</v>
      </c>
      <c r="T95" s="666">
        <v>9</v>
      </c>
      <c r="U95" s="665">
        <v>3</v>
      </c>
      <c r="V95" s="667">
        <v>3</v>
      </c>
      <c r="W95" s="415"/>
      <c r="X95" s="410"/>
    </row>
    <row r="96" spans="2:24" ht="15.75" customHeight="1" x14ac:dyDescent="0.3">
      <c r="B96" s="876"/>
      <c r="C96" s="841"/>
      <c r="D96" s="859"/>
      <c r="E96" s="724"/>
      <c r="F96" s="725"/>
      <c r="G96" s="722"/>
      <c r="H96" s="723"/>
      <c r="I96" s="151"/>
      <c r="J96" s="721"/>
      <c r="K96" s="151"/>
      <c r="L96" s="721"/>
      <c r="M96" s="151"/>
      <c r="N96" s="703"/>
      <c r="O96" s="687"/>
      <c r="P96" s="688"/>
      <c r="Q96" s="687"/>
      <c r="R96" s="688"/>
      <c r="S96" s="735"/>
      <c r="T96" s="736"/>
      <c r="U96" s="735"/>
      <c r="V96" s="737"/>
      <c r="W96" s="415"/>
      <c r="X96" s="410"/>
    </row>
    <row r="97" spans="2:25" ht="15.75" customHeight="1" x14ac:dyDescent="0.3">
      <c r="B97" s="876"/>
      <c r="C97" s="841"/>
      <c r="D97" s="859"/>
      <c r="E97" s="724"/>
      <c r="F97" s="725"/>
      <c r="G97" s="722"/>
      <c r="H97" s="723"/>
      <c r="I97" s="151"/>
      <c r="J97" s="721"/>
      <c r="K97" s="151"/>
      <c r="L97" s="721"/>
      <c r="M97" s="151"/>
      <c r="N97" s="703"/>
      <c r="O97" s="687"/>
      <c r="P97" s="688"/>
      <c r="Q97" s="687"/>
      <c r="R97" s="688"/>
      <c r="S97" s="735"/>
      <c r="T97" s="736"/>
      <c r="U97" s="735"/>
      <c r="V97" s="737"/>
      <c r="W97" s="415"/>
      <c r="X97" s="410"/>
    </row>
    <row r="98" spans="2:25" ht="15.75" customHeight="1" x14ac:dyDescent="0.3">
      <c r="B98" s="876"/>
      <c r="C98" s="841"/>
      <c r="D98" s="859"/>
      <c r="E98" s="192" t="s">
        <v>36</v>
      </c>
      <c r="F98" s="518"/>
      <c r="G98" s="186">
        <v>9</v>
      </c>
      <c r="H98" s="163">
        <v>8</v>
      </c>
      <c r="I98" s="159">
        <f t="shared" si="14"/>
        <v>0.22222222222222221</v>
      </c>
      <c r="J98" s="435">
        <v>2</v>
      </c>
      <c r="K98" s="159">
        <f t="shared" si="15"/>
        <v>0.44444444444444442</v>
      </c>
      <c r="L98" s="435">
        <v>4</v>
      </c>
      <c r="M98" s="159">
        <f t="shared" si="16"/>
        <v>0.25</v>
      </c>
      <c r="N98" s="202">
        <v>1</v>
      </c>
      <c r="O98" s="209">
        <v>0</v>
      </c>
      <c r="P98" s="210">
        <v>0</v>
      </c>
      <c r="Q98" s="209">
        <v>0</v>
      </c>
      <c r="R98" s="210">
        <v>0</v>
      </c>
      <c r="S98" s="668">
        <v>7</v>
      </c>
      <c r="T98" s="669">
        <v>6</v>
      </c>
      <c r="U98" s="668">
        <v>2</v>
      </c>
      <c r="V98" s="670">
        <v>2</v>
      </c>
      <c r="W98" s="415"/>
      <c r="X98" s="410"/>
    </row>
    <row r="99" spans="2:25" ht="15.75" customHeight="1" x14ac:dyDescent="0.3">
      <c r="B99" s="877"/>
      <c r="C99" s="852"/>
      <c r="D99" s="541" t="s">
        <v>138</v>
      </c>
      <c r="E99" s="409"/>
      <c r="F99" s="523"/>
      <c r="G99" s="25">
        <v>70</v>
      </c>
      <c r="H99" s="26">
        <v>42</v>
      </c>
      <c r="I99" s="27">
        <f>J99/G99</f>
        <v>0.27142857142857141</v>
      </c>
      <c r="J99" s="412">
        <v>19</v>
      </c>
      <c r="K99" s="165">
        <f>L99/G99</f>
        <v>0.2857142857142857</v>
      </c>
      <c r="L99" s="412">
        <v>20</v>
      </c>
      <c r="M99" s="27">
        <f>N99/L99</f>
        <v>0.35</v>
      </c>
      <c r="N99" s="412">
        <v>7</v>
      </c>
      <c r="O99" s="270">
        <v>2</v>
      </c>
      <c r="P99" s="271">
        <v>1</v>
      </c>
      <c r="Q99" s="270">
        <v>26</v>
      </c>
      <c r="R99" s="271">
        <v>14</v>
      </c>
      <c r="S99" s="270">
        <v>82</v>
      </c>
      <c r="T99" s="271">
        <v>48</v>
      </c>
      <c r="U99" s="270">
        <v>14</v>
      </c>
      <c r="V99" s="272">
        <v>8</v>
      </c>
      <c r="W99" s="415"/>
      <c r="X99" s="410"/>
    </row>
    <row r="100" spans="2:25" ht="15.75" customHeight="1" thickBot="1" x14ac:dyDescent="0.35">
      <c r="B100" s="843" t="s">
        <v>3</v>
      </c>
      <c r="C100" s="853" t="s">
        <v>76</v>
      </c>
      <c r="D100" s="871">
        <v>11</v>
      </c>
      <c r="E100" s="178" t="s">
        <v>48</v>
      </c>
      <c r="F100" s="179" t="s">
        <v>61</v>
      </c>
      <c r="G100" s="180"/>
      <c r="H100" s="149"/>
      <c r="I100" s="145"/>
      <c r="J100" s="436"/>
      <c r="K100" s="145"/>
      <c r="L100" s="436"/>
      <c r="M100" s="145"/>
      <c r="N100" s="200"/>
      <c r="O100" s="205"/>
      <c r="P100" s="206"/>
      <c r="Q100" s="205"/>
      <c r="R100" s="206"/>
      <c r="S100" s="147"/>
      <c r="T100" s="144"/>
      <c r="U100" s="147"/>
      <c r="V100" s="169"/>
      <c r="W100" s="415"/>
      <c r="X100" s="410"/>
    </row>
    <row r="101" spans="2:25" ht="15.75" customHeight="1" thickBot="1" x14ac:dyDescent="0.35">
      <c r="B101" s="838"/>
      <c r="C101" s="854"/>
      <c r="D101" s="871"/>
      <c r="E101" s="181" t="s">
        <v>49</v>
      </c>
      <c r="F101" s="182" t="s">
        <v>61</v>
      </c>
      <c r="G101" s="183"/>
      <c r="H101" s="155"/>
      <c r="I101" s="151"/>
      <c r="J101" s="437"/>
      <c r="K101" s="151"/>
      <c r="L101" s="437"/>
      <c r="M101" s="151"/>
      <c r="N101" s="201"/>
      <c r="O101" s="207"/>
      <c r="P101" s="208"/>
      <c r="Q101" s="207"/>
      <c r="R101" s="208"/>
      <c r="S101" s="153"/>
      <c r="T101" s="150"/>
      <c r="U101" s="153"/>
      <c r="V101" s="157"/>
      <c r="W101" s="415"/>
      <c r="X101" s="410"/>
    </row>
    <row r="102" spans="2:25" ht="15.75" customHeight="1" thickBot="1" x14ac:dyDescent="0.35">
      <c r="B102" s="838"/>
      <c r="C102" s="854"/>
      <c r="D102" s="871"/>
      <c r="E102" s="181" t="s">
        <v>81</v>
      </c>
      <c r="F102" s="182" t="s">
        <v>61</v>
      </c>
      <c r="G102" s="183"/>
      <c r="H102" s="155"/>
      <c r="I102" s="151"/>
      <c r="J102" s="437"/>
      <c r="K102" s="151"/>
      <c r="L102" s="437"/>
      <c r="M102" s="151"/>
      <c r="N102" s="201"/>
      <c r="O102" s="207"/>
      <c r="P102" s="208"/>
      <c r="Q102" s="207"/>
      <c r="R102" s="208"/>
      <c r="S102" s="153"/>
      <c r="T102" s="150"/>
      <c r="U102" s="153"/>
      <c r="V102" s="157"/>
      <c r="W102" s="415"/>
      <c r="X102" s="410"/>
    </row>
    <row r="103" spans="2:25" ht="15.75" customHeight="1" thickBot="1" x14ac:dyDescent="0.35">
      <c r="B103" s="838"/>
      <c r="C103" s="854"/>
      <c r="D103" s="871"/>
      <c r="E103" s="181" t="s">
        <v>73</v>
      </c>
      <c r="F103" s="182" t="s">
        <v>61</v>
      </c>
      <c r="G103" s="183"/>
      <c r="H103" s="155"/>
      <c r="I103" s="151"/>
      <c r="J103" s="437"/>
      <c r="K103" s="151"/>
      <c r="L103" s="437"/>
      <c r="M103" s="151"/>
      <c r="N103" s="201"/>
      <c r="O103" s="207"/>
      <c r="P103" s="208"/>
      <c r="Q103" s="207"/>
      <c r="R103" s="208"/>
      <c r="S103" s="153"/>
      <c r="T103" s="150"/>
      <c r="U103" s="153"/>
      <c r="V103" s="157"/>
      <c r="W103" s="415"/>
      <c r="X103" s="410"/>
    </row>
    <row r="104" spans="2:25" ht="15.75" customHeight="1" thickBot="1" x14ac:dyDescent="0.35">
      <c r="B104" s="838"/>
      <c r="C104" s="854"/>
      <c r="D104" s="871"/>
      <c r="E104" s="181" t="s">
        <v>50</v>
      </c>
      <c r="F104" s="182" t="s">
        <v>61</v>
      </c>
      <c r="G104" s="183"/>
      <c r="H104" s="155"/>
      <c r="I104" s="151"/>
      <c r="J104" s="437"/>
      <c r="K104" s="151"/>
      <c r="L104" s="437"/>
      <c r="M104" s="151"/>
      <c r="N104" s="201"/>
      <c r="O104" s="207"/>
      <c r="P104" s="208"/>
      <c r="Q104" s="207"/>
      <c r="R104" s="208"/>
      <c r="S104" s="153"/>
      <c r="T104" s="150"/>
      <c r="U104" s="153"/>
      <c r="V104" s="157"/>
      <c r="W104" s="415"/>
      <c r="X104" s="410"/>
    </row>
    <row r="105" spans="2:25" ht="15.75" customHeight="1" thickBot="1" x14ac:dyDescent="0.35">
      <c r="B105" s="838"/>
      <c r="C105" s="854"/>
      <c r="D105" s="871"/>
      <c r="E105" s="181" t="s">
        <v>145</v>
      </c>
      <c r="F105" s="182"/>
      <c r="G105" s="183"/>
      <c r="H105" s="155"/>
      <c r="I105" s="151"/>
      <c r="J105" s="437"/>
      <c r="K105" s="151"/>
      <c r="L105" s="437"/>
      <c r="M105" s="151"/>
      <c r="N105" s="201"/>
      <c r="O105" s="207"/>
      <c r="P105" s="208"/>
      <c r="Q105" s="207"/>
      <c r="R105" s="208"/>
      <c r="S105" s="153"/>
      <c r="T105" s="150"/>
      <c r="U105" s="153"/>
      <c r="V105" s="157"/>
      <c r="W105" s="415"/>
      <c r="X105" s="410"/>
    </row>
    <row r="106" spans="2:25" ht="15.75" customHeight="1" thickBot="1" x14ac:dyDescent="0.35">
      <c r="B106" s="838"/>
      <c r="C106" s="854"/>
      <c r="D106" s="871"/>
      <c r="E106" s="181" t="s">
        <v>144</v>
      </c>
      <c r="F106" s="182"/>
      <c r="G106" s="183"/>
      <c r="H106" s="155"/>
      <c r="I106" s="151"/>
      <c r="J106" s="437"/>
      <c r="K106" s="151"/>
      <c r="L106" s="437"/>
      <c r="M106" s="151"/>
      <c r="N106" s="201"/>
      <c r="O106" s="207"/>
      <c r="P106" s="208"/>
      <c r="Q106" s="207"/>
      <c r="R106" s="208"/>
      <c r="S106" s="153"/>
      <c r="T106" s="150"/>
      <c r="U106" s="153"/>
      <c r="V106" s="157"/>
      <c r="W106" s="415"/>
      <c r="X106" s="410"/>
    </row>
    <row r="107" spans="2:25" ht="15.75" customHeight="1" thickBot="1" x14ac:dyDescent="0.35">
      <c r="B107" s="838"/>
      <c r="C107" s="854"/>
      <c r="D107" s="871"/>
      <c r="E107" s="181" t="s">
        <v>80</v>
      </c>
      <c r="F107" s="182" t="s">
        <v>61</v>
      </c>
      <c r="G107" s="183"/>
      <c r="H107" s="155"/>
      <c r="I107" s="151"/>
      <c r="J107" s="437"/>
      <c r="K107" s="151"/>
      <c r="L107" s="437"/>
      <c r="M107" s="151"/>
      <c r="N107" s="201"/>
      <c r="O107" s="207"/>
      <c r="P107" s="208"/>
      <c r="Q107" s="207"/>
      <c r="R107" s="208"/>
      <c r="S107" s="153"/>
      <c r="T107" s="150"/>
      <c r="U107" s="153"/>
      <c r="V107" s="157"/>
      <c r="W107" s="415"/>
      <c r="X107" s="410"/>
    </row>
    <row r="108" spans="2:25" ht="15.75" customHeight="1" thickBot="1" x14ac:dyDescent="0.35">
      <c r="B108" s="838"/>
      <c r="C108" s="854"/>
      <c r="D108" s="871"/>
      <c r="E108" s="181" t="s">
        <v>51</v>
      </c>
      <c r="F108" s="182" t="s">
        <v>61</v>
      </c>
      <c r="G108" s="183"/>
      <c r="H108" s="155"/>
      <c r="I108" s="151"/>
      <c r="J108" s="437"/>
      <c r="K108" s="151"/>
      <c r="L108" s="437"/>
      <c r="M108" s="151"/>
      <c r="N108" s="201"/>
      <c r="O108" s="207"/>
      <c r="P108" s="208"/>
      <c r="Q108" s="207"/>
      <c r="R108" s="208"/>
      <c r="S108" s="153"/>
      <c r="T108" s="150"/>
      <c r="U108" s="153"/>
      <c r="V108" s="157"/>
      <c r="W108" s="415"/>
      <c r="X108" s="410"/>
    </row>
    <row r="109" spans="2:25" ht="15.75" customHeight="1" thickBot="1" x14ac:dyDescent="0.35">
      <c r="B109" s="838"/>
      <c r="C109" s="854"/>
      <c r="D109" s="871"/>
      <c r="E109" s="692"/>
      <c r="F109" s="693"/>
      <c r="G109" s="722"/>
      <c r="H109" s="723"/>
      <c r="I109" s="151"/>
      <c r="J109" s="721"/>
      <c r="K109" s="151"/>
      <c r="L109" s="721"/>
      <c r="M109" s="151"/>
      <c r="N109" s="703"/>
      <c r="O109" s="687"/>
      <c r="P109" s="688"/>
      <c r="Q109" s="687"/>
      <c r="R109" s="688"/>
      <c r="S109" s="689"/>
      <c r="T109" s="690"/>
      <c r="U109" s="689"/>
      <c r="V109" s="691"/>
      <c r="W109" s="415"/>
      <c r="X109" s="410"/>
    </row>
    <row r="110" spans="2:25" ht="15.75" customHeight="1" thickBot="1" x14ac:dyDescent="0.35">
      <c r="B110" s="838"/>
      <c r="C110" s="854"/>
      <c r="D110" s="871"/>
      <c r="E110" s="692"/>
      <c r="F110" s="693"/>
      <c r="G110" s="722"/>
      <c r="H110" s="723"/>
      <c r="I110" s="151"/>
      <c r="J110" s="721"/>
      <c r="K110" s="151"/>
      <c r="L110" s="721"/>
      <c r="M110" s="151"/>
      <c r="N110" s="703"/>
      <c r="O110" s="687"/>
      <c r="P110" s="688"/>
      <c r="Q110" s="687"/>
      <c r="R110" s="688"/>
      <c r="S110" s="689"/>
      <c r="T110" s="690"/>
      <c r="U110" s="689"/>
      <c r="V110" s="691"/>
      <c r="W110" s="415"/>
      <c r="X110" s="410"/>
    </row>
    <row r="111" spans="2:25" ht="15.75" customHeight="1" thickBot="1" x14ac:dyDescent="0.35">
      <c r="B111" s="838"/>
      <c r="C111" s="854"/>
      <c r="D111" s="871"/>
      <c r="E111" s="184" t="s">
        <v>52</v>
      </c>
      <c r="F111" s="185" t="s">
        <v>61</v>
      </c>
      <c r="G111" s="186"/>
      <c r="H111" s="163"/>
      <c r="I111" s="159"/>
      <c r="J111" s="435"/>
      <c r="K111" s="159"/>
      <c r="L111" s="435"/>
      <c r="M111" s="159"/>
      <c r="N111" s="202"/>
      <c r="O111" s="209"/>
      <c r="P111" s="210"/>
      <c r="Q111" s="209"/>
      <c r="R111" s="210"/>
      <c r="S111" s="161"/>
      <c r="T111" s="158"/>
      <c r="U111" s="161"/>
      <c r="V111" s="198"/>
      <c r="W111" s="415"/>
      <c r="X111" s="410"/>
    </row>
    <row r="112" spans="2:25" ht="16.2" thickBot="1" x14ac:dyDescent="0.35">
      <c r="B112" s="844"/>
      <c r="C112" s="854"/>
      <c r="D112" s="556" t="s">
        <v>138</v>
      </c>
      <c r="E112" s="395"/>
      <c r="F112" s="396"/>
      <c r="G112" s="397">
        <f>SUM(G100:G111)</f>
        <v>0</v>
      </c>
      <c r="H112" s="398">
        <f>SUM(H100:H111)</f>
        <v>0</v>
      </c>
      <c r="I112" s="27" t="e">
        <f>J112/G112</f>
        <v>#DIV/0!</v>
      </c>
      <c r="J112" s="413">
        <f>SUM(J100:J111)</f>
        <v>0</v>
      </c>
      <c r="K112" s="165" t="e">
        <f>L112/G112</f>
        <v>#DIV/0!</v>
      </c>
      <c r="L112" s="413">
        <f>SUM(L100:L111)</f>
        <v>0</v>
      </c>
      <c r="M112" s="27" t="e">
        <f>N112/L112</f>
        <v>#DIV/0!</v>
      </c>
      <c r="N112" s="413">
        <f>SUM(N100:N111)</f>
        <v>0</v>
      </c>
      <c r="O112" s="287"/>
      <c r="P112" s="288"/>
      <c r="Q112" s="287"/>
      <c r="R112" s="288"/>
      <c r="S112" s="287"/>
      <c r="T112" s="288"/>
      <c r="U112" s="287"/>
      <c r="V112" s="289"/>
      <c r="W112" s="415"/>
      <c r="X112" s="410"/>
      <c r="Y112" s="410"/>
    </row>
    <row r="113" spans="1:25" s="53" customFormat="1" ht="21" customHeight="1" thickBot="1" x14ac:dyDescent="0.35">
      <c r="A113" s="125"/>
      <c r="B113" s="241" t="s">
        <v>77</v>
      </c>
      <c r="C113" s="557"/>
      <c r="D113" s="557">
        <f>SUM(D45:D111)</f>
        <v>82</v>
      </c>
      <c r="E113" s="133">
        <f>COUNT(G45:G52,G62:G68,G70:G79,G84:G92,G94:G98,G100:G111)</f>
        <v>8</v>
      </c>
      <c r="F113" s="67">
        <f>COUNT(J45:J111)</f>
        <v>17</v>
      </c>
      <c r="G113" s="170">
        <f>G53+G69+G80+G93+G99+G112</f>
        <v>1312</v>
      </c>
      <c r="H113" s="142">
        <f>H53+H69+H80+H93+H99+H112</f>
        <v>714</v>
      </c>
      <c r="I113" s="139">
        <f>J113/G113</f>
        <v>0.37804878048780488</v>
      </c>
      <c r="J113" s="140">
        <f>J53+J69+J80+J93+J99+J112</f>
        <v>496</v>
      </c>
      <c r="K113" s="139">
        <f>L113/G113</f>
        <v>0.31935975609756095</v>
      </c>
      <c r="L113" s="140">
        <f>L53+L69+L80+L93+L99+L112</f>
        <v>419</v>
      </c>
      <c r="M113" s="440">
        <f>N113/L113</f>
        <v>0.4821002386634845</v>
      </c>
      <c r="N113" s="140">
        <f>N53+N69+N80+N93+N99+N112</f>
        <v>202</v>
      </c>
      <c r="O113" s="141"/>
      <c r="P113" s="142"/>
      <c r="Q113" s="141"/>
      <c r="R113" s="142"/>
      <c r="S113" s="141">
        <f>S53+S69+S80+S93+S99</f>
        <v>1340</v>
      </c>
      <c r="T113" s="142">
        <f t="shared" ref="T113:V113" si="30">T53+T69+T80+T93+T99</f>
        <v>710</v>
      </c>
      <c r="U113" s="141">
        <f t="shared" si="30"/>
        <v>145</v>
      </c>
      <c r="V113" s="143">
        <f t="shared" si="30"/>
        <v>82</v>
      </c>
      <c r="W113" s="417"/>
      <c r="X113" s="411"/>
      <c r="Y113" s="411"/>
    </row>
    <row r="114" spans="1:25" s="53" customFormat="1" ht="21" customHeight="1" thickBot="1" x14ac:dyDescent="0.35">
      <c r="A114" s="125"/>
      <c r="B114" s="241" t="s">
        <v>66</v>
      </c>
      <c r="C114" s="557"/>
      <c r="D114" s="557">
        <f>D113+D44</f>
        <v>113</v>
      </c>
      <c r="E114" s="133">
        <f>E44+E113</f>
        <v>9</v>
      </c>
      <c r="F114" s="67">
        <f>F113+F44</f>
        <v>19</v>
      </c>
      <c r="G114" s="170">
        <f>G44+G113</f>
        <v>1312</v>
      </c>
      <c r="H114" s="142">
        <f>H44+H113</f>
        <v>714</v>
      </c>
      <c r="I114" s="139">
        <f>J114/G114</f>
        <v>0.37804878048780488</v>
      </c>
      <c r="J114" s="140">
        <f>J44+J113</f>
        <v>496</v>
      </c>
      <c r="K114" s="139">
        <f>L114/G114</f>
        <v>0.31935975609756095</v>
      </c>
      <c r="L114" s="140">
        <f>L44+L113</f>
        <v>419</v>
      </c>
      <c r="M114" s="440">
        <f>N114/L114</f>
        <v>0.4821002386634845</v>
      </c>
      <c r="N114" s="140">
        <f>N44+N113</f>
        <v>202</v>
      </c>
      <c r="O114" s="141"/>
      <c r="P114" s="142"/>
      <c r="Q114" s="141"/>
      <c r="R114" s="142"/>
      <c r="S114" s="141">
        <f>S113</f>
        <v>1340</v>
      </c>
      <c r="T114" s="142">
        <f>T113</f>
        <v>710</v>
      </c>
      <c r="U114" s="141">
        <f>U113</f>
        <v>145</v>
      </c>
      <c r="V114" s="143">
        <f>V113</f>
        <v>82</v>
      </c>
      <c r="W114" s="417"/>
    </row>
    <row r="115" spans="1:25" x14ac:dyDescent="0.3">
      <c r="B115" s="5"/>
      <c r="C115" s="35"/>
      <c r="D115" s="35"/>
      <c r="E115" s="5"/>
      <c r="F115" s="35"/>
      <c r="G115" s="171"/>
      <c r="H115" s="171"/>
      <c r="I115" s="172"/>
      <c r="J115" s="172"/>
      <c r="K115" s="172"/>
      <c r="L115" s="172"/>
      <c r="M115" s="870" t="s">
        <v>68</v>
      </c>
      <c r="N115" s="870"/>
      <c r="O115" s="171"/>
      <c r="P115" s="171"/>
      <c r="Q115" s="171"/>
      <c r="R115" s="171"/>
      <c r="S115" s="171"/>
      <c r="T115" s="171"/>
      <c r="U115" s="171"/>
      <c r="V115" s="171"/>
    </row>
    <row r="116" spans="1:25" x14ac:dyDescent="0.3">
      <c r="E116" s="131" t="s">
        <v>67</v>
      </c>
      <c r="F116" s="132"/>
    </row>
    <row r="117" spans="1:25" x14ac:dyDescent="0.3">
      <c r="E117" s="1" t="s">
        <v>60</v>
      </c>
      <c r="F117" s="2">
        <f>COUNTIF(F$5:F$111,E117)</f>
        <v>33</v>
      </c>
    </row>
    <row r="118" spans="1:25" x14ac:dyDescent="0.3">
      <c r="E118" s="1" t="s">
        <v>61</v>
      </c>
      <c r="F118" s="2">
        <f>COUNTIF(F$5:F$111,E118)</f>
        <v>8</v>
      </c>
    </row>
    <row r="119" spans="1:25" x14ac:dyDescent="0.3">
      <c r="E119" s="1" t="s">
        <v>62</v>
      </c>
      <c r="F119" s="2">
        <f>COUNTIF(F$5:F$111,E119)</f>
        <v>21</v>
      </c>
    </row>
    <row r="128" spans="1:25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.75" customHeight="1" x14ac:dyDescent="0.3"/>
    <row r="138" ht="15.7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</sheetData>
  <mergeCells count="47">
    <mergeCell ref="E2:E4"/>
    <mergeCell ref="F2:F4"/>
    <mergeCell ref="G2:H2"/>
    <mergeCell ref="O2:P2"/>
    <mergeCell ref="Q2:R2"/>
    <mergeCell ref="S2:T2"/>
    <mergeCell ref="U2:V2"/>
    <mergeCell ref="B21:B32"/>
    <mergeCell ref="C21:C32"/>
    <mergeCell ref="D21:D31"/>
    <mergeCell ref="I2:I4"/>
    <mergeCell ref="J2:J4"/>
    <mergeCell ref="K2:K4"/>
    <mergeCell ref="L2:L4"/>
    <mergeCell ref="M2:M4"/>
    <mergeCell ref="N2:N4"/>
    <mergeCell ref="B2:B4"/>
    <mergeCell ref="C2:C4"/>
    <mergeCell ref="D2:D4"/>
    <mergeCell ref="B7:B20"/>
    <mergeCell ref="C7:C20"/>
    <mergeCell ref="D70:D79"/>
    <mergeCell ref="B33:B43"/>
    <mergeCell ref="C33:C43"/>
    <mergeCell ref="D33:D42"/>
    <mergeCell ref="B45:B53"/>
    <mergeCell ref="C45:C53"/>
    <mergeCell ref="D45:D52"/>
    <mergeCell ref="B54:B61"/>
    <mergeCell ref="C54:C61"/>
    <mergeCell ref="D54:D60"/>
    <mergeCell ref="D7:D19"/>
    <mergeCell ref="B100:B112"/>
    <mergeCell ref="C100:C112"/>
    <mergeCell ref="D100:D111"/>
    <mergeCell ref="M115:N115"/>
    <mergeCell ref="B81:B93"/>
    <mergeCell ref="C81:C93"/>
    <mergeCell ref="D81:D92"/>
    <mergeCell ref="B94:B99"/>
    <mergeCell ref="C94:C99"/>
    <mergeCell ref="D94:D98"/>
    <mergeCell ref="B62:B69"/>
    <mergeCell ref="C62:C69"/>
    <mergeCell ref="D62:D68"/>
    <mergeCell ref="B70:B80"/>
    <mergeCell ref="C70:C80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G142"/>
  <sheetViews>
    <sheetView zoomScale="70" zoomScaleNormal="70" workbookViewId="0">
      <pane xSplit="6" ySplit="4" topLeftCell="G47" activePane="bottomRight" state="frozen"/>
      <selection activeCell="C3" sqref="C3:F3"/>
      <selection pane="topRight" activeCell="C3" sqref="C3:F3"/>
      <selection pane="bottomLeft" activeCell="C3" sqref="C3:F3"/>
      <selection pane="bottomRight" activeCell="C3" sqref="C3:F3"/>
    </sheetView>
  </sheetViews>
  <sheetFormatPr defaultColWidth="11.44140625" defaultRowHeight="14.4" x14ac:dyDescent="0.3"/>
  <cols>
    <col min="1" max="1" width="0.44140625" style="123" customWidth="1"/>
    <col min="2" max="2" width="34.109375" style="1" customWidth="1"/>
    <col min="3" max="3" width="11.5546875" style="2" customWidth="1"/>
    <col min="4" max="4" width="8.44140625" style="2" customWidth="1"/>
    <col min="5" max="5" width="42.88671875" style="1" bestFit="1" customWidth="1"/>
    <col min="6" max="6" width="11.109375" style="2" hidden="1" customWidth="1"/>
    <col min="7" max="12" width="7.5546875" style="2" customWidth="1"/>
    <col min="13" max="15" width="7.5546875" style="4" customWidth="1"/>
    <col min="16" max="18" width="7.5546875" style="2" customWidth="1"/>
    <col min="19" max="19" width="11.44140625" style="3" customWidth="1"/>
    <col min="20" max="20" width="11.44140625" style="4" customWidth="1"/>
    <col min="21" max="21" width="11.44140625" style="3" customWidth="1"/>
    <col min="22" max="22" width="11.44140625" style="4" customWidth="1"/>
    <col min="23" max="30" width="7.5546875" style="2" customWidth="1"/>
    <col min="31" max="31" width="5.33203125" style="2" customWidth="1"/>
    <col min="32" max="32" width="11.44140625" style="1" customWidth="1"/>
    <col min="33" max="16384" width="11.44140625" style="1"/>
  </cols>
  <sheetData>
    <row r="1" spans="1:33" s="123" customFormat="1" ht="2.25" customHeight="1" thickBot="1" x14ac:dyDescent="0.35">
      <c r="C1" s="126"/>
      <c r="D1" s="126"/>
      <c r="F1" s="126"/>
      <c r="G1" s="126"/>
      <c r="H1" s="126"/>
      <c r="I1" s="126"/>
      <c r="J1" s="126"/>
      <c r="K1" s="126"/>
      <c r="L1" s="126"/>
      <c r="M1" s="128"/>
      <c r="N1" s="128"/>
      <c r="O1" s="128"/>
      <c r="P1" s="126"/>
      <c r="Q1" s="126"/>
      <c r="R1" s="126"/>
      <c r="S1" s="127"/>
      <c r="T1" s="128"/>
      <c r="U1" s="127"/>
      <c r="V1" s="128"/>
      <c r="W1" s="126"/>
      <c r="X1" s="126"/>
      <c r="Y1" s="126"/>
      <c r="Z1" s="126"/>
      <c r="AA1" s="126"/>
      <c r="AB1" s="126"/>
      <c r="AC1" s="126"/>
      <c r="AD1" s="126"/>
      <c r="AE1" s="126"/>
    </row>
    <row r="2" spans="1:33" s="6" customFormat="1" ht="30" customHeight="1" thickBot="1" x14ac:dyDescent="0.35">
      <c r="A2" s="124"/>
      <c r="B2" s="817" t="s">
        <v>53</v>
      </c>
      <c r="C2" s="820" t="s">
        <v>74</v>
      </c>
      <c r="D2" s="820" t="s">
        <v>164</v>
      </c>
      <c r="E2" s="815" t="s">
        <v>79</v>
      </c>
      <c r="F2" s="810" t="s">
        <v>59</v>
      </c>
      <c r="G2" s="618" t="s">
        <v>54</v>
      </c>
      <c r="H2" s="619"/>
      <c r="I2" s="619"/>
      <c r="J2" s="619"/>
      <c r="K2" s="619"/>
      <c r="L2" s="620"/>
      <c r="M2" s="637" t="s">
        <v>161</v>
      </c>
      <c r="N2" s="621"/>
      <c r="O2" s="622"/>
      <c r="P2" s="619"/>
      <c r="Q2" s="619"/>
      <c r="R2" s="620"/>
      <c r="S2" s="835" t="s">
        <v>56</v>
      </c>
      <c r="T2" s="865" t="s">
        <v>65</v>
      </c>
      <c r="U2" s="835" t="s">
        <v>57</v>
      </c>
      <c r="V2" s="865" t="s">
        <v>64</v>
      </c>
      <c r="W2" s="818" t="s">
        <v>39</v>
      </c>
      <c r="X2" s="819"/>
      <c r="Y2" s="818" t="s">
        <v>40</v>
      </c>
      <c r="Z2" s="819"/>
      <c r="AA2" s="818" t="s">
        <v>41</v>
      </c>
      <c r="AB2" s="819"/>
      <c r="AC2" s="810" t="s">
        <v>42</v>
      </c>
      <c r="AD2" s="833"/>
      <c r="AE2" s="414"/>
    </row>
    <row r="3" spans="1:33" s="6" customFormat="1" ht="30" customHeight="1" thickBot="1" x14ac:dyDescent="0.35">
      <c r="A3" s="124"/>
      <c r="B3" s="817"/>
      <c r="C3" s="820"/>
      <c r="D3" s="820"/>
      <c r="E3" s="815"/>
      <c r="F3" s="811"/>
      <c r="G3" s="571" t="s">
        <v>160</v>
      </c>
      <c r="H3" s="572"/>
      <c r="I3" s="573"/>
      <c r="J3" s="575" t="s">
        <v>44</v>
      </c>
      <c r="K3" s="572"/>
      <c r="L3" s="573"/>
      <c r="M3" s="626" t="s">
        <v>162</v>
      </c>
      <c r="N3" s="627"/>
      <c r="O3" s="617"/>
      <c r="P3" s="575" t="s">
        <v>163</v>
      </c>
      <c r="Q3" s="572"/>
      <c r="R3" s="573"/>
      <c r="S3" s="835"/>
      <c r="T3" s="865"/>
      <c r="U3" s="835"/>
      <c r="V3" s="865"/>
      <c r="W3" s="245"/>
      <c r="X3" s="246"/>
      <c r="Y3" s="245"/>
      <c r="Z3" s="246"/>
      <c r="AA3" s="245"/>
      <c r="AB3" s="246"/>
      <c r="AC3" s="559"/>
      <c r="AD3" s="560"/>
      <c r="AE3" s="414"/>
    </row>
    <row r="4" spans="1:33" s="6" customFormat="1" ht="30" customHeight="1" thickBot="1" x14ac:dyDescent="0.35">
      <c r="A4" s="124"/>
      <c r="B4" s="817"/>
      <c r="C4" s="820"/>
      <c r="D4" s="820"/>
      <c r="E4" s="815"/>
      <c r="F4" s="812"/>
      <c r="G4" s="569">
        <v>2020</v>
      </c>
      <c r="H4" s="570">
        <v>2021</v>
      </c>
      <c r="I4" s="574">
        <v>2022</v>
      </c>
      <c r="J4" s="576">
        <v>2020</v>
      </c>
      <c r="K4" s="570">
        <v>2021</v>
      </c>
      <c r="L4" s="574">
        <v>2022</v>
      </c>
      <c r="M4" s="624">
        <v>2020</v>
      </c>
      <c r="N4" s="625">
        <v>2021</v>
      </c>
      <c r="O4" s="623">
        <v>2022</v>
      </c>
      <c r="P4" s="576">
        <v>2020</v>
      </c>
      <c r="Q4" s="570">
        <v>2021</v>
      </c>
      <c r="R4" s="574">
        <v>2022</v>
      </c>
      <c r="S4" s="835"/>
      <c r="T4" s="865"/>
      <c r="U4" s="835"/>
      <c r="V4" s="865"/>
      <c r="W4" s="33" t="s">
        <v>43</v>
      </c>
      <c r="X4" s="32" t="s">
        <v>44</v>
      </c>
      <c r="Y4" s="33" t="s">
        <v>43</v>
      </c>
      <c r="Z4" s="32" t="s">
        <v>44</v>
      </c>
      <c r="AA4" s="33" t="s">
        <v>43</v>
      </c>
      <c r="AB4" s="32" t="s">
        <v>44</v>
      </c>
      <c r="AC4" s="33" t="s">
        <v>43</v>
      </c>
      <c r="AD4" s="34" t="s">
        <v>44</v>
      </c>
      <c r="AE4" s="414"/>
    </row>
    <row r="5" spans="1:33" ht="15.6" x14ac:dyDescent="0.3">
      <c r="B5" s="193" t="s">
        <v>86</v>
      </c>
      <c r="C5" s="651" t="s">
        <v>75</v>
      </c>
      <c r="D5" s="173">
        <v>2</v>
      </c>
      <c r="E5" s="174" t="s">
        <v>71</v>
      </c>
      <c r="F5" s="175" t="s">
        <v>60</v>
      </c>
      <c r="G5" s="775">
        <f>'2020'!G5</f>
        <v>63</v>
      </c>
      <c r="H5" s="776">
        <f>'2021'!G5</f>
        <v>102</v>
      </c>
      <c r="I5" s="777">
        <f>'2022'!G5</f>
        <v>0</v>
      </c>
      <c r="J5" s="778">
        <f>'2020'!H5</f>
        <v>29</v>
      </c>
      <c r="K5" s="776">
        <f>'2021'!H5</f>
        <v>94</v>
      </c>
      <c r="L5" s="777">
        <f>'2022'!H5</f>
        <v>0</v>
      </c>
      <c r="M5" s="432">
        <f>IF(G5=0,0,IF(P5=0,0,P5/G5))</f>
        <v>3.1746031746031744E-2</v>
      </c>
      <c r="N5" s="194">
        <f t="shared" ref="N5:O5" si="0">IF(H5=0,0,IF(Q5=0,0,Q5/H5))</f>
        <v>1.9607843137254902E-2</v>
      </c>
      <c r="O5" s="779">
        <f t="shared" si="0"/>
        <v>0</v>
      </c>
      <c r="P5" s="778">
        <f>'2020'!J5</f>
        <v>2</v>
      </c>
      <c r="Q5" s="776">
        <f>'2021'!J5</f>
        <v>2</v>
      </c>
      <c r="R5" s="777">
        <f>'2022'!J5</f>
        <v>0</v>
      </c>
      <c r="S5" s="432">
        <f>T5/G5</f>
        <v>0.2857142857142857</v>
      </c>
      <c r="T5" s="431">
        <v>18</v>
      </c>
      <c r="U5" s="432">
        <f>IF(V5="-","-",V5/T5)</f>
        <v>0.1111111111111111</v>
      </c>
      <c r="V5" s="199">
        <v>2</v>
      </c>
      <c r="W5" s="203" t="s">
        <v>21</v>
      </c>
      <c r="X5" s="204" t="s">
        <v>21</v>
      </c>
      <c r="Y5" s="203" t="s">
        <v>21</v>
      </c>
      <c r="Z5" s="204" t="s">
        <v>21</v>
      </c>
      <c r="AA5" s="195" t="s">
        <v>21</v>
      </c>
      <c r="AB5" s="196" t="s">
        <v>21</v>
      </c>
      <c r="AC5" s="195" t="s">
        <v>21</v>
      </c>
      <c r="AD5" s="197" t="s">
        <v>21</v>
      </c>
      <c r="AE5" s="415" t="s">
        <v>142</v>
      </c>
      <c r="AG5" s="1">
        <f t="shared" ref="AG5:AG31" si="1">IF(G5="","",1)</f>
        <v>1</v>
      </c>
    </row>
    <row r="6" spans="1:33" ht="15.6" x14ac:dyDescent="0.3">
      <c r="B6" s="769" t="s">
        <v>168</v>
      </c>
      <c r="C6" s="649" t="s">
        <v>75</v>
      </c>
      <c r="D6" s="654">
        <v>2</v>
      </c>
      <c r="E6" s="770" t="s">
        <v>169</v>
      </c>
      <c r="F6" s="771" t="s">
        <v>60</v>
      </c>
      <c r="G6" s="780">
        <f>'2020'!G21</f>
        <v>31</v>
      </c>
      <c r="H6" s="781">
        <f>'2021'!G21</f>
        <v>76</v>
      </c>
      <c r="I6" s="782">
        <f>'2022'!G21</f>
        <v>0</v>
      </c>
      <c r="J6" s="783">
        <f>'2020'!H21</f>
        <v>23</v>
      </c>
      <c r="K6" s="781">
        <f>'2021'!H21</f>
        <v>50</v>
      </c>
      <c r="L6" s="782">
        <f>'2022'!H21</f>
        <v>0</v>
      </c>
      <c r="M6" s="165">
        <f>IF(G6=0,0,IF(P6=0,0,P6/G6))</f>
        <v>0.32258064516129031</v>
      </c>
      <c r="N6" s="536">
        <f t="shared" ref="N6:N14" si="2">IF(H6=0,0,IF(Q6=0,0,Q6/H6))</f>
        <v>0.22368421052631579</v>
      </c>
      <c r="O6" s="628">
        <f t="shared" ref="O6:O14" si="3">IF(I6=0,0,IF(R6=0,0,R6/I6))</f>
        <v>0</v>
      </c>
      <c r="P6" s="783">
        <f>'2020'!J21</f>
        <v>10</v>
      </c>
      <c r="Q6" s="781">
        <f>'2021'!J21</f>
        <v>17</v>
      </c>
      <c r="R6" s="782">
        <f>'2022'!J21</f>
        <v>0</v>
      </c>
      <c r="S6" s="165">
        <f>T6/G6</f>
        <v>0.58064516129032262</v>
      </c>
      <c r="T6" s="773">
        <v>18</v>
      </c>
      <c r="U6" s="165">
        <f>IF(V6="-","-",V6/T6)</f>
        <v>0.1111111111111111</v>
      </c>
      <c r="V6" s="774">
        <v>2</v>
      </c>
      <c r="W6" s="211" t="s">
        <v>21</v>
      </c>
      <c r="X6" s="212" t="s">
        <v>21</v>
      </c>
      <c r="Y6" s="211" t="s">
        <v>21</v>
      </c>
      <c r="Z6" s="212" t="s">
        <v>21</v>
      </c>
      <c r="AA6" s="270" t="s">
        <v>21</v>
      </c>
      <c r="AB6" s="271" t="s">
        <v>21</v>
      </c>
      <c r="AC6" s="270" t="s">
        <v>21</v>
      </c>
      <c r="AD6" s="272" t="s">
        <v>21</v>
      </c>
      <c r="AE6" s="415" t="s">
        <v>142</v>
      </c>
      <c r="AG6" s="1">
        <f t="shared" ref="AG6:AG14" si="4">IF(G6="","",1)</f>
        <v>1</v>
      </c>
    </row>
    <row r="7" spans="1:33" ht="15" customHeight="1" x14ac:dyDescent="0.3">
      <c r="B7" s="893" t="s">
        <v>170</v>
      </c>
      <c r="C7" s="888" t="s">
        <v>75</v>
      </c>
      <c r="D7" s="860">
        <v>9</v>
      </c>
      <c r="E7" s="178" t="s">
        <v>171</v>
      </c>
      <c r="F7" s="179" t="s">
        <v>60</v>
      </c>
      <c r="G7" s="784">
        <f>'2020'!G7</f>
        <v>0</v>
      </c>
      <c r="H7" s="785">
        <f>'2021'!G7</f>
        <v>0</v>
      </c>
      <c r="I7" s="786">
        <f>'2022'!G7</f>
        <v>0</v>
      </c>
      <c r="J7" s="787">
        <f>'2020'!H7</f>
        <v>0</v>
      </c>
      <c r="K7" s="785">
        <f>'2021'!H7</f>
        <v>0</v>
      </c>
      <c r="L7" s="786">
        <f>'2022'!H7</f>
        <v>0</v>
      </c>
      <c r="M7" s="788">
        <f t="shared" ref="M7:M14" si="5">IF(G7=0,0,IF(P7=0,0,P7/G7))</f>
        <v>0</v>
      </c>
      <c r="N7" s="789">
        <f t="shared" si="2"/>
        <v>0</v>
      </c>
      <c r="O7" s="790">
        <f t="shared" si="3"/>
        <v>0</v>
      </c>
      <c r="P7" s="787">
        <f>'2020'!J7</f>
        <v>0</v>
      </c>
      <c r="Q7" s="785">
        <f>'2021'!J7</f>
        <v>0</v>
      </c>
      <c r="R7" s="786">
        <f>'2022'!J7</f>
        <v>0</v>
      </c>
      <c r="S7" s="145" t="e">
        <f>T7/G7</f>
        <v>#DIV/0!</v>
      </c>
      <c r="T7" s="791">
        <v>28</v>
      </c>
      <c r="U7" s="145" t="str">
        <f>IF(V7="-","-",V7/T7)</f>
        <v>-</v>
      </c>
      <c r="V7" s="200" t="s">
        <v>21</v>
      </c>
      <c r="W7" s="205" t="s">
        <v>21</v>
      </c>
      <c r="X7" s="206" t="s">
        <v>21</v>
      </c>
      <c r="Y7" s="205" t="s">
        <v>21</v>
      </c>
      <c r="Z7" s="206" t="s">
        <v>21</v>
      </c>
      <c r="AA7" s="147" t="s">
        <v>21</v>
      </c>
      <c r="AB7" s="144" t="s">
        <v>21</v>
      </c>
      <c r="AC7" s="147" t="s">
        <v>21</v>
      </c>
      <c r="AD7" s="169" t="s">
        <v>21</v>
      </c>
      <c r="AE7" s="415" t="s">
        <v>142</v>
      </c>
      <c r="AG7" s="1">
        <f t="shared" si="4"/>
        <v>1</v>
      </c>
    </row>
    <row r="8" spans="1:33" ht="15" customHeight="1" x14ac:dyDescent="0.3">
      <c r="B8" s="893"/>
      <c r="C8" s="888"/>
      <c r="D8" s="860"/>
      <c r="E8" s="181" t="s">
        <v>171</v>
      </c>
      <c r="F8" s="182" t="s">
        <v>60</v>
      </c>
      <c r="G8" s="638">
        <f>'2020'!G8</f>
        <v>0</v>
      </c>
      <c r="H8" s="639">
        <f>'2021'!G8</f>
        <v>0</v>
      </c>
      <c r="I8" s="640">
        <f>'2022'!G8</f>
        <v>0</v>
      </c>
      <c r="J8" s="641">
        <f>'2020'!H8</f>
        <v>0</v>
      </c>
      <c r="K8" s="639">
        <f>'2021'!H8</f>
        <v>0</v>
      </c>
      <c r="L8" s="640">
        <f>'2022'!H8</f>
        <v>0</v>
      </c>
      <c r="M8" s="644">
        <f t="shared" si="5"/>
        <v>0</v>
      </c>
      <c r="N8" s="645">
        <f t="shared" si="2"/>
        <v>0</v>
      </c>
      <c r="O8" s="646">
        <f t="shared" si="3"/>
        <v>0</v>
      </c>
      <c r="P8" s="641">
        <f>'2020'!J8</f>
        <v>0</v>
      </c>
      <c r="Q8" s="639">
        <f>'2021'!J8</f>
        <v>0</v>
      </c>
      <c r="R8" s="640">
        <f>'2022'!J8</f>
        <v>0</v>
      </c>
      <c r="S8" s="151" t="e">
        <f>T8/G8</f>
        <v>#DIV/0!</v>
      </c>
      <c r="T8" s="642">
        <v>14</v>
      </c>
      <c r="U8" s="151" t="str">
        <f t="shared" ref="U8:U9" si="6">IF(V8="-","-",V8/T8)</f>
        <v>-</v>
      </c>
      <c r="V8" s="201" t="s">
        <v>21</v>
      </c>
      <c r="W8" s="207" t="s">
        <v>21</v>
      </c>
      <c r="X8" s="208" t="s">
        <v>21</v>
      </c>
      <c r="Y8" s="207" t="s">
        <v>21</v>
      </c>
      <c r="Z8" s="208" t="s">
        <v>21</v>
      </c>
      <c r="AA8" s="153" t="s">
        <v>21</v>
      </c>
      <c r="AB8" s="150" t="s">
        <v>21</v>
      </c>
      <c r="AC8" s="153" t="s">
        <v>21</v>
      </c>
      <c r="AD8" s="157" t="s">
        <v>21</v>
      </c>
      <c r="AE8" s="415" t="s">
        <v>142</v>
      </c>
      <c r="AG8" s="1">
        <f t="shared" si="4"/>
        <v>1</v>
      </c>
    </row>
    <row r="9" spans="1:33" ht="15" customHeight="1" x14ac:dyDescent="0.3">
      <c r="B9" s="893"/>
      <c r="C9" s="888"/>
      <c r="D9" s="860"/>
      <c r="E9" s="181" t="s">
        <v>171</v>
      </c>
      <c r="F9" s="182" t="s">
        <v>60</v>
      </c>
      <c r="G9" s="638">
        <f>'2020'!G9</f>
        <v>0</v>
      </c>
      <c r="H9" s="639">
        <f>'2021'!G9</f>
        <v>0</v>
      </c>
      <c r="I9" s="640">
        <f>'2022'!G9</f>
        <v>0</v>
      </c>
      <c r="J9" s="641">
        <f>'2020'!H9</f>
        <v>0</v>
      </c>
      <c r="K9" s="639">
        <f>'2021'!H9</f>
        <v>0</v>
      </c>
      <c r="L9" s="640">
        <f>'2022'!H9</f>
        <v>0</v>
      </c>
      <c r="M9" s="644">
        <f t="shared" si="5"/>
        <v>0</v>
      </c>
      <c r="N9" s="645">
        <f t="shared" si="2"/>
        <v>0</v>
      </c>
      <c r="O9" s="646">
        <f t="shared" si="3"/>
        <v>0</v>
      </c>
      <c r="P9" s="641">
        <f>'2020'!J9</f>
        <v>0</v>
      </c>
      <c r="Q9" s="639">
        <f>'2021'!J9</f>
        <v>0</v>
      </c>
      <c r="R9" s="640">
        <f>'2022'!J9</f>
        <v>0</v>
      </c>
      <c r="S9" s="151" t="e">
        <f>T9/G9</f>
        <v>#DIV/0!</v>
      </c>
      <c r="T9" s="642">
        <v>3</v>
      </c>
      <c r="U9" s="151" t="str">
        <f t="shared" si="6"/>
        <v>-</v>
      </c>
      <c r="V9" s="201" t="s">
        <v>21</v>
      </c>
      <c r="W9" s="207" t="s">
        <v>21</v>
      </c>
      <c r="X9" s="208" t="s">
        <v>21</v>
      </c>
      <c r="Y9" s="207" t="s">
        <v>21</v>
      </c>
      <c r="Z9" s="208" t="s">
        <v>21</v>
      </c>
      <c r="AA9" s="153" t="s">
        <v>21</v>
      </c>
      <c r="AB9" s="150" t="s">
        <v>21</v>
      </c>
      <c r="AC9" s="153" t="s">
        <v>21</v>
      </c>
      <c r="AD9" s="157" t="s">
        <v>21</v>
      </c>
      <c r="AE9" s="415" t="s">
        <v>142</v>
      </c>
      <c r="AG9" s="1">
        <f t="shared" si="4"/>
        <v>1</v>
      </c>
    </row>
    <row r="10" spans="1:33" ht="15" customHeight="1" x14ac:dyDescent="0.3">
      <c r="B10" s="893"/>
      <c r="C10" s="888"/>
      <c r="D10" s="860"/>
      <c r="E10" s="181" t="s">
        <v>171</v>
      </c>
      <c r="F10" s="182" t="s">
        <v>60</v>
      </c>
      <c r="G10" s="638">
        <f>'2020'!G10</f>
        <v>0</v>
      </c>
      <c r="H10" s="639">
        <f>'2021'!G10</f>
        <v>0</v>
      </c>
      <c r="I10" s="640">
        <f>'2022'!G10</f>
        <v>0</v>
      </c>
      <c r="J10" s="641">
        <f>'2020'!H10</f>
        <v>0</v>
      </c>
      <c r="K10" s="639">
        <f>'2021'!H10</f>
        <v>0</v>
      </c>
      <c r="L10" s="640">
        <f>'2022'!H10</f>
        <v>0</v>
      </c>
      <c r="M10" s="644">
        <f t="shared" si="5"/>
        <v>0</v>
      </c>
      <c r="N10" s="645">
        <f t="shared" si="2"/>
        <v>0</v>
      </c>
      <c r="O10" s="646">
        <f t="shared" si="3"/>
        <v>0</v>
      </c>
      <c r="P10" s="641">
        <f>'2020'!J10</f>
        <v>0</v>
      </c>
      <c r="Q10" s="639">
        <f>'2021'!J10</f>
        <v>0</v>
      </c>
      <c r="R10" s="640">
        <f>'2022'!J10</f>
        <v>0</v>
      </c>
      <c r="S10" s="151"/>
      <c r="T10" s="642">
        <v>10</v>
      </c>
      <c r="U10" s="151"/>
      <c r="V10" s="201"/>
      <c r="W10" s="207" t="s">
        <v>21</v>
      </c>
      <c r="X10" s="208" t="s">
        <v>21</v>
      </c>
      <c r="Y10" s="207" t="s">
        <v>21</v>
      </c>
      <c r="Z10" s="208" t="s">
        <v>21</v>
      </c>
      <c r="AA10" s="153"/>
      <c r="AB10" s="150"/>
      <c r="AC10" s="153"/>
      <c r="AD10" s="157"/>
      <c r="AE10" s="415" t="s">
        <v>142</v>
      </c>
      <c r="AG10" s="1">
        <f t="shared" si="4"/>
        <v>1</v>
      </c>
    </row>
    <row r="11" spans="1:33" ht="15" customHeight="1" x14ac:dyDescent="0.3">
      <c r="B11" s="893"/>
      <c r="C11" s="888"/>
      <c r="D11" s="860"/>
      <c r="E11" s="181" t="s">
        <v>171</v>
      </c>
      <c r="F11" s="182" t="s">
        <v>60</v>
      </c>
      <c r="G11" s="638">
        <f>'2020'!G11</f>
        <v>0</v>
      </c>
      <c r="H11" s="639">
        <f>'2021'!G11</f>
        <v>0</v>
      </c>
      <c r="I11" s="640">
        <f>'2022'!G11</f>
        <v>0</v>
      </c>
      <c r="J11" s="641">
        <f>'2020'!H11</f>
        <v>0</v>
      </c>
      <c r="K11" s="639">
        <f>'2021'!H11</f>
        <v>0</v>
      </c>
      <c r="L11" s="640">
        <f>'2022'!H11</f>
        <v>0</v>
      </c>
      <c r="M11" s="644">
        <f t="shared" si="5"/>
        <v>0</v>
      </c>
      <c r="N11" s="645">
        <f t="shared" si="2"/>
        <v>0</v>
      </c>
      <c r="O11" s="646">
        <f t="shared" si="3"/>
        <v>0</v>
      </c>
      <c r="P11" s="641">
        <f>'2020'!J11</f>
        <v>0</v>
      </c>
      <c r="Q11" s="639">
        <f>'2021'!J11</f>
        <v>0</v>
      </c>
      <c r="R11" s="640">
        <f>'2022'!J11</f>
        <v>0</v>
      </c>
      <c r="S11" s="151" t="e">
        <f t="shared" ref="S11:S14" si="7">T11/G11</f>
        <v>#DIV/0!</v>
      </c>
      <c r="T11" s="642">
        <v>6</v>
      </c>
      <c r="U11" s="151" t="str">
        <f t="shared" ref="U11:U14" si="8">IF(V11="-","-",V11/T11)</f>
        <v>-</v>
      </c>
      <c r="V11" s="201" t="s">
        <v>21</v>
      </c>
      <c r="W11" s="207" t="s">
        <v>21</v>
      </c>
      <c r="X11" s="208" t="s">
        <v>21</v>
      </c>
      <c r="Y11" s="207" t="s">
        <v>21</v>
      </c>
      <c r="Z11" s="208" t="s">
        <v>21</v>
      </c>
      <c r="AA11" s="153" t="s">
        <v>21</v>
      </c>
      <c r="AB11" s="150" t="s">
        <v>21</v>
      </c>
      <c r="AC11" s="153" t="s">
        <v>21</v>
      </c>
      <c r="AD11" s="157" t="s">
        <v>21</v>
      </c>
      <c r="AE11" s="415" t="s">
        <v>142</v>
      </c>
      <c r="AG11" s="1">
        <f t="shared" si="4"/>
        <v>1</v>
      </c>
    </row>
    <row r="12" spans="1:33" ht="15" customHeight="1" x14ac:dyDescent="0.3">
      <c r="B12" s="893"/>
      <c r="C12" s="888"/>
      <c r="D12" s="860"/>
      <c r="E12" s="181" t="s">
        <v>171</v>
      </c>
      <c r="F12" s="182" t="s">
        <v>60</v>
      </c>
      <c r="G12" s="638">
        <f>'2020'!G12</f>
        <v>0</v>
      </c>
      <c r="H12" s="639">
        <f>'2021'!G12</f>
        <v>0</v>
      </c>
      <c r="I12" s="640">
        <f>'2022'!G12</f>
        <v>0</v>
      </c>
      <c r="J12" s="641">
        <f>'2020'!H12</f>
        <v>0</v>
      </c>
      <c r="K12" s="639">
        <f>'2021'!H12</f>
        <v>0</v>
      </c>
      <c r="L12" s="640">
        <f>'2022'!H12</f>
        <v>0</v>
      </c>
      <c r="M12" s="644">
        <f t="shared" si="5"/>
        <v>0</v>
      </c>
      <c r="N12" s="645">
        <f t="shared" si="2"/>
        <v>0</v>
      </c>
      <c r="O12" s="646">
        <f t="shared" si="3"/>
        <v>0</v>
      </c>
      <c r="P12" s="641">
        <f>'2020'!J12</f>
        <v>0</v>
      </c>
      <c r="Q12" s="639">
        <f>'2021'!J12</f>
        <v>0</v>
      </c>
      <c r="R12" s="640">
        <f>'2022'!J12</f>
        <v>0</v>
      </c>
      <c r="S12" s="151" t="e">
        <f t="shared" si="7"/>
        <v>#DIV/0!</v>
      </c>
      <c r="T12" s="642">
        <v>7</v>
      </c>
      <c r="U12" s="151" t="str">
        <f t="shared" si="8"/>
        <v>-</v>
      </c>
      <c r="V12" s="201" t="s">
        <v>21</v>
      </c>
      <c r="W12" s="207" t="s">
        <v>21</v>
      </c>
      <c r="X12" s="208" t="s">
        <v>21</v>
      </c>
      <c r="Y12" s="207" t="s">
        <v>21</v>
      </c>
      <c r="Z12" s="208" t="s">
        <v>21</v>
      </c>
      <c r="AA12" s="153" t="s">
        <v>21</v>
      </c>
      <c r="AB12" s="150" t="s">
        <v>21</v>
      </c>
      <c r="AC12" s="153" t="s">
        <v>21</v>
      </c>
      <c r="AD12" s="157" t="s">
        <v>21</v>
      </c>
      <c r="AE12" s="415" t="s">
        <v>142</v>
      </c>
      <c r="AG12" s="1">
        <f t="shared" si="4"/>
        <v>1</v>
      </c>
    </row>
    <row r="13" spans="1:33" ht="15" customHeight="1" x14ac:dyDescent="0.3">
      <c r="B13" s="893"/>
      <c r="C13" s="888"/>
      <c r="D13" s="860"/>
      <c r="E13" s="181" t="s">
        <v>171</v>
      </c>
      <c r="F13" s="182" t="s">
        <v>60</v>
      </c>
      <c r="G13" s="638">
        <f>'2020'!G13</f>
        <v>0</v>
      </c>
      <c r="H13" s="639">
        <f>'2021'!G13</f>
        <v>0</v>
      </c>
      <c r="I13" s="640">
        <f>'2022'!G13</f>
        <v>0</v>
      </c>
      <c r="J13" s="641">
        <f>'2020'!H13</f>
        <v>0</v>
      </c>
      <c r="K13" s="639">
        <f>'2021'!H13</f>
        <v>0</v>
      </c>
      <c r="L13" s="640">
        <f>'2022'!H13</f>
        <v>0</v>
      </c>
      <c r="M13" s="644">
        <f t="shared" si="5"/>
        <v>0</v>
      </c>
      <c r="N13" s="645">
        <f t="shared" si="2"/>
        <v>0</v>
      </c>
      <c r="O13" s="646">
        <f t="shared" si="3"/>
        <v>0</v>
      </c>
      <c r="P13" s="641">
        <f>'2020'!J13</f>
        <v>0</v>
      </c>
      <c r="Q13" s="639">
        <f>'2021'!J13</f>
        <v>0</v>
      </c>
      <c r="R13" s="640">
        <f>'2022'!J13</f>
        <v>0</v>
      </c>
      <c r="S13" s="151" t="e">
        <f t="shared" si="7"/>
        <v>#DIV/0!</v>
      </c>
      <c r="T13" s="642">
        <v>7</v>
      </c>
      <c r="U13" s="151" t="str">
        <f t="shared" si="8"/>
        <v>-</v>
      </c>
      <c r="V13" s="201" t="s">
        <v>21</v>
      </c>
      <c r="W13" s="207" t="s">
        <v>21</v>
      </c>
      <c r="X13" s="208" t="s">
        <v>21</v>
      </c>
      <c r="Y13" s="207" t="s">
        <v>21</v>
      </c>
      <c r="Z13" s="208" t="s">
        <v>21</v>
      </c>
      <c r="AA13" s="153" t="s">
        <v>21</v>
      </c>
      <c r="AB13" s="150" t="s">
        <v>21</v>
      </c>
      <c r="AC13" s="153" t="s">
        <v>21</v>
      </c>
      <c r="AD13" s="157" t="s">
        <v>21</v>
      </c>
      <c r="AE13" s="415" t="s">
        <v>142</v>
      </c>
      <c r="AG13" s="1">
        <f t="shared" si="4"/>
        <v>1</v>
      </c>
    </row>
    <row r="14" spans="1:33" ht="15" customHeight="1" x14ac:dyDescent="0.3">
      <c r="B14" s="893"/>
      <c r="C14" s="888"/>
      <c r="D14" s="860"/>
      <c r="E14" s="181" t="s">
        <v>171</v>
      </c>
      <c r="F14" s="182" t="s">
        <v>60</v>
      </c>
      <c r="G14" s="638">
        <f>'2020'!G14</f>
        <v>0</v>
      </c>
      <c r="H14" s="639">
        <f>'2021'!G14</f>
        <v>0</v>
      </c>
      <c r="I14" s="640">
        <f>'2022'!G14</f>
        <v>0</v>
      </c>
      <c r="J14" s="641">
        <f>'2020'!H14</f>
        <v>0</v>
      </c>
      <c r="K14" s="639">
        <f>'2021'!H14</f>
        <v>0</v>
      </c>
      <c r="L14" s="640">
        <f>'2022'!H14</f>
        <v>0</v>
      </c>
      <c r="M14" s="644">
        <f t="shared" si="5"/>
        <v>0</v>
      </c>
      <c r="N14" s="645">
        <f t="shared" si="2"/>
        <v>0</v>
      </c>
      <c r="O14" s="646">
        <f t="shared" si="3"/>
        <v>0</v>
      </c>
      <c r="P14" s="641">
        <f>'2020'!J14</f>
        <v>0</v>
      </c>
      <c r="Q14" s="639">
        <f>'2021'!J14</f>
        <v>0</v>
      </c>
      <c r="R14" s="640">
        <f>'2022'!J14</f>
        <v>0</v>
      </c>
      <c r="S14" s="151" t="e">
        <f t="shared" si="7"/>
        <v>#DIV/0!</v>
      </c>
      <c r="T14" s="642">
        <v>12</v>
      </c>
      <c r="U14" s="151" t="str">
        <f t="shared" si="8"/>
        <v>-</v>
      </c>
      <c r="V14" s="201" t="s">
        <v>21</v>
      </c>
      <c r="W14" s="207" t="s">
        <v>21</v>
      </c>
      <c r="X14" s="208" t="s">
        <v>21</v>
      </c>
      <c r="Y14" s="207" t="s">
        <v>21</v>
      </c>
      <c r="Z14" s="208" t="s">
        <v>21</v>
      </c>
      <c r="AA14" s="153" t="s">
        <v>21</v>
      </c>
      <c r="AB14" s="150" t="s">
        <v>21</v>
      </c>
      <c r="AC14" s="153" t="s">
        <v>21</v>
      </c>
      <c r="AD14" s="157" t="s">
        <v>21</v>
      </c>
      <c r="AE14" s="415" t="s">
        <v>142</v>
      </c>
      <c r="AG14" s="1">
        <f t="shared" si="4"/>
        <v>1</v>
      </c>
    </row>
    <row r="15" spans="1:33" ht="15" customHeight="1" x14ac:dyDescent="0.3">
      <c r="B15" s="893"/>
      <c r="C15" s="888"/>
      <c r="D15" s="860"/>
      <c r="E15" s="692" t="s">
        <v>171</v>
      </c>
      <c r="F15" s="693"/>
      <c r="G15" s="638">
        <f>'2020'!G15</f>
        <v>0</v>
      </c>
      <c r="H15" s="639">
        <f>'2021'!G15</f>
        <v>0</v>
      </c>
      <c r="I15" s="640">
        <f>'2022'!G15</f>
        <v>0</v>
      </c>
      <c r="J15" s="641">
        <f>'2020'!H15</f>
        <v>0</v>
      </c>
      <c r="K15" s="639">
        <f>'2021'!H15</f>
        <v>0</v>
      </c>
      <c r="L15" s="640">
        <f>'2022'!H15</f>
        <v>0</v>
      </c>
      <c r="M15" s="644">
        <f t="shared" ref="M15:M18" si="9">IF(G15=0,0,IF(P15=0,0,P15/G15))</f>
        <v>0</v>
      </c>
      <c r="N15" s="645">
        <f t="shared" ref="N15:N18" si="10">IF(H15=0,0,IF(Q15=0,0,Q15/H15))</f>
        <v>0</v>
      </c>
      <c r="O15" s="646">
        <f t="shared" ref="O15:O18" si="11">IF(I15=0,0,IF(R15=0,0,R15/I15))</f>
        <v>0</v>
      </c>
      <c r="P15" s="641">
        <f>'2020'!J15</f>
        <v>0</v>
      </c>
      <c r="Q15" s="639">
        <f>'2021'!J15</f>
        <v>0</v>
      </c>
      <c r="R15" s="640">
        <f>'2022'!J15</f>
        <v>0</v>
      </c>
      <c r="S15" s="151" t="e">
        <f t="shared" ref="S15:S18" si="12">T15/G15</f>
        <v>#DIV/0!</v>
      </c>
      <c r="T15" s="642">
        <v>13</v>
      </c>
      <c r="U15" s="151" t="str">
        <f t="shared" ref="U15:U18" si="13">IF(V15="-","-",V15/T15)</f>
        <v>-</v>
      </c>
      <c r="V15" s="201" t="s">
        <v>21</v>
      </c>
      <c r="W15" s="207" t="s">
        <v>21</v>
      </c>
      <c r="X15" s="208" t="s">
        <v>21</v>
      </c>
      <c r="Y15" s="207" t="s">
        <v>21</v>
      </c>
      <c r="Z15" s="208" t="s">
        <v>21</v>
      </c>
      <c r="AA15" s="153" t="s">
        <v>21</v>
      </c>
      <c r="AB15" s="150" t="s">
        <v>21</v>
      </c>
      <c r="AC15" s="153" t="s">
        <v>21</v>
      </c>
      <c r="AD15" s="157" t="s">
        <v>21</v>
      </c>
      <c r="AE15" s="415"/>
    </row>
    <row r="16" spans="1:33" ht="15" customHeight="1" x14ac:dyDescent="0.3">
      <c r="B16" s="893"/>
      <c r="C16" s="888"/>
      <c r="D16" s="860"/>
      <c r="E16" s="692" t="s">
        <v>171</v>
      </c>
      <c r="F16" s="693"/>
      <c r="G16" s="638">
        <f>'2020'!G16</f>
        <v>0</v>
      </c>
      <c r="H16" s="639">
        <f>'2021'!G16</f>
        <v>0</v>
      </c>
      <c r="I16" s="640">
        <f>'2022'!G16</f>
        <v>0</v>
      </c>
      <c r="J16" s="641">
        <f>'2020'!H16</f>
        <v>0</v>
      </c>
      <c r="K16" s="639">
        <f>'2021'!H16</f>
        <v>0</v>
      </c>
      <c r="L16" s="640">
        <f>'2022'!H16</f>
        <v>0</v>
      </c>
      <c r="M16" s="644">
        <f t="shared" si="9"/>
        <v>0</v>
      </c>
      <c r="N16" s="645">
        <f t="shared" si="10"/>
        <v>0</v>
      </c>
      <c r="O16" s="646">
        <f t="shared" si="11"/>
        <v>0</v>
      </c>
      <c r="P16" s="641">
        <f>'2020'!J16</f>
        <v>0</v>
      </c>
      <c r="Q16" s="639">
        <f>'2021'!J16</f>
        <v>0</v>
      </c>
      <c r="R16" s="640">
        <f>'2022'!J16</f>
        <v>0</v>
      </c>
      <c r="S16" s="151" t="e">
        <f t="shared" si="12"/>
        <v>#DIV/0!</v>
      </c>
      <c r="T16" s="642">
        <v>14</v>
      </c>
      <c r="U16" s="151" t="str">
        <f t="shared" si="13"/>
        <v>-</v>
      </c>
      <c r="V16" s="201" t="s">
        <v>21</v>
      </c>
      <c r="W16" s="207" t="s">
        <v>21</v>
      </c>
      <c r="X16" s="208" t="s">
        <v>21</v>
      </c>
      <c r="Y16" s="207" t="s">
        <v>21</v>
      </c>
      <c r="Z16" s="208" t="s">
        <v>21</v>
      </c>
      <c r="AA16" s="153" t="s">
        <v>21</v>
      </c>
      <c r="AB16" s="150" t="s">
        <v>21</v>
      </c>
      <c r="AC16" s="153" t="s">
        <v>21</v>
      </c>
      <c r="AD16" s="157" t="s">
        <v>21</v>
      </c>
      <c r="AE16" s="415"/>
    </row>
    <row r="17" spans="2:33" ht="15" customHeight="1" x14ac:dyDescent="0.3">
      <c r="B17" s="893"/>
      <c r="C17" s="888"/>
      <c r="D17" s="860"/>
      <c r="E17" s="692"/>
      <c r="F17" s="693"/>
      <c r="G17" s="638">
        <f>'2020'!G17</f>
        <v>0</v>
      </c>
      <c r="H17" s="639">
        <f>'2021'!G17</f>
        <v>0</v>
      </c>
      <c r="I17" s="640">
        <f>'2022'!G17</f>
        <v>0</v>
      </c>
      <c r="J17" s="641">
        <f>'2020'!H17</f>
        <v>0</v>
      </c>
      <c r="K17" s="639">
        <f>'2021'!H17</f>
        <v>0</v>
      </c>
      <c r="L17" s="640">
        <f>'2022'!H17</f>
        <v>0</v>
      </c>
      <c r="M17" s="644">
        <f t="shared" si="9"/>
        <v>0</v>
      </c>
      <c r="N17" s="645">
        <f t="shared" si="10"/>
        <v>0</v>
      </c>
      <c r="O17" s="646">
        <f t="shared" si="11"/>
        <v>0</v>
      </c>
      <c r="P17" s="641">
        <f>'2020'!J17</f>
        <v>0</v>
      </c>
      <c r="Q17" s="639">
        <f>'2021'!J17</f>
        <v>0</v>
      </c>
      <c r="R17" s="640">
        <f>'2022'!J17</f>
        <v>0</v>
      </c>
      <c r="S17" s="151" t="e">
        <f t="shared" si="12"/>
        <v>#DIV/0!</v>
      </c>
      <c r="T17" s="642">
        <v>15</v>
      </c>
      <c r="U17" s="151" t="str">
        <f t="shared" si="13"/>
        <v>-</v>
      </c>
      <c r="V17" s="201" t="s">
        <v>21</v>
      </c>
      <c r="W17" s="207" t="s">
        <v>21</v>
      </c>
      <c r="X17" s="208" t="s">
        <v>21</v>
      </c>
      <c r="Y17" s="207" t="s">
        <v>21</v>
      </c>
      <c r="Z17" s="208" t="s">
        <v>21</v>
      </c>
      <c r="AA17" s="153" t="s">
        <v>21</v>
      </c>
      <c r="AB17" s="150" t="s">
        <v>21</v>
      </c>
      <c r="AC17" s="153" t="s">
        <v>21</v>
      </c>
      <c r="AD17" s="157" t="s">
        <v>21</v>
      </c>
      <c r="AE17" s="415"/>
    </row>
    <row r="18" spans="2:33" ht="15" customHeight="1" x14ac:dyDescent="0.3">
      <c r="B18" s="893"/>
      <c r="C18" s="888"/>
      <c r="D18" s="860"/>
      <c r="E18" s="692"/>
      <c r="F18" s="693"/>
      <c r="G18" s="638">
        <f>'2020'!G18</f>
        <v>0</v>
      </c>
      <c r="H18" s="639">
        <f>'2021'!G18</f>
        <v>0</v>
      </c>
      <c r="I18" s="640">
        <f>'2022'!G18</f>
        <v>0</v>
      </c>
      <c r="J18" s="641">
        <f>'2020'!H18</f>
        <v>0</v>
      </c>
      <c r="K18" s="639">
        <f>'2021'!H18</f>
        <v>0</v>
      </c>
      <c r="L18" s="640">
        <f>'2022'!H18</f>
        <v>0</v>
      </c>
      <c r="M18" s="644">
        <f t="shared" si="9"/>
        <v>0</v>
      </c>
      <c r="N18" s="645">
        <f t="shared" si="10"/>
        <v>0</v>
      </c>
      <c r="O18" s="646">
        <f t="shared" si="11"/>
        <v>0</v>
      </c>
      <c r="P18" s="641">
        <f>'2020'!J18</f>
        <v>0</v>
      </c>
      <c r="Q18" s="639">
        <f>'2021'!J18</f>
        <v>0</v>
      </c>
      <c r="R18" s="640">
        <f>'2022'!J18</f>
        <v>0</v>
      </c>
      <c r="S18" s="151" t="e">
        <f t="shared" si="12"/>
        <v>#DIV/0!</v>
      </c>
      <c r="T18" s="642">
        <v>16</v>
      </c>
      <c r="U18" s="151" t="str">
        <f t="shared" si="13"/>
        <v>-</v>
      </c>
      <c r="V18" s="201" t="s">
        <v>21</v>
      </c>
      <c r="W18" s="207" t="s">
        <v>21</v>
      </c>
      <c r="X18" s="208" t="s">
        <v>21</v>
      </c>
      <c r="Y18" s="207" t="s">
        <v>21</v>
      </c>
      <c r="Z18" s="208" t="s">
        <v>21</v>
      </c>
      <c r="AA18" s="153" t="s">
        <v>21</v>
      </c>
      <c r="AB18" s="150" t="s">
        <v>21</v>
      </c>
      <c r="AC18" s="153" t="s">
        <v>21</v>
      </c>
      <c r="AD18" s="157" t="s">
        <v>21</v>
      </c>
      <c r="AE18" s="415"/>
    </row>
    <row r="19" spans="2:33" ht="15" customHeight="1" x14ac:dyDescent="0.3">
      <c r="B19" s="893"/>
      <c r="C19" s="888"/>
      <c r="D19" s="860"/>
      <c r="E19" s="184" t="s">
        <v>171</v>
      </c>
      <c r="F19" s="185" t="s">
        <v>60</v>
      </c>
      <c r="G19" s="577">
        <f>'2020'!G19</f>
        <v>0</v>
      </c>
      <c r="H19" s="578">
        <f>'2021'!G19</f>
        <v>0</v>
      </c>
      <c r="I19" s="579">
        <f>'2022'!G19</f>
        <v>0</v>
      </c>
      <c r="J19" s="580">
        <f>'2020'!H19</f>
        <v>0</v>
      </c>
      <c r="K19" s="578">
        <f>'2021'!H19</f>
        <v>0</v>
      </c>
      <c r="L19" s="579">
        <f>'2022'!H19</f>
        <v>0</v>
      </c>
      <c r="M19" s="159">
        <f t="shared" ref="M19:M20" si="14">IF(G19=0,0,IF(P19=0,0,P19/G19))</f>
        <v>0</v>
      </c>
      <c r="N19" s="160">
        <f t="shared" ref="N19:N20" si="15">IF(H19=0,0,IF(Q19=0,0,Q19/H19))</f>
        <v>0</v>
      </c>
      <c r="O19" s="631">
        <f t="shared" ref="O19:O20" si="16">IF(I19=0,0,IF(R19=0,0,R19/I19))</f>
        <v>0</v>
      </c>
      <c r="P19" s="580">
        <f>'2020'!J19</f>
        <v>0</v>
      </c>
      <c r="Q19" s="578">
        <f>'2021'!J19</f>
        <v>0</v>
      </c>
      <c r="R19" s="579">
        <f>'2022'!J19</f>
        <v>0</v>
      </c>
      <c r="S19" s="159" t="e">
        <f t="shared" ref="S19:S20" si="17">T19/G19</f>
        <v>#DIV/0!</v>
      </c>
      <c r="T19" s="435"/>
      <c r="U19" s="159" t="str">
        <f t="shared" ref="U19" si="18">IF(V19="-","-",V19/T19)</f>
        <v>-</v>
      </c>
      <c r="V19" s="202" t="s">
        <v>21</v>
      </c>
      <c r="W19" s="209" t="s">
        <v>21</v>
      </c>
      <c r="X19" s="210" t="s">
        <v>21</v>
      </c>
      <c r="Y19" s="209" t="s">
        <v>21</v>
      </c>
      <c r="Z19" s="210" t="s">
        <v>21</v>
      </c>
      <c r="AA19" s="161" t="s">
        <v>21</v>
      </c>
      <c r="AB19" s="158" t="s">
        <v>21</v>
      </c>
      <c r="AC19" s="161" t="s">
        <v>21</v>
      </c>
      <c r="AD19" s="198" t="s">
        <v>21</v>
      </c>
      <c r="AE19" s="415" t="s">
        <v>142</v>
      </c>
      <c r="AG19" s="1">
        <f t="shared" ref="AG19" si="19">IF(G19="","",1)</f>
        <v>1</v>
      </c>
    </row>
    <row r="20" spans="2:33" ht="15.6" x14ac:dyDescent="0.3">
      <c r="B20" s="893"/>
      <c r="C20" s="889"/>
      <c r="D20" s="653" t="s">
        <v>138</v>
      </c>
      <c r="E20" s="390"/>
      <c r="F20" s="391"/>
      <c r="G20" s="581">
        <f t="shared" ref="G20:L20" si="20">SUM(G7:G19)</f>
        <v>0</v>
      </c>
      <c r="H20" s="582">
        <f t="shared" si="20"/>
        <v>0</v>
      </c>
      <c r="I20" s="583">
        <f t="shared" si="20"/>
        <v>0</v>
      </c>
      <c r="J20" s="584">
        <f t="shared" si="20"/>
        <v>0</v>
      </c>
      <c r="K20" s="582">
        <f t="shared" si="20"/>
        <v>0</v>
      </c>
      <c r="L20" s="583">
        <f t="shared" si="20"/>
        <v>0</v>
      </c>
      <c r="M20" s="165">
        <f t="shared" si="14"/>
        <v>0</v>
      </c>
      <c r="N20" s="536">
        <f t="shared" si="15"/>
        <v>0</v>
      </c>
      <c r="O20" s="628">
        <f t="shared" si="16"/>
        <v>0</v>
      </c>
      <c r="P20" s="584">
        <f>SUM(P7:P19)</f>
        <v>0</v>
      </c>
      <c r="Q20" s="582">
        <f>SUM(Q7:Q19)</f>
        <v>0</v>
      </c>
      <c r="R20" s="583">
        <f>SUM(R7:R19)</f>
        <v>0</v>
      </c>
      <c r="S20" s="27" t="e">
        <f t="shared" si="17"/>
        <v>#DIV/0!</v>
      </c>
      <c r="T20" s="412">
        <f>SUM(T7:T19)</f>
        <v>145</v>
      </c>
      <c r="U20" s="27">
        <f>V20/T20</f>
        <v>0</v>
      </c>
      <c r="V20" s="412">
        <f>SUM(V7:V19)</f>
        <v>0</v>
      </c>
      <c r="W20" s="259"/>
      <c r="X20" s="260"/>
      <c r="Y20" s="259"/>
      <c r="Z20" s="260"/>
      <c r="AA20" s="259"/>
      <c r="AB20" s="260"/>
      <c r="AC20" s="259"/>
      <c r="AD20" s="261"/>
      <c r="AE20" s="415" t="s">
        <v>142</v>
      </c>
    </row>
    <row r="21" spans="2:33" ht="15" customHeight="1" x14ac:dyDescent="0.3">
      <c r="B21" s="847" t="s">
        <v>82</v>
      </c>
      <c r="C21" s="806" t="s">
        <v>75</v>
      </c>
      <c r="D21" s="890">
        <v>9</v>
      </c>
      <c r="E21" s="181" t="s">
        <v>13</v>
      </c>
      <c r="F21" s="182" t="s">
        <v>60</v>
      </c>
      <c r="G21" s="638">
        <f>'2020'!G21</f>
        <v>31</v>
      </c>
      <c r="H21" s="639">
        <f>'2021'!G21</f>
        <v>76</v>
      </c>
      <c r="I21" s="640">
        <f>'2022'!G21</f>
        <v>0</v>
      </c>
      <c r="J21" s="641">
        <f>'2020'!H21</f>
        <v>23</v>
      </c>
      <c r="K21" s="639">
        <f>'2021'!H21</f>
        <v>50</v>
      </c>
      <c r="L21" s="640">
        <f>'2022'!H21</f>
        <v>0</v>
      </c>
      <c r="M21" s="644">
        <f t="shared" ref="M21:M32" si="21">IF(G21=0,0,IF(P21=0,0,P21/G21))</f>
        <v>0.32258064516129031</v>
      </c>
      <c r="N21" s="645">
        <f t="shared" ref="N21:N32" si="22">IF(H21=0,0,IF(Q21=0,0,Q21/H21))</f>
        <v>0.22368421052631579</v>
      </c>
      <c r="O21" s="646">
        <f t="shared" ref="O21:O32" si="23">IF(I21=0,0,IF(R21=0,0,R21/I21))</f>
        <v>0</v>
      </c>
      <c r="P21" s="641">
        <f>'2020'!J21</f>
        <v>10</v>
      </c>
      <c r="Q21" s="639">
        <f>'2021'!J21</f>
        <v>17</v>
      </c>
      <c r="R21" s="640">
        <f>'2022'!J21</f>
        <v>0</v>
      </c>
      <c r="S21" s="151">
        <f>T21/G21</f>
        <v>0.90322580645161288</v>
      </c>
      <c r="T21" s="642">
        <v>28</v>
      </c>
      <c r="U21" s="151" t="str">
        <f>IF(V21="-","-",V21/T21)</f>
        <v>-</v>
      </c>
      <c r="V21" s="201" t="s">
        <v>21</v>
      </c>
      <c r="W21" s="207" t="s">
        <v>21</v>
      </c>
      <c r="X21" s="208" t="s">
        <v>21</v>
      </c>
      <c r="Y21" s="207" t="s">
        <v>21</v>
      </c>
      <c r="Z21" s="208" t="s">
        <v>21</v>
      </c>
      <c r="AA21" s="153" t="s">
        <v>21</v>
      </c>
      <c r="AB21" s="150" t="s">
        <v>21</v>
      </c>
      <c r="AC21" s="153" t="s">
        <v>21</v>
      </c>
      <c r="AD21" s="157" t="s">
        <v>21</v>
      </c>
      <c r="AE21" s="415" t="s">
        <v>142</v>
      </c>
      <c r="AG21" s="1">
        <f t="shared" si="1"/>
        <v>1</v>
      </c>
    </row>
    <row r="22" spans="2:33" ht="15" customHeight="1" x14ac:dyDescent="0.3">
      <c r="B22" s="848"/>
      <c r="C22" s="807"/>
      <c r="D22" s="890"/>
      <c r="E22" s="181" t="s">
        <v>14</v>
      </c>
      <c r="F22" s="182" t="s">
        <v>60</v>
      </c>
      <c r="G22" s="638">
        <f>'2020'!G22</f>
        <v>25</v>
      </c>
      <c r="H22" s="639">
        <f>'2021'!G22</f>
        <v>45</v>
      </c>
      <c r="I22" s="640">
        <f>'2022'!G22</f>
        <v>0</v>
      </c>
      <c r="J22" s="641">
        <f>'2020'!H22</f>
        <v>13</v>
      </c>
      <c r="K22" s="639">
        <f>'2021'!H22</f>
        <v>27</v>
      </c>
      <c r="L22" s="640">
        <f>'2022'!H22</f>
        <v>0</v>
      </c>
      <c r="M22" s="644">
        <f t="shared" si="21"/>
        <v>0.48</v>
      </c>
      <c r="N22" s="645">
        <f t="shared" si="22"/>
        <v>0.46666666666666667</v>
      </c>
      <c r="O22" s="646">
        <f t="shared" si="23"/>
        <v>0</v>
      </c>
      <c r="P22" s="641">
        <f>'2020'!J22</f>
        <v>12</v>
      </c>
      <c r="Q22" s="639">
        <f>'2021'!J22</f>
        <v>21</v>
      </c>
      <c r="R22" s="640">
        <f>'2022'!J22</f>
        <v>0</v>
      </c>
      <c r="S22" s="151">
        <f>T22/G22</f>
        <v>0.56000000000000005</v>
      </c>
      <c r="T22" s="642">
        <v>14</v>
      </c>
      <c r="U22" s="151" t="str">
        <f t="shared" ref="U22:U42" si="24">IF(V22="-","-",V22/T22)</f>
        <v>-</v>
      </c>
      <c r="V22" s="201" t="s">
        <v>21</v>
      </c>
      <c r="W22" s="207" t="s">
        <v>21</v>
      </c>
      <c r="X22" s="208" t="s">
        <v>21</v>
      </c>
      <c r="Y22" s="207" t="s">
        <v>21</v>
      </c>
      <c r="Z22" s="208" t="s">
        <v>21</v>
      </c>
      <c r="AA22" s="153" t="s">
        <v>21</v>
      </c>
      <c r="AB22" s="150" t="s">
        <v>21</v>
      </c>
      <c r="AC22" s="153" t="s">
        <v>21</v>
      </c>
      <c r="AD22" s="157" t="s">
        <v>21</v>
      </c>
      <c r="AE22" s="415" t="s">
        <v>142</v>
      </c>
      <c r="AG22" s="1">
        <f t="shared" si="1"/>
        <v>1</v>
      </c>
    </row>
    <row r="23" spans="2:33" ht="15" customHeight="1" x14ac:dyDescent="0.3">
      <c r="B23" s="848"/>
      <c r="C23" s="807"/>
      <c r="D23" s="890"/>
      <c r="E23" s="181" t="s">
        <v>15</v>
      </c>
      <c r="F23" s="182" t="s">
        <v>60</v>
      </c>
      <c r="G23" s="638">
        <f>'2020'!G23</f>
        <v>18</v>
      </c>
      <c r="H23" s="639">
        <f>'2021'!G23</f>
        <v>16</v>
      </c>
      <c r="I23" s="640">
        <f>'2022'!G23</f>
        <v>0</v>
      </c>
      <c r="J23" s="641">
        <f>'2020'!H23</f>
        <v>10</v>
      </c>
      <c r="K23" s="639">
        <f>'2021'!H23</f>
        <v>10</v>
      </c>
      <c r="L23" s="640">
        <f>'2022'!H23</f>
        <v>0</v>
      </c>
      <c r="M23" s="644">
        <f t="shared" si="21"/>
        <v>0.5</v>
      </c>
      <c r="N23" s="645">
        <f t="shared" si="22"/>
        <v>0.3125</v>
      </c>
      <c r="O23" s="646">
        <f t="shared" si="23"/>
        <v>0</v>
      </c>
      <c r="P23" s="641">
        <f>'2020'!J23</f>
        <v>9</v>
      </c>
      <c r="Q23" s="639">
        <f>'2021'!J23</f>
        <v>5</v>
      </c>
      <c r="R23" s="640">
        <f>'2022'!J23</f>
        <v>0</v>
      </c>
      <c r="S23" s="151">
        <f>T23/G23</f>
        <v>0.16666666666666666</v>
      </c>
      <c r="T23" s="642">
        <v>3</v>
      </c>
      <c r="U23" s="151" t="str">
        <f t="shared" si="24"/>
        <v>-</v>
      </c>
      <c r="V23" s="201" t="s">
        <v>21</v>
      </c>
      <c r="W23" s="207" t="s">
        <v>21</v>
      </c>
      <c r="X23" s="208" t="s">
        <v>21</v>
      </c>
      <c r="Y23" s="207" t="s">
        <v>21</v>
      </c>
      <c r="Z23" s="208" t="s">
        <v>21</v>
      </c>
      <c r="AA23" s="153" t="s">
        <v>21</v>
      </c>
      <c r="AB23" s="150" t="s">
        <v>21</v>
      </c>
      <c r="AC23" s="153" t="s">
        <v>21</v>
      </c>
      <c r="AD23" s="157" t="s">
        <v>21</v>
      </c>
      <c r="AE23" s="415" t="s">
        <v>142</v>
      </c>
      <c r="AG23" s="1">
        <f t="shared" si="1"/>
        <v>1</v>
      </c>
    </row>
    <row r="24" spans="2:33" ht="15" customHeight="1" x14ac:dyDescent="0.3">
      <c r="B24" s="848"/>
      <c r="C24" s="807"/>
      <c r="D24" s="890"/>
      <c r="E24" s="181" t="s">
        <v>141</v>
      </c>
      <c r="F24" s="182" t="s">
        <v>60</v>
      </c>
      <c r="G24" s="638">
        <f>'2020'!G24</f>
        <v>0</v>
      </c>
      <c r="H24" s="639">
        <f>'2021'!G24</f>
        <v>56</v>
      </c>
      <c r="I24" s="640">
        <f>'2022'!G24</f>
        <v>0</v>
      </c>
      <c r="J24" s="641">
        <f>'2020'!H24</f>
        <v>0</v>
      </c>
      <c r="K24" s="639">
        <f>'2021'!H24</f>
        <v>36</v>
      </c>
      <c r="L24" s="640">
        <f>'2022'!H24</f>
        <v>0</v>
      </c>
      <c r="M24" s="644">
        <f t="shared" si="21"/>
        <v>0</v>
      </c>
      <c r="N24" s="645">
        <f t="shared" si="22"/>
        <v>0.21428571428571427</v>
      </c>
      <c r="O24" s="646">
        <f t="shared" si="23"/>
        <v>0</v>
      </c>
      <c r="P24" s="641">
        <f>'2020'!J24</f>
        <v>0</v>
      </c>
      <c r="Q24" s="639">
        <f>'2021'!J24</f>
        <v>12</v>
      </c>
      <c r="R24" s="640">
        <f>'2022'!J24</f>
        <v>0</v>
      </c>
      <c r="S24" s="151"/>
      <c r="T24" s="642">
        <v>10</v>
      </c>
      <c r="U24" s="151"/>
      <c r="V24" s="201"/>
      <c r="W24" s="207" t="s">
        <v>21</v>
      </c>
      <c r="X24" s="208" t="s">
        <v>21</v>
      </c>
      <c r="Y24" s="207" t="s">
        <v>21</v>
      </c>
      <c r="Z24" s="208" t="s">
        <v>21</v>
      </c>
      <c r="AA24" s="153"/>
      <c r="AB24" s="150"/>
      <c r="AC24" s="153"/>
      <c r="AD24" s="157"/>
      <c r="AE24" s="415" t="s">
        <v>142</v>
      </c>
      <c r="AG24" s="1">
        <f t="shared" si="1"/>
        <v>1</v>
      </c>
    </row>
    <row r="25" spans="2:33" ht="15" customHeight="1" x14ac:dyDescent="0.3">
      <c r="B25" s="848"/>
      <c r="C25" s="807"/>
      <c r="D25" s="890"/>
      <c r="E25" s="181" t="s">
        <v>16</v>
      </c>
      <c r="F25" s="182" t="s">
        <v>60</v>
      </c>
      <c r="G25" s="638">
        <f>'2020'!G25</f>
        <v>14</v>
      </c>
      <c r="H25" s="639">
        <f>'2021'!G25</f>
        <v>13</v>
      </c>
      <c r="I25" s="640">
        <f>'2022'!G25</f>
        <v>0</v>
      </c>
      <c r="J25" s="641">
        <f>'2020'!H25</f>
        <v>9</v>
      </c>
      <c r="K25" s="639">
        <f>'2021'!H25</f>
        <v>8</v>
      </c>
      <c r="L25" s="640">
        <f>'2022'!H25</f>
        <v>0</v>
      </c>
      <c r="M25" s="644">
        <f t="shared" si="21"/>
        <v>7.1428571428571425E-2</v>
      </c>
      <c r="N25" s="645">
        <f t="shared" si="22"/>
        <v>0.53846153846153844</v>
      </c>
      <c r="O25" s="646">
        <f t="shared" si="23"/>
        <v>0</v>
      </c>
      <c r="P25" s="641">
        <f>'2020'!J25</f>
        <v>1</v>
      </c>
      <c r="Q25" s="639">
        <f>'2021'!J25</f>
        <v>7</v>
      </c>
      <c r="R25" s="640">
        <f>'2022'!J25</f>
        <v>0</v>
      </c>
      <c r="S25" s="151">
        <f t="shared" ref="S25:S80" si="25">T25/G25</f>
        <v>0.42857142857142855</v>
      </c>
      <c r="T25" s="642">
        <v>6</v>
      </c>
      <c r="U25" s="151" t="str">
        <f t="shared" si="24"/>
        <v>-</v>
      </c>
      <c r="V25" s="201" t="s">
        <v>21</v>
      </c>
      <c r="W25" s="207" t="s">
        <v>21</v>
      </c>
      <c r="X25" s="208" t="s">
        <v>21</v>
      </c>
      <c r="Y25" s="207" t="s">
        <v>21</v>
      </c>
      <c r="Z25" s="208" t="s">
        <v>21</v>
      </c>
      <c r="AA25" s="153" t="s">
        <v>21</v>
      </c>
      <c r="AB25" s="150" t="s">
        <v>21</v>
      </c>
      <c r="AC25" s="153" t="s">
        <v>21</v>
      </c>
      <c r="AD25" s="157" t="s">
        <v>21</v>
      </c>
      <c r="AE25" s="415" t="s">
        <v>142</v>
      </c>
      <c r="AG25" s="1">
        <f t="shared" si="1"/>
        <v>1</v>
      </c>
    </row>
    <row r="26" spans="2:33" ht="15" customHeight="1" x14ac:dyDescent="0.3">
      <c r="B26" s="848"/>
      <c r="C26" s="807"/>
      <c r="D26" s="890"/>
      <c r="E26" s="181" t="s">
        <v>17</v>
      </c>
      <c r="F26" s="182" t="s">
        <v>60</v>
      </c>
      <c r="G26" s="638">
        <f>'2020'!G26</f>
        <v>24</v>
      </c>
      <c r="H26" s="639">
        <f>'2021'!G26</f>
        <v>24</v>
      </c>
      <c r="I26" s="640">
        <f>'2022'!G26</f>
        <v>0</v>
      </c>
      <c r="J26" s="641">
        <f>'2020'!H26</f>
        <v>16</v>
      </c>
      <c r="K26" s="639">
        <f>'2021'!H26</f>
        <v>20</v>
      </c>
      <c r="L26" s="640">
        <f>'2022'!H26</f>
        <v>0</v>
      </c>
      <c r="M26" s="644">
        <f t="shared" si="21"/>
        <v>4.1666666666666664E-2</v>
      </c>
      <c r="N26" s="645">
        <f t="shared" si="22"/>
        <v>0.29166666666666669</v>
      </c>
      <c r="O26" s="646">
        <f t="shared" si="23"/>
        <v>0</v>
      </c>
      <c r="P26" s="641">
        <f>'2020'!J26</f>
        <v>1</v>
      </c>
      <c r="Q26" s="639">
        <f>'2021'!J26</f>
        <v>7</v>
      </c>
      <c r="R26" s="640">
        <f>'2022'!J26</f>
        <v>0</v>
      </c>
      <c r="S26" s="151">
        <f t="shared" si="25"/>
        <v>0.29166666666666669</v>
      </c>
      <c r="T26" s="642">
        <v>7</v>
      </c>
      <c r="U26" s="151" t="str">
        <f t="shared" si="24"/>
        <v>-</v>
      </c>
      <c r="V26" s="201" t="s">
        <v>21</v>
      </c>
      <c r="W26" s="207" t="s">
        <v>21</v>
      </c>
      <c r="X26" s="208" t="s">
        <v>21</v>
      </c>
      <c r="Y26" s="207" t="s">
        <v>21</v>
      </c>
      <c r="Z26" s="208" t="s">
        <v>21</v>
      </c>
      <c r="AA26" s="153" t="s">
        <v>21</v>
      </c>
      <c r="AB26" s="150" t="s">
        <v>21</v>
      </c>
      <c r="AC26" s="153" t="s">
        <v>21</v>
      </c>
      <c r="AD26" s="157" t="s">
        <v>21</v>
      </c>
      <c r="AE26" s="415" t="s">
        <v>142</v>
      </c>
      <c r="AG26" s="1">
        <f t="shared" si="1"/>
        <v>1</v>
      </c>
    </row>
    <row r="27" spans="2:33" ht="15" customHeight="1" x14ac:dyDescent="0.3">
      <c r="B27" s="848"/>
      <c r="C27" s="807"/>
      <c r="D27" s="890"/>
      <c r="E27" s="181" t="s">
        <v>18</v>
      </c>
      <c r="F27" s="182" t="s">
        <v>60</v>
      </c>
      <c r="G27" s="638">
        <f>'2020'!G27</f>
        <v>29</v>
      </c>
      <c r="H27" s="639">
        <f>'2021'!G27</f>
        <v>33</v>
      </c>
      <c r="I27" s="640">
        <f>'2022'!G27</f>
        <v>0</v>
      </c>
      <c r="J27" s="641">
        <f>'2020'!H27</f>
        <v>21</v>
      </c>
      <c r="K27" s="639">
        <f>'2021'!H27</f>
        <v>25</v>
      </c>
      <c r="L27" s="640">
        <f>'2022'!H27</f>
        <v>0</v>
      </c>
      <c r="M27" s="644">
        <f t="shared" si="21"/>
        <v>0</v>
      </c>
      <c r="N27" s="645">
        <f t="shared" si="22"/>
        <v>0</v>
      </c>
      <c r="O27" s="646">
        <f t="shared" si="23"/>
        <v>0</v>
      </c>
      <c r="P27" s="641">
        <f>'2020'!J27</f>
        <v>0</v>
      </c>
      <c r="Q27" s="639">
        <f>'2021'!J27</f>
        <v>0</v>
      </c>
      <c r="R27" s="640">
        <f>'2022'!J27</f>
        <v>0</v>
      </c>
      <c r="S27" s="151">
        <f t="shared" si="25"/>
        <v>0.2413793103448276</v>
      </c>
      <c r="T27" s="642">
        <v>7</v>
      </c>
      <c r="U27" s="151" t="str">
        <f t="shared" si="24"/>
        <v>-</v>
      </c>
      <c r="V27" s="201" t="s">
        <v>21</v>
      </c>
      <c r="W27" s="207" t="s">
        <v>21</v>
      </c>
      <c r="X27" s="208" t="s">
        <v>21</v>
      </c>
      <c r="Y27" s="207" t="s">
        <v>21</v>
      </c>
      <c r="Z27" s="208" t="s">
        <v>21</v>
      </c>
      <c r="AA27" s="153" t="s">
        <v>21</v>
      </c>
      <c r="AB27" s="150" t="s">
        <v>21</v>
      </c>
      <c r="AC27" s="153" t="s">
        <v>21</v>
      </c>
      <c r="AD27" s="157" t="s">
        <v>21</v>
      </c>
      <c r="AE27" s="415" t="s">
        <v>142</v>
      </c>
      <c r="AG27" s="1">
        <f t="shared" si="1"/>
        <v>1</v>
      </c>
    </row>
    <row r="28" spans="2:33" ht="15" customHeight="1" x14ac:dyDescent="0.3">
      <c r="B28" s="848"/>
      <c r="C28" s="807"/>
      <c r="D28" s="890"/>
      <c r="E28" s="181" t="s">
        <v>19</v>
      </c>
      <c r="F28" s="182" t="s">
        <v>60</v>
      </c>
      <c r="G28" s="638">
        <f>'2020'!G28</f>
        <v>27</v>
      </c>
      <c r="H28" s="639">
        <f>'2021'!G28</f>
        <v>32</v>
      </c>
      <c r="I28" s="640">
        <f>'2022'!G28</f>
        <v>0</v>
      </c>
      <c r="J28" s="641">
        <f>'2020'!H28</f>
        <v>17</v>
      </c>
      <c r="K28" s="639">
        <f>'2021'!H28</f>
        <v>17</v>
      </c>
      <c r="L28" s="640">
        <f>'2022'!H28</f>
        <v>0</v>
      </c>
      <c r="M28" s="644">
        <f t="shared" si="21"/>
        <v>0.25925925925925924</v>
      </c>
      <c r="N28" s="645">
        <f t="shared" si="22"/>
        <v>0.15625</v>
      </c>
      <c r="O28" s="646">
        <f t="shared" si="23"/>
        <v>0</v>
      </c>
      <c r="P28" s="641">
        <f>'2020'!J28</f>
        <v>7</v>
      </c>
      <c r="Q28" s="639">
        <f>'2021'!J28</f>
        <v>5</v>
      </c>
      <c r="R28" s="640">
        <f>'2022'!J28</f>
        <v>0</v>
      </c>
      <c r="S28" s="151">
        <f t="shared" si="25"/>
        <v>0.44444444444444442</v>
      </c>
      <c r="T28" s="642">
        <v>12</v>
      </c>
      <c r="U28" s="151" t="str">
        <f t="shared" si="24"/>
        <v>-</v>
      </c>
      <c r="V28" s="201" t="s">
        <v>21</v>
      </c>
      <c r="W28" s="207" t="s">
        <v>21</v>
      </c>
      <c r="X28" s="208" t="s">
        <v>21</v>
      </c>
      <c r="Y28" s="207" t="s">
        <v>21</v>
      </c>
      <c r="Z28" s="208" t="s">
        <v>21</v>
      </c>
      <c r="AA28" s="153" t="s">
        <v>21</v>
      </c>
      <c r="AB28" s="150" t="s">
        <v>21</v>
      </c>
      <c r="AC28" s="153" t="s">
        <v>21</v>
      </c>
      <c r="AD28" s="157" t="s">
        <v>21</v>
      </c>
      <c r="AE28" s="415" t="s">
        <v>142</v>
      </c>
      <c r="AG28" s="1">
        <f t="shared" si="1"/>
        <v>1</v>
      </c>
    </row>
    <row r="29" spans="2:33" ht="15" customHeight="1" x14ac:dyDescent="0.3">
      <c r="B29" s="848"/>
      <c r="C29" s="807"/>
      <c r="D29" s="891"/>
      <c r="E29" s="692"/>
      <c r="F29" s="693"/>
      <c r="G29" s="694"/>
      <c r="H29" s="695"/>
      <c r="I29" s="696"/>
      <c r="J29" s="697"/>
      <c r="K29" s="695"/>
      <c r="L29" s="696"/>
      <c r="M29" s="698"/>
      <c r="N29" s="699"/>
      <c r="O29" s="700"/>
      <c r="P29" s="697"/>
      <c r="Q29" s="695"/>
      <c r="R29" s="696"/>
      <c r="S29" s="701"/>
      <c r="T29" s="702"/>
      <c r="U29" s="701"/>
      <c r="V29" s="703"/>
      <c r="W29" s="687"/>
      <c r="X29" s="688"/>
      <c r="Y29" s="687"/>
      <c r="Z29" s="688"/>
      <c r="AA29" s="689"/>
      <c r="AB29" s="690"/>
      <c r="AC29" s="689"/>
      <c r="AD29" s="691"/>
      <c r="AE29" s="415"/>
    </row>
    <row r="30" spans="2:33" ht="15" customHeight="1" x14ac:dyDescent="0.3">
      <c r="B30" s="848"/>
      <c r="C30" s="807"/>
      <c r="D30" s="891"/>
      <c r="E30" s="692"/>
      <c r="F30" s="693"/>
      <c r="G30" s="694"/>
      <c r="H30" s="695"/>
      <c r="I30" s="696"/>
      <c r="J30" s="697"/>
      <c r="K30" s="695"/>
      <c r="L30" s="696"/>
      <c r="M30" s="698"/>
      <c r="N30" s="699"/>
      <c r="O30" s="700"/>
      <c r="P30" s="697"/>
      <c r="Q30" s="695"/>
      <c r="R30" s="696"/>
      <c r="S30" s="701"/>
      <c r="T30" s="702"/>
      <c r="U30" s="701"/>
      <c r="V30" s="703"/>
      <c r="W30" s="687"/>
      <c r="X30" s="688"/>
      <c r="Y30" s="687"/>
      <c r="Z30" s="688"/>
      <c r="AA30" s="689"/>
      <c r="AB30" s="690"/>
      <c r="AC30" s="689"/>
      <c r="AD30" s="691"/>
      <c r="AE30" s="415"/>
    </row>
    <row r="31" spans="2:33" ht="15" customHeight="1" x14ac:dyDescent="0.3">
      <c r="B31" s="848"/>
      <c r="C31" s="807"/>
      <c r="D31" s="892"/>
      <c r="E31" s="184" t="s">
        <v>5</v>
      </c>
      <c r="F31" s="185" t="s">
        <v>60</v>
      </c>
      <c r="G31" s="577">
        <f>'2020'!G31</f>
        <v>4</v>
      </c>
      <c r="H31" s="578">
        <f>'2021'!G31</f>
        <v>0</v>
      </c>
      <c r="I31" s="579">
        <f>'2022'!G31</f>
        <v>0</v>
      </c>
      <c r="J31" s="580">
        <f>'2020'!H31</f>
        <v>2</v>
      </c>
      <c r="K31" s="578">
        <f>'2021'!H31</f>
        <v>0</v>
      </c>
      <c r="L31" s="579">
        <f>'2022'!H31</f>
        <v>0</v>
      </c>
      <c r="M31" s="159">
        <f t="shared" si="21"/>
        <v>0.5</v>
      </c>
      <c r="N31" s="160">
        <f t="shared" si="22"/>
        <v>0</v>
      </c>
      <c r="O31" s="631">
        <f t="shared" si="23"/>
        <v>0</v>
      </c>
      <c r="P31" s="580">
        <f>'2020'!J31</f>
        <v>2</v>
      </c>
      <c r="Q31" s="578">
        <f>'2021'!J31</f>
        <v>0</v>
      </c>
      <c r="R31" s="579">
        <f>'2022'!J31</f>
        <v>0</v>
      </c>
      <c r="S31" s="159">
        <f t="shared" si="25"/>
        <v>0</v>
      </c>
      <c r="T31" s="435"/>
      <c r="U31" s="159" t="str">
        <f t="shared" si="24"/>
        <v>-</v>
      </c>
      <c r="V31" s="202" t="s">
        <v>21</v>
      </c>
      <c r="W31" s="209" t="s">
        <v>21</v>
      </c>
      <c r="X31" s="210" t="s">
        <v>21</v>
      </c>
      <c r="Y31" s="209" t="s">
        <v>21</v>
      </c>
      <c r="Z31" s="210" t="s">
        <v>21</v>
      </c>
      <c r="AA31" s="161" t="s">
        <v>21</v>
      </c>
      <c r="AB31" s="158" t="s">
        <v>21</v>
      </c>
      <c r="AC31" s="161" t="s">
        <v>21</v>
      </c>
      <c r="AD31" s="198" t="s">
        <v>21</v>
      </c>
      <c r="AE31" s="415" t="s">
        <v>142</v>
      </c>
      <c r="AG31" s="1">
        <f t="shared" si="1"/>
        <v>1</v>
      </c>
    </row>
    <row r="32" spans="2:33" ht="15.6" x14ac:dyDescent="0.3">
      <c r="B32" s="849"/>
      <c r="C32" s="831"/>
      <c r="D32" s="653" t="s">
        <v>138</v>
      </c>
      <c r="E32" s="390"/>
      <c r="F32" s="391"/>
      <c r="G32" s="581">
        <f t="shared" ref="G32:L32" si="26">SUM(G21:G31)</f>
        <v>172</v>
      </c>
      <c r="H32" s="582">
        <f t="shared" si="26"/>
        <v>295</v>
      </c>
      <c r="I32" s="583">
        <f t="shared" si="26"/>
        <v>0</v>
      </c>
      <c r="J32" s="584">
        <f t="shared" si="26"/>
        <v>111</v>
      </c>
      <c r="K32" s="582">
        <f t="shared" si="26"/>
        <v>193</v>
      </c>
      <c r="L32" s="583">
        <f t="shared" si="26"/>
        <v>0</v>
      </c>
      <c r="M32" s="165">
        <f t="shared" si="21"/>
        <v>0.2441860465116279</v>
      </c>
      <c r="N32" s="536">
        <f t="shared" si="22"/>
        <v>0.25084745762711863</v>
      </c>
      <c r="O32" s="628">
        <f t="shared" si="23"/>
        <v>0</v>
      </c>
      <c r="P32" s="584">
        <f>SUM(P21:P31)</f>
        <v>42</v>
      </c>
      <c r="Q32" s="582">
        <f>SUM(Q21:Q31)</f>
        <v>74</v>
      </c>
      <c r="R32" s="583">
        <f>SUM(R21:R31)</f>
        <v>0</v>
      </c>
      <c r="S32" s="27">
        <f t="shared" si="25"/>
        <v>0.5058139534883721</v>
      </c>
      <c r="T32" s="412">
        <f>SUM(T21:T31)</f>
        <v>87</v>
      </c>
      <c r="U32" s="27">
        <f>V32/T32</f>
        <v>0</v>
      </c>
      <c r="V32" s="412">
        <f>SUM(V21:V31)</f>
        <v>0</v>
      </c>
      <c r="W32" s="259"/>
      <c r="X32" s="260"/>
      <c r="Y32" s="259"/>
      <c r="Z32" s="260"/>
      <c r="AA32" s="259"/>
      <c r="AB32" s="260"/>
      <c r="AC32" s="259"/>
      <c r="AD32" s="261"/>
      <c r="AE32" s="415" t="s">
        <v>142</v>
      </c>
    </row>
    <row r="33" spans="1:33" x14ac:dyDescent="0.3">
      <c r="B33" s="847" t="s">
        <v>83</v>
      </c>
      <c r="C33" s="806" t="s">
        <v>75</v>
      </c>
      <c r="D33" s="866">
        <v>9</v>
      </c>
      <c r="E33" s="178" t="s">
        <v>10</v>
      </c>
      <c r="F33" s="179" t="s">
        <v>60</v>
      </c>
      <c r="G33" s="585">
        <f>'2020'!G33</f>
        <v>37</v>
      </c>
      <c r="H33" s="586">
        <f>'2021'!G33</f>
        <v>46</v>
      </c>
      <c r="I33" s="587">
        <f>'2022'!G33</f>
        <v>0</v>
      </c>
      <c r="J33" s="588">
        <f>'2020'!H33</f>
        <v>23</v>
      </c>
      <c r="K33" s="586">
        <f>'2021'!H33</f>
        <v>32</v>
      </c>
      <c r="L33" s="587">
        <f>'2022'!H33</f>
        <v>0</v>
      </c>
      <c r="M33" s="145">
        <f t="shared" ref="M33:M44" si="27">IF(G33=0,0,IF(P33=0,0,P33/G33))</f>
        <v>0.38</v>
      </c>
      <c r="N33" s="146">
        <f t="shared" ref="N33:N44" si="28">IF(H33=0,0,IF(Q33=0,0,Q33/H33))</f>
        <v>0.65217391304347827</v>
      </c>
      <c r="O33" s="647">
        <f t="shared" ref="O33:O44" si="29">IF(I33=0,0,IF(R33=0,0,R33/I33))</f>
        <v>0</v>
      </c>
      <c r="P33" s="588">
        <f>'2020'!J33</f>
        <v>14.06</v>
      </c>
      <c r="Q33" s="586">
        <f>'2021'!J33</f>
        <v>30</v>
      </c>
      <c r="R33" s="587">
        <f>'2022'!J33</f>
        <v>0</v>
      </c>
      <c r="S33" s="145">
        <f t="shared" si="25"/>
        <v>0.24324324324324326</v>
      </c>
      <c r="T33" s="436">
        <v>9</v>
      </c>
      <c r="U33" s="145">
        <f t="shared" si="24"/>
        <v>1</v>
      </c>
      <c r="V33" s="200">
        <v>9</v>
      </c>
      <c r="W33" s="205" t="s">
        <v>21</v>
      </c>
      <c r="X33" s="206" t="s">
        <v>21</v>
      </c>
      <c r="Y33" s="205" t="s">
        <v>21</v>
      </c>
      <c r="Z33" s="206" t="s">
        <v>21</v>
      </c>
      <c r="AA33" s="147" t="s">
        <v>21</v>
      </c>
      <c r="AB33" s="144" t="s">
        <v>21</v>
      </c>
      <c r="AC33" s="147" t="s">
        <v>21</v>
      </c>
      <c r="AD33" s="169" t="s">
        <v>21</v>
      </c>
      <c r="AE33" s="415" t="s">
        <v>142</v>
      </c>
      <c r="AG33" s="1">
        <f t="shared" ref="AG33:AG42" si="30">IF(G33="","",1)</f>
        <v>1</v>
      </c>
    </row>
    <row r="34" spans="1:33" x14ac:dyDescent="0.3">
      <c r="B34" s="848"/>
      <c r="C34" s="807"/>
      <c r="D34" s="867"/>
      <c r="E34" s="181" t="s">
        <v>11</v>
      </c>
      <c r="F34" s="182" t="s">
        <v>60</v>
      </c>
      <c r="G34" s="589">
        <f>'2020'!G34</f>
        <v>33</v>
      </c>
      <c r="H34" s="590">
        <f>'2021'!G34</f>
        <v>28</v>
      </c>
      <c r="I34" s="591">
        <f>'2022'!G34</f>
        <v>0</v>
      </c>
      <c r="J34" s="592">
        <f>'2020'!H34</f>
        <v>15</v>
      </c>
      <c r="K34" s="590">
        <f>'2021'!H34</f>
        <v>17</v>
      </c>
      <c r="L34" s="591">
        <f>'2022'!H34</f>
        <v>0</v>
      </c>
      <c r="M34" s="151">
        <f t="shared" si="27"/>
        <v>0.3</v>
      </c>
      <c r="N34" s="152">
        <f t="shared" si="28"/>
        <v>0.6428571428571429</v>
      </c>
      <c r="O34" s="648">
        <f t="shared" si="29"/>
        <v>0</v>
      </c>
      <c r="P34" s="592">
        <f>'2020'!J34</f>
        <v>9.9</v>
      </c>
      <c r="Q34" s="590">
        <f>'2021'!J34</f>
        <v>18</v>
      </c>
      <c r="R34" s="591">
        <f>'2022'!J34</f>
        <v>0</v>
      </c>
      <c r="S34" s="151">
        <f t="shared" si="25"/>
        <v>0.27272727272727271</v>
      </c>
      <c r="T34" s="437">
        <v>9</v>
      </c>
      <c r="U34" s="151">
        <f t="shared" si="24"/>
        <v>0.77777777777777779</v>
      </c>
      <c r="V34" s="201">
        <v>7</v>
      </c>
      <c r="W34" s="207" t="s">
        <v>21</v>
      </c>
      <c r="X34" s="208" t="s">
        <v>21</v>
      </c>
      <c r="Y34" s="207" t="s">
        <v>21</v>
      </c>
      <c r="Z34" s="208" t="s">
        <v>21</v>
      </c>
      <c r="AA34" s="153" t="s">
        <v>21</v>
      </c>
      <c r="AB34" s="150" t="s">
        <v>21</v>
      </c>
      <c r="AC34" s="153" t="s">
        <v>21</v>
      </c>
      <c r="AD34" s="157" t="s">
        <v>21</v>
      </c>
      <c r="AE34" s="415" t="s">
        <v>142</v>
      </c>
      <c r="AG34" s="1">
        <f t="shared" si="30"/>
        <v>1</v>
      </c>
    </row>
    <row r="35" spans="1:33" x14ac:dyDescent="0.3">
      <c r="B35" s="848"/>
      <c r="C35" s="807"/>
      <c r="D35" s="867"/>
      <c r="E35" s="181" t="s">
        <v>12</v>
      </c>
      <c r="F35" s="182" t="s">
        <v>60</v>
      </c>
      <c r="G35" s="589">
        <f>'2020'!G35</f>
        <v>6</v>
      </c>
      <c r="H35" s="590">
        <f>'2021'!G35</f>
        <v>5</v>
      </c>
      <c r="I35" s="591">
        <f>'2022'!G35</f>
        <v>0</v>
      </c>
      <c r="J35" s="592">
        <f>'2020'!H35</f>
        <v>5</v>
      </c>
      <c r="K35" s="590">
        <f>'2021'!H35</f>
        <v>5</v>
      </c>
      <c r="L35" s="591">
        <f>'2022'!H35</f>
        <v>0</v>
      </c>
      <c r="M35" s="151">
        <f t="shared" si="27"/>
        <v>0</v>
      </c>
      <c r="N35" s="152">
        <f t="shared" si="28"/>
        <v>0.6</v>
      </c>
      <c r="O35" s="648">
        <f t="shared" si="29"/>
        <v>0</v>
      </c>
      <c r="P35" s="592">
        <f>'2020'!J35</f>
        <v>0</v>
      </c>
      <c r="Q35" s="590">
        <f>'2021'!J35</f>
        <v>3</v>
      </c>
      <c r="R35" s="591">
        <f>'2022'!J35</f>
        <v>0</v>
      </c>
      <c r="S35" s="151">
        <f t="shared" si="25"/>
        <v>0.16666666666666666</v>
      </c>
      <c r="T35" s="437">
        <v>1</v>
      </c>
      <c r="U35" s="151">
        <f t="shared" si="24"/>
        <v>1</v>
      </c>
      <c r="V35" s="201">
        <v>1</v>
      </c>
      <c r="W35" s="207" t="s">
        <v>21</v>
      </c>
      <c r="X35" s="208" t="s">
        <v>21</v>
      </c>
      <c r="Y35" s="207" t="s">
        <v>21</v>
      </c>
      <c r="Z35" s="208" t="s">
        <v>21</v>
      </c>
      <c r="AA35" s="153" t="s">
        <v>21</v>
      </c>
      <c r="AB35" s="150" t="s">
        <v>21</v>
      </c>
      <c r="AC35" s="153" t="s">
        <v>21</v>
      </c>
      <c r="AD35" s="157" t="s">
        <v>21</v>
      </c>
      <c r="AE35" s="415" t="s">
        <v>142</v>
      </c>
      <c r="AG35" s="1">
        <f t="shared" si="30"/>
        <v>1</v>
      </c>
    </row>
    <row r="36" spans="1:33" x14ac:dyDescent="0.3">
      <c r="B36" s="848"/>
      <c r="C36" s="807"/>
      <c r="D36" s="867"/>
      <c r="E36" s="181" t="s">
        <v>7</v>
      </c>
      <c r="F36" s="182" t="s">
        <v>60</v>
      </c>
      <c r="G36" s="589">
        <f>'2020'!G36</f>
        <v>25</v>
      </c>
      <c r="H36" s="590">
        <f>'2021'!G36</f>
        <v>45</v>
      </c>
      <c r="I36" s="591">
        <f>'2022'!G36</f>
        <v>0</v>
      </c>
      <c r="J36" s="592">
        <f>'2020'!H36</f>
        <v>15</v>
      </c>
      <c r="K36" s="590">
        <f>'2021'!H36</f>
        <v>26</v>
      </c>
      <c r="L36" s="591">
        <f>'2022'!H36</f>
        <v>0</v>
      </c>
      <c r="M36" s="151">
        <f t="shared" si="27"/>
        <v>0.28000000000000003</v>
      </c>
      <c r="N36" s="152">
        <f t="shared" si="28"/>
        <v>0.26666666666666666</v>
      </c>
      <c r="O36" s="648">
        <f t="shared" si="29"/>
        <v>0</v>
      </c>
      <c r="P36" s="592">
        <f>'2020'!J36</f>
        <v>7.0000000000000009</v>
      </c>
      <c r="Q36" s="590">
        <f>'2021'!J36</f>
        <v>12</v>
      </c>
      <c r="R36" s="591">
        <f>'2022'!J36</f>
        <v>0</v>
      </c>
      <c r="S36" s="151">
        <f t="shared" si="25"/>
        <v>0.48</v>
      </c>
      <c r="T36" s="437">
        <v>12</v>
      </c>
      <c r="U36" s="151">
        <f t="shared" si="24"/>
        <v>0.25</v>
      </c>
      <c r="V36" s="201">
        <v>3</v>
      </c>
      <c r="W36" s="207" t="s">
        <v>21</v>
      </c>
      <c r="X36" s="208" t="s">
        <v>21</v>
      </c>
      <c r="Y36" s="207" t="s">
        <v>21</v>
      </c>
      <c r="Z36" s="208" t="s">
        <v>21</v>
      </c>
      <c r="AA36" s="153" t="s">
        <v>21</v>
      </c>
      <c r="AB36" s="150" t="s">
        <v>21</v>
      </c>
      <c r="AC36" s="153" t="s">
        <v>21</v>
      </c>
      <c r="AD36" s="157" t="s">
        <v>21</v>
      </c>
      <c r="AE36" s="415" t="s">
        <v>142</v>
      </c>
      <c r="AG36" s="1">
        <f t="shared" si="30"/>
        <v>1</v>
      </c>
    </row>
    <row r="37" spans="1:33" x14ac:dyDescent="0.3">
      <c r="B37" s="848"/>
      <c r="C37" s="807"/>
      <c r="D37" s="867"/>
      <c r="E37" s="181" t="s">
        <v>132</v>
      </c>
      <c r="F37" s="182" t="s">
        <v>60</v>
      </c>
      <c r="G37" s="589">
        <f>'2020'!G37</f>
        <v>15</v>
      </c>
      <c r="H37" s="590">
        <f>'2021'!G37</f>
        <v>14</v>
      </c>
      <c r="I37" s="591">
        <f>'2022'!G37</f>
        <v>0</v>
      </c>
      <c r="J37" s="592">
        <f>'2020'!H37</f>
        <v>9</v>
      </c>
      <c r="K37" s="590">
        <f>'2021'!H37</f>
        <v>9</v>
      </c>
      <c r="L37" s="591">
        <f>'2022'!H37</f>
        <v>0</v>
      </c>
      <c r="M37" s="151">
        <f t="shared" si="27"/>
        <v>0.13</v>
      </c>
      <c r="N37" s="152">
        <f t="shared" si="28"/>
        <v>0.21428571428571427</v>
      </c>
      <c r="O37" s="648">
        <f t="shared" si="29"/>
        <v>0</v>
      </c>
      <c r="P37" s="592">
        <f>'2020'!J37</f>
        <v>1.9500000000000002</v>
      </c>
      <c r="Q37" s="590">
        <f>'2021'!J37</f>
        <v>3</v>
      </c>
      <c r="R37" s="591">
        <f>'2022'!J37</f>
        <v>0</v>
      </c>
      <c r="S37" s="151">
        <f t="shared" si="25"/>
        <v>0.13333333333333333</v>
      </c>
      <c r="T37" s="437">
        <v>2</v>
      </c>
      <c r="U37" s="151">
        <f t="shared" si="24"/>
        <v>0.5</v>
      </c>
      <c r="V37" s="201">
        <v>1</v>
      </c>
      <c r="W37" s="207" t="s">
        <v>21</v>
      </c>
      <c r="X37" s="208" t="s">
        <v>21</v>
      </c>
      <c r="Y37" s="207" t="s">
        <v>21</v>
      </c>
      <c r="Z37" s="208" t="s">
        <v>21</v>
      </c>
      <c r="AA37" s="153" t="s">
        <v>21</v>
      </c>
      <c r="AB37" s="150" t="s">
        <v>21</v>
      </c>
      <c r="AC37" s="153" t="s">
        <v>21</v>
      </c>
      <c r="AD37" s="157" t="s">
        <v>21</v>
      </c>
      <c r="AE37" s="415" t="s">
        <v>142</v>
      </c>
      <c r="AG37" s="1">
        <f t="shared" si="30"/>
        <v>1</v>
      </c>
    </row>
    <row r="38" spans="1:33" x14ac:dyDescent="0.3">
      <c r="B38" s="848"/>
      <c r="C38" s="807"/>
      <c r="D38" s="867"/>
      <c r="E38" s="181" t="s">
        <v>8</v>
      </c>
      <c r="F38" s="182" t="s">
        <v>60</v>
      </c>
      <c r="G38" s="589">
        <f>'2020'!G38</f>
        <v>16</v>
      </c>
      <c r="H38" s="590">
        <f>'2021'!G38</f>
        <v>31</v>
      </c>
      <c r="I38" s="591">
        <f>'2022'!G38</f>
        <v>0</v>
      </c>
      <c r="J38" s="592">
        <f>'2020'!H38</f>
        <v>14</v>
      </c>
      <c r="K38" s="590">
        <f>'2021'!H38</f>
        <v>23</v>
      </c>
      <c r="L38" s="591">
        <f>'2022'!H38</f>
        <v>0</v>
      </c>
      <c r="M38" s="151">
        <f t="shared" si="27"/>
        <v>0.38</v>
      </c>
      <c r="N38" s="152">
        <f t="shared" si="28"/>
        <v>0.54838709677419351</v>
      </c>
      <c r="O38" s="648">
        <f t="shared" si="29"/>
        <v>0</v>
      </c>
      <c r="P38" s="592">
        <f>'2020'!J38</f>
        <v>6.08</v>
      </c>
      <c r="Q38" s="590">
        <f>'2021'!J38</f>
        <v>17</v>
      </c>
      <c r="R38" s="591">
        <f>'2022'!J38</f>
        <v>0</v>
      </c>
      <c r="S38" s="151">
        <f t="shared" si="25"/>
        <v>0.3125</v>
      </c>
      <c r="T38" s="437">
        <v>5</v>
      </c>
      <c r="U38" s="151">
        <f t="shared" si="24"/>
        <v>1</v>
      </c>
      <c r="V38" s="201">
        <v>5</v>
      </c>
      <c r="W38" s="207" t="s">
        <v>21</v>
      </c>
      <c r="X38" s="208" t="s">
        <v>21</v>
      </c>
      <c r="Y38" s="207" t="s">
        <v>21</v>
      </c>
      <c r="Z38" s="208" t="s">
        <v>21</v>
      </c>
      <c r="AA38" s="153" t="s">
        <v>21</v>
      </c>
      <c r="AB38" s="150" t="s">
        <v>21</v>
      </c>
      <c r="AC38" s="153" t="s">
        <v>21</v>
      </c>
      <c r="AD38" s="157" t="s">
        <v>21</v>
      </c>
      <c r="AE38" s="415" t="s">
        <v>142</v>
      </c>
      <c r="AG38" s="1">
        <f t="shared" si="30"/>
        <v>1</v>
      </c>
    </row>
    <row r="39" spans="1:33" x14ac:dyDescent="0.3">
      <c r="B39" s="848"/>
      <c r="C39" s="807"/>
      <c r="D39" s="867"/>
      <c r="E39" s="181" t="s">
        <v>6</v>
      </c>
      <c r="F39" s="182" t="s">
        <v>60</v>
      </c>
      <c r="G39" s="589">
        <f>'2020'!G39</f>
        <v>7</v>
      </c>
      <c r="H39" s="590">
        <f>'2021'!G39</f>
        <v>12</v>
      </c>
      <c r="I39" s="591">
        <f>'2022'!G39</f>
        <v>0</v>
      </c>
      <c r="J39" s="592">
        <f>'2020'!H39</f>
        <v>5</v>
      </c>
      <c r="K39" s="590">
        <f>'2021'!H39</f>
        <v>7</v>
      </c>
      <c r="L39" s="591">
        <f>'2022'!H39</f>
        <v>0</v>
      </c>
      <c r="M39" s="151">
        <f t="shared" si="27"/>
        <v>0.14000000000000001</v>
      </c>
      <c r="N39" s="152">
        <f t="shared" si="28"/>
        <v>0.33333333333333331</v>
      </c>
      <c r="O39" s="648">
        <f t="shared" si="29"/>
        <v>0</v>
      </c>
      <c r="P39" s="592">
        <f>'2020'!J39</f>
        <v>0.98000000000000009</v>
      </c>
      <c r="Q39" s="590">
        <f>'2021'!J39</f>
        <v>4</v>
      </c>
      <c r="R39" s="591">
        <f>'2022'!J39</f>
        <v>0</v>
      </c>
      <c r="S39" s="151">
        <f t="shared" si="25"/>
        <v>0.5714285714285714</v>
      </c>
      <c r="T39" s="437">
        <v>4</v>
      </c>
      <c r="U39" s="151">
        <f t="shared" si="24"/>
        <v>0.5</v>
      </c>
      <c r="V39" s="201">
        <v>2</v>
      </c>
      <c r="W39" s="207" t="s">
        <v>21</v>
      </c>
      <c r="X39" s="208" t="s">
        <v>21</v>
      </c>
      <c r="Y39" s="207" t="s">
        <v>21</v>
      </c>
      <c r="Z39" s="208" t="s">
        <v>21</v>
      </c>
      <c r="AA39" s="153" t="s">
        <v>21</v>
      </c>
      <c r="AB39" s="150" t="s">
        <v>21</v>
      </c>
      <c r="AC39" s="153" t="s">
        <v>21</v>
      </c>
      <c r="AD39" s="157" t="s">
        <v>21</v>
      </c>
      <c r="AE39" s="415" t="s">
        <v>142</v>
      </c>
      <c r="AG39" s="1">
        <f t="shared" si="30"/>
        <v>1</v>
      </c>
    </row>
    <row r="40" spans="1:33" x14ac:dyDescent="0.3">
      <c r="B40" s="848"/>
      <c r="C40" s="807"/>
      <c r="D40" s="868"/>
      <c r="E40" s="692"/>
      <c r="F40" s="693"/>
      <c r="G40" s="716"/>
      <c r="H40" s="717"/>
      <c r="I40" s="718"/>
      <c r="J40" s="719"/>
      <c r="K40" s="717"/>
      <c r="L40" s="718"/>
      <c r="M40" s="701"/>
      <c r="N40" s="706"/>
      <c r="O40" s="720"/>
      <c r="P40" s="719"/>
      <c r="Q40" s="717"/>
      <c r="R40" s="718"/>
      <c r="S40" s="701"/>
      <c r="T40" s="721"/>
      <c r="U40" s="701"/>
      <c r="V40" s="703"/>
      <c r="W40" s="687"/>
      <c r="X40" s="688"/>
      <c r="Y40" s="687"/>
      <c r="Z40" s="688"/>
      <c r="AA40" s="689"/>
      <c r="AB40" s="690"/>
      <c r="AC40" s="689"/>
      <c r="AD40" s="691"/>
      <c r="AE40" s="415"/>
    </row>
    <row r="41" spans="1:33" x14ac:dyDescent="0.3">
      <c r="B41" s="848"/>
      <c r="C41" s="807"/>
      <c r="D41" s="868"/>
      <c r="E41" s="692"/>
      <c r="F41" s="693"/>
      <c r="G41" s="716"/>
      <c r="H41" s="717"/>
      <c r="I41" s="718"/>
      <c r="J41" s="719"/>
      <c r="K41" s="717"/>
      <c r="L41" s="718"/>
      <c r="M41" s="701"/>
      <c r="N41" s="706"/>
      <c r="O41" s="720"/>
      <c r="P41" s="719"/>
      <c r="Q41" s="717"/>
      <c r="R41" s="718"/>
      <c r="S41" s="701"/>
      <c r="T41" s="721"/>
      <c r="U41" s="701"/>
      <c r="V41" s="703"/>
      <c r="W41" s="687"/>
      <c r="X41" s="688"/>
      <c r="Y41" s="687"/>
      <c r="Z41" s="688"/>
      <c r="AA41" s="689"/>
      <c r="AB41" s="690"/>
      <c r="AC41" s="689"/>
      <c r="AD41" s="691"/>
      <c r="AE41" s="415"/>
    </row>
    <row r="42" spans="1:33" x14ac:dyDescent="0.3">
      <c r="B42" s="848"/>
      <c r="C42" s="807"/>
      <c r="D42" s="869"/>
      <c r="E42" s="184" t="s">
        <v>9</v>
      </c>
      <c r="F42" s="185" t="s">
        <v>60</v>
      </c>
      <c r="G42" s="577">
        <f>'2020'!G42</f>
        <v>20</v>
      </c>
      <c r="H42" s="578">
        <f>'2021'!G42</f>
        <v>17</v>
      </c>
      <c r="I42" s="579">
        <f>'2022'!G42</f>
        <v>0</v>
      </c>
      <c r="J42" s="580">
        <f>'2020'!H42</f>
        <v>9</v>
      </c>
      <c r="K42" s="578">
        <f>'2021'!H42</f>
        <v>9</v>
      </c>
      <c r="L42" s="579">
        <f>'2022'!H42</f>
        <v>0</v>
      </c>
      <c r="M42" s="159">
        <f t="shared" si="27"/>
        <v>0.25</v>
      </c>
      <c r="N42" s="160">
        <f t="shared" si="28"/>
        <v>0.41176470588235292</v>
      </c>
      <c r="O42" s="631">
        <f t="shared" si="29"/>
        <v>0</v>
      </c>
      <c r="P42" s="580">
        <f>'2020'!J42</f>
        <v>5</v>
      </c>
      <c r="Q42" s="578">
        <f>'2021'!J42</f>
        <v>7</v>
      </c>
      <c r="R42" s="579">
        <f>'2022'!J42</f>
        <v>0</v>
      </c>
      <c r="S42" s="159">
        <f t="shared" si="25"/>
        <v>0.2</v>
      </c>
      <c r="T42" s="435">
        <v>4</v>
      </c>
      <c r="U42" s="159">
        <f t="shared" si="24"/>
        <v>0.25</v>
      </c>
      <c r="V42" s="202">
        <v>1</v>
      </c>
      <c r="W42" s="209" t="s">
        <v>21</v>
      </c>
      <c r="X42" s="210" t="s">
        <v>21</v>
      </c>
      <c r="Y42" s="209" t="s">
        <v>21</v>
      </c>
      <c r="Z42" s="210" t="s">
        <v>21</v>
      </c>
      <c r="AA42" s="161" t="s">
        <v>21</v>
      </c>
      <c r="AB42" s="158" t="s">
        <v>21</v>
      </c>
      <c r="AC42" s="161" t="s">
        <v>21</v>
      </c>
      <c r="AD42" s="198" t="s">
        <v>21</v>
      </c>
      <c r="AE42" s="415" t="s">
        <v>142</v>
      </c>
      <c r="AG42" s="1">
        <f t="shared" si="30"/>
        <v>1</v>
      </c>
    </row>
    <row r="43" spans="1:33" ht="16.2" thickBot="1" x14ac:dyDescent="0.35">
      <c r="B43" s="828"/>
      <c r="C43" s="832"/>
      <c r="D43" s="555" t="s">
        <v>138</v>
      </c>
      <c r="E43" s="390"/>
      <c r="F43" s="391"/>
      <c r="G43" s="581">
        <f>SUM(G33:G42)</f>
        <v>159</v>
      </c>
      <c r="H43" s="582">
        <f t="shared" ref="H43:L43" si="31">SUM(H33:H42)</f>
        <v>198</v>
      </c>
      <c r="I43" s="583">
        <f t="shared" si="31"/>
        <v>0</v>
      </c>
      <c r="J43" s="584">
        <f t="shared" si="31"/>
        <v>95</v>
      </c>
      <c r="K43" s="582">
        <f t="shared" si="31"/>
        <v>128</v>
      </c>
      <c r="L43" s="583">
        <f t="shared" si="31"/>
        <v>0</v>
      </c>
      <c r="M43" s="165">
        <f t="shared" si="27"/>
        <v>0.28283018867924525</v>
      </c>
      <c r="N43" s="536">
        <f t="shared" si="28"/>
        <v>0.47474747474747475</v>
      </c>
      <c r="O43" s="628">
        <f t="shared" si="29"/>
        <v>0</v>
      </c>
      <c r="P43" s="584">
        <f t="shared" ref="P43:R43" si="32">SUM(P33:P42)</f>
        <v>44.97</v>
      </c>
      <c r="Q43" s="582">
        <f t="shared" si="32"/>
        <v>94</v>
      </c>
      <c r="R43" s="583">
        <f t="shared" si="32"/>
        <v>0</v>
      </c>
      <c r="S43" s="27">
        <f t="shared" si="25"/>
        <v>0.28930817610062892</v>
      </c>
      <c r="T43" s="412">
        <f t="shared" ref="T43" si="33">SUM(T33:T42)</f>
        <v>46</v>
      </c>
      <c r="U43" s="27">
        <f>V43/T43</f>
        <v>0.63043478260869568</v>
      </c>
      <c r="V43" s="412">
        <f t="shared" ref="V43" si="34">SUM(V33:V42)</f>
        <v>29</v>
      </c>
      <c r="W43" s="259"/>
      <c r="X43" s="260"/>
      <c r="Y43" s="259"/>
      <c r="Z43" s="260"/>
      <c r="AA43" s="259"/>
      <c r="AB43" s="260"/>
      <c r="AC43" s="259"/>
      <c r="AD43" s="261"/>
      <c r="AE43" s="415" t="s">
        <v>142</v>
      </c>
    </row>
    <row r="44" spans="1:33" s="53" customFormat="1" ht="21" customHeight="1" thickBot="1" x14ac:dyDescent="0.35">
      <c r="A44" s="125"/>
      <c r="B44" s="241" t="s">
        <v>78</v>
      </c>
      <c r="C44" s="557"/>
      <c r="D44" s="557">
        <f>SUM(D5:D42)</f>
        <v>31</v>
      </c>
      <c r="E44" s="133">
        <f>COUNT(G5:G31,G33:G42)</f>
        <v>33</v>
      </c>
      <c r="F44" s="67">
        <f>COUNT(P5:P42)</f>
        <v>34</v>
      </c>
      <c r="G44" s="593">
        <f t="shared" ref="G44:L44" si="35">G5+G32+G43</f>
        <v>394</v>
      </c>
      <c r="H44" s="594">
        <f t="shared" si="35"/>
        <v>595</v>
      </c>
      <c r="I44" s="595">
        <f t="shared" si="35"/>
        <v>0</v>
      </c>
      <c r="J44" s="596">
        <f t="shared" si="35"/>
        <v>235</v>
      </c>
      <c r="K44" s="594">
        <f t="shared" si="35"/>
        <v>415</v>
      </c>
      <c r="L44" s="595">
        <f t="shared" si="35"/>
        <v>0</v>
      </c>
      <c r="M44" s="439">
        <f t="shared" si="27"/>
        <v>0.22581218274111675</v>
      </c>
      <c r="N44" s="629">
        <f t="shared" si="28"/>
        <v>0.2857142857142857</v>
      </c>
      <c r="O44" s="630">
        <f t="shared" si="29"/>
        <v>0</v>
      </c>
      <c r="P44" s="596">
        <f>P5+P32+P43</f>
        <v>88.97</v>
      </c>
      <c r="Q44" s="594">
        <f>Q5+Q32+Q43</f>
        <v>170</v>
      </c>
      <c r="R44" s="595">
        <f>R5+R32+R43</f>
        <v>0</v>
      </c>
      <c r="S44" s="439">
        <f t="shared" si="25"/>
        <v>0.38324873096446699</v>
      </c>
      <c r="T44" s="438">
        <f>T5+T32+T43</f>
        <v>151</v>
      </c>
      <c r="U44" s="327">
        <f>V44/(T5+SUM(T33:T42))</f>
        <v>0.484375</v>
      </c>
      <c r="V44" s="438">
        <f>V5+V32+V43</f>
        <v>31</v>
      </c>
      <c r="W44" s="141"/>
      <c r="X44" s="142"/>
      <c r="Y44" s="141"/>
      <c r="Z44" s="142"/>
      <c r="AA44" s="141"/>
      <c r="AB44" s="142"/>
      <c r="AC44" s="141"/>
      <c r="AD44" s="143"/>
      <c r="AE44" s="416" t="s">
        <v>142</v>
      </c>
      <c r="AG44" s="1"/>
    </row>
    <row r="45" spans="1:33" ht="15" customHeight="1" x14ac:dyDescent="0.3">
      <c r="B45" s="837" t="s">
        <v>84</v>
      </c>
      <c r="C45" s="840" t="s">
        <v>76</v>
      </c>
      <c r="D45" s="887">
        <v>6</v>
      </c>
      <c r="E45" s="189" t="s">
        <v>25</v>
      </c>
      <c r="F45" s="515" t="s">
        <v>60</v>
      </c>
      <c r="G45" s="585">
        <f>'2020'!G45</f>
        <v>603</v>
      </c>
      <c r="H45" s="586">
        <f>'2021'!G45</f>
        <v>0</v>
      </c>
      <c r="I45" s="587">
        <f>'2022'!G45</f>
        <v>0</v>
      </c>
      <c r="J45" s="588">
        <f>'2020'!H45</f>
        <v>173</v>
      </c>
      <c r="K45" s="586">
        <f>'2021'!H45</f>
        <v>0</v>
      </c>
      <c r="L45" s="587">
        <f>'2022'!H45</f>
        <v>0</v>
      </c>
      <c r="M45" s="145">
        <f t="shared" ref="M45:M57" si="36">IF(G45=0,0,IF(P45=0,0,P45/G45))</f>
        <v>0.43283582089552236</v>
      </c>
      <c r="N45" s="146">
        <f t="shared" ref="N45:N57" si="37">IF(H45=0,0,IF(Q45=0,0,Q45/H45))</f>
        <v>0</v>
      </c>
      <c r="O45" s="647">
        <f t="shared" ref="O45:O57" si="38">IF(I45=0,0,IF(R45=0,0,R45/I45))</f>
        <v>0</v>
      </c>
      <c r="P45" s="588">
        <f>'2020'!J45</f>
        <v>261</v>
      </c>
      <c r="Q45" s="586">
        <f>'2021'!J45</f>
        <v>0</v>
      </c>
      <c r="R45" s="587">
        <f>'2022'!J45</f>
        <v>0</v>
      </c>
      <c r="S45" s="145">
        <f t="shared" si="25"/>
        <v>0</v>
      </c>
      <c r="T45" s="436"/>
      <c r="U45" s="145" t="str">
        <f>IF(V45="-","-",V45/T45)</f>
        <v>-</v>
      </c>
      <c r="V45" s="200" t="s">
        <v>21</v>
      </c>
      <c r="W45" s="205" t="s">
        <v>21</v>
      </c>
      <c r="X45" s="206" t="s">
        <v>21</v>
      </c>
      <c r="Y45" s="205" t="s">
        <v>21</v>
      </c>
      <c r="Z45" s="206" t="s">
        <v>21</v>
      </c>
      <c r="AA45" s="147"/>
      <c r="AB45" s="144"/>
      <c r="AC45" s="147"/>
      <c r="AD45" s="169"/>
      <c r="AE45" s="516" t="s">
        <v>142</v>
      </c>
      <c r="AG45" s="1">
        <f t="shared" ref="AG45:AG52" si="39">IF(G45="","",1)</f>
        <v>1</v>
      </c>
    </row>
    <row r="46" spans="1:33" ht="15" customHeight="1" x14ac:dyDescent="0.3">
      <c r="B46" s="838"/>
      <c r="C46" s="841"/>
      <c r="D46" s="884"/>
      <c r="E46" s="191" t="s">
        <v>26</v>
      </c>
      <c r="F46" s="517" t="s">
        <v>60</v>
      </c>
      <c r="G46" s="589">
        <f>'2020'!G46</f>
        <v>354</v>
      </c>
      <c r="H46" s="590">
        <f>'2021'!G46</f>
        <v>0</v>
      </c>
      <c r="I46" s="591">
        <f>'2022'!G46</f>
        <v>0</v>
      </c>
      <c r="J46" s="592">
        <f>'2020'!H46</f>
        <v>103</v>
      </c>
      <c r="K46" s="590">
        <f>'2021'!H46</f>
        <v>0</v>
      </c>
      <c r="L46" s="591">
        <f>'2022'!H46</f>
        <v>0</v>
      </c>
      <c r="M46" s="151">
        <f t="shared" si="36"/>
        <v>0.40112994350282488</v>
      </c>
      <c r="N46" s="152">
        <f t="shared" si="37"/>
        <v>0</v>
      </c>
      <c r="O46" s="648">
        <f t="shared" si="38"/>
        <v>0</v>
      </c>
      <c r="P46" s="592">
        <f>'2020'!J46</f>
        <v>142</v>
      </c>
      <c r="Q46" s="590">
        <f>'2021'!J46</f>
        <v>0</v>
      </c>
      <c r="R46" s="591">
        <f>'2022'!J46</f>
        <v>0</v>
      </c>
      <c r="S46" s="151">
        <f t="shared" si="25"/>
        <v>0</v>
      </c>
      <c r="T46" s="437"/>
      <c r="U46" s="151" t="str">
        <f t="shared" ref="U46:U108" si="40">IF(V46="-","-",V46/T46)</f>
        <v>-</v>
      </c>
      <c r="V46" s="201" t="s">
        <v>21</v>
      </c>
      <c r="W46" s="207" t="s">
        <v>21</v>
      </c>
      <c r="X46" s="208" t="s">
        <v>21</v>
      </c>
      <c r="Y46" s="207" t="s">
        <v>21</v>
      </c>
      <c r="Z46" s="208" t="s">
        <v>21</v>
      </c>
      <c r="AA46" s="153"/>
      <c r="AB46" s="150"/>
      <c r="AC46" s="153"/>
      <c r="AD46" s="157"/>
      <c r="AE46" s="516" t="s">
        <v>142</v>
      </c>
      <c r="AG46" s="1">
        <f t="shared" si="39"/>
        <v>1</v>
      </c>
    </row>
    <row r="47" spans="1:33" ht="15" customHeight="1" x14ac:dyDescent="0.3">
      <c r="B47" s="838"/>
      <c r="C47" s="841"/>
      <c r="D47" s="884"/>
      <c r="E47" s="191" t="s">
        <v>58</v>
      </c>
      <c r="F47" s="517" t="s">
        <v>60</v>
      </c>
      <c r="G47" s="589">
        <f>'2020'!G47</f>
        <v>222</v>
      </c>
      <c r="H47" s="590">
        <f>'2021'!G47</f>
        <v>228</v>
      </c>
      <c r="I47" s="591">
        <f>'2022'!G47</f>
        <v>0</v>
      </c>
      <c r="J47" s="592">
        <f>'2020'!H47</f>
        <v>66</v>
      </c>
      <c r="K47" s="590">
        <f>'2021'!H47</f>
        <v>125</v>
      </c>
      <c r="L47" s="591">
        <f>'2022'!H47</f>
        <v>0</v>
      </c>
      <c r="M47" s="151">
        <f t="shared" si="36"/>
        <v>0.61711711711711714</v>
      </c>
      <c r="N47" s="152">
        <f t="shared" si="37"/>
        <v>0.39473684210526316</v>
      </c>
      <c r="O47" s="648">
        <f t="shared" si="38"/>
        <v>0</v>
      </c>
      <c r="P47" s="592">
        <f>'2020'!J47</f>
        <v>137</v>
      </c>
      <c r="Q47" s="590">
        <f>'2021'!J47</f>
        <v>90</v>
      </c>
      <c r="R47" s="591">
        <f>'2022'!J47</f>
        <v>0</v>
      </c>
      <c r="S47" s="151">
        <f t="shared" si="25"/>
        <v>0.40990990990990989</v>
      </c>
      <c r="T47" s="437">
        <v>91</v>
      </c>
      <c r="U47" s="151" t="str">
        <f t="shared" si="40"/>
        <v>-</v>
      </c>
      <c r="V47" s="201" t="s">
        <v>21</v>
      </c>
      <c r="W47" s="207" t="s">
        <v>21</v>
      </c>
      <c r="X47" s="208" t="s">
        <v>21</v>
      </c>
      <c r="Y47" s="207" t="s">
        <v>21</v>
      </c>
      <c r="Z47" s="208" t="s">
        <v>21</v>
      </c>
      <c r="AA47" s="153" t="s">
        <v>21</v>
      </c>
      <c r="AB47" s="150" t="s">
        <v>21</v>
      </c>
      <c r="AC47" s="153" t="s">
        <v>21</v>
      </c>
      <c r="AD47" s="157" t="s">
        <v>21</v>
      </c>
      <c r="AE47" s="516" t="s">
        <v>142</v>
      </c>
      <c r="AG47" s="1">
        <f t="shared" si="39"/>
        <v>1</v>
      </c>
    </row>
    <row r="48" spans="1:33" ht="15" customHeight="1" x14ac:dyDescent="0.3">
      <c r="B48" s="838"/>
      <c r="C48" s="841"/>
      <c r="D48" s="884"/>
      <c r="E48" s="191" t="s">
        <v>24</v>
      </c>
      <c r="F48" s="517" t="s">
        <v>62</v>
      </c>
      <c r="G48" s="589">
        <f>'2020'!G48</f>
        <v>106</v>
      </c>
      <c r="H48" s="590">
        <f>'2021'!G48</f>
        <v>141</v>
      </c>
      <c r="I48" s="591">
        <f>'2022'!G48</f>
        <v>0</v>
      </c>
      <c r="J48" s="592">
        <f>'2020'!H48</f>
        <v>35</v>
      </c>
      <c r="K48" s="590">
        <f>'2021'!H48</f>
        <v>80</v>
      </c>
      <c r="L48" s="591">
        <f>'2022'!H48</f>
        <v>0</v>
      </c>
      <c r="M48" s="151">
        <f t="shared" si="36"/>
        <v>0.36792452830188677</v>
      </c>
      <c r="N48" s="152">
        <f t="shared" si="37"/>
        <v>0.46099290780141844</v>
      </c>
      <c r="O48" s="648">
        <f t="shared" si="38"/>
        <v>0</v>
      </c>
      <c r="P48" s="592">
        <f>'2020'!J48</f>
        <v>39</v>
      </c>
      <c r="Q48" s="590">
        <f>'2021'!J48</f>
        <v>65</v>
      </c>
      <c r="R48" s="591">
        <f>'2022'!J48</f>
        <v>0</v>
      </c>
      <c r="S48" s="151">
        <f t="shared" si="25"/>
        <v>0.58490566037735847</v>
      </c>
      <c r="T48" s="437">
        <v>62</v>
      </c>
      <c r="U48" s="151" t="str">
        <f t="shared" si="40"/>
        <v>-</v>
      </c>
      <c r="V48" s="201" t="s">
        <v>21</v>
      </c>
      <c r="W48" s="207" t="s">
        <v>21</v>
      </c>
      <c r="X48" s="208" t="s">
        <v>21</v>
      </c>
      <c r="Y48" s="207" t="s">
        <v>21</v>
      </c>
      <c r="Z48" s="208" t="s">
        <v>21</v>
      </c>
      <c r="AA48" s="153"/>
      <c r="AB48" s="150"/>
      <c r="AC48" s="153"/>
      <c r="AD48" s="157"/>
      <c r="AE48" s="516" t="s">
        <v>142</v>
      </c>
      <c r="AG48" s="1">
        <f t="shared" si="39"/>
        <v>1</v>
      </c>
    </row>
    <row r="49" spans="2:33" ht="15" customHeight="1" x14ac:dyDescent="0.3">
      <c r="B49" s="838"/>
      <c r="C49" s="841"/>
      <c r="D49" s="884"/>
      <c r="E49" s="191" t="s">
        <v>23</v>
      </c>
      <c r="F49" s="517" t="s">
        <v>60</v>
      </c>
      <c r="G49" s="589">
        <f>'2020'!G49</f>
        <v>206</v>
      </c>
      <c r="H49" s="590">
        <f>'2021'!G49</f>
        <v>234</v>
      </c>
      <c r="I49" s="591">
        <f>'2022'!G49</f>
        <v>0</v>
      </c>
      <c r="J49" s="592">
        <f>'2020'!H49</f>
        <v>70</v>
      </c>
      <c r="K49" s="590">
        <f>'2021'!H49</f>
        <v>127</v>
      </c>
      <c r="L49" s="591">
        <f>'2022'!H49</f>
        <v>0</v>
      </c>
      <c r="M49" s="151">
        <f t="shared" si="36"/>
        <v>0.42233009708737862</v>
      </c>
      <c r="N49" s="152">
        <f t="shared" si="37"/>
        <v>0.42307692307692307</v>
      </c>
      <c r="O49" s="648">
        <f t="shared" si="38"/>
        <v>0</v>
      </c>
      <c r="P49" s="592">
        <f>'2020'!J49</f>
        <v>87</v>
      </c>
      <c r="Q49" s="590">
        <f>'2021'!J49</f>
        <v>99</v>
      </c>
      <c r="R49" s="591">
        <f>'2022'!J49</f>
        <v>0</v>
      </c>
      <c r="S49" s="151">
        <f t="shared" si="25"/>
        <v>0.5436893203883495</v>
      </c>
      <c r="T49" s="437">
        <v>112</v>
      </c>
      <c r="U49" s="151" t="str">
        <f t="shared" si="40"/>
        <v>-</v>
      </c>
      <c r="V49" s="201" t="s">
        <v>21</v>
      </c>
      <c r="W49" s="207" t="s">
        <v>21</v>
      </c>
      <c r="X49" s="208" t="s">
        <v>21</v>
      </c>
      <c r="Y49" s="207" t="s">
        <v>21</v>
      </c>
      <c r="Z49" s="208" t="s">
        <v>21</v>
      </c>
      <c r="AA49" s="153" t="s">
        <v>21</v>
      </c>
      <c r="AB49" s="150" t="s">
        <v>21</v>
      </c>
      <c r="AC49" s="153" t="s">
        <v>21</v>
      </c>
      <c r="AD49" s="157" t="s">
        <v>21</v>
      </c>
      <c r="AE49" s="516" t="s">
        <v>142</v>
      </c>
      <c r="AG49" s="1">
        <f t="shared" si="39"/>
        <v>1</v>
      </c>
    </row>
    <row r="50" spans="2:33" ht="15" customHeight="1" x14ac:dyDescent="0.3">
      <c r="B50" s="838"/>
      <c r="C50" s="841"/>
      <c r="D50" s="885"/>
      <c r="E50" s="724"/>
      <c r="F50" s="725"/>
      <c r="G50" s="716"/>
      <c r="H50" s="717"/>
      <c r="I50" s="718"/>
      <c r="J50" s="719"/>
      <c r="K50" s="717"/>
      <c r="L50" s="718"/>
      <c r="M50" s="701"/>
      <c r="N50" s="706"/>
      <c r="O50" s="720"/>
      <c r="P50" s="719"/>
      <c r="Q50" s="717"/>
      <c r="R50" s="718"/>
      <c r="S50" s="701"/>
      <c r="T50" s="721"/>
      <c r="U50" s="701"/>
      <c r="V50" s="703"/>
      <c r="W50" s="687"/>
      <c r="X50" s="688"/>
      <c r="Y50" s="687"/>
      <c r="Z50" s="688"/>
      <c r="AA50" s="689"/>
      <c r="AB50" s="690"/>
      <c r="AC50" s="689"/>
      <c r="AD50" s="691"/>
      <c r="AE50" s="516"/>
    </row>
    <row r="51" spans="2:33" ht="15" customHeight="1" x14ac:dyDescent="0.3">
      <c r="B51" s="838"/>
      <c r="C51" s="841"/>
      <c r="D51" s="885"/>
      <c r="E51" s="724"/>
      <c r="F51" s="725"/>
      <c r="G51" s="716"/>
      <c r="H51" s="717"/>
      <c r="I51" s="718"/>
      <c r="J51" s="719"/>
      <c r="K51" s="717"/>
      <c r="L51" s="718"/>
      <c r="M51" s="701"/>
      <c r="N51" s="706"/>
      <c r="O51" s="720"/>
      <c r="P51" s="719"/>
      <c r="Q51" s="717"/>
      <c r="R51" s="718"/>
      <c r="S51" s="701"/>
      <c r="T51" s="721"/>
      <c r="U51" s="701"/>
      <c r="V51" s="703"/>
      <c r="W51" s="687"/>
      <c r="X51" s="688"/>
      <c r="Y51" s="687"/>
      <c r="Z51" s="688"/>
      <c r="AA51" s="689"/>
      <c r="AB51" s="690"/>
      <c r="AC51" s="689"/>
      <c r="AD51" s="691"/>
      <c r="AE51" s="516"/>
    </row>
    <row r="52" spans="2:33" ht="15" customHeight="1" x14ac:dyDescent="0.3">
      <c r="B52" s="838"/>
      <c r="C52" s="841"/>
      <c r="D52" s="886"/>
      <c r="E52" s="192" t="s">
        <v>22</v>
      </c>
      <c r="F52" s="518" t="s">
        <v>62</v>
      </c>
      <c r="G52" s="577">
        <f>'2020'!G52</f>
        <v>173</v>
      </c>
      <c r="H52" s="578">
        <f>'2021'!G52</f>
        <v>157</v>
      </c>
      <c r="I52" s="579">
        <f>'2022'!G52</f>
        <v>0</v>
      </c>
      <c r="J52" s="580">
        <f>'2020'!H52</f>
        <v>62</v>
      </c>
      <c r="K52" s="578">
        <f>'2021'!H52</f>
        <v>82</v>
      </c>
      <c r="L52" s="579">
        <f>'2022'!H52</f>
        <v>0</v>
      </c>
      <c r="M52" s="159">
        <f t="shared" si="36"/>
        <v>0.22543352601156069</v>
      </c>
      <c r="N52" s="160">
        <f t="shared" si="37"/>
        <v>0.22929936305732485</v>
      </c>
      <c r="O52" s="631">
        <f t="shared" si="38"/>
        <v>0</v>
      </c>
      <c r="P52" s="580">
        <f>'2020'!J52</f>
        <v>39</v>
      </c>
      <c r="Q52" s="578">
        <f>'2021'!J52</f>
        <v>36</v>
      </c>
      <c r="R52" s="579">
        <f>'2022'!J52</f>
        <v>0</v>
      </c>
      <c r="S52" s="159">
        <f t="shared" si="25"/>
        <v>0.2832369942196532</v>
      </c>
      <c r="T52" s="435">
        <v>49</v>
      </c>
      <c r="U52" s="159" t="str">
        <f t="shared" si="40"/>
        <v>-</v>
      </c>
      <c r="V52" s="202" t="s">
        <v>21</v>
      </c>
      <c r="W52" s="209" t="s">
        <v>21</v>
      </c>
      <c r="X52" s="210" t="s">
        <v>21</v>
      </c>
      <c r="Y52" s="209" t="s">
        <v>21</v>
      </c>
      <c r="Z52" s="210" t="s">
        <v>21</v>
      </c>
      <c r="AA52" s="161"/>
      <c r="AB52" s="158"/>
      <c r="AC52" s="161"/>
      <c r="AD52" s="198"/>
      <c r="AE52" s="516" t="s">
        <v>142</v>
      </c>
      <c r="AG52" s="1">
        <f t="shared" si="39"/>
        <v>1</v>
      </c>
    </row>
    <row r="53" spans="2:33" ht="15.6" x14ac:dyDescent="0.3">
      <c r="B53" s="839"/>
      <c r="C53" s="842"/>
      <c r="D53" s="552" t="s">
        <v>138</v>
      </c>
      <c r="E53" s="64"/>
      <c r="F53" s="65"/>
      <c r="G53" s="581">
        <f>SUM(G45:G52)</f>
        <v>1664</v>
      </c>
      <c r="H53" s="582">
        <f t="shared" ref="H53:L53" si="41">SUM(H45:H52)</f>
        <v>760</v>
      </c>
      <c r="I53" s="583">
        <f t="shared" si="41"/>
        <v>0</v>
      </c>
      <c r="J53" s="584">
        <f t="shared" si="41"/>
        <v>509</v>
      </c>
      <c r="K53" s="582">
        <f t="shared" si="41"/>
        <v>414</v>
      </c>
      <c r="L53" s="583">
        <f t="shared" si="41"/>
        <v>0</v>
      </c>
      <c r="M53" s="165">
        <f t="shared" si="36"/>
        <v>0.42367788461538464</v>
      </c>
      <c r="N53" s="536">
        <f t="shared" si="37"/>
        <v>0.38157894736842107</v>
      </c>
      <c r="O53" s="628">
        <f t="shared" si="38"/>
        <v>0</v>
      </c>
      <c r="P53" s="584">
        <f>SUM(P45:P52)</f>
        <v>705</v>
      </c>
      <c r="Q53" s="582">
        <f t="shared" ref="Q53:R53" si="42">SUM(Q45:Q52)</f>
        <v>290</v>
      </c>
      <c r="R53" s="583">
        <f t="shared" si="42"/>
        <v>0</v>
      </c>
      <c r="S53" s="165">
        <f t="shared" si="25"/>
        <v>0.18870192307692307</v>
      </c>
      <c r="T53" s="412">
        <f>SUM(T45:T52)</f>
        <v>314</v>
      </c>
      <c r="U53" s="27">
        <f>V53/T53</f>
        <v>0</v>
      </c>
      <c r="V53" s="412">
        <f t="shared" ref="V53:AD53" si="43">SUM(V45:V52)</f>
        <v>0</v>
      </c>
      <c r="W53" s="270">
        <f t="shared" si="43"/>
        <v>0</v>
      </c>
      <c r="X53" s="271">
        <f t="shared" si="43"/>
        <v>0</v>
      </c>
      <c r="Y53" s="270">
        <f t="shared" si="43"/>
        <v>0</v>
      </c>
      <c r="Z53" s="271">
        <f t="shared" si="43"/>
        <v>0</v>
      </c>
      <c r="AA53" s="270">
        <f t="shared" si="43"/>
        <v>0</v>
      </c>
      <c r="AB53" s="271">
        <f t="shared" si="43"/>
        <v>0</v>
      </c>
      <c r="AC53" s="270">
        <f t="shared" si="43"/>
        <v>0</v>
      </c>
      <c r="AD53" s="272">
        <f t="shared" si="43"/>
        <v>0</v>
      </c>
      <c r="AE53" s="415"/>
    </row>
    <row r="54" spans="2:33" x14ac:dyDescent="0.3">
      <c r="B54" s="838" t="s">
        <v>172</v>
      </c>
      <c r="C54" s="841" t="s">
        <v>76</v>
      </c>
      <c r="D54" s="866">
        <v>11</v>
      </c>
      <c r="E54" s="178" t="s">
        <v>171</v>
      </c>
      <c r="F54" s="179" t="s">
        <v>62</v>
      </c>
      <c r="G54" s="585">
        <f>'2020'!G54</f>
        <v>0</v>
      </c>
      <c r="H54" s="586">
        <f>'2021'!G46</f>
        <v>0</v>
      </c>
      <c r="I54" s="587">
        <f>'2022'!G46</f>
        <v>0</v>
      </c>
      <c r="J54" s="588">
        <f>'2020'!H54</f>
        <v>0</v>
      </c>
      <c r="K54" s="586">
        <f>'2021'!H46</f>
        <v>0</v>
      </c>
      <c r="L54" s="587">
        <f>'2022'!H46</f>
        <v>0</v>
      </c>
      <c r="M54" s="145">
        <f t="shared" si="36"/>
        <v>0</v>
      </c>
      <c r="N54" s="146">
        <f t="shared" si="37"/>
        <v>0</v>
      </c>
      <c r="O54" s="647">
        <f t="shared" si="38"/>
        <v>0</v>
      </c>
      <c r="P54" s="588">
        <f>'2020'!J54</f>
        <v>0</v>
      </c>
      <c r="Q54" s="586">
        <f>'2021'!J46</f>
        <v>0</v>
      </c>
      <c r="R54" s="587">
        <f>'2022'!J46</f>
        <v>0</v>
      </c>
      <c r="S54" s="145" t="e">
        <f t="shared" ref="S54:S57" si="44">T54/G54</f>
        <v>#DIV/0!</v>
      </c>
      <c r="T54" s="436">
        <v>12</v>
      </c>
      <c r="U54" s="145">
        <f>IF(V54="-","-",V54/T54)</f>
        <v>0.83333333333333337</v>
      </c>
      <c r="V54" s="200">
        <v>10</v>
      </c>
      <c r="W54" s="205" t="s">
        <v>21</v>
      </c>
      <c r="X54" s="206" t="s">
        <v>21</v>
      </c>
      <c r="Y54" s="205" t="s">
        <v>21</v>
      </c>
      <c r="Z54" s="206" t="s">
        <v>21</v>
      </c>
      <c r="AA54" s="662">
        <v>51</v>
      </c>
      <c r="AB54" s="663">
        <v>36</v>
      </c>
      <c r="AC54" s="662">
        <v>2</v>
      </c>
      <c r="AD54" s="664">
        <v>2</v>
      </c>
      <c r="AE54" s="415" t="s">
        <v>142</v>
      </c>
      <c r="AG54" s="1">
        <f>IF(G54="","",1)</f>
        <v>1</v>
      </c>
    </row>
    <row r="55" spans="2:33" x14ac:dyDescent="0.3">
      <c r="B55" s="838"/>
      <c r="C55" s="841"/>
      <c r="D55" s="867"/>
      <c r="E55" s="181" t="s">
        <v>171</v>
      </c>
      <c r="F55" s="182" t="s">
        <v>62</v>
      </c>
      <c r="G55" s="589">
        <f>'2020'!G55</f>
        <v>0</v>
      </c>
      <c r="H55" s="590">
        <f>'2021'!G47</f>
        <v>228</v>
      </c>
      <c r="I55" s="591">
        <f>'2022'!G47</f>
        <v>0</v>
      </c>
      <c r="J55" s="592">
        <f>'2020'!H55</f>
        <v>0</v>
      </c>
      <c r="K55" s="590">
        <f>'2021'!H47</f>
        <v>125</v>
      </c>
      <c r="L55" s="591">
        <f>'2022'!H47</f>
        <v>0</v>
      </c>
      <c r="M55" s="151">
        <f t="shared" si="36"/>
        <v>0</v>
      </c>
      <c r="N55" s="152">
        <f t="shared" si="37"/>
        <v>0.39473684210526316</v>
      </c>
      <c r="O55" s="648">
        <f t="shared" si="38"/>
        <v>0</v>
      </c>
      <c r="P55" s="592">
        <f>'2020'!J55</f>
        <v>0</v>
      </c>
      <c r="Q55" s="590">
        <f>'2021'!J47</f>
        <v>90</v>
      </c>
      <c r="R55" s="591">
        <f>'2022'!J47</f>
        <v>0</v>
      </c>
      <c r="S55" s="151" t="e">
        <f t="shared" si="44"/>
        <v>#DIV/0!</v>
      </c>
      <c r="T55" s="437">
        <v>47</v>
      </c>
      <c r="U55" s="151">
        <f>IF(V55="-","-",V55/T55)</f>
        <v>0.7021276595744681</v>
      </c>
      <c r="V55" s="201">
        <v>33</v>
      </c>
      <c r="W55" s="207" t="s">
        <v>21</v>
      </c>
      <c r="X55" s="208" t="s">
        <v>21</v>
      </c>
      <c r="Y55" s="207" t="s">
        <v>21</v>
      </c>
      <c r="Z55" s="208" t="s">
        <v>21</v>
      </c>
      <c r="AA55" s="665">
        <v>112</v>
      </c>
      <c r="AB55" s="666">
        <v>82</v>
      </c>
      <c r="AC55" s="665">
        <v>5</v>
      </c>
      <c r="AD55" s="667">
        <v>4</v>
      </c>
      <c r="AE55" s="415" t="s">
        <v>142</v>
      </c>
      <c r="AG55" s="1">
        <f>IF(G55="","",1)</f>
        <v>1</v>
      </c>
    </row>
    <row r="56" spans="2:33" x14ac:dyDescent="0.3">
      <c r="B56" s="838"/>
      <c r="C56" s="841"/>
      <c r="D56" s="867"/>
      <c r="E56" s="181" t="s">
        <v>171</v>
      </c>
      <c r="F56" s="182" t="s">
        <v>62</v>
      </c>
      <c r="G56" s="589">
        <f>'2020'!G56</f>
        <v>0</v>
      </c>
      <c r="H56" s="590">
        <f>'2021'!G48</f>
        <v>141</v>
      </c>
      <c r="I56" s="591">
        <f>'2022'!G48</f>
        <v>0</v>
      </c>
      <c r="J56" s="592">
        <f>'2020'!H56</f>
        <v>0</v>
      </c>
      <c r="K56" s="590">
        <f>'2021'!H48</f>
        <v>80</v>
      </c>
      <c r="L56" s="591">
        <f>'2022'!H48</f>
        <v>0</v>
      </c>
      <c r="M56" s="151">
        <f t="shared" si="36"/>
        <v>0</v>
      </c>
      <c r="N56" s="152">
        <f t="shared" si="37"/>
        <v>0.46099290780141844</v>
      </c>
      <c r="O56" s="648">
        <f t="shared" si="38"/>
        <v>0</v>
      </c>
      <c r="P56" s="592">
        <f>'2020'!J56</f>
        <v>0</v>
      </c>
      <c r="Q56" s="590">
        <f>'2021'!J48</f>
        <v>65</v>
      </c>
      <c r="R56" s="591">
        <f>'2022'!J48</f>
        <v>0</v>
      </c>
      <c r="S56" s="151" t="e">
        <f t="shared" si="44"/>
        <v>#DIV/0!</v>
      </c>
      <c r="T56" s="437">
        <v>12</v>
      </c>
      <c r="U56" s="151">
        <f>IF(V56="-","-",V56/T56)</f>
        <v>0.75</v>
      </c>
      <c r="V56" s="201">
        <v>9</v>
      </c>
      <c r="W56" s="207" t="s">
        <v>21</v>
      </c>
      <c r="X56" s="208" t="s">
        <v>21</v>
      </c>
      <c r="Y56" s="207" t="s">
        <v>21</v>
      </c>
      <c r="Z56" s="208" t="s">
        <v>21</v>
      </c>
      <c r="AA56" s="665">
        <v>22</v>
      </c>
      <c r="AB56" s="666">
        <v>20</v>
      </c>
      <c r="AC56" s="665">
        <v>0</v>
      </c>
      <c r="AD56" s="667">
        <v>0</v>
      </c>
      <c r="AE56" s="415" t="s">
        <v>142</v>
      </c>
      <c r="AG56" s="1">
        <f>IF(G56="","",1)</f>
        <v>1</v>
      </c>
    </row>
    <row r="57" spans="2:33" x14ac:dyDescent="0.3">
      <c r="B57" s="838"/>
      <c r="C57" s="841"/>
      <c r="D57" s="867"/>
      <c r="E57" s="181" t="s">
        <v>171</v>
      </c>
      <c r="F57" s="182" t="s">
        <v>62</v>
      </c>
      <c r="G57" s="589">
        <f>'2020'!G57</f>
        <v>0</v>
      </c>
      <c r="H57" s="590">
        <f>'2021'!G49</f>
        <v>234</v>
      </c>
      <c r="I57" s="591">
        <f>'2022'!G49</f>
        <v>0</v>
      </c>
      <c r="J57" s="592">
        <f>'2020'!H57</f>
        <v>0</v>
      </c>
      <c r="K57" s="590">
        <f>'2021'!H49</f>
        <v>127</v>
      </c>
      <c r="L57" s="591">
        <f>'2022'!H49</f>
        <v>0</v>
      </c>
      <c r="M57" s="151">
        <f t="shared" si="36"/>
        <v>0</v>
      </c>
      <c r="N57" s="152">
        <f t="shared" si="37"/>
        <v>0.42307692307692307</v>
      </c>
      <c r="O57" s="648">
        <f t="shared" si="38"/>
        <v>0</v>
      </c>
      <c r="P57" s="592">
        <f>'2020'!J57</f>
        <v>0</v>
      </c>
      <c r="Q57" s="590">
        <f>'2021'!J49</f>
        <v>99</v>
      </c>
      <c r="R57" s="591">
        <f>'2022'!J49</f>
        <v>0</v>
      </c>
      <c r="S57" s="151" t="e">
        <f t="shared" si="44"/>
        <v>#DIV/0!</v>
      </c>
      <c r="T57" s="437">
        <v>20</v>
      </c>
      <c r="U57" s="151">
        <f>IF(V57="-","-",V57/T57)</f>
        <v>0.85</v>
      </c>
      <c r="V57" s="201">
        <v>17</v>
      </c>
      <c r="W57" s="207" t="s">
        <v>21</v>
      </c>
      <c r="X57" s="208" t="s">
        <v>21</v>
      </c>
      <c r="Y57" s="207" t="s">
        <v>21</v>
      </c>
      <c r="Z57" s="208" t="s">
        <v>21</v>
      </c>
      <c r="AA57" s="665">
        <v>46</v>
      </c>
      <c r="AB57" s="666">
        <v>31</v>
      </c>
      <c r="AC57" s="665">
        <v>3</v>
      </c>
      <c r="AD57" s="667">
        <v>2</v>
      </c>
      <c r="AE57" s="415" t="s">
        <v>142</v>
      </c>
      <c r="AG57" s="1">
        <f>IF(G57="","",1)</f>
        <v>1</v>
      </c>
    </row>
    <row r="58" spans="2:33" x14ac:dyDescent="0.3">
      <c r="B58" s="838"/>
      <c r="C58" s="841"/>
      <c r="D58" s="868"/>
      <c r="E58" s="692" t="s">
        <v>171</v>
      </c>
      <c r="F58" s="693"/>
      <c r="G58" s="589">
        <f>'2020'!G58</f>
        <v>0</v>
      </c>
      <c r="H58" s="590">
        <f>'2021'!G50</f>
        <v>0</v>
      </c>
      <c r="I58" s="591">
        <f>'2022'!G50</f>
        <v>0</v>
      </c>
      <c r="J58" s="592">
        <f>'2020'!H58</f>
        <v>0</v>
      </c>
      <c r="K58" s="590">
        <f>'2021'!H50</f>
        <v>0</v>
      </c>
      <c r="L58" s="591">
        <f>'2022'!H50</f>
        <v>0</v>
      </c>
      <c r="M58" s="151">
        <f t="shared" ref="M58:M59" si="45">IF(G58=0,0,IF(P58=0,0,P58/G58))</f>
        <v>0</v>
      </c>
      <c r="N58" s="152">
        <f t="shared" ref="N58:N59" si="46">IF(H58=0,0,IF(Q58=0,0,Q58/H58))</f>
        <v>0</v>
      </c>
      <c r="O58" s="648">
        <f t="shared" ref="O58:O59" si="47">IF(I58=0,0,IF(R58=0,0,R58/I58))</f>
        <v>0</v>
      </c>
      <c r="P58" s="592">
        <f>'2020'!J58</f>
        <v>0</v>
      </c>
      <c r="Q58" s="590">
        <f>'2021'!J50</f>
        <v>0</v>
      </c>
      <c r="R58" s="591">
        <f>'2022'!J50</f>
        <v>0</v>
      </c>
      <c r="S58" s="151" t="e">
        <f t="shared" ref="S58:S59" si="48">T58/G58</f>
        <v>#DIV/0!</v>
      </c>
      <c r="T58" s="437">
        <v>21</v>
      </c>
      <c r="U58" s="151">
        <f t="shared" ref="U58:U59" si="49">IF(V58="-","-",V58/T58)</f>
        <v>0.8571428571428571</v>
      </c>
      <c r="V58" s="201">
        <v>18</v>
      </c>
      <c r="W58" s="207" t="s">
        <v>21</v>
      </c>
      <c r="X58" s="208" t="s">
        <v>21</v>
      </c>
      <c r="Y58" s="207" t="s">
        <v>21</v>
      </c>
      <c r="Z58" s="208" t="s">
        <v>21</v>
      </c>
      <c r="AA58" s="665">
        <v>46</v>
      </c>
      <c r="AB58" s="666">
        <v>31</v>
      </c>
      <c r="AC58" s="665">
        <v>3</v>
      </c>
      <c r="AD58" s="667">
        <v>2</v>
      </c>
      <c r="AE58" s="415"/>
    </row>
    <row r="59" spans="2:33" x14ac:dyDescent="0.3">
      <c r="B59" s="838"/>
      <c r="C59" s="841"/>
      <c r="D59" s="868"/>
      <c r="E59" s="692" t="s">
        <v>171</v>
      </c>
      <c r="F59" s="693"/>
      <c r="G59" s="589">
        <f>'2020'!G59</f>
        <v>0</v>
      </c>
      <c r="H59" s="590">
        <f>'2021'!G51</f>
        <v>0</v>
      </c>
      <c r="I59" s="591">
        <f>'2022'!G51</f>
        <v>0</v>
      </c>
      <c r="J59" s="592">
        <f>'2020'!H59</f>
        <v>0</v>
      </c>
      <c r="K59" s="590">
        <f>'2021'!H51</f>
        <v>0</v>
      </c>
      <c r="L59" s="591">
        <f>'2022'!H51</f>
        <v>0</v>
      </c>
      <c r="M59" s="151">
        <f t="shared" si="45"/>
        <v>0</v>
      </c>
      <c r="N59" s="152">
        <f t="shared" si="46"/>
        <v>0</v>
      </c>
      <c r="O59" s="648">
        <f t="shared" si="47"/>
        <v>0</v>
      </c>
      <c r="P59" s="592">
        <f>'2020'!J59</f>
        <v>0</v>
      </c>
      <c r="Q59" s="590">
        <f>'2021'!J51</f>
        <v>0</v>
      </c>
      <c r="R59" s="591">
        <f>'2022'!J51</f>
        <v>0</v>
      </c>
      <c r="S59" s="151" t="e">
        <f t="shared" si="48"/>
        <v>#DIV/0!</v>
      </c>
      <c r="T59" s="437">
        <v>22</v>
      </c>
      <c r="U59" s="151">
        <f t="shared" si="49"/>
        <v>0.86363636363636365</v>
      </c>
      <c r="V59" s="201">
        <v>19</v>
      </c>
      <c r="W59" s="207" t="s">
        <v>21</v>
      </c>
      <c r="X59" s="208" t="s">
        <v>21</v>
      </c>
      <c r="Y59" s="207" t="s">
        <v>21</v>
      </c>
      <c r="Z59" s="208" t="s">
        <v>21</v>
      </c>
      <c r="AA59" s="665">
        <v>46</v>
      </c>
      <c r="AB59" s="666">
        <v>31</v>
      </c>
      <c r="AC59" s="665">
        <v>3</v>
      </c>
      <c r="AD59" s="667">
        <v>2</v>
      </c>
      <c r="AE59" s="415"/>
    </row>
    <row r="60" spans="2:33" x14ac:dyDescent="0.3">
      <c r="B60" s="838"/>
      <c r="C60" s="841"/>
      <c r="D60" s="869"/>
      <c r="E60" s="643" t="s">
        <v>171</v>
      </c>
      <c r="F60" s="188" t="s">
        <v>62</v>
      </c>
      <c r="G60" s="577">
        <f>'2020'!G60</f>
        <v>0</v>
      </c>
      <c r="H60" s="578">
        <f>'2021'!G52</f>
        <v>157</v>
      </c>
      <c r="I60" s="579">
        <f>'2022'!G52</f>
        <v>0</v>
      </c>
      <c r="J60" s="580">
        <f>'2020'!H60</f>
        <v>0</v>
      </c>
      <c r="K60" s="578">
        <f>'2021'!H52</f>
        <v>82</v>
      </c>
      <c r="L60" s="579">
        <f>'2022'!H52</f>
        <v>0</v>
      </c>
      <c r="M60" s="159">
        <f t="shared" ref="M60:M61" si="50">IF(G60=0,0,IF(P60=0,0,P60/G60))</f>
        <v>0</v>
      </c>
      <c r="N60" s="160">
        <f t="shared" ref="N60:N61" si="51">IF(H60=0,0,IF(Q60=0,0,Q60/H60))</f>
        <v>0.22929936305732485</v>
      </c>
      <c r="O60" s="631">
        <f t="shared" ref="O60:O61" si="52">IF(I60=0,0,IF(R60=0,0,R60/I60))</f>
        <v>0</v>
      </c>
      <c r="P60" s="580">
        <f>'2020'!J60</f>
        <v>0</v>
      </c>
      <c r="Q60" s="578">
        <f>'2021'!J52</f>
        <v>36</v>
      </c>
      <c r="R60" s="579">
        <f>'2022'!J52</f>
        <v>0</v>
      </c>
      <c r="S60" s="159" t="e">
        <f t="shared" ref="S60:S61" si="53">T60/G60</f>
        <v>#DIV/0!</v>
      </c>
      <c r="T60" s="435">
        <v>16</v>
      </c>
      <c r="U60" s="159">
        <f>IF(V60="-","-",V60/T60)</f>
        <v>0.9375</v>
      </c>
      <c r="V60" s="202">
        <v>15</v>
      </c>
      <c r="W60" s="209" t="s">
        <v>21</v>
      </c>
      <c r="X60" s="210" t="s">
        <v>21</v>
      </c>
      <c r="Y60" s="209" t="s">
        <v>21</v>
      </c>
      <c r="Z60" s="210" t="s">
        <v>21</v>
      </c>
      <c r="AA60" s="668">
        <v>40</v>
      </c>
      <c r="AB60" s="669">
        <v>40</v>
      </c>
      <c r="AC60" s="668">
        <v>4</v>
      </c>
      <c r="AD60" s="670">
        <v>4</v>
      </c>
      <c r="AE60" s="415" t="s">
        <v>142</v>
      </c>
      <c r="AF60" s="410" t="s">
        <v>146</v>
      </c>
      <c r="AG60" s="1">
        <f>IF(G60="","",1)</f>
        <v>1</v>
      </c>
    </row>
    <row r="61" spans="2:33" ht="15.6" x14ac:dyDescent="0.3">
      <c r="B61" s="839"/>
      <c r="C61" s="842"/>
      <c r="D61" s="792" t="s">
        <v>138</v>
      </c>
      <c r="E61" s="407"/>
      <c r="F61" s="408"/>
      <c r="G61" s="581">
        <f>SUM(G54:G60)</f>
        <v>0</v>
      </c>
      <c r="H61" s="582">
        <f t="shared" ref="H61:L61" si="54">SUM(H54:H60)</f>
        <v>760</v>
      </c>
      <c r="I61" s="583">
        <f t="shared" si="54"/>
        <v>0</v>
      </c>
      <c r="J61" s="584">
        <f t="shared" si="54"/>
        <v>0</v>
      </c>
      <c r="K61" s="582">
        <f t="shared" si="54"/>
        <v>414</v>
      </c>
      <c r="L61" s="583">
        <f t="shared" si="54"/>
        <v>0</v>
      </c>
      <c r="M61" s="165">
        <f t="shared" si="50"/>
        <v>0</v>
      </c>
      <c r="N61" s="536">
        <f t="shared" si="51"/>
        <v>0.38157894736842107</v>
      </c>
      <c r="O61" s="628">
        <f t="shared" si="52"/>
        <v>0</v>
      </c>
      <c r="P61" s="584">
        <f>SUM(P54:P60)</f>
        <v>0</v>
      </c>
      <c r="Q61" s="582">
        <f t="shared" ref="Q61:R61" si="55">SUM(Q54:Q60)</f>
        <v>290</v>
      </c>
      <c r="R61" s="583">
        <f t="shared" si="55"/>
        <v>0</v>
      </c>
      <c r="S61" s="165" t="e">
        <f t="shared" si="53"/>
        <v>#DIV/0!</v>
      </c>
      <c r="T61" s="412">
        <f>SUM(T54:T60)</f>
        <v>150</v>
      </c>
      <c r="U61" s="27">
        <f>V61/T61</f>
        <v>0.80666666666666664</v>
      </c>
      <c r="V61" s="412">
        <f t="shared" ref="V61:AD61" si="56">SUM(V54:V60)</f>
        <v>121</v>
      </c>
      <c r="W61" s="270">
        <f t="shared" si="56"/>
        <v>0</v>
      </c>
      <c r="X61" s="271">
        <f t="shared" si="56"/>
        <v>0</v>
      </c>
      <c r="Y61" s="270">
        <f t="shared" si="56"/>
        <v>0</v>
      </c>
      <c r="Z61" s="271">
        <f t="shared" si="56"/>
        <v>0</v>
      </c>
      <c r="AA61" s="270">
        <f t="shared" si="56"/>
        <v>363</v>
      </c>
      <c r="AB61" s="271">
        <f t="shared" si="56"/>
        <v>271</v>
      </c>
      <c r="AC61" s="270">
        <f t="shared" si="56"/>
        <v>20</v>
      </c>
      <c r="AD61" s="272">
        <f t="shared" si="56"/>
        <v>16</v>
      </c>
      <c r="AE61" s="415" t="s">
        <v>142</v>
      </c>
      <c r="AF61" s="410"/>
    </row>
    <row r="62" spans="2:33" x14ac:dyDescent="0.3">
      <c r="B62" s="838" t="s">
        <v>1</v>
      </c>
      <c r="C62" s="841" t="s">
        <v>76</v>
      </c>
      <c r="D62" s="866">
        <v>11</v>
      </c>
      <c r="E62" s="178" t="s">
        <v>27</v>
      </c>
      <c r="F62" s="179" t="s">
        <v>62</v>
      </c>
      <c r="G62" s="585">
        <f>'2020'!G62</f>
        <v>33</v>
      </c>
      <c r="H62" s="586">
        <f>'2021'!G62</f>
        <v>53</v>
      </c>
      <c r="I62" s="587">
        <f>'2022'!G62</f>
        <v>0</v>
      </c>
      <c r="J62" s="588">
        <f>'2020'!H62</f>
        <v>33</v>
      </c>
      <c r="K62" s="586">
        <f>'2021'!H62</f>
        <v>38</v>
      </c>
      <c r="L62" s="587">
        <f>'2022'!H62</f>
        <v>0</v>
      </c>
      <c r="M62" s="145">
        <f t="shared" ref="M62:M69" si="57">IF(G62=0,0,IF(P62=0,0,P62/G62))</f>
        <v>0.63636363636363635</v>
      </c>
      <c r="N62" s="146">
        <f t="shared" ref="N62:N69" si="58">IF(H62=0,0,IF(Q62=0,0,Q62/H62))</f>
        <v>0.60377358490566035</v>
      </c>
      <c r="O62" s="647">
        <f t="shared" ref="O62:O69" si="59">IF(I62=0,0,IF(R62=0,0,R62/I62))</f>
        <v>0</v>
      </c>
      <c r="P62" s="588">
        <f>'2020'!J62</f>
        <v>21</v>
      </c>
      <c r="Q62" s="586">
        <f>'2021'!J62</f>
        <v>32</v>
      </c>
      <c r="R62" s="587">
        <f>'2022'!J62</f>
        <v>0</v>
      </c>
      <c r="S62" s="145">
        <f t="shared" si="25"/>
        <v>0.36363636363636365</v>
      </c>
      <c r="T62" s="436">
        <v>12</v>
      </c>
      <c r="U62" s="145">
        <f>IF(V62="-","-",V62/T62)</f>
        <v>0.83333333333333337</v>
      </c>
      <c r="V62" s="200">
        <v>10</v>
      </c>
      <c r="W62" s="205" t="s">
        <v>21</v>
      </c>
      <c r="X62" s="206" t="s">
        <v>21</v>
      </c>
      <c r="Y62" s="205" t="s">
        <v>21</v>
      </c>
      <c r="Z62" s="206" t="s">
        <v>21</v>
      </c>
      <c r="AA62" s="662">
        <v>51</v>
      </c>
      <c r="AB62" s="663">
        <v>36</v>
      </c>
      <c r="AC62" s="662">
        <v>2</v>
      </c>
      <c r="AD62" s="664">
        <v>2</v>
      </c>
      <c r="AE62" s="415" t="s">
        <v>142</v>
      </c>
      <c r="AG62" s="1">
        <f>IF(G62="","",1)</f>
        <v>1</v>
      </c>
    </row>
    <row r="63" spans="2:33" x14ac:dyDescent="0.3">
      <c r="B63" s="838"/>
      <c r="C63" s="841"/>
      <c r="D63" s="867"/>
      <c r="E63" s="181" t="s">
        <v>28</v>
      </c>
      <c r="F63" s="182" t="s">
        <v>62</v>
      </c>
      <c r="G63" s="589">
        <f>'2020'!G63</f>
        <v>88</v>
      </c>
      <c r="H63" s="590">
        <f>'2021'!G63</f>
        <v>117</v>
      </c>
      <c r="I63" s="591">
        <f>'2022'!G63</f>
        <v>0</v>
      </c>
      <c r="J63" s="592">
        <f>'2020'!H63</f>
        <v>88</v>
      </c>
      <c r="K63" s="590">
        <f>'2021'!H63</f>
        <v>86</v>
      </c>
      <c r="L63" s="591">
        <f>'2022'!H63</f>
        <v>0</v>
      </c>
      <c r="M63" s="151">
        <f t="shared" si="57"/>
        <v>0.60227272727272729</v>
      </c>
      <c r="N63" s="152">
        <f t="shared" si="58"/>
        <v>0.69230769230769229</v>
      </c>
      <c r="O63" s="648">
        <f t="shared" si="59"/>
        <v>0</v>
      </c>
      <c r="P63" s="592">
        <f>'2020'!J63</f>
        <v>53</v>
      </c>
      <c r="Q63" s="590">
        <f>'2021'!J63</f>
        <v>81</v>
      </c>
      <c r="R63" s="591">
        <f>'2022'!J63</f>
        <v>0</v>
      </c>
      <c r="S63" s="151">
        <f t="shared" si="25"/>
        <v>0.53409090909090906</v>
      </c>
      <c r="T63" s="437">
        <v>47</v>
      </c>
      <c r="U63" s="151">
        <f>IF(V63="-","-",V63/T63)</f>
        <v>0.7021276595744681</v>
      </c>
      <c r="V63" s="201">
        <v>33</v>
      </c>
      <c r="W63" s="207" t="s">
        <v>21</v>
      </c>
      <c r="X63" s="208" t="s">
        <v>21</v>
      </c>
      <c r="Y63" s="207" t="s">
        <v>21</v>
      </c>
      <c r="Z63" s="208" t="s">
        <v>21</v>
      </c>
      <c r="AA63" s="665">
        <v>112</v>
      </c>
      <c r="AB63" s="666">
        <v>82</v>
      </c>
      <c r="AC63" s="665">
        <v>5</v>
      </c>
      <c r="AD63" s="667">
        <v>4</v>
      </c>
      <c r="AE63" s="415" t="s">
        <v>142</v>
      </c>
      <c r="AG63" s="1">
        <f>IF(G63="","",1)</f>
        <v>1</v>
      </c>
    </row>
    <row r="64" spans="2:33" x14ac:dyDescent="0.3">
      <c r="B64" s="838"/>
      <c r="C64" s="841"/>
      <c r="D64" s="867"/>
      <c r="E64" s="181" t="s">
        <v>29</v>
      </c>
      <c r="F64" s="182" t="s">
        <v>62</v>
      </c>
      <c r="G64" s="589">
        <f>'2020'!G64</f>
        <v>14</v>
      </c>
      <c r="H64" s="590">
        <f>'2021'!G64</f>
        <v>22</v>
      </c>
      <c r="I64" s="591">
        <f>'2022'!G64</f>
        <v>0</v>
      </c>
      <c r="J64" s="592">
        <f>'2020'!H64</f>
        <v>14</v>
      </c>
      <c r="K64" s="590">
        <f>'2021'!H64</f>
        <v>20</v>
      </c>
      <c r="L64" s="591">
        <f>'2022'!H64</f>
        <v>0</v>
      </c>
      <c r="M64" s="151">
        <f t="shared" si="57"/>
        <v>0.6428571428571429</v>
      </c>
      <c r="N64" s="152">
        <f t="shared" si="58"/>
        <v>0.72727272727272729</v>
      </c>
      <c r="O64" s="648">
        <f t="shared" si="59"/>
        <v>0</v>
      </c>
      <c r="P64" s="592">
        <f>'2020'!J64</f>
        <v>9</v>
      </c>
      <c r="Q64" s="590">
        <f>'2021'!J64</f>
        <v>16</v>
      </c>
      <c r="R64" s="591">
        <f>'2022'!J64</f>
        <v>0</v>
      </c>
      <c r="S64" s="151">
        <f t="shared" si="25"/>
        <v>0.8571428571428571</v>
      </c>
      <c r="T64" s="437">
        <v>12</v>
      </c>
      <c r="U64" s="151">
        <f>IF(V64="-","-",V64/T64)</f>
        <v>0.75</v>
      </c>
      <c r="V64" s="201">
        <v>9</v>
      </c>
      <c r="W64" s="207" t="s">
        <v>21</v>
      </c>
      <c r="X64" s="208" t="s">
        <v>21</v>
      </c>
      <c r="Y64" s="207" t="s">
        <v>21</v>
      </c>
      <c r="Z64" s="208" t="s">
        <v>21</v>
      </c>
      <c r="AA64" s="665">
        <v>22</v>
      </c>
      <c r="AB64" s="666">
        <v>20</v>
      </c>
      <c r="AC64" s="665">
        <v>0</v>
      </c>
      <c r="AD64" s="667">
        <v>0</v>
      </c>
      <c r="AE64" s="415" t="s">
        <v>142</v>
      </c>
      <c r="AG64" s="1">
        <f>IF(G64="","",1)</f>
        <v>1</v>
      </c>
    </row>
    <row r="65" spans="2:33" x14ac:dyDescent="0.3">
      <c r="B65" s="838"/>
      <c r="C65" s="841"/>
      <c r="D65" s="867"/>
      <c r="E65" s="181" t="s">
        <v>30</v>
      </c>
      <c r="F65" s="182" t="s">
        <v>62</v>
      </c>
      <c r="G65" s="589">
        <f>'2020'!G65</f>
        <v>23</v>
      </c>
      <c r="H65" s="590">
        <f>'2021'!G65</f>
        <v>49</v>
      </c>
      <c r="I65" s="591">
        <f>'2022'!G65</f>
        <v>0</v>
      </c>
      <c r="J65" s="592">
        <f>'2020'!H65</f>
        <v>23</v>
      </c>
      <c r="K65" s="590">
        <f>'2021'!H65</f>
        <v>33</v>
      </c>
      <c r="L65" s="591">
        <f>'2022'!H65</f>
        <v>0</v>
      </c>
      <c r="M65" s="151">
        <f t="shared" si="57"/>
        <v>0.65217391304347827</v>
      </c>
      <c r="N65" s="152">
        <f t="shared" si="58"/>
        <v>0.7142857142857143</v>
      </c>
      <c r="O65" s="648">
        <f t="shared" si="59"/>
        <v>0</v>
      </c>
      <c r="P65" s="592">
        <f>'2020'!J65</f>
        <v>15</v>
      </c>
      <c r="Q65" s="590">
        <f>'2021'!J65</f>
        <v>35</v>
      </c>
      <c r="R65" s="591">
        <f>'2022'!J65</f>
        <v>0</v>
      </c>
      <c r="S65" s="151">
        <f t="shared" si="25"/>
        <v>0.86956521739130432</v>
      </c>
      <c r="T65" s="437">
        <v>20</v>
      </c>
      <c r="U65" s="151">
        <f>IF(V65="-","-",V65/T65)</f>
        <v>0.85</v>
      </c>
      <c r="V65" s="201">
        <v>17</v>
      </c>
      <c r="W65" s="207" t="s">
        <v>21</v>
      </c>
      <c r="X65" s="208" t="s">
        <v>21</v>
      </c>
      <c r="Y65" s="207" t="s">
        <v>21</v>
      </c>
      <c r="Z65" s="208" t="s">
        <v>21</v>
      </c>
      <c r="AA65" s="665">
        <v>46</v>
      </c>
      <c r="AB65" s="666">
        <v>31</v>
      </c>
      <c r="AC65" s="665">
        <v>3</v>
      </c>
      <c r="AD65" s="667">
        <v>2</v>
      </c>
      <c r="AE65" s="415" t="s">
        <v>142</v>
      </c>
      <c r="AG65" s="1">
        <f>IF(G65="","",1)</f>
        <v>1</v>
      </c>
    </row>
    <row r="66" spans="2:33" x14ac:dyDescent="0.3">
      <c r="B66" s="838"/>
      <c r="C66" s="841"/>
      <c r="D66" s="868"/>
      <c r="E66" s="692"/>
      <c r="F66" s="693"/>
      <c r="G66" s="716"/>
      <c r="H66" s="717"/>
      <c r="I66" s="718"/>
      <c r="J66" s="719"/>
      <c r="K66" s="717"/>
      <c r="L66" s="718"/>
      <c r="M66" s="701"/>
      <c r="N66" s="706"/>
      <c r="O66" s="720"/>
      <c r="P66" s="719"/>
      <c r="Q66" s="717"/>
      <c r="R66" s="718"/>
      <c r="S66" s="701"/>
      <c r="T66" s="721"/>
      <c r="U66" s="701"/>
      <c r="V66" s="703"/>
      <c r="W66" s="687"/>
      <c r="X66" s="688"/>
      <c r="Y66" s="687"/>
      <c r="Z66" s="688"/>
      <c r="AA66" s="735"/>
      <c r="AB66" s="736"/>
      <c r="AC66" s="735"/>
      <c r="AD66" s="737"/>
      <c r="AE66" s="415"/>
    </row>
    <row r="67" spans="2:33" x14ac:dyDescent="0.3">
      <c r="B67" s="838"/>
      <c r="C67" s="841"/>
      <c r="D67" s="868"/>
      <c r="E67" s="692"/>
      <c r="F67" s="693"/>
      <c r="G67" s="716"/>
      <c r="H67" s="717"/>
      <c r="I67" s="718"/>
      <c r="J67" s="719"/>
      <c r="K67" s="717"/>
      <c r="L67" s="718"/>
      <c r="M67" s="701"/>
      <c r="N67" s="706"/>
      <c r="O67" s="720"/>
      <c r="P67" s="719"/>
      <c r="Q67" s="717"/>
      <c r="R67" s="718"/>
      <c r="S67" s="701"/>
      <c r="T67" s="721"/>
      <c r="U67" s="701"/>
      <c r="V67" s="703"/>
      <c r="W67" s="687"/>
      <c r="X67" s="688"/>
      <c r="Y67" s="687"/>
      <c r="Z67" s="688"/>
      <c r="AA67" s="735"/>
      <c r="AB67" s="736"/>
      <c r="AC67" s="735"/>
      <c r="AD67" s="737"/>
      <c r="AE67" s="415"/>
    </row>
    <row r="68" spans="2:33" x14ac:dyDescent="0.3">
      <c r="B68" s="838"/>
      <c r="C68" s="841"/>
      <c r="D68" s="869"/>
      <c r="E68" s="643" t="s">
        <v>31</v>
      </c>
      <c r="F68" s="188" t="s">
        <v>62</v>
      </c>
      <c r="G68" s="577">
        <f>'2020'!G68</f>
        <v>36</v>
      </c>
      <c r="H68" s="578">
        <f>'2021'!G68</f>
        <v>44</v>
      </c>
      <c r="I68" s="579">
        <f>'2022'!G68</f>
        <v>0</v>
      </c>
      <c r="J68" s="580">
        <f>'2020'!H68</f>
        <v>36</v>
      </c>
      <c r="K68" s="578">
        <f>'2021'!H68</f>
        <v>44</v>
      </c>
      <c r="L68" s="579">
        <f>'2022'!H68</f>
        <v>0</v>
      </c>
      <c r="M68" s="159">
        <f t="shared" si="57"/>
        <v>0.5</v>
      </c>
      <c r="N68" s="160">
        <f t="shared" si="58"/>
        <v>0.63636363636363635</v>
      </c>
      <c r="O68" s="631">
        <f t="shared" si="59"/>
        <v>0</v>
      </c>
      <c r="P68" s="580">
        <f>'2020'!J68</f>
        <v>18</v>
      </c>
      <c r="Q68" s="578">
        <f>'2021'!J68</f>
        <v>28</v>
      </c>
      <c r="R68" s="579">
        <f>'2022'!J68</f>
        <v>0</v>
      </c>
      <c r="S68" s="159">
        <f t="shared" si="25"/>
        <v>0.44444444444444442</v>
      </c>
      <c r="T68" s="435">
        <v>16</v>
      </c>
      <c r="U68" s="159">
        <f>IF(V68="-","-",V68/T68)</f>
        <v>0.9375</v>
      </c>
      <c r="V68" s="202">
        <v>15</v>
      </c>
      <c r="W68" s="209" t="s">
        <v>21</v>
      </c>
      <c r="X68" s="210" t="s">
        <v>21</v>
      </c>
      <c r="Y68" s="209" t="s">
        <v>21</v>
      </c>
      <c r="Z68" s="210" t="s">
        <v>21</v>
      </c>
      <c r="AA68" s="668">
        <v>40</v>
      </c>
      <c r="AB68" s="669">
        <v>40</v>
      </c>
      <c r="AC68" s="668">
        <v>4</v>
      </c>
      <c r="AD68" s="670">
        <v>4</v>
      </c>
      <c r="AE68" s="415" t="s">
        <v>142</v>
      </c>
      <c r="AF68" s="410" t="s">
        <v>146</v>
      </c>
      <c r="AG68" s="1">
        <f>IF(G68="","",1)</f>
        <v>1</v>
      </c>
    </row>
    <row r="69" spans="2:33" ht="15.6" x14ac:dyDescent="0.3">
      <c r="B69" s="839"/>
      <c r="C69" s="842"/>
      <c r="D69" s="552" t="s">
        <v>138</v>
      </c>
      <c r="E69" s="407"/>
      <c r="F69" s="408"/>
      <c r="G69" s="581">
        <f>SUM(G62:G68)</f>
        <v>194</v>
      </c>
      <c r="H69" s="582">
        <f t="shared" ref="H69:L69" si="60">SUM(H62:H68)</f>
        <v>285</v>
      </c>
      <c r="I69" s="583">
        <f t="shared" si="60"/>
        <v>0</v>
      </c>
      <c r="J69" s="584">
        <f t="shared" si="60"/>
        <v>194</v>
      </c>
      <c r="K69" s="582">
        <f t="shared" si="60"/>
        <v>221</v>
      </c>
      <c r="L69" s="583">
        <f t="shared" si="60"/>
        <v>0</v>
      </c>
      <c r="M69" s="165">
        <f t="shared" si="57"/>
        <v>0.59793814432989689</v>
      </c>
      <c r="N69" s="536">
        <f t="shared" si="58"/>
        <v>0.67368421052631577</v>
      </c>
      <c r="O69" s="628">
        <f t="shared" si="59"/>
        <v>0</v>
      </c>
      <c r="P69" s="584">
        <f>SUM(P62:P68)</f>
        <v>116</v>
      </c>
      <c r="Q69" s="582">
        <f t="shared" ref="Q69:R69" si="61">SUM(Q62:Q68)</f>
        <v>192</v>
      </c>
      <c r="R69" s="583">
        <f t="shared" si="61"/>
        <v>0</v>
      </c>
      <c r="S69" s="165">
        <f t="shared" si="25"/>
        <v>0.55154639175257736</v>
      </c>
      <c r="T69" s="412">
        <f>SUM(T62:T68)</f>
        <v>107</v>
      </c>
      <c r="U69" s="27">
        <f>V69/T69</f>
        <v>0.78504672897196259</v>
      </c>
      <c r="V69" s="412">
        <f t="shared" ref="V69:AD69" si="62">SUM(V62:V68)</f>
        <v>84</v>
      </c>
      <c r="W69" s="270">
        <f t="shared" si="62"/>
        <v>0</v>
      </c>
      <c r="X69" s="271">
        <f t="shared" si="62"/>
        <v>0</v>
      </c>
      <c r="Y69" s="270">
        <f t="shared" si="62"/>
        <v>0</v>
      </c>
      <c r="Z69" s="271">
        <f t="shared" si="62"/>
        <v>0</v>
      </c>
      <c r="AA69" s="270">
        <f t="shared" si="62"/>
        <v>271</v>
      </c>
      <c r="AB69" s="271">
        <f t="shared" si="62"/>
        <v>209</v>
      </c>
      <c r="AC69" s="270">
        <f t="shared" si="62"/>
        <v>14</v>
      </c>
      <c r="AD69" s="272">
        <f t="shared" si="62"/>
        <v>12</v>
      </c>
      <c r="AE69" s="415" t="s">
        <v>142</v>
      </c>
      <c r="AF69" s="410"/>
    </row>
    <row r="70" spans="2:33" ht="15" customHeight="1" x14ac:dyDescent="0.3">
      <c r="B70" s="843" t="s">
        <v>45</v>
      </c>
      <c r="C70" s="806" t="s">
        <v>76</v>
      </c>
      <c r="D70" s="879">
        <v>17</v>
      </c>
      <c r="E70" s="189" t="s">
        <v>32</v>
      </c>
      <c r="F70" s="190" t="s">
        <v>62</v>
      </c>
      <c r="G70" s="585">
        <f>'2020'!G70</f>
        <v>59</v>
      </c>
      <c r="H70" s="586">
        <f>'2021'!G70</f>
        <v>76</v>
      </c>
      <c r="I70" s="587">
        <f>'2022'!G70</f>
        <v>0</v>
      </c>
      <c r="J70" s="588">
        <f>'2020'!H70</f>
        <v>59</v>
      </c>
      <c r="K70" s="586">
        <f>'2021'!H70</f>
        <v>76</v>
      </c>
      <c r="L70" s="587">
        <f>'2022'!H70</f>
        <v>0</v>
      </c>
      <c r="M70" s="145">
        <f t="shared" ref="M70:M80" si="63">IF(G70=0,0,IF(P70=0,0,P70/G70))</f>
        <v>0.51</v>
      </c>
      <c r="N70" s="146">
        <f t="shared" ref="N70:N80" si="64">IF(H70=0,0,IF(Q70=0,0,Q70/H70))</f>
        <v>0.5</v>
      </c>
      <c r="O70" s="647">
        <f t="shared" ref="O70:O80" si="65">IF(I70=0,0,IF(R70=0,0,R70/I70))</f>
        <v>0</v>
      </c>
      <c r="P70" s="588">
        <f>'2020'!J70</f>
        <v>30.09</v>
      </c>
      <c r="Q70" s="586">
        <f>'2021'!J70</f>
        <v>38</v>
      </c>
      <c r="R70" s="587">
        <f>'2022'!J70</f>
        <v>0</v>
      </c>
      <c r="S70" s="145">
        <f t="shared" si="25"/>
        <v>0.49152542372881358</v>
      </c>
      <c r="T70" s="436">
        <v>29</v>
      </c>
      <c r="U70" s="145">
        <f t="shared" si="40"/>
        <v>0.72413793103448276</v>
      </c>
      <c r="V70" s="200">
        <v>21</v>
      </c>
      <c r="W70" s="205" t="s">
        <v>21</v>
      </c>
      <c r="X70" s="206" t="s">
        <v>21</v>
      </c>
      <c r="Y70" s="205" t="s">
        <v>21</v>
      </c>
      <c r="Z70" s="206" t="s">
        <v>21</v>
      </c>
      <c r="AA70" s="662">
        <v>75</v>
      </c>
      <c r="AB70" s="663">
        <v>75</v>
      </c>
      <c r="AC70" s="662">
        <v>1</v>
      </c>
      <c r="AD70" s="664">
        <v>1</v>
      </c>
      <c r="AE70" s="415" t="s">
        <v>142</v>
      </c>
      <c r="AF70" s="410"/>
      <c r="AG70" s="1">
        <f t="shared" ref="AG70:AG79" si="66">IF(G70="","",1)</f>
        <v>1</v>
      </c>
    </row>
    <row r="71" spans="2:33" ht="15" customHeight="1" x14ac:dyDescent="0.3">
      <c r="B71" s="838"/>
      <c r="C71" s="807"/>
      <c r="D71" s="880"/>
      <c r="E71" s="191" t="s">
        <v>33</v>
      </c>
      <c r="F71" s="187" t="s">
        <v>62</v>
      </c>
      <c r="G71" s="589">
        <f>'2020'!G71</f>
        <v>45</v>
      </c>
      <c r="H71" s="590">
        <f>'2021'!G71</f>
        <v>80</v>
      </c>
      <c r="I71" s="591">
        <f>'2022'!G71</f>
        <v>0</v>
      </c>
      <c r="J71" s="592">
        <f>'2020'!H71</f>
        <v>45</v>
      </c>
      <c r="K71" s="590">
        <f>'2021'!H71</f>
        <v>80</v>
      </c>
      <c r="L71" s="591">
        <f>'2022'!H71</f>
        <v>0</v>
      </c>
      <c r="M71" s="151">
        <f t="shared" si="63"/>
        <v>0.57999999999999996</v>
      </c>
      <c r="N71" s="152">
        <f t="shared" si="64"/>
        <v>0.63749999999999996</v>
      </c>
      <c r="O71" s="648">
        <f t="shared" si="65"/>
        <v>0</v>
      </c>
      <c r="P71" s="592">
        <f>'2020'!J71</f>
        <v>26.099999999999998</v>
      </c>
      <c r="Q71" s="590">
        <f>'2021'!J71</f>
        <v>51</v>
      </c>
      <c r="R71" s="591">
        <f>'2022'!J71</f>
        <v>0</v>
      </c>
      <c r="S71" s="151">
        <f t="shared" si="25"/>
        <v>0.88888888888888884</v>
      </c>
      <c r="T71" s="437">
        <v>40</v>
      </c>
      <c r="U71" s="151">
        <f t="shared" si="40"/>
        <v>0.65</v>
      </c>
      <c r="V71" s="201">
        <v>26</v>
      </c>
      <c r="W71" s="207" t="s">
        <v>21</v>
      </c>
      <c r="X71" s="208" t="s">
        <v>21</v>
      </c>
      <c r="Y71" s="207" t="s">
        <v>21</v>
      </c>
      <c r="Z71" s="208" t="s">
        <v>21</v>
      </c>
      <c r="AA71" s="665">
        <v>74</v>
      </c>
      <c r="AB71" s="666">
        <v>74</v>
      </c>
      <c r="AC71" s="665">
        <v>6</v>
      </c>
      <c r="AD71" s="667">
        <v>6</v>
      </c>
      <c r="AE71" s="415" t="s">
        <v>142</v>
      </c>
      <c r="AF71" s="410"/>
      <c r="AG71" s="1">
        <f t="shared" si="66"/>
        <v>1</v>
      </c>
    </row>
    <row r="72" spans="2:33" ht="15" customHeight="1" x14ac:dyDescent="0.3">
      <c r="B72" s="838"/>
      <c r="C72" s="807"/>
      <c r="D72" s="880"/>
      <c r="E72" s="191" t="s">
        <v>47</v>
      </c>
      <c r="F72" s="187" t="s">
        <v>62</v>
      </c>
      <c r="G72" s="589">
        <f>'2020'!G72</f>
        <v>16</v>
      </c>
      <c r="H72" s="590">
        <f>'2021'!G72</f>
        <v>31</v>
      </c>
      <c r="I72" s="591">
        <f>'2022'!G72</f>
        <v>0</v>
      </c>
      <c r="J72" s="592">
        <f>'2020'!H72</f>
        <v>16</v>
      </c>
      <c r="K72" s="590">
        <f>'2021'!H72</f>
        <v>31</v>
      </c>
      <c r="L72" s="591">
        <f>'2022'!H72</f>
        <v>0</v>
      </c>
      <c r="M72" s="151">
        <f t="shared" si="63"/>
        <v>0.44</v>
      </c>
      <c r="N72" s="152">
        <f t="shared" si="64"/>
        <v>0.32258064516129031</v>
      </c>
      <c r="O72" s="648">
        <f t="shared" si="65"/>
        <v>0</v>
      </c>
      <c r="P72" s="592">
        <f>'2020'!J72</f>
        <v>7.04</v>
      </c>
      <c r="Q72" s="590">
        <f>'2021'!J72</f>
        <v>10</v>
      </c>
      <c r="R72" s="591">
        <f>'2022'!J72</f>
        <v>0</v>
      </c>
      <c r="S72" s="151">
        <f t="shared" si="25"/>
        <v>0.6875</v>
      </c>
      <c r="T72" s="437">
        <v>11</v>
      </c>
      <c r="U72" s="151">
        <f t="shared" si="40"/>
        <v>0.45454545454545453</v>
      </c>
      <c r="V72" s="201">
        <v>5</v>
      </c>
      <c r="W72" s="207" t="s">
        <v>21</v>
      </c>
      <c r="X72" s="208" t="s">
        <v>21</v>
      </c>
      <c r="Y72" s="207" t="s">
        <v>21</v>
      </c>
      <c r="Z72" s="208" t="s">
        <v>21</v>
      </c>
      <c r="AA72" s="665">
        <v>31</v>
      </c>
      <c r="AB72" s="666">
        <v>31</v>
      </c>
      <c r="AC72" s="665">
        <v>0</v>
      </c>
      <c r="AD72" s="667">
        <v>0</v>
      </c>
      <c r="AE72" s="415" t="s">
        <v>142</v>
      </c>
      <c r="AF72" s="410"/>
      <c r="AG72" s="1">
        <f t="shared" si="66"/>
        <v>1</v>
      </c>
    </row>
    <row r="73" spans="2:33" ht="15" customHeight="1" x14ac:dyDescent="0.3">
      <c r="B73" s="838"/>
      <c r="C73" s="807"/>
      <c r="D73" s="880"/>
      <c r="E73" s="191" t="s">
        <v>46</v>
      </c>
      <c r="F73" s="187" t="s">
        <v>62</v>
      </c>
      <c r="G73" s="589">
        <f>'2020'!G73</f>
        <v>31</v>
      </c>
      <c r="H73" s="590">
        <f>'2021'!G73</f>
        <v>15</v>
      </c>
      <c r="I73" s="591">
        <f>'2022'!G73</f>
        <v>0</v>
      </c>
      <c r="J73" s="592">
        <f>'2020'!H73</f>
        <v>31</v>
      </c>
      <c r="K73" s="590">
        <f>'2021'!H73</f>
        <v>15</v>
      </c>
      <c r="L73" s="591">
        <f>'2022'!H73</f>
        <v>0</v>
      </c>
      <c r="M73" s="151">
        <f t="shared" si="63"/>
        <v>0.28999999999999998</v>
      </c>
      <c r="N73" s="152">
        <f t="shared" si="64"/>
        <v>0.33333333333333331</v>
      </c>
      <c r="O73" s="648">
        <f t="shared" si="65"/>
        <v>0</v>
      </c>
      <c r="P73" s="592">
        <f>'2020'!J73</f>
        <v>8.99</v>
      </c>
      <c r="Q73" s="590">
        <f>'2021'!J73</f>
        <v>5</v>
      </c>
      <c r="R73" s="591">
        <f>'2022'!J73</f>
        <v>0</v>
      </c>
      <c r="S73" s="151">
        <f t="shared" si="25"/>
        <v>0</v>
      </c>
      <c r="T73" s="437">
        <v>0</v>
      </c>
      <c r="U73" s="151" t="str">
        <f>IF(V73=0,"-",V73/T73)</f>
        <v>-</v>
      </c>
      <c r="V73" s="201">
        <v>0</v>
      </c>
      <c r="W73" s="207" t="s">
        <v>21</v>
      </c>
      <c r="X73" s="208" t="s">
        <v>21</v>
      </c>
      <c r="Y73" s="207" t="s">
        <v>21</v>
      </c>
      <c r="Z73" s="208" t="s">
        <v>21</v>
      </c>
      <c r="AA73" s="665">
        <v>15</v>
      </c>
      <c r="AB73" s="666">
        <v>15</v>
      </c>
      <c r="AC73" s="665">
        <v>0</v>
      </c>
      <c r="AD73" s="667">
        <v>0</v>
      </c>
      <c r="AE73" s="415" t="s">
        <v>142</v>
      </c>
      <c r="AF73" s="410"/>
      <c r="AG73" s="1">
        <f t="shared" si="66"/>
        <v>1</v>
      </c>
    </row>
    <row r="74" spans="2:33" ht="15" customHeight="1" x14ac:dyDescent="0.3">
      <c r="B74" s="838"/>
      <c r="C74" s="807"/>
      <c r="D74" s="880"/>
      <c r="E74" s="191" t="s">
        <v>35</v>
      </c>
      <c r="F74" s="187" t="s">
        <v>62</v>
      </c>
      <c r="G74" s="589">
        <f>'2020'!G74</f>
        <v>3</v>
      </c>
      <c r="H74" s="590">
        <f>'2021'!G74</f>
        <v>2</v>
      </c>
      <c r="I74" s="591">
        <f>'2022'!G74</f>
        <v>0</v>
      </c>
      <c r="J74" s="592">
        <f>'2020'!H74</f>
        <v>3</v>
      </c>
      <c r="K74" s="590">
        <f>'2021'!H74</f>
        <v>2</v>
      </c>
      <c r="L74" s="591">
        <f>'2022'!H74</f>
        <v>0</v>
      </c>
      <c r="M74" s="151">
        <f t="shared" si="63"/>
        <v>0</v>
      </c>
      <c r="N74" s="152">
        <f t="shared" si="64"/>
        <v>0.5</v>
      </c>
      <c r="O74" s="648">
        <f t="shared" si="65"/>
        <v>0</v>
      </c>
      <c r="P74" s="592">
        <f>'2020'!J74</f>
        <v>0</v>
      </c>
      <c r="Q74" s="590">
        <f>'2021'!J74</f>
        <v>1</v>
      </c>
      <c r="R74" s="591">
        <f>'2022'!J74</f>
        <v>0</v>
      </c>
      <c r="S74" s="151">
        <f t="shared" si="25"/>
        <v>0.33333333333333331</v>
      </c>
      <c r="T74" s="437">
        <v>1</v>
      </c>
      <c r="U74" s="151">
        <f t="shared" si="40"/>
        <v>1</v>
      </c>
      <c r="V74" s="201">
        <v>1</v>
      </c>
      <c r="W74" s="207" t="s">
        <v>21</v>
      </c>
      <c r="X74" s="208" t="s">
        <v>21</v>
      </c>
      <c r="Y74" s="207" t="s">
        <v>21</v>
      </c>
      <c r="Z74" s="208" t="s">
        <v>21</v>
      </c>
      <c r="AA74" s="665">
        <v>1</v>
      </c>
      <c r="AB74" s="666">
        <v>1</v>
      </c>
      <c r="AC74" s="665">
        <v>1</v>
      </c>
      <c r="AD74" s="667">
        <v>1</v>
      </c>
      <c r="AE74" s="415" t="s">
        <v>142</v>
      </c>
      <c r="AF74" s="410"/>
      <c r="AG74" s="1">
        <f t="shared" si="66"/>
        <v>1</v>
      </c>
    </row>
    <row r="75" spans="2:33" ht="15" customHeight="1" x14ac:dyDescent="0.3">
      <c r="B75" s="838"/>
      <c r="C75" s="807"/>
      <c r="D75" s="880"/>
      <c r="E75" s="191" t="s">
        <v>34</v>
      </c>
      <c r="F75" s="187" t="s">
        <v>62</v>
      </c>
      <c r="G75" s="589">
        <f>'2020'!G75</f>
        <v>13</v>
      </c>
      <c r="H75" s="590">
        <f>'2021'!G75</f>
        <v>15</v>
      </c>
      <c r="I75" s="591">
        <f>'2022'!G75</f>
        <v>0</v>
      </c>
      <c r="J75" s="592">
        <f>'2020'!H75</f>
        <v>13</v>
      </c>
      <c r="K75" s="590">
        <f>'2021'!H75</f>
        <v>15</v>
      </c>
      <c r="L75" s="591">
        <f>'2022'!H75</f>
        <v>0</v>
      </c>
      <c r="M75" s="151">
        <f t="shared" si="63"/>
        <v>0.23</v>
      </c>
      <c r="N75" s="152">
        <f t="shared" si="64"/>
        <v>0.53333333333333333</v>
      </c>
      <c r="O75" s="648">
        <f t="shared" si="65"/>
        <v>0</v>
      </c>
      <c r="P75" s="592">
        <f>'2020'!J75</f>
        <v>2.99</v>
      </c>
      <c r="Q75" s="590">
        <f>'2021'!J75</f>
        <v>8</v>
      </c>
      <c r="R75" s="591">
        <f>'2022'!J75</f>
        <v>0</v>
      </c>
      <c r="S75" s="151">
        <f t="shared" si="25"/>
        <v>0.30769230769230771</v>
      </c>
      <c r="T75" s="437">
        <v>4</v>
      </c>
      <c r="U75" s="151">
        <f t="shared" si="40"/>
        <v>0.5</v>
      </c>
      <c r="V75" s="201">
        <v>2</v>
      </c>
      <c r="W75" s="207" t="s">
        <v>21</v>
      </c>
      <c r="X75" s="208" t="s">
        <v>21</v>
      </c>
      <c r="Y75" s="207" t="s">
        <v>21</v>
      </c>
      <c r="Z75" s="208" t="s">
        <v>21</v>
      </c>
      <c r="AA75" s="665">
        <v>13</v>
      </c>
      <c r="AB75" s="666">
        <v>13</v>
      </c>
      <c r="AC75" s="665">
        <v>2</v>
      </c>
      <c r="AD75" s="667">
        <v>2</v>
      </c>
      <c r="AE75" s="415" t="s">
        <v>142</v>
      </c>
      <c r="AF75" s="410"/>
      <c r="AG75" s="1">
        <f t="shared" si="66"/>
        <v>1</v>
      </c>
    </row>
    <row r="76" spans="2:33" ht="15.75" customHeight="1" x14ac:dyDescent="0.3">
      <c r="B76" s="838"/>
      <c r="C76" s="807"/>
      <c r="D76" s="880"/>
      <c r="E76" s="191" t="s">
        <v>148</v>
      </c>
      <c r="F76" s="187"/>
      <c r="G76" s="589">
        <f>'2020'!G76</f>
        <v>0</v>
      </c>
      <c r="H76" s="590">
        <f>'2021'!G76</f>
        <v>12</v>
      </c>
      <c r="I76" s="591">
        <f>'2022'!G76</f>
        <v>0</v>
      </c>
      <c r="J76" s="592">
        <f>'2020'!H76</f>
        <v>0</v>
      </c>
      <c r="K76" s="590">
        <f>'2021'!H76</f>
        <v>12</v>
      </c>
      <c r="L76" s="591">
        <f>'2022'!H76</f>
        <v>0</v>
      </c>
      <c r="M76" s="151">
        <f t="shared" si="63"/>
        <v>0</v>
      </c>
      <c r="N76" s="152">
        <f t="shared" si="64"/>
        <v>0.83333333333333337</v>
      </c>
      <c r="O76" s="648">
        <f t="shared" si="65"/>
        <v>0</v>
      </c>
      <c r="P76" s="592">
        <f>'2020'!J76</f>
        <v>0</v>
      </c>
      <c r="Q76" s="590">
        <f>'2021'!J76</f>
        <v>10</v>
      </c>
      <c r="R76" s="591">
        <f>'2022'!J76</f>
        <v>0</v>
      </c>
      <c r="S76" s="151" t="e">
        <f t="shared" si="25"/>
        <v>#DIV/0!</v>
      </c>
      <c r="T76" s="437">
        <v>7</v>
      </c>
      <c r="U76" s="151">
        <f t="shared" si="40"/>
        <v>1</v>
      </c>
      <c r="V76" s="201">
        <v>7</v>
      </c>
      <c r="W76" s="207" t="s">
        <v>21</v>
      </c>
      <c r="X76" s="208" t="s">
        <v>21</v>
      </c>
      <c r="Y76" s="207" t="s">
        <v>21</v>
      </c>
      <c r="Z76" s="208" t="s">
        <v>21</v>
      </c>
      <c r="AA76" s="665">
        <v>12</v>
      </c>
      <c r="AB76" s="666">
        <v>12</v>
      </c>
      <c r="AC76" s="665">
        <v>0</v>
      </c>
      <c r="AD76" s="667">
        <v>0</v>
      </c>
      <c r="AE76" s="415" t="s">
        <v>142</v>
      </c>
      <c r="AF76" s="410"/>
      <c r="AG76" s="1">
        <f t="shared" si="66"/>
        <v>1</v>
      </c>
    </row>
    <row r="77" spans="2:33" ht="15.75" customHeight="1" x14ac:dyDescent="0.3">
      <c r="B77" s="838"/>
      <c r="C77" s="807"/>
      <c r="D77" s="881"/>
      <c r="E77" s="724"/>
      <c r="F77" s="759"/>
      <c r="G77" s="716"/>
      <c r="H77" s="717"/>
      <c r="I77" s="718"/>
      <c r="J77" s="719"/>
      <c r="K77" s="717"/>
      <c r="L77" s="718"/>
      <c r="M77" s="701"/>
      <c r="N77" s="706"/>
      <c r="O77" s="720"/>
      <c r="P77" s="719"/>
      <c r="Q77" s="717"/>
      <c r="R77" s="718"/>
      <c r="S77" s="701"/>
      <c r="T77" s="721"/>
      <c r="U77" s="701"/>
      <c r="V77" s="703"/>
      <c r="W77" s="687"/>
      <c r="X77" s="688"/>
      <c r="Y77" s="687"/>
      <c r="Z77" s="688"/>
      <c r="AA77" s="735"/>
      <c r="AB77" s="736"/>
      <c r="AC77" s="735"/>
      <c r="AD77" s="737"/>
      <c r="AE77" s="415"/>
      <c r="AF77" s="410"/>
    </row>
    <row r="78" spans="2:33" ht="15.75" customHeight="1" x14ac:dyDescent="0.3">
      <c r="B78" s="838"/>
      <c r="C78" s="807"/>
      <c r="D78" s="881"/>
      <c r="E78" s="724"/>
      <c r="F78" s="759"/>
      <c r="G78" s="716"/>
      <c r="H78" s="717"/>
      <c r="I78" s="718"/>
      <c r="J78" s="719"/>
      <c r="K78" s="717"/>
      <c r="L78" s="718"/>
      <c r="M78" s="701"/>
      <c r="N78" s="706"/>
      <c r="O78" s="720"/>
      <c r="P78" s="719"/>
      <c r="Q78" s="717"/>
      <c r="R78" s="718"/>
      <c r="S78" s="701"/>
      <c r="T78" s="721"/>
      <c r="U78" s="701"/>
      <c r="V78" s="703"/>
      <c r="W78" s="687"/>
      <c r="X78" s="688"/>
      <c r="Y78" s="687"/>
      <c r="Z78" s="688"/>
      <c r="AA78" s="735"/>
      <c r="AB78" s="736"/>
      <c r="AC78" s="735"/>
      <c r="AD78" s="737"/>
      <c r="AE78" s="415"/>
      <c r="AF78" s="410"/>
    </row>
    <row r="79" spans="2:33" ht="15.75" customHeight="1" x14ac:dyDescent="0.3">
      <c r="B79" s="838"/>
      <c r="C79" s="807"/>
      <c r="D79" s="882"/>
      <c r="E79" s="192" t="s">
        <v>147</v>
      </c>
      <c r="F79" s="188"/>
      <c r="G79" s="577">
        <f>'2020'!G79</f>
        <v>0</v>
      </c>
      <c r="H79" s="578">
        <f>'2021'!G79</f>
        <v>14</v>
      </c>
      <c r="I79" s="579">
        <f>'2022'!G79</f>
        <v>0</v>
      </c>
      <c r="J79" s="580">
        <f>'2020'!H79</f>
        <v>0</v>
      </c>
      <c r="K79" s="578">
        <f>'2021'!H79</f>
        <v>14</v>
      </c>
      <c r="L79" s="579">
        <f>'2022'!H79</f>
        <v>0</v>
      </c>
      <c r="M79" s="159">
        <f t="shared" si="63"/>
        <v>0</v>
      </c>
      <c r="N79" s="160">
        <f t="shared" si="64"/>
        <v>1</v>
      </c>
      <c r="O79" s="631">
        <f t="shared" si="65"/>
        <v>0</v>
      </c>
      <c r="P79" s="580">
        <f>'2020'!J79</f>
        <v>0</v>
      </c>
      <c r="Q79" s="578">
        <f>'2021'!J79</f>
        <v>14</v>
      </c>
      <c r="R79" s="579">
        <f>'2022'!J79</f>
        <v>0</v>
      </c>
      <c r="S79" s="159" t="e">
        <f t="shared" si="25"/>
        <v>#DIV/0!</v>
      </c>
      <c r="T79" s="435">
        <v>5</v>
      </c>
      <c r="U79" s="159">
        <f t="shared" si="40"/>
        <v>1</v>
      </c>
      <c r="V79" s="202">
        <v>5</v>
      </c>
      <c r="W79" s="209" t="s">
        <v>21</v>
      </c>
      <c r="X79" s="210" t="s">
        <v>21</v>
      </c>
      <c r="Y79" s="209" t="s">
        <v>21</v>
      </c>
      <c r="Z79" s="210" t="s">
        <v>21</v>
      </c>
      <c r="AA79" s="668">
        <v>14</v>
      </c>
      <c r="AB79" s="669">
        <v>14</v>
      </c>
      <c r="AC79" s="668">
        <v>0</v>
      </c>
      <c r="AD79" s="670">
        <v>0</v>
      </c>
      <c r="AE79" s="415" t="s">
        <v>142</v>
      </c>
      <c r="AF79" s="410"/>
      <c r="AG79" s="1">
        <f t="shared" si="66"/>
        <v>1</v>
      </c>
    </row>
    <row r="80" spans="2:33" ht="31.2" x14ac:dyDescent="0.3">
      <c r="B80" s="839"/>
      <c r="C80" s="808"/>
      <c r="D80" s="558" t="s">
        <v>138</v>
      </c>
      <c r="E80" s="409"/>
      <c r="F80" s="408"/>
      <c r="G80" s="581">
        <f>SUM(G70:G79)</f>
        <v>167</v>
      </c>
      <c r="H80" s="582">
        <f t="shared" ref="H80:L80" si="67">SUM(H70:H79)</f>
        <v>245</v>
      </c>
      <c r="I80" s="583">
        <f t="shared" si="67"/>
        <v>0</v>
      </c>
      <c r="J80" s="584">
        <f t="shared" si="67"/>
        <v>167</v>
      </c>
      <c r="K80" s="582">
        <f t="shared" si="67"/>
        <v>245</v>
      </c>
      <c r="L80" s="583">
        <f t="shared" si="67"/>
        <v>0</v>
      </c>
      <c r="M80" s="165">
        <f t="shared" si="63"/>
        <v>0.45035928143712572</v>
      </c>
      <c r="N80" s="536">
        <f t="shared" si="64"/>
        <v>0.5591836734693878</v>
      </c>
      <c r="O80" s="628">
        <f t="shared" si="65"/>
        <v>0</v>
      </c>
      <c r="P80" s="584">
        <f>SUM(P70:P79)</f>
        <v>75.209999999999994</v>
      </c>
      <c r="Q80" s="582">
        <f t="shared" ref="Q80:R80" si="68">SUM(Q70:Q79)</f>
        <v>137</v>
      </c>
      <c r="R80" s="583">
        <f t="shared" si="68"/>
        <v>0</v>
      </c>
      <c r="S80" s="165">
        <f t="shared" si="25"/>
        <v>0.58083832335329344</v>
      </c>
      <c r="T80" s="412">
        <f>SUM(T70:T79)</f>
        <v>97</v>
      </c>
      <c r="U80" s="27">
        <f>V80/T80</f>
        <v>0.69072164948453607</v>
      </c>
      <c r="V80" s="412">
        <f>SUM(V70:V79)</f>
        <v>67</v>
      </c>
      <c r="W80" s="270">
        <f>SUM(W70:W79)</f>
        <v>0</v>
      </c>
      <c r="X80" s="271">
        <f t="shared" ref="X80" si="69">SUM(X70:X79)</f>
        <v>0</v>
      </c>
      <c r="Y80" s="270">
        <f>SUM(Y70:Y79)</f>
        <v>0</v>
      </c>
      <c r="Z80" s="271">
        <f t="shared" ref="Z80:AD80" si="70">SUM(Z70:Z79)</f>
        <v>0</v>
      </c>
      <c r="AA80" s="270">
        <f>SUM(AA70:AA79)</f>
        <v>235</v>
      </c>
      <c r="AB80" s="271">
        <f t="shared" si="70"/>
        <v>235</v>
      </c>
      <c r="AC80" s="270">
        <f t="shared" si="70"/>
        <v>10</v>
      </c>
      <c r="AD80" s="272">
        <f t="shared" si="70"/>
        <v>10</v>
      </c>
      <c r="AE80" s="415" t="s">
        <v>142</v>
      </c>
      <c r="AF80" s="410"/>
    </row>
    <row r="81" spans="2:33" x14ac:dyDescent="0.3">
      <c r="B81" s="847" t="s">
        <v>152</v>
      </c>
      <c r="C81" s="850" t="s">
        <v>76</v>
      </c>
      <c r="D81" s="883">
        <v>17</v>
      </c>
      <c r="E81" s="189" t="s">
        <v>155</v>
      </c>
      <c r="F81" s="190"/>
      <c r="G81" s="597">
        <f>'2020'!G81</f>
        <v>0</v>
      </c>
      <c r="H81" s="598">
        <f>'2021'!G81</f>
        <v>0</v>
      </c>
      <c r="I81" s="599">
        <f>'2022'!G81</f>
        <v>5</v>
      </c>
      <c r="J81" s="600">
        <f>'2020'!H81</f>
        <v>0</v>
      </c>
      <c r="K81" s="598">
        <f>'2021'!H81</f>
        <v>0</v>
      </c>
      <c r="L81" s="599">
        <f>'2022'!H81</f>
        <v>4</v>
      </c>
      <c r="M81" s="145">
        <f t="shared" ref="M81:M93" si="71">IF(G81=0,0,IF(P81=0,0,P81/G81))</f>
        <v>0</v>
      </c>
      <c r="N81" s="146">
        <f t="shared" ref="N81:N93" si="72">IF(H81=0,0,IF(Q81=0,0,Q81/H81))</f>
        <v>0</v>
      </c>
      <c r="O81" s="647">
        <f t="shared" ref="O81:O93" si="73">IF(I81=0,0,IF(R81=0,0,R81/I81))</f>
        <v>0</v>
      </c>
      <c r="P81" s="600">
        <f>'2020'!J81</f>
        <v>0</v>
      </c>
      <c r="Q81" s="598">
        <f>'2021'!J81</f>
        <v>0</v>
      </c>
      <c r="R81" s="599">
        <f>'2022'!J81</f>
        <v>0</v>
      </c>
      <c r="S81" s="145"/>
      <c r="T81" s="436"/>
      <c r="U81" s="9"/>
      <c r="V81" s="200"/>
      <c r="W81" s="205"/>
      <c r="X81" s="206"/>
      <c r="Y81" s="205"/>
      <c r="Z81" s="206"/>
      <c r="AA81" s="662"/>
      <c r="AB81" s="663"/>
      <c r="AC81" s="662"/>
      <c r="AD81" s="664"/>
      <c r="AE81" s="562"/>
      <c r="AF81" s="446"/>
    </row>
    <row r="82" spans="2:33" ht="15.75" customHeight="1" x14ac:dyDescent="0.3">
      <c r="B82" s="848"/>
      <c r="C82" s="851"/>
      <c r="D82" s="884"/>
      <c r="E82" s="191" t="s">
        <v>156</v>
      </c>
      <c r="F82" s="187"/>
      <c r="G82" s="601">
        <f>'2020'!G82</f>
        <v>0</v>
      </c>
      <c r="H82" s="602">
        <f>'2021'!G82</f>
        <v>0</v>
      </c>
      <c r="I82" s="603">
        <f>'2022'!G82</f>
        <v>14</v>
      </c>
      <c r="J82" s="604">
        <f>'2020'!H82</f>
        <v>0</v>
      </c>
      <c r="K82" s="602">
        <f>'2021'!H82</f>
        <v>0</v>
      </c>
      <c r="L82" s="603">
        <f>'2022'!H82</f>
        <v>6</v>
      </c>
      <c r="M82" s="151">
        <f t="shared" si="71"/>
        <v>0</v>
      </c>
      <c r="N82" s="152">
        <f t="shared" si="72"/>
        <v>0</v>
      </c>
      <c r="O82" s="648">
        <f t="shared" si="73"/>
        <v>0.5</v>
      </c>
      <c r="P82" s="604">
        <f>'2020'!J82</f>
        <v>0</v>
      </c>
      <c r="Q82" s="602">
        <f>'2021'!J82</f>
        <v>0</v>
      </c>
      <c r="R82" s="603">
        <f>'2022'!J82</f>
        <v>7</v>
      </c>
      <c r="S82" s="151"/>
      <c r="T82" s="437"/>
      <c r="U82" s="15"/>
      <c r="V82" s="201"/>
      <c r="W82" s="207"/>
      <c r="X82" s="208"/>
      <c r="Y82" s="207"/>
      <c r="Z82" s="208"/>
      <c r="AA82" s="665"/>
      <c r="AB82" s="666"/>
      <c r="AC82" s="665"/>
      <c r="AD82" s="667"/>
      <c r="AE82" s="563"/>
      <c r="AF82" s="448"/>
    </row>
    <row r="83" spans="2:33" ht="15.75" customHeight="1" x14ac:dyDescent="0.3">
      <c r="B83" s="848"/>
      <c r="C83" s="851"/>
      <c r="D83" s="884"/>
      <c r="E83" s="191" t="s">
        <v>157</v>
      </c>
      <c r="F83" s="187"/>
      <c r="G83" s="601">
        <f>'2020'!G83</f>
        <v>0</v>
      </c>
      <c r="H83" s="602">
        <f>'2021'!G83</f>
        <v>0</v>
      </c>
      <c r="I83" s="603">
        <f>'2022'!G83</f>
        <v>8</v>
      </c>
      <c r="J83" s="604">
        <f>'2020'!H83</f>
        <v>0</v>
      </c>
      <c r="K83" s="602">
        <f>'2021'!H83</f>
        <v>0</v>
      </c>
      <c r="L83" s="603">
        <f>'2022'!H83</f>
        <v>3</v>
      </c>
      <c r="M83" s="151">
        <f t="shared" si="71"/>
        <v>0</v>
      </c>
      <c r="N83" s="152">
        <f t="shared" si="72"/>
        <v>0</v>
      </c>
      <c r="O83" s="648">
        <f t="shared" si="73"/>
        <v>0.5</v>
      </c>
      <c r="P83" s="604">
        <f>'2020'!J83</f>
        <v>0</v>
      </c>
      <c r="Q83" s="602">
        <f>'2021'!J83</f>
        <v>0</v>
      </c>
      <c r="R83" s="603">
        <f>'2022'!J83</f>
        <v>4</v>
      </c>
      <c r="S83" s="151"/>
      <c r="T83" s="437"/>
      <c r="U83" s="15"/>
      <c r="V83" s="201"/>
      <c r="W83" s="207"/>
      <c r="X83" s="208"/>
      <c r="Y83" s="207"/>
      <c r="Z83" s="208"/>
      <c r="AA83" s="665"/>
      <c r="AB83" s="666"/>
      <c r="AC83" s="665"/>
      <c r="AD83" s="667"/>
      <c r="AE83" s="563"/>
      <c r="AF83" s="448"/>
    </row>
    <row r="84" spans="2:33" ht="15" customHeight="1" x14ac:dyDescent="0.3">
      <c r="B84" s="848"/>
      <c r="C84" s="851"/>
      <c r="D84" s="884"/>
      <c r="E84" s="191" t="s">
        <v>37</v>
      </c>
      <c r="F84" s="517" t="s">
        <v>60</v>
      </c>
      <c r="G84" s="589">
        <f>'2020'!G84</f>
        <v>217</v>
      </c>
      <c r="H84" s="590">
        <f>'2021'!G84</f>
        <v>346</v>
      </c>
      <c r="I84" s="591">
        <f>'2022'!G84</f>
        <v>458</v>
      </c>
      <c r="J84" s="592">
        <f>'2020'!H84</f>
        <v>102</v>
      </c>
      <c r="K84" s="590">
        <f>'2021'!H84</f>
        <v>174</v>
      </c>
      <c r="L84" s="591">
        <f>'2022'!H84</f>
        <v>230</v>
      </c>
      <c r="M84" s="151">
        <f t="shared" si="71"/>
        <v>0.28999999999999998</v>
      </c>
      <c r="N84" s="152">
        <f t="shared" si="72"/>
        <v>0.31502890173410403</v>
      </c>
      <c r="O84" s="648">
        <f t="shared" si="73"/>
        <v>0.27292576419213976</v>
      </c>
      <c r="P84" s="592">
        <f>'2020'!J84</f>
        <v>62.929999999999993</v>
      </c>
      <c r="Q84" s="590">
        <f>'2021'!J84</f>
        <v>109</v>
      </c>
      <c r="R84" s="591">
        <f>'2022'!J84</f>
        <v>125</v>
      </c>
      <c r="S84" s="151">
        <f>T84/G84</f>
        <v>0.37788018433179721</v>
      </c>
      <c r="T84" s="437">
        <v>82</v>
      </c>
      <c r="U84" s="151">
        <f t="shared" si="40"/>
        <v>0.52439024390243905</v>
      </c>
      <c r="V84" s="201">
        <v>43</v>
      </c>
      <c r="W84" s="207">
        <v>11</v>
      </c>
      <c r="X84" s="208">
        <v>7</v>
      </c>
      <c r="Y84" s="207">
        <v>50</v>
      </c>
      <c r="Z84" s="208">
        <v>36</v>
      </c>
      <c r="AA84" s="665">
        <v>374</v>
      </c>
      <c r="AB84" s="666">
        <v>195</v>
      </c>
      <c r="AC84" s="665">
        <v>22</v>
      </c>
      <c r="AD84" s="667">
        <v>15</v>
      </c>
      <c r="AE84" s="563" t="s">
        <v>142</v>
      </c>
      <c r="AF84" s="448"/>
      <c r="AG84" s="1">
        <f>IF(G84="","",1)</f>
        <v>1</v>
      </c>
    </row>
    <row r="85" spans="2:33" ht="15" customHeight="1" x14ac:dyDescent="0.3">
      <c r="B85" s="848"/>
      <c r="C85" s="851"/>
      <c r="D85" s="884"/>
      <c r="E85" s="191" t="s">
        <v>158</v>
      </c>
      <c r="F85" s="517" t="s">
        <v>62</v>
      </c>
      <c r="G85" s="589">
        <f>'2020'!G85</f>
        <v>156</v>
      </c>
      <c r="H85" s="590">
        <f>'2021'!G85</f>
        <v>230</v>
      </c>
      <c r="I85" s="591">
        <f>'2022'!G85</f>
        <v>283</v>
      </c>
      <c r="J85" s="592">
        <f>'2020'!H85</f>
        <v>87</v>
      </c>
      <c r="K85" s="590">
        <f>'2021'!H85</f>
        <v>116</v>
      </c>
      <c r="L85" s="591">
        <f>'2022'!H85</f>
        <v>161</v>
      </c>
      <c r="M85" s="151">
        <f t="shared" si="71"/>
        <v>0.4</v>
      </c>
      <c r="N85" s="152">
        <f t="shared" si="72"/>
        <v>0.4</v>
      </c>
      <c r="O85" s="648">
        <f t="shared" si="73"/>
        <v>0.52296819787985871</v>
      </c>
      <c r="P85" s="592">
        <f>'2020'!J85</f>
        <v>62.400000000000006</v>
      </c>
      <c r="Q85" s="590">
        <f>'2021'!J85</f>
        <v>92</v>
      </c>
      <c r="R85" s="591">
        <f>'2022'!J85</f>
        <v>148</v>
      </c>
      <c r="S85" s="151">
        <f>T85/G85</f>
        <v>0.49358974358974361</v>
      </c>
      <c r="T85" s="437">
        <v>77</v>
      </c>
      <c r="U85" s="151">
        <f t="shared" si="40"/>
        <v>0.45454545454545453</v>
      </c>
      <c r="V85" s="201">
        <v>35</v>
      </c>
      <c r="W85" s="207">
        <v>20</v>
      </c>
      <c r="X85" s="208">
        <v>9</v>
      </c>
      <c r="Y85" s="207">
        <v>4</v>
      </c>
      <c r="Z85" s="208">
        <v>3</v>
      </c>
      <c r="AA85" s="665">
        <v>216</v>
      </c>
      <c r="AB85" s="666">
        <v>106</v>
      </c>
      <c r="AC85" s="665">
        <v>18</v>
      </c>
      <c r="AD85" s="667">
        <v>10</v>
      </c>
      <c r="AE85" s="563" t="s">
        <v>142</v>
      </c>
      <c r="AF85" s="448"/>
      <c r="AG85" s="1">
        <f>IF(G85="","",1)</f>
        <v>1</v>
      </c>
    </row>
    <row r="86" spans="2:33" ht="15" customHeight="1" x14ac:dyDescent="0.3">
      <c r="B86" s="848"/>
      <c r="C86" s="851"/>
      <c r="D86" s="884"/>
      <c r="E86" s="191" t="s">
        <v>38</v>
      </c>
      <c r="F86" s="517" t="s">
        <v>62</v>
      </c>
      <c r="G86" s="589">
        <f>'2020'!G86</f>
        <v>167</v>
      </c>
      <c r="H86" s="590">
        <f>'2021'!G86</f>
        <v>239</v>
      </c>
      <c r="I86" s="591">
        <f>'2022'!G86</f>
        <v>312</v>
      </c>
      <c r="J86" s="592">
        <f>'2020'!H86</f>
        <v>80</v>
      </c>
      <c r="K86" s="590">
        <f>'2021'!H86</f>
        <v>114</v>
      </c>
      <c r="L86" s="591">
        <f>'2022'!H86</f>
        <v>170</v>
      </c>
      <c r="M86" s="151">
        <f t="shared" si="71"/>
        <v>0.26</v>
      </c>
      <c r="N86" s="152">
        <f t="shared" si="72"/>
        <v>0.35564853556485354</v>
      </c>
      <c r="O86" s="648">
        <f t="shared" si="73"/>
        <v>0.40064102564102566</v>
      </c>
      <c r="P86" s="592">
        <f>'2020'!J86</f>
        <v>43.42</v>
      </c>
      <c r="Q86" s="590">
        <f>'2021'!J86</f>
        <v>85</v>
      </c>
      <c r="R86" s="591">
        <f>'2022'!J86</f>
        <v>125</v>
      </c>
      <c r="S86" s="151">
        <f>T86/G86</f>
        <v>0.46107784431137727</v>
      </c>
      <c r="T86" s="437">
        <v>77</v>
      </c>
      <c r="U86" s="151">
        <f t="shared" si="40"/>
        <v>0.38961038961038963</v>
      </c>
      <c r="V86" s="201">
        <v>30</v>
      </c>
      <c r="W86" s="207">
        <v>13</v>
      </c>
      <c r="X86" s="208">
        <v>5</v>
      </c>
      <c r="Y86" s="207">
        <v>36</v>
      </c>
      <c r="Z86" s="208">
        <v>17</v>
      </c>
      <c r="AA86" s="665">
        <v>228</v>
      </c>
      <c r="AB86" s="666">
        <v>105</v>
      </c>
      <c r="AC86" s="665">
        <v>47</v>
      </c>
      <c r="AD86" s="667">
        <v>26</v>
      </c>
      <c r="AE86" s="563" t="s">
        <v>142</v>
      </c>
      <c r="AF86" s="448"/>
      <c r="AG86" s="1">
        <f>IF(G86="","",1)</f>
        <v>1</v>
      </c>
    </row>
    <row r="87" spans="2:33" ht="15" customHeight="1" x14ac:dyDescent="0.3">
      <c r="B87" s="848"/>
      <c r="C87" s="851"/>
      <c r="D87" s="884"/>
      <c r="E87" s="191" t="s">
        <v>159</v>
      </c>
      <c r="F87" s="517"/>
      <c r="G87" s="589">
        <f>'2020'!G87</f>
        <v>0</v>
      </c>
      <c r="H87" s="590">
        <f>'2021'!G87</f>
        <v>0</v>
      </c>
      <c r="I87" s="591">
        <f>'2022'!G87</f>
        <v>110</v>
      </c>
      <c r="J87" s="592">
        <f>'2020'!H87</f>
        <v>0</v>
      </c>
      <c r="K87" s="590">
        <f>'2021'!H87</f>
        <v>0</v>
      </c>
      <c r="L87" s="591">
        <f>'2022'!H87</f>
        <v>68</v>
      </c>
      <c r="M87" s="151">
        <f t="shared" si="71"/>
        <v>0</v>
      </c>
      <c r="N87" s="152">
        <f t="shared" si="72"/>
        <v>0</v>
      </c>
      <c r="O87" s="648">
        <f t="shared" si="73"/>
        <v>0.42727272727272725</v>
      </c>
      <c r="P87" s="592">
        <f>'2020'!J87</f>
        <v>0</v>
      </c>
      <c r="Q87" s="590">
        <f>'2021'!J87</f>
        <v>0</v>
      </c>
      <c r="R87" s="591">
        <f>'2022'!J87</f>
        <v>47</v>
      </c>
      <c r="S87" s="151"/>
      <c r="T87" s="437"/>
      <c r="U87" s="151"/>
      <c r="V87" s="201"/>
      <c r="W87" s="207"/>
      <c r="X87" s="208"/>
      <c r="Y87" s="207"/>
      <c r="Z87" s="208"/>
      <c r="AA87" s="665"/>
      <c r="AB87" s="666"/>
      <c r="AC87" s="665"/>
      <c r="AD87" s="667"/>
      <c r="AE87" s="563"/>
      <c r="AF87" s="448"/>
    </row>
    <row r="88" spans="2:33" ht="15" customHeight="1" x14ac:dyDescent="0.3">
      <c r="B88" s="848"/>
      <c r="C88" s="851"/>
      <c r="D88" s="884"/>
      <c r="E88" s="191" t="s">
        <v>149</v>
      </c>
      <c r="F88" s="517"/>
      <c r="G88" s="589">
        <f>'2020'!G88</f>
        <v>0</v>
      </c>
      <c r="H88" s="590">
        <f>'2021'!G88</f>
        <v>40</v>
      </c>
      <c r="I88" s="591">
        <f>'2022'!G88</f>
        <v>52</v>
      </c>
      <c r="J88" s="592">
        <f>'2020'!H88</f>
        <v>0</v>
      </c>
      <c r="K88" s="590">
        <f>'2021'!H88</f>
        <v>20</v>
      </c>
      <c r="L88" s="591">
        <f>'2022'!H88</f>
        <v>30</v>
      </c>
      <c r="M88" s="151">
        <f t="shared" si="71"/>
        <v>0</v>
      </c>
      <c r="N88" s="152">
        <f t="shared" si="72"/>
        <v>0.375</v>
      </c>
      <c r="O88" s="648">
        <f t="shared" si="73"/>
        <v>0.40384615384615385</v>
      </c>
      <c r="P88" s="592">
        <f>'2020'!J88</f>
        <v>0</v>
      </c>
      <c r="Q88" s="590">
        <f>'2021'!J88</f>
        <v>15</v>
      </c>
      <c r="R88" s="591">
        <f>'2022'!J88</f>
        <v>21</v>
      </c>
      <c r="S88" s="151" t="e">
        <f t="shared" ref="S88:S99" si="74">T88/G88</f>
        <v>#DIV/0!</v>
      </c>
      <c r="T88" s="437">
        <v>13</v>
      </c>
      <c r="U88" s="151">
        <f t="shared" si="40"/>
        <v>0.53846153846153844</v>
      </c>
      <c r="V88" s="201">
        <v>7</v>
      </c>
      <c r="W88" s="207">
        <v>0</v>
      </c>
      <c r="X88" s="208">
        <v>0</v>
      </c>
      <c r="Y88" s="207">
        <v>0</v>
      </c>
      <c r="Z88" s="208">
        <v>0</v>
      </c>
      <c r="AA88" s="665">
        <v>28</v>
      </c>
      <c r="AB88" s="666">
        <v>15</v>
      </c>
      <c r="AC88" s="665">
        <v>12</v>
      </c>
      <c r="AD88" s="667">
        <v>5</v>
      </c>
      <c r="AE88" s="563" t="s">
        <v>142</v>
      </c>
      <c r="AF88" s="448"/>
      <c r="AG88" s="1">
        <f>IF(G88="","",1)</f>
        <v>1</v>
      </c>
    </row>
    <row r="89" spans="2:33" ht="15" customHeight="1" x14ac:dyDescent="0.3">
      <c r="B89" s="848"/>
      <c r="C89" s="851"/>
      <c r="D89" s="884"/>
      <c r="E89" s="191" t="s">
        <v>150</v>
      </c>
      <c r="F89" s="517"/>
      <c r="G89" s="589">
        <f>'2020'!G89</f>
        <v>0</v>
      </c>
      <c r="H89" s="590">
        <f>'2021'!G89</f>
        <v>24</v>
      </c>
      <c r="I89" s="591">
        <f>'2022'!G89</f>
        <v>0</v>
      </c>
      <c r="J89" s="592">
        <f>'2020'!H89</f>
        <v>0</v>
      </c>
      <c r="K89" s="590">
        <f>'2021'!H89</f>
        <v>18</v>
      </c>
      <c r="L89" s="591">
        <f>'2022'!H89</f>
        <v>0</v>
      </c>
      <c r="M89" s="151">
        <f t="shared" si="71"/>
        <v>0</v>
      </c>
      <c r="N89" s="152">
        <f t="shared" si="72"/>
        <v>0.45833333333333331</v>
      </c>
      <c r="O89" s="648">
        <f t="shared" si="73"/>
        <v>0</v>
      </c>
      <c r="P89" s="592">
        <f>'2020'!J89</f>
        <v>0</v>
      </c>
      <c r="Q89" s="590">
        <f>'2021'!J89</f>
        <v>11</v>
      </c>
      <c r="R89" s="591">
        <f>'2022'!J89</f>
        <v>0</v>
      </c>
      <c r="S89" s="151" t="e">
        <f t="shared" si="74"/>
        <v>#DIV/0!</v>
      </c>
      <c r="T89" s="437">
        <v>8</v>
      </c>
      <c r="U89" s="151">
        <f t="shared" si="40"/>
        <v>0.5</v>
      </c>
      <c r="V89" s="201">
        <v>4</v>
      </c>
      <c r="W89" s="207">
        <v>1</v>
      </c>
      <c r="X89" s="208">
        <v>1</v>
      </c>
      <c r="Y89" s="207">
        <v>10</v>
      </c>
      <c r="Z89" s="208">
        <v>9</v>
      </c>
      <c r="AA89" s="665">
        <v>32</v>
      </c>
      <c r="AB89" s="666">
        <v>25</v>
      </c>
      <c r="AC89" s="665">
        <v>2</v>
      </c>
      <c r="AD89" s="667">
        <v>2</v>
      </c>
      <c r="AE89" s="563" t="s">
        <v>142</v>
      </c>
      <c r="AF89" s="448"/>
      <c r="AG89" s="1">
        <f>IF(G89="","",1)</f>
        <v>1</v>
      </c>
    </row>
    <row r="90" spans="2:33" ht="15" customHeight="1" x14ac:dyDescent="0.3">
      <c r="B90" s="848"/>
      <c r="C90" s="851"/>
      <c r="D90" s="884"/>
      <c r="E90" s="191"/>
      <c r="F90" s="517"/>
      <c r="G90" s="589"/>
      <c r="H90" s="590"/>
      <c r="I90" s="591"/>
      <c r="J90" s="592"/>
      <c r="K90" s="590"/>
      <c r="L90" s="591"/>
      <c r="M90" s="151"/>
      <c r="N90" s="152"/>
      <c r="O90" s="648"/>
      <c r="P90" s="592"/>
      <c r="Q90" s="590"/>
      <c r="R90" s="591"/>
      <c r="S90" s="151"/>
      <c r="T90" s="437"/>
      <c r="U90" s="151"/>
      <c r="V90" s="201"/>
      <c r="W90" s="207"/>
      <c r="X90" s="208"/>
      <c r="Y90" s="207"/>
      <c r="Z90" s="208"/>
      <c r="AA90" s="665"/>
      <c r="AB90" s="666"/>
      <c r="AC90" s="665"/>
      <c r="AD90" s="667"/>
      <c r="AE90" s="563"/>
      <c r="AF90" s="448"/>
    </row>
    <row r="91" spans="2:33" ht="15" customHeight="1" x14ac:dyDescent="0.3">
      <c r="B91" s="848"/>
      <c r="C91" s="851"/>
      <c r="D91" s="884"/>
      <c r="E91" s="191"/>
      <c r="F91" s="517"/>
      <c r="G91" s="589"/>
      <c r="H91" s="590"/>
      <c r="I91" s="591"/>
      <c r="J91" s="592"/>
      <c r="K91" s="590"/>
      <c r="L91" s="591"/>
      <c r="M91" s="151"/>
      <c r="N91" s="152"/>
      <c r="O91" s="648"/>
      <c r="P91" s="592"/>
      <c r="Q91" s="590"/>
      <c r="R91" s="591"/>
      <c r="S91" s="151"/>
      <c r="T91" s="437"/>
      <c r="U91" s="151"/>
      <c r="V91" s="201"/>
      <c r="W91" s="207"/>
      <c r="X91" s="208"/>
      <c r="Y91" s="207"/>
      <c r="Z91" s="208"/>
      <c r="AA91" s="665"/>
      <c r="AB91" s="666"/>
      <c r="AC91" s="665"/>
      <c r="AD91" s="667"/>
      <c r="AE91" s="563"/>
      <c r="AF91" s="448"/>
    </row>
    <row r="92" spans="2:33" ht="15" customHeight="1" x14ac:dyDescent="0.3">
      <c r="B92" s="848"/>
      <c r="C92" s="851"/>
      <c r="D92" s="884"/>
      <c r="E92" s="191" t="s">
        <v>153</v>
      </c>
      <c r="F92" s="517"/>
      <c r="G92" s="589">
        <f>'2020'!G92</f>
        <v>0</v>
      </c>
      <c r="H92" s="590">
        <f>'2021'!G92</f>
        <v>3</v>
      </c>
      <c r="I92" s="591">
        <f>'2022'!G92</f>
        <v>0</v>
      </c>
      <c r="J92" s="592">
        <f>'2020'!H92</f>
        <v>0</v>
      </c>
      <c r="K92" s="590">
        <f>'2021'!H92</f>
        <v>3</v>
      </c>
      <c r="L92" s="591">
        <f>'2022'!H92</f>
        <v>0</v>
      </c>
      <c r="M92" s="151">
        <f t="shared" si="71"/>
        <v>0</v>
      </c>
      <c r="N92" s="152">
        <f t="shared" si="72"/>
        <v>0.66666666666666663</v>
      </c>
      <c r="O92" s="648">
        <f t="shared" si="73"/>
        <v>0</v>
      </c>
      <c r="P92" s="592">
        <f>'2020'!J92</f>
        <v>0</v>
      </c>
      <c r="Q92" s="590">
        <f>'2021'!J92</f>
        <v>2</v>
      </c>
      <c r="R92" s="591">
        <f>'2022'!J92</f>
        <v>0</v>
      </c>
      <c r="S92" s="151" t="e">
        <f t="shared" si="74"/>
        <v>#DIV/0!</v>
      </c>
      <c r="T92" s="437">
        <v>2</v>
      </c>
      <c r="U92" s="151">
        <f t="shared" si="40"/>
        <v>0.5</v>
      </c>
      <c r="V92" s="201">
        <v>1</v>
      </c>
      <c r="W92" s="207">
        <v>0</v>
      </c>
      <c r="X92" s="208">
        <v>0</v>
      </c>
      <c r="Y92" s="207">
        <v>0</v>
      </c>
      <c r="Z92" s="208">
        <v>0</v>
      </c>
      <c r="AA92" s="665">
        <v>3</v>
      </c>
      <c r="AB92" s="666">
        <v>3</v>
      </c>
      <c r="AC92" s="665">
        <v>0</v>
      </c>
      <c r="AD92" s="667">
        <v>0</v>
      </c>
      <c r="AE92" s="563" t="s">
        <v>142</v>
      </c>
      <c r="AF92" s="448"/>
      <c r="AG92" s="1">
        <f>IF(G92="","",1)</f>
        <v>1</v>
      </c>
    </row>
    <row r="93" spans="2:33" ht="15.6" x14ac:dyDescent="0.3">
      <c r="B93" s="849"/>
      <c r="C93" s="852"/>
      <c r="D93" s="554" t="s">
        <v>138</v>
      </c>
      <c r="E93" s="73"/>
      <c r="F93" s="531"/>
      <c r="G93" s="605">
        <f>SUM(G81:G92)</f>
        <v>540</v>
      </c>
      <c r="H93" s="606">
        <f t="shared" ref="H93:L93" si="75">SUM(H81:H92)</f>
        <v>882</v>
      </c>
      <c r="I93" s="607">
        <f t="shared" si="75"/>
        <v>1242</v>
      </c>
      <c r="J93" s="608">
        <f t="shared" si="75"/>
        <v>269</v>
      </c>
      <c r="K93" s="606">
        <f t="shared" si="75"/>
        <v>445</v>
      </c>
      <c r="L93" s="607">
        <f t="shared" si="75"/>
        <v>672</v>
      </c>
      <c r="M93" s="159">
        <f t="shared" si="71"/>
        <v>0.3125</v>
      </c>
      <c r="N93" s="160">
        <f t="shared" si="72"/>
        <v>0.35600907029478457</v>
      </c>
      <c r="O93" s="631">
        <f t="shared" si="73"/>
        <v>0.38405797101449274</v>
      </c>
      <c r="P93" s="608">
        <f t="shared" ref="P93:R93" si="76">SUM(P81:P92)</f>
        <v>168.75</v>
      </c>
      <c r="Q93" s="606">
        <f t="shared" si="76"/>
        <v>314</v>
      </c>
      <c r="R93" s="607">
        <f t="shared" si="76"/>
        <v>477</v>
      </c>
      <c r="S93" s="159">
        <f t="shared" si="74"/>
        <v>0.47962962962962963</v>
      </c>
      <c r="T93" s="534">
        <f>SUM(T84:T92)</f>
        <v>259</v>
      </c>
      <c r="U93" s="21">
        <f>V93/T93</f>
        <v>0.46332046332046334</v>
      </c>
      <c r="V93" s="534">
        <f>SUM(V84:V92)</f>
        <v>120</v>
      </c>
      <c r="W93" s="161">
        <f>SUM(W84:W92)</f>
        <v>45</v>
      </c>
      <c r="X93" s="158">
        <f>SUM(X84:X92)</f>
        <v>22</v>
      </c>
      <c r="Y93" s="161">
        <f t="shared" ref="Y93:AD93" si="77">SUM(Y84:Y92)</f>
        <v>100</v>
      </c>
      <c r="Z93" s="158">
        <f t="shared" si="77"/>
        <v>65</v>
      </c>
      <c r="AA93" s="161">
        <f t="shared" si="77"/>
        <v>881</v>
      </c>
      <c r="AB93" s="158">
        <f t="shared" si="77"/>
        <v>449</v>
      </c>
      <c r="AC93" s="161">
        <f t="shared" si="77"/>
        <v>101</v>
      </c>
      <c r="AD93" s="198">
        <f t="shared" si="77"/>
        <v>58</v>
      </c>
      <c r="AE93" s="564" t="s">
        <v>142</v>
      </c>
      <c r="AF93" s="522"/>
    </row>
    <row r="94" spans="2:33" ht="15.75" customHeight="1" x14ac:dyDescent="0.3">
      <c r="B94" s="875" t="s">
        <v>72</v>
      </c>
      <c r="C94" s="850" t="s">
        <v>76</v>
      </c>
      <c r="D94" s="883">
        <v>5</v>
      </c>
      <c r="E94" s="189" t="s">
        <v>151</v>
      </c>
      <c r="F94" s="515" t="s">
        <v>62</v>
      </c>
      <c r="G94" s="585">
        <f>'2020'!G94</f>
        <v>21</v>
      </c>
      <c r="H94" s="586">
        <f>'2021'!G94</f>
        <v>47</v>
      </c>
      <c r="I94" s="587">
        <f>'2022'!G94</f>
        <v>45</v>
      </c>
      <c r="J94" s="588">
        <f>'2020'!H94</f>
        <v>8</v>
      </c>
      <c r="K94" s="586">
        <f>'2021'!H94</f>
        <v>38</v>
      </c>
      <c r="L94" s="587">
        <f>'2022'!H94</f>
        <v>24</v>
      </c>
      <c r="M94" s="145">
        <f t="shared" ref="M94:M99" si="78">IF(G94=0,0,IF(P94=0,0,P94/G94))</f>
        <v>0.28999999999999998</v>
      </c>
      <c r="N94" s="146">
        <f t="shared" ref="N94:N99" si="79">IF(H94=0,0,IF(Q94=0,0,Q94/H94))</f>
        <v>0.19148936170212766</v>
      </c>
      <c r="O94" s="647">
        <f t="shared" ref="O94:O99" si="80">IF(I94=0,0,IF(R94=0,0,R94/I94))</f>
        <v>0.28888888888888886</v>
      </c>
      <c r="P94" s="588">
        <f>'2020'!J94</f>
        <v>6.09</v>
      </c>
      <c r="Q94" s="586">
        <f>'2021'!J94</f>
        <v>9</v>
      </c>
      <c r="R94" s="587">
        <f>'2022'!J94</f>
        <v>13</v>
      </c>
      <c r="S94" s="145">
        <f t="shared" si="74"/>
        <v>0.52380952380952384</v>
      </c>
      <c r="T94" s="436">
        <v>11</v>
      </c>
      <c r="U94" s="145">
        <f t="shared" si="40"/>
        <v>0.54545454545454541</v>
      </c>
      <c r="V94" s="200">
        <v>6</v>
      </c>
      <c r="W94" s="205">
        <v>1</v>
      </c>
      <c r="X94" s="206">
        <v>0</v>
      </c>
      <c r="Y94" s="205">
        <v>1</v>
      </c>
      <c r="Z94" s="206">
        <v>1</v>
      </c>
      <c r="AA94" s="662">
        <v>45</v>
      </c>
      <c r="AB94" s="663">
        <v>38</v>
      </c>
      <c r="AC94" s="662">
        <v>3</v>
      </c>
      <c r="AD94" s="664">
        <v>1</v>
      </c>
      <c r="AE94" s="415" t="s">
        <v>142</v>
      </c>
      <c r="AF94" s="410"/>
      <c r="AG94" s="1">
        <f>IF(G94="","",1)</f>
        <v>1</v>
      </c>
    </row>
    <row r="95" spans="2:33" ht="15.75" customHeight="1" x14ac:dyDescent="0.3">
      <c r="B95" s="876"/>
      <c r="C95" s="858"/>
      <c r="D95" s="884"/>
      <c r="E95" s="191" t="s">
        <v>154</v>
      </c>
      <c r="F95" s="517"/>
      <c r="G95" s="589">
        <f>'2020'!G95</f>
        <v>0</v>
      </c>
      <c r="H95" s="590">
        <f>'2021'!G95</f>
        <v>23</v>
      </c>
      <c r="I95" s="591">
        <f>'2022'!G95</f>
        <v>16</v>
      </c>
      <c r="J95" s="592">
        <f>'2020'!H95</f>
        <v>0</v>
      </c>
      <c r="K95" s="590">
        <f>'2021'!H95</f>
        <v>7</v>
      </c>
      <c r="L95" s="591">
        <f>'2022'!H95</f>
        <v>10</v>
      </c>
      <c r="M95" s="151">
        <f t="shared" si="78"/>
        <v>0</v>
      </c>
      <c r="N95" s="152">
        <f t="shared" si="79"/>
        <v>0.39130434782608697</v>
      </c>
      <c r="O95" s="648">
        <f t="shared" si="80"/>
        <v>0.25</v>
      </c>
      <c r="P95" s="592">
        <f>'2020'!J95</f>
        <v>0</v>
      </c>
      <c r="Q95" s="590">
        <f>'2021'!J95</f>
        <v>9</v>
      </c>
      <c r="R95" s="591">
        <f>'2022'!J95</f>
        <v>4</v>
      </c>
      <c r="S95" s="151" t="e">
        <f t="shared" si="74"/>
        <v>#DIV/0!</v>
      </c>
      <c r="T95" s="437">
        <v>9</v>
      </c>
      <c r="U95" s="151">
        <f t="shared" si="40"/>
        <v>0.55555555555555558</v>
      </c>
      <c r="V95" s="201">
        <v>5</v>
      </c>
      <c r="W95" s="207">
        <v>0</v>
      </c>
      <c r="X95" s="208">
        <v>0</v>
      </c>
      <c r="Y95" s="207">
        <v>8</v>
      </c>
      <c r="Z95" s="208">
        <v>7</v>
      </c>
      <c r="AA95" s="665">
        <v>22</v>
      </c>
      <c r="AB95" s="666">
        <v>10</v>
      </c>
      <c r="AC95" s="665">
        <v>9</v>
      </c>
      <c r="AD95" s="667">
        <v>4</v>
      </c>
      <c r="AE95" s="415" t="s">
        <v>142</v>
      </c>
      <c r="AF95" s="410"/>
      <c r="AG95" s="1">
        <f>IF(G95="","",1)</f>
        <v>1</v>
      </c>
    </row>
    <row r="96" spans="2:33" ht="15.75" customHeight="1" x14ac:dyDescent="0.3">
      <c r="B96" s="876"/>
      <c r="C96" s="841"/>
      <c r="D96" s="885"/>
      <c r="E96" s="724"/>
      <c r="F96" s="725"/>
      <c r="G96" s="716"/>
      <c r="H96" s="717"/>
      <c r="I96" s="718"/>
      <c r="J96" s="719"/>
      <c r="K96" s="717"/>
      <c r="L96" s="718"/>
      <c r="M96" s="701"/>
      <c r="N96" s="706"/>
      <c r="O96" s="720"/>
      <c r="P96" s="719"/>
      <c r="Q96" s="717"/>
      <c r="R96" s="718"/>
      <c r="S96" s="701"/>
      <c r="T96" s="721"/>
      <c r="U96" s="701"/>
      <c r="V96" s="703"/>
      <c r="W96" s="687"/>
      <c r="X96" s="688"/>
      <c r="Y96" s="687"/>
      <c r="Z96" s="688"/>
      <c r="AA96" s="735"/>
      <c r="AB96" s="736"/>
      <c r="AC96" s="735"/>
      <c r="AD96" s="737"/>
      <c r="AE96" s="415"/>
      <c r="AF96" s="410"/>
    </row>
    <row r="97" spans="2:33" ht="15.75" customHeight="1" x14ac:dyDescent="0.3">
      <c r="B97" s="876"/>
      <c r="C97" s="841"/>
      <c r="D97" s="885"/>
      <c r="E97" s="724"/>
      <c r="F97" s="725"/>
      <c r="G97" s="716"/>
      <c r="H97" s="717"/>
      <c r="I97" s="718"/>
      <c r="J97" s="719"/>
      <c r="K97" s="717"/>
      <c r="L97" s="718"/>
      <c r="M97" s="701"/>
      <c r="N97" s="706"/>
      <c r="O97" s="720"/>
      <c r="P97" s="719"/>
      <c r="Q97" s="717"/>
      <c r="R97" s="718"/>
      <c r="S97" s="701"/>
      <c r="T97" s="721"/>
      <c r="U97" s="701"/>
      <c r="V97" s="703"/>
      <c r="W97" s="687"/>
      <c r="X97" s="688"/>
      <c r="Y97" s="687"/>
      <c r="Z97" s="688"/>
      <c r="AA97" s="735"/>
      <c r="AB97" s="736"/>
      <c r="AC97" s="735"/>
      <c r="AD97" s="737"/>
      <c r="AE97" s="415"/>
      <c r="AF97" s="410"/>
    </row>
    <row r="98" spans="2:33" ht="15.75" customHeight="1" x14ac:dyDescent="0.3">
      <c r="B98" s="876"/>
      <c r="C98" s="841"/>
      <c r="D98" s="886"/>
      <c r="E98" s="192" t="s">
        <v>36</v>
      </c>
      <c r="F98" s="518"/>
      <c r="G98" s="577">
        <f>'2020'!G98</f>
        <v>0</v>
      </c>
      <c r="H98" s="578">
        <f>'2021'!G98</f>
        <v>13</v>
      </c>
      <c r="I98" s="579">
        <f>'2022'!G98</f>
        <v>9</v>
      </c>
      <c r="J98" s="580">
        <f>'2020'!H98</f>
        <v>0</v>
      </c>
      <c r="K98" s="578">
        <f>'2021'!H98</f>
        <v>11</v>
      </c>
      <c r="L98" s="579">
        <f>'2022'!H98</f>
        <v>8</v>
      </c>
      <c r="M98" s="159">
        <f t="shared" si="78"/>
        <v>0</v>
      </c>
      <c r="N98" s="160">
        <f t="shared" si="79"/>
        <v>0.38461538461538464</v>
      </c>
      <c r="O98" s="631">
        <f t="shared" si="80"/>
        <v>0.22222222222222221</v>
      </c>
      <c r="P98" s="580">
        <f>'2020'!J98</f>
        <v>0</v>
      </c>
      <c r="Q98" s="578">
        <f>'2021'!J98</f>
        <v>5</v>
      </c>
      <c r="R98" s="579">
        <f>'2022'!J98</f>
        <v>2</v>
      </c>
      <c r="S98" s="159" t="e">
        <f t="shared" si="74"/>
        <v>#DIV/0!</v>
      </c>
      <c r="T98" s="435">
        <v>3</v>
      </c>
      <c r="U98" s="159">
        <f t="shared" si="40"/>
        <v>0.66666666666666663</v>
      </c>
      <c r="V98" s="202">
        <v>2</v>
      </c>
      <c r="W98" s="209">
        <v>0</v>
      </c>
      <c r="X98" s="210">
        <v>0</v>
      </c>
      <c r="Y98" s="209">
        <v>2</v>
      </c>
      <c r="Z98" s="210">
        <v>1</v>
      </c>
      <c r="AA98" s="668">
        <v>11</v>
      </c>
      <c r="AB98" s="669">
        <v>8</v>
      </c>
      <c r="AC98" s="668">
        <v>4</v>
      </c>
      <c r="AD98" s="670">
        <v>4</v>
      </c>
      <c r="AE98" s="415" t="s">
        <v>142</v>
      </c>
      <c r="AF98" s="410"/>
      <c r="AG98" s="1">
        <f>IF(G98="","",1)</f>
        <v>1</v>
      </c>
    </row>
    <row r="99" spans="2:33" ht="15.75" customHeight="1" x14ac:dyDescent="0.3">
      <c r="B99" s="877"/>
      <c r="C99" s="852"/>
      <c r="D99" s="541" t="s">
        <v>138</v>
      </c>
      <c r="E99" s="409"/>
      <c r="F99" s="523"/>
      <c r="G99" s="581">
        <f>SUM(G94:G98)</f>
        <v>21</v>
      </c>
      <c r="H99" s="582">
        <f t="shared" ref="H99:L99" si="81">SUM(H94:H98)</f>
        <v>83</v>
      </c>
      <c r="I99" s="583">
        <f t="shared" si="81"/>
        <v>70</v>
      </c>
      <c r="J99" s="584">
        <f t="shared" si="81"/>
        <v>8</v>
      </c>
      <c r="K99" s="582">
        <f t="shared" si="81"/>
        <v>56</v>
      </c>
      <c r="L99" s="583">
        <f t="shared" si="81"/>
        <v>42</v>
      </c>
      <c r="M99" s="165">
        <f t="shared" si="78"/>
        <v>0.28999999999999998</v>
      </c>
      <c r="N99" s="536">
        <f t="shared" si="79"/>
        <v>0.27710843373493976</v>
      </c>
      <c r="O99" s="628">
        <f t="shared" si="80"/>
        <v>0.27142857142857141</v>
      </c>
      <c r="P99" s="584">
        <f>SUM(P94:P98)</f>
        <v>6.09</v>
      </c>
      <c r="Q99" s="582">
        <f t="shared" ref="Q99:R99" si="82">SUM(Q94:Q98)</f>
        <v>23</v>
      </c>
      <c r="R99" s="583">
        <f t="shared" si="82"/>
        <v>19</v>
      </c>
      <c r="S99" s="165">
        <f t="shared" si="74"/>
        <v>1.0952380952380953</v>
      </c>
      <c r="T99" s="412">
        <f>SUM(T94:T98)</f>
        <v>23</v>
      </c>
      <c r="U99" s="27">
        <f>V99/T99</f>
        <v>0.56521739130434778</v>
      </c>
      <c r="V99" s="412">
        <f>SUM(V94:V98)</f>
        <v>13</v>
      </c>
      <c r="W99" s="270">
        <f>SUM(W94:W98)</f>
        <v>1</v>
      </c>
      <c r="X99" s="271">
        <f t="shared" ref="X99:AD99" si="83">SUM(X94:X98)</f>
        <v>0</v>
      </c>
      <c r="Y99" s="270">
        <f t="shared" si="83"/>
        <v>11</v>
      </c>
      <c r="Z99" s="271">
        <f t="shared" si="83"/>
        <v>9</v>
      </c>
      <c r="AA99" s="270">
        <f t="shared" si="83"/>
        <v>78</v>
      </c>
      <c r="AB99" s="271">
        <f t="shared" si="83"/>
        <v>56</v>
      </c>
      <c r="AC99" s="270">
        <f t="shared" si="83"/>
        <v>16</v>
      </c>
      <c r="AD99" s="272">
        <f t="shared" si="83"/>
        <v>9</v>
      </c>
      <c r="AE99" s="415" t="s">
        <v>142</v>
      </c>
      <c r="AF99" s="410"/>
    </row>
    <row r="100" spans="2:33" ht="15.75" customHeight="1" thickBot="1" x14ac:dyDescent="0.35">
      <c r="B100" s="843" t="s">
        <v>3</v>
      </c>
      <c r="C100" s="853" t="s">
        <v>76</v>
      </c>
      <c r="D100" s="866">
        <v>11</v>
      </c>
      <c r="E100" s="178" t="s">
        <v>48</v>
      </c>
      <c r="F100" s="179" t="s">
        <v>61</v>
      </c>
      <c r="G100" s="585">
        <f>'2020'!G100</f>
        <v>42</v>
      </c>
      <c r="H100" s="586">
        <f>'2021'!G100</f>
        <v>0</v>
      </c>
      <c r="I100" s="587">
        <f>'2022'!G100</f>
        <v>0</v>
      </c>
      <c r="J100" s="588">
        <f>'2020'!H100</f>
        <v>42</v>
      </c>
      <c r="K100" s="586">
        <f>'2021'!H100</f>
        <v>0</v>
      </c>
      <c r="L100" s="587">
        <f>'2022'!H100</f>
        <v>0</v>
      </c>
      <c r="M100" s="145">
        <f t="shared" ref="M100:M111" si="84">IF(G100=0,0,IF(P100=0,0,P100/G100))</f>
        <v>0.40476190476190477</v>
      </c>
      <c r="N100" s="146">
        <f t="shared" ref="N100:N111" si="85">IF(H100=0,0,IF(Q100=0,0,Q100/H100))</f>
        <v>0</v>
      </c>
      <c r="O100" s="647">
        <f t="shared" ref="O100:O111" si="86">IF(I100=0,0,IF(R100=0,0,R100/I100))</f>
        <v>0</v>
      </c>
      <c r="P100" s="588">
        <f>'2020'!J100</f>
        <v>17</v>
      </c>
      <c r="Q100" s="586">
        <f>'2021'!J100</f>
        <v>0</v>
      </c>
      <c r="R100" s="587">
        <f>'2022'!J100</f>
        <v>0</v>
      </c>
      <c r="S100" s="145"/>
      <c r="T100" s="436"/>
      <c r="U100" s="145"/>
      <c r="V100" s="200"/>
      <c r="W100" s="205" t="s">
        <v>21</v>
      </c>
      <c r="X100" s="206" t="s">
        <v>21</v>
      </c>
      <c r="Y100" s="205" t="s">
        <v>21</v>
      </c>
      <c r="Z100" s="206" t="s">
        <v>21</v>
      </c>
      <c r="AA100" s="147"/>
      <c r="AB100" s="144"/>
      <c r="AC100" s="147"/>
      <c r="AD100" s="169"/>
      <c r="AE100" s="415" t="s">
        <v>142</v>
      </c>
      <c r="AF100" s="410"/>
      <c r="AG100" s="1">
        <f t="shared" ref="AG100:AG111" si="87">IF(G100="","",1)</f>
        <v>1</v>
      </c>
    </row>
    <row r="101" spans="2:33" ht="15.75" customHeight="1" thickBot="1" x14ac:dyDescent="0.35">
      <c r="B101" s="838"/>
      <c r="C101" s="854"/>
      <c r="D101" s="867"/>
      <c r="E101" s="181" t="s">
        <v>49</v>
      </c>
      <c r="F101" s="182" t="s">
        <v>61</v>
      </c>
      <c r="G101" s="589">
        <f>'2020'!G101</f>
        <v>283</v>
      </c>
      <c r="H101" s="590">
        <f>'2021'!G101</f>
        <v>0</v>
      </c>
      <c r="I101" s="591">
        <f>'2022'!G101</f>
        <v>0</v>
      </c>
      <c r="J101" s="592">
        <f>'2020'!H101</f>
        <v>283</v>
      </c>
      <c r="K101" s="590">
        <f>'2021'!H101</f>
        <v>0</v>
      </c>
      <c r="L101" s="591">
        <f>'2022'!H101</f>
        <v>0</v>
      </c>
      <c r="M101" s="151">
        <f t="shared" si="84"/>
        <v>0.14840989399293286</v>
      </c>
      <c r="N101" s="152">
        <f t="shared" si="85"/>
        <v>0</v>
      </c>
      <c r="O101" s="648">
        <f t="shared" si="86"/>
        <v>0</v>
      </c>
      <c r="P101" s="592">
        <f>'2020'!J101</f>
        <v>42</v>
      </c>
      <c r="Q101" s="590">
        <f>'2021'!J101</f>
        <v>0</v>
      </c>
      <c r="R101" s="591">
        <f>'2022'!J101</f>
        <v>0</v>
      </c>
      <c r="S101" s="151"/>
      <c r="T101" s="437"/>
      <c r="U101" s="151"/>
      <c r="V101" s="201"/>
      <c r="W101" s="207" t="s">
        <v>21</v>
      </c>
      <c r="X101" s="208" t="s">
        <v>21</v>
      </c>
      <c r="Y101" s="207" t="s">
        <v>21</v>
      </c>
      <c r="Z101" s="208" t="s">
        <v>21</v>
      </c>
      <c r="AA101" s="153"/>
      <c r="AB101" s="150"/>
      <c r="AC101" s="153"/>
      <c r="AD101" s="157"/>
      <c r="AE101" s="415" t="s">
        <v>142</v>
      </c>
      <c r="AF101" s="410"/>
      <c r="AG101" s="1">
        <f t="shared" si="87"/>
        <v>1</v>
      </c>
    </row>
    <row r="102" spans="2:33" ht="15.75" customHeight="1" thickBot="1" x14ac:dyDescent="0.35">
      <c r="B102" s="838"/>
      <c r="C102" s="854"/>
      <c r="D102" s="867"/>
      <c r="E102" s="181" t="s">
        <v>81</v>
      </c>
      <c r="F102" s="182" t="s">
        <v>61</v>
      </c>
      <c r="G102" s="589">
        <f>'2020'!G102</f>
        <v>79</v>
      </c>
      <c r="H102" s="590">
        <f>'2021'!G102</f>
        <v>0</v>
      </c>
      <c r="I102" s="591">
        <f>'2022'!G102</f>
        <v>0</v>
      </c>
      <c r="J102" s="592">
        <f>'2020'!H102</f>
        <v>79</v>
      </c>
      <c r="K102" s="590">
        <f>'2021'!H102</f>
        <v>0</v>
      </c>
      <c r="L102" s="591">
        <f>'2022'!H102</f>
        <v>0</v>
      </c>
      <c r="M102" s="151">
        <f t="shared" si="84"/>
        <v>0.36708860759493672</v>
      </c>
      <c r="N102" s="152">
        <f t="shared" si="85"/>
        <v>0</v>
      </c>
      <c r="O102" s="648">
        <f t="shared" si="86"/>
        <v>0</v>
      </c>
      <c r="P102" s="592">
        <f>'2020'!J102</f>
        <v>29</v>
      </c>
      <c r="Q102" s="590">
        <f>'2021'!J102</f>
        <v>0</v>
      </c>
      <c r="R102" s="591">
        <f>'2022'!J102</f>
        <v>0</v>
      </c>
      <c r="S102" s="151"/>
      <c r="T102" s="437"/>
      <c r="U102" s="151"/>
      <c r="V102" s="201"/>
      <c r="W102" s="207" t="s">
        <v>21</v>
      </c>
      <c r="X102" s="208" t="s">
        <v>21</v>
      </c>
      <c r="Y102" s="207" t="s">
        <v>21</v>
      </c>
      <c r="Z102" s="208" t="s">
        <v>21</v>
      </c>
      <c r="AA102" s="153"/>
      <c r="AB102" s="150"/>
      <c r="AC102" s="153"/>
      <c r="AD102" s="157"/>
      <c r="AE102" s="415" t="s">
        <v>142</v>
      </c>
      <c r="AF102" s="410"/>
      <c r="AG102" s="1">
        <f t="shared" si="87"/>
        <v>1</v>
      </c>
    </row>
    <row r="103" spans="2:33" ht="15.75" customHeight="1" thickBot="1" x14ac:dyDescent="0.35">
      <c r="B103" s="838"/>
      <c r="C103" s="854"/>
      <c r="D103" s="867"/>
      <c r="E103" s="181" t="s">
        <v>73</v>
      </c>
      <c r="F103" s="182" t="s">
        <v>61</v>
      </c>
      <c r="G103" s="589">
        <f>'2020'!G103</f>
        <v>108</v>
      </c>
      <c r="H103" s="590">
        <f>'2021'!G103</f>
        <v>0</v>
      </c>
      <c r="I103" s="591">
        <f>'2022'!G103</f>
        <v>0</v>
      </c>
      <c r="J103" s="592">
        <f>'2020'!H103</f>
        <v>108</v>
      </c>
      <c r="K103" s="590">
        <f>'2021'!H103</f>
        <v>0</v>
      </c>
      <c r="L103" s="591">
        <f>'2022'!H103</f>
        <v>0</v>
      </c>
      <c r="M103" s="151">
        <f t="shared" si="84"/>
        <v>0.43518518518518517</v>
      </c>
      <c r="N103" s="152">
        <f t="shared" si="85"/>
        <v>0</v>
      </c>
      <c r="O103" s="648">
        <f t="shared" si="86"/>
        <v>0</v>
      </c>
      <c r="P103" s="592">
        <f>'2020'!J103</f>
        <v>47</v>
      </c>
      <c r="Q103" s="590">
        <f>'2021'!J103</f>
        <v>0</v>
      </c>
      <c r="R103" s="591">
        <f>'2022'!J103</f>
        <v>0</v>
      </c>
      <c r="S103" s="151"/>
      <c r="T103" s="437"/>
      <c r="U103" s="151"/>
      <c r="V103" s="201"/>
      <c r="W103" s="207" t="s">
        <v>21</v>
      </c>
      <c r="X103" s="208" t="s">
        <v>21</v>
      </c>
      <c r="Y103" s="207" t="s">
        <v>21</v>
      </c>
      <c r="Z103" s="208" t="s">
        <v>21</v>
      </c>
      <c r="AA103" s="153"/>
      <c r="AB103" s="150"/>
      <c r="AC103" s="153"/>
      <c r="AD103" s="157"/>
      <c r="AE103" s="415" t="s">
        <v>142</v>
      </c>
      <c r="AF103" s="410"/>
      <c r="AG103" s="1">
        <f t="shared" si="87"/>
        <v>1</v>
      </c>
    </row>
    <row r="104" spans="2:33" ht="15.75" customHeight="1" thickBot="1" x14ac:dyDescent="0.35">
      <c r="B104" s="838"/>
      <c r="C104" s="854"/>
      <c r="D104" s="867"/>
      <c r="E104" s="181" t="s">
        <v>50</v>
      </c>
      <c r="F104" s="182" t="s">
        <v>61</v>
      </c>
      <c r="G104" s="589">
        <f>'2020'!G104</f>
        <v>117</v>
      </c>
      <c r="H104" s="590">
        <f>'2021'!G104</f>
        <v>0</v>
      </c>
      <c r="I104" s="591">
        <f>'2022'!G104</f>
        <v>0</v>
      </c>
      <c r="J104" s="592">
        <f>'2020'!H104</f>
        <v>117</v>
      </c>
      <c r="K104" s="590">
        <f>'2021'!H104</f>
        <v>0</v>
      </c>
      <c r="L104" s="591">
        <f>'2022'!H104</f>
        <v>0</v>
      </c>
      <c r="M104" s="151">
        <f t="shared" si="84"/>
        <v>0.35897435897435898</v>
      </c>
      <c r="N104" s="152">
        <f t="shared" si="85"/>
        <v>0</v>
      </c>
      <c r="O104" s="648">
        <f t="shared" si="86"/>
        <v>0</v>
      </c>
      <c r="P104" s="592">
        <f>'2020'!J104</f>
        <v>42</v>
      </c>
      <c r="Q104" s="590">
        <f>'2021'!J104</f>
        <v>0</v>
      </c>
      <c r="R104" s="591">
        <f>'2022'!J104</f>
        <v>0</v>
      </c>
      <c r="S104" s="151"/>
      <c r="T104" s="437"/>
      <c r="U104" s="151"/>
      <c r="V104" s="201"/>
      <c r="W104" s="207" t="s">
        <v>21</v>
      </c>
      <c r="X104" s="208" t="s">
        <v>21</v>
      </c>
      <c r="Y104" s="207" t="s">
        <v>21</v>
      </c>
      <c r="Z104" s="208" t="s">
        <v>21</v>
      </c>
      <c r="AA104" s="153"/>
      <c r="AB104" s="150"/>
      <c r="AC104" s="153"/>
      <c r="AD104" s="157"/>
      <c r="AE104" s="415" t="s">
        <v>142</v>
      </c>
      <c r="AF104" s="410"/>
      <c r="AG104" s="1">
        <f t="shared" si="87"/>
        <v>1</v>
      </c>
    </row>
    <row r="105" spans="2:33" ht="15.75" customHeight="1" thickBot="1" x14ac:dyDescent="0.35">
      <c r="B105" s="838"/>
      <c r="C105" s="854"/>
      <c r="D105" s="867"/>
      <c r="E105" s="181" t="s">
        <v>145</v>
      </c>
      <c r="F105" s="182"/>
      <c r="G105" s="589">
        <f>'2020'!G105</f>
        <v>0</v>
      </c>
      <c r="H105" s="590">
        <f>'2021'!G105</f>
        <v>159</v>
      </c>
      <c r="I105" s="591">
        <f>'2022'!G105</f>
        <v>0</v>
      </c>
      <c r="J105" s="592">
        <f>'2020'!H105</f>
        <v>0</v>
      </c>
      <c r="K105" s="590">
        <f>'2021'!H105</f>
        <v>159</v>
      </c>
      <c r="L105" s="591">
        <f>'2022'!H105</f>
        <v>0</v>
      </c>
      <c r="M105" s="151">
        <f t="shared" si="84"/>
        <v>0</v>
      </c>
      <c r="N105" s="152">
        <f t="shared" si="85"/>
        <v>0.34591194968553457</v>
      </c>
      <c r="O105" s="648">
        <f t="shared" si="86"/>
        <v>0</v>
      </c>
      <c r="P105" s="592">
        <f>'2020'!J105</f>
        <v>0</v>
      </c>
      <c r="Q105" s="590">
        <f>'2021'!J105</f>
        <v>55</v>
      </c>
      <c r="R105" s="591">
        <f>'2022'!J105</f>
        <v>0</v>
      </c>
      <c r="S105" s="151" t="e">
        <f>T105/G105</f>
        <v>#DIV/0!</v>
      </c>
      <c r="T105" s="437">
        <v>66</v>
      </c>
      <c r="U105" s="151">
        <f t="shared" si="40"/>
        <v>0.46969696969696972</v>
      </c>
      <c r="V105" s="201">
        <v>31</v>
      </c>
      <c r="W105" s="207" t="s">
        <v>21</v>
      </c>
      <c r="X105" s="208" t="s">
        <v>21</v>
      </c>
      <c r="Y105" s="207" t="s">
        <v>21</v>
      </c>
      <c r="Z105" s="208" t="s">
        <v>21</v>
      </c>
      <c r="AA105" s="153"/>
      <c r="AB105" s="150"/>
      <c r="AC105" s="153"/>
      <c r="AD105" s="157"/>
      <c r="AE105" s="415" t="s">
        <v>142</v>
      </c>
      <c r="AF105" s="410"/>
      <c r="AG105" s="1">
        <f t="shared" si="87"/>
        <v>1</v>
      </c>
    </row>
    <row r="106" spans="2:33" ht="15.75" customHeight="1" thickBot="1" x14ac:dyDescent="0.35">
      <c r="B106" s="838"/>
      <c r="C106" s="854"/>
      <c r="D106" s="867"/>
      <c r="E106" s="181" t="s">
        <v>144</v>
      </c>
      <c r="F106" s="182"/>
      <c r="G106" s="589">
        <f>'2020'!G106</f>
        <v>0</v>
      </c>
      <c r="H106" s="590">
        <f>'2021'!G106</f>
        <v>165</v>
      </c>
      <c r="I106" s="591">
        <f>'2022'!G106</f>
        <v>0</v>
      </c>
      <c r="J106" s="592">
        <f>'2020'!H106</f>
        <v>0</v>
      </c>
      <c r="K106" s="590">
        <f>'2021'!H106</f>
        <v>165</v>
      </c>
      <c r="L106" s="591">
        <f>'2022'!H106</f>
        <v>0</v>
      </c>
      <c r="M106" s="151">
        <f t="shared" si="84"/>
        <v>0</v>
      </c>
      <c r="N106" s="152">
        <f t="shared" si="85"/>
        <v>0</v>
      </c>
      <c r="O106" s="648">
        <f t="shared" si="86"/>
        <v>0</v>
      </c>
      <c r="P106" s="592">
        <f>'2020'!J106</f>
        <v>0</v>
      </c>
      <c r="Q106" s="590">
        <f>'2021'!J106</f>
        <v>0</v>
      </c>
      <c r="R106" s="591">
        <f>'2022'!J106</f>
        <v>0</v>
      </c>
      <c r="S106" s="151" t="e">
        <f>T106/G106</f>
        <v>#DIV/0!</v>
      </c>
      <c r="T106" s="437"/>
      <c r="U106" s="151"/>
      <c r="V106" s="201"/>
      <c r="W106" s="207" t="s">
        <v>21</v>
      </c>
      <c r="X106" s="208" t="s">
        <v>21</v>
      </c>
      <c r="Y106" s="207" t="s">
        <v>21</v>
      </c>
      <c r="Z106" s="208" t="s">
        <v>21</v>
      </c>
      <c r="AA106" s="153"/>
      <c r="AB106" s="150"/>
      <c r="AC106" s="153"/>
      <c r="AD106" s="157"/>
      <c r="AE106" s="415" t="s">
        <v>142</v>
      </c>
      <c r="AF106" s="410"/>
      <c r="AG106" s="1">
        <f t="shared" si="87"/>
        <v>1</v>
      </c>
    </row>
    <row r="107" spans="2:33" ht="15.75" customHeight="1" thickBot="1" x14ac:dyDescent="0.35">
      <c r="B107" s="838"/>
      <c r="C107" s="854"/>
      <c r="D107" s="867"/>
      <c r="E107" s="181" t="s">
        <v>80</v>
      </c>
      <c r="F107" s="182" t="s">
        <v>61</v>
      </c>
      <c r="G107" s="589">
        <f>'2020'!G107</f>
        <v>651</v>
      </c>
      <c r="H107" s="590">
        <f>'2021'!G107</f>
        <v>773</v>
      </c>
      <c r="I107" s="591">
        <f>'2022'!G107</f>
        <v>0</v>
      </c>
      <c r="J107" s="592">
        <f>'2020'!H107</f>
        <v>651</v>
      </c>
      <c r="K107" s="590">
        <f>'2021'!H107</f>
        <v>773</v>
      </c>
      <c r="L107" s="591">
        <f>'2022'!H107</f>
        <v>0</v>
      </c>
      <c r="M107" s="151">
        <f t="shared" si="84"/>
        <v>0</v>
      </c>
      <c r="N107" s="152">
        <f t="shared" si="85"/>
        <v>0.39327296248382926</v>
      </c>
      <c r="O107" s="648">
        <f t="shared" si="86"/>
        <v>0</v>
      </c>
      <c r="P107" s="592">
        <f>'2020'!J107</f>
        <v>0</v>
      </c>
      <c r="Q107" s="590">
        <f>'2021'!J107</f>
        <v>304</v>
      </c>
      <c r="R107" s="591">
        <f>'2022'!J107</f>
        <v>0</v>
      </c>
      <c r="S107" s="151">
        <f>T107/G107</f>
        <v>0.51152073732718895</v>
      </c>
      <c r="T107" s="437">
        <v>333</v>
      </c>
      <c r="U107" s="151">
        <f t="shared" si="40"/>
        <v>0.57657657657657657</v>
      </c>
      <c r="V107" s="201">
        <v>192</v>
      </c>
      <c r="W107" s="207" t="s">
        <v>21</v>
      </c>
      <c r="X107" s="208" t="s">
        <v>21</v>
      </c>
      <c r="Y107" s="207" t="s">
        <v>21</v>
      </c>
      <c r="Z107" s="208" t="s">
        <v>21</v>
      </c>
      <c r="AA107" s="153"/>
      <c r="AB107" s="150"/>
      <c r="AC107" s="153"/>
      <c r="AD107" s="157"/>
      <c r="AE107" s="415" t="s">
        <v>142</v>
      </c>
      <c r="AF107" s="410"/>
      <c r="AG107" s="1">
        <f t="shared" si="87"/>
        <v>1</v>
      </c>
    </row>
    <row r="108" spans="2:33" ht="15.75" customHeight="1" thickBot="1" x14ac:dyDescent="0.35">
      <c r="B108" s="838"/>
      <c r="C108" s="854"/>
      <c r="D108" s="867"/>
      <c r="E108" s="181" t="s">
        <v>51</v>
      </c>
      <c r="F108" s="182" t="s">
        <v>61</v>
      </c>
      <c r="G108" s="589">
        <f>'2020'!G108</f>
        <v>615</v>
      </c>
      <c r="H108" s="590">
        <f>'2021'!G108</f>
        <v>629</v>
      </c>
      <c r="I108" s="591">
        <f>'2022'!G108</f>
        <v>0</v>
      </c>
      <c r="J108" s="592">
        <f>'2020'!H108</f>
        <v>615</v>
      </c>
      <c r="K108" s="590">
        <f>'2021'!H108</f>
        <v>629</v>
      </c>
      <c r="L108" s="591">
        <f>'2022'!H108</f>
        <v>0</v>
      </c>
      <c r="M108" s="151">
        <f t="shared" si="84"/>
        <v>0</v>
      </c>
      <c r="N108" s="152">
        <f t="shared" si="85"/>
        <v>0.47058823529411764</v>
      </c>
      <c r="O108" s="648">
        <f t="shared" si="86"/>
        <v>0</v>
      </c>
      <c r="P108" s="592">
        <f>'2020'!J108</f>
        <v>0</v>
      </c>
      <c r="Q108" s="590">
        <f>'2021'!J108</f>
        <v>296</v>
      </c>
      <c r="R108" s="591">
        <f>'2022'!J108</f>
        <v>0</v>
      </c>
      <c r="S108" s="151">
        <f>T108/G108</f>
        <v>0.50569105691056915</v>
      </c>
      <c r="T108" s="437">
        <v>311</v>
      </c>
      <c r="U108" s="151">
        <f t="shared" si="40"/>
        <v>0.58520900321543412</v>
      </c>
      <c r="V108" s="201">
        <v>182</v>
      </c>
      <c r="W108" s="207" t="s">
        <v>21</v>
      </c>
      <c r="X108" s="208" t="s">
        <v>21</v>
      </c>
      <c r="Y108" s="207" t="s">
        <v>21</v>
      </c>
      <c r="Z108" s="208" t="s">
        <v>21</v>
      </c>
      <c r="AA108" s="153"/>
      <c r="AB108" s="150"/>
      <c r="AC108" s="153"/>
      <c r="AD108" s="157"/>
      <c r="AE108" s="415" t="s">
        <v>142</v>
      </c>
      <c r="AF108" s="410"/>
      <c r="AG108" s="1">
        <f t="shared" si="87"/>
        <v>1</v>
      </c>
    </row>
    <row r="109" spans="2:33" ht="15.75" customHeight="1" thickBot="1" x14ac:dyDescent="0.35">
      <c r="B109" s="838"/>
      <c r="C109" s="854"/>
      <c r="D109" s="868"/>
      <c r="E109" s="692"/>
      <c r="F109" s="693"/>
      <c r="G109" s="716"/>
      <c r="H109" s="717"/>
      <c r="I109" s="718"/>
      <c r="J109" s="719"/>
      <c r="K109" s="717"/>
      <c r="L109" s="718"/>
      <c r="M109" s="701"/>
      <c r="N109" s="706"/>
      <c r="O109" s="720"/>
      <c r="P109" s="719"/>
      <c r="Q109" s="717"/>
      <c r="R109" s="718"/>
      <c r="S109" s="701"/>
      <c r="T109" s="721"/>
      <c r="U109" s="701"/>
      <c r="V109" s="703"/>
      <c r="W109" s="687"/>
      <c r="X109" s="688"/>
      <c r="Y109" s="687"/>
      <c r="Z109" s="688"/>
      <c r="AA109" s="689"/>
      <c r="AB109" s="690"/>
      <c r="AC109" s="689"/>
      <c r="AD109" s="691"/>
      <c r="AE109" s="415"/>
      <c r="AF109" s="410"/>
    </row>
    <row r="110" spans="2:33" ht="15.75" customHeight="1" thickBot="1" x14ac:dyDescent="0.35">
      <c r="B110" s="838"/>
      <c r="C110" s="854"/>
      <c r="D110" s="868"/>
      <c r="E110" s="692"/>
      <c r="F110" s="693"/>
      <c r="G110" s="716"/>
      <c r="H110" s="717"/>
      <c r="I110" s="718"/>
      <c r="J110" s="719"/>
      <c r="K110" s="717"/>
      <c r="L110" s="718"/>
      <c r="M110" s="701"/>
      <c r="N110" s="706"/>
      <c r="O110" s="720"/>
      <c r="P110" s="719"/>
      <c r="Q110" s="717"/>
      <c r="R110" s="718"/>
      <c r="S110" s="701"/>
      <c r="T110" s="721"/>
      <c r="U110" s="701"/>
      <c r="V110" s="703"/>
      <c r="W110" s="687"/>
      <c r="X110" s="688"/>
      <c r="Y110" s="687"/>
      <c r="Z110" s="688"/>
      <c r="AA110" s="689"/>
      <c r="AB110" s="690"/>
      <c r="AC110" s="689"/>
      <c r="AD110" s="691"/>
      <c r="AE110" s="415"/>
      <c r="AF110" s="410"/>
    </row>
    <row r="111" spans="2:33" ht="15.75" customHeight="1" thickBot="1" x14ac:dyDescent="0.35">
      <c r="B111" s="838"/>
      <c r="C111" s="854"/>
      <c r="D111" s="869"/>
      <c r="E111" s="184" t="s">
        <v>52</v>
      </c>
      <c r="F111" s="185" t="s">
        <v>61</v>
      </c>
      <c r="G111" s="577">
        <f>'2020'!G111</f>
        <v>316</v>
      </c>
      <c r="H111" s="578">
        <f>'2021'!G111</f>
        <v>0</v>
      </c>
      <c r="I111" s="579">
        <f>'2022'!G111</f>
        <v>0</v>
      </c>
      <c r="J111" s="580">
        <f>'2020'!H111</f>
        <v>316</v>
      </c>
      <c r="K111" s="578">
        <f>'2021'!H111</f>
        <v>0</v>
      </c>
      <c r="L111" s="579">
        <f>'2022'!H111</f>
        <v>0</v>
      </c>
      <c r="M111" s="159">
        <f t="shared" si="84"/>
        <v>0.2848101265822785</v>
      </c>
      <c r="N111" s="160">
        <f t="shared" si="85"/>
        <v>0</v>
      </c>
      <c r="O111" s="631">
        <f t="shared" si="86"/>
        <v>0</v>
      </c>
      <c r="P111" s="580">
        <f>'2020'!J111</f>
        <v>90</v>
      </c>
      <c r="Q111" s="578">
        <f>'2021'!J111</f>
        <v>0</v>
      </c>
      <c r="R111" s="579">
        <f>'2022'!J111</f>
        <v>0</v>
      </c>
      <c r="S111" s="159"/>
      <c r="T111" s="435"/>
      <c r="U111" s="159"/>
      <c r="V111" s="202"/>
      <c r="W111" s="209" t="s">
        <v>21</v>
      </c>
      <c r="X111" s="210" t="s">
        <v>21</v>
      </c>
      <c r="Y111" s="209" t="s">
        <v>21</v>
      </c>
      <c r="Z111" s="210" t="s">
        <v>21</v>
      </c>
      <c r="AA111" s="161"/>
      <c r="AB111" s="158"/>
      <c r="AC111" s="161"/>
      <c r="AD111" s="198"/>
      <c r="AE111" s="415" t="s">
        <v>142</v>
      </c>
      <c r="AF111" s="410"/>
      <c r="AG111" s="1">
        <f t="shared" si="87"/>
        <v>1</v>
      </c>
    </row>
    <row r="112" spans="2:33" ht="16.2" thickBot="1" x14ac:dyDescent="0.35">
      <c r="B112" s="844"/>
      <c r="C112" s="854"/>
      <c r="D112" s="556" t="s">
        <v>138</v>
      </c>
      <c r="E112" s="395"/>
      <c r="F112" s="396"/>
      <c r="G112" s="609">
        <f t="shared" ref="G112:L112" si="88">SUM(G100:G111)</f>
        <v>2211</v>
      </c>
      <c r="H112" s="610">
        <f t="shared" si="88"/>
        <v>1726</v>
      </c>
      <c r="I112" s="611">
        <f t="shared" si="88"/>
        <v>0</v>
      </c>
      <c r="J112" s="612">
        <f t="shared" si="88"/>
        <v>2211</v>
      </c>
      <c r="K112" s="610">
        <f t="shared" si="88"/>
        <v>1726</v>
      </c>
      <c r="L112" s="611">
        <f t="shared" si="88"/>
        <v>0</v>
      </c>
      <c r="M112" s="632">
        <f t="shared" ref="M112:M114" si="89">IF(G112=0,0,IF(P112=0,0,P112/G112))</f>
        <v>0.12075983717774763</v>
      </c>
      <c r="N112" s="633">
        <f t="shared" ref="N112:N114" si="90">IF(H112=0,0,IF(Q112=0,0,Q112/H112))</f>
        <v>0.37949015063731173</v>
      </c>
      <c r="O112" s="634">
        <f t="shared" ref="O112:O114" si="91">IF(I112=0,0,IF(R112=0,0,R112/I112))</f>
        <v>0</v>
      </c>
      <c r="P112" s="612">
        <f>SUM(P100:P111)</f>
        <v>267</v>
      </c>
      <c r="Q112" s="610">
        <f>SUM(Q100:Q111)</f>
        <v>655</v>
      </c>
      <c r="R112" s="611">
        <f>SUM(R100:R111)</f>
        <v>0</v>
      </c>
      <c r="S112" s="165">
        <f>T112/G112</f>
        <v>0.32112166440524648</v>
      </c>
      <c r="T112" s="413">
        <f>SUM(T100:T111)</f>
        <v>710</v>
      </c>
      <c r="U112" s="27">
        <f>V112/T112</f>
        <v>0.57042253521126762</v>
      </c>
      <c r="V112" s="413">
        <f>SUM(V100:V111)</f>
        <v>405</v>
      </c>
      <c r="W112" s="287"/>
      <c r="X112" s="288"/>
      <c r="Y112" s="287"/>
      <c r="Z112" s="288"/>
      <c r="AA112" s="287"/>
      <c r="AB112" s="288"/>
      <c r="AC112" s="287"/>
      <c r="AD112" s="289"/>
      <c r="AE112" s="415" t="s">
        <v>142</v>
      </c>
      <c r="AF112" s="410"/>
      <c r="AG112" s="410"/>
    </row>
    <row r="113" spans="1:33" s="53" customFormat="1" ht="21" customHeight="1" thickBot="1" x14ac:dyDescent="0.35">
      <c r="A113" s="125"/>
      <c r="B113" s="241" t="s">
        <v>77</v>
      </c>
      <c r="C113" s="557"/>
      <c r="D113" s="557">
        <f>SUM(D45:D111)</f>
        <v>78</v>
      </c>
      <c r="E113" s="133">
        <f>COUNT(G45:G52,G62:G68,G70:G79,G84:G92,G94:G98,G100:G111)</f>
        <v>39</v>
      </c>
      <c r="F113" s="67">
        <f>COUNT(P45:P111)</f>
        <v>55</v>
      </c>
      <c r="G113" s="613">
        <f t="shared" ref="G113:L113" si="92">G53+G69+G80+G93+G99+G112</f>
        <v>4797</v>
      </c>
      <c r="H113" s="614">
        <f t="shared" si="92"/>
        <v>3981</v>
      </c>
      <c r="I113" s="615">
        <f t="shared" si="92"/>
        <v>1312</v>
      </c>
      <c r="J113" s="616">
        <f t="shared" si="92"/>
        <v>3358</v>
      </c>
      <c r="K113" s="614">
        <f t="shared" si="92"/>
        <v>3107</v>
      </c>
      <c r="L113" s="615">
        <f t="shared" si="92"/>
        <v>714</v>
      </c>
      <c r="M113" s="440">
        <f t="shared" si="89"/>
        <v>0.27893475088597036</v>
      </c>
      <c r="N113" s="635">
        <f t="shared" si="90"/>
        <v>0.4046721929163527</v>
      </c>
      <c r="O113" s="636">
        <f t="shared" si="91"/>
        <v>0.37804878048780488</v>
      </c>
      <c r="P113" s="616">
        <f>P53+P69+P80+P93+P99+P112</f>
        <v>1338.05</v>
      </c>
      <c r="Q113" s="614">
        <f>Q53+Q69+Q80+Q93+Q99+Q112</f>
        <v>1611</v>
      </c>
      <c r="R113" s="615">
        <f>R53+R69+R80+R93+R99+R112</f>
        <v>496</v>
      </c>
      <c r="S113" s="139">
        <f>T113/G113</f>
        <v>0.31478007087763188</v>
      </c>
      <c r="T113" s="140">
        <f>T53+T69+T80+T93+T99+T112</f>
        <v>1510</v>
      </c>
      <c r="U113" s="440">
        <f>V113/T113</f>
        <v>0.4562913907284768</v>
      </c>
      <c r="V113" s="140">
        <f>V53+V69+V80+V93+V99+V112</f>
        <v>689</v>
      </c>
      <c r="W113" s="141"/>
      <c r="X113" s="142"/>
      <c r="Y113" s="141"/>
      <c r="Z113" s="142"/>
      <c r="AA113" s="141">
        <f>AA53+AA69+AA80+AA93+AA99</f>
        <v>1465</v>
      </c>
      <c r="AB113" s="142">
        <f>AB53+AB69+AB80+AB93+AB99</f>
        <v>949</v>
      </c>
      <c r="AC113" s="141">
        <f>AC53+AC69+AC80+AC93+AC99</f>
        <v>141</v>
      </c>
      <c r="AD113" s="143">
        <f>AD53+AD69+AD80+AD93+AD99</f>
        <v>89</v>
      </c>
      <c r="AE113" s="417"/>
      <c r="AF113" s="411"/>
      <c r="AG113" s="411"/>
    </row>
    <row r="114" spans="1:33" s="53" customFormat="1" ht="21" customHeight="1" thickBot="1" x14ac:dyDescent="0.35">
      <c r="A114" s="125"/>
      <c r="B114" s="241" t="s">
        <v>66</v>
      </c>
      <c r="C114" s="557"/>
      <c r="D114" s="557">
        <f>D113+D44</f>
        <v>109</v>
      </c>
      <c r="E114" s="133">
        <f>E44+E113</f>
        <v>72</v>
      </c>
      <c r="F114" s="67">
        <f>F113+F44</f>
        <v>89</v>
      </c>
      <c r="G114" s="613">
        <f t="shared" ref="G114:L114" si="93">G44+G113</f>
        <v>5191</v>
      </c>
      <c r="H114" s="614">
        <f t="shared" si="93"/>
        <v>4576</v>
      </c>
      <c r="I114" s="615">
        <f t="shared" si="93"/>
        <v>1312</v>
      </c>
      <c r="J114" s="616">
        <f t="shared" si="93"/>
        <v>3593</v>
      </c>
      <c r="K114" s="614">
        <f t="shared" si="93"/>
        <v>3522</v>
      </c>
      <c r="L114" s="615">
        <f t="shared" si="93"/>
        <v>714</v>
      </c>
      <c r="M114" s="440">
        <f t="shared" si="89"/>
        <v>0.27490271623964552</v>
      </c>
      <c r="N114" s="635">
        <f t="shared" si="90"/>
        <v>0.38920454545454547</v>
      </c>
      <c r="O114" s="636">
        <f t="shared" si="91"/>
        <v>0.37804878048780488</v>
      </c>
      <c r="P114" s="616">
        <f>P44+P113</f>
        <v>1427.02</v>
      </c>
      <c r="Q114" s="614">
        <f>Q44+Q113</f>
        <v>1781</v>
      </c>
      <c r="R114" s="615">
        <f>R44+R113</f>
        <v>496</v>
      </c>
      <c r="S114" s="139">
        <f>T114/G114</f>
        <v>0.31997688306684646</v>
      </c>
      <c r="T114" s="140">
        <f>T44+T113</f>
        <v>1661</v>
      </c>
      <c r="U114" s="440">
        <f>V114/T114</f>
        <v>0.43347381095725468</v>
      </c>
      <c r="V114" s="140">
        <f>V44+V113</f>
        <v>720</v>
      </c>
      <c r="W114" s="141"/>
      <c r="X114" s="142"/>
      <c r="Y114" s="141"/>
      <c r="Z114" s="142"/>
      <c r="AA114" s="141">
        <f>AA113</f>
        <v>1465</v>
      </c>
      <c r="AB114" s="142">
        <f>AB113</f>
        <v>949</v>
      </c>
      <c r="AC114" s="141">
        <f>AC113</f>
        <v>141</v>
      </c>
      <c r="AD114" s="143">
        <f>AD113</f>
        <v>89</v>
      </c>
      <c r="AE114" s="417"/>
      <c r="AG114" s="53">
        <f>SUM(AG1:AG113)</f>
        <v>71</v>
      </c>
    </row>
    <row r="115" spans="1:33" x14ac:dyDescent="0.3">
      <c r="B115" s="5"/>
      <c r="C115" s="35"/>
      <c r="D115" s="35"/>
      <c r="E115" s="5"/>
      <c r="F115" s="35"/>
      <c r="G115" s="171"/>
      <c r="H115" s="171"/>
      <c r="I115" s="171"/>
      <c r="J115" s="171"/>
      <c r="K115" s="171"/>
      <c r="L115" s="171"/>
      <c r="M115" s="172"/>
      <c r="N115" s="172"/>
      <c r="O115" s="172"/>
      <c r="P115" s="171"/>
      <c r="Q115" s="171"/>
      <c r="R115" s="171"/>
      <c r="S115" s="172"/>
      <c r="T115" s="172"/>
      <c r="U115" s="870" t="s">
        <v>68</v>
      </c>
      <c r="V115" s="870"/>
      <c r="W115" s="171"/>
      <c r="X115" s="171"/>
      <c r="Y115" s="171"/>
      <c r="Z115" s="171"/>
      <c r="AA115" s="171"/>
      <c r="AB115" s="171"/>
      <c r="AC115" s="171"/>
      <c r="AD115" s="171"/>
    </row>
    <row r="116" spans="1:33" x14ac:dyDescent="0.3">
      <c r="E116" s="131" t="s">
        <v>67</v>
      </c>
      <c r="F116" s="132"/>
    </row>
    <row r="117" spans="1:33" x14ac:dyDescent="0.3">
      <c r="E117" s="1" t="s">
        <v>60</v>
      </c>
      <c r="F117" s="2">
        <f>COUNTIF(F$5:F$111,E117)</f>
        <v>33</v>
      </c>
    </row>
    <row r="118" spans="1:33" x14ac:dyDescent="0.3">
      <c r="E118" s="1" t="s">
        <v>61</v>
      </c>
      <c r="F118" s="2">
        <f>COUNTIF(F$5:F$111,E118)</f>
        <v>8</v>
      </c>
    </row>
    <row r="119" spans="1:33" x14ac:dyDescent="0.3">
      <c r="E119" s="1" t="s">
        <v>62</v>
      </c>
      <c r="F119" s="2">
        <f>COUNTIF(F$5:F$111,E119)</f>
        <v>21</v>
      </c>
    </row>
    <row r="128" spans="1:33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.75" customHeight="1" x14ac:dyDescent="0.3"/>
    <row r="138" ht="15.7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</sheetData>
  <mergeCells count="44">
    <mergeCell ref="AC2:AD2"/>
    <mergeCell ref="B21:B32"/>
    <mergeCell ref="C21:C32"/>
    <mergeCell ref="D21:D31"/>
    <mergeCell ref="S2:S4"/>
    <mergeCell ref="T2:T4"/>
    <mergeCell ref="U2:U4"/>
    <mergeCell ref="V2:V4"/>
    <mergeCell ref="B2:B4"/>
    <mergeCell ref="C2:C4"/>
    <mergeCell ref="D2:D4"/>
    <mergeCell ref="E2:E4"/>
    <mergeCell ref="F2:F4"/>
    <mergeCell ref="B7:B20"/>
    <mergeCell ref="W2:X2"/>
    <mergeCell ref="Y2:Z2"/>
    <mergeCell ref="AA2:AB2"/>
    <mergeCell ref="C7:C20"/>
    <mergeCell ref="D7:D19"/>
    <mergeCell ref="U115:V115"/>
    <mergeCell ref="B81:B93"/>
    <mergeCell ref="C81:C93"/>
    <mergeCell ref="D81:D92"/>
    <mergeCell ref="B94:B99"/>
    <mergeCell ref="C94:C99"/>
    <mergeCell ref="D94:D98"/>
    <mergeCell ref="B100:B112"/>
    <mergeCell ref="C100:C112"/>
    <mergeCell ref="D100:D111"/>
    <mergeCell ref="B62:B69"/>
    <mergeCell ref="C62:C69"/>
    <mergeCell ref="D62:D68"/>
    <mergeCell ref="B70:B80"/>
    <mergeCell ref="C70:C80"/>
    <mergeCell ref="D70:D79"/>
    <mergeCell ref="B33:B43"/>
    <mergeCell ref="C33:C43"/>
    <mergeCell ref="D33:D42"/>
    <mergeCell ref="B45:B53"/>
    <mergeCell ref="B54:B61"/>
    <mergeCell ref="C54:C61"/>
    <mergeCell ref="D54:D60"/>
    <mergeCell ref="C45:C53"/>
    <mergeCell ref="D45:D52"/>
  </mergeCells>
  <conditionalFormatting sqref="N31">
    <cfRule type="cellIs" dxfId="9" priority="10" operator="equal">
      <formula>0</formula>
    </cfRule>
  </conditionalFormatting>
  <conditionalFormatting sqref="M5:O5 M33:O42 M45:O52 M62:O68 M70:O79 M81:O92 M94:O98 M100:O111 M21:O31">
    <cfRule type="cellIs" dxfId="8" priority="9" operator="equal">
      <formula>0</formula>
    </cfRule>
  </conditionalFormatting>
  <conditionalFormatting sqref="M5:O5 M21:O53 M62:O114">
    <cfRule type="cellIs" dxfId="7" priority="8" operator="equal">
      <formula>0</formula>
    </cfRule>
  </conditionalFormatting>
  <conditionalFormatting sqref="M6:O6">
    <cfRule type="cellIs" dxfId="6" priority="7" operator="equal">
      <formula>0</formula>
    </cfRule>
  </conditionalFormatting>
  <conditionalFormatting sqref="M6:O6">
    <cfRule type="cellIs" dxfId="5" priority="6" operator="equal">
      <formula>0</formula>
    </cfRule>
  </conditionalFormatting>
  <conditionalFormatting sqref="N19">
    <cfRule type="cellIs" dxfId="4" priority="5" operator="equal">
      <formula>0</formula>
    </cfRule>
  </conditionalFormatting>
  <conditionalFormatting sqref="M7:O19">
    <cfRule type="cellIs" dxfId="3" priority="4" operator="equal">
      <formula>0</formula>
    </cfRule>
  </conditionalFormatting>
  <conditionalFormatting sqref="M7:O20">
    <cfRule type="cellIs" dxfId="2" priority="3" operator="equal">
      <formula>0</formula>
    </cfRule>
  </conditionalFormatting>
  <conditionalFormatting sqref="M54:O60">
    <cfRule type="cellIs" dxfId="1" priority="2" operator="equal">
      <formula>0</formula>
    </cfRule>
  </conditionalFormatting>
  <conditionalFormatting sqref="M54:O61">
    <cfRule type="cellIs" dxfId="0" priority="1" operator="equal">
      <formula>0</formula>
    </cfRule>
  </conditionalFormatting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J32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99CC"/>
    <pageSetUpPr fitToPage="1"/>
  </sheetPr>
  <dimension ref="A1:Y142"/>
  <sheetViews>
    <sheetView zoomScale="70" zoomScaleNormal="70" workbookViewId="0">
      <pane ySplit="4" topLeftCell="A44" activePane="bottomLeft" state="frozen"/>
      <selection activeCell="C3" sqref="C3:F3"/>
      <selection pane="bottomLeft" activeCell="C3" sqref="C3:F3"/>
    </sheetView>
  </sheetViews>
  <sheetFormatPr defaultColWidth="11.44140625" defaultRowHeight="14.4" x14ac:dyDescent="0.3"/>
  <cols>
    <col min="1" max="1" width="1.88671875" style="123" hidden="1" customWidth="1"/>
    <col min="2" max="2" width="38.88671875" style="1" customWidth="1"/>
    <col min="3" max="3" width="11.5546875" style="2" customWidth="1"/>
    <col min="4" max="4" width="15.33203125" style="2" customWidth="1"/>
    <col min="5" max="5" width="42.88671875" style="1" bestFit="1" customWidth="1"/>
    <col min="6" max="6" width="11.109375" style="2" hidden="1" customWidth="1"/>
    <col min="7" max="7" width="11.44140625" style="2"/>
    <col min="8" max="8" width="8.44140625" style="2" customWidth="1"/>
    <col min="9" max="9" width="11.44140625" style="2"/>
    <col min="10" max="10" width="8.44140625" style="2" customWidth="1"/>
    <col min="11" max="11" width="11.44140625" style="4" customWidth="1"/>
    <col min="12" max="12" width="8.44140625" style="4" customWidth="1"/>
    <col min="13" max="13" width="11.44140625" style="4" customWidth="1"/>
    <col min="14" max="14" width="8.44140625" style="3" customWidth="1"/>
    <col min="15" max="16" width="11.44140625" style="4" customWidth="1"/>
    <col min="17" max="24" width="7.5546875" style="2" customWidth="1"/>
    <col min="25" max="16384" width="11.44140625" style="1"/>
  </cols>
  <sheetData>
    <row r="1" spans="1:25" s="123" customFormat="1" ht="2.25" customHeight="1" thickBot="1" x14ac:dyDescent="0.35">
      <c r="C1" s="126"/>
      <c r="D1" s="126"/>
      <c r="F1" s="126"/>
      <c r="G1" s="126"/>
      <c r="H1" s="126"/>
      <c r="I1" s="126"/>
      <c r="J1" s="126"/>
      <c r="K1" s="128"/>
      <c r="L1" s="128"/>
      <c r="M1" s="128"/>
      <c r="N1" s="127"/>
      <c r="O1" s="128"/>
      <c r="P1" s="128"/>
      <c r="Q1" s="126"/>
      <c r="R1" s="126"/>
      <c r="S1" s="126"/>
      <c r="T1" s="126"/>
      <c r="U1" s="126"/>
      <c r="V1" s="126"/>
      <c r="W1" s="126"/>
      <c r="X1" s="126"/>
    </row>
    <row r="2" spans="1:25" s="6" customFormat="1" ht="30" customHeight="1" thickBot="1" x14ac:dyDescent="0.35">
      <c r="A2" s="124"/>
      <c r="B2" s="817" t="s">
        <v>53</v>
      </c>
      <c r="C2" s="820" t="s">
        <v>74</v>
      </c>
      <c r="D2" s="820" t="s">
        <v>69</v>
      </c>
      <c r="E2" s="815" t="s">
        <v>79</v>
      </c>
      <c r="F2" s="810" t="s">
        <v>59</v>
      </c>
      <c r="G2" s="902" t="s">
        <v>135</v>
      </c>
      <c r="H2" s="903"/>
      <c r="I2" s="903"/>
      <c r="J2" s="904"/>
      <c r="K2" s="911" t="s">
        <v>136</v>
      </c>
      <c r="L2" s="911"/>
      <c r="M2" s="911" t="s">
        <v>137</v>
      </c>
      <c r="N2" s="911"/>
      <c r="O2" s="911" t="s">
        <v>139</v>
      </c>
      <c r="P2" s="911"/>
      <c r="Q2" s="901" t="s">
        <v>39</v>
      </c>
      <c r="R2" s="901"/>
      <c r="S2" s="901" t="s">
        <v>40</v>
      </c>
      <c r="T2" s="901"/>
      <c r="U2" s="901" t="s">
        <v>41</v>
      </c>
      <c r="V2" s="901"/>
      <c r="W2" s="901" t="s">
        <v>42</v>
      </c>
      <c r="X2" s="810"/>
      <c r="Y2" s="120"/>
    </row>
    <row r="3" spans="1:25" s="6" customFormat="1" ht="30" customHeight="1" thickBot="1" x14ac:dyDescent="0.35">
      <c r="A3" s="124"/>
      <c r="B3" s="817"/>
      <c r="C3" s="820"/>
      <c r="D3" s="820"/>
      <c r="E3" s="815"/>
      <c r="F3" s="811"/>
      <c r="G3" s="905" t="s">
        <v>66</v>
      </c>
      <c r="H3" s="906"/>
      <c r="I3" s="906" t="s">
        <v>44</v>
      </c>
      <c r="J3" s="907"/>
      <c r="K3" s="912"/>
      <c r="L3" s="912"/>
      <c r="M3" s="912"/>
      <c r="N3" s="912"/>
      <c r="O3" s="912"/>
      <c r="P3" s="912"/>
      <c r="Q3" s="328"/>
      <c r="R3" s="250"/>
      <c r="S3" s="328"/>
      <c r="T3" s="250"/>
      <c r="U3" s="908" t="s">
        <v>143</v>
      </c>
      <c r="V3" s="909"/>
      <c r="W3" s="908" t="s">
        <v>143</v>
      </c>
      <c r="X3" s="910"/>
      <c r="Y3" s="120"/>
    </row>
    <row r="4" spans="1:25" s="6" customFormat="1" ht="30" customHeight="1" thickBot="1" x14ac:dyDescent="0.35">
      <c r="A4" s="124"/>
      <c r="B4" s="817"/>
      <c r="C4" s="820"/>
      <c r="D4" s="820"/>
      <c r="E4" s="815"/>
      <c r="F4" s="812"/>
      <c r="G4" s="251" t="s">
        <v>133</v>
      </c>
      <c r="H4" s="252" t="s">
        <v>134</v>
      </c>
      <c r="I4" s="252" t="s">
        <v>133</v>
      </c>
      <c r="J4" s="253" t="s">
        <v>134</v>
      </c>
      <c r="K4" s="256" t="s">
        <v>133</v>
      </c>
      <c r="L4" s="257" t="s">
        <v>134</v>
      </c>
      <c r="M4" s="256" t="s">
        <v>133</v>
      </c>
      <c r="N4" s="257" t="s">
        <v>134</v>
      </c>
      <c r="O4" s="256" t="s">
        <v>133</v>
      </c>
      <c r="P4" s="257" t="s">
        <v>134</v>
      </c>
      <c r="Q4" s="258" t="s">
        <v>43</v>
      </c>
      <c r="R4" s="253" t="s">
        <v>44</v>
      </c>
      <c r="S4" s="258" t="s">
        <v>43</v>
      </c>
      <c r="T4" s="253" t="s">
        <v>44</v>
      </c>
      <c r="U4" s="258" t="s">
        <v>133</v>
      </c>
      <c r="V4" s="253" t="s">
        <v>134</v>
      </c>
      <c r="W4" s="258" t="s">
        <v>133</v>
      </c>
      <c r="X4" s="255" t="s">
        <v>134</v>
      </c>
      <c r="Y4" s="120"/>
    </row>
    <row r="5" spans="1:25" ht="15.6" x14ac:dyDescent="0.3">
      <c r="A5" s="123">
        <v>1</v>
      </c>
      <c r="B5" s="193" t="s">
        <v>86</v>
      </c>
      <c r="C5" s="651" t="s">
        <v>75</v>
      </c>
      <c r="D5" s="657">
        <f>'2021'!D5-'2020'!D5</f>
        <v>0</v>
      </c>
      <c r="E5" s="333" t="s">
        <v>71</v>
      </c>
      <c r="F5" s="334" t="s">
        <v>60</v>
      </c>
      <c r="G5" s="335">
        <f>'2021'!G5-'2020'!G5</f>
        <v>39</v>
      </c>
      <c r="H5" s="375">
        <f>IF('2021'!G5=0,0,IF('2020'!G5=0,0,'2021'!G5/'2020'!G5-1))</f>
        <v>0.61904761904761907</v>
      </c>
      <c r="I5" s="366">
        <f>'2021'!H5-'2020'!H5</f>
        <v>65</v>
      </c>
      <c r="J5" s="382">
        <f>IF('2021'!H5=0,0,IF('2020'!H5=0,0,'2021'!H5/'2020'!H5-1))</f>
        <v>2.2413793103448274</v>
      </c>
      <c r="K5" s="284">
        <f>'2021'!J5-'2020'!J5</f>
        <v>0</v>
      </c>
      <c r="L5" s="382">
        <f>'2021'!I5-'2020'!I5</f>
        <v>-1.2138188608776843E-2</v>
      </c>
      <c r="M5" s="284">
        <f>'2021'!L5-'2020'!L5</f>
        <v>1</v>
      </c>
      <c r="N5" s="382">
        <f>'2021'!K5-'2020'!K5</f>
        <v>-9.3370681605975697E-2</v>
      </c>
      <c r="O5" s="284">
        <f>IF('2020'!N5="-",0,'2021'!N5-'2020'!N5)</f>
        <v>0</v>
      </c>
      <c r="P5" s="382">
        <f>'2021'!M5-'2020'!M5</f>
        <v>-6.5359477124183052E-3</v>
      </c>
      <c r="Q5" s="203"/>
      <c r="R5" s="204"/>
      <c r="S5" s="203"/>
      <c r="T5" s="204"/>
      <c r="U5" s="195" t="s">
        <v>21</v>
      </c>
      <c r="V5" s="196" t="s">
        <v>21</v>
      </c>
      <c r="W5" s="195" t="s">
        <v>21</v>
      </c>
      <c r="X5" s="197" t="s">
        <v>21</v>
      </c>
      <c r="Y5" s="121"/>
    </row>
    <row r="6" spans="1:25" ht="15.6" x14ac:dyDescent="0.3">
      <c r="A6" s="123">
        <v>1</v>
      </c>
      <c r="B6" s="769" t="s">
        <v>168</v>
      </c>
      <c r="C6" s="649" t="s">
        <v>75</v>
      </c>
      <c r="D6" s="656">
        <f>'2021'!D21-'2020'!D21</f>
        <v>1</v>
      </c>
      <c r="E6" s="346" t="s">
        <v>169</v>
      </c>
      <c r="F6" s="347" t="s">
        <v>60</v>
      </c>
      <c r="G6" s="348">
        <f>'2021'!G21-'2020'!G21</f>
        <v>45</v>
      </c>
      <c r="H6" s="379">
        <f>IF('2021'!G21=0,0,IF('2020'!G21=0,0,'2021'!G21/'2020'!G21-1))</f>
        <v>1.4516129032258065</v>
      </c>
      <c r="I6" s="370">
        <f>'2021'!H21-'2020'!H21</f>
        <v>27</v>
      </c>
      <c r="J6" s="386">
        <f>IF('2021'!H21=0,0,IF('2020'!H21=0,0,'2021'!H21/'2020'!H21-1))</f>
        <v>1.1739130434782608</v>
      </c>
      <c r="K6" s="285">
        <f>'2021'!J21-'2020'!J21</f>
        <v>7</v>
      </c>
      <c r="L6" s="386">
        <f>'2021'!I21-'2020'!I21</f>
        <v>-9.8896434634974523E-2</v>
      </c>
      <c r="M6" s="285">
        <f>'2021'!L21-'2020'!L21</f>
        <v>18</v>
      </c>
      <c r="N6" s="386">
        <f>'2021'!K21-'2020'!K21</f>
        <v>4.5840407470288613E-2</v>
      </c>
      <c r="O6" s="285">
        <f>IF('2020'!N21="-",0,'2021'!N21-'2020'!N21)</f>
        <v>0</v>
      </c>
      <c r="P6" s="386" t="e">
        <f>'2021'!M21-'2020'!M21</f>
        <v>#VALUE!</v>
      </c>
      <c r="Q6" s="211"/>
      <c r="R6" s="212"/>
      <c r="S6" s="211"/>
      <c r="T6" s="212"/>
      <c r="U6" s="270" t="s">
        <v>21</v>
      </c>
      <c r="V6" s="271" t="s">
        <v>21</v>
      </c>
      <c r="W6" s="270" t="s">
        <v>21</v>
      </c>
      <c r="X6" s="272" t="s">
        <v>21</v>
      </c>
      <c r="Y6" s="121"/>
    </row>
    <row r="7" spans="1:25" ht="15" customHeight="1" x14ac:dyDescent="0.3">
      <c r="A7" s="123">
        <v>2</v>
      </c>
      <c r="B7" s="893" t="s">
        <v>170</v>
      </c>
      <c r="C7" s="888" t="s">
        <v>75</v>
      </c>
      <c r="D7" s="898">
        <v>9</v>
      </c>
      <c r="E7" s="336" t="s">
        <v>171</v>
      </c>
      <c r="F7" s="337" t="s">
        <v>60</v>
      </c>
      <c r="G7" s="338">
        <f>'2021'!G7-'2020'!G7</f>
        <v>0</v>
      </c>
      <c r="H7" s="376">
        <f>IF('2021'!G7=0,0,IF('2020'!G7=0,0,'2021'!G7/'2020'!G7-1))</f>
        <v>0</v>
      </c>
      <c r="I7" s="367">
        <f>'2021'!H7-'2020'!H7</f>
        <v>0</v>
      </c>
      <c r="J7" s="383">
        <f>IF('2021'!H7=0,0,IF('2020'!H7=0,0,'2021'!H7/'2020'!H7-1))</f>
        <v>0</v>
      </c>
      <c r="K7" s="280">
        <f>'2021'!J7-'2020'!J7</f>
        <v>0</v>
      </c>
      <c r="L7" s="383" t="e">
        <f>'2021'!I7-'2020'!I7</f>
        <v>#DIV/0!</v>
      </c>
      <c r="M7" s="280">
        <f>'2021'!L7-'2020'!L7</f>
        <v>0</v>
      </c>
      <c r="N7" s="383" t="e">
        <f>'2021'!K7-'2020'!K7</f>
        <v>#DIV/0!</v>
      </c>
      <c r="O7" s="280"/>
      <c r="P7" s="383"/>
      <c r="Q7" s="205"/>
      <c r="R7" s="206"/>
      <c r="S7" s="205"/>
      <c r="T7" s="206"/>
      <c r="U7" s="147" t="s">
        <v>21</v>
      </c>
      <c r="V7" s="144" t="s">
        <v>21</v>
      </c>
      <c r="W7" s="147" t="s">
        <v>21</v>
      </c>
      <c r="X7" s="169" t="s">
        <v>21</v>
      </c>
      <c r="Y7" s="121"/>
    </row>
    <row r="8" spans="1:25" ht="15" customHeight="1" x14ac:dyDescent="0.3">
      <c r="A8" s="123">
        <v>3</v>
      </c>
      <c r="B8" s="893"/>
      <c r="C8" s="888"/>
      <c r="D8" s="898"/>
      <c r="E8" s="339" t="s">
        <v>171</v>
      </c>
      <c r="F8" s="340" t="s">
        <v>60</v>
      </c>
      <c r="G8" s="341">
        <f>'2021'!G8-'2020'!G8</f>
        <v>0</v>
      </c>
      <c r="H8" s="377">
        <f>IF('2021'!G8=0,0,IF('2020'!G8=0,0,'2021'!G8/'2020'!G8-1))</f>
        <v>0</v>
      </c>
      <c r="I8" s="368">
        <f>'2021'!H8-'2020'!H8</f>
        <v>0</v>
      </c>
      <c r="J8" s="384">
        <f>IF(I8=0,0,'2021'!H8/'2020'!H8-1)</f>
        <v>0</v>
      </c>
      <c r="K8" s="281">
        <f>'2021'!J8-'2020'!J8</f>
        <v>0</v>
      </c>
      <c r="L8" s="384" t="e">
        <f>'2021'!I8-'2020'!I8</f>
        <v>#DIV/0!</v>
      </c>
      <c r="M8" s="281">
        <f>'2021'!L8-'2020'!L8</f>
        <v>0</v>
      </c>
      <c r="N8" s="384" t="e">
        <f>'2021'!K8-'2020'!K8</f>
        <v>#DIV/0!</v>
      </c>
      <c r="O8" s="281"/>
      <c r="P8" s="384"/>
      <c r="Q8" s="207"/>
      <c r="R8" s="208"/>
      <c r="S8" s="207"/>
      <c r="T8" s="208"/>
      <c r="U8" s="153" t="s">
        <v>21</v>
      </c>
      <c r="V8" s="150" t="s">
        <v>21</v>
      </c>
      <c r="W8" s="153" t="s">
        <v>21</v>
      </c>
      <c r="X8" s="157" t="s">
        <v>21</v>
      </c>
      <c r="Y8" s="121"/>
    </row>
    <row r="9" spans="1:25" ht="15" customHeight="1" x14ac:dyDescent="0.3">
      <c r="A9" s="123">
        <v>4</v>
      </c>
      <c r="B9" s="893"/>
      <c r="C9" s="888"/>
      <c r="D9" s="898"/>
      <c r="E9" s="339" t="s">
        <v>171</v>
      </c>
      <c r="F9" s="340" t="s">
        <v>60</v>
      </c>
      <c r="G9" s="341">
        <f>'2021'!G9-'2020'!G9</f>
        <v>0</v>
      </c>
      <c r="H9" s="377">
        <f>IF('2021'!G9=0,0,IF('2020'!G9=0,0,'2021'!G9/'2020'!G9-1))</f>
        <v>0</v>
      </c>
      <c r="I9" s="368">
        <f>'2021'!H9-'2020'!H9</f>
        <v>0</v>
      </c>
      <c r="J9" s="384">
        <f>IF(I9=0,0,'2021'!H9/'2020'!H9-1)</f>
        <v>0</v>
      </c>
      <c r="K9" s="281">
        <f>'2021'!J9-'2020'!J9</f>
        <v>0</v>
      </c>
      <c r="L9" s="384" t="e">
        <f>'2021'!I9-'2020'!I9</f>
        <v>#DIV/0!</v>
      </c>
      <c r="M9" s="281">
        <f>'2021'!L9-'2020'!L9</f>
        <v>0</v>
      </c>
      <c r="N9" s="384" t="e">
        <f>'2021'!K9-'2020'!K9</f>
        <v>#DIV/0!</v>
      </c>
      <c r="O9" s="281"/>
      <c r="P9" s="384"/>
      <c r="Q9" s="207"/>
      <c r="R9" s="208"/>
      <c r="S9" s="207"/>
      <c r="T9" s="208"/>
      <c r="U9" s="153" t="s">
        <v>21</v>
      </c>
      <c r="V9" s="150" t="s">
        <v>21</v>
      </c>
      <c r="W9" s="153" t="s">
        <v>21</v>
      </c>
      <c r="X9" s="157" t="s">
        <v>21</v>
      </c>
      <c r="Y9" s="121"/>
    </row>
    <row r="10" spans="1:25" ht="15" customHeight="1" x14ac:dyDescent="0.3">
      <c r="A10" s="123">
        <v>5</v>
      </c>
      <c r="B10" s="893"/>
      <c r="C10" s="888"/>
      <c r="D10" s="898"/>
      <c r="E10" s="339" t="s">
        <v>171</v>
      </c>
      <c r="F10" s="340"/>
      <c r="G10" s="341">
        <f>'2021'!G10-'2020'!G10</f>
        <v>0</v>
      </c>
      <c r="H10" s="377">
        <f>IF('2021'!G10=0,0,IF('2020'!G10=0,0,'2021'!G10/'2020'!G10-1))</f>
        <v>0</v>
      </c>
      <c r="I10" s="368">
        <f>'2021'!H10-'2020'!H10</f>
        <v>0</v>
      </c>
      <c r="J10" s="384">
        <f>IF(I10=0,0,'2021'!H10/'2020'!H10-1)</f>
        <v>0</v>
      </c>
      <c r="K10" s="281">
        <f>'2021'!J10-'2020'!J10</f>
        <v>0</v>
      </c>
      <c r="L10" s="384" t="e">
        <f>'2021'!I10-'2020'!I10</f>
        <v>#DIV/0!</v>
      </c>
      <c r="M10" s="281">
        <f>'2021'!L10-'2020'!L10</f>
        <v>0</v>
      </c>
      <c r="N10" s="384" t="e">
        <f>'2021'!K10-'2020'!K10</f>
        <v>#DIV/0!</v>
      </c>
      <c r="O10" s="281"/>
      <c r="P10" s="384"/>
      <c r="Q10" s="207"/>
      <c r="R10" s="208"/>
      <c r="S10" s="207"/>
      <c r="T10" s="208"/>
      <c r="U10" s="153"/>
      <c r="V10" s="150"/>
      <c r="W10" s="153"/>
      <c r="X10" s="157"/>
      <c r="Y10" s="121"/>
    </row>
    <row r="11" spans="1:25" ht="15" customHeight="1" x14ac:dyDescent="0.3">
      <c r="A11" s="123">
        <v>6</v>
      </c>
      <c r="B11" s="893"/>
      <c r="C11" s="888"/>
      <c r="D11" s="898"/>
      <c r="E11" s="339" t="s">
        <v>171</v>
      </c>
      <c r="F11" s="340" t="s">
        <v>60</v>
      </c>
      <c r="G11" s="341">
        <f>'2021'!G11-'2020'!G11</f>
        <v>0</v>
      </c>
      <c r="H11" s="377">
        <f>IF('2021'!G11=0,0,IF('2020'!G11=0,0,'2021'!G11/'2020'!G11-1))</f>
        <v>0</v>
      </c>
      <c r="I11" s="368">
        <f>'2021'!H11-'2020'!H11</f>
        <v>0</v>
      </c>
      <c r="J11" s="384">
        <f>IF(I11=0,0,'2021'!H11/'2020'!H11-1)</f>
        <v>0</v>
      </c>
      <c r="K11" s="281">
        <f>'2021'!J11-'2020'!J11</f>
        <v>0</v>
      </c>
      <c r="L11" s="384" t="e">
        <f>'2021'!I11-'2020'!I11</f>
        <v>#DIV/0!</v>
      </c>
      <c r="M11" s="281">
        <f>'2021'!L11-'2020'!L11</f>
        <v>0</v>
      </c>
      <c r="N11" s="384" t="e">
        <f>'2021'!K11-'2020'!K11</f>
        <v>#DIV/0!</v>
      </c>
      <c r="O11" s="281"/>
      <c r="P11" s="384"/>
      <c r="Q11" s="207"/>
      <c r="R11" s="208"/>
      <c r="S11" s="207"/>
      <c r="T11" s="208"/>
      <c r="U11" s="153" t="s">
        <v>21</v>
      </c>
      <c r="V11" s="150" t="s">
        <v>21</v>
      </c>
      <c r="W11" s="153" t="s">
        <v>21</v>
      </c>
      <c r="X11" s="157" t="s">
        <v>21</v>
      </c>
      <c r="Y11" s="121"/>
    </row>
    <row r="12" spans="1:25" ht="15" customHeight="1" x14ac:dyDescent="0.3">
      <c r="A12" s="123">
        <v>7</v>
      </c>
      <c r="B12" s="893"/>
      <c r="C12" s="888"/>
      <c r="D12" s="898"/>
      <c r="E12" s="339" t="s">
        <v>171</v>
      </c>
      <c r="F12" s="340" t="s">
        <v>60</v>
      </c>
      <c r="G12" s="341">
        <f>'2021'!G12-'2020'!G12</f>
        <v>0</v>
      </c>
      <c r="H12" s="377">
        <f>IF('2021'!G12=0,0,IF('2020'!G12=0,0,'2021'!G12/'2020'!G12-1))</f>
        <v>0</v>
      </c>
      <c r="I12" s="368">
        <f>'2021'!H12-'2020'!H12</f>
        <v>0</v>
      </c>
      <c r="J12" s="384">
        <f>IF(I12=0,0,'2021'!H12/'2020'!H12-1)</f>
        <v>0</v>
      </c>
      <c r="K12" s="281">
        <f>'2021'!J12-'2020'!J12</f>
        <v>0</v>
      </c>
      <c r="L12" s="384" t="e">
        <f>'2021'!I12-'2020'!I12</f>
        <v>#DIV/0!</v>
      </c>
      <c r="M12" s="281">
        <f>'2021'!L12-'2020'!L12</f>
        <v>0</v>
      </c>
      <c r="N12" s="384" t="e">
        <f>'2021'!K12-'2020'!K12</f>
        <v>#DIV/0!</v>
      </c>
      <c r="O12" s="281"/>
      <c r="P12" s="384"/>
      <c r="Q12" s="207"/>
      <c r="R12" s="208"/>
      <c r="S12" s="207"/>
      <c r="T12" s="208"/>
      <c r="U12" s="153" t="s">
        <v>21</v>
      </c>
      <c r="V12" s="150" t="s">
        <v>21</v>
      </c>
      <c r="W12" s="153" t="s">
        <v>21</v>
      </c>
      <c r="X12" s="157" t="s">
        <v>21</v>
      </c>
      <c r="Y12" s="121"/>
    </row>
    <row r="13" spans="1:25" ht="15" customHeight="1" x14ac:dyDescent="0.3">
      <c r="A13" s="123">
        <v>8</v>
      </c>
      <c r="B13" s="893"/>
      <c r="C13" s="888"/>
      <c r="D13" s="898"/>
      <c r="E13" s="339" t="s">
        <v>171</v>
      </c>
      <c r="F13" s="340" t="s">
        <v>60</v>
      </c>
      <c r="G13" s="341">
        <f>'2021'!G13-'2020'!G13</f>
        <v>0</v>
      </c>
      <c r="H13" s="377">
        <f>IF('2021'!G13=0,0,IF('2020'!G13=0,0,'2021'!G13/'2020'!G13-1))</f>
        <v>0</v>
      </c>
      <c r="I13" s="368">
        <f>'2021'!H13-'2020'!H13</f>
        <v>0</v>
      </c>
      <c r="J13" s="384">
        <f>IF(I13=0,0,'2021'!H13/'2020'!H13-1)</f>
        <v>0</v>
      </c>
      <c r="K13" s="281">
        <f>'2021'!J13-'2020'!J13</f>
        <v>0</v>
      </c>
      <c r="L13" s="384" t="e">
        <f>'2021'!I13-'2020'!I13</f>
        <v>#DIV/0!</v>
      </c>
      <c r="M13" s="281">
        <f>'2021'!L13-'2020'!L13</f>
        <v>0</v>
      </c>
      <c r="N13" s="384" t="e">
        <f>'2021'!K13-'2020'!K13</f>
        <v>#DIV/0!</v>
      </c>
      <c r="O13" s="281"/>
      <c r="P13" s="384"/>
      <c r="Q13" s="207"/>
      <c r="R13" s="208"/>
      <c r="S13" s="207"/>
      <c r="T13" s="208"/>
      <c r="U13" s="153" t="s">
        <v>21</v>
      </c>
      <c r="V13" s="150" t="s">
        <v>21</v>
      </c>
      <c r="W13" s="153" t="s">
        <v>21</v>
      </c>
      <c r="X13" s="157" t="s">
        <v>21</v>
      </c>
      <c r="Y13" s="121"/>
    </row>
    <row r="14" spans="1:25" ht="15" customHeight="1" x14ac:dyDescent="0.3">
      <c r="A14" s="123">
        <v>9</v>
      </c>
      <c r="B14" s="893"/>
      <c r="C14" s="888"/>
      <c r="D14" s="898"/>
      <c r="E14" s="339" t="s">
        <v>171</v>
      </c>
      <c r="F14" s="340" t="s">
        <v>60</v>
      </c>
      <c r="G14" s="341">
        <f>'2021'!G14-'2020'!G14</f>
        <v>0</v>
      </c>
      <c r="H14" s="377">
        <f>IF('2021'!G14=0,0,IF('2020'!G14=0,0,'2021'!G14/'2020'!G14-1))</f>
        <v>0</v>
      </c>
      <c r="I14" s="368">
        <f>'2021'!H14-'2020'!H14</f>
        <v>0</v>
      </c>
      <c r="J14" s="384">
        <f>IF(I14=0,0,'2021'!H14/'2020'!H14-1)</f>
        <v>0</v>
      </c>
      <c r="K14" s="281">
        <f>'2021'!J14-'2020'!J14</f>
        <v>0</v>
      </c>
      <c r="L14" s="384" t="e">
        <f>'2021'!I14-'2020'!I14</f>
        <v>#DIV/0!</v>
      </c>
      <c r="M14" s="281">
        <f>'2021'!L14-'2020'!L14</f>
        <v>0</v>
      </c>
      <c r="N14" s="384" t="e">
        <f>'2021'!K14-'2020'!K14</f>
        <v>#DIV/0!</v>
      </c>
      <c r="O14" s="281"/>
      <c r="P14" s="384"/>
      <c r="Q14" s="207"/>
      <c r="R14" s="208"/>
      <c r="S14" s="207"/>
      <c r="T14" s="208"/>
      <c r="U14" s="153" t="s">
        <v>21</v>
      </c>
      <c r="V14" s="150" t="s">
        <v>21</v>
      </c>
      <c r="W14" s="153" t="s">
        <v>21</v>
      </c>
      <c r="X14" s="157" t="s">
        <v>21</v>
      </c>
      <c r="Y14" s="121"/>
    </row>
    <row r="15" spans="1:25" ht="15" customHeight="1" x14ac:dyDescent="0.3">
      <c r="B15" s="893"/>
      <c r="C15" s="888"/>
      <c r="D15" s="898"/>
      <c r="E15" s="680" t="s">
        <v>171</v>
      </c>
      <c r="F15" s="681"/>
      <c r="G15" s="682">
        <f>'2021'!G15-'2020'!G15</f>
        <v>0</v>
      </c>
      <c r="H15" s="683">
        <f>IF('2021'!G15=0,0,IF('2020'!G15=0,0,'2021'!G15/'2020'!G15-1))</f>
        <v>0</v>
      </c>
      <c r="I15" s="684">
        <f>'2021'!H15-'2020'!H15</f>
        <v>0</v>
      </c>
      <c r="J15" s="685">
        <f>IF(I15=0,0,'2021'!H15/'2020'!H15-1)</f>
        <v>0</v>
      </c>
      <c r="K15" s="686">
        <f>'2021'!J15-'2020'!J15</f>
        <v>0</v>
      </c>
      <c r="L15" s="685" t="e">
        <f>'2021'!I15-'2020'!I15</f>
        <v>#DIV/0!</v>
      </c>
      <c r="M15" s="686">
        <f>'2021'!L15-'2020'!L15</f>
        <v>0</v>
      </c>
      <c r="N15" s="685" t="e">
        <f>'2021'!K15-'2020'!K15</f>
        <v>#DIV/0!</v>
      </c>
      <c r="O15" s="686"/>
      <c r="P15" s="685"/>
      <c r="Q15" s="687"/>
      <c r="R15" s="688"/>
      <c r="S15" s="687"/>
      <c r="T15" s="688"/>
      <c r="U15" s="689"/>
      <c r="V15" s="690"/>
      <c r="W15" s="689"/>
      <c r="X15" s="691"/>
      <c r="Y15" s="121"/>
    </row>
    <row r="16" spans="1:25" ht="15" customHeight="1" x14ac:dyDescent="0.3">
      <c r="B16" s="893"/>
      <c r="C16" s="888"/>
      <c r="D16" s="898"/>
      <c r="E16" s="680" t="s">
        <v>171</v>
      </c>
      <c r="F16" s="681"/>
      <c r="G16" s="682">
        <f>'2021'!G16-'2020'!G16</f>
        <v>0</v>
      </c>
      <c r="H16" s="683">
        <f>IF('2021'!G16=0,0,IF('2020'!G16=0,0,'2021'!G16/'2020'!G16-1))</f>
        <v>0</v>
      </c>
      <c r="I16" s="684">
        <f>'2021'!H16-'2020'!H16</f>
        <v>0</v>
      </c>
      <c r="J16" s="685">
        <f>IF(I16=0,0,'2021'!H16/'2020'!H16-1)</f>
        <v>0</v>
      </c>
      <c r="K16" s="686">
        <f>'2021'!J16-'2020'!J16</f>
        <v>0</v>
      </c>
      <c r="L16" s="685" t="e">
        <f>'2021'!I16-'2020'!I16</f>
        <v>#DIV/0!</v>
      </c>
      <c r="M16" s="686">
        <f>'2021'!L16-'2020'!L16</f>
        <v>0</v>
      </c>
      <c r="N16" s="685" t="e">
        <f>'2021'!K16-'2020'!K16</f>
        <v>#DIV/0!</v>
      </c>
      <c r="O16" s="686"/>
      <c r="P16" s="685"/>
      <c r="Q16" s="687"/>
      <c r="R16" s="688"/>
      <c r="S16" s="687"/>
      <c r="T16" s="688"/>
      <c r="U16" s="689"/>
      <c r="V16" s="690"/>
      <c r="W16" s="689"/>
      <c r="X16" s="691"/>
      <c r="Y16" s="121"/>
    </row>
    <row r="17" spans="1:25" ht="15" customHeight="1" x14ac:dyDescent="0.3">
      <c r="B17" s="893"/>
      <c r="C17" s="888"/>
      <c r="D17" s="898"/>
      <c r="E17" s="680"/>
      <c r="F17" s="681"/>
      <c r="G17" s="682"/>
      <c r="H17" s="683"/>
      <c r="I17" s="684"/>
      <c r="J17" s="685"/>
      <c r="K17" s="686"/>
      <c r="L17" s="685"/>
      <c r="M17" s="686"/>
      <c r="N17" s="685"/>
      <c r="O17" s="686"/>
      <c r="P17" s="685"/>
      <c r="Q17" s="687"/>
      <c r="R17" s="688"/>
      <c r="S17" s="687"/>
      <c r="T17" s="688"/>
      <c r="U17" s="689"/>
      <c r="V17" s="690"/>
      <c r="W17" s="689"/>
      <c r="X17" s="691"/>
      <c r="Y17" s="121"/>
    </row>
    <row r="18" spans="1:25" ht="15" customHeight="1" x14ac:dyDescent="0.3">
      <c r="B18" s="893"/>
      <c r="C18" s="888"/>
      <c r="D18" s="898"/>
      <c r="E18" s="680"/>
      <c r="F18" s="681"/>
      <c r="G18" s="682"/>
      <c r="H18" s="683"/>
      <c r="I18" s="684"/>
      <c r="J18" s="685"/>
      <c r="K18" s="686"/>
      <c r="L18" s="685"/>
      <c r="M18" s="686"/>
      <c r="N18" s="685"/>
      <c r="O18" s="686"/>
      <c r="P18" s="685"/>
      <c r="Q18" s="687"/>
      <c r="R18" s="688"/>
      <c r="S18" s="687"/>
      <c r="T18" s="688"/>
      <c r="U18" s="689"/>
      <c r="V18" s="690"/>
      <c r="W18" s="689"/>
      <c r="X18" s="691"/>
      <c r="Y18" s="121"/>
    </row>
    <row r="19" spans="1:25" ht="15" customHeight="1" x14ac:dyDescent="0.3">
      <c r="A19" s="123">
        <v>10</v>
      </c>
      <c r="B19" s="893"/>
      <c r="C19" s="888"/>
      <c r="D19" s="898"/>
      <c r="E19" s="342" t="s">
        <v>171</v>
      </c>
      <c r="F19" s="343" t="s">
        <v>60</v>
      </c>
      <c r="G19" s="344">
        <f>'2021'!G19-'2020'!G19</f>
        <v>0</v>
      </c>
      <c r="H19" s="378">
        <f>IF('2021'!G19=0,0,IF('2020'!G19=0,0,'2021'!G19/'2020'!G19-1))</f>
        <v>0</v>
      </c>
      <c r="I19" s="369">
        <f>'2021'!H19-'2020'!H19</f>
        <v>0</v>
      </c>
      <c r="J19" s="385">
        <f>IF(I19=0,0,'2021'!H19/'2020'!H19-1)</f>
        <v>0</v>
      </c>
      <c r="K19" s="282">
        <f>'2021'!J19-'2020'!J19</f>
        <v>0</v>
      </c>
      <c r="L19" s="385" t="e">
        <f>'2021'!I19-'2020'!I19</f>
        <v>#DIV/0!</v>
      </c>
      <c r="M19" s="282">
        <f>'2021'!L19-'2020'!L19</f>
        <v>0</v>
      </c>
      <c r="N19" s="385" t="e">
        <f>'2021'!K19-'2020'!K19</f>
        <v>#DIV/0!</v>
      </c>
      <c r="O19" s="282"/>
      <c r="P19" s="385"/>
      <c r="Q19" s="209"/>
      <c r="R19" s="210"/>
      <c r="S19" s="209"/>
      <c r="T19" s="210"/>
      <c r="U19" s="161"/>
      <c r="V19" s="158"/>
      <c r="W19" s="161"/>
      <c r="X19" s="198"/>
      <c r="Y19" s="121"/>
    </row>
    <row r="20" spans="1:25" ht="15.6" x14ac:dyDescent="0.3">
      <c r="B20" s="893"/>
      <c r="C20" s="889"/>
      <c r="D20" s="655" t="s">
        <v>138</v>
      </c>
      <c r="E20" s="346"/>
      <c r="F20" s="347"/>
      <c r="G20" s="348">
        <f>SUM(G7:G19)</f>
        <v>0</v>
      </c>
      <c r="H20" s="379" t="e">
        <f>G20/SUM('2020'!G7:G9,'2020'!G11:G14)</f>
        <v>#DIV/0!</v>
      </c>
      <c r="I20" s="370">
        <f>SUM(I7:I19)</f>
        <v>0</v>
      </c>
      <c r="J20" s="386" t="e">
        <f>I20/SUM('2020'!H7:H9,'2020'!H11:H14)</f>
        <v>#DIV/0!</v>
      </c>
      <c r="K20" s="285">
        <f>SUM(K7:K19)</f>
        <v>0</v>
      </c>
      <c r="L20" s="386" t="e">
        <f>K20/SUM('2020'!J7:J9,'2020'!J11:J14)</f>
        <v>#DIV/0!</v>
      </c>
      <c r="M20" s="285">
        <f>SUM(M7:M19)</f>
        <v>0</v>
      </c>
      <c r="N20" s="386" t="e">
        <f>M20/SUM('2020'!L7:L9,'2020'!L11:L14)</f>
        <v>#DIV/0!</v>
      </c>
      <c r="O20" s="285"/>
      <c r="P20" s="386"/>
      <c r="Q20" s="211"/>
      <c r="R20" s="212"/>
      <c r="S20" s="211"/>
      <c r="T20" s="212"/>
      <c r="U20" s="270"/>
      <c r="V20" s="271"/>
      <c r="W20" s="270"/>
      <c r="X20" s="272"/>
      <c r="Y20" s="121"/>
    </row>
    <row r="21" spans="1:25" ht="15" customHeight="1" x14ac:dyDescent="0.3">
      <c r="A21" s="123">
        <v>2</v>
      </c>
      <c r="B21" s="893" t="s">
        <v>82</v>
      </c>
      <c r="C21" s="888" t="s">
        <v>75</v>
      </c>
      <c r="D21" s="898">
        <f>'2021'!D21-'2020'!D21</f>
        <v>1</v>
      </c>
      <c r="E21" s="336" t="s">
        <v>13</v>
      </c>
      <c r="F21" s="337" t="s">
        <v>60</v>
      </c>
      <c r="G21" s="338">
        <f>'2021'!G21-'2020'!G21</f>
        <v>45</v>
      </c>
      <c r="H21" s="376">
        <f>IF('2021'!G21=0,0,IF('2020'!G21=0,0,'2021'!G21/'2020'!G21-1))</f>
        <v>1.4516129032258065</v>
      </c>
      <c r="I21" s="367">
        <f>'2021'!H21-'2020'!H21</f>
        <v>27</v>
      </c>
      <c r="J21" s="383">
        <f>IF('2021'!H21=0,0,IF('2020'!H21=0,0,'2021'!H21/'2020'!H21-1))</f>
        <v>1.1739130434782608</v>
      </c>
      <c r="K21" s="280">
        <f>'2021'!J21-'2020'!J21</f>
        <v>7</v>
      </c>
      <c r="L21" s="383">
        <f>'2021'!I21-'2020'!I21</f>
        <v>-9.8896434634974523E-2</v>
      </c>
      <c r="M21" s="280">
        <f>'2021'!L21-'2020'!L21</f>
        <v>18</v>
      </c>
      <c r="N21" s="383">
        <f>'2021'!K21-'2020'!K21</f>
        <v>4.5840407470288613E-2</v>
      </c>
      <c r="O21" s="280"/>
      <c r="P21" s="383"/>
      <c r="Q21" s="205"/>
      <c r="R21" s="206"/>
      <c r="S21" s="205"/>
      <c r="T21" s="206"/>
      <c r="U21" s="147" t="s">
        <v>21</v>
      </c>
      <c r="V21" s="144" t="s">
        <v>21</v>
      </c>
      <c r="W21" s="147" t="s">
        <v>21</v>
      </c>
      <c r="X21" s="169" t="s">
        <v>21</v>
      </c>
      <c r="Y21" s="121"/>
    </row>
    <row r="22" spans="1:25" ht="15" customHeight="1" x14ac:dyDescent="0.3">
      <c r="A22" s="123">
        <v>3</v>
      </c>
      <c r="B22" s="893"/>
      <c r="C22" s="888"/>
      <c r="D22" s="898"/>
      <c r="E22" s="339" t="s">
        <v>14</v>
      </c>
      <c r="F22" s="340" t="s">
        <v>60</v>
      </c>
      <c r="G22" s="341">
        <f>'2021'!G22-'2020'!G22</f>
        <v>20</v>
      </c>
      <c r="H22" s="377">
        <f>IF('2021'!G22=0,0,IF('2020'!G22=0,0,'2021'!G22/'2020'!G22-1))</f>
        <v>0.8</v>
      </c>
      <c r="I22" s="368">
        <f>'2021'!H22-'2020'!H22</f>
        <v>14</v>
      </c>
      <c r="J22" s="384">
        <f>IF(I22=0,0,'2021'!H22/'2020'!H22-1)</f>
        <v>1.0769230769230771</v>
      </c>
      <c r="K22" s="281">
        <f>'2021'!J22-'2020'!J22</f>
        <v>9</v>
      </c>
      <c r="L22" s="384">
        <f>'2021'!I22-'2020'!I22</f>
        <v>-1.3333333333333308E-2</v>
      </c>
      <c r="M22" s="281">
        <f>'2021'!L22-'2020'!L22</f>
        <v>5</v>
      </c>
      <c r="N22" s="384">
        <f>'2021'!K22-'2020'!K22</f>
        <v>-4.8888888888888871E-2</v>
      </c>
      <c r="O22" s="281"/>
      <c r="P22" s="384"/>
      <c r="Q22" s="207"/>
      <c r="R22" s="208"/>
      <c r="S22" s="207"/>
      <c r="T22" s="208"/>
      <c r="U22" s="153" t="s">
        <v>21</v>
      </c>
      <c r="V22" s="150" t="s">
        <v>21</v>
      </c>
      <c r="W22" s="153" t="s">
        <v>21</v>
      </c>
      <c r="X22" s="157" t="s">
        <v>21</v>
      </c>
      <c r="Y22" s="121"/>
    </row>
    <row r="23" spans="1:25" ht="15" customHeight="1" x14ac:dyDescent="0.3">
      <c r="A23" s="123">
        <v>4</v>
      </c>
      <c r="B23" s="893"/>
      <c r="C23" s="888"/>
      <c r="D23" s="898"/>
      <c r="E23" s="339" t="s">
        <v>15</v>
      </c>
      <c r="F23" s="340" t="s">
        <v>60</v>
      </c>
      <c r="G23" s="341">
        <f>'2021'!G23-'2020'!G23</f>
        <v>-2</v>
      </c>
      <c r="H23" s="377">
        <f>IF('2021'!G23=0,0,IF('2020'!G23=0,0,'2021'!G23/'2020'!G23-1))</f>
        <v>-0.11111111111111116</v>
      </c>
      <c r="I23" s="368">
        <f>'2021'!H23-'2020'!H23</f>
        <v>0</v>
      </c>
      <c r="J23" s="384">
        <f>IF(I23=0,0,'2021'!H23/'2020'!H23-1)</f>
        <v>0</v>
      </c>
      <c r="K23" s="281">
        <f>'2021'!J23-'2020'!J23</f>
        <v>-4</v>
      </c>
      <c r="L23" s="384">
        <f>'2021'!I23-'2020'!I23</f>
        <v>-0.1875</v>
      </c>
      <c r="M23" s="281">
        <f>'2021'!L23-'2020'!L23</f>
        <v>0</v>
      </c>
      <c r="N23" s="384">
        <f>'2021'!K23-'2020'!K23</f>
        <v>2.0833333333333343E-2</v>
      </c>
      <c r="O23" s="281"/>
      <c r="P23" s="384"/>
      <c r="Q23" s="207"/>
      <c r="R23" s="208"/>
      <c r="S23" s="207"/>
      <c r="T23" s="208"/>
      <c r="U23" s="153" t="s">
        <v>21</v>
      </c>
      <c r="V23" s="150" t="s">
        <v>21</v>
      </c>
      <c r="W23" s="153" t="s">
        <v>21</v>
      </c>
      <c r="X23" s="157" t="s">
        <v>21</v>
      </c>
      <c r="Y23" s="121"/>
    </row>
    <row r="24" spans="1:25" ht="15" customHeight="1" x14ac:dyDescent="0.3">
      <c r="A24" s="123">
        <v>5</v>
      </c>
      <c r="B24" s="893"/>
      <c r="C24" s="888"/>
      <c r="D24" s="898"/>
      <c r="E24" s="339" t="s">
        <v>140</v>
      </c>
      <c r="F24" s="340"/>
      <c r="G24" s="341"/>
      <c r="H24" s="377"/>
      <c r="I24" s="368"/>
      <c r="J24" s="384"/>
      <c r="K24" s="281"/>
      <c r="L24" s="384">
        <f>'2021'!I24-'2020'!I24</f>
        <v>-0.2857142857142857</v>
      </c>
      <c r="M24" s="281"/>
      <c r="N24" s="384">
        <f>'2021'!K24-'2020'!K24</f>
        <v>1.1904761904761918E-2</v>
      </c>
      <c r="O24" s="281"/>
      <c r="P24" s="384"/>
      <c r="Q24" s="207"/>
      <c r="R24" s="208"/>
      <c r="S24" s="207"/>
      <c r="T24" s="208"/>
      <c r="U24" s="153"/>
      <c r="V24" s="150"/>
      <c r="W24" s="153"/>
      <c r="X24" s="157"/>
      <c r="Y24" s="121"/>
    </row>
    <row r="25" spans="1:25" ht="15" customHeight="1" x14ac:dyDescent="0.3">
      <c r="A25" s="123">
        <v>6</v>
      </c>
      <c r="B25" s="893"/>
      <c r="C25" s="888"/>
      <c r="D25" s="898"/>
      <c r="E25" s="339" t="s">
        <v>16</v>
      </c>
      <c r="F25" s="340" t="s">
        <v>60</v>
      </c>
      <c r="G25" s="341">
        <f>'2021'!G25-'2020'!G25</f>
        <v>-1</v>
      </c>
      <c r="H25" s="377">
        <f>IF('2021'!G25=0,0,IF('2020'!G25=0,0,'2021'!G25/'2020'!G25-1))</f>
        <v>-7.1428571428571397E-2</v>
      </c>
      <c r="I25" s="368">
        <f>'2021'!H25-'2020'!H25</f>
        <v>-1</v>
      </c>
      <c r="J25" s="384">
        <f>IF(I25=0,0,'2021'!H25/'2020'!H25-1)</f>
        <v>-0.11111111111111116</v>
      </c>
      <c r="K25" s="281">
        <f>'2021'!J25-'2020'!J25</f>
        <v>6</v>
      </c>
      <c r="L25" s="384">
        <f>'2021'!I25-'2020'!I25</f>
        <v>0.46703296703296704</v>
      </c>
      <c r="M25" s="281">
        <f>'2021'!L25-'2020'!L25</f>
        <v>5</v>
      </c>
      <c r="N25" s="384">
        <f>'2021'!K25-'2020'!K25</f>
        <v>0.39010989010989017</v>
      </c>
      <c r="O25" s="281"/>
      <c r="P25" s="384"/>
      <c r="Q25" s="207"/>
      <c r="R25" s="208"/>
      <c r="S25" s="207"/>
      <c r="T25" s="208"/>
      <c r="U25" s="153" t="s">
        <v>21</v>
      </c>
      <c r="V25" s="150" t="s">
        <v>21</v>
      </c>
      <c r="W25" s="153" t="s">
        <v>21</v>
      </c>
      <c r="X25" s="157" t="s">
        <v>21</v>
      </c>
      <c r="Y25" s="121"/>
    </row>
    <row r="26" spans="1:25" ht="15" customHeight="1" x14ac:dyDescent="0.3">
      <c r="A26" s="123">
        <v>7</v>
      </c>
      <c r="B26" s="893"/>
      <c r="C26" s="888"/>
      <c r="D26" s="898"/>
      <c r="E26" s="339" t="s">
        <v>17</v>
      </c>
      <c r="F26" s="340" t="s">
        <v>60</v>
      </c>
      <c r="G26" s="341">
        <f>'2021'!G26-'2020'!G26</f>
        <v>0</v>
      </c>
      <c r="H26" s="377">
        <f>IF('2021'!G26=0,0,IF('2020'!G26=0,0,'2021'!G26/'2020'!G26-1))</f>
        <v>0</v>
      </c>
      <c r="I26" s="368">
        <f>'2021'!H26-'2020'!H26</f>
        <v>4</v>
      </c>
      <c r="J26" s="384">
        <f>IF(I26=0,0,'2021'!H26/'2020'!H26-1)</f>
        <v>0.25</v>
      </c>
      <c r="K26" s="281">
        <f>'2021'!J26-'2020'!J26</f>
        <v>6</v>
      </c>
      <c r="L26" s="384">
        <f>'2021'!I26-'2020'!I26</f>
        <v>0.25</v>
      </c>
      <c r="M26" s="281">
        <f>'2021'!L26-'2020'!L26</f>
        <v>2</v>
      </c>
      <c r="N26" s="384">
        <f>'2021'!K26-'2020'!K26</f>
        <v>8.3333333333333343E-2</v>
      </c>
      <c r="O26" s="281"/>
      <c r="P26" s="384"/>
      <c r="Q26" s="207"/>
      <c r="R26" s="208"/>
      <c r="S26" s="207"/>
      <c r="T26" s="208"/>
      <c r="U26" s="153" t="s">
        <v>21</v>
      </c>
      <c r="V26" s="150" t="s">
        <v>21</v>
      </c>
      <c r="W26" s="153" t="s">
        <v>21</v>
      </c>
      <c r="X26" s="157" t="s">
        <v>21</v>
      </c>
      <c r="Y26" s="121"/>
    </row>
    <row r="27" spans="1:25" ht="15" customHeight="1" x14ac:dyDescent="0.3">
      <c r="A27" s="123">
        <v>8</v>
      </c>
      <c r="B27" s="893"/>
      <c r="C27" s="888"/>
      <c r="D27" s="898"/>
      <c r="E27" s="339" t="s">
        <v>18</v>
      </c>
      <c r="F27" s="340" t="s">
        <v>60</v>
      </c>
      <c r="G27" s="341">
        <f>'2021'!G27-'2020'!G27</f>
        <v>4</v>
      </c>
      <c r="H27" s="377">
        <f>IF('2021'!G27=0,0,IF('2020'!G27=0,0,'2021'!G27/'2020'!G27-1))</f>
        <v>0.13793103448275867</v>
      </c>
      <c r="I27" s="368">
        <f>'2021'!H27-'2020'!H27</f>
        <v>4</v>
      </c>
      <c r="J27" s="384">
        <f>IF(I27=0,0,'2021'!H27/'2020'!H27-1)</f>
        <v>0.19047619047619047</v>
      </c>
      <c r="K27" s="281">
        <f>'2021'!J27-'2020'!J27</f>
        <v>0</v>
      </c>
      <c r="L27" s="384">
        <f>'2021'!I27-'2020'!I27</f>
        <v>0</v>
      </c>
      <c r="M27" s="281">
        <f>'2021'!L27-'2020'!L27</f>
        <v>-5</v>
      </c>
      <c r="N27" s="384">
        <f>'2021'!K27-'2020'!K27</f>
        <v>-0.20167189132706373</v>
      </c>
      <c r="O27" s="281"/>
      <c r="P27" s="384"/>
      <c r="Q27" s="207"/>
      <c r="R27" s="208"/>
      <c r="S27" s="207"/>
      <c r="T27" s="208"/>
      <c r="U27" s="153" t="s">
        <v>21</v>
      </c>
      <c r="V27" s="150" t="s">
        <v>21</v>
      </c>
      <c r="W27" s="153" t="s">
        <v>21</v>
      </c>
      <c r="X27" s="157" t="s">
        <v>21</v>
      </c>
      <c r="Y27" s="121"/>
    </row>
    <row r="28" spans="1:25" ht="15" customHeight="1" x14ac:dyDescent="0.3">
      <c r="A28" s="123">
        <v>9</v>
      </c>
      <c r="B28" s="893"/>
      <c r="C28" s="888"/>
      <c r="D28" s="898"/>
      <c r="E28" s="339" t="s">
        <v>19</v>
      </c>
      <c r="F28" s="340" t="s">
        <v>60</v>
      </c>
      <c r="G28" s="341">
        <f>'2021'!G28-'2020'!G28</f>
        <v>5</v>
      </c>
      <c r="H28" s="377">
        <f>IF('2021'!G28=0,0,IF('2020'!G28=0,0,'2021'!G28/'2020'!G28-1))</f>
        <v>0.18518518518518512</v>
      </c>
      <c r="I28" s="368">
        <f>'2021'!H28-'2020'!H28</f>
        <v>0</v>
      </c>
      <c r="J28" s="384">
        <f>IF(I28=0,0,'2021'!H28/'2020'!H28-1)</f>
        <v>0</v>
      </c>
      <c r="K28" s="281">
        <f>'2021'!J28-'2020'!J28</f>
        <v>-2</v>
      </c>
      <c r="L28" s="384">
        <f>'2021'!I28-'2020'!I28</f>
        <v>-0.10300925925925924</v>
      </c>
      <c r="M28" s="281">
        <f>'2021'!L28-'2020'!L28</f>
        <v>-1</v>
      </c>
      <c r="N28" s="384">
        <f>'2021'!K28-'2020'!K28</f>
        <v>-0.10648148148148145</v>
      </c>
      <c r="O28" s="281"/>
      <c r="P28" s="384"/>
      <c r="Q28" s="207"/>
      <c r="R28" s="208"/>
      <c r="S28" s="207"/>
      <c r="T28" s="208"/>
      <c r="U28" s="153" t="s">
        <v>21</v>
      </c>
      <c r="V28" s="150" t="s">
        <v>21</v>
      </c>
      <c r="W28" s="153" t="s">
        <v>21</v>
      </c>
      <c r="X28" s="157" t="s">
        <v>21</v>
      </c>
      <c r="Y28" s="121"/>
    </row>
    <row r="29" spans="1:25" ht="15" customHeight="1" x14ac:dyDescent="0.3">
      <c r="B29" s="893"/>
      <c r="C29" s="888"/>
      <c r="D29" s="898"/>
      <c r="E29" s="680"/>
      <c r="F29" s="681"/>
      <c r="G29" s="682"/>
      <c r="H29" s="683"/>
      <c r="I29" s="684"/>
      <c r="J29" s="685"/>
      <c r="K29" s="686"/>
      <c r="L29" s="685"/>
      <c r="M29" s="686"/>
      <c r="N29" s="685"/>
      <c r="O29" s="686"/>
      <c r="P29" s="685"/>
      <c r="Q29" s="687"/>
      <c r="R29" s="688"/>
      <c r="S29" s="687"/>
      <c r="T29" s="688"/>
      <c r="U29" s="689"/>
      <c r="V29" s="690"/>
      <c r="W29" s="689"/>
      <c r="X29" s="691"/>
      <c r="Y29" s="121"/>
    </row>
    <row r="30" spans="1:25" ht="15" customHeight="1" x14ac:dyDescent="0.3">
      <c r="B30" s="893"/>
      <c r="C30" s="888"/>
      <c r="D30" s="898"/>
      <c r="E30" s="680"/>
      <c r="F30" s="681"/>
      <c r="G30" s="682"/>
      <c r="H30" s="683"/>
      <c r="I30" s="684"/>
      <c r="J30" s="685"/>
      <c r="K30" s="686"/>
      <c r="L30" s="685"/>
      <c r="M30" s="686"/>
      <c r="N30" s="685"/>
      <c r="O30" s="686"/>
      <c r="P30" s="685"/>
      <c r="Q30" s="687"/>
      <c r="R30" s="688"/>
      <c r="S30" s="687"/>
      <c r="T30" s="688"/>
      <c r="U30" s="689"/>
      <c r="V30" s="690"/>
      <c r="W30" s="689"/>
      <c r="X30" s="691"/>
      <c r="Y30" s="121"/>
    </row>
    <row r="31" spans="1:25" ht="15" customHeight="1" x14ac:dyDescent="0.3">
      <c r="A31" s="123">
        <v>10</v>
      </c>
      <c r="B31" s="893"/>
      <c r="C31" s="888"/>
      <c r="D31" s="898"/>
      <c r="E31" s="342" t="s">
        <v>5</v>
      </c>
      <c r="F31" s="343" t="s">
        <v>60</v>
      </c>
      <c r="G31" s="344"/>
      <c r="H31" s="378"/>
      <c r="I31" s="369"/>
      <c r="J31" s="385"/>
      <c r="K31" s="282"/>
      <c r="L31" s="385"/>
      <c r="M31" s="282"/>
      <c r="N31" s="385"/>
      <c r="O31" s="282"/>
      <c r="P31" s="385"/>
      <c r="Q31" s="209"/>
      <c r="R31" s="210"/>
      <c r="S31" s="209"/>
      <c r="T31" s="210"/>
      <c r="U31" s="161"/>
      <c r="V31" s="158"/>
      <c r="W31" s="161"/>
      <c r="X31" s="198"/>
      <c r="Y31" s="121"/>
    </row>
    <row r="32" spans="1:25" ht="15.6" x14ac:dyDescent="0.3">
      <c r="B32" s="893"/>
      <c r="C32" s="889"/>
      <c r="D32" s="345" t="s">
        <v>138</v>
      </c>
      <c r="E32" s="346"/>
      <c r="F32" s="347"/>
      <c r="G32" s="348">
        <f>SUM(G21:G31)</f>
        <v>71</v>
      </c>
      <c r="H32" s="379">
        <f>G32/SUM('2020'!G21:G23,'2020'!G25:G28)</f>
        <v>0.42261904761904762</v>
      </c>
      <c r="I32" s="370">
        <f>SUM(I21:I31)</f>
        <v>48</v>
      </c>
      <c r="J32" s="386">
        <f>I32/SUM('2020'!H21:H23,'2020'!H25:H28)</f>
        <v>0.44036697247706424</v>
      </c>
      <c r="K32" s="285">
        <f>SUM(K21:K31)</f>
        <v>22</v>
      </c>
      <c r="L32" s="386">
        <f>K32/SUM('2020'!J21:J23,'2020'!J25:J28)</f>
        <v>0.55000000000000004</v>
      </c>
      <c r="M32" s="285">
        <f>SUM(M21:M31)</f>
        <v>24</v>
      </c>
      <c r="N32" s="386">
        <f>M32/SUM('2020'!L21:L23,'2020'!L25:L28)</f>
        <v>0.45283018867924529</v>
      </c>
      <c r="O32" s="285"/>
      <c r="P32" s="386"/>
      <c r="Q32" s="211"/>
      <c r="R32" s="212"/>
      <c r="S32" s="211"/>
      <c r="T32" s="212"/>
      <c r="U32" s="270"/>
      <c r="V32" s="271"/>
      <c r="W32" s="270"/>
      <c r="X32" s="272"/>
      <c r="Y32" s="121"/>
    </row>
    <row r="33" spans="1:25" x14ac:dyDescent="0.3">
      <c r="A33" s="123">
        <v>11</v>
      </c>
      <c r="B33" s="847" t="s">
        <v>83</v>
      </c>
      <c r="C33" s="806" t="s">
        <v>75</v>
      </c>
      <c r="D33" s="899">
        <f>'2021'!D33-'2020'!D33</f>
        <v>0</v>
      </c>
      <c r="E33" s="336" t="s">
        <v>10</v>
      </c>
      <c r="F33" s="337" t="s">
        <v>60</v>
      </c>
      <c r="G33" s="338">
        <f>'2021'!G33-'2020'!G33</f>
        <v>9</v>
      </c>
      <c r="H33" s="376">
        <f>IF('2021'!G33=0,0,IF('2020'!G33=0,0,'2021'!G33/'2020'!G33-1))</f>
        <v>0.2432432432432432</v>
      </c>
      <c r="I33" s="367">
        <f>'2021'!H33-'2020'!H33</f>
        <v>9</v>
      </c>
      <c r="J33" s="383">
        <f>IF('2021'!H33=0,0,IF('2020'!H33=0,0,'2021'!H33/'2020'!H33-1))</f>
        <v>0.39130434782608692</v>
      </c>
      <c r="K33" s="280">
        <f>'2021'!J33-'2020'!J33</f>
        <v>15.94</v>
      </c>
      <c r="L33" s="383">
        <f>'2021'!I33-'2020'!I33</f>
        <v>0.27217391304347827</v>
      </c>
      <c r="M33" s="280">
        <f>'2021'!L33-'2020'!L33</f>
        <v>3.08</v>
      </c>
      <c r="N33" s="383">
        <f>'2021'!K33-'2020'!K33</f>
        <v>3.5652173913043483E-2</v>
      </c>
      <c r="O33" s="280">
        <f>IF('2020'!N33="-",0,'2021'!N33-'2020'!N33)</f>
        <v>3.08</v>
      </c>
      <c r="P33" s="383">
        <f>'2021'!M33-'2020'!M33</f>
        <v>0</v>
      </c>
      <c r="Q33" s="205"/>
      <c r="R33" s="206"/>
      <c r="S33" s="205"/>
      <c r="T33" s="206"/>
      <c r="U33" s="147" t="s">
        <v>21</v>
      </c>
      <c r="V33" s="144" t="s">
        <v>21</v>
      </c>
      <c r="W33" s="147" t="s">
        <v>21</v>
      </c>
      <c r="X33" s="169" t="s">
        <v>21</v>
      </c>
      <c r="Y33" s="121"/>
    </row>
    <row r="34" spans="1:25" x14ac:dyDescent="0.3">
      <c r="A34" s="123">
        <v>12</v>
      </c>
      <c r="B34" s="848"/>
      <c r="C34" s="807"/>
      <c r="D34" s="899"/>
      <c r="E34" s="339" t="s">
        <v>11</v>
      </c>
      <c r="F34" s="340" t="s">
        <v>60</v>
      </c>
      <c r="G34" s="341">
        <f>'2021'!G34-'2020'!G34</f>
        <v>-5</v>
      </c>
      <c r="H34" s="377">
        <f>IF('2021'!G34=0,0,IF('2020'!G34=0,0,'2021'!G34/'2020'!G34-1))</f>
        <v>-0.15151515151515149</v>
      </c>
      <c r="I34" s="368">
        <f>'2021'!H34-'2020'!H34</f>
        <v>2</v>
      </c>
      <c r="J34" s="384">
        <f>IF(I34=0,0,'2021'!H34/'2020'!H34-1)</f>
        <v>0.1333333333333333</v>
      </c>
      <c r="K34" s="281">
        <f>'2021'!J34-'2020'!J34</f>
        <v>8.1</v>
      </c>
      <c r="L34" s="384">
        <f>'2021'!I34-'2020'!I34</f>
        <v>0.34285714285714292</v>
      </c>
      <c r="M34" s="281">
        <f>'2021'!L34-'2020'!L34</f>
        <v>6.03</v>
      </c>
      <c r="N34" s="384">
        <f>'2021'!K34-'2020'!K34</f>
        <v>0.23142857142857146</v>
      </c>
      <c r="O34" s="281">
        <f>IF('2020'!N34="-",0,'2021'!N34-'2020'!N34)</f>
        <v>4.03</v>
      </c>
      <c r="P34" s="384">
        <f>'2021'!M34-'2020'!M34</f>
        <v>-0.22222222222222221</v>
      </c>
      <c r="Q34" s="207"/>
      <c r="R34" s="208"/>
      <c r="S34" s="207"/>
      <c r="T34" s="208"/>
      <c r="U34" s="153" t="s">
        <v>21</v>
      </c>
      <c r="V34" s="150" t="s">
        <v>21</v>
      </c>
      <c r="W34" s="153" t="s">
        <v>21</v>
      </c>
      <c r="X34" s="157" t="s">
        <v>21</v>
      </c>
      <c r="Y34" s="121"/>
    </row>
    <row r="35" spans="1:25" x14ac:dyDescent="0.3">
      <c r="A35" s="123">
        <v>13</v>
      </c>
      <c r="B35" s="848"/>
      <c r="C35" s="807"/>
      <c r="D35" s="899"/>
      <c r="E35" s="339" t="s">
        <v>12</v>
      </c>
      <c r="F35" s="340" t="s">
        <v>60</v>
      </c>
      <c r="G35" s="341">
        <f>'2021'!G35-'2020'!G35</f>
        <v>-1</v>
      </c>
      <c r="H35" s="377">
        <f>IF('2021'!G35=0,0,IF('2020'!G35=0,0,'2021'!G35/'2020'!G35-1))</f>
        <v>-0.16666666666666663</v>
      </c>
      <c r="I35" s="368">
        <f>'2021'!H35-'2020'!H35</f>
        <v>0</v>
      </c>
      <c r="J35" s="384">
        <f>IF(I35=0,0,'2021'!H35/'2020'!H35-1)</f>
        <v>0</v>
      </c>
      <c r="K35" s="281">
        <f>'2021'!J35-'2020'!J35</f>
        <v>3</v>
      </c>
      <c r="L35" s="384">
        <f>'2021'!I35-'2020'!I35</f>
        <v>0.6</v>
      </c>
      <c r="M35" s="281">
        <f>'2021'!L35-'2020'!L35</f>
        <v>1</v>
      </c>
      <c r="N35" s="384">
        <f>'2021'!K35-'2020'!K35</f>
        <v>0.2</v>
      </c>
      <c r="O35" s="281">
        <f>IF('2020'!N35="-",0,'2021'!N35-'2020'!N35)</f>
        <v>1</v>
      </c>
      <c r="P35" s="384">
        <f>'2021'!M35-'2020'!M35</f>
        <v>1</v>
      </c>
      <c r="Q35" s="207"/>
      <c r="R35" s="208"/>
      <c r="S35" s="207"/>
      <c r="T35" s="208"/>
      <c r="U35" s="153" t="s">
        <v>21</v>
      </c>
      <c r="V35" s="150" t="s">
        <v>21</v>
      </c>
      <c r="W35" s="153" t="s">
        <v>21</v>
      </c>
      <c r="X35" s="157" t="s">
        <v>21</v>
      </c>
      <c r="Y35" s="121"/>
    </row>
    <row r="36" spans="1:25" x14ac:dyDescent="0.3">
      <c r="A36" s="123">
        <v>14</v>
      </c>
      <c r="B36" s="848"/>
      <c r="C36" s="807"/>
      <c r="D36" s="899"/>
      <c r="E36" s="339" t="s">
        <v>7</v>
      </c>
      <c r="F36" s="340" t="s">
        <v>60</v>
      </c>
      <c r="G36" s="341">
        <f>'2021'!G36-'2020'!G36</f>
        <v>20</v>
      </c>
      <c r="H36" s="377">
        <f>IF('2021'!G36=0,0,IF('2020'!G36=0,0,'2021'!G36/'2020'!G36-1))</f>
        <v>0.8</v>
      </c>
      <c r="I36" s="368">
        <f>'2021'!H36-'2020'!H36</f>
        <v>11</v>
      </c>
      <c r="J36" s="384">
        <f>IF(I36=0,0,'2021'!H36/'2020'!H36-1)</f>
        <v>0.73333333333333339</v>
      </c>
      <c r="K36" s="281">
        <f>'2021'!J36-'2020'!J36</f>
        <v>4.9999999999999991</v>
      </c>
      <c r="L36" s="384">
        <f>'2021'!I36-'2020'!I36</f>
        <v>-1.3333333333333364E-2</v>
      </c>
      <c r="M36" s="281">
        <f>'2021'!L36-'2020'!L36</f>
        <v>8</v>
      </c>
      <c r="N36" s="384">
        <f>'2021'!K36-'2020'!K36</f>
        <v>0.10666666666666666</v>
      </c>
      <c r="O36" s="281">
        <f>IF('2020'!N36="-",0,'2021'!N36-'2020'!N36)</f>
        <v>2</v>
      </c>
      <c r="P36" s="384">
        <f>'2021'!M36-'2020'!M36</f>
        <v>0</v>
      </c>
      <c r="Q36" s="207"/>
      <c r="R36" s="208"/>
      <c r="S36" s="207"/>
      <c r="T36" s="208"/>
      <c r="U36" s="153" t="s">
        <v>21</v>
      </c>
      <c r="V36" s="150" t="s">
        <v>21</v>
      </c>
      <c r="W36" s="153" t="s">
        <v>21</v>
      </c>
      <c r="X36" s="157" t="s">
        <v>21</v>
      </c>
      <c r="Y36" s="121"/>
    </row>
    <row r="37" spans="1:25" x14ac:dyDescent="0.3">
      <c r="A37" s="123">
        <v>15</v>
      </c>
      <c r="B37" s="848"/>
      <c r="C37" s="807"/>
      <c r="D37" s="899"/>
      <c r="E37" s="339" t="s">
        <v>132</v>
      </c>
      <c r="F37" s="340" t="s">
        <v>60</v>
      </c>
      <c r="G37" s="341">
        <f>'2021'!G37-'2020'!G37</f>
        <v>-1</v>
      </c>
      <c r="H37" s="377">
        <f>IF('2021'!G37=0,0,IF('2020'!G37=0,0,'2021'!G37/'2020'!G37-1))</f>
        <v>-6.6666666666666652E-2</v>
      </c>
      <c r="I37" s="368">
        <f>'2021'!H37-'2020'!H37</f>
        <v>0</v>
      </c>
      <c r="J37" s="384">
        <f>IF(I37=0,0,'2021'!H37/'2020'!H37-1)</f>
        <v>0</v>
      </c>
      <c r="K37" s="281">
        <f>'2021'!J37-'2020'!J37</f>
        <v>1.0499999999999998</v>
      </c>
      <c r="L37" s="384">
        <f>'2021'!I37-'2020'!I37</f>
        <v>8.4285714285714269E-2</v>
      </c>
      <c r="M37" s="281">
        <f>'2021'!L37-'2020'!L37</f>
        <v>0.95</v>
      </c>
      <c r="N37" s="384">
        <f>'2021'!K37-'2020'!K37</f>
        <v>7.2857142857142843E-2</v>
      </c>
      <c r="O37" s="281">
        <f>IF('2020'!N37="-",0,'2021'!N37-'2020'!N37)</f>
        <v>1</v>
      </c>
      <c r="P37" s="384">
        <f>'2021'!M37-'2020'!M37</f>
        <v>0.5</v>
      </c>
      <c r="Q37" s="207"/>
      <c r="R37" s="208"/>
      <c r="S37" s="207"/>
      <c r="T37" s="208"/>
      <c r="U37" s="153" t="s">
        <v>21</v>
      </c>
      <c r="V37" s="150" t="s">
        <v>21</v>
      </c>
      <c r="W37" s="153" t="s">
        <v>21</v>
      </c>
      <c r="X37" s="157" t="s">
        <v>21</v>
      </c>
      <c r="Y37" s="121"/>
    </row>
    <row r="38" spans="1:25" x14ac:dyDescent="0.3">
      <c r="A38" s="123">
        <v>16</v>
      </c>
      <c r="B38" s="848"/>
      <c r="C38" s="807"/>
      <c r="D38" s="899"/>
      <c r="E38" s="339" t="s">
        <v>8</v>
      </c>
      <c r="F38" s="340" t="s">
        <v>60</v>
      </c>
      <c r="G38" s="341">
        <f>'2021'!G38-'2020'!G38</f>
        <v>15</v>
      </c>
      <c r="H38" s="377">
        <f>IF('2021'!G38=0,0,IF('2020'!G38=0,0,'2021'!G38/'2020'!G38-1))</f>
        <v>0.9375</v>
      </c>
      <c r="I38" s="368">
        <f>'2021'!H38-'2020'!H38</f>
        <v>9</v>
      </c>
      <c r="J38" s="384">
        <f>IF(I38=0,0,'2021'!H38/'2020'!H38-1)</f>
        <v>0.64285714285714279</v>
      </c>
      <c r="K38" s="281">
        <f>'2021'!J38-'2020'!J38</f>
        <v>10.92</v>
      </c>
      <c r="L38" s="384">
        <f>'2021'!I38-'2020'!I38</f>
        <v>0.1683870967741935</v>
      </c>
      <c r="M38" s="281">
        <f>'2021'!L38-'2020'!L38</f>
        <v>2.92</v>
      </c>
      <c r="N38" s="384">
        <f>'2021'!K38-'2020'!K38</f>
        <v>3.1290322580645152E-2</v>
      </c>
      <c r="O38" s="281">
        <f>IF('2020'!N38="-",0,'2021'!N38-'2020'!N38)</f>
        <v>2.92</v>
      </c>
      <c r="P38" s="384">
        <f>'2021'!M38-'2020'!M38</f>
        <v>0</v>
      </c>
      <c r="Q38" s="207"/>
      <c r="R38" s="208"/>
      <c r="S38" s="207"/>
      <c r="T38" s="208"/>
      <c r="U38" s="153" t="s">
        <v>21</v>
      </c>
      <c r="V38" s="150" t="s">
        <v>21</v>
      </c>
      <c r="W38" s="153" t="s">
        <v>21</v>
      </c>
      <c r="X38" s="157" t="s">
        <v>21</v>
      </c>
      <c r="Y38" s="121"/>
    </row>
    <row r="39" spans="1:25" x14ac:dyDescent="0.3">
      <c r="A39" s="123">
        <v>17</v>
      </c>
      <c r="B39" s="848"/>
      <c r="C39" s="807"/>
      <c r="D39" s="899"/>
      <c r="E39" s="339" t="s">
        <v>6</v>
      </c>
      <c r="F39" s="340" t="s">
        <v>60</v>
      </c>
      <c r="G39" s="341">
        <f>'2021'!G39-'2020'!G39</f>
        <v>5</v>
      </c>
      <c r="H39" s="377">
        <f>IF('2021'!G39=0,0,IF('2020'!G39=0,0,'2021'!G39/'2020'!G39-1))</f>
        <v>0.71428571428571419</v>
      </c>
      <c r="I39" s="368">
        <f>'2021'!H39-'2020'!H39</f>
        <v>2</v>
      </c>
      <c r="J39" s="384">
        <f>IF(I39=0,0,'2021'!H39/'2020'!H39-1)</f>
        <v>0.39999999999999991</v>
      </c>
      <c r="K39" s="281">
        <f>'2021'!J39-'2020'!J39</f>
        <v>3.02</v>
      </c>
      <c r="L39" s="384">
        <f>'2021'!I39-'2020'!I39</f>
        <v>0.1933333333333333</v>
      </c>
      <c r="M39" s="281">
        <f>'2021'!L39-'2020'!L39</f>
        <v>4</v>
      </c>
      <c r="N39" s="384">
        <f>'2021'!K39-'2020'!K39</f>
        <v>0.33333333333333331</v>
      </c>
      <c r="O39" s="281">
        <f>IF('2020'!N39="-",0,'2021'!N39-'2020'!N39)</f>
        <v>2</v>
      </c>
      <c r="P39" s="384">
        <f>'2021'!M39-'2020'!M39</f>
        <v>0.5</v>
      </c>
      <c r="Q39" s="207"/>
      <c r="R39" s="208"/>
      <c r="S39" s="207"/>
      <c r="T39" s="208"/>
      <c r="U39" s="153" t="s">
        <v>21</v>
      </c>
      <c r="V39" s="150" t="s">
        <v>21</v>
      </c>
      <c r="W39" s="153" t="s">
        <v>21</v>
      </c>
      <c r="X39" s="157" t="s">
        <v>21</v>
      </c>
      <c r="Y39" s="121"/>
    </row>
    <row r="40" spans="1:25" x14ac:dyDescent="0.3">
      <c r="B40" s="848"/>
      <c r="C40" s="807"/>
      <c r="D40" s="899"/>
      <c r="E40" s="680"/>
      <c r="F40" s="681"/>
      <c r="G40" s="682"/>
      <c r="H40" s="683"/>
      <c r="I40" s="684"/>
      <c r="J40" s="685"/>
      <c r="K40" s="686"/>
      <c r="L40" s="685"/>
      <c r="M40" s="686"/>
      <c r="N40" s="685"/>
      <c r="O40" s="686"/>
      <c r="P40" s="685"/>
      <c r="Q40" s="687"/>
      <c r="R40" s="688"/>
      <c r="S40" s="687"/>
      <c r="T40" s="688"/>
      <c r="U40" s="689"/>
      <c r="V40" s="690"/>
      <c r="W40" s="689"/>
      <c r="X40" s="691"/>
      <c r="Y40" s="121"/>
    </row>
    <row r="41" spans="1:25" x14ac:dyDescent="0.3">
      <c r="B41" s="848"/>
      <c r="C41" s="807"/>
      <c r="D41" s="899"/>
      <c r="E41" s="680"/>
      <c r="F41" s="681"/>
      <c r="G41" s="682"/>
      <c r="H41" s="683"/>
      <c r="I41" s="684"/>
      <c r="J41" s="685"/>
      <c r="K41" s="686"/>
      <c r="L41" s="685"/>
      <c r="M41" s="686"/>
      <c r="N41" s="685"/>
      <c r="O41" s="686"/>
      <c r="P41" s="685"/>
      <c r="Q41" s="687"/>
      <c r="R41" s="688"/>
      <c r="S41" s="687"/>
      <c r="T41" s="688"/>
      <c r="U41" s="689"/>
      <c r="V41" s="690"/>
      <c r="W41" s="689"/>
      <c r="X41" s="691"/>
      <c r="Y41" s="121"/>
    </row>
    <row r="42" spans="1:25" x14ac:dyDescent="0.3">
      <c r="A42" s="123">
        <v>18</v>
      </c>
      <c r="B42" s="848"/>
      <c r="C42" s="807"/>
      <c r="D42" s="899"/>
      <c r="E42" s="342" t="s">
        <v>9</v>
      </c>
      <c r="F42" s="343" t="s">
        <v>60</v>
      </c>
      <c r="G42" s="344">
        <f>'2021'!G42-'2020'!G42</f>
        <v>-3</v>
      </c>
      <c r="H42" s="378">
        <f>IF('2021'!G42=0,0,IF('2020'!G42=0,0,'2021'!G42/'2020'!G42-1))</f>
        <v>-0.15000000000000002</v>
      </c>
      <c r="I42" s="369">
        <f>'2021'!H42-'2020'!H42</f>
        <v>0</v>
      </c>
      <c r="J42" s="385">
        <f>IF(I42=0,0,'2021'!H42/'2020'!H42-1)</f>
        <v>0</v>
      </c>
      <c r="K42" s="282">
        <f>'2021'!J42-'2020'!J42</f>
        <v>2</v>
      </c>
      <c r="L42" s="385">
        <f>'2021'!I42-'2020'!I42</f>
        <v>0.16176470588235292</v>
      </c>
      <c r="M42" s="282">
        <f>'2021'!L42-'2020'!L42</f>
        <v>1</v>
      </c>
      <c r="N42" s="385">
        <f>'2021'!K42-'2020'!K42</f>
        <v>8.5294117647058826E-2</v>
      </c>
      <c r="O42" s="282">
        <f>IF('2020'!N42="-",0,'2021'!N42-'2020'!N42)</f>
        <v>1.0000000000000009E-2</v>
      </c>
      <c r="P42" s="385">
        <f>'2021'!M42-'2020'!M42</f>
        <v>-8.0000000000000016E-2</v>
      </c>
      <c r="Q42" s="209"/>
      <c r="R42" s="210"/>
      <c r="S42" s="209"/>
      <c r="T42" s="210"/>
      <c r="U42" s="161" t="s">
        <v>21</v>
      </c>
      <c r="V42" s="158" t="s">
        <v>21</v>
      </c>
      <c r="W42" s="161" t="s">
        <v>21</v>
      </c>
      <c r="X42" s="198" t="s">
        <v>21</v>
      </c>
      <c r="Y42" s="121"/>
    </row>
    <row r="43" spans="1:25" ht="16.2" thickBot="1" x14ac:dyDescent="0.35">
      <c r="B43" s="828"/>
      <c r="C43" s="832"/>
      <c r="D43" s="349" t="s">
        <v>138</v>
      </c>
      <c r="E43" s="350"/>
      <c r="F43" s="351"/>
      <c r="G43" s="348">
        <f>SUM(G33:G42)</f>
        <v>39</v>
      </c>
      <c r="H43" s="379">
        <f>G43/SUM('2020'!G33:G42)</f>
        <v>0.24528301886792453</v>
      </c>
      <c r="I43" s="370">
        <f>SUM(I33:I42)</f>
        <v>33</v>
      </c>
      <c r="J43" s="386">
        <f>I43/SUM('2020'!H33:H42)</f>
        <v>0.3473684210526316</v>
      </c>
      <c r="K43" s="285">
        <f>SUM(K33:K42)</f>
        <v>49.03</v>
      </c>
      <c r="L43" s="386">
        <f>K43/SUM('2020'!J33:J42)</f>
        <v>1.0902824104958861</v>
      </c>
      <c r="M43" s="285">
        <f>SUM(M33:M42)</f>
        <v>26.979999999999997</v>
      </c>
      <c r="N43" s="386">
        <f>M43/SUM('2020'!L33:L42)</f>
        <v>1.41850683491062</v>
      </c>
      <c r="O43" s="285">
        <f>SUM(O33:O42)</f>
        <v>16.040000000000003</v>
      </c>
      <c r="P43" s="386">
        <f>O43/SUM('2020'!N33:N42)</f>
        <v>1.2376543209876545</v>
      </c>
      <c r="Q43" s="279"/>
      <c r="R43" s="286"/>
      <c r="S43" s="279"/>
      <c r="T43" s="286"/>
      <c r="U43" s="287"/>
      <c r="V43" s="288"/>
      <c r="W43" s="287"/>
      <c r="X43" s="289"/>
      <c r="Y43" s="121"/>
    </row>
    <row r="44" spans="1:25" s="53" customFormat="1" ht="21" customHeight="1" thickBot="1" x14ac:dyDescent="0.35">
      <c r="A44" s="125"/>
      <c r="B44" s="241" t="s">
        <v>78</v>
      </c>
      <c r="C44" s="242"/>
      <c r="D44" s="353">
        <f>SUM(D5:D42)</f>
        <v>11</v>
      </c>
      <c r="E44" s="354">
        <f>COUNT(A5:A43)</f>
        <v>28</v>
      </c>
      <c r="F44" s="355">
        <f>COUNT(K5:K42)</f>
        <v>30</v>
      </c>
      <c r="G44" s="356">
        <f>G5+G32+G43</f>
        <v>149</v>
      </c>
      <c r="H44" s="381">
        <f>G44/'2020'!G44</f>
        <v>0.37817258883248733</v>
      </c>
      <c r="I44" s="372">
        <f>I5+I32+I43</f>
        <v>146</v>
      </c>
      <c r="J44" s="388">
        <f>I44/'2020'!H44</f>
        <v>0.62127659574468086</v>
      </c>
      <c r="K44" s="290">
        <f>K5+K32+K43</f>
        <v>71.03</v>
      </c>
      <c r="L44" s="542">
        <f>K44/'2020'!J44</f>
        <v>0.79835899741485894</v>
      </c>
      <c r="M44" s="290">
        <f>M5+M32+M43</f>
        <v>51.98</v>
      </c>
      <c r="N44" s="542">
        <f>M44/'2020'!L44</f>
        <v>0.58391372725230273</v>
      </c>
      <c r="O44" s="290">
        <f>O5+O32+O43</f>
        <v>16.040000000000003</v>
      </c>
      <c r="P44" s="388">
        <f>O44/'2020'!N44</f>
        <v>1.072192513368984</v>
      </c>
      <c r="Q44" s="291"/>
      <c r="R44" s="292"/>
      <c r="S44" s="291"/>
      <c r="T44" s="292"/>
      <c r="U44" s="293"/>
      <c r="V44" s="294"/>
      <c r="W44" s="293"/>
      <c r="X44" s="295"/>
      <c r="Y44" s="122"/>
    </row>
    <row r="45" spans="1:25" ht="15" customHeight="1" x14ac:dyDescent="0.3">
      <c r="A45" s="123">
        <v>19</v>
      </c>
      <c r="B45" s="837" t="s">
        <v>84</v>
      </c>
      <c r="C45" s="840" t="s">
        <v>76</v>
      </c>
      <c r="D45" s="900">
        <f>'2021'!D45-'2020'!D45</f>
        <v>-25</v>
      </c>
      <c r="E45" s="336" t="s">
        <v>25</v>
      </c>
      <c r="F45" s="337" t="s">
        <v>60</v>
      </c>
      <c r="G45" s="338"/>
      <c r="H45" s="376"/>
      <c r="I45" s="367"/>
      <c r="J45" s="383"/>
      <c r="K45" s="280"/>
      <c r="L45" s="383"/>
      <c r="M45" s="280"/>
      <c r="N45" s="383"/>
      <c r="O45" s="280"/>
      <c r="P45" s="383"/>
      <c r="Q45" s="296"/>
      <c r="R45" s="297"/>
      <c r="S45" s="296"/>
      <c r="T45" s="297"/>
      <c r="U45" s="298"/>
      <c r="V45" s="254"/>
      <c r="W45" s="298"/>
      <c r="X45" s="299"/>
      <c r="Y45" s="121"/>
    </row>
    <row r="46" spans="1:25" ht="15" customHeight="1" x14ac:dyDescent="0.3">
      <c r="A46" s="123">
        <v>20</v>
      </c>
      <c r="B46" s="838"/>
      <c r="C46" s="841"/>
      <c r="D46" s="899"/>
      <c r="E46" s="339" t="s">
        <v>26</v>
      </c>
      <c r="F46" s="340" t="s">
        <v>60</v>
      </c>
      <c r="G46" s="341"/>
      <c r="H46" s="377"/>
      <c r="I46" s="368"/>
      <c r="J46" s="384"/>
      <c r="K46" s="281"/>
      <c r="L46" s="384"/>
      <c r="M46" s="281"/>
      <c r="N46" s="384"/>
      <c r="O46" s="281"/>
      <c r="P46" s="384"/>
      <c r="Q46" s="207"/>
      <c r="R46" s="208"/>
      <c r="S46" s="207"/>
      <c r="T46" s="208"/>
      <c r="U46" s="154"/>
      <c r="V46" s="155"/>
      <c r="W46" s="154"/>
      <c r="X46" s="156"/>
      <c r="Y46" s="121"/>
    </row>
    <row r="47" spans="1:25" ht="15" customHeight="1" x14ac:dyDescent="0.3">
      <c r="A47" s="123">
        <v>21</v>
      </c>
      <c r="B47" s="838"/>
      <c r="C47" s="841"/>
      <c r="D47" s="899"/>
      <c r="E47" s="339" t="s">
        <v>58</v>
      </c>
      <c r="F47" s="340" t="s">
        <v>60</v>
      </c>
      <c r="G47" s="341">
        <f>'2021'!G47-'2020'!G47</f>
        <v>6</v>
      </c>
      <c r="H47" s="377">
        <f>IF('2021'!G47=0,0,IF('2020'!G47=0,0,'2021'!G47/'2020'!G47-1))</f>
        <v>2.7027027027026973E-2</v>
      </c>
      <c r="I47" s="368">
        <f>'2021'!H47-'2020'!H47</f>
        <v>59</v>
      </c>
      <c r="J47" s="384">
        <f>IF(I47=0,0,'2021'!H47/'2020'!H47-1)</f>
        <v>0.89393939393939403</v>
      </c>
      <c r="K47" s="281">
        <f>'2021'!J47-'2020'!J47</f>
        <v>-47</v>
      </c>
      <c r="L47" s="384">
        <f>IF('2021'!J47=0,0,IF('2020'!J47=0,0,'2021'!J47/'2020'!J47-1))</f>
        <v>-0.34306569343065696</v>
      </c>
      <c r="M47" s="281">
        <f>'2021'!L47-'2020'!L47</f>
        <v>3</v>
      </c>
      <c r="N47" s="384">
        <f>IF('2021'!L47=0,0,IF('2020'!L47=0,0,'2021'!L47/'2020'!L47-1))</f>
        <v>3.4090909090909172E-2</v>
      </c>
      <c r="O47" s="281">
        <f>IF('2020'!N47="-",0,'2021'!N47-'2020'!N47)</f>
        <v>0</v>
      </c>
      <c r="P47" s="384">
        <f>IF('2021'!N47=0,0,IF('2020'!N47="-",0,'2021'!N47/'2020'!N47-1))</f>
        <v>0</v>
      </c>
      <c r="Q47" s="207"/>
      <c r="R47" s="208"/>
      <c r="S47" s="207"/>
      <c r="T47" s="208"/>
      <c r="U47" s="153" t="s">
        <v>21</v>
      </c>
      <c r="V47" s="150" t="s">
        <v>21</v>
      </c>
      <c r="W47" s="153" t="s">
        <v>21</v>
      </c>
      <c r="X47" s="157" t="s">
        <v>21</v>
      </c>
      <c r="Y47" s="121"/>
    </row>
    <row r="48" spans="1:25" ht="15" customHeight="1" x14ac:dyDescent="0.3">
      <c r="A48" s="123">
        <v>22</v>
      </c>
      <c r="B48" s="838"/>
      <c r="C48" s="841"/>
      <c r="D48" s="899"/>
      <c r="E48" s="357" t="s">
        <v>24</v>
      </c>
      <c r="F48" s="358" t="s">
        <v>62</v>
      </c>
      <c r="G48" s="341">
        <f>'2021'!G48-'2020'!G48</f>
        <v>35</v>
      </c>
      <c r="H48" s="377">
        <f>IF('2021'!G48=0,0,IF('2020'!G48=0,0,'2021'!G48/'2020'!G48-1))</f>
        <v>0.33018867924528306</v>
      </c>
      <c r="I48" s="368">
        <f>'2021'!H48-'2020'!H48</f>
        <v>45</v>
      </c>
      <c r="J48" s="384">
        <f>IF(I48=0,0,'2021'!H48/'2020'!H48-1)</f>
        <v>1.2857142857142856</v>
      </c>
      <c r="K48" s="281">
        <f>'2021'!J48-'2020'!J48</f>
        <v>26</v>
      </c>
      <c r="L48" s="384">
        <f>IF('2021'!J48=0,0,IF('2020'!J48=0,0,'2021'!J48/'2020'!J48-1))</f>
        <v>0.66666666666666674</v>
      </c>
      <c r="M48" s="281">
        <f>'2021'!L48-'2020'!L48</f>
        <v>14</v>
      </c>
      <c r="N48" s="384">
        <f>IF('2021'!L48=0,0,IF('2020'!L48=0,0,'2021'!L48/'2020'!L48-1))</f>
        <v>0.29166666666666674</v>
      </c>
      <c r="O48" s="281">
        <f>IF('2020'!N48="-",0,'2021'!N48-'2020'!N48)</f>
        <v>0</v>
      </c>
      <c r="P48" s="384">
        <f>IF('2021'!N48=0,0,IF('2020'!N48="-",0,'2021'!N48/'2020'!N48-1))</f>
        <v>0</v>
      </c>
      <c r="Q48" s="207"/>
      <c r="R48" s="208"/>
      <c r="S48" s="207"/>
      <c r="T48" s="208"/>
      <c r="U48" s="154"/>
      <c r="V48" s="155"/>
      <c r="W48" s="154"/>
      <c r="X48" s="156"/>
      <c r="Y48" s="121"/>
    </row>
    <row r="49" spans="1:25" ht="15" customHeight="1" x14ac:dyDescent="0.3">
      <c r="A49" s="123">
        <v>23</v>
      </c>
      <c r="B49" s="838"/>
      <c r="C49" s="841"/>
      <c r="D49" s="899"/>
      <c r="E49" s="339" t="s">
        <v>23</v>
      </c>
      <c r="F49" s="340" t="s">
        <v>60</v>
      </c>
      <c r="G49" s="341">
        <f>'2021'!G49-'2020'!G49</f>
        <v>28</v>
      </c>
      <c r="H49" s="377">
        <f>IF('2021'!G49=0,0,IF('2020'!G49=0,0,'2021'!G49/'2020'!G49-1))</f>
        <v>0.13592233009708732</v>
      </c>
      <c r="I49" s="368">
        <f>'2021'!H49-'2020'!H49</f>
        <v>57</v>
      </c>
      <c r="J49" s="384">
        <f>IF(I49=0,0,'2021'!H49/'2020'!H49-1)</f>
        <v>0.81428571428571428</v>
      </c>
      <c r="K49" s="281">
        <f>'2021'!J49-'2020'!J49</f>
        <v>12</v>
      </c>
      <c r="L49" s="384">
        <f>IF('2021'!J49=0,0,IF('2020'!J49=0,0,'2021'!J49/'2020'!J49-1))</f>
        <v>0.13793103448275867</v>
      </c>
      <c r="M49" s="281">
        <f>'2021'!L49-'2020'!L49</f>
        <v>29</v>
      </c>
      <c r="N49" s="384">
        <f>IF('2021'!L49=0,0,IF('2020'!L49=0,0,'2021'!L49/'2020'!L49-1))</f>
        <v>0.34939759036144569</v>
      </c>
      <c r="O49" s="281">
        <f>IF('2020'!N49="-",0,'2021'!N49-'2020'!N49)</f>
        <v>0</v>
      </c>
      <c r="P49" s="384">
        <f>IF('2021'!N49=0,0,IF('2020'!N49="-",0,'2021'!N49/'2020'!N49-1))</f>
        <v>0</v>
      </c>
      <c r="Q49" s="207"/>
      <c r="R49" s="208"/>
      <c r="S49" s="207"/>
      <c r="T49" s="208"/>
      <c r="U49" s="153" t="s">
        <v>21</v>
      </c>
      <c r="V49" s="150" t="s">
        <v>21</v>
      </c>
      <c r="W49" s="153" t="s">
        <v>21</v>
      </c>
      <c r="X49" s="157" t="s">
        <v>21</v>
      </c>
      <c r="Y49" s="121"/>
    </row>
    <row r="50" spans="1:25" ht="15" customHeight="1" x14ac:dyDescent="0.3">
      <c r="B50" s="838"/>
      <c r="C50" s="841"/>
      <c r="D50" s="899"/>
      <c r="E50" s="680"/>
      <c r="F50" s="681"/>
      <c r="G50" s="682"/>
      <c r="H50" s="683"/>
      <c r="I50" s="684"/>
      <c r="J50" s="685"/>
      <c r="K50" s="686"/>
      <c r="L50" s="685"/>
      <c r="M50" s="686"/>
      <c r="N50" s="685"/>
      <c r="O50" s="686"/>
      <c r="P50" s="685"/>
      <c r="Q50" s="687"/>
      <c r="R50" s="688"/>
      <c r="S50" s="687"/>
      <c r="T50" s="688"/>
      <c r="U50" s="689"/>
      <c r="V50" s="690"/>
      <c r="W50" s="689"/>
      <c r="X50" s="691"/>
      <c r="Y50" s="121"/>
    </row>
    <row r="51" spans="1:25" ht="15" customHeight="1" x14ac:dyDescent="0.3">
      <c r="B51" s="838"/>
      <c r="C51" s="841"/>
      <c r="D51" s="899"/>
      <c r="E51" s="680"/>
      <c r="F51" s="681"/>
      <c r="G51" s="682"/>
      <c r="H51" s="683"/>
      <c r="I51" s="684"/>
      <c r="J51" s="685"/>
      <c r="K51" s="686"/>
      <c r="L51" s="685"/>
      <c r="M51" s="686"/>
      <c r="N51" s="685"/>
      <c r="O51" s="686"/>
      <c r="P51" s="685"/>
      <c r="Q51" s="687"/>
      <c r="R51" s="688"/>
      <c r="S51" s="687"/>
      <c r="T51" s="688"/>
      <c r="U51" s="689"/>
      <c r="V51" s="690"/>
      <c r="W51" s="689"/>
      <c r="X51" s="691"/>
      <c r="Y51" s="121"/>
    </row>
    <row r="52" spans="1:25" ht="15" customHeight="1" x14ac:dyDescent="0.3">
      <c r="A52" s="123">
        <v>24</v>
      </c>
      <c r="B52" s="838"/>
      <c r="C52" s="841"/>
      <c r="D52" s="899"/>
      <c r="E52" s="342" t="s">
        <v>22</v>
      </c>
      <c r="F52" s="343" t="s">
        <v>62</v>
      </c>
      <c r="G52" s="344">
        <f>'2021'!G52-'2020'!G52</f>
        <v>-16</v>
      </c>
      <c r="H52" s="378">
        <f>IF('2021'!G52=0,0,IF('2020'!G52=0,0,'2021'!G52/'2020'!G52-1))</f>
        <v>-9.2485549132947931E-2</v>
      </c>
      <c r="I52" s="369">
        <f>'2021'!H52-'2020'!H52</f>
        <v>20</v>
      </c>
      <c r="J52" s="385">
        <f>IF(I52=0,0,'2021'!H52/'2020'!H52-1)</f>
        <v>0.32258064516129026</v>
      </c>
      <c r="K52" s="282">
        <f>'2021'!J52-'2020'!J52</f>
        <v>-3</v>
      </c>
      <c r="L52" s="385">
        <f>IF('2021'!J52=0,0,IF('2020'!J52=0,0,'2021'!J52/'2020'!J52-1))</f>
        <v>-7.6923076923076872E-2</v>
      </c>
      <c r="M52" s="282">
        <f>'2021'!L52-'2020'!L52</f>
        <v>-26</v>
      </c>
      <c r="N52" s="385">
        <f>IF('2021'!L52=0,0,IF('2020'!L52=0,0,'2021'!L52/'2020'!L52-1))</f>
        <v>-0.34666666666666668</v>
      </c>
      <c r="O52" s="282">
        <f>IF('2020'!N52="-",0,'2021'!N52-'2020'!N52)</f>
        <v>0</v>
      </c>
      <c r="P52" s="385">
        <f>IF('2021'!N52=0,0,IF('2020'!N52="-",0,'2021'!N52/'2020'!N52-1))</f>
        <v>0</v>
      </c>
      <c r="Q52" s="209"/>
      <c r="R52" s="210"/>
      <c r="S52" s="209"/>
      <c r="T52" s="210"/>
      <c r="U52" s="162"/>
      <c r="V52" s="163"/>
      <c r="W52" s="162"/>
      <c r="X52" s="164"/>
      <c r="Y52" s="121"/>
    </row>
    <row r="53" spans="1:25" ht="15.6" x14ac:dyDescent="0.3">
      <c r="B53" s="839"/>
      <c r="C53" s="842"/>
      <c r="D53" s="364" t="s">
        <v>138</v>
      </c>
      <c r="E53" s="346"/>
      <c r="F53" s="347"/>
      <c r="G53" s="348">
        <f>SUM(G45:G52)</f>
        <v>53</v>
      </c>
      <c r="H53" s="379">
        <f>G53/SUM('2020'!G47:G52)</f>
        <v>7.4964639321074958E-2</v>
      </c>
      <c r="I53" s="370">
        <f>SUM(I45:I52)</f>
        <v>181</v>
      </c>
      <c r="J53" s="386">
        <f>I53/SUM('2020'!H47:H52)</f>
        <v>0.77682403433476399</v>
      </c>
      <c r="K53" s="285">
        <f>SUM(K45:K52)</f>
        <v>-12</v>
      </c>
      <c r="L53" s="386">
        <f>K53/SUM('2020'!J47:J52)</f>
        <v>-3.9735099337748346E-2</v>
      </c>
      <c r="M53" s="285">
        <f>SUM(M45:M52)</f>
        <v>20</v>
      </c>
      <c r="N53" s="386">
        <f>M53/SUM('2020'!L47:L52)</f>
        <v>6.8027210884353748E-2</v>
      </c>
      <c r="O53" s="285">
        <f>SUM(O45:O52)</f>
        <v>0</v>
      </c>
      <c r="P53" s="386" t="e">
        <f>O53/SUM('2020'!N47:N52)</f>
        <v>#DIV/0!</v>
      </c>
      <c r="Q53" s="211"/>
      <c r="R53" s="212"/>
      <c r="S53" s="211"/>
      <c r="T53" s="212"/>
      <c r="U53" s="166"/>
      <c r="V53" s="167"/>
      <c r="W53" s="166"/>
      <c r="X53" s="168"/>
      <c r="Y53" s="121"/>
    </row>
    <row r="54" spans="1:25" x14ac:dyDescent="0.3">
      <c r="A54" s="123">
        <v>25</v>
      </c>
      <c r="B54" s="838" t="s">
        <v>172</v>
      </c>
      <c r="C54" s="841" t="s">
        <v>76</v>
      </c>
      <c r="D54" s="894">
        <f>'2021'!D46-'2020'!D54</f>
        <v>-12</v>
      </c>
      <c r="E54" s="336" t="s">
        <v>171</v>
      </c>
      <c r="F54" s="337" t="s">
        <v>62</v>
      </c>
      <c r="G54" s="338">
        <f>'2021'!G46-'2020'!G54</f>
        <v>0</v>
      </c>
      <c r="H54" s="376">
        <f>IF('2021'!G46=0,0,IF('2020'!G54=0,0,'2021'!G46/'2020'!G54-1))</f>
        <v>0</v>
      </c>
      <c r="I54" s="367">
        <f>'2021'!H46-'2020'!H54</f>
        <v>0</v>
      </c>
      <c r="J54" s="383">
        <f>IF(I54=0,0,'2021'!H46/'2020'!H54-1)</f>
        <v>0</v>
      </c>
      <c r="K54" s="280">
        <f>'2021'!J46-'2020'!J54</f>
        <v>0</v>
      </c>
      <c r="L54" s="383">
        <f>IF('2021'!J46=0,0,IF('2020'!J54=0,0,'2021'!J46/'2020'!J54-1))</f>
        <v>0</v>
      </c>
      <c r="M54" s="280">
        <f>'2021'!L46-'2020'!L54</f>
        <v>0</v>
      </c>
      <c r="N54" s="383">
        <f>IF('2021'!L46=0,0,IF('2020'!L54=0,0,'2021'!L46/'2020'!L54-1))</f>
        <v>0</v>
      </c>
      <c r="O54" s="280" t="e">
        <f>IF('2020'!N54="-",0,'2021'!N46-'2020'!N54)</f>
        <v>#VALUE!</v>
      </c>
      <c r="P54" s="383" t="e">
        <f>IF('2021'!N46=0,0,IF('2020'!N54="-",0,'2021'!N46/'2020'!N54-1))</f>
        <v>#VALUE!</v>
      </c>
      <c r="Q54" s="205"/>
      <c r="R54" s="206"/>
      <c r="S54" s="205"/>
      <c r="T54" s="206"/>
      <c r="U54" s="148">
        <f>'2021'!S46-'2020'!S54</f>
        <v>0</v>
      </c>
      <c r="V54" s="418">
        <f>IF('2021'!S46=0,0,IF('2020'!S54=0,0,'2021'!S46/'2020'!S54-1))</f>
        <v>0</v>
      </c>
      <c r="W54" s="148">
        <f>'2021'!U46-'2020'!U54</f>
        <v>0</v>
      </c>
      <c r="X54" s="419">
        <f>IF('2021'!U46=0,0,IF('2020'!U54=0,0,'2021'!U46/'2020'!U54-1))</f>
        <v>0</v>
      </c>
      <c r="Y54" s="121"/>
    </row>
    <row r="55" spans="1:25" x14ac:dyDescent="0.3">
      <c r="A55" s="123">
        <v>26</v>
      </c>
      <c r="B55" s="838"/>
      <c r="C55" s="841"/>
      <c r="D55" s="895"/>
      <c r="E55" s="339" t="s">
        <v>171</v>
      </c>
      <c r="F55" s="340" t="s">
        <v>62</v>
      </c>
      <c r="G55" s="341">
        <f>'2021'!G47-'2020'!G55</f>
        <v>228</v>
      </c>
      <c r="H55" s="377">
        <f>IF('2021'!G47=0,0,IF('2020'!G55=0,0,'2021'!G47/'2020'!G55-1))</f>
        <v>0</v>
      </c>
      <c r="I55" s="368">
        <f>'2021'!H47-'2020'!H55</f>
        <v>125</v>
      </c>
      <c r="J55" s="384" t="e">
        <f>IF(I55=0,0,'2021'!H47/'2020'!H55-1)</f>
        <v>#DIV/0!</v>
      </c>
      <c r="K55" s="281">
        <f>'2021'!J47-'2020'!J55</f>
        <v>90</v>
      </c>
      <c r="L55" s="384">
        <f>IF('2021'!J47=0,0,IF('2020'!J55=0,0,'2021'!J47/'2020'!J55-1))</f>
        <v>0</v>
      </c>
      <c r="M55" s="281">
        <f>'2021'!L47-'2020'!L55</f>
        <v>91</v>
      </c>
      <c r="N55" s="384">
        <f>IF('2021'!L47=0,0,IF('2020'!L55=0,0,'2021'!L47/'2020'!L55-1))</f>
        <v>0</v>
      </c>
      <c r="O55" s="281" t="e">
        <f>IF('2020'!N55="-",0,'2021'!N47-'2020'!N55)</f>
        <v>#VALUE!</v>
      </c>
      <c r="P55" s="384" t="e">
        <f>IF('2021'!N47=0,0,IF('2020'!N55="-",0,'2021'!N47/'2020'!N55-1))</f>
        <v>#VALUE!</v>
      </c>
      <c r="Q55" s="207"/>
      <c r="R55" s="208"/>
      <c r="S55" s="207"/>
      <c r="T55" s="208"/>
      <c r="U55" s="154" t="e">
        <f>'2021'!S47-'2020'!S55</f>
        <v>#VALUE!</v>
      </c>
      <c r="V55" s="420">
        <f>IF('2021'!S47=0,0,IF('2020'!S55=0,0,'2021'!S47/'2020'!S55-1))</f>
        <v>0</v>
      </c>
      <c r="W55" s="154" t="e">
        <f>'2021'!U47-'2020'!U55</f>
        <v>#VALUE!</v>
      </c>
      <c r="X55" s="422">
        <f>IF('2021'!U47=0,0,IF('2020'!U55=0,0,'2021'!U47/'2020'!U55-1))</f>
        <v>0</v>
      </c>
      <c r="Y55" s="121"/>
    </row>
    <row r="56" spans="1:25" x14ac:dyDescent="0.3">
      <c r="A56" s="123">
        <v>27</v>
      </c>
      <c r="B56" s="838"/>
      <c r="C56" s="841"/>
      <c r="D56" s="895"/>
      <c r="E56" s="339" t="s">
        <v>171</v>
      </c>
      <c r="F56" s="340" t="s">
        <v>62</v>
      </c>
      <c r="G56" s="341">
        <f>'2021'!G48-'2020'!G56</f>
        <v>141</v>
      </c>
      <c r="H56" s="377">
        <f>IF('2021'!G48=0,0,IF('2020'!G56=0,0,'2021'!G48/'2020'!G56-1))</f>
        <v>0</v>
      </c>
      <c r="I56" s="368">
        <f>'2021'!H48-'2020'!H56</f>
        <v>80</v>
      </c>
      <c r="J56" s="384" t="e">
        <f>IF(I56=0,0,'2021'!H48/'2020'!H56-1)</f>
        <v>#DIV/0!</v>
      </c>
      <c r="K56" s="281">
        <f>'2021'!J48-'2020'!J56</f>
        <v>65</v>
      </c>
      <c r="L56" s="384">
        <f>IF('2021'!J48=0,0,IF('2020'!J56=0,0,'2021'!J48/'2020'!J56-1))</f>
        <v>0</v>
      </c>
      <c r="M56" s="281">
        <f>'2021'!L48-'2020'!L56</f>
        <v>62</v>
      </c>
      <c r="N56" s="384">
        <f>IF('2021'!L48=0,0,IF('2020'!L56=0,0,'2021'!L48/'2020'!L56-1))</f>
        <v>0</v>
      </c>
      <c r="O56" s="281" t="e">
        <f>IF('2020'!N56="-",0,'2021'!N48-'2020'!N56)</f>
        <v>#VALUE!</v>
      </c>
      <c r="P56" s="384" t="e">
        <f>IF('2021'!N48=0,0,IF('2020'!N56="-",0,'2021'!N48/'2020'!N56-1))</f>
        <v>#VALUE!</v>
      </c>
      <c r="Q56" s="207"/>
      <c r="R56" s="208"/>
      <c r="S56" s="207"/>
      <c r="T56" s="208"/>
      <c r="U56" s="154">
        <f>'2021'!S48-'2020'!S56</f>
        <v>0</v>
      </c>
      <c r="V56" s="420">
        <f>IF('2021'!S48=0,0,IF('2020'!S56=0,0,'2021'!S48/'2020'!S56-1))</f>
        <v>0</v>
      </c>
      <c r="W56" s="154">
        <f>'2021'!U48-'2020'!U56</f>
        <v>0</v>
      </c>
      <c r="X56" s="422">
        <f>IF('2021'!U48=0,0,IF('2020'!U56=0,0,'2021'!U48/'2020'!U56-1))</f>
        <v>0</v>
      </c>
      <c r="Y56" s="121"/>
    </row>
    <row r="57" spans="1:25" x14ac:dyDescent="0.3">
      <c r="A57" s="123">
        <v>28</v>
      </c>
      <c r="B57" s="838"/>
      <c r="C57" s="841"/>
      <c r="D57" s="895"/>
      <c r="E57" s="339" t="s">
        <v>171</v>
      </c>
      <c r="F57" s="340" t="s">
        <v>62</v>
      </c>
      <c r="G57" s="341">
        <f>'2021'!G49-'2020'!G57</f>
        <v>234</v>
      </c>
      <c r="H57" s="377">
        <f>IF('2021'!G49=0,0,IF('2020'!G57=0,0,'2021'!G49/'2020'!G57-1))</f>
        <v>0</v>
      </c>
      <c r="I57" s="368">
        <f>'2021'!H49-'2020'!H57</f>
        <v>127</v>
      </c>
      <c r="J57" s="384" t="e">
        <f>IF(I57=0,0,'2021'!H49/'2020'!H57-1)</f>
        <v>#DIV/0!</v>
      </c>
      <c r="K57" s="281">
        <f>'2021'!J49-'2020'!J57</f>
        <v>99</v>
      </c>
      <c r="L57" s="384">
        <f>IF('2021'!J49=0,0,IF('2020'!J57=0,0,'2021'!J49/'2020'!J57-1))</f>
        <v>0</v>
      </c>
      <c r="M57" s="281">
        <f>'2021'!L49-'2020'!L57</f>
        <v>112</v>
      </c>
      <c r="N57" s="384">
        <f>IF('2021'!L49=0,0,IF('2020'!L57=0,0,'2021'!L49/'2020'!L57-1))</f>
        <v>0</v>
      </c>
      <c r="O57" s="281" t="e">
        <f>IF('2020'!N57="-",0,'2021'!N49-'2020'!N57)</f>
        <v>#VALUE!</v>
      </c>
      <c r="P57" s="384" t="e">
        <f>IF('2021'!N49=0,0,IF('2020'!N57="-",0,'2021'!N49/'2020'!N57-1))</f>
        <v>#VALUE!</v>
      </c>
      <c r="Q57" s="207"/>
      <c r="R57" s="208"/>
      <c r="S57" s="207"/>
      <c r="T57" s="208"/>
      <c r="U57" s="154" t="e">
        <f>'2021'!S49-'2020'!S57</f>
        <v>#VALUE!</v>
      </c>
      <c r="V57" s="420">
        <f>IF('2021'!S49=0,0,IF('2020'!S57=0,0,'2021'!S49/'2020'!S57-1))</f>
        <v>0</v>
      </c>
      <c r="W57" s="154" t="e">
        <f>'2021'!U49-'2020'!U57</f>
        <v>#VALUE!</v>
      </c>
      <c r="X57" s="422">
        <f>IF('2021'!U49=0,0,IF('2020'!U57=0,0,'2021'!U49/'2020'!U57-1))</f>
        <v>0</v>
      </c>
      <c r="Y57" s="121"/>
    </row>
    <row r="58" spans="1:25" x14ac:dyDescent="0.3">
      <c r="B58" s="838"/>
      <c r="C58" s="841"/>
      <c r="D58" s="896"/>
      <c r="E58" s="680" t="s">
        <v>171</v>
      </c>
      <c r="F58" s="681"/>
      <c r="G58" s="341">
        <f>'2021'!G50-'2020'!G58</f>
        <v>0</v>
      </c>
      <c r="H58" s="377">
        <f>IF('2021'!G50=0,0,IF('2020'!G58=0,0,'2021'!G50/'2020'!G58-1))</f>
        <v>0</v>
      </c>
      <c r="I58" s="368">
        <f>'2021'!H50-'2020'!H58</f>
        <v>0</v>
      </c>
      <c r="J58" s="384">
        <f>IF(I58=0,0,'2021'!H50/'2020'!H58-1)</f>
        <v>0</v>
      </c>
      <c r="K58" s="281">
        <f>'2021'!J50-'2020'!J58</f>
        <v>0</v>
      </c>
      <c r="L58" s="384">
        <f>IF('2021'!J50=0,0,IF('2020'!J58=0,0,'2021'!J50/'2020'!J58-1))</f>
        <v>0</v>
      </c>
      <c r="M58" s="281">
        <f>'2021'!L50-'2020'!L58</f>
        <v>0</v>
      </c>
      <c r="N58" s="384">
        <f>IF('2021'!L50=0,0,IF('2020'!L58=0,0,'2021'!L50/'2020'!L58-1))</f>
        <v>0</v>
      </c>
      <c r="O58" s="281">
        <f>IF('2020'!N58="-",0,'2021'!N50-'2020'!N58)</f>
        <v>0</v>
      </c>
      <c r="P58" s="384">
        <f>IF('2021'!N50=0,0,IF('2020'!N58="-",0,'2021'!N50/'2020'!N58-1))</f>
        <v>0</v>
      </c>
      <c r="Q58" s="207"/>
      <c r="R58" s="208"/>
      <c r="S58" s="207"/>
      <c r="T58" s="208"/>
      <c r="U58" s="154">
        <f>'2021'!S50-'2020'!S58</f>
        <v>0</v>
      </c>
      <c r="V58" s="420">
        <f>IF('2021'!S50=0,0,IF('2020'!S58=0,0,'2021'!S50/'2020'!S58-1))</f>
        <v>0</v>
      </c>
      <c r="W58" s="154">
        <f>'2021'!U50-'2020'!U58</f>
        <v>0</v>
      </c>
      <c r="X58" s="422">
        <f>IF('2021'!U50=0,0,IF('2020'!U58=0,0,'2021'!U50/'2020'!U58-1))</f>
        <v>0</v>
      </c>
      <c r="Y58" s="410"/>
    </row>
    <row r="59" spans="1:25" x14ac:dyDescent="0.3">
      <c r="B59" s="838"/>
      <c r="C59" s="841"/>
      <c r="D59" s="896"/>
      <c r="E59" s="680" t="s">
        <v>171</v>
      </c>
      <c r="F59" s="681"/>
      <c r="G59" s="341">
        <f>'2021'!G51-'2020'!G59</f>
        <v>0</v>
      </c>
      <c r="H59" s="377">
        <f>IF('2021'!G51=0,0,IF('2020'!G59=0,0,'2021'!G51/'2020'!G59-1))</f>
        <v>0</v>
      </c>
      <c r="I59" s="368">
        <f>'2021'!H51-'2020'!H59</f>
        <v>0</v>
      </c>
      <c r="J59" s="384">
        <f>IF(I59=0,0,'2021'!H51/'2020'!H59-1)</f>
        <v>0</v>
      </c>
      <c r="K59" s="281">
        <f>'2021'!J51-'2020'!J59</f>
        <v>0</v>
      </c>
      <c r="L59" s="384">
        <f>IF('2021'!J51=0,0,IF('2020'!J59=0,0,'2021'!J51/'2020'!J59-1))</f>
        <v>0</v>
      </c>
      <c r="M59" s="281">
        <f>'2021'!L51-'2020'!L59</f>
        <v>0</v>
      </c>
      <c r="N59" s="384">
        <f>IF('2021'!L51=0,0,IF('2020'!L59=0,0,'2021'!L51/'2020'!L59-1))</f>
        <v>0</v>
      </c>
      <c r="O59" s="281">
        <f>IF('2020'!N59="-",0,'2021'!N51-'2020'!N59)</f>
        <v>0</v>
      </c>
      <c r="P59" s="384">
        <f>IF('2021'!N51=0,0,IF('2020'!N59="-",0,'2021'!N51/'2020'!N59-1))</f>
        <v>0</v>
      </c>
      <c r="Q59" s="207"/>
      <c r="R59" s="208"/>
      <c r="S59" s="207"/>
      <c r="T59" s="208"/>
      <c r="U59" s="154">
        <f>'2021'!S51-'2020'!S59</f>
        <v>0</v>
      </c>
      <c r="V59" s="420">
        <f>IF('2021'!S51=0,0,IF('2020'!S59=0,0,'2021'!S51/'2020'!S59-1))</f>
        <v>0</v>
      </c>
      <c r="W59" s="154">
        <f>'2021'!U51-'2020'!U59</f>
        <v>0</v>
      </c>
      <c r="X59" s="422">
        <f>IF('2021'!U51=0,0,IF('2020'!U59=0,0,'2021'!U51/'2020'!U59-1))</f>
        <v>0</v>
      </c>
      <c r="Y59" s="410"/>
    </row>
    <row r="60" spans="1:25" x14ac:dyDescent="0.3">
      <c r="A60" s="123">
        <v>29</v>
      </c>
      <c r="B60" s="838"/>
      <c r="C60" s="841"/>
      <c r="D60" s="897"/>
      <c r="E60" s="543" t="s">
        <v>171</v>
      </c>
      <c r="F60" s="359" t="s">
        <v>62</v>
      </c>
      <c r="G60" s="344">
        <f>'2021'!G52-'2020'!G60</f>
        <v>157</v>
      </c>
      <c r="H60" s="378">
        <f>IF('2021'!G52=0,0,IF('2020'!G60=0,0,'2021'!G52/'2020'!G60-1))</f>
        <v>0</v>
      </c>
      <c r="I60" s="369">
        <f>'2021'!H52-'2020'!H60</f>
        <v>82</v>
      </c>
      <c r="J60" s="385" t="e">
        <f>IF(I60=0,0,'2021'!H52/'2020'!H60-1)</f>
        <v>#DIV/0!</v>
      </c>
      <c r="K60" s="282">
        <f>'2021'!J52-'2020'!J60</f>
        <v>36</v>
      </c>
      <c r="L60" s="385">
        <f>IF('2021'!J52=0,0,IF('2020'!J60=0,0,'2021'!J52/'2020'!J60-1))</f>
        <v>0</v>
      </c>
      <c r="M60" s="282">
        <f>'2021'!L52-'2020'!L60</f>
        <v>49</v>
      </c>
      <c r="N60" s="385">
        <f>IF('2021'!L52=0,0,IF('2020'!L60=0,0,'2021'!L52/'2020'!L60-1))</f>
        <v>0</v>
      </c>
      <c r="O60" s="282" t="e">
        <f>IF('2020'!N60="-",0,'2021'!N52-'2020'!N60)</f>
        <v>#VALUE!</v>
      </c>
      <c r="P60" s="385" t="e">
        <f>IF('2021'!N52=0,0,IF('2020'!N60="-",0,'2021'!N52/'2020'!N60-1))</f>
        <v>#VALUE!</v>
      </c>
      <c r="Q60" s="209"/>
      <c r="R60" s="210"/>
      <c r="S60" s="209"/>
      <c r="T60" s="210"/>
      <c r="U60" s="162">
        <f>'2021'!S52-'2020'!S60</f>
        <v>0</v>
      </c>
      <c r="V60" s="421">
        <f>IF('2021'!S52=0,0,IF('2020'!S60=0,0,'2021'!S52/'2020'!S60-1))</f>
        <v>0</v>
      </c>
      <c r="W60" s="162">
        <f>'2021'!U52-'2020'!U60</f>
        <v>0</v>
      </c>
      <c r="X60" s="423">
        <f>IF('2021'!U52=0,0,IF('2020'!U60=0,0,'2021'!U52/'2020'!U60-1))</f>
        <v>0</v>
      </c>
      <c r="Y60" s="410" t="s">
        <v>146</v>
      </c>
    </row>
    <row r="61" spans="1:25" ht="15.6" x14ac:dyDescent="0.3">
      <c r="B61" s="839"/>
      <c r="C61" s="842"/>
      <c r="D61" s="793" t="s">
        <v>138</v>
      </c>
      <c r="E61" s="404"/>
      <c r="F61" s="405"/>
      <c r="G61" s="348">
        <f>SUM(G54:G60)</f>
        <v>760</v>
      </c>
      <c r="H61" s="379" t="e">
        <f>G61/SUM('2020'!G54:G60)</f>
        <v>#DIV/0!</v>
      </c>
      <c r="I61" s="370">
        <f>SUM(I54:I60)</f>
        <v>414</v>
      </c>
      <c r="J61" s="386" t="e">
        <f>I61/SUM('2020'!H54:H60)</f>
        <v>#DIV/0!</v>
      </c>
      <c r="K61" s="285">
        <f>SUM(K54:K60)</f>
        <v>290</v>
      </c>
      <c r="L61" s="386" t="e">
        <f>K61/SUM('2020'!J54:J60)</f>
        <v>#DIV/0!</v>
      </c>
      <c r="M61" s="285">
        <f>SUM(M54:M60)</f>
        <v>314</v>
      </c>
      <c r="N61" s="386" t="e">
        <f>M61/SUM('2020'!L54:L60)</f>
        <v>#DIV/0!</v>
      </c>
      <c r="O61" s="285" t="e">
        <f>SUM(O54:O60)</f>
        <v>#VALUE!</v>
      </c>
      <c r="P61" s="386" t="e">
        <f>O61/SUM('2020'!N54:N60)</f>
        <v>#VALUE!</v>
      </c>
      <c r="Q61" s="211"/>
      <c r="R61" s="212"/>
      <c r="S61" s="211"/>
      <c r="T61" s="212"/>
      <c r="U61" s="166" t="e">
        <f>SUM(U54:U60)</f>
        <v>#VALUE!</v>
      </c>
      <c r="V61" s="424">
        <f>IF('2021'!S53=0,0,IF('2020'!S61=0,0,'2021'!S53/'2020'!S61-1))</f>
        <v>0</v>
      </c>
      <c r="W61" s="166" t="e">
        <f>SUM(W54:W60)</f>
        <v>#VALUE!</v>
      </c>
      <c r="X61" s="425">
        <f>IF('2021'!U53=0,0,IF('2020'!U61=0,0,'2021'!U53/'2020'!U61-1))</f>
        <v>0</v>
      </c>
      <c r="Y61" s="121"/>
    </row>
    <row r="62" spans="1:25" x14ac:dyDescent="0.3">
      <c r="A62" s="123">
        <v>25</v>
      </c>
      <c r="B62" s="838" t="s">
        <v>1</v>
      </c>
      <c r="C62" s="841" t="s">
        <v>76</v>
      </c>
      <c r="D62" s="894">
        <f>'2021'!D62-'2020'!D62</f>
        <v>-1</v>
      </c>
      <c r="E62" s="336" t="s">
        <v>27</v>
      </c>
      <c r="F62" s="337" t="s">
        <v>62</v>
      </c>
      <c r="G62" s="338">
        <f>'2021'!G62-'2020'!G62</f>
        <v>20</v>
      </c>
      <c r="H62" s="376">
        <f>IF('2021'!G62=0,0,IF('2020'!G62=0,0,'2021'!G62/'2020'!G62-1))</f>
        <v>0.60606060606060597</v>
      </c>
      <c r="I62" s="367">
        <f>'2021'!H62-'2020'!H62</f>
        <v>5</v>
      </c>
      <c r="J62" s="383">
        <f>IF(I62=0,0,'2021'!H62/'2020'!H62-1)</f>
        <v>0.1515151515151516</v>
      </c>
      <c r="K62" s="280">
        <f>'2021'!J62-'2020'!J62</f>
        <v>11</v>
      </c>
      <c r="L62" s="383">
        <f>IF('2021'!J62=0,0,IF('2020'!J62=0,0,'2021'!J62/'2020'!J62-1))</f>
        <v>0.52380952380952372</v>
      </c>
      <c r="M62" s="280">
        <f>'2021'!L62-'2020'!L62</f>
        <v>4</v>
      </c>
      <c r="N62" s="383">
        <f>IF('2021'!L62=0,0,IF('2020'!L62=0,0,'2021'!L62/'2020'!L62-1))</f>
        <v>0.5</v>
      </c>
      <c r="O62" s="280">
        <f>IF('2020'!N62="-",0,'2021'!N62-'2020'!N62)</f>
        <v>3</v>
      </c>
      <c r="P62" s="383">
        <f>IF('2021'!N62=0,0,IF('2020'!N62="-",0,'2021'!N62/'2020'!N62-1))</f>
        <v>0.4285714285714286</v>
      </c>
      <c r="Q62" s="205"/>
      <c r="R62" s="206"/>
      <c r="S62" s="205"/>
      <c r="T62" s="206"/>
      <c r="U62" s="148">
        <f>'2021'!S62-'2020'!S62</f>
        <v>18</v>
      </c>
      <c r="V62" s="418">
        <f>IF('2021'!S62=0,0,IF('2020'!S62=0,0,'2021'!S62/'2020'!S62-1))</f>
        <v>0.54545454545454541</v>
      </c>
      <c r="W62" s="148">
        <f>'2021'!U62-'2020'!U62</f>
        <v>2</v>
      </c>
      <c r="X62" s="419">
        <f>IF('2021'!U62=0,0,IF('2020'!U62=0,0,'2021'!U62/'2020'!U62-1))</f>
        <v>0</v>
      </c>
      <c r="Y62" s="121"/>
    </row>
    <row r="63" spans="1:25" x14ac:dyDescent="0.3">
      <c r="A63" s="123">
        <v>26</v>
      </c>
      <c r="B63" s="838"/>
      <c r="C63" s="841"/>
      <c r="D63" s="895"/>
      <c r="E63" s="339" t="s">
        <v>28</v>
      </c>
      <c r="F63" s="340" t="s">
        <v>62</v>
      </c>
      <c r="G63" s="341">
        <f>'2021'!G63-'2020'!G63</f>
        <v>29</v>
      </c>
      <c r="H63" s="377">
        <f>IF('2021'!G63=0,0,IF('2020'!G63=0,0,'2021'!G63/'2020'!G63-1))</f>
        <v>0.32954545454545459</v>
      </c>
      <c r="I63" s="368">
        <f>'2021'!H63-'2020'!H63</f>
        <v>-2</v>
      </c>
      <c r="J63" s="384">
        <f>IF(I63=0,0,'2021'!H63/'2020'!H63-1)</f>
        <v>-2.2727272727272707E-2</v>
      </c>
      <c r="K63" s="281">
        <f>'2021'!J63-'2020'!J63</f>
        <v>28</v>
      </c>
      <c r="L63" s="384">
        <f>IF('2021'!J63=0,0,IF('2020'!J63=0,0,'2021'!J63/'2020'!J63-1))</f>
        <v>0.52830188679245293</v>
      </c>
      <c r="M63" s="281">
        <f>'2021'!L63-'2020'!L63</f>
        <v>15</v>
      </c>
      <c r="N63" s="384">
        <f>IF('2021'!L63=0,0,IF('2020'!L63=0,0,'2021'!L63/'2020'!L63-1))</f>
        <v>0.46875</v>
      </c>
      <c r="O63" s="281">
        <f>IF('2020'!N63="-",0,'2021'!N63-'2020'!N63)</f>
        <v>6</v>
      </c>
      <c r="P63" s="384">
        <f>IF('2021'!N63=0,0,IF('2020'!N63="-",0,'2021'!N63/'2020'!N63-1))</f>
        <v>0.22222222222222232</v>
      </c>
      <c r="Q63" s="207"/>
      <c r="R63" s="208"/>
      <c r="S63" s="207"/>
      <c r="T63" s="208"/>
      <c r="U63" s="154">
        <f>'2021'!S63-'2020'!S63</f>
        <v>34</v>
      </c>
      <c r="V63" s="420">
        <f>IF('2021'!S63=0,0,IF('2020'!S63=0,0,'2021'!S63/'2020'!S63-1))</f>
        <v>0.4358974358974359</v>
      </c>
      <c r="W63" s="154">
        <f>'2021'!U63-'2020'!U63</f>
        <v>-5</v>
      </c>
      <c r="X63" s="422">
        <f>IF('2021'!U63=0,0,IF('2020'!U63=0,0,'2021'!U63/'2020'!U63-1))</f>
        <v>-0.5</v>
      </c>
      <c r="Y63" s="121"/>
    </row>
    <row r="64" spans="1:25" x14ac:dyDescent="0.3">
      <c r="A64" s="123">
        <v>27</v>
      </c>
      <c r="B64" s="838"/>
      <c r="C64" s="841"/>
      <c r="D64" s="895"/>
      <c r="E64" s="339" t="s">
        <v>29</v>
      </c>
      <c r="F64" s="340" t="s">
        <v>62</v>
      </c>
      <c r="G64" s="341">
        <f>'2021'!G64-'2020'!G64</f>
        <v>8</v>
      </c>
      <c r="H64" s="377">
        <f>IF('2021'!G64=0,0,IF('2020'!G64=0,0,'2021'!G64/'2020'!G64-1))</f>
        <v>0.5714285714285714</v>
      </c>
      <c r="I64" s="368">
        <f>'2021'!H64-'2020'!H64</f>
        <v>6</v>
      </c>
      <c r="J64" s="384">
        <f>IF(I64=0,0,'2021'!H64/'2020'!H64-1)</f>
        <v>0.4285714285714286</v>
      </c>
      <c r="K64" s="281">
        <f>'2021'!J64-'2020'!J64</f>
        <v>7</v>
      </c>
      <c r="L64" s="384">
        <f>IF('2021'!J64=0,0,IF('2020'!J64=0,0,'2021'!J64/'2020'!J64-1))</f>
        <v>0.77777777777777768</v>
      </c>
      <c r="M64" s="281">
        <f>'2021'!L64-'2020'!L64</f>
        <v>5</v>
      </c>
      <c r="N64" s="384">
        <f>IF('2021'!L64=0,0,IF('2020'!L64=0,0,'2021'!L64/'2020'!L64-1))</f>
        <v>0.71428571428571419</v>
      </c>
      <c r="O64" s="281">
        <f>IF('2020'!N64="-",0,'2021'!N64-'2020'!N64)</f>
        <v>5</v>
      </c>
      <c r="P64" s="384">
        <f>IF('2021'!N64=0,0,IF('2020'!N64="-",0,'2021'!N64/'2020'!N64-1))</f>
        <v>1.25</v>
      </c>
      <c r="Q64" s="207"/>
      <c r="R64" s="208"/>
      <c r="S64" s="207"/>
      <c r="T64" s="208"/>
      <c r="U64" s="154">
        <f>'2021'!S64-'2020'!S64</f>
        <v>8</v>
      </c>
      <c r="V64" s="420">
        <f>IF('2021'!S64=0,0,IF('2020'!S64=0,0,'2021'!S64/'2020'!S64-1))</f>
        <v>0.5714285714285714</v>
      </c>
      <c r="W64" s="154">
        <f>'2021'!U64-'2020'!U64</f>
        <v>0</v>
      </c>
      <c r="X64" s="422">
        <f>IF('2021'!U64=0,0,IF('2020'!U64=0,0,'2021'!U64/'2020'!U64-1))</f>
        <v>0</v>
      </c>
      <c r="Y64" s="121"/>
    </row>
    <row r="65" spans="1:25" x14ac:dyDescent="0.3">
      <c r="A65" s="123">
        <v>28</v>
      </c>
      <c r="B65" s="838"/>
      <c r="C65" s="841"/>
      <c r="D65" s="895"/>
      <c r="E65" s="339" t="s">
        <v>30</v>
      </c>
      <c r="F65" s="340" t="s">
        <v>62</v>
      </c>
      <c r="G65" s="341">
        <f>'2021'!G65-'2020'!G65</f>
        <v>26</v>
      </c>
      <c r="H65" s="377">
        <f>IF('2021'!G65=0,0,IF('2020'!G65=0,0,'2021'!G65/'2020'!G65-1))</f>
        <v>1.1304347826086958</v>
      </c>
      <c r="I65" s="368">
        <f>'2021'!H65-'2020'!H65</f>
        <v>10</v>
      </c>
      <c r="J65" s="384">
        <f>IF(I65=0,0,'2021'!H65/'2020'!H65-1)</f>
        <v>0.43478260869565211</v>
      </c>
      <c r="K65" s="281">
        <f>'2021'!J65-'2020'!J65</f>
        <v>20</v>
      </c>
      <c r="L65" s="384">
        <f>IF('2021'!J65=0,0,IF('2020'!J65=0,0,'2021'!J65/'2020'!J65-1))</f>
        <v>1.3333333333333335</v>
      </c>
      <c r="M65" s="281">
        <f>'2021'!L65-'2020'!L65</f>
        <v>9</v>
      </c>
      <c r="N65" s="384">
        <f>IF('2021'!L65=0,0,IF('2020'!L65=0,0,'2021'!L65/'2020'!L65-1))</f>
        <v>0.81818181818181812</v>
      </c>
      <c r="O65" s="281">
        <f>IF('2020'!N65="-",0,'2021'!N65-'2020'!N65)</f>
        <v>9</v>
      </c>
      <c r="P65" s="384">
        <f>IF('2021'!N65=0,0,IF('2020'!N65="-",0,'2021'!N65/'2020'!N65-1))</f>
        <v>1.125</v>
      </c>
      <c r="Q65" s="207"/>
      <c r="R65" s="208"/>
      <c r="S65" s="207"/>
      <c r="T65" s="208"/>
      <c r="U65" s="154">
        <f>'2021'!S65-'2020'!S65</f>
        <v>26</v>
      </c>
      <c r="V65" s="420">
        <f>IF('2021'!S65=0,0,IF('2020'!S65=0,0,'2021'!S65/'2020'!S65-1))</f>
        <v>1.2999999999999998</v>
      </c>
      <c r="W65" s="154">
        <f>'2021'!U65-'2020'!U65</f>
        <v>0</v>
      </c>
      <c r="X65" s="422">
        <f>IF('2021'!U65=0,0,IF('2020'!U65=0,0,'2021'!U65/'2020'!U65-1))</f>
        <v>0</v>
      </c>
      <c r="Y65" s="121"/>
    </row>
    <row r="66" spans="1:25" x14ac:dyDescent="0.3">
      <c r="B66" s="838"/>
      <c r="C66" s="841"/>
      <c r="D66" s="896"/>
      <c r="E66" s="680"/>
      <c r="F66" s="681"/>
      <c r="G66" s="682"/>
      <c r="H66" s="683"/>
      <c r="I66" s="684"/>
      <c r="J66" s="685"/>
      <c r="K66" s="686"/>
      <c r="L66" s="685"/>
      <c r="M66" s="686"/>
      <c r="N66" s="685"/>
      <c r="O66" s="686"/>
      <c r="P66" s="685"/>
      <c r="Q66" s="687"/>
      <c r="R66" s="688"/>
      <c r="S66" s="687"/>
      <c r="T66" s="688"/>
      <c r="U66" s="537"/>
      <c r="V66" s="734"/>
      <c r="W66" s="537"/>
      <c r="X66" s="538"/>
      <c r="Y66" s="410"/>
    </row>
    <row r="67" spans="1:25" x14ac:dyDescent="0.3">
      <c r="B67" s="838"/>
      <c r="C67" s="841"/>
      <c r="D67" s="896"/>
      <c r="E67" s="680"/>
      <c r="F67" s="681"/>
      <c r="G67" s="682"/>
      <c r="H67" s="683"/>
      <c r="I67" s="684"/>
      <c r="J67" s="685"/>
      <c r="K67" s="686"/>
      <c r="L67" s="685"/>
      <c r="M67" s="686"/>
      <c r="N67" s="685"/>
      <c r="O67" s="686"/>
      <c r="P67" s="685"/>
      <c r="Q67" s="687"/>
      <c r="R67" s="688"/>
      <c r="S67" s="687"/>
      <c r="T67" s="688"/>
      <c r="U67" s="537"/>
      <c r="V67" s="734"/>
      <c r="W67" s="537"/>
      <c r="X67" s="538"/>
      <c r="Y67" s="410"/>
    </row>
    <row r="68" spans="1:25" x14ac:dyDescent="0.3">
      <c r="A68" s="123">
        <v>29</v>
      </c>
      <c r="B68" s="838"/>
      <c r="C68" s="841"/>
      <c r="D68" s="897"/>
      <c r="E68" s="543" t="s">
        <v>31</v>
      </c>
      <c r="F68" s="359" t="s">
        <v>62</v>
      </c>
      <c r="G68" s="344">
        <f>'2021'!G68-'2020'!G68</f>
        <v>8</v>
      </c>
      <c r="H68" s="378">
        <f>IF('2021'!G68=0,0,IF('2020'!G68=0,0,'2021'!G68/'2020'!G68-1))</f>
        <v>0.22222222222222232</v>
      </c>
      <c r="I68" s="369">
        <f>'2021'!H68-'2020'!H68</f>
        <v>8</v>
      </c>
      <c r="J68" s="385">
        <f>IF(I68=0,0,'2021'!H68/'2020'!H68-1)</f>
        <v>0.22222222222222232</v>
      </c>
      <c r="K68" s="282">
        <f>'2021'!J68-'2020'!J68</f>
        <v>10</v>
      </c>
      <c r="L68" s="385">
        <f>IF('2021'!J68=0,0,IF('2020'!J68=0,0,'2021'!J68/'2020'!J68-1))</f>
        <v>0.55555555555555558</v>
      </c>
      <c r="M68" s="282">
        <f>'2021'!L68-'2020'!L68</f>
        <v>-1</v>
      </c>
      <c r="N68" s="385">
        <f>IF('2021'!L68=0,0,IF('2020'!L68=0,0,'2021'!L68/'2020'!L68-1))</f>
        <v>-5.8823529411764719E-2</v>
      </c>
      <c r="O68" s="282">
        <f>IF('2020'!N68="-",0,'2021'!N68-'2020'!N68)</f>
        <v>2</v>
      </c>
      <c r="P68" s="385">
        <f>IF('2021'!N68=0,0,IF('2020'!N68="-",0,'2021'!N68/'2020'!N68-1))</f>
        <v>0.15384615384615374</v>
      </c>
      <c r="Q68" s="209"/>
      <c r="R68" s="210"/>
      <c r="S68" s="209"/>
      <c r="T68" s="210"/>
      <c r="U68" s="162">
        <f>'2021'!S68-'2020'!S68</f>
        <v>4</v>
      </c>
      <c r="V68" s="421">
        <f>IF('2021'!S68=0,0,IF('2020'!S68=0,0,'2021'!S68/'2020'!S68-1))</f>
        <v>0.11111111111111116</v>
      </c>
      <c r="W68" s="162">
        <f>'2021'!U68-'2020'!U68</f>
        <v>4</v>
      </c>
      <c r="X68" s="423">
        <f>IF('2021'!U68=0,0,IF('2020'!U68=0,0,'2021'!U68/'2020'!U68-1))</f>
        <v>0</v>
      </c>
      <c r="Y68" s="410" t="s">
        <v>146</v>
      </c>
    </row>
    <row r="69" spans="1:25" ht="15.6" x14ac:dyDescent="0.3">
      <c r="B69" s="839"/>
      <c r="C69" s="842"/>
      <c r="D69" s="456" t="s">
        <v>138</v>
      </c>
      <c r="E69" s="404"/>
      <c r="F69" s="405"/>
      <c r="G69" s="348">
        <f>SUM(G62:G68)</f>
        <v>91</v>
      </c>
      <c r="H69" s="379">
        <f>G69/SUM('2020'!G62:G68)</f>
        <v>0.46907216494845361</v>
      </c>
      <c r="I69" s="370">
        <f>SUM(I62:I68)</f>
        <v>27</v>
      </c>
      <c r="J69" s="386">
        <f>I69/SUM('2020'!H62:H68)</f>
        <v>0.13917525773195877</v>
      </c>
      <c r="K69" s="285">
        <f>SUM(K62:K68)</f>
        <v>76</v>
      </c>
      <c r="L69" s="386">
        <f>K69/SUM('2020'!J62:J68)</f>
        <v>0.65517241379310343</v>
      </c>
      <c r="M69" s="285">
        <f>SUM(M62:M68)</f>
        <v>32</v>
      </c>
      <c r="N69" s="386">
        <f>M69/SUM('2020'!L62:L68)</f>
        <v>0.42666666666666669</v>
      </c>
      <c r="O69" s="285">
        <f>SUM(O62:O68)</f>
        <v>25</v>
      </c>
      <c r="P69" s="386">
        <f>O69/SUM('2020'!N62:N68)</f>
        <v>0.42372881355932202</v>
      </c>
      <c r="Q69" s="211"/>
      <c r="R69" s="212"/>
      <c r="S69" s="211"/>
      <c r="T69" s="212"/>
      <c r="U69" s="166">
        <f>SUM(U62:U68)</f>
        <v>90</v>
      </c>
      <c r="V69" s="424">
        <f>IF('2021'!S69=0,0,IF('2020'!S69=0,0,'2021'!S69/'2020'!S69-1))</f>
        <v>0.49723756906077354</v>
      </c>
      <c r="W69" s="166">
        <f>SUM(W62:W68)</f>
        <v>1</v>
      </c>
      <c r="X69" s="425">
        <f>IF('2021'!U69=0,0,IF('2020'!U69=0,0,'2021'!U69/'2020'!U69-1))</f>
        <v>7.6923076923076872E-2</v>
      </c>
      <c r="Y69" s="121"/>
    </row>
    <row r="70" spans="1:25" ht="15" customHeight="1" x14ac:dyDescent="0.3">
      <c r="A70" s="123">
        <v>30</v>
      </c>
      <c r="B70" s="843" t="s">
        <v>45</v>
      </c>
      <c r="C70" s="806" t="s">
        <v>76</v>
      </c>
      <c r="D70" s="913">
        <f>'2021'!D70-'2020'!D70</f>
        <v>7</v>
      </c>
      <c r="E70" s="360" t="s">
        <v>32</v>
      </c>
      <c r="F70" s="361" t="s">
        <v>62</v>
      </c>
      <c r="G70" s="338">
        <f>'2021'!G70-'2020'!G70</f>
        <v>17</v>
      </c>
      <c r="H70" s="376">
        <f>IF('2021'!G70=0,0,IF('2020'!G70=0,0,'2021'!G70/'2020'!G70-1))</f>
        <v>0.28813559322033888</v>
      </c>
      <c r="I70" s="367">
        <f>'2021'!H70-'2020'!H70</f>
        <v>17</v>
      </c>
      <c r="J70" s="383">
        <f>IF(I70=0,0,'2021'!H70/'2020'!H70-1)</f>
        <v>0.28813559322033888</v>
      </c>
      <c r="K70" s="280">
        <f>'2021'!J70-'2020'!J70</f>
        <v>7.91</v>
      </c>
      <c r="L70" s="383">
        <f>IF('2021'!J70=0,0,IF('2020'!J70=0,0,'2021'!J70/'2020'!J70-1))</f>
        <v>0.2628780325689597</v>
      </c>
      <c r="M70" s="280">
        <f>'2021'!L70-'2020'!L70</f>
        <v>3.0399999999999991</v>
      </c>
      <c r="N70" s="383">
        <f>IF('2021'!L70=0,0,IF('2020'!L70=0,0,'2021'!L70/'2020'!L70-1))</f>
        <v>0.11710323574730341</v>
      </c>
      <c r="O70" s="280">
        <f>IF('2020'!N70="-",0,'2021'!N70-'2020'!N70)</f>
        <v>4.9047999999999981</v>
      </c>
      <c r="P70" s="383">
        <f>IF('2021'!N70=0,0,IF('2020'!N70="-",0,'2021'!N70/'2020'!N70-1))</f>
        <v>0.30473681594512625</v>
      </c>
      <c r="Q70" s="205"/>
      <c r="R70" s="206"/>
      <c r="S70" s="205"/>
      <c r="T70" s="206"/>
      <c r="U70" s="148">
        <f>'2021'!S70-'2020'!S70</f>
        <v>75</v>
      </c>
      <c r="V70" s="418">
        <f>IF('2021'!S70=0,0,IF('2020'!S70=0,0,'2021'!S70/'2020'!S70-1))</f>
        <v>0</v>
      </c>
      <c r="W70" s="148">
        <f>'2021'!U70-'2020'!U70</f>
        <v>1</v>
      </c>
      <c r="X70" s="419">
        <f>IF('2021'!U70=0,0,IF('2020'!U70=0,0,'2021'!U70/'2020'!U70-1))</f>
        <v>0</v>
      </c>
      <c r="Y70" s="121"/>
    </row>
    <row r="71" spans="1:25" ht="15" customHeight="1" x14ac:dyDescent="0.3">
      <c r="A71" s="123">
        <v>31</v>
      </c>
      <c r="B71" s="838"/>
      <c r="C71" s="807"/>
      <c r="D71" s="914"/>
      <c r="E71" s="362" t="s">
        <v>33</v>
      </c>
      <c r="F71" s="358" t="s">
        <v>62</v>
      </c>
      <c r="G71" s="341">
        <f>'2021'!G71-'2020'!G71</f>
        <v>35</v>
      </c>
      <c r="H71" s="377">
        <f>IF('2021'!G71=0,0,IF('2020'!G71=0,0,'2021'!G71/'2020'!G71-1))</f>
        <v>0.77777777777777768</v>
      </c>
      <c r="I71" s="368">
        <f>'2021'!H71-'2020'!H71</f>
        <v>35</v>
      </c>
      <c r="J71" s="384">
        <f>IF(I71=0,0,'2021'!H71/'2020'!H71-1)</f>
        <v>0.77777777777777768</v>
      </c>
      <c r="K71" s="281">
        <f>'2021'!J71-'2020'!J71</f>
        <v>24.900000000000002</v>
      </c>
      <c r="L71" s="384">
        <f>IF('2021'!J71=0,0,IF('2020'!J71=0,0,'2021'!J71/'2020'!J71-1))</f>
        <v>0.95402298850574718</v>
      </c>
      <c r="M71" s="281">
        <f>'2021'!L71-'2020'!L71</f>
        <v>20.2</v>
      </c>
      <c r="N71" s="384">
        <f>IF('2021'!L71=0,0,IF('2020'!L71=0,0,'2021'!L71/'2020'!L71-1))</f>
        <v>1.0202020202020203</v>
      </c>
      <c r="O71" s="281">
        <f>IF('2020'!N71="-",0,'2021'!N71-'2020'!N71)</f>
        <v>13.129999999999999</v>
      </c>
      <c r="P71" s="384">
        <f>IF('2021'!N71=0,0,IF('2020'!N71="-",0,'2021'!N71/'2020'!N71-1))</f>
        <v>1.0202020202020199</v>
      </c>
      <c r="Q71" s="207"/>
      <c r="R71" s="208"/>
      <c r="S71" s="207"/>
      <c r="T71" s="208"/>
      <c r="U71" s="154">
        <f>'2021'!S71-'2020'!S71</f>
        <v>74</v>
      </c>
      <c r="V71" s="420">
        <f>IF('2021'!S71=0,0,IF('2020'!S71=0,0,'2021'!S71/'2020'!S71-1))</f>
        <v>0</v>
      </c>
      <c r="W71" s="154">
        <f>'2021'!U71-'2020'!U71</f>
        <v>6</v>
      </c>
      <c r="X71" s="422">
        <f>IF('2021'!U71=0,0,IF('2020'!U71=0,0,'2021'!U71/'2020'!U71-1))</f>
        <v>0</v>
      </c>
      <c r="Y71" s="121"/>
    </row>
    <row r="72" spans="1:25" ht="15" customHeight="1" x14ac:dyDescent="0.3">
      <c r="A72" s="123">
        <v>32</v>
      </c>
      <c r="B72" s="838"/>
      <c r="C72" s="807"/>
      <c r="D72" s="914"/>
      <c r="E72" s="362" t="s">
        <v>47</v>
      </c>
      <c r="F72" s="358" t="s">
        <v>62</v>
      </c>
      <c r="G72" s="341">
        <f>'2021'!G72-'2020'!G72</f>
        <v>15</v>
      </c>
      <c r="H72" s="377">
        <f>IF('2021'!G72=0,0,IF('2020'!G72=0,0,'2021'!G72/'2020'!G72-1))</f>
        <v>0.9375</v>
      </c>
      <c r="I72" s="368">
        <f>'2021'!H72-'2020'!H72</f>
        <v>15</v>
      </c>
      <c r="J72" s="384">
        <f>IF(I72=0,0,'2021'!H72/'2020'!H72-1)</f>
        <v>0.9375</v>
      </c>
      <c r="K72" s="281">
        <f>'2021'!J72-'2020'!J72</f>
        <v>2.96</v>
      </c>
      <c r="L72" s="384">
        <f>IF('2021'!J72=0,0,IF('2020'!J72=0,0,'2021'!J72/'2020'!J72-1))</f>
        <v>0.42045454545454541</v>
      </c>
      <c r="M72" s="281">
        <f>'2021'!L72-'2020'!L72</f>
        <v>6.04</v>
      </c>
      <c r="N72" s="384">
        <f>IF('2021'!L72=0,0,IF('2020'!L72=0,0,'2021'!L72/'2020'!L72-1))</f>
        <v>1.217741935483871</v>
      </c>
      <c r="O72" s="281">
        <f>IF('2020'!N72="-",0,'2021'!N72-'2020'!N72)</f>
        <v>3.016</v>
      </c>
      <c r="P72" s="384">
        <f>IF('2021'!N72=0,0,IF('2020'!N72="-",0,'2021'!N72/'2020'!N72-1))</f>
        <v>1.5201612903225805</v>
      </c>
      <c r="Q72" s="207"/>
      <c r="R72" s="208"/>
      <c r="S72" s="207"/>
      <c r="T72" s="208"/>
      <c r="U72" s="154">
        <f>'2021'!S72-'2020'!S72</f>
        <v>31</v>
      </c>
      <c r="V72" s="420">
        <f>IF('2021'!S72=0,0,IF('2020'!S72=0,0,'2021'!S72/'2020'!S72-1))</f>
        <v>0</v>
      </c>
      <c r="W72" s="154">
        <f>'2021'!U72-'2020'!U72</f>
        <v>0</v>
      </c>
      <c r="X72" s="422">
        <f>IF('2021'!U72=0,0,IF('2020'!U72=0,0,'2021'!U72/'2020'!U72-1))</f>
        <v>0</v>
      </c>
      <c r="Y72" s="121"/>
    </row>
    <row r="73" spans="1:25" ht="15" customHeight="1" x14ac:dyDescent="0.3">
      <c r="A73" s="123">
        <v>33</v>
      </c>
      <c r="B73" s="838"/>
      <c r="C73" s="807"/>
      <c r="D73" s="914"/>
      <c r="E73" s="362" t="s">
        <v>46</v>
      </c>
      <c r="F73" s="358" t="s">
        <v>62</v>
      </c>
      <c r="G73" s="341">
        <f>'2021'!G73-'2020'!G73</f>
        <v>-16</v>
      </c>
      <c r="H73" s="377">
        <f>IF('2021'!G73=0,0,IF('2020'!G73=0,0,'2021'!G73/'2020'!G73-1))</f>
        <v>-0.5161290322580645</v>
      </c>
      <c r="I73" s="368">
        <f>'2021'!H73-'2020'!H73</f>
        <v>-16</v>
      </c>
      <c r="J73" s="384">
        <f>IF(I73=0,0,'2021'!H73/'2020'!H73-1)</f>
        <v>-0.5161290322580645</v>
      </c>
      <c r="K73" s="281">
        <f>'2021'!J73-'2020'!J73</f>
        <v>-3.99</v>
      </c>
      <c r="L73" s="384">
        <f>IF('2021'!J73=0,0,IF('2020'!J73=0,0,'2021'!J73/'2020'!J73-1))</f>
        <v>-0.44382647385984431</v>
      </c>
      <c r="M73" s="281">
        <f>'2021'!L73-'2020'!L73</f>
        <v>-9.92</v>
      </c>
      <c r="N73" s="384">
        <f>IF('2021'!L73=0,0,IF('2020'!L73=0,0,'2021'!L73/'2020'!L73-1))</f>
        <v>0</v>
      </c>
      <c r="O73" s="281">
        <f>IF('2020'!N73="-",0,'2021'!N73-'2020'!N73)</f>
        <v>-2.976</v>
      </c>
      <c r="P73" s="384">
        <f>IF('2021'!N73=0,0,IF('2020'!N73="-",0,'2021'!N73/'2020'!N73-1))</f>
        <v>0</v>
      </c>
      <c r="Q73" s="207"/>
      <c r="R73" s="208"/>
      <c r="S73" s="207"/>
      <c r="T73" s="208"/>
      <c r="U73" s="154">
        <f>'2021'!S73-'2020'!S73</f>
        <v>15</v>
      </c>
      <c r="V73" s="420">
        <f>IF('2021'!S73=0,0,IF('2020'!S73=0,0,'2021'!S73/'2020'!S73-1))</f>
        <v>0</v>
      </c>
      <c r="W73" s="154">
        <f>'2021'!U73-'2020'!U73</f>
        <v>0</v>
      </c>
      <c r="X73" s="422">
        <f>IF('2021'!U73=0,0,IF('2020'!U73=0,0,'2021'!U73/'2020'!U73-1))</f>
        <v>0</v>
      </c>
      <c r="Y73" s="121"/>
    </row>
    <row r="74" spans="1:25" ht="15" customHeight="1" x14ac:dyDescent="0.3">
      <c r="A74" s="123">
        <v>34</v>
      </c>
      <c r="B74" s="838"/>
      <c r="C74" s="807"/>
      <c r="D74" s="914"/>
      <c r="E74" s="362" t="s">
        <v>35</v>
      </c>
      <c r="F74" s="358" t="s">
        <v>62</v>
      </c>
      <c r="G74" s="341">
        <f>'2021'!G74-'2020'!G74</f>
        <v>-1</v>
      </c>
      <c r="H74" s="377">
        <f>IF('2021'!G74=0,0,IF('2020'!G74=0,0,'2021'!G74/'2020'!G74-1))</f>
        <v>-0.33333333333333337</v>
      </c>
      <c r="I74" s="368">
        <f>'2021'!H74-'2020'!H74</f>
        <v>-1</v>
      </c>
      <c r="J74" s="384">
        <f>IF(I74=0,0,'2021'!H74/'2020'!H74-1)</f>
        <v>-0.33333333333333337</v>
      </c>
      <c r="K74" s="281">
        <f>'2021'!J74-'2020'!J74</f>
        <v>1</v>
      </c>
      <c r="L74" s="384">
        <f>IF('2021'!J74=0,0,IF('2020'!J74=0,0,'2021'!J74/'2020'!J74-1))</f>
        <v>0</v>
      </c>
      <c r="M74" s="281">
        <f>'2021'!L74-'2020'!L74</f>
        <v>1</v>
      </c>
      <c r="N74" s="384">
        <f>IF('2021'!L74=0,0,IF('2020'!L74=0,0,'2021'!L74/'2020'!L74-1))</f>
        <v>0</v>
      </c>
      <c r="O74" s="281">
        <f>IF('2020'!N74="-",0,'2021'!N74-'2020'!N74)</f>
        <v>0</v>
      </c>
      <c r="P74" s="384">
        <f>IF('2021'!N74=0,0,IF('2020'!N74="-",0,'2021'!N74/'2020'!N74-1))</f>
        <v>0</v>
      </c>
      <c r="Q74" s="207"/>
      <c r="R74" s="208"/>
      <c r="S74" s="207"/>
      <c r="T74" s="208"/>
      <c r="U74" s="154">
        <f>'2021'!S74-'2020'!S74</f>
        <v>1</v>
      </c>
      <c r="V74" s="420">
        <f>IF('2021'!S74=0,0,IF('2020'!S74=0,0,'2021'!S74/'2020'!S74-1))</f>
        <v>0</v>
      </c>
      <c r="W74" s="154">
        <f>'2021'!U74-'2020'!U74</f>
        <v>1</v>
      </c>
      <c r="X74" s="422">
        <f>IF('2021'!U74=0,0,IF('2020'!U74=0,0,'2021'!U74/'2020'!U74-1))</f>
        <v>0</v>
      </c>
      <c r="Y74" s="121"/>
    </row>
    <row r="75" spans="1:25" ht="15" customHeight="1" x14ac:dyDescent="0.3">
      <c r="A75" s="123">
        <v>35</v>
      </c>
      <c r="B75" s="838"/>
      <c r="C75" s="807"/>
      <c r="D75" s="914"/>
      <c r="E75" s="362" t="s">
        <v>34</v>
      </c>
      <c r="F75" s="358" t="s">
        <v>62</v>
      </c>
      <c r="G75" s="341">
        <f>'2021'!G75-'2020'!G75</f>
        <v>2</v>
      </c>
      <c r="H75" s="377">
        <f>IF('2021'!G75=0,0,IF('2020'!G75=0,0,'2021'!G75/'2020'!G75-1))</f>
        <v>0.15384615384615374</v>
      </c>
      <c r="I75" s="368">
        <f>'2021'!H75-'2020'!H75</f>
        <v>2</v>
      </c>
      <c r="J75" s="384">
        <f>IF(I75=0,0,'2021'!H75/'2020'!H75-1)</f>
        <v>0.15384615384615374</v>
      </c>
      <c r="K75" s="281">
        <f>'2021'!J75-'2020'!J75</f>
        <v>5.01</v>
      </c>
      <c r="L75" s="384">
        <f>IF('2021'!J75=0,0,IF('2020'!J75=0,0,'2021'!J75/'2020'!J75-1))</f>
        <v>1.6755852842809364</v>
      </c>
      <c r="M75" s="281">
        <f>'2021'!L75-'2020'!L75</f>
        <v>2.0499999999999998</v>
      </c>
      <c r="N75" s="384">
        <f>IF('2021'!L75=0,0,IF('2020'!L75=0,0,'2021'!L75/'2020'!L75-1))</f>
        <v>1.0512820512820515</v>
      </c>
      <c r="O75" s="281">
        <f>IF('2020'!N75="-",0,'2021'!N75-'2020'!N75)</f>
        <v>1.0249999999999999</v>
      </c>
      <c r="P75" s="384">
        <f>IF('2021'!N75=0,0,IF('2020'!N75="-",0,'2021'!N75/'2020'!N75-1))</f>
        <v>1.0512820512820515</v>
      </c>
      <c r="Q75" s="207"/>
      <c r="R75" s="208"/>
      <c r="S75" s="207"/>
      <c r="T75" s="208"/>
      <c r="U75" s="154">
        <f>'2021'!S75-'2020'!S75</f>
        <v>13</v>
      </c>
      <c r="V75" s="420">
        <f>IF('2021'!S75=0,0,IF('2020'!S75=0,0,'2021'!S75/'2020'!S75-1))</f>
        <v>0</v>
      </c>
      <c r="W75" s="154">
        <f>'2021'!U75-'2020'!U75</f>
        <v>2</v>
      </c>
      <c r="X75" s="422">
        <f>IF('2021'!U75=0,0,IF('2020'!U75=0,0,'2021'!U75/'2020'!U75-1))</f>
        <v>0</v>
      </c>
      <c r="Y75" s="121"/>
    </row>
    <row r="76" spans="1:25" ht="15.75" customHeight="1" x14ac:dyDescent="0.3">
      <c r="A76" s="123">
        <v>36</v>
      </c>
      <c r="B76" s="838"/>
      <c r="C76" s="807"/>
      <c r="D76" s="914"/>
      <c r="E76" s="362" t="s">
        <v>148</v>
      </c>
      <c r="F76" s="358"/>
      <c r="G76" s="341"/>
      <c r="H76" s="377"/>
      <c r="I76" s="368"/>
      <c r="J76" s="384"/>
      <c r="K76" s="281"/>
      <c r="L76" s="384"/>
      <c r="M76" s="281"/>
      <c r="N76" s="384"/>
      <c r="O76" s="281"/>
      <c r="P76" s="384"/>
      <c r="Q76" s="207"/>
      <c r="R76" s="208"/>
      <c r="S76" s="207"/>
      <c r="T76" s="208"/>
      <c r="U76" s="154"/>
      <c r="V76" s="420"/>
      <c r="W76" s="154"/>
      <c r="X76" s="422"/>
      <c r="Y76" s="121"/>
    </row>
    <row r="77" spans="1:25" ht="15.75" customHeight="1" x14ac:dyDescent="0.3">
      <c r="B77" s="838"/>
      <c r="C77" s="807"/>
      <c r="D77" s="915"/>
      <c r="E77" s="757"/>
      <c r="F77" s="758"/>
      <c r="G77" s="682"/>
      <c r="H77" s="683"/>
      <c r="I77" s="684"/>
      <c r="J77" s="685"/>
      <c r="K77" s="686"/>
      <c r="L77" s="685"/>
      <c r="M77" s="686"/>
      <c r="N77" s="685"/>
      <c r="O77" s="686"/>
      <c r="P77" s="685"/>
      <c r="Q77" s="687"/>
      <c r="R77" s="688"/>
      <c r="S77" s="687"/>
      <c r="T77" s="688"/>
      <c r="U77" s="537"/>
      <c r="V77" s="734"/>
      <c r="W77" s="537"/>
      <c r="X77" s="538"/>
      <c r="Y77" s="121"/>
    </row>
    <row r="78" spans="1:25" ht="15.75" customHeight="1" x14ac:dyDescent="0.3">
      <c r="B78" s="838"/>
      <c r="C78" s="807"/>
      <c r="D78" s="915"/>
      <c r="E78" s="757"/>
      <c r="F78" s="758"/>
      <c r="G78" s="682"/>
      <c r="H78" s="683"/>
      <c r="I78" s="684"/>
      <c r="J78" s="685"/>
      <c r="K78" s="686"/>
      <c r="L78" s="685"/>
      <c r="M78" s="686"/>
      <c r="N78" s="685"/>
      <c r="O78" s="686"/>
      <c r="P78" s="685"/>
      <c r="Q78" s="687"/>
      <c r="R78" s="688"/>
      <c r="S78" s="687"/>
      <c r="T78" s="688"/>
      <c r="U78" s="537"/>
      <c r="V78" s="734"/>
      <c r="W78" s="537"/>
      <c r="X78" s="538"/>
      <c r="Y78" s="121"/>
    </row>
    <row r="79" spans="1:25" ht="15.75" customHeight="1" x14ac:dyDescent="0.3">
      <c r="A79" s="123">
        <v>37</v>
      </c>
      <c r="B79" s="838"/>
      <c r="C79" s="807"/>
      <c r="D79" s="916"/>
      <c r="E79" s="363" t="s">
        <v>147</v>
      </c>
      <c r="F79" s="359"/>
      <c r="G79" s="344"/>
      <c r="H79" s="378"/>
      <c r="I79" s="369"/>
      <c r="J79" s="385"/>
      <c r="K79" s="282"/>
      <c r="L79" s="385"/>
      <c r="M79" s="282"/>
      <c r="N79" s="385"/>
      <c r="O79" s="282"/>
      <c r="P79" s="385"/>
      <c r="Q79" s="209"/>
      <c r="R79" s="210"/>
      <c r="S79" s="209"/>
      <c r="T79" s="210"/>
      <c r="U79" s="162"/>
      <c r="V79" s="421"/>
      <c r="W79" s="162"/>
      <c r="X79" s="423"/>
      <c r="Y79" s="121"/>
    </row>
    <row r="80" spans="1:25" ht="15.6" x14ac:dyDescent="0.3">
      <c r="B80" s="839"/>
      <c r="C80" s="808"/>
      <c r="D80" s="457" t="s">
        <v>138</v>
      </c>
      <c r="E80" s="406"/>
      <c r="F80" s="405"/>
      <c r="G80" s="348">
        <f>SUM(G70:G79)</f>
        <v>52</v>
      </c>
      <c r="H80" s="379">
        <f>G80/SUM('2020'!G70:G75)</f>
        <v>0.31137724550898205</v>
      </c>
      <c r="I80" s="370">
        <f>SUM(I70:I79)</f>
        <v>52</v>
      </c>
      <c r="J80" s="386">
        <f>I80/SUM('2020'!H70:H75)</f>
        <v>0.31137724550898205</v>
      </c>
      <c r="K80" s="285">
        <f>SUM(K70:K79)</f>
        <v>37.79</v>
      </c>
      <c r="L80" s="386">
        <f>K80/SUM('2020'!J70:J75)</f>
        <v>0.50245977928466967</v>
      </c>
      <c r="M80" s="285">
        <f>SUM(M70:M79)</f>
        <v>22.41</v>
      </c>
      <c r="N80" s="386">
        <f>M80/SUM('2020'!L70:L75)</f>
        <v>0.35804441604090104</v>
      </c>
      <c r="O80" s="285">
        <f>SUM(O70:O79)</f>
        <v>19.099799999999995</v>
      </c>
      <c r="P80" s="386">
        <f>O80/SUM('2020'!N70:N75)</f>
        <v>0.54726907009128867</v>
      </c>
      <c r="Q80" s="211"/>
      <c r="R80" s="212"/>
      <c r="S80" s="211"/>
      <c r="T80" s="212"/>
      <c r="U80" s="166">
        <f>SUM(U70:U79)</f>
        <v>209</v>
      </c>
      <c r="V80" s="424">
        <f>IF('2021'!S80=0,0,IF('2020'!S80=0,0,'2021'!S80/'2020'!S80-1))</f>
        <v>0</v>
      </c>
      <c r="W80" s="166">
        <f>SUM(W70:W79)</f>
        <v>10</v>
      </c>
      <c r="X80" s="425">
        <f>IF('2021'!U80=0,0,IF('2020'!U80=0,0,'2021'!U80/'2020'!U80-1))</f>
        <v>0</v>
      </c>
      <c r="Y80" s="121"/>
    </row>
    <row r="81" spans="1:25" x14ac:dyDescent="0.3">
      <c r="B81" s="847" t="s">
        <v>85</v>
      </c>
      <c r="C81" s="850" t="s">
        <v>76</v>
      </c>
      <c r="D81" s="917">
        <f>'2021'!D81-'2020'!D81</f>
        <v>3</v>
      </c>
      <c r="E81" s="360" t="s">
        <v>155</v>
      </c>
      <c r="F81" s="361"/>
      <c r="G81" s="338"/>
      <c r="H81" s="376"/>
      <c r="I81" s="367"/>
      <c r="J81" s="383"/>
      <c r="K81" s="280"/>
      <c r="L81" s="383"/>
      <c r="M81" s="280"/>
      <c r="N81" s="383"/>
      <c r="O81" s="280"/>
      <c r="P81" s="383"/>
      <c r="Q81" s="205"/>
      <c r="R81" s="206"/>
      <c r="S81" s="205"/>
      <c r="T81" s="206"/>
      <c r="U81" s="148"/>
      <c r="V81" s="418"/>
      <c r="W81" s="148"/>
      <c r="X81" s="419"/>
      <c r="Y81" s="121"/>
    </row>
    <row r="82" spans="1:25" ht="15.75" customHeight="1" x14ac:dyDescent="0.3">
      <c r="B82" s="848"/>
      <c r="C82" s="851"/>
      <c r="D82" s="918"/>
      <c r="E82" s="362" t="s">
        <v>156</v>
      </c>
      <c r="F82" s="358"/>
      <c r="G82" s="341"/>
      <c r="H82" s="377"/>
      <c r="I82" s="368"/>
      <c r="J82" s="384"/>
      <c r="K82" s="281"/>
      <c r="L82" s="384"/>
      <c r="M82" s="281"/>
      <c r="N82" s="384"/>
      <c r="O82" s="281"/>
      <c r="P82" s="384"/>
      <c r="Q82" s="207"/>
      <c r="R82" s="208"/>
      <c r="S82" s="207"/>
      <c r="T82" s="208"/>
      <c r="U82" s="154"/>
      <c r="V82" s="420"/>
      <c r="W82" s="154"/>
      <c r="X82" s="422"/>
      <c r="Y82" s="121"/>
    </row>
    <row r="83" spans="1:25" ht="15.75" customHeight="1" x14ac:dyDescent="0.3">
      <c r="B83" s="848"/>
      <c r="C83" s="851"/>
      <c r="D83" s="918"/>
      <c r="E83" s="362" t="s">
        <v>157</v>
      </c>
      <c r="F83" s="358"/>
      <c r="G83" s="341"/>
      <c r="H83" s="377"/>
      <c r="I83" s="368"/>
      <c r="J83" s="384"/>
      <c r="K83" s="281"/>
      <c r="L83" s="384"/>
      <c r="M83" s="281"/>
      <c r="N83" s="384"/>
      <c r="O83" s="281"/>
      <c r="P83" s="384"/>
      <c r="Q83" s="207"/>
      <c r="R83" s="208"/>
      <c r="S83" s="207"/>
      <c r="T83" s="208"/>
      <c r="U83" s="154"/>
      <c r="V83" s="420"/>
      <c r="W83" s="154"/>
      <c r="X83" s="422"/>
      <c r="Y83" s="121"/>
    </row>
    <row r="84" spans="1:25" ht="15" customHeight="1" x14ac:dyDescent="0.3">
      <c r="A84" s="123">
        <v>38</v>
      </c>
      <c r="B84" s="848"/>
      <c r="C84" s="851"/>
      <c r="D84" s="918"/>
      <c r="E84" s="362" t="s">
        <v>37</v>
      </c>
      <c r="F84" s="525" t="s">
        <v>60</v>
      </c>
      <c r="G84" s="341">
        <f>'2021'!G84-'2020'!G84</f>
        <v>129</v>
      </c>
      <c r="H84" s="377">
        <f>IF('2021'!G84=0,0,IF('2020'!G84=0,0,'2021'!G84/'2020'!G84-1))</f>
        <v>0.59447004608294929</v>
      </c>
      <c r="I84" s="368">
        <f>'2021'!H84-'2020'!H84</f>
        <v>72</v>
      </c>
      <c r="J84" s="384">
        <f>IF(I84=0,0,'2021'!H84/'2020'!H84-1)</f>
        <v>0.70588235294117641</v>
      </c>
      <c r="K84" s="281">
        <f>'2021'!J84-'2020'!J84</f>
        <v>46.070000000000007</v>
      </c>
      <c r="L84" s="384">
        <f>IF('2021'!J84=0,0,IF('2020'!J84=0,0,'2021'!J84/'2020'!J84-1))</f>
        <v>0.73208326712219951</v>
      </c>
      <c r="M84" s="281">
        <f>'2021'!L84-'2020'!L84</f>
        <v>13</v>
      </c>
      <c r="N84" s="384">
        <f>IF('2021'!L84=0,0,IF('2020'!L84=0,0,'2021'!L84/'2020'!L84-1))</f>
        <v>0.18840579710144922</v>
      </c>
      <c r="O84" s="281">
        <f>IF('2020'!N84="-",0,'2021'!N84-'2020'!N84)</f>
        <v>0</v>
      </c>
      <c r="P84" s="384">
        <f>IF('2021'!N84=0,0,IF('2020'!N84="-",0,'2021'!N84/'2020'!N84-1))</f>
        <v>0</v>
      </c>
      <c r="Q84" s="207">
        <v>27</v>
      </c>
      <c r="R84" s="208">
        <v>8</v>
      </c>
      <c r="S84" s="207">
        <v>33</v>
      </c>
      <c r="T84" s="208">
        <v>14</v>
      </c>
      <c r="U84" s="154">
        <f>'2021'!S84-'2020'!S84</f>
        <v>133</v>
      </c>
      <c r="V84" s="420">
        <f>IF('2021'!S84=0,0,IF('2020'!S84=0,0,'2021'!S84/'2020'!S84-1))</f>
        <v>0.55186721991701249</v>
      </c>
      <c r="W84" s="154">
        <f>'2021'!U84-'2020'!U84</f>
        <v>13</v>
      </c>
      <c r="X84" s="422">
        <f>IF('2021'!U84=0,0,IF('2020'!U84=0,0,'2021'!U84/'2020'!U84-1))</f>
        <v>1.4444444444444446</v>
      </c>
      <c r="Y84" s="121"/>
    </row>
    <row r="85" spans="1:25" ht="15" customHeight="1" x14ac:dyDescent="0.3">
      <c r="A85" s="123">
        <v>39</v>
      </c>
      <c r="B85" s="848"/>
      <c r="C85" s="851"/>
      <c r="D85" s="918"/>
      <c r="E85" s="362" t="s">
        <v>158</v>
      </c>
      <c r="F85" s="525" t="s">
        <v>62</v>
      </c>
      <c r="G85" s="341">
        <f>'2021'!G85-'2020'!G85</f>
        <v>74</v>
      </c>
      <c r="H85" s="377">
        <f>IF('2021'!G85=0,0,IF('2020'!G85=0,0,'2021'!G85/'2020'!G85-1))</f>
        <v>0.47435897435897445</v>
      </c>
      <c r="I85" s="368">
        <f>'2021'!H85-'2020'!H85</f>
        <v>29</v>
      </c>
      <c r="J85" s="384">
        <f>IF(I85=0,0,'2021'!H85/'2020'!H85-1)</f>
        <v>0.33333333333333326</v>
      </c>
      <c r="K85" s="281">
        <f>'2021'!J85-'2020'!J85</f>
        <v>29.599999999999994</v>
      </c>
      <c r="L85" s="384">
        <f>IF('2021'!J85=0,0,IF('2020'!J85=0,0,'2021'!J85/'2020'!J85-1))</f>
        <v>0.47435897435897423</v>
      </c>
      <c r="M85" s="281">
        <f>'2021'!L85-'2020'!L85</f>
        <v>16</v>
      </c>
      <c r="N85" s="384">
        <f>IF('2021'!L85=0,0,IF('2020'!L85=0,0,'2021'!L85/'2020'!L85-1))</f>
        <v>0.26229508196721318</v>
      </c>
      <c r="O85" s="281">
        <f>IF('2020'!N85="-",0,'2021'!N85-'2020'!N85)</f>
        <v>0</v>
      </c>
      <c r="P85" s="384">
        <f>IF('2021'!N85=0,0,IF('2020'!N85="-",0,'2021'!N85/'2020'!N85-1))</f>
        <v>0</v>
      </c>
      <c r="Q85" s="207">
        <v>7</v>
      </c>
      <c r="R85" s="208">
        <v>5</v>
      </c>
      <c r="S85" s="207">
        <v>4</v>
      </c>
      <c r="T85" s="208">
        <v>1</v>
      </c>
      <c r="U85" s="154">
        <f>'2021'!S85-'2020'!S85</f>
        <v>70</v>
      </c>
      <c r="V85" s="420">
        <f>IF('2021'!S85=0,0,IF('2020'!S85=0,0,'2021'!S85/'2020'!S85-1))</f>
        <v>0.47945205479452047</v>
      </c>
      <c r="W85" s="154">
        <f>'2021'!U85-'2020'!U85</f>
        <v>4</v>
      </c>
      <c r="X85" s="422">
        <f>IF('2021'!U85=0,0,IF('2020'!U85=0,0,'2021'!U85/'2020'!U85-1))</f>
        <v>0.28571428571428581</v>
      </c>
      <c r="Y85" s="121"/>
    </row>
    <row r="86" spans="1:25" ht="15" customHeight="1" x14ac:dyDescent="0.3">
      <c r="A86" s="123">
        <v>40</v>
      </c>
      <c r="B86" s="848"/>
      <c r="C86" s="851"/>
      <c r="D86" s="918"/>
      <c r="E86" s="362" t="s">
        <v>38</v>
      </c>
      <c r="F86" s="525" t="s">
        <v>62</v>
      </c>
      <c r="G86" s="341">
        <f>'2021'!G86-'2020'!G86</f>
        <v>72</v>
      </c>
      <c r="H86" s="377">
        <f>IF('2021'!G86=0,0,IF('2020'!G86=0,0,'2021'!G86/'2020'!G86-1))</f>
        <v>0.43113772455089827</v>
      </c>
      <c r="I86" s="368">
        <f>'2021'!H86-'2020'!H86</f>
        <v>34</v>
      </c>
      <c r="J86" s="384">
        <f>IF(I86=0,0,'2021'!H86/'2020'!H86-1)</f>
        <v>0.42500000000000004</v>
      </c>
      <c r="K86" s="281">
        <f>'2021'!J86-'2020'!J86</f>
        <v>41.58</v>
      </c>
      <c r="L86" s="384">
        <f>IF('2021'!J86=0,0,IF('2020'!J86=0,0,'2021'!J86/'2020'!J86-1))</f>
        <v>0.95762321510824489</v>
      </c>
      <c r="M86" s="281">
        <f>'2021'!L86-'2020'!L86</f>
        <v>15</v>
      </c>
      <c r="N86" s="384">
        <f>IF('2021'!L86=0,0,IF('2020'!L86=0,0,'2021'!L86/'2020'!L86-1))</f>
        <v>0.24193548387096775</v>
      </c>
      <c r="O86" s="281">
        <f>IF('2020'!N86="-",0,'2021'!N86-'2020'!N86)</f>
        <v>0</v>
      </c>
      <c r="P86" s="384">
        <f>IF('2021'!N86=0,0,IF('2020'!N86="-",0,'2021'!N86/'2020'!N86-1))</f>
        <v>0</v>
      </c>
      <c r="Q86" s="207">
        <v>7</v>
      </c>
      <c r="R86" s="208">
        <v>3</v>
      </c>
      <c r="S86" s="207">
        <v>33</v>
      </c>
      <c r="T86" s="208">
        <v>14</v>
      </c>
      <c r="U86" s="154">
        <f>'2021'!S86-'2020'!S86</f>
        <v>75</v>
      </c>
      <c r="V86" s="420">
        <f>IF('2021'!S86=0,0,IF('2020'!S86=0,0,'2021'!S86/'2020'!S86-1))</f>
        <v>0.49019607843137258</v>
      </c>
      <c r="W86" s="154">
        <f>'2021'!U86-'2020'!U86</f>
        <v>0</v>
      </c>
      <c r="X86" s="422">
        <f>IF('2021'!U86=0,0,IF('2020'!U86=0,0,'2021'!U86/'2020'!U86-1))</f>
        <v>0</v>
      </c>
      <c r="Y86" s="121"/>
    </row>
    <row r="87" spans="1:25" ht="15" customHeight="1" x14ac:dyDescent="0.3">
      <c r="B87" s="848"/>
      <c r="C87" s="851"/>
      <c r="D87" s="918"/>
      <c r="E87" s="362" t="s">
        <v>159</v>
      </c>
      <c r="F87" s="525"/>
      <c r="G87" s="341"/>
      <c r="H87" s="377"/>
      <c r="I87" s="368"/>
      <c r="J87" s="384"/>
      <c r="K87" s="281"/>
      <c r="L87" s="384"/>
      <c r="M87" s="281"/>
      <c r="N87" s="384"/>
      <c r="O87" s="281"/>
      <c r="P87" s="384"/>
      <c r="Q87" s="207"/>
      <c r="R87" s="208"/>
      <c r="S87" s="207"/>
      <c r="T87" s="208"/>
      <c r="U87" s="154"/>
      <c r="V87" s="420"/>
      <c r="W87" s="154"/>
      <c r="X87" s="422"/>
      <c r="Y87" s="121"/>
    </row>
    <row r="88" spans="1:25" ht="15" customHeight="1" x14ac:dyDescent="0.3">
      <c r="A88" s="123">
        <v>41</v>
      </c>
      <c r="B88" s="848"/>
      <c r="C88" s="851"/>
      <c r="D88" s="918"/>
      <c r="E88" s="362" t="s">
        <v>149</v>
      </c>
      <c r="F88" s="525"/>
      <c r="G88" s="341"/>
      <c r="H88" s="377"/>
      <c r="I88" s="368"/>
      <c r="J88" s="384"/>
      <c r="K88" s="281"/>
      <c r="L88" s="384"/>
      <c r="M88" s="281"/>
      <c r="N88" s="384"/>
      <c r="O88" s="281"/>
      <c r="P88" s="384"/>
      <c r="Q88" s="207"/>
      <c r="R88" s="208"/>
      <c r="S88" s="207"/>
      <c r="T88" s="208"/>
      <c r="U88" s="154"/>
      <c r="V88" s="420"/>
      <c r="W88" s="154"/>
      <c r="X88" s="422"/>
      <c r="Y88" s="121"/>
    </row>
    <row r="89" spans="1:25" ht="15" customHeight="1" x14ac:dyDescent="0.3">
      <c r="A89" s="123">
        <v>42</v>
      </c>
      <c r="B89" s="848"/>
      <c r="C89" s="851"/>
      <c r="D89" s="918"/>
      <c r="E89" s="362" t="s">
        <v>150</v>
      </c>
      <c r="F89" s="525"/>
      <c r="G89" s="341"/>
      <c r="H89" s="377"/>
      <c r="I89" s="368"/>
      <c r="J89" s="384"/>
      <c r="K89" s="281"/>
      <c r="L89" s="384"/>
      <c r="M89" s="281"/>
      <c r="N89" s="384"/>
      <c r="O89" s="281"/>
      <c r="P89" s="384"/>
      <c r="Q89" s="207"/>
      <c r="R89" s="208"/>
      <c r="S89" s="207"/>
      <c r="T89" s="208"/>
      <c r="U89" s="154"/>
      <c r="V89" s="420"/>
      <c r="W89" s="154"/>
      <c r="X89" s="422"/>
      <c r="Y89" s="121"/>
    </row>
    <row r="90" spans="1:25" ht="15" customHeight="1" x14ac:dyDescent="0.3">
      <c r="B90" s="848"/>
      <c r="C90" s="851"/>
      <c r="D90" s="918"/>
      <c r="E90" s="362"/>
      <c r="F90" s="525"/>
      <c r="G90" s="341"/>
      <c r="H90" s="377"/>
      <c r="I90" s="368"/>
      <c r="J90" s="384"/>
      <c r="K90" s="281"/>
      <c r="L90" s="384"/>
      <c r="M90" s="281"/>
      <c r="N90" s="384"/>
      <c r="O90" s="281"/>
      <c r="P90" s="384"/>
      <c r="Q90" s="207"/>
      <c r="R90" s="208"/>
      <c r="S90" s="207"/>
      <c r="T90" s="208"/>
      <c r="U90" s="154"/>
      <c r="V90" s="420"/>
      <c r="W90" s="154"/>
      <c r="X90" s="422"/>
      <c r="Y90" s="121"/>
    </row>
    <row r="91" spans="1:25" ht="15" customHeight="1" x14ac:dyDescent="0.3">
      <c r="B91" s="848"/>
      <c r="C91" s="851"/>
      <c r="D91" s="918"/>
      <c r="E91" s="362"/>
      <c r="F91" s="525"/>
      <c r="G91" s="341"/>
      <c r="H91" s="377"/>
      <c r="I91" s="368"/>
      <c r="J91" s="384"/>
      <c r="K91" s="281"/>
      <c r="L91" s="384"/>
      <c r="M91" s="281"/>
      <c r="N91" s="384"/>
      <c r="O91" s="281"/>
      <c r="P91" s="384"/>
      <c r="Q91" s="207"/>
      <c r="R91" s="208"/>
      <c r="S91" s="207"/>
      <c r="T91" s="208"/>
      <c r="U91" s="154"/>
      <c r="V91" s="420"/>
      <c r="W91" s="154"/>
      <c r="X91" s="422"/>
      <c r="Y91" s="121"/>
    </row>
    <row r="92" spans="1:25" ht="15" customHeight="1" x14ac:dyDescent="0.3">
      <c r="A92" s="123">
        <v>43</v>
      </c>
      <c r="B92" s="848"/>
      <c r="C92" s="851"/>
      <c r="D92" s="919"/>
      <c r="E92" s="362" t="s">
        <v>153</v>
      </c>
      <c r="F92" s="525"/>
      <c r="G92" s="341"/>
      <c r="H92" s="377"/>
      <c r="I92" s="368"/>
      <c r="J92" s="384"/>
      <c r="K92" s="281"/>
      <c r="L92" s="384"/>
      <c r="M92" s="281"/>
      <c r="N92" s="384"/>
      <c r="O92" s="281"/>
      <c r="P92" s="384"/>
      <c r="Q92" s="207"/>
      <c r="R92" s="208"/>
      <c r="S92" s="207"/>
      <c r="T92" s="208"/>
      <c r="U92" s="154"/>
      <c r="V92" s="420"/>
      <c r="W92" s="154"/>
      <c r="X92" s="422"/>
      <c r="Y92" s="121"/>
    </row>
    <row r="93" spans="1:25" ht="15.6" x14ac:dyDescent="0.3">
      <c r="B93" s="849"/>
      <c r="C93" s="852"/>
      <c r="D93" s="561" t="s">
        <v>138</v>
      </c>
      <c r="E93" s="363"/>
      <c r="F93" s="526"/>
      <c r="G93" s="344">
        <f>SUM(G84:G92)</f>
        <v>275</v>
      </c>
      <c r="H93" s="378">
        <f>G93/SUM('2020'!G84:G86)</f>
        <v>0.5092592592592593</v>
      </c>
      <c r="I93" s="369">
        <f>SUM(I84:I92)</f>
        <v>135</v>
      </c>
      <c r="J93" s="385">
        <f>I93/SUM('2020'!H84:H86)</f>
        <v>0.5018587360594795</v>
      </c>
      <c r="K93" s="282">
        <f>SUM(K84:K92)</f>
        <v>117.25</v>
      </c>
      <c r="L93" s="385">
        <f>K93/SUM('2020'!J84:J86)</f>
        <v>0.69481481481481477</v>
      </c>
      <c r="M93" s="282">
        <f>SUM(M84:M92)</f>
        <v>44</v>
      </c>
      <c r="N93" s="385">
        <f>M93/SUM('2020'!L84:L86)</f>
        <v>0.22916666666666666</v>
      </c>
      <c r="O93" s="282">
        <f>SUM(O84:O92)</f>
        <v>0</v>
      </c>
      <c r="P93" s="385" t="e">
        <f>O93/SUM('2020'!N84:N86)</f>
        <v>#DIV/0!</v>
      </c>
      <c r="Q93" s="209">
        <f>SUM(Q84:Q92)</f>
        <v>41</v>
      </c>
      <c r="R93" s="210">
        <f t="shared" ref="R93:T93" si="0">SUM(R84:R92)</f>
        <v>16</v>
      </c>
      <c r="S93" s="209">
        <f t="shared" si="0"/>
        <v>70</v>
      </c>
      <c r="T93" s="210">
        <f t="shared" si="0"/>
        <v>29</v>
      </c>
      <c r="U93" s="162">
        <f>SUM(U79:U92)</f>
        <v>487</v>
      </c>
      <c r="V93" s="421">
        <f>IF('2021'!S93=0,0,IF('2020'!S93=0,0,'2021'!S93/'2020'!S93-1))</f>
        <v>0.63148148148148153</v>
      </c>
      <c r="W93" s="162">
        <f>SUM(W79:W92)</f>
        <v>27</v>
      </c>
      <c r="X93" s="423">
        <f>IF('2021'!U93=0,0,IF('2020'!U93=0,0,'2021'!U93/'2020'!U93-1))</f>
        <v>0.44285714285714284</v>
      </c>
      <c r="Y93" s="121"/>
    </row>
    <row r="94" spans="1:25" ht="15.75" customHeight="1" x14ac:dyDescent="0.3">
      <c r="A94" s="123">
        <v>44</v>
      </c>
      <c r="B94" s="843" t="s">
        <v>72</v>
      </c>
      <c r="C94" s="846" t="s">
        <v>76</v>
      </c>
      <c r="D94" s="899">
        <f>'2021'!D94-'2020'!D94</f>
        <v>3</v>
      </c>
      <c r="E94" s="336" t="s">
        <v>151</v>
      </c>
      <c r="F94" s="347" t="s">
        <v>62</v>
      </c>
      <c r="G94" s="338">
        <f>'2021'!G94-'2020'!G94</f>
        <v>26</v>
      </c>
      <c r="H94" s="376">
        <f>IF('2021'!G94=0,0,IF('2020'!G94=0,0,'2021'!G94/'2020'!G94-1))</f>
        <v>1.2380952380952381</v>
      </c>
      <c r="I94" s="367">
        <f>'2021'!H94-'2020'!H94</f>
        <v>30</v>
      </c>
      <c r="J94" s="383">
        <f>IF(I94=0,0,'2021'!H94/'2020'!H94-1)</f>
        <v>3.75</v>
      </c>
      <c r="K94" s="280">
        <f>'2021'!J94-'2020'!J94</f>
        <v>2.91</v>
      </c>
      <c r="L94" s="383">
        <f>IF('2021'!J94=0,0,IF('2020'!J94=0,0,'2021'!J94/'2020'!J94-1))</f>
        <v>0.47783251231527091</v>
      </c>
      <c r="M94" s="280">
        <f>'2021'!L94-'2020'!L94</f>
        <v>4.28</v>
      </c>
      <c r="N94" s="383">
        <f>IF('2021'!L94=0,0,IF('2020'!L94=0,0,'2021'!L94/'2020'!L94-1))</f>
        <v>0.63690476190476186</v>
      </c>
      <c r="O94" s="280">
        <f>IF('2020'!N94="-",0,'2021'!N94-'2020'!N94)</f>
        <v>6</v>
      </c>
      <c r="P94" s="383" t="e">
        <f>IF('2021'!N94=0,0,IF('2020'!N94="-",0,'2021'!N94/'2020'!N94-1))</f>
        <v>#DIV/0!</v>
      </c>
      <c r="Q94" s="205">
        <v>1</v>
      </c>
      <c r="R94" s="206">
        <v>0</v>
      </c>
      <c r="S94" s="205">
        <v>7</v>
      </c>
      <c r="T94" s="206">
        <v>5</v>
      </c>
      <c r="U94" s="148">
        <f>'2021'!S94-'2020'!S94</f>
        <v>26</v>
      </c>
      <c r="V94" s="418">
        <f>IF('2021'!S94=0,0,IF('2020'!S94=0,0,'2021'!S94/'2020'!S94-1))</f>
        <v>1.3684210526315788</v>
      </c>
      <c r="W94" s="148">
        <f>'2021'!U94-'2020'!U94</f>
        <v>-6</v>
      </c>
      <c r="X94" s="419">
        <f>IF('2021'!U94=0,0,IF('2020'!U94=0,0,'2021'!U94/'2020'!U94-1))</f>
        <v>-0.66666666666666674</v>
      </c>
      <c r="Y94" s="121"/>
    </row>
    <row r="95" spans="1:25" ht="15.75" customHeight="1" x14ac:dyDescent="0.3">
      <c r="A95" s="123">
        <v>45</v>
      </c>
      <c r="B95" s="838"/>
      <c r="C95" s="841"/>
      <c r="D95" s="899"/>
      <c r="E95" s="444" t="s">
        <v>154</v>
      </c>
      <c r="F95" s="351"/>
      <c r="G95" s="341"/>
      <c r="H95" s="377"/>
      <c r="I95" s="368"/>
      <c r="J95" s="384"/>
      <c r="K95" s="281"/>
      <c r="L95" s="384"/>
      <c r="M95" s="281"/>
      <c r="N95" s="384"/>
      <c r="O95" s="281"/>
      <c r="P95" s="384"/>
      <c r="Q95" s="207"/>
      <c r="R95" s="208"/>
      <c r="S95" s="207"/>
      <c r="T95" s="208"/>
      <c r="U95" s="154"/>
      <c r="V95" s="420"/>
      <c r="W95" s="154"/>
      <c r="X95" s="422"/>
      <c r="Y95" s="121"/>
    </row>
    <row r="96" spans="1:25" ht="15.75" customHeight="1" x14ac:dyDescent="0.3">
      <c r="B96" s="838"/>
      <c r="C96" s="841"/>
      <c r="D96" s="899"/>
      <c r="E96" s="762"/>
      <c r="F96" s="351"/>
      <c r="G96" s="682"/>
      <c r="H96" s="683"/>
      <c r="I96" s="684"/>
      <c r="J96" s="685"/>
      <c r="K96" s="686"/>
      <c r="L96" s="685"/>
      <c r="M96" s="686"/>
      <c r="N96" s="685"/>
      <c r="O96" s="686"/>
      <c r="P96" s="685"/>
      <c r="Q96" s="687"/>
      <c r="R96" s="688"/>
      <c r="S96" s="687"/>
      <c r="T96" s="688"/>
      <c r="U96" s="537"/>
      <c r="V96" s="734"/>
      <c r="W96" s="537"/>
      <c r="X96" s="538"/>
      <c r="Y96" s="121"/>
    </row>
    <row r="97" spans="1:25" ht="15.75" customHeight="1" x14ac:dyDescent="0.3">
      <c r="B97" s="838"/>
      <c r="C97" s="841"/>
      <c r="D97" s="899"/>
      <c r="E97" s="762"/>
      <c r="F97" s="351"/>
      <c r="G97" s="682"/>
      <c r="H97" s="683"/>
      <c r="I97" s="684"/>
      <c r="J97" s="685"/>
      <c r="K97" s="686"/>
      <c r="L97" s="685"/>
      <c r="M97" s="686"/>
      <c r="N97" s="685"/>
      <c r="O97" s="686"/>
      <c r="P97" s="685"/>
      <c r="Q97" s="687"/>
      <c r="R97" s="688"/>
      <c r="S97" s="687"/>
      <c r="T97" s="688"/>
      <c r="U97" s="537"/>
      <c r="V97" s="734"/>
      <c r="W97" s="537"/>
      <c r="X97" s="538"/>
      <c r="Y97" s="121"/>
    </row>
    <row r="98" spans="1:25" ht="15.75" customHeight="1" x14ac:dyDescent="0.3">
      <c r="A98" s="123">
        <v>46</v>
      </c>
      <c r="B98" s="838"/>
      <c r="C98" s="841"/>
      <c r="D98" s="899"/>
      <c r="E98" s="519" t="s">
        <v>36</v>
      </c>
      <c r="F98" s="347"/>
      <c r="G98" s="344"/>
      <c r="H98" s="378"/>
      <c r="I98" s="369"/>
      <c r="J98" s="385"/>
      <c r="K98" s="282"/>
      <c r="L98" s="385"/>
      <c r="M98" s="282"/>
      <c r="N98" s="385"/>
      <c r="O98" s="282"/>
      <c r="P98" s="385"/>
      <c r="Q98" s="209"/>
      <c r="R98" s="210"/>
      <c r="S98" s="209"/>
      <c r="T98" s="210"/>
      <c r="U98" s="162"/>
      <c r="V98" s="421"/>
      <c r="W98" s="537"/>
      <c r="X98" s="538"/>
      <c r="Y98" s="121"/>
    </row>
    <row r="99" spans="1:25" ht="15.75" customHeight="1" x14ac:dyDescent="0.3">
      <c r="B99" s="845"/>
      <c r="C99" s="842"/>
      <c r="D99" s="540" t="s">
        <v>138</v>
      </c>
      <c r="E99" s="346"/>
      <c r="F99" s="347"/>
      <c r="G99" s="348">
        <f>SUM(G94:G98)</f>
        <v>26</v>
      </c>
      <c r="H99" s="379">
        <f>G99/'2020'!G94</f>
        <v>1.2380952380952381</v>
      </c>
      <c r="I99" s="370">
        <f>SUM(I94:I98)</f>
        <v>30</v>
      </c>
      <c r="J99" s="386">
        <f>I99/'2020'!H94</f>
        <v>3.75</v>
      </c>
      <c r="K99" s="370">
        <f>SUM(K94:K98)</f>
        <v>2.91</v>
      </c>
      <c r="L99" s="386">
        <f>K99/'2020'!J94</f>
        <v>0.47783251231527096</v>
      </c>
      <c r="M99" s="370">
        <f>SUM(M94:M98)</f>
        <v>4.28</v>
      </c>
      <c r="N99" s="386">
        <f>M99/'2020'!L94</f>
        <v>0.63690476190476197</v>
      </c>
      <c r="O99" s="370">
        <f>SUM(O94:O98)</f>
        <v>6</v>
      </c>
      <c r="P99" s="386" t="e">
        <f>O99/'2020'!N94</f>
        <v>#DIV/0!</v>
      </c>
      <c r="Q99" s="211">
        <f>SUM(Q94:Q98)</f>
        <v>1</v>
      </c>
      <c r="R99" s="212">
        <f t="shared" ref="R99:T99" si="1">SUM(R94:R98)</f>
        <v>0</v>
      </c>
      <c r="S99" s="211">
        <f t="shared" si="1"/>
        <v>7</v>
      </c>
      <c r="T99" s="212">
        <f t="shared" si="1"/>
        <v>5</v>
      </c>
      <c r="U99" s="166">
        <f>SUM(U86:U98)</f>
        <v>588</v>
      </c>
      <c r="V99" s="424">
        <f>IF('2021'!S99=0,0,IF('2020'!S99=0,0,'2021'!S99/'2020'!S99-1))</f>
        <v>3.1052631578947372</v>
      </c>
      <c r="W99" s="166">
        <f>SUM(W86:W98)</f>
        <v>21</v>
      </c>
      <c r="X99" s="425">
        <f>IF('2021'!U99=0,0,IF('2020'!U99=0,0,'2021'!U99/'2020'!U99-1))</f>
        <v>0.77777777777777768</v>
      </c>
      <c r="Y99" s="121"/>
    </row>
    <row r="100" spans="1:25" ht="15.75" customHeight="1" thickBot="1" x14ac:dyDescent="0.35">
      <c r="A100" s="123">
        <v>47</v>
      </c>
      <c r="B100" s="843" t="s">
        <v>3</v>
      </c>
      <c r="C100" s="853" t="s">
        <v>76</v>
      </c>
      <c r="D100" s="899">
        <f>'2021'!D100-'2020'!D100</f>
        <v>-3</v>
      </c>
      <c r="E100" s="336" t="s">
        <v>48</v>
      </c>
      <c r="F100" s="337" t="s">
        <v>61</v>
      </c>
      <c r="G100" s="338"/>
      <c r="H100" s="376"/>
      <c r="I100" s="367"/>
      <c r="J100" s="383"/>
      <c r="K100" s="280"/>
      <c r="L100" s="383"/>
      <c r="M100" s="280"/>
      <c r="N100" s="383"/>
      <c r="O100" s="280"/>
      <c r="P100" s="383"/>
      <c r="Q100" s="205"/>
      <c r="R100" s="206"/>
      <c r="S100" s="205"/>
      <c r="T100" s="206"/>
      <c r="U100" s="147"/>
      <c r="V100" s="144"/>
      <c r="W100" s="147"/>
      <c r="X100" s="169"/>
      <c r="Y100" s="121"/>
    </row>
    <row r="101" spans="1:25" ht="15.75" customHeight="1" thickBot="1" x14ac:dyDescent="0.35">
      <c r="A101" s="123">
        <v>48</v>
      </c>
      <c r="B101" s="838"/>
      <c r="C101" s="854"/>
      <c r="D101" s="899"/>
      <c r="E101" s="339" t="s">
        <v>49</v>
      </c>
      <c r="F101" s="340" t="s">
        <v>61</v>
      </c>
      <c r="G101" s="341"/>
      <c r="H101" s="377"/>
      <c r="I101" s="368"/>
      <c r="J101" s="384"/>
      <c r="K101" s="281"/>
      <c r="L101" s="384"/>
      <c r="M101" s="281"/>
      <c r="N101" s="384"/>
      <c r="O101" s="281"/>
      <c r="P101" s="384"/>
      <c r="Q101" s="207"/>
      <c r="R101" s="208"/>
      <c r="S101" s="207"/>
      <c r="T101" s="208"/>
      <c r="U101" s="153"/>
      <c r="V101" s="150"/>
      <c r="W101" s="153"/>
      <c r="X101" s="157"/>
      <c r="Y101" s="121"/>
    </row>
    <row r="102" spans="1:25" ht="15.75" customHeight="1" thickBot="1" x14ac:dyDescent="0.35">
      <c r="A102" s="123">
        <v>49</v>
      </c>
      <c r="B102" s="838"/>
      <c r="C102" s="854"/>
      <c r="D102" s="899"/>
      <c r="E102" s="339" t="s">
        <v>81</v>
      </c>
      <c r="F102" s="340" t="s">
        <v>61</v>
      </c>
      <c r="G102" s="341"/>
      <c r="H102" s="377"/>
      <c r="I102" s="368"/>
      <c r="J102" s="384"/>
      <c r="K102" s="281"/>
      <c r="L102" s="384"/>
      <c r="M102" s="281"/>
      <c r="N102" s="384"/>
      <c r="O102" s="281"/>
      <c r="P102" s="384"/>
      <c r="Q102" s="207"/>
      <c r="R102" s="208"/>
      <c r="S102" s="207"/>
      <c r="T102" s="208"/>
      <c r="U102" s="153"/>
      <c r="V102" s="150"/>
      <c r="W102" s="153"/>
      <c r="X102" s="157"/>
      <c r="Y102" s="121"/>
    </row>
    <row r="103" spans="1:25" ht="15.75" customHeight="1" thickBot="1" x14ac:dyDescent="0.35">
      <c r="A103" s="123">
        <v>50</v>
      </c>
      <c r="B103" s="838"/>
      <c r="C103" s="854"/>
      <c r="D103" s="899"/>
      <c r="E103" s="339" t="s">
        <v>73</v>
      </c>
      <c r="F103" s="340" t="s">
        <v>61</v>
      </c>
      <c r="G103" s="341"/>
      <c r="H103" s="377"/>
      <c r="I103" s="368"/>
      <c r="J103" s="384"/>
      <c r="K103" s="281"/>
      <c r="L103" s="384"/>
      <c r="M103" s="281"/>
      <c r="N103" s="384"/>
      <c r="O103" s="281"/>
      <c r="P103" s="384"/>
      <c r="Q103" s="207"/>
      <c r="R103" s="208"/>
      <c r="S103" s="207"/>
      <c r="T103" s="208"/>
      <c r="U103" s="153"/>
      <c r="V103" s="150"/>
      <c r="W103" s="153"/>
      <c r="X103" s="157"/>
      <c r="Y103" s="121"/>
    </row>
    <row r="104" spans="1:25" ht="15.75" customHeight="1" thickBot="1" x14ac:dyDescent="0.35">
      <c r="A104" s="123">
        <v>51</v>
      </c>
      <c r="B104" s="838"/>
      <c r="C104" s="854"/>
      <c r="D104" s="899"/>
      <c r="E104" s="339" t="s">
        <v>50</v>
      </c>
      <c r="F104" s="340" t="s">
        <v>61</v>
      </c>
      <c r="G104" s="341"/>
      <c r="H104" s="377"/>
      <c r="I104" s="368"/>
      <c r="J104" s="384"/>
      <c r="K104" s="281"/>
      <c r="L104" s="384"/>
      <c r="M104" s="281"/>
      <c r="N104" s="384"/>
      <c r="O104" s="281"/>
      <c r="P104" s="384"/>
      <c r="Q104" s="207"/>
      <c r="R104" s="208"/>
      <c r="S104" s="207"/>
      <c r="T104" s="208"/>
      <c r="U104" s="153"/>
      <c r="V104" s="150"/>
      <c r="W104" s="153"/>
      <c r="X104" s="157"/>
      <c r="Y104" s="121"/>
    </row>
    <row r="105" spans="1:25" ht="15.75" customHeight="1" thickBot="1" x14ac:dyDescent="0.35">
      <c r="A105" s="123">
        <v>52</v>
      </c>
      <c r="B105" s="838"/>
      <c r="C105" s="854"/>
      <c r="D105" s="899"/>
      <c r="E105" s="339" t="s">
        <v>145</v>
      </c>
      <c r="F105" s="340"/>
      <c r="G105" s="341"/>
      <c r="H105" s="377"/>
      <c r="I105" s="368"/>
      <c r="J105" s="377"/>
      <c r="K105" s="281"/>
      <c r="L105" s="384"/>
      <c r="M105" s="281"/>
      <c r="N105" s="384"/>
      <c r="O105" s="281"/>
      <c r="P105" s="384"/>
      <c r="Q105" s="207"/>
      <c r="R105" s="208"/>
      <c r="S105" s="207"/>
      <c r="T105" s="208"/>
      <c r="U105" s="153"/>
      <c r="V105" s="150"/>
      <c r="W105" s="153"/>
      <c r="X105" s="157"/>
      <c r="Y105" s="121"/>
    </row>
    <row r="106" spans="1:25" ht="15.75" customHeight="1" thickBot="1" x14ac:dyDescent="0.35">
      <c r="A106" s="123">
        <v>53</v>
      </c>
      <c r="B106" s="838"/>
      <c r="C106" s="854"/>
      <c r="D106" s="899"/>
      <c r="E106" s="339" t="s">
        <v>144</v>
      </c>
      <c r="F106" s="340"/>
      <c r="G106" s="341"/>
      <c r="H106" s="377"/>
      <c r="I106" s="368"/>
      <c r="J106" s="377"/>
      <c r="K106" s="281"/>
      <c r="L106" s="384"/>
      <c r="M106" s="281"/>
      <c r="N106" s="384"/>
      <c r="O106" s="281"/>
      <c r="P106" s="384"/>
      <c r="Q106" s="207"/>
      <c r="R106" s="208"/>
      <c r="S106" s="207"/>
      <c r="T106" s="208"/>
      <c r="U106" s="153"/>
      <c r="V106" s="150"/>
      <c r="W106" s="153"/>
      <c r="X106" s="157"/>
      <c r="Y106" s="121"/>
    </row>
    <row r="107" spans="1:25" ht="15.75" customHeight="1" thickBot="1" x14ac:dyDescent="0.35">
      <c r="A107" s="123">
        <v>54</v>
      </c>
      <c r="B107" s="838"/>
      <c r="C107" s="854"/>
      <c r="D107" s="899"/>
      <c r="E107" s="339" t="s">
        <v>80</v>
      </c>
      <c r="F107" s="340" t="s">
        <v>61</v>
      </c>
      <c r="G107" s="341">
        <f>'2021'!G107-'2020'!G107</f>
        <v>122</v>
      </c>
      <c r="H107" s="377">
        <f>IF('2021'!G107=0,0,IF('2020'!G107=0,0,'2021'!G107/'2020'!G107-1))</f>
        <v>0.18740399385560669</v>
      </c>
      <c r="I107" s="368">
        <f>'2021'!H107-'2020'!H107</f>
        <v>122</v>
      </c>
      <c r="J107" s="384">
        <f>IF(I107=0,0,'2021'!H107/'2020'!H107-1)</f>
        <v>0.18740399385560669</v>
      </c>
      <c r="K107" s="281">
        <f>'2021'!J107-'2020'!J107</f>
        <v>304</v>
      </c>
      <c r="L107" s="384">
        <f>IF('2021'!J107=0,0,IF('2020'!J107=0,0,'2021'!J107/'2020'!J107-1))</f>
        <v>0</v>
      </c>
      <c r="M107" s="281">
        <f>'2021'!L107-'2020'!L107</f>
        <v>83</v>
      </c>
      <c r="N107" s="384">
        <f>IF('2021'!L107=0,0,IF('2020'!L107=0,0,'2021'!L107/'2020'!L107-1))</f>
        <v>0.33200000000000007</v>
      </c>
      <c r="O107" s="281">
        <f>IF('2020'!N107="-",0,'2021'!N107-'2020'!N107)</f>
        <v>192</v>
      </c>
      <c r="P107" s="384">
        <f>IF('2021'!N107=0,0,IF('2020'!N107="",0,'2021'!N107/'2020'!N107-1))</f>
        <v>0</v>
      </c>
      <c r="Q107" s="207"/>
      <c r="R107" s="208"/>
      <c r="S107" s="207"/>
      <c r="T107" s="208"/>
      <c r="U107" s="153"/>
      <c r="V107" s="150"/>
      <c r="W107" s="153"/>
      <c r="X107" s="157"/>
      <c r="Y107" s="121"/>
    </row>
    <row r="108" spans="1:25" ht="15.75" customHeight="1" thickBot="1" x14ac:dyDescent="0.35">
      <c r="A108" s="123">
        <v>55</v>
      </c>
      <c r="B108" s="838"/>
      <c r="C108" s="854"/>
      <c r="D108" s="899"/>
      <c r="E108" s="339" t="s">
        <v>51</v>
      </c>
      <c r="F108" s="340" t="s">
        <v>61</v>
      </c>
      <c r="G108" s="341">
        <f>'2021'!G108-'2020'!G108</f>
        <v>14</v>
      </c>
      <c r="H108" s="377">
        <f>IF('2021'!G108=0,0,IF('2020'!G108=0,0,'2021'!G108/'2020'!G108-1))</f>
        <v>2.2764227642276369E-2</v>
      </c>
      <c r="I108" s="368">
        <f>'2021'!H108-'2020'!H108</f>
        <v>14</v>
      </c>
      <c r="J108" s="384">
        <f>IF(I108=0,0,'2021'!H108/'2020'!H108-1)</f>
        <v>2.2764227642276369E-2</v>
      </c>
      <c r="K108" s="281">
        <f>'2021'!J108-'2020'!J108</f>
        <v>296</v>
      </c>
      <c r="L108" s="384">
        <f>IF('2021'!J108=0,0,IF('2020'!J108=0,0,'2021'!J108/'2020'!J108-1))</f>
        <v>0</v>
      </c>
      <c r="M108" s="281">
        <f>'2021'!L108-'2020'!L108</f>
        <v>70</v>
      </c>
      <c r="N108" s="384">
        <f>IF('2021'!L108=0,0,IF('2020'!L108=0,0,'2021'!L108/'2020'!L108-1))</f>
        <v>0.29045643153526979</v>
      </c>
      <c r="O108" s="281">
        <f>IF('2020'!N108="-",0,'2021'!N108-'2020'!N108)</f>
        <v>182</v>
      </c>
      <c r="P108" s="384">
        <f>IF('2021'!N108=0,0,IF('2020'!N108="",0,'2021'!N108/'2020'!N108-1))</f>
        <v>0</v>
      </c>
      <c r="Q108" s="207"/>
      <c r="R108" s="208"/>
      <c r="S108" s="207"/>
      <c r="T108" s="208"/>
      <c r="U108" s="153"/>
      <c r="V108" s="150"/>
      <c r="W108" s="153"/>
      <c r="X108" s="157"/>
      <c r="Y108" s="121"/>
    </row>
    <row r="109" spans="1:25" ht="15.75" customHeight="1" thickBot="1" x14ac:dyDescent="0.35">
      <c r="B109" s="838"/>
      <c r="C109" s="854"/>
      <c r="D109" s="899"/>
      <c r="E109" s="680"/>
      <c r="F109" s="681"/>
      <c r="G109" s="682"/>
      <c r="H109" s="683"/>
      <c r="I109" s="684"/>
      <c r="J109" s="685"/>
      <c r="K109" s="686"/>
      <c r="L109" s="685"/>
      <c r="M109" s="686"/>
      <c r="N109" s="685"/>
      <c r="O109" s="686"/>
      <c r="P109" s="685"/>
      <c r="Q109" s="687"/>
      <c r="R109" s="688"/>
      <c r="S109" s="687"/>
      <c r="T109" s="688"/>
      <c r="U109" s="689"/>
      <c r="V109" s="690"/>
      <c r="W109" s="689"/>
      <c r="X109" s="691"/>
      <c r="Y109" s="121"/>
    </row>
    <row r="110" spans="1:25" ht="15.75" customHeight="1" thickBot="1" x14ac:dyDescent="0.35">
      <c r="B110" s="838"/>
      <c r="C110" s="854"/>
      <c r="D110" s="899"/>
      <c r="E110" s="680"/>
      <c r="F110" s="681"/>
      <c r="G110" s="682"/>
      <c r="H110" s="683"/>
      <c r="I110" s="684"/>
      <c r="J110" s="685"/>
      <c r="K110" s="686"/>
      <c r="L110" s="685"/>
      <c r="M110" s="686"/>
      <c r="N110" s="685"/>
      <c r="O110" s="686"/>
      <c r="P110" s="685"/>
      <c r="Q110" s="687"/>
      <c r="R110" s="688"/>
      <c r="S110" s="687"/>
      <c r="T110" s="688"/>
      <c r="U110" s="689"/>
      <c r="V110" s="690"/>
      <c r="W110" s="689"/>
      <c r="X110" s="691"/>
      <c r="Y110" s="121"/>
    </row>
    <row r="111" spans="1:25" ht="15.75" customHeight="1" thickBot="1" x14ac:dyDescent="0.35">
      <c r="A111" s="123">
        <v>56</v>
      </c>
      <c r="B111" s="838"/>
      <c r="C111" s="854"/>
      <c r="D111" s="899"/>
      <c r="E111" s="342" t="s">
        <v>52</v>
      </c>
      <c r="F111" s="343" t="s">
        <v>61</v>
      </c>
      <c r="G111" s="344"/>
      <c r="H111" s="378"/>
      <c r="I111" s="369"/>
      <c r="J111" s="385"/>
      <c r="K111" s="282"/>
      <c r="L111" s="385"/>
      <c r="M111" s="282"/>
      <c r="N111" s="385"/>
      <c r="O111" s="282"/>
      <c r="P111" s="385"/>
      <c r="Q111" s="209"/>
      <c r="R111" s="210"/>
      <c r="S111" s="209"/>
      <c r="T111" s="210"/>
      <c r="U111" s="161"/>
      <c r="V111" s="158"/>
      <c r="W111" s="161"/>
      <c r="X111" s="198"/>
      <c r="Y111" s="121"/>
    </row>
    <row r="112" spans="1:25" ht="16.2" thickBot="1" x14ac:dyDescent="0.35">
      <c r="B112" s="844"/>
      <c r="C112" s="854"/>
      <c r="D112" s="392" t="s">
        <v>138</v>
      </c>
      <c r="E112" s="393"/>
      <c r="F112" s="394"/>
      <c r="G112" s="352">
        <f>SUM(G100:G111)</f>
        <v>136</v>
      </c>
      <c r="H112" s="380">
        <f>G112/SUM('2020'!G107:G108)</f>
        <v>0.10742496050552923</v>
      </c>
      <c r="I112" s="371">
        <f>SUM(I100:I111)</f>
        <v>136</v>
      </c>
      <c r="J112" s="387">
        <f>I112/SUM('2020'!H107:H108)</f>
        <v>0.10742496050552923</v>
      </c>
      <c r="K112" s="283">
        <f>SUM(K100:K111)</f>
        <v>600</v>
      </c>
      <c r="L112" s="387" t="e">
        <f>K112/SUM('2020'!J107:J108)</f>
        <v>#DIV/0!</v>
      </c>
      <c r="M112" s="283">
        <f>SUM(M100:M111)</f>
        <v>153</v>
      </c>
      <c r="N112" s="387">
        <f>M112/SUM('2020'!L107:L108)</f>
        <v>0.31160896130346233</v>
      </c>
      <c r="O112" s="283">
        <f>SUM(O100:O111)</f>
        <v>374</v>
      </c>
      <c r="P112" s="387" t="e">
        <f>O112/SUM('2020'!N107:N108)</f>
        <v>#DIV/0!</v>
      </c>
      <c r="Q112" s="279"/>
      <c r="R112" s="286"/>
      <c r="S112" s="279"/>
      <c r="T112" s="286"/>
      <c r="U112" s="287"/>
      <c r="V112" s="288"/>
      <c r="W112" s="287"/>
      <c r="X112" s="289"/>
      <c r="Y112" s="121"/>
    </row>
    <row r="113" spans="1:25" s="53" customFormat="1" ht="21" customHeight="1" thickBot="1" x14ac:dyDescent="0.35">
      <c r="A113" s="123"/>
      <c r="B113" s="241" t="s">
        <v>77</v>
      </c>
      <c r="C113" s="244"/>
      <c r="D113" s="353">
        <f>SUM(D45:D111)</f>
        <v>-28</v>
      </c>
      <c r="E113" s="354">
        <f>COUNT(A45:A112)</f>
        <v>43</v>
      </c>
      <c r="F113" s="355">
        <f>COUNT(K45:K111)</f>
        <v>34</v>
      </c>
      <c r="G113" s="365">
        <f>G53+G69+G80+G93+G94+G112</f>
        <v>633</v>
      </c>
      <c r="H113" s="428">
        <f>G113/'2020'!G113</f>
        <v>0.13195747342088807</v>
      </c>
      <c r="I113" s="373">
        <f>I53+I69+I80+I93+I94+I112</f>
        <v>561</v>
      </c>
      <c r="J113" s="427">
        <f>I113/'2020'!H113</f>
        <v>0.16706372840976771</v>
      </c>
      <c r="K113" s="374">
        <f>K53+K69+K80+K93+K94+K112</f>
        <v>821.95</v>
      </c>
      <c r="L113" s="427">
        <f>K113/'2020'!J113</f>
        <v>0.61428945106685107</v>
      </c>
      <c r="M113" s="374">
        <f>M53+M69+M80+M93+M94+M112</f>
        <v>275.69</v>
      </c>
      <c r="N113" s="427">
        <f>M113/'2020'!L113</f>
        <v>0.14378999744433607</v>
      </c>
      <c r="O113" s="429">
        <f>O53+O69+O80+O93+O99+O112</f>
        <v>424.09980000000002</v>
      </c>
      <c r="P113" s="430">
        <f>IF('2021'!N113=0,0,IF('2020'!N113="-",0,'2021'!N113/'2020'!N113-1))</f>
        <v>6.3375775557453542</v>
      </c>
      <c r="Q113" s="141"/>
      <c r="R113" s="142"/>
      <c r="S113" s="141"/>
      <c r="T113" s="142"/>
      <c r="U113" s="141"/>
      <c r="V113" s="142"/>
      <c r="W113" s="141"/>
      <c r="X113" s="143"/>
      <c r="Y113" s="122"/>
    </row>
    <row r="114" spans="1:25" s="53" customFormat="1" ht="21" customHeight="1" thickBot="1" x14ac:dyDescent="0.35">
      <c r="A114" s="123"/>
      <c r="B114" s="241" t="s">
        <v>66</v>
      </c>
      <c r="C114" s="242"/>
      <c r="D114" s="353">
        <f>D113+D44</f>
        <v>-17</v>
      </c>
      <c r="E114" s="354">
        <f>E44+E113</f>
        <v>71</v>
      </c>
      <c r="F114" s="355">
        <f>F113+F44</f>
        <v>64</v>
      </c>
      <c r="G114" s="365">
        <f>G44+G113</f>
        <v>782</v>
      </c>
      <c r="H114" s="428">
        <f>G114/'2020'!G114</f>
        <v>0.15064534771720284</v>
      </c>
      <c r="I114" s="373">
        <f>I44+I113</f>
        <v>707</v>
      </c>
      <c r="J114" s="427">
        <f>I114/'2020'!H114</f>
        <v>0.19677150013915948</v>
      </c>
      <c r="K114" s="374">
        <f>K44+K113</f>
        <v>892.98</v>
      </c>
      <c r="L114" s="427">
        <f>K114/'2020'!J114</f>
        <v>0.62576558142142369</v>
      </c>
      <c r="M114" s="374">
        <f>M44+M113</f>
        <v>327.67</v>
      </c>
      <c r="N114" s="427">
        <f>M114/'2020'!L114</f>
        <v>0.16331809821913643</v>
      </c>
      <c r="O114" s="429">
        <f>O44+O113</f>
        <v>440.13980000000004</v>
      </c>
      <c r="P114" s="430">
        <f>IF('2021'!N114=0,0,IF('2020'!N114="-",0,'2021'!N114/'2020'!N114-1))</f>
        <v>3.2892835824096478</v>
      </c>
      <c r="Q114" s="141"/>
      <c r="R114" s="142"/>
      <c r="S114" s="141"/>
      <c r="T114" s="142"/>
      <c r="U114" s="141"/>
      <c r="V114" s="142"/>
      <c r="W114" s="141"/>
      <c r="X114" s="143"/>
      <c r="Y114" s="122"/>
    </row>
    <row r="115" spans="1:25" x14ac:dyDescent="0.3">
      <c r="B115" s="5"/>
      <c r="C115" s="35"/>
      <c r="D115" s="35"/>
      <c r="E115" s="5"/>
      <c r="F115" s="35"/>
      <c r="G115" s="171"/>
      <c r="H115" s="171"/>
      <c r="I115" s="171"/>
      <c r="J115" s="171"/>
      <c r="K115" s="172"/>
      <c r="L115" s="172"/>
      <c r="M115" s="172"/>
      <c r="O115" s="870" t="s">
        <v>68</v>
      </c>
      <c r="P115" s="870"/>
      <c r="Q115" s="171"/>
      <c r="R115" s="171"/>
      <c r="S115" s="171"/>
      <c r="T115" s="171"/>
      <c r="U115" s="171"/>
      <c r="V115" s="171"/>
      <c r="W115" s="171"/>
      <c r="X115" s="171"/>
    </row>
    <row r="116" spans="1:25" x14ac:dyDescent="0.3">
      <c r="E116" s="131" t="s">
        <v>67</v>
      </c>
      <c r="F116" s="132"/>
      <c r="G116" s="2">
        <f>SUM('2021'!G107:G108)-SUM('2020'!G107:G108)</f>
        <v>136</v>
      </c>
    </row>
    <row r="117" spans="1:25" x14ac:dyDescent="0.3">
      <c r="E117" s="1" t="s">
        <v>60</v>
      </c>
      <c r="F117" s="2">
        <f>COUNTIF(F$5:F$111,E117)</f>
        <v>31</v>
      </c>
    </row>
    <row r="118" spans="1:25" ht="15.6" x14ac:dyDescent="0.3">
      <c r="A118" s="125"/>
      <c r="E118" s="1" t="s">
        <v>61</v>
      </c>
      <c r="F118" s="2">
        <f>COUNTIF(F$5:F$111,E118)</f>
        <v>8</v>
      </c>
    </row>
    <row r="119" spans="1:25" ht="15.6" x14ac:dyDescent="0.3">
      <c r="A119" s="125"/>
      <c r="E119" s="1" t="s">
        <v>62</v>
      </c>
      <c r="F119" s="2">
        <f>COUNTIF(F$5:F$111,E119)</f>
        <v>21</v>
      </c>
      <c r="I119" s="544"/>
    </row>
    <row r="120" spans="1:25" x14ac:dyDescent="0.3">
      <c r="I120" s="544"/>
    </row>
    <row r="128" spans="1:25" ht="15" customHeight="1" x14ac:dyDescent="0.3"/>
    <row r="129" spans="9:9" ht="15" customHeight="1" x14ac:dyDescent="0.3"/>
    <row r="130" spans="9:9" ht="15" customHeight="1" x14ac:dyDescent="0.3"/>
    <row r="131" spans="9:9" ht="15" customHeight="1" x14ac:dyDescent="0.3"/>
    <row r="132" spans="9:9" ht="15" customHeight="1" x14ac:dyDescent="0.3"/>
    <row r="133" spans="9:9" ht="15" customHeight="1" x14ac:dyDescent="0.3"/>
    <row r="134" spans="9:9" ht="15" customHeight="1" x14ac:dyDescent="0.3"/>
    <row r="135" spans="9:9" ht="15" customHeight="1" x14ac:dyDescent="0.3"/>
    <row r="136" spans="9:9" ht="15" customHeight="1" x14ac:dyDescent="0.3"/>
    <row r="137" spans="9:9" ht="15.75" customHeight="1" x14ac:dyDescent="0.3"/>
    <row r="138" spans="9:9" ht="15.75" customHeight="1" x14ac:dyDescent="0.3">
      <c r="I138" s="544"/>
    </row>
    <row r="139" spans="9:9" ht="15" customHeight="1" x14ac:dyDescent="0.3">
      <c r="I139" s="544"/>
    </row>
    <row r="140" spans="9:9" ht="15" customHeight="1" x14ac:dyDescent="0.3">
      <c r="I140" s="544"/>
    </row>
    <row r="141" spans="9:9" ht="15" customHeight="1" x14ac:dyDescent="0.3">
      <c r="I141" s="544"/>
    </row>
    <row r="142" spans="9:9" ht="15" customHeight="1" x14ac:dyDescent="0.3">
      <c r="I142" s="544"/>
    </row>
  </sheetData>
  <autoFilter ref="G4:X4" xr:uid="{00000000-0009-0000-0000-000005000000}"/>
  <mergeCells count="48">
    <mergeCell ref="D94:D98"/>
    <mergeCell ref="O115:P115"/>
    <mergeCell ref="D62:D68"/>
    <mergeCell ref="B70:B80"/>
    <mergeCell ref="B62:B69"/>
    <mergeCell ref="C62:C69"/>
    <mergeCell ref="C70:C80"/>
    <mergeCell ref="D70:D79"/>
    <mergeCell ref="D100:D111"/>
    <mergeCell ref="B100:B112"/>
    <mergeCell ref="C100:C112"/>
    <mergeCell ref="B94:B99"/>
    <mergeCell ref="C94:C99"/>
    <mergeCell ref="B81:B93"/>
    <mergeCell ref="C81:C93"/>
    <mergeCell ref="D81:D92"/>
    <mergeCell ref="W2:X2"/>
    <mergeCell ref="D21:D31"/>
    <mergeCell ref="D2:D4"/>
    <mergeCell ref="U3:V3"/>
    <mergeCell ref="W3:X3"/>
    <mergeCell ref="O2:P3"/>
    <mergeCell ref="K2:L3"/>
    <mergeCell ref="M2:N3"/>
    <mergeCell ref="B2:B4"/>
    <mergeCell ref="C2:C4"/>
    <mergeCell ref="Q2:R2"/>
    <mergeCell ref="S2:T2"/>
    <mergeCell ref="U2:V2"/>
    <mergeCell ref="E2:E4"/>
    <mergeCell ref="F2:F4"/>
    <mergeCell ref="G2:J2"/>
    <mergeCell ref="G3:H3"/>
    <mergeCell ref="I3:J3"/>
    <mergeCell ref="B54:B61"/>
    <mergeCell ref="C54:C61"/>
    <mergeCell ref="D54:D60"/>
    <mergeCell ref="B7:B20"/>
    <mergeCell ref="C7:C20"/>
    <mergeCell ref="D7:D19"/>
    <mergeCell ref="B21:B32"/>
    <mergeCell ref="C21:C32"/>
    <mergeCell ref="D33:D42"/>
    <mergeCell ref="D45:D52"/>
    <mergeCell ref="B33:B43"/>
    <mergeCell ref="C33:C43"/>
    <mergeCell ref="B45:B53"/>
    <mergeCell ref="C45:C53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V69 G113 V80 V94 H80:N80 H69:O69 G32 K114 H113:H114 H112 I114 H111:L111 J114 J113 I112:L112 L113 N111:N113 L114:N114 K44 M44:N44 I44 H43:N43 H44 J44 L44 K32:L32 E114" formula="1"/>
    <ignoredError sqref="P113 G92:P94 G88:P89" evalError="1"/>
    <ignoredError sqref="M113 K113 I113" evalError="1" formula="1"/>
    <ignoredError sqref="H32:J32" formula="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</vt:lpstr>
      <vt:lpstr>2020</vt:lpstr>
      <vt:lpstr>2021</vt:lpstr>
      <vt:lpstr>2022</vt:lpstr>
      <vt:lpstr>SYNTHESE</vt:lpstr>
      <vt:lpstr>2021-2020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ROGUET</dc:creator>
  <cp:lastModifiedBy>Tor Bothner</cp:lastModifiedBy>
  <cp:lastPrinted>2020-06-24T07:16:41Z</cp:lastPrinted>
  <dcterms:created xsi:type="dcterms:W3CDTF">2020-06-23T06:39:08Z</dcterms:created>
  <dcterms:modified xsi:type="dcterms:W3CDTF">2022-06-24T22:09:24Z</dcterms:modified>
</cp:coreProperties>
</file>