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ex" sheetId="1" state="visible" r:id="rId2"/>
    <sheet name="2020" sheetId="2" state="hidden" r:id="rId3"/>
    <sheet name="2021" sheetId="3" state="hidden" r:id="rId4"/>
    <sheet name="2022" sheetId="4" state="visible" r:id="rId5"/>
    <sheet name="SYNTHESE" sheetId="5" state="hidden" r:id="rId6"/>
    <sheet name="2021-2020" sheetId="6" state="hidden" r:id="rId7"/>
  </sheets>
  <definedNames>
    <definedName function="false" hidden="true" localSheetId="5" name="_xlnm._FilterDatabase" vbProcedure="false">'2021-2020'!$G$4:$X$4</definedName>
    <definedName function="false" hidden="false" localSheetId="1" name="_xlnm._FilterDatabase" vbProcedure="false">'2020'!$B$2:$V$119</definedName>
    <definedName function="false" hidden="false" localSheetId="2" name="_xlnm._FilterDatabase" vbProcedure="false">'2021'!$B$2:$V$119</definedName>
    <definedName function="false" hidden="false" localSheetId="3" name="_xlnm._FilterDatabase" vbProcedure="false">'2022'!$B$2:$V$119</definedName>
    <definedName function="false" hidden="false" localSheetId="4" name="_xlnm._FilterDatabase" vbProcedure="false">SYNTHESE!$B$2:$AD$119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<sst xmlns="http://schemas.openxmlformats.org/spreadsheetml/2006/main" count="2567" uniqueCount="174">
  <si>
    <t xml:space="preserve">Eléments à renseigner par chaque association dans l'onglet "2022"</t>
  </si>
  <si>
    <t xml:space="preserve">Colonne</t>
  </si>
  <si>
    <t xml:space="preserve">Ce qu'il faut renseigner</t>
  </si>
  <si>
    <t xml:space="preserve">Toutes les cellules blanches ne sont pas à renseigner (formule de calcul ou NC)</t>
  </si>
  <si>
    <t xml:space="preserve">Eléments obligatoires &gt;&gt; cellules en vert dans l'onglet "2022"</t>
  </si>
  <si>
    <t xml:space="preserve">DONNEES GENERALES</t>
  </si>
  <si>
    <t xml:space="preserve">D</t>
  </si>
  <si>
    <t xml:space="preserve">nombre de bénévoles par poste de comptage</t>
  </si>
  <si>
    <t xml:space="preserve">E</t>
  </si>
  <si>
    <t xml:space="preserve">nom/localisation du poste de comptage</t>
  </si>
  <si>
    <t xml:space="preserve">F</t>
  </si>
  <si>
    <t xml:space="preserve">implantation : France / Suisse / Frontière</t>
  </si>
  <si>
    <t xml:space="preserve">G</t>
  </si>
  <si>
    <t xml:space="preserve">nombre total de cyclistes comptés sur toute la période</t>
  </si>
  <si>
    <t xml:space="preserve">H</t>
  </si>
  <si>
    <t xml:space="preserve">nombre de cyclistes comptés sur l'heure de pointe (7h30 - 8h30) uniquement</t>
  </si>
  <si>
    <t xml:space="preserve">I</t>
  </si>
  <si>
    <t xml:space="preserve">calcul automatique (du nombre de VAE dans le total)</t>
  </si>
  <si>
    <t xml:space="preserve">J</t>
  </si>
  <si>
    <t xml:space="preserve">nombre de VAE dans le total (référence à la colonne G)</t>
  </si>
  <si>
    <t xml:space="preserve">K</t>
  </si>
  <si>
    <t xml:space="preserve">calcul automatique (du nombre de femmes dans le total)</t>
  </si>
  <si>
    <t xml:space="preserve">L</t>
  </si>
  <si>
    <t xml:space="preserve">nombre de femmes dans le total (référence à la colonne G)</t>
  </si>
  <si>
    <t xml:space="preserve">Eléments obligatoires pour les postes frontières et carrefours proches frontière               </t>
  </si>
  <si>
    <t xml:space="preserve">&gt;&gt; cellules en bleu dans l'onglet "2022"</t>
  </si>
  <si>
    <t xml:space="preserve">FRONTIERE</t>
  </si>
  <si>
    <t xml:space="preserve">S</t>
  </si>
  <si>
    <t xml:space="preserve">nombre total de cyclistes comptés sur toute la période - Direction Suisse</t>
  </si>
  <si>
    <t xml:space="preserve">T</t>
  </si>
  <si>
    <t xml:space="preserve">nombre de cyclistes comptés sur l'heure de pointe (7h30 - 8h30) uniquement - Direction Suisse</t>
  </si>
  <si>
    <t xml:space="preserve">U</t>
  </si>
  <si>
    <t xml:space="preserve">nombre total de cyclistes comptés sur toute la période - Direction France</t>
  </si>
  <si>
    <t xml:space="preserve">V</t>
  </si>
  <si>
    <t xml:space="preserve">nombre de cyclistes comptés sur l'heure de pointe (7h30 - 8h30) uniquement - Direction France</t>
  </si>
  <si>
    <t xml:space="preserve">Eléments facultatifs &gt;&gt; cellules en rose dans l'onglet "2022"</t>
  </si>
  <si>
    <t xml:space="preserve">AUTRES DONNEES</t>
  </si>
  <si>
    <t xml:space="preserve">M</t>
  </si>
  <si>
    <t xml:space="preserve">calcul automatique (du nombre total de VAE chez les femmes)</t>
  </si>
  <si>
    <t xml:space="preserve">N</t>
  </si>
  <si>
    <t xml:space="preserve">nombre total de VAE chez les femmes (valeur spécifique à relever)</t>
  </si>
  <si>
    <t xml:space="preserve">O</t>
  </si>
  <si>
    <t xml:space="preserve">nombre total de personnes comptées sur toute la période en "autre mode" (trottinette, gyropode…)</t>
  </si>
  <si>
    <t xml:space="preserve">P</t>
  </si>
  <si>
    <t xml:space="preserve">nombre total de personnes comptées en HPM (7h30 - 8h30) en "autre mode" (trottinette, gyropode…)</t>
  </si>
  <si>
    <t xml:space="preserve">Q</t>
  </si>
  <si>
    <t xml:space="preserve">nombre total de piétons comptés sur toute la période</t>
  </si>
  <si>
    <t xml:space="preserve">R</t>
  </si>
  <si>
    <t xml:space="preserve">nombre total de piétons comptés en HPM (7h30 - 8h30)</t>
  </si>
  <si>
    <t xml:space="preserve">Association(s)</t>
  </si>
  <si>
    <t xml:space="preserve">Arrière-pays</t>
  </si>
  <si>
    <t xml:space="preserve">Nombre de bénévoles</t>
  </si>
  <si>
    <t xml:space="preserve">Postes de comptage</t>
  </si>
  <si>
    <t xml:space="preserve">France / Suisse / Frontière</t>
  </si>
  <si>
    <t xml:space="preserve">Nombre de vélos</t>
  </si>
  <si>
    <t xml:space="preserve">% VAE dans le total</t>
  </si>
  <si>
    <t xml:space="preserve">NB VAE dans le total</t>
  </si>
  <si>
    <t xml:space="preserve">% femmes dans le total</t>
  </si>
  <si>
    <t xml:space="preserve">NB de femmes dans le total</t>
  </si>
  <si>
    <t xml:space="preserve">% de VAE chez les femmes</t>
  </si>
  <si>
    <t xml:space="preserve">NB de VAE chez les femmes</t>
  </si>
  <si>
    <t xml:space="preserve">Autres modes</t>
  </si>
  <si>
    <t xml:space="preserve">Piétons</t>
  </si>
  <si>
    <t xml:space="preserve">&gt; Suisse</t>
  </si>
  <si>
    <t xml:space="preserve">&gt; France</t>
  </si>
  <si>
    <t xml:space="preserve">total</t>
  </si>
  <si>
    <t xml:space="preserve">HP</t>
  </si>
  <si>
    <t xml:space="preserve">UP Cluses</t>
  </si>
  <si>
    <t xml:space="preserve">OUI</t>
  </si>
  <si>
    <t xml:space="preserve">CLUSES_Passerelle de Messy</t>
  </si>
  <si>
    <t xml:space="preserve">France</t>
  </si>
  <si>
    <t xml:space="preserve">L'Abeille (Contamine)</t>
  </si>
  <si>
    <t xml:space="preserve">BONNE_Loëx (sous voie rapide)</t>
  </si>
  <si>
    <t xml:space="preserve">ACMB (Chablais)</t>
  </si>
  <si>
    <t xml:space="preserve">COMMUNE_Carrefour</t>
  </si>
  <si>
    <t xml:space="preserve">-</t>
  </si>
  <si>
    <t xml:space="preserve">Sous-total</t>
  </si>
  <si>
    <t xml:space="preserve">NatEnv &amp; Fabrique à Biclou</t>
  </si>
  <si>
    <t xml:space="preserve">LA ROCHE_Carrefour Biocoop</t>
  </si>
  <si>
    <t xml:space="preserve">LA ROCHE_Giratoire La Poste</t>
  </si>
  <si>
    <t xml:space="preserve">LA ROCHE_Giratoire ENILV</t>
  </si>
  <si>
    <t xml:space="preserve">ARENTHON_La Papeterie</t>
  </si>
  <si>
    <t xml:space="preserve">ST-PIERRE_Franchissement Borne-Dessy</t>
  </si>
  <si>
    <t xml:space="preserve">BONNEVILLE_Franchissement Borne-Tucinge</t>
  </si>
  <si>
    <t xml:space="preserve">ST-PIERRE_Pont principal sur le Borne</t>
  </si>
  <si>
    <t xml:space="preserve">AMANCY_Giratoire Coriandre</t>
  </si>
  <si>
    <t xml:space="preserve">AERE</t>
  </si>
  <si>
    <t xml:space="preserve">ETREMBIERES_Giratoire ex PN93</t>
  </si>
  <si>
    <t xml:space="preserve">ETREMBIERES_Carrefour sous Château</t>
  </si>
  <si>
    <t xml:space="preserve">SCIENTRIER_Carrefour Tour de Bellecombe</t>
  </si>
  <si>
    <t xml:space="preserve">REIGNIER_Giratoire église</t>
  </si>
  <si>
    <t xml:space="preserve">REIGNIER_Giratoire Foron</t>
  </si>
  <si>
    <t xml:space="preserve">REIGNIER_Giratoire La Forge</t>
  </si>
  <si>
    <t xml:space="preserve">PERS-JUSSY_Giratoire Casino</t>
  </si>
  <si>
    <t xml:space="preserve">ARTHAZ_Giratoire lavage auto</t>
  </si>
  <si>
    <t xml:space="preserve">Sous-total périmètre "arrière-pays"</t>
  </si>
  <si>
    <t xml:space="preserve">EVAV</t>
  </si>
  <si>
    <t xml:space="preserve">NON</t>
  </si>
  <si>
    <t xml:space="preserve">AMBILLY_Voie verte Pont Noir</t>
  </si>
  <si>
    <t xml:space="preserve">ANNEMASSE_Voie verte Jura</t>
  </si>
  <si>
    <t xml:space="preserve">ANNEMASSE_Devant l'agglo</t>
  </si>
  <si>
    <t xml:space="preserve">GAILLARD_Douane de Fossard</t>
  </si>
  <si>
    <t xml:space="preserve">Frontière</t>
  </si>
  <si>
    <t xml:space="preserve">ANNEMASSE_Clos Fleury</t>
  </si>
  <si>
    <t xml:space="preserve">GAILLARD_Douane de Moïllesullaz</t>
  </si>
  <si>
    <t xml:space="preserve">Le Préau</t>
  </si>
  <si>
    <t xml:space="preserve">Salève Vivant</t>
  </si>
  <si>
    <t xml:space="preserve">ARCHAMPS_Douane de Landecy</t>
  </si>
  <si>
    <t xml:space="preserve">COLLONGES_Douane de Croix de Rozon</t>
  </si>
  <si>
    <t xml:space="preserve">BOSSEY_Douane de Pierre-Grand</t>
  </si>
  <si>
    <t xml:space="preserve">BOSSEY_Douane de Troinex/Bossey</t>
  </si>
  <si>
    <t xml:space="preserve">VEYRIER_Douane du Pas de l'Echelle</t>
  </si>
  <si>
    <t xml:space="preserve">Groupe St-Julien</t>
  </si>
  <si>
    <t xml:space="preserve">ST-JULIEN_Douane de Perly</t>
  </si>
  <si>
    <t xml:space="preserve">ST-JULIEN_Passage douanier des Crottes</t>
  </si>
  <si>
    <t xml:space="preserve">ST-JULIEN_Paguette (chemin de l'Aire)</t>
  </si>
  <si>
    <t xml:space="preserve">ST-JULIEN_Douane de Certoux (rte Thérens)</t>
  </si>
  <si>
    <t xml:space="preserve">ST-JULIEN_Douane de Soral 1</t>
  </si>
  <si>
    <t xml:space="preserve">VIRY_Douane de Soral 2</t>
  </si>
  <si>
    <t xml:space="preserve">VIRY_Malagny</t>
  </si>
  <si>
    <t xml:space="preserve">VALLEIRY_La Joux</t>
  </si>
  <si>
    <t xml:space="preserve">APICY</t>
  </si>
  <si>
    <t xml:space="preserve">STJEAN_Douane de Dardagny</t>
  </si>
  <si>
    <t xml:space="preserve">CHALLEX_Douane de La Plaine</t>
  </si>
  <si>
    <t xml:space="preserve">POUGNY_Douane de Chancy</t>
  </si>
  <si>
    <t xml:space="preserve">ST-GENIS_Giratoire Porte de France</t>
  </si>
  <si>
    <t xml:space="preserve">FERNEY_Douane du GdSaconnex</t>
  </si>
  <si>
    <t xml:space="preserve">FERNEY_Douane de Mategnin</t>
  </si>
  <si>
    <t xml:space="preserve">FERNEY_Douane de Vireloup</t>
  </si>
  <si>
    <t xml:space="preserve">VERSONNEX_Douane de Collex-Bossy</t>
  </si>
  <si>
    <t xml:space="preserve">SAUVERNY_Douane de Sauverny</t>
  </si>
  <si>
    <t xml:space="preserve">GRILLY_Douane du Pont</t>
  </si>
  <si>
    <t xml:space="preserve">ATE Vaud / ProVélo La Côte</t>
  </si>
  <si>
    <t xml:space="preserve">DIVONNE_Douane de Chavanne</t>
  </si>
  <si>
    <t xml:space="preserve">DIVONNE-CRASSIER_Voie verte</t>
  </si>
  <si>
    <t xml:space="preserve">DIVONNE_Douane de Crassy / Crassier</t>
  </si>
  <si>
    <t xml:space="preserve">ProVélo GE</t>
  </si>
  <si>
    <t xml:space="preserve">GENEVE_Rue du XXXI Décembre</t>
  </si>
  <si>
    <t xml:space="preserve">Suisse</t>
  </si>
  <si>
    <t xml:space="preserve">GENEVE_Bd Georges Favon</t>
  </si>
  <si>
    <t xml:space="preserve">GENEVE_Arquebuse</t>
  </si>
  <si>
    <t xml:space="preserve">GENEVE_Rue Ferdinand Hodler</t>
  </si>
  <si>
    <t xml:space="preserve">GENEVE_Av. Pictet de Rochemont</t>
  </si>
  <si>
    <t xml:space="preserve">CHÊNE-BOURG_Ecole de Haller</t>
  </si>
  <si>
    <t xml:space="preserve">THÔNEX_Ch. de la Mousse/Rte de Jussy</t>
  </si>
  <si>
    <t xml:space="preserve">GENEVE_Voie Verte / Av. Bel-Air</t>
  </si>
  <si>
    <t xml:space="preserve">GENEVE_Voie Verte / Av. Frank Thomas</t>
  </si>
  <si>
    <t xml:space="preserve">GENEVE_Bd des Tranchées</t>
  </si>
  <si>
    <t xml:space="preserve">Sous-total périmètre urbain</t>
  </si>
  <si>
    <t xml:space="preserve">TOTAL</t>
  </si>
  <si>
    <t xml:space="preserve">données partielles</t>
  </si>
  <si>
    <t xml:space="preserve">Localisation des postes de comptage :</t>
  </si>
  <si>
    <t xml:space="preserve">Université Populaire de Cluses</t>
  </si>
  <si>
    <t xml:space="preserve">OK</t>
  </si>
  <si>
    <t xml:space="preserve">NatEnv (Nature Environnement en Pays rochois)
Fabrique à Biclou
Pays rochois en Transition</t>
  </si>
  <si>
    <t xml:space="preserve">LA ROCHE_Gare Passage à niveau (new 2021)</t>
  </si>
  <si>
    <t xml:space="preserve">AERE (Association Environnement Reignier-Esery)</t>
  </si>
  <si>
    <t xml:space="preserve">EVAV (En Ville A Vélo)</t>
  </si>
  <si>
    <t xml:space="preserve">Compté par ProVélo en 2021 (Salève Vivant en 2020)</t>
  </si>
  <si>
    <t xml:space="preserve">APiCy (Association des Piétons et Cyclistes du Pays de Gex)
+ ProVélo La Côte et ATE Vaud</t>
  </si>
  <si>
    <t xml:space="preserve">NB de béné-voles</t>
  </si>
  <si>
    <t xml:space="preserve">VAE dans le total</t>
  </si>
  <si>
    <t xml:space="preserve">Total</t>
  </si>
  <si>
    <t xml:space="preserve">[en %]</t>
  </si>
  <si>
    <t xml:space="preserve">[en valeur]</t>
  </si>
  <si>
    <t xml:space="preserve">Evolution des vélos 2020-2021</t>
  </si>
  <si>
    <t xml:space="preserve">Evolution des VAE 2020-2021</t>
  </si>
  <si>
    <t xml:space="preserve">Evolution des femmes  2020-2021</t>
  </si>
  <si>
    <t xml:space="preserve">Evolution des VAE chez les femmes 2020-2021</t>
  </si>
  <si>
    <t xml:space="preserve">en HP</t>
  </si>
  <si>
    <t xml:space="preserve">#</t>
  </si>
  <si>
    <t xml:space="preserve">%</t>
  </si>
  <si>
    <t xml:space="preserve">LA ROCHE_Gare Passage à niveau (new2021)</t>
  </si>
  <si>
    <t xml:space="preserve">APiCy (Association des Piétons et Cyclistes du Pays de Gex)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</si>
</sst>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\ %"/>
    <numFmt numFmtId="166" formatCode="General"/>
    <numFmt numFmtId="167" formatCode="#,##0"/>
    <numFmt numFmtId="168" formatCode="0&quot; postes de comptages&quot;"/>
    <numFmt numFmtId="169" formatCode="0"/>
    <numFmt numFmtId="170" formatCode="_-* #,##0\ _€_-;\-* #,##0\ _€_-;_-* &quot;- &quot;_€_-;_-@_-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2DFF8C"/>
        <bgColor rgb="FF00FFFF"/>
      </patternFill>
    </fill>
    <fill>
      <patternFill patternType="solid">
        <fgColor rgb="FF00B0F0"/>
        <bgColor rgb="FF008080"/>
      </patternFill>
    </fill>
    <fill>
      <patternFill patternType="solid">
        <fgColor rgb="FFFF99CC"/>
        <bgColor rgb="FFFF8080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CCC"/>
        <bgColor rgb="FFD9D9D9"/>
      </patternFill>
    </fill>
  </fills>
  <borders count="16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7030A0"/>
      </bottom>
      <diagonal/>
    </border>
    <border diagonalUp="false" diagonalDown="false">
      <left/>
      <right style="thick">
        <color rgb="FF7030A0"/>
      </right>
      <top/>
      <bottom/>
      <diagonal/>
    </border>
    <border diagonalUp="false" diagonalDown="false">
      <left style="thick">
        <color rgb="FF7030A0"/>
      </left>
      <right/>
      <top style="thick">
        <color rgb="FF7030A0"/>
      </top>
      <bottom/>
      <diagonal/>
    </border>
    <border diagonalUp="false" diagonalDown="false">
      <left/>
      <right/>
      <top style="thick">
        <color rgb="FF7030A0"/>
      </top>
      <bottom/>
      <diagonal/>
    </border>
    <border diagonalUp="false" diagonalDown="false">
      <left/>
      <right style="thick">
        <color rgb="FF7030A0"/>
      </right>
      <top style="thick">
        <color rgb="FF7030A0"/>
      </top>
      <bottom/>
      <diagonal/>
    </border>
    <border diagonalUp="false" diagonalDown="false">
      <left style="thick">
        <color rgb="FF7030A0"/>
      </left>
      <right/>
      <top/>
      <bottom/>
      <diagonal/>
    </border>
    <border diagonalUp="false" diagonalDown="false">
      <left style="thick">
        <color rgb="FF7030A0"/>
      </left>
      <right/>
      <top/>
      <bottom style="thick">
        <color rgb="FF7030A0"/>
      </bottom>
      <diagonal/>
    </border>
    <border diagonalUp="false" diagonalDown="false">
      <left/>
      <right style="thick">
        <color rgb="FF7030A0"/>
      </right>
      <top/>
      <bottom style="thick">
        <color rgb="FF7030A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dotted">
        <color rgb="FF7F7F7F"/>
      </right>
      <top/>
      <bottom/>
      <diagonal/>
    </border>
    <border diagonalUp="false" diagonalDown="false">
      <left style="dotted">
        <color rgb="FF7F7F7F"/>
      </left>
      <right style="thin"/>
      <top/>
      <bottom/>
      <diagonal/>
    </border>
    <border diagonalUp="false" diagonalDown="false">
      <left style="thin"/>
      <right style="dotted">
        <color rgb="FF7F7F7F"/>
      </right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dotted">
        <color rgb="FF7F7F7F"/>
      </right>
      <top/>
      <bottom style="medium"/>
      <diagonal/>
    </border>
    <border diagonalUp="false" diagonalDown="false">
      <left style="dotted">
        <color rgb="FF7F7F7F"/>
      </left>
      <right style="thin"/>
      <top/>
      <bottom style="medium"/>
      <diagonal/>
    </border>
    <border diagonalUp="false" diagonalDown="false">
      <left style="thin"/>
      <right style="dotted">
        <color rgb="FF7F7F7F"/>
      </right>
      <top/>
      <bottom style="medium"/>
      <diagonal/>
    </border>
    <border diagonalUp="false" diagonalDown="false">
      <left style="dotted">
        <color rgb="FF7F7F7F"/>
      </left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thin"/>
      <top style="medium"/>
      <bottom style="thin"/>
      <diagonal/>
    </border>
    <border diagonalUp="false" diagonalDown="false">
      <left style="thin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thin"/>
      <top style="thin"/>
      <bottom style="thin"/>
      <diagonal/>
    </border>
    <border diagonalUp="false" diagonalDown="false">
      <left style="thin"/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medium"/>
      <top style="thin"/>
      <bottom style="thin"/>
      <diagonal/>
    </border>
    <border diagonalUp="false" diagonalDown="false">
      <left/>
      <right style="thin"/>
      <top style="thin"/>
      <bottom style="dotted">
        <color rgb="FF7F7F7F"/>
      </bottom>
      <diagonal/>
    </border>
    <border diagonalUp="false" diagonalDown="false">
      <left style="thin"/>
      <right style="medium"/>
      <top style="thin"/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thin"/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thin"/>
      <bottom style="dotted">
        <color rgb="FF7F7F7F"/>
      </bottom>
      <diagonal/>
    </border>
    <border diagonalUp="false" diagonalDown="false">
      <left/>
      <right style="thin"/>
      <top style="dotted">
        <color rgb="FF7F7F7F"/>
      </top>
      <bottom style="dotted">
        <color rgb="FF7F7F7F"/>
      </bottom>
      <diagonal/>
    </border>
    <border diagonalUp="false" diagonalDown="false">
      <left style="thin"/>
      <right style="medium"/>
      <top style="dotted">
        <color rgb="FF7F7F7F"/>
      </top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dotted">
        <color rgb="FF7F7F7F"/>
      </top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dotted">
        <color rgb="FF7F7F7F"/>
      </top>
      <bottom style="dotted">
        <color rgb="FF7F7F7F"/>
      </bottom>
      <diagonal/>
    </border>
    <border diagonalUp="false" diagonalDown="false">
      <left/>
      <right style="thin"/>
      <top style="dotted">
        <color rgb="FF7F7F7F"/>
      </top>
      <bottom/>
      <diagonal/>
    </border>
    <border diagonalUp="false" diagonalDown="false">
      <left style="thin"/>
      <right style="medium"/>
      <top style="dotted">
        <color rgb="FF7F7F7F"/>
      </top>
      <bottom/>
      <diagonal/>
    </border>
    <border diagonalUp="false" diagonalDown="false">
      <left style="dotted">
        <color rgb="FF7F7F7F"/>
      </left>
      <right style="thin"/>
      <top style="dotted">
        <color rgb="FF7F7F7F"/>
      </top>
      <bottom/>
      <diagonal/>
    </border>
    <border diagonalUp="false" diagonalDown="false">
      <left style="thin"/>
      <right style="dotted">
        <color rgb="FF7F7F7F"/>
      </right>
      <top style="dotted">
        <color rgb="FF7F7F7F"/>
      </top>
      <bottom/>
      <diagonal/>
    </border>
    <border diagonalUp="false" diagonalDown="false">
      <left style="dotted">
        <color rgb="FF7F7F7F"/>
      </left>
      <right style="medium"/>
      <top style="dotted">
        <color rgb="FF7F7F7F"/>
      </top>
      <bottom/>
      <diagonal/>
    </border>
    <border diagonalUp="false" diagonalDown="false">
      <left style="medium"/>
      <right style="dotted">
        <color rgb="FF7F7F7F"/>
      </right>
      <top style="dotted">
        <color rgb="FF7F7F7F"/>
      </top>
      <bottom/>
      <diagonal/>
    </border>
    <border diagonalUp="false" diagonalDown="false">
      <left style="dotted">
        <color rgb="FF7F7F7F"/>
      </left>
      <right style="dotted">
        <color rgb="FF7F7F7F"/>
      </right>
      <top style="dotted">
        <color rgb="FF7F7F7F"/>
      </top>
      <bottom/>
      <diagonal/>
    </border>
    <border diagonalUp="false" diagonalDown="false">
      <left/>
      <right style="thin"/>
      <top style="dotted">
        <color rgb="FF7F7F7F"/>
      </top>
      <bottom style="thin"/>
      <diagonal/>
    </border>
    <border diagonalUp="false" diagonalDown="false">
      <left style="thin"/>
      <right style="medium"/>
      <top style="dotted">
        <color rgb="FF7F7F7F"/>
      </top>
      <bottom style="thin"/>
      <diagonal/>
    </border>
    <border diagonalUp="false" diagonalDown="false">
      <left style="medium"/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thin"/>
      <top style="dotted">
        <color rgb="FF7F7F7F"/>
      </top>
      <bottom style="thin"/>
      <diagonal/>
    </border>
    <border diagonalUp="false" diagonalDown="false">
      <left style="thin"/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medium"/>
      <top style="dotted">
        <color rgb="FF7F7F7F"/>
      </top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dotted">
        <color rgb="FF7F7F7F"/>
      </left>
      <right style="medium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thin"/>
      <top style="thin"/>
      <bottom style="medium"/>
      <diagonal/>
    </border>
    <border diagonalUp="false" diagonalDown="false">
      <left style="thin"/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medium"/>
      <top style="thin"/>
      <bottom style="medium"/>
      <diagonal/>
    </border>
    <border diagonalUp="false" diagonalDown="false">
      <left style="medium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medium"/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medium"/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medium"/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medium"/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medium"/>
      <bottom style="dotted">
        <color rgb="FF7F7F7F"/>
      </bottom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dotted"/>
      <diagonal/>
    </border>
    <border diagonalUp="false" diagonalDown="false">
      <left style="thin"/>
      <right style="medium"/>
      <top style="thin"/>
      <bottom style="dotted"/>
      <diagonal/>
    </border>
    <border diagonalUp="false" diagonalDown="false">
      <left style="medium"/>
      <right style="dotted">
        <color rgb="FF7F7F7F"/>
      </right>
      <top style="thin"/>
      <bottom style="dotted"/>
      <diagonal/>
    </border>
    <border diagonalUp="false" diagonalDown="false">
      <left style="dotted">
        <color rgb="FF7F7F7F"/>
      </left>
      <right style="thin"/>
      <top style="thin"/>
      <bottom style="dotted"/>
      <diagonal/>
    </border>
    <border diagonalUp="false" diagonalDown="false">
      <left style="thin"/>
      <right style="dotted">
        <color rgb="FF7F7F7F"/>
      </right>
      <top style="thin"/>
      <bottom style="dotted"/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dotted"/>
      <diagonal/>
    </border>
    <border diagonalUp="false" diagonalDown="false">
      <left style="dotted">
        <color rgb="FF7F7F7F"/>
      </left>
      <right style="medium"/>
      <top style="thin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 style="thin"/>
      <right style="medium"/>
      <top style="dotted"/>
      <bottom style="dotted"/>
      <diagonal/>
    </border>
    <border diagonalUp="false" diagonalDown="false">
      <left style="medium"/>
      <right style="dotted">
        <color rgb="FF7F7F7F"/>
      </right>
      <top style="dotted"/>
      <bottom style="dotted"/>
      <diagonal/>
    </border>
    <border diagonalUp="false" diagonalDown="false">
      <left style="dotted">
        <color rgb="FF7F7F7F"/>
      </left>
      <right style="thin"/>
      <top style="dotted"/>
      <bottom style="dotted"/>
      <diagonal/>
    </border>
    <border diagonalUp="false" diagonalDown="false">
      <left style="thin"/>
      <right style="dotted">
        <color rgb="FF7F7F7F"/>
      </right>
      <top style="dotted"/>
      <bottom style="dotted"/>
      <diagonal/>
    </border>
    <border diagonalUp="false" diagonalDown="false">
      <left style="dotted">
        <color rgb="FF7F7F7F"/>
      </left>
      <right style="dotted">
        <color rgb="FF7F7F7F"/>
      </right>
      <top style="dotted"/>
      <bottom style="dotted"/>
      <diagonal/>
    </border>
    <border diagonalUp="false" diagonalDown="false">
      <left style="dotted">
        <color rgb="FF7F7F7F"/>
      </left>
      <right style="medium"/>
      <top style="dotted"/>
      <bottom style="dotted"/>
      <diagonal/>
    </border>
    <border diagonalUp="false" diagonalDown="false">
      <left/>
      <right style="thin"/>
      <top style="dotted"/>
      <bottom/>
      <diagonal/>
    </border>
    <border diagonalUp="false" diagonalDown="false">
      <left style="thin"/>
      <right style="medium"/>
      <top style="dotted"/>
      <bottom/>
      <diagonal/>
    </border>
    <border diagonalUp="false" diagonalDown="false">
      <left style="medium"/>
      <right style="dotted">
        <color rgb="FF7F7F7F"/>
      </right>
      <top style="dotted"/>
      <bottom/>
      <diagonal/>
    </border>
    <border diagonalUp="false" diagonalDown="false">
      <left style="dotted">
        <color rgb="FF7F7F7F"/>
      </left>
      <right style="thin"/>
      <top style="dotted"/>
      <bottom/>
      <diagonal/>
    </border>
    <border diagonalUp="false" diagonalDown="false">
      <left style="thin"/>
      <right style="dotted">
        <color rgb="FF7F7F7F"/>
      </right>
      <top style="dotted"/>
      <bottom/>
      <diagonal/>
    </border>
    <border diagonalUp="false" diagonalDown="false">
      <left style="dotted">
        <color rgb="FF7F7F7F"/>
      </left>
      <right style="medium"/>
      <top style="dotted"/>
      <bottom/>
      <diagonal/>
    </border>
    <border diagonalUp="false" diagonalDown="false">
      <left/>
      <right style="thin"/>
      <top style="dotted"/>
      <bottom style="thin"/>
      <diagonal/>
    </border>
    <border diagonalUp="false" diagonalDown="false">
      <left style="thin"/>
      <right style="medium"/>
      <top style="dotted"/>
      <bottom style="thin"/>
      <diagonal/>
    </border>
    <border diagonalUp="false" diagonalDown="false">
      <left style="medium"/>
      <right style="dotted">
        <color rgb="FF7F7F7F"/>
      </right>
      <top style="dotted"/>
      <bottom style="thin"/>
      <diagonal/>
    </border>
    <border diagonalUp="false" diagonalDown="false">
      <left style="dotted">
        <color rgb="FF7F7F7F"/>
      </left>
      <right style="thin"/>
      <top style="dotted"/>
      <bottom style="thin"/>
      <diagonal/>
    </border>
    <border diagonalUp="false" diagonalDown="false">
      <left style="thin"/>
      <right style="dotted">
        <color rgb="FF7F7F7F"/>
      </right>
      <top style="dotted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dotted"/>
      <bottom style="thin"/>
      <diagonal/>
    </border>
    <border diagonalUp="false" diagonalDown="false">
      <left style="dotted">
        <color rgb="FF7F7F7F"/>
      </left>
      <right style="medium"/>
      <top style="dotted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dotted"/>
      <bottom/>
      <diagonal/>
    </border>
    <border diagonalUp="false" diagonalDown="false">
      <left/>
      <right/>
      <top style="thin"/>
      <bottom style="dotted">
        <color rgb="FF7F7F7F"/>
      </bottom>
      <diagonal/>
    </border>
    <border diagonalUp="false" diagonalDown="false">
      <left style="medium"/>
      <right/>
      <top/>
      <bottom style="dotted">
        <color rgb="FF7F7F7F"/>
      </bottom>
      <diagonal/>
    </border>
    <border diagonalUp="false" diagonalDown="false">
      <left/>
      <right/>
      <top/>
      <bottom style="dotted">
        <color rgb="FF7F7F7F"/>
      </bottom>
      <diagonal/>
    </border>
    <border diagonalUp="false" diagonalDown="false">
      <left style="medium"/>
      <right/>
      <top style="dotted">
        <color rgb="FF7F7F7F"/>
      </top>
      <bottom style="dotted">
        <color rgb="FF7F7F7F"/>
      </bottom>
      <diagonal/>
    </border>
    <border diagonalUp="false" diagonalDown="false">
      <left/>
      <right/>
      <top style="dotted">
        <color rgb="FF7F7F7F"/>
      </top>
      <bottom style="dotted">
        <color rgb="FF7F7F7F"/>
      </bottom>
      <diagonal/>
    </border>
    <border diagonalUp="false" diagonalDown="false">
      <left/>
      <right/>
      <top style="dotted">
        <color rgb="FF7F7F7F"/>
      </top>
      <bottom style="thin"/>
      <diagonal/>
    </border>
    <border diagonalUp="false" diagonalDown="false">
      <left style="medium"/>
      <right/>
      <top style="dotted">
        <color rgb="FF7F7F7F"/>
      </top>
      <bottom/>
      <diagonal/>
    </border>
    <border diagonalUp="false" diagonalDown="false">
      <left/>
      <right/>
      <top style="dotted">
        <color rgb="FF7F7F7F"/>
      </top>
      <bottom/>
      <diagonal/>
    </border>
    <border diagonalUp="false" diagonalDown="false">
      <left/>
      <right style="thin"/>
      <top/>
      <bottom style="dotted">
        <color rgb="FF7F7F7F"/>
      </bottom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dotted">
        <color rgb="FF7F7F7F"/>
      </top>
      <bottom style="thin"/>
      <diagonal/>
    </border>
    <border diagonalUp="false" diagonalDown="false">
      <left style="medium"/>
      <right/>
      <top style="thin"/>
      <bottom style="dotted">
        <color rgb="FF7F7F7F"/>
      </bottom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tted">
        <color rgb="FF7F7F7F"/>
      </left>
      <right style="dotted">
        <color rgb="FF7F7F7F"/>
      </right>
      <top/>
      <bottom style="medium"/>
      <diagonal/>
    </border>
    <border diagonalUp="false" diagonalDown="false">
      <left style="medium"/>
      <right style="dotted"/>
      <top/>
      <bottom/>
      <diagonal/>
    </border>
    <border diagonalUp="false" diagonalDown="false">
      <left style="dotted"/>
      <right style="thin"/>
      <top/>
      <bottom/>
      <diagonal/>
    </border>
    <border diagonalUp="false" diagonalDown="false">
      <left style="thin"/>
      <right style="dotted"/>
      <top/>
      <bottom/>
      <diagonal/>
    </border>
    <border diagonalUp="false" diagonalDown="false">
      <left style="medium"/>
      <right style="dotted"/>
      <top/>
      <bottom style="medium"/>
      <diagonal/>
    </border>
    <border diagonalUp="false" diagonalDown="false">
      <left style="dotted"/>
      <right style="dotted"/>
      <top/>
      <bottom style="medium"/>
      <diagonal/>
    </border>
    <border diagonalUp="false" diagonalDown="false">
      <left style="dotted"/>
      <right style="thin"/>
      <top/>
      <bottom style="medium"/>
      <diagonal/>
    </border>
    <border diagonalUp="false" diagonalDown="false">
      <left style="thin"/>
      <right style="dotted"/>
      <top/>
      <bottom style="medium"/>
      <diagonal/>
    </border>
    <border diagonalUp="false" diagonalDown="false">
      <left style="dotted"/>
      <right style="medium"/>
      <top/>
      <bottom style="medium"/>
      <diagonal/>
    </border>
    <border diagonalUp="false" diagonalDown="false">
      <left style="dotted">
        <color rgb="FF7F7F7F"/>
      </left>
      <right style="dotted"/>
      <top style="medium"/>
      <bottom style="thin"/>
      <diagonal/>
    </border>
    <border diagonalUp="false" diagonalDown="false">
      <left style="dotted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dotted"/>
      <top style="thin"/>
      <bottom style="thin"/>
      <diagonal/>
    </border>
    <border diagonalUp="false" diagonalDown="false">
      <left style="dotted"/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dotted"/>
      <top style="thin"/>
      <bottom style="dotted">
        <color rgb="FF7F7F7F"/>
      </bottom>
      <diagonal/>
    </border>
    <border diagonalUp="false" diagonalDown="false">
      <left style="dotted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dotted"/>
      <top style="dotted">
        <color rgb="FF7F7F7F"/>
      </top>
      <bottom style="dotted">
        <color rgb="FF7F7F7F"/>
      </bottom>
      <diagonal/>
    </border>
    <border diagonalUp="false" diagonalDown="false">
      <left style="dotted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dotted"/>
      <top style="dotted">
        <color rgb="FF7F7F7F"/>
      </top>
      <bottom/>
      <diagonal/>
    </border>
    <border diagonalUp="false" diagonalDown="false">
      <left style="dotted"/>
      <right style="dotted">
        <color rgb="FF7F7F7F"/>
      </right>
      <top style="dotted">
        <color rgb="FF7F7F7F"/>
      </top>
      <bottom/>
      <diagonal/>
    </border>
    <border diagonalUp="false" diagonalDown="false">
      <left style="dotted">
        <color rgb="FF7F7F7F"/>
      </left>
      <right style="dotted"/>
      <top style="dotted">
        <color rgb="FF7F7F7F"/>
      </top>
      <bottom style="thin"/>
      <diagonal/>
    </border>
    <border diagonalUp="false" diagonalDown="false">
      <left style="dotted"/>
      <right style="dotted">
        <color rgb="FF7F7F7F"/>
      </right>
      <top style="dotted">
        <color rgb="FF7F7F7F"/>
      </top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dotted">
        <color rgb="FF7F7F7F"/>
      </left>
      <right style="dotted"/>
      <top style="medium"/>
      <bottom style="medium"/>
      <diagonal/>
    </border>
    <border diagonalUp="false" diagonalDown="false">
      <left style="dotted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dotted"/>
      <top style="thin"/>
      <bottom style="medium"/>
      <diagonal/>
    </border>
    <border diagonalUp="false" diagonalDown="false">
      <left style="dotted"/>
      <right style="dotted">
        <color rgb="FF7F7F7F"/>
      </right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8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8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8" borderId="1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7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7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7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7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8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8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8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8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8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8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8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9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9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10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10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9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9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9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9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9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7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9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0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0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0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0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0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0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0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0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0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2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4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4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7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4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4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4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7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4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3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8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8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8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4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10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10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1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0" borderId="1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1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1" borderId="5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5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7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4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9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0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1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0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0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1" borderId="10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10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1" borderId="1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1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1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1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1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1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4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0" borderId="1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8" borderId="1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4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2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8" borderId="14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8" borderId="2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3" fillId="11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11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11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5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11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11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11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6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6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1" borderId="6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11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11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1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4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4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7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7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8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8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8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8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8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8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4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1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5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8" borderId="14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7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6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6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6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7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7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6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2" borderId="1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7" borderId="1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7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1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5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6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7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7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6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1" borderId="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7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3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7" borderId="1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7" borderId="8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7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7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10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10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Percent 1" xfId="20"/>
  </cellStyles>
  <dxfs count="10">
    <dxf>
      <font>
        <color rgb="FF92D050"/>
      </font>
    </dxf>
    <dxf>
      <font>
        <color rgb="FF92D050"/>
      </font>
    </dxf>
    <dxf>
      <font>
        <color rgb="FFFFFFFF"/>
      </font>
    </dxf>
    <dxf>
      <font>
        <color rgb="FF92D050"/>
      </font>
    </dxf>
    <dxf>
      <font>
        <color rgb="FFFFFFFF"/>
      </font>
    </dxf>
    <dxf>
      <font>
        <color rgb="FF92D050"/>
      </font>
    </dxf>
    <dxf>
      <font>
        <color rgb="FF92D050"/>
      </font>
    </dxf>
    <dxf>
      <font>
        <color rgb="FFFFFFFF"/>
      </font>
    </dxf>
    <dxf>
      <font>
        <color rgb="FF92D050"/>
      </font>
    </dxf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2DFF8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30A0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43359375" defaultRowHeight="15" zeroHeight="false" outlineLevelRow="0" outlineLevelCol="0"/>
  <cols>
    <col collapsed="false" customWidth="true" hidden="false" outlineLevel="0" max="2" min="1" style="1" width="1.14"/>
    <col collapsed="false" customWidth="true" hidden="false" outlineLevel="0" max="4" min="3" style="1" width="2.14"/>
    <col collapsed="false" customWidth="true" hidden="false" outlineLevel="0" max="5" min="5" style="2" width="6.57"/>
    <col collapsed="false" customWidth="true" hidden="false" outlineLevel="0" max="6" min="6" style="1" width="91.71"/>
    <col collapsed="false" customWidth="true" hidden="false" outlineLevel="0" max="8" min="7" style="1" width="1.14"/>
    <col collapsed="false" customWidth="false" hidden="false" outlineLevel="0" max="1024" min="9" style="1" width="11.42"/>
  </cols>
  <sheetData>
    <row r="1" customFormat="false" ht="7.5" hidden="false" customHeight="true" outlineLevel="0" collapsed="false">
      <c r="A1" s="3"/>
      <c r="B1" s="4"/>
      <c r="C1" s="4"/>
      <c r="D1" s="4"/>
      <c r="E1" s="5"/>
      <c r="F1" s="4"/>
      <c r="G1" s="4"/>
      <c r="H1" s="3"/>
    </row>
    <row r="2" customFormat="false" ht="7.5" hidden="false" customHeight="true" outlineLevel="0" collapsed="false">
      <c r="A2" s="6"/>
      <c r="B2" s="7"/>
      <c r="C2" s="8"/>
      <c r="D2" s="8"/>
      <c r="E2" s="9"/>
      <c r="F2" s="8"/>
      <c r="G2" s="10"/>
      <c r="H2" s="11"/>
    </row>
    <row r="3" customFormat="false" ht="24.75" hidden="false" customHeight="true" outlineLevel="0" collapsed="false">
      <c r="A3" s="6"/>
      <c r="B3" s="11"/>
      <c r="C3" s="12" t="s">
        <v>0</v>
      </c>
      <c r="D3" s="12"/>
      <c r="E3" s="12"/>
      <c r="F3" s="12"/>
      <c r="G3" s="6"/>
      <c r="H3" s="11"/>
    </row>
    <row r="4" s="14" customFormat="true" ht="6.75" hidden="false" customHeight="true" outlineLevel="0" collapsed="false">
      <c r="A4" s="6"/>
      <c r="B4" s="11"/>
      <c r="C4" s="13"/>
      <c r="D4" s="13"/>
      <c r="E4" s="13"/>
      <c r="F4" s="13"/>
      <c r="G4" s="6"/>
      <c r="H4" s="11"/>
    </row>
    <row r="5" s="20" customFormat="true" ht="17.25" hidden="false" customHeight="true" outlineLevel="0" collapsed="false">
      <c r="A5" s="15"/>
      <c r="B5" s="16"/>
      <c r="C5" s="17"/>
      <c r="D5" s="18" t="s">
        <v>1</v>
      </c>
      <c r="E5" s="18"/>
      <c r="F5" s="19" t="s">
        <v>2</v>
      </c>
      <c r="G5" s="15"/>
      <c r="H5" s="16"/>
    </row>
    <row r="6" s="14" customFormat="true" ht="6.75" hidden="false" customHeight="true" outlineLevel="0" collapsed="false">
      <c r="A6" s="6"/>
      <c r="B6" s="11"/>
      <c r="C6" s="13"/>
      <c r="D6" s="13"/>
      <c r="E6" s="13"/>
      <c r="F6" s="13"/>
      <c r="G6" s="6"/>
      <c r="H6" s="11"/>
    </row>
    <row r="7" customFormat="false" ht="18.75" hidden="false" customHeight="false" outlineLevel="0" collapsed="false">
      <c r="A7" s="6"/>
      <c r="B7" s="11"/>
      <c r="C7" s="21"/>
      <c r="D7" s="22" t="s">
        <v>3</v>
      </c>
      <c r="E7" s="23"/>
      <c r="F7" s="24"/>
      <c r="G7" s="6"/>
      <c r="H7" s="11"/>
    </row>
    <row r="8" s="14" customFormat="true" ht="6.75" hidden="false" customHeight="true" outlineLevel="0" collapsed="false">
      <c r="A8" s="6"/>
      <c r="B8" s="11"/>
      <c r="C8" s="13"/>
      <c r="D8" s="13"/>
      <c r="E8" s="13"/>
      <c r="F8" s="13"/>
      <c r="G8" s="6"/>
      <c r="H8" s="11"/>
    </row>
    <row r="9" customFormat="false" ht="18.75" hidden="false" customHeight="false" outlineLevel="0" collapsed="false">
      <c r="A9" s="6"/>
      <c r="B9" s="11"/>
      <c r="C9" s="21"/>
      <c r="D9" s="25" t="s">
        <v>4</v>
      </c>
      <c r="E9" s="26"/>
      <c r="F9" s="27"/>
      <c r="G9" s="6"/>
      <c r="H9" s="11"/>
    </row>
    <row r="10" customFormat="false" ht="15" hidden="false" customHeight="false" outlineLevel="0" collapsed="false">
      <c r="A10" s="6"/>
      <c r="B10" s="11"/>
      <c r="C10" s="3"/>
      <c r="D10" s="28" t="s">
        <v>5</v>
      </c>
      <c r="E10" s="29" t="s">
        <v>6</v>
      </c>
      <c r="F10" s="3" t="s">
        <v>7</v>
      </c>
      <c r="G10" s="6"/>
      <c r="H10" s="11"/>
    </row>
    <row r="11" customFormat="false" ht="15" hidden="false" customHeight="false" outlineLevel="0" collapsed="false">
      <c r="A11" s="6"/>
      <c r="B11" s="11"/>
      <c r="C11" s="3"/>
      <c r="D11" s="28"/>
      <c r="E11" s="29" t="s">
        <v>8</v>
      </c>
      <c r="F11" s="3" t="s">
        <v>9</v>
      </c>
      <c r="G11" s="6"/>
      <c r="H11" s="11"/>
    </row>
    <row r="12" customFormat="false" ht="15" hidden="false" customHeight="false" outlineLevel="0" collapsed="false">
      <c r="A12" s="6"/>
      <c r="B12" s="11"/>
      <c r="C12" s="3"/>
      <c r="D12" s="28"/>
      <c r="E12" s="29" t="s">
        <v>10</v>
      </c>
      <c r="F12" s="3" t="s">
        <v>11</v>
      </c>
      <c r="G12" s="6"/>
      <c r="H12" s="11"/>
    </row>
    <row r="13" customFormat="false" ht="15" hidden="false" customHeight="false" outlineLevel="0" collapsed="false">
      <c r="A13" s="6"/>
      <c r="B13" s="11"/>
      <c r="C13" s="3"/>
      <c r="D13" s="28"/>
      <c r="E13" s="29" t="s">
        <v>12</v>
      </c>
      <c r="F13" s="3" t="s">
        <v>13</v>
      </c>
      <c r="G13" s="6"/>
      <c r="H13" s="11"/>
    </row>
    <row r="14" customFormat="false" ht="15" hidden="false" customHeight="false" outlineLevel="0" collapsed="false">
      <c r="A14" s="6"/>
      <c r="B14" s="11"/>
      <c r="C14" s="3"/>
      <c r="D14" s="28"/>
      <c r="E14" s="29" t="s">
        <v>14</v>
      </c>
      <c r="F14" s="3" t="s">
        <v>15</v>
      </c>
      <c r="G14" s="6"/>
      <c r="H14" s="11"/>
    </row>
    <row r="15" s="35" customFormat="true" ht="15" hidden="false" customHeight="false" outlineLevel="0" collapsed="false">
      <c r="A15" s="30"/>
      <c r="B15" s="31"/>
      <c r="C15" s="32"/>
      <c r="D15" s="28"/>
      <c r="E15" s="33" t="s">
        <v>16</v>
      </c>
      <c r="F15" s="34" t="s">
        <v>17</v>
      </c>
      <c r="G15" s="30"/>
      <c r="H15" s="31"/>
    </row>
    <row r="16" customFormat="false" ht="15" hidden="false" customHeight="false" outlineLevel="0" collapsed="false">
      <c r="A16" s="6"/>
      <c r="B16" s="11"/>
      <c r="C16" s="3"/>
      <c r="D16" s="28"/>
      <c r="E16" s="29" t="s">
        <v>18</v>
      </c>
      <c r="F16" s="3" t="s">
        <v>19</v>
      </c>
      <c r="G16" s="6"/>
      <c r="H16" s="11"/>
    </row>
    <row r="17" s="35" customFormat="true" ht="15" hidden="false" customHeight="false" outlineLevel="0" collapsed="false">
      <c r="A17" s="30"/>
      <c r="B17" s="31"/>
      <c r="C17" s="32"/>
      <c r="D17" s="28"/>
      <c r="E17" s="33" t="s">
        <v>20</v>
      </c>
      <c r="F17" s="34" t="s">
        <v>21</v>
      </c>
      <c r="G17" s="30"/>
      <c r="H17" s="31"/>
    </row>
    <row r="18" customFormat="false" ht="15" hidden="false" customHeight="false" outlineLevel="0" collapsed="false">
      <c r="A18" s="6"/>
      <c r="B18" s="11"/>
      <c r="C18" s="3"/>
      <c r="D18" s="28"/>
      <c r="E18" s="29" t="s">
        <v>22</v>
      </c>
      <c r="F18" s="3" t="s">
        <v>23</v>
      </c>
      <c r="G18" s="6"/>
      <c r="H18" s="11"/>
    </row>
    <row r="19" customFormat="false" ht="6.75" hidden="false" customHeight="true" outlineLevel="0" collapsed="false">
      <c r="A19" s="6"/>
      <c r="B19" s="11"/>
      <c r="C19" s="3"/>
      <c r="D19" s="3"/>
      <c r="E19" s="29"/>
      <c r="F19" s="3"/>
      <c r="G19" s="6"/>
      <c r="H19" s="11"/>
    </row>
    <row r="20" customFormat="false" ht="15.75" hidden="false" customHeight="true" outlineLevel="0" collapsed="false">
      <c r="A20" s="6"/>
      <c r="B20" s="11"/>
      <c r="C20" s="3"/>
      <c r="D20" s="36" t="s">
        <v>24</v>
      </c>
      <c r="E20" s="36"/>
      <c r="F20" s="36"/>
      <c r="G20" s="6"/>
      <c r="H20" s="11"/>
    </row>
    <row r="21" customFormat="false" ht="15.75" hidden="false" customHeight="false" outlineLevel="0" collapsed="false">
      <c r="A21" s="6"/>
      <c r="B21" s="11"/>
      <c r="C21" s="3"/>
      <c r="D21" s="37" t="s">
        <v>25</v>
      </c>
      <c r="E21" s="38"/>
      <c r="F21" s="39"/>
      <c r="G21" s="6"/>
      <c r="H21" s="11"/>
    </row>
    <row r="22" customFormat="false" ht="15" hidden="false" customHeight="false" outlineLevel="0" collapsed="false">
      <c r="A22" s="6"/>
      <c r="B22" s="11"/>
      <c r="C22" s="3"/>
      <c r="D22" s="28" t="s">
        <v>26</v>
      </c>
      <c r="E22" s="29" t="s">
        <v>27</v>
      </c>
      <c r="F22" s="40" t="s">
        <v>28</v>
      </c>
      <c r="G22" s="6"/>
      <c r="H22" s="11"/>
    </row>
    <row r="23" customFormat="false" ht="15" hidden="false" customHeight="false" outlineLevel="0" collapsed="false">
      <c r="A23" s="6"/>
      <c r="B23" s="11"/>
      <c r="C23" s="3"/>
      <c r="D23" s="28"/>
      <c r="E23" s="29" t="s">
        <v>29</v>
      </c>
      <c r="F23" s="3" t="s">
        <v>30</v>
      </c>
      <c r="G23" s="6"/>
      <c r="H23" s="11"/>
    </row>
    <row r="24" customFormat="false" ht="15" hidden="false" customHeight="false" outlineLevel="0" collapsed="false">
      <c r="A24" s="6"/>
      <c r="B24" s="11"/>
      <c r="C24" s="3"/>
      <c r="D24" s="28"/>
      <c r="E24" s="29" t="s">
        <v>31</v>
      </c>
      <c r="F24" s="40" t="s">
        <v>32</v>
      </c>
      <c r="G24" s="6"/>
      <c r="H24" s="11"/>
    </row>
    <row r="25" customFormat="false" ht="15" hidden="false" customHeight="false" outlineLevel="0" collapsed="false">
      <c r="A25" s="6"/>
      <c r="B25" s="11"/>
      <c r="C25" s="3"/>
      <c r="D25" s="28"/>
      <c r="E25" s="29" t="s">
        <v>33</v>
      </c>
      <c r="F25" s="3" t="s">
        <v>34</v>
      </c>
      <c r="G25" s="6"/>
      <c r="H25" s="11"/>
    </row>
    <row r="26" s="14" customFormat="true" ht="6.75" hidden="false" customHeight="true" outlineLevel="0" collapsed="false">
      <c r="A26" s="6"/>
      <c r="B26" s="11"/>
      <c r="C26" s="13"/>
      <c r="D26" s="13"/>
      <c r="E26" s="13"/>
      <c r="F26" s="13"/>
      <c r="G26" s="6"/>
      <c r="H26" s="11"/>
    </row>
    <row r="27" customFormat="false" ht="18.75" hidden="false" customHeight="false" outlineLevel="0" collapsed="false">
      <c r="A27" s="6"/>
      <c r="B27" s="11"/>
      <c r="C27" s="21"/>
      <c r="D27" s="41" t="s">
        <v>35</v>
      </c>
      <c r="E27" s="42"/>
      <c r="F27" s="43"/>
      <c r="G27" s="6"/>
      <c r="H27" s="11"/>
    </row>
    <row r="28" s="35" customFormat="true" ht="15" hidden="false" customHeight="true" outlineLevel="0" collapsed="false">
      <c r="A28" s="30"/>
      <c r="B28" s="31"/>
      <c r="C28" s="32"/>
      <c r="D28" s="28" t="s">
        <v>36</v>
      </c>
      <c r="E28" s="33" t="s">
        <v>37</v>
      </c>
      <c r="F28" s="34" t="s">
        <v>38</v>
      </c>
      <c r="G28" s="30"/>
      <c r="H28" s="31"/>
    </row>
    <row r="29" customFormat="false" ht="15" hidden="false" customHeight="false" outlineLevel="0" collapsed="false">
      <c r="A29" s="6"/>
      <c r="B29" s="11"/>
      <c r="C29" s="3"/>
      <c r="D29" s="28"/>
      <c r="E29" s="29" t="s">
        <v>39</v>
      </c>
      <c r="F29" s="3" t="s">
        <v>40</v>
      </c>
      <c r="G29" s="6"/>
      <c r="H29" s="11"/>
    </row>
    <row r="30" customFormat="false" ht="15" hidden="false" customHeight="false" outlineLevel="0" collapsed="false">
      <c r="A30" s="6"/>
      <c r="B30" s="11"/>
      <c r="C30" s="3"/>
      <c r="D30" s="28"/>
      <c r="E30" s="29" t="s">
        <v>41</v>
      </c>
      <c r="F30" s="3" t="s">
        <v>42</v>
      </c>
      <c r="G30" s="6"/>
      <c r="H30" s="11"/>
    </row>
    <row r="31" customFormat="false" ht="15" hidden="false" customHeight="false" outlineLevel="0" collapsed="false">
      <c r="A31" s="6"/>
      <c r="B31" s="11"/>
      <c r="C31" s="3"/>
      <c r="D31" s="28"/>
      <c r="E31" s="29" t="s">
        <v>43</v>
      </c>
      <c r="F31" s="3" t="s">
        <v>44</v>
      </c>
      <c r="G31" s="6"/>
      <c r="H31" s="11"/>
    </row>
    <row r="32" customFormat="false" ht="15" hidden="false" customHeight="false" outlineLevel="0" collapsed="false">
      <c r="A32" s="6"/>
      <c r="B32" s="11"/>
      <c r="C32" s="3"/>
      <c r="D32" s="28"/>
      <c r="E32" s="29" t="s">
        <v>45</v>
      </c>
      <c r="F32" s="3" t="s">
        <v>46</v>
      </c>
      <c r="G32" s="6"/>
      <c r="H32" s="11"/>
    </row>
    <row r="33" customFormat="false" ht="15" hidden="false" customHeight="false" outlineLevel="0" collapsed="false">
      <c r="A33" s="6"/>
      <c r="B33" s="11"/>
      <c r="C33" s="3"/>
      <c r="D33" s="28"/>
      <c r="E33" s="29" t="s">
        <v>47</v>
      </c>
      <c r="F33" s="3" t="s">
        <v>48</v>
      </c>
      <c r="G33" s="6"/>
      <c r="H33" s="11"/>
    </row>
    <row r="34" customFormat="false" ht="7.5" hidden="false" customHeight="true" outlineLevel="0" collapsed="false">
      <c r="A34" s="6"/>
      <c r="B34" s="44"/>
      <c r="C34" s="4"/>
      <c r="D34" s="4"/>
      <c r="E34" s="5"/>
      <c r="F34" s="4"/>
      <c r="G34" s="45"/>
      <c r="H34" s="11"/>
    </row>
    <row r="35" customFormat="false" ht="7.5" hidden="false" customHeight="true" outlineLevel="0" collapsed="false">
      <c r="A35" s="3"/>
      <c r="B35" s="8"/>
      <c r="C35" s="8"/>
      <c r="D35" s="8"/>
      <c r="E35" s="9"/>
      <c r="F35" s="8"/>
      <c r="G35" s="8"/>
      <c r="H35" s="3"/>
    </row>
  </sheetData>
  <mergeCells count="5">
    <mergeCell ref="C3:F3"/>
    <mergeCell ref="D5:E5"/>
    <mergeCell ref="D10:D18"/>
    <mergeCell ref="D22:D25"/>
    <mergeCell ref="D28:D3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true"/>
  </sheetPr>
  <dimension ref="A1:Y1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47" activePane="bottomRight" state="frozen"/>
      <selection pane="topLeft" activeCell="A1" activeCellId="0" sqref="A1"/>
      <selection pane="topRight" activeCell="G1" activeCellId="0" sqref="G1"/>
      <selection pane="bottomLeft" activeCell="A47" activeCellId="0" sqref="A47"/>
      <selection pane="bottomRight" activeCell="C2" activeCellId="0" sqref="C2"/>
    </sheetView>
  </sheetViews>
  <sheetFormatPr defaultColWidth="11.43359375" defaultRowHeight="15" zeroHeight="false" outlineLevelRow="0" outlineLevelCol="0"/>
  <cols>
    <col collapsed="false" customWidth="true" hidden="false" outlineLevel="0" max="1" min="1" style="24" width="0.42"/>
    <col collapsed="false" customWidth="true" hidden="false" outlineLevel="0" max="2" min="2" style="1" width="38.86"/>
    <col collapsed="false" customWidth="true" hidden="false" outlineLevel="0" max="3" min="3" style="2" width="11.57"/>
    <col collapsed="false" customWidth="true" hidden="false" outlineLevel="0" max="4" min="4" style="2" width="15.29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false" hidden="false" outlineLevel="0" max="8" min="7" style="2" width="11.42"/>
    <col collapsed="false" customWidth="false" hidden="false" outlineLevel="0" max="9" min="9" style="46" width="11.42"/>
    <col collapsed="false" customWidth="false" hidden="false" outlineLevel="0" max="10" min="10" style="47" width="11.42"/>
    <col collapsed="false" customWidth="false" hidden="false" outlineLevel="0" max="11" min="11" style="46" width="11.42"/>
    <col collapsed="false" customWidth="false" hidden="false" outlineLevel="0" max="12" min="12" style="47" width="11.42"/>
    <col collapsed="false" customWidth="false" hidden="false" outlineLevel="0" max="13" min="13" style="46" width="11.42"/>
    <col collapsed="false" customWidth="false" hidden="false" outlineLevel="0" max="14" min="14" style="47" width="11.42"/>
    <col collapsed="false" customWidth="true" hidden="false" outlineLevel="0" max="22" min="15" style="2" width="7.57"/>
    <col collapsed="false" customWidth="false" hidden="false" outlineLevel="0" max="1024" min="23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48"/>
      <c r="J1" s="49"/>
      <c r="K1" s="48"/>
      <c r="L1" s="49"/>
      <c r="M1" s="48"/>
      <c r="N1" s="49"/>
      <c r="O1" s="23"/>
      <c r="P1" s="23"/>
      <c r="Q1" s="23"/>
      <c r="R1" s="23"/>
      <c r="S1" s="23"/>
      <c r="T1" s="23"/>
      <c r="U1" s="23"/>
      <c r="V1" s="23"/>
    </row>
    <row r="2" s="63" customFormat="true" ht="30" hidden="false" customHeight="true" outlineLevel="0" collapsed="false">
      <c r="A2" s="50"/>
      <c r="B2" s="51" t="s">
        <v>49</v>
      </c>
      <c r="C2" s="52" t="s">
        <v>50</v>
      </c>
      <c r="D2" s="52" t="s">
        <v>51</v>
      </c>
      <c r="E2" s="53" t="s">
        <v>52</v>
      </c>
      <c r="F2" s="54" t="s">
        <v>53</v>
      </c>
      <c r="G2" s="55" t="s">
        <v>54</v>
      </c>
      <c r="H2" s="55"/>
      <c r="I2" s="56" t="s">
        <v>55</v>
      </c>
      <c r="J2" s="57" t="s">
        <v>56</v>
      </c>
      <c r="K2" s="58" t="s">
        <v>57</v>
      </c>
      <c r="L2" s="57" t="s">
        <v>58</v>
      </c>
      <c r="M2" s="58" t="s">
        <v>59</v>
      </c>
      <c r="N2" s="59" t="s">
        <v>60</v>
      </c>
      <c r="O2" s="60" t="s">
        <v>61</v>
      </c>
      <c r="P2" s="60"/>
      <c r="Q2" s="60" t="s">
        <v>62</v>
      </c>
      <c r="R2" s="60"/>
      <c r="S2" s="60" t="s">
        <v>63</v>
      </c>
      <c r="T2" s="60"/>
      <c r="U2" s="61" t="s">
        <v>64</v>
      </c>
      <c r="V2" s="61"/>
      <c r="W2" s="62"/>
    </row>
    <row r="3" s="63" customFormat="true" ht="30" hidden="false" customHeight="true" outlineLevel="0" collapsed="false">
      <c r="A3" s="50"/>
      <c r="B3" s="51"/>
      <c r="C3" s="52"/>
      <c r="D3" s="52"/>
      <c r="E3" s="53"/>
      <c r="F3" s="54"/>
      <c r="G3" s="64"/>
      <c r="H3" s="65"/>
      <c r="I3" s="56"/>
      <c r="J3" s="57"/>
      <c r="K3" s="58"/>
      <c r="L3" s="57"/>
      <c r="M3" s="58"/>
      <c r="N3" s="59"/>
      <c r="O3" s="66"/>
      <c r="P3" s="65"/>
      <c r="Q3" s="66"/>
      <c r="R3" s="65"/>
      <c r="S3" s="66"/>
      <c r="T3" s="65"/>
      <c r="U3" s="67"/>
      <c r="V3" s="68"/>
      <c r="W3" s="62"/>
    </row>
    <row r="4" s="63" customFormat="true" ht="30" hidden="false" customHeight="true" outlineLevel="0" collapsed="false">
      <c r="A4" s="50"/>
      <c r="B4" s="51"/>
      <c r="C4" s="52"/>
      <c r="D4" s="52"/>
      <c r="E4" s="53"/>
      <c r="F4" s="54"/>
      <c r="G4" s="69" t="s">
        <v>65</v>
      </c>
      <c r="H4" s="70" t="s">
        <v>66</v>
      </c>
      <c r="I4" s="56"/>
      <c r="J4" s="57"/>
      <c r="K4" s="58"/>
      <c r="L4" s="57"/>
      <c r="M4" s="58"/>
      <c r="N4" s="59"/>
      <c r="O4" s="71" t="s">
        <v>65</v>
      </c>
      <c r="P4" s="70" t="s">
        <v>66</v>
      </c>
      <c r="Q4" s="71" t="s">
        <v>65</v>
      </c>
      <c r="R4" s="70" t="s">
        <v>66</v>
      </c>
      <c r="S4" s="71" t="s">
        <v>65</v>
      </c>
      <c r="T4" s="70" t="s">
        <v>66</v>
      </c>
      <c r="U4" s="71" t="s">
        <v>65</v>
      </c>
      <c r="V4" s="72" t="s">
        <v>66</v>
      </c>
      <c r="W4" s="62"/>
    </row>
    <row r="5" customFormat="false" ht="15.75" hidden="false" customHeight="false" outlineLevel="0" collapsed="false">
      <c r="B5" s="73" t="s">
        <v>67</v>
      </c>
      <c r="C5" s="74" t="s">
        <v>68</v>
      </c>
      <c r="D5" s="74" t="n">
        <v>2</v>
      </c>
      <c r="E5" s="75" t="s">
        <v>69</v>
      </c>
      <c r="F5" s="76" t="s">
        <v>70</v>
      </c>
      <c r="G5" s="77" t="n">
        <f aca="false">27+11+2+15+8</f>
        <v>63</v>
      </c>
      <c r="H5" s="78" t="n">
        <v>29</v>
      </c>
      <c r="I5" s="79" t="n">
        <f aca="false">2/G5</f>
        <v>0.0317460317460317</v>
      </c>
      <c r="J5" s="80" t="n">
        <f aca="false">I5*G5</f>
        <v>2</v>
      </c>
      <c r="K5" s="81" t="n">
        <f aca="false">(2+15)/G5</f>
        <v>0.26984126984127</v>
      </c>
      <c r="L5" s="80" t="n">
        <f aca="false">K5*G5</f>
        <v>17</v>
      </c>
      <c r="M5" s="81" t="n">
        <f aca="false">2/17</f>
        <v>0.117647058823529</v>
      </c>
      <c r="N5" s="82" t="n">
        <f aca="false">IF(M5="-","-",M5*L5)</f>
        <v>2</v>
      </c>
      <c r="O5" s="83"/>
      <c r="P5" s="78"/>
      <c r="Q5" s="83"/>
      <c r="R5" s="78"/>
      <c r="S5" s="83"/>
      <c r="T5" s="78"/>
      <c r="U5" s="83"/>
      <c r="V5" s="84"/>
      <c r="W5" s="85"/>
    </row>
    <row r="6" customFormat="false" ht="15.75" hidden="false" customHeight="false" outlineLevel="0" collapsed="false">
      <c r="B6" s="86" t="s">
        <v>71</v>
      </c>
      <c r="C6" s="87" t="s">
        <v>68</v>
      </c>
      <c r="D6" s="87" t="n">
        <v>2</v>
      </c>
      <c r="E6" s="88" t="s">
        <v>72</v>
      </c>
      <c r="F6" s="89" t="s">
        <v>70</v>
      </c>
      <c r="G6" s="90"/>
      <c r="H6" s="91"/>
      <c r="I6" s="92" t="e">
        <f aca="false">2/G6</f>
        <v>#DIV/0!</v>
      </c>
      <c r="J6" s="93"/>
      <c r="K6" s="94" t="e">
        <f aca="false">(2+15)/G6</f>
        <v>#DIV/0!</v>
      </c>
      <c r="L6" s="93"/>
      <c r="M6" s="94" t="n">
        <f aca="false">2/17</f>
        <v>0.117647058823529</v>
      </c>
      <c r="N6" s="95"/>
      <c r="O6" s="96"/>
      <c r="P6" s="91"/>
      <c r="Q6" s="96"/>
      <c r="R6" s="91"/>
      <c r="S6" s="96"/>
      <c r="T6" s="91"/>
      <c r="U6" s="96"/>
      <c r="V6" s="97"/>
      <c r="W6" s="85"/>
    </row>
    <row r="7" customFormat="false" ht="15" hidden="false" customHeight="true" outlineLevel="0" collapsed="false">
      <c r="B7" s="98" t="s">
        <v>73</v>
      </c>
      <c r="C7" s="99" t="s">
        <v>68</v>
      </c>
      <c r="D7" s="99" t="n">
        <v>8</v>
      </c>
      <c r="E7" s="100" t="s">
        <v>74</v>
      </c>
      <c r="F7" s="101" t="s">
        <v>70</v>
      </c>
      <c r="G7" s="102"/>
      <c r="H7" s="103"/>
      <c r="I7" s="104" t="n">
        <v>0.32258064516129</v>
      </c>
      <c r="J7" s="105"/>
      <c r="K7" s="106" t="n">
        <v>0.32258064516129</v>
      </c>
      <c r="L7" s="105"/>
      <c r="M7" s="106" t="s">
        <v>75</v>
      </c>
      <c r="N7" s="107" t="s">
        <v>75</v>
      </c>
      <c r="O7" s="108" t="s">
        <v>75</v>
      </c>
      <c r="P7" s="103" t="s">
        <v>75</v>
      </c>
      <c r="Q7" s="108" t="s">
        <v>75</v>
      </c>
      <c r="R7" s="103" t="s">
        <v>75</v>
      </c>
      <c r="S7" s="108"/>
      <c r="T7" s="103"/>
      <c r="U7" s="108"/>
      <c r="V7" s="109"/>
      <c r="W7" s="85"/>
    </row>
    <row r="8" customFormat="false" ht="15" hidden="false" customHeight="true" outlineLevel="0" collapsed="false">
      <c r="B8" s="98"/>
      <c r="C8" s="99"/>
      <c r="D8" s="99"/>
      <c r="E8" s="110" t="s">
        <v>74</v>
      </c>
      <c r="F8" s="111" t="s">
        <v>70</v>
      </c>
      <c r="G8" s="112"/>
      <c r="H8" s="113"/>
      <c r="I8" s="114" t="n">
        <v>0.48</v>
      </c>
      <c r="J8" s="115"/>
      <c r="K8" s="116" t="n">
        <v>0.36</v>
      </c>
      <c r="L8" s="115"/>
      <c r="M8" s="116" t="s">
        <v>75</v>
      </c>
      <c r="N8" s="117" t="s">
        <v>75</v>
      </c>
      <c r="O8" s="118" t="s">
        <v>75</v>
      </c>
      <c r="P8" s="113" t="s">
        <v>75</v>
      </c>
      <c r="Q8" s="118" t="s">
        <v>75</v>
      </c>
      <c r="R8" s="113" t="s">
        <v>75</v>
      </c>
      <c r="S8" s="118"/>
      <c r="T8" s="113"/>
      <c r="U8" s="118"/>
      <c r="V8" s="119"/>
      <c r="W8" s="85"/>
    </row>
    <row r="9" customFormat="false" ht="15" hidden="false" customHeight="true" outlineLevel="0" collapsed="false">
      <c r="B9" s="98"/>
      <c r="C9" s="99"/>
      <c r="D9" s="99"/>
      <c r="E9" s="110" t="s">
        <v>74</v>
      </c>
      <c r="F9" s="111" t="s">
        <v>70</v>
      </c>
      <c r="G9" s="112"/>
      <c r="H9" s="113"/>
      <c r="I9" s="114" t="n">
        <v>0.5</v>
      </c>
      <c r="J9" s="115"/>
      <c r="K9" s="116" t="n">
        <v>0.166666666666667</v>
      </c>
      <c r="L9" s="115"/>
      <c r="M9" s="116" t="s">
        <v>75</v>
      </c>
      <c r="N9" s="117" t="s">
        <v>75</v>
      </c>
      <c r="O9" s="118" t="s">
        <v>75</v>
      </c>
      <c r="P9" s="113" t="s">
        <v>75</v>
      </c>
      <c r="Q9" s="118" t="s">
        <v>75</v>
      </c>
      <c r="R9" s="113" t="s">
        <v>75</v>
      </c>
      <c r="S9" s="118"/>
      <c r="T9" s="113"/>
      <c r="U9" s="118"/>
      <c r="V9" s="119"/>
      <c r="W9" s="85"/>
    </row>
    <row r="10" customFormat="false" ht="15" hidden="false" customHeight="true" outlineLevel="0" collapsed="false">
      <c r="B10" s="98"/>
      <c r="C10" s="99"/>
      <c r="D10" s="99"/>
      <c r="E10" s="110" t="s">
        <v>74</v>
      </c>
      <c r="F10" s="111"/>
      <c r="G10" s="112"/>
      <c r="H10" s="113"/>
      <c r="I10" s="114" t="n">
        <v>0.5</v>
      </c>
      <c r="J10" s="115"/>
      <c r="K10" s="116" t="n">
        <v>0.166666666666667</v>
      </c>
      <c r="L10" s="115"/>
      <c r="M10" s="116" t="s">
        <v>75</v>
      </c>
      <c r="N10" s="117" t="s">
        <v>75</v>
      </c>
      <c r="O10" s="118" t="s">
        <v>75</v>
      </c>
      <c r="P10" s="113" t="s">
        <v>75</v>
      </c>
      <c r="Q10" s="118" t="s">
        <v>75</v>
      </c>
      <c r="R10" s="113" t="s">
        <v>75</v>
      </c>
      <c r="S10" s="118"/>
      <c r="T10" s="113"/>
      <c r="U10" s="118"/>
      <c r="V10" s="119"/>
      <c r="W10" s="85"/>
    </row>
    <row r="11" customFormat="false" ht="15" hidden="false" customHeight="true" outlineLevel="0" collapsed="false">
      <c r="B11" s="98"/>
      <c r="C11" s="99"/>
      <c r="D11" s="99"/>
      <c r="E11" s="110" t="s">
        <v>74</v>
      </c>
      <c r="F11" s="111" t="s">
        <v>70</v>
      </c>
      <c r="G11" s="112"/>
      <c r="H11" s="113"/>
      <c r="I11" s="114" t="n">
        <v>0.0714285714285714</v>
      </c>
      <c r="J11" s="115"/>
      <c r="K11" s="116" t="n">
        <v>0.0714285714285714</v>
      </c>
      <c r="L11" s="115"/>
      <c r="M11" s="116" t="s">
        <v>75</v>
      </c>
      <c r="N11" s="117" t="s">
        <v>75</v>
      </c>
      <c r="O11" s="118" t="s">
        <v>75</v>
      </c>
      <c r="P11" s="113" t="s">
        <v>75</v>
      </c>
      <c r="Q11" s="118" t="s">
        <v>75</v>
      </c>
      <c r="R11" s="113" t="s">
        <v>75</v>
      </c>
      <c r="S11" s="118"/>
      <c r="T11" s="113"/>
      <c r="U11" s="118"/>
      <c r="V11" s="119"/>
      <c r="W11" s="85"/>
    </row>
    <row r="12" customFormat="false" ht="15" hidden="false" customHeight="true" outlineLevel="0" collapsed="false">
      <c r="B12" s="98"/>
      <c r="C12" s="99"/>
      <c r="D12" s="99"/>
      <c r="E12" s="110" t="s">
        <v>74</v>
      </c>
      <c r="F12" s="111" t="s">
        <v>70</v>
      </c>
      <c r="G12" s="112"/>
      <c r="H12" s="113"/>
      <c r="I12" s="114" t="n">
        <v>0.0416666666666667</v>
      </c>
      <c r="J12" s="115"/>
      <c r="K12" s="116" t="n">
        <v>0.208333333333333</v>
      </c>
      <c r="L12" s="115"/>
      <c r="M12" s="116" t="s">
        <v>75</v>
      </c>
      <c r="N12" s="117" t="s">
        <v>75</v>
      </c>
      <c r="O12" s="118" t="s">
        <v>75</v>
      </c>
      <c r="P12" s="113" t="s">
        <v>75</v>
      </c>
      <c r="Q12" s="118" t="s">
        <v>75</v>
      </c>
      <c r="R12" s="113" t="s">
        <v>75</v>
      </c>
      <c r="S12" s="118"/>
      <c r="T12" s="113"/>
      <c r="U12" s="118"/>
      <c r="V12" s="119"/>
      <c r="W12" s="85"/>
    </row>
    <row r="13" customFormat="false" ht="15" hidden="false" customHeight="true" outlineLevel="0" collapsed="false">
      <c r="B13" s="98"/>
      <c r="C13" s="99"/>
      <c r="D13" s="99"/>
      <c r="E13" s="110" t="s">
        <v>74</v>
      </c>
      <c r="F13" s="111" t="s">
        <v>70</v>
      </c>
      <c r="G13" s="112"/>
      <c r="H13" s="113"/>
      <c r="I13" s="114" t="n">
        <v>0</v>
      </c>
      <c r="J13" s="115"/>
      <c r="K13" s="116" t="n">
        <v>0.413793103448276</v>
      </c>
      <c r="L13" s="115"/>
      <c r="M13" s="116" t="s">
        <v>75</v>
      </c>
      <c r="N13" s="117" t="s">
        <v>75</v>
      </c>
      <c r="O13" s="118" t="s">
        <v>75</v>
      </c>
      <c r="P13" s="113" t="s">
        <v>75</v>
      </c>
      <c r="Q13" s="118" t="s">
        <v>75</v>
      </c>
      <c r="R13" s="113" t="s">
        <v>75</v>
      </c>
      <c r="S13" s="118"/>
      <c r="T13" s="113"/>
      <c r="U13" s="118"/>
      <c r="V13" s="119"/>
      <c r="W13" s="85"/>
    </row>
    <row r="14" customFormat="false" ht="15" hidden="false" customHeight="true" outlineLevel="0" collapsed="false">
      <c r="B14" s="98"/>
      <c r="C14" s="99"/>
      <c r="D14" s="99"/>
      <c r="E14" s="110" t="s">
        <v>74</v>
      </c>
      <c r="F14" s="111" t="s">
        <v>70</v>
      </c>
      <c r="G14" s="112"/>
      <c r="H14" s="113"/>
      <c r="I14" s="114" t="n">
        <v>0.259259259259259</v>
      </c>
      <c r="J14" s="115"/>
      <c r="K14" s="116" t="n">
        <v>0.481481481481481</v>
      </c>
      <c r="L14" s="115"/>
      <c r="M14" s="116" t="s">
        <v>75</v>
      </c>
      <c r="N14" s="117" t="s">
        <v>75</v>
      </c>
      <c r="O14" s="118" t="s">
        <v>75</v>
      </c>
      <c r="P14" s="113" t="s">
        <v>75</v>
      </c>
      <c r="Q14" s="118" t="s">
        <v>75</v>
      </c>
      <c r="R14" s="113" t="s">
        <v>75</v>
      </c>
      <c r="S14" s="118"/>
      <c r="T14" s="113"/>
      <c r="U14" s="118"/>
      <c r="V14" s="119"/>
      <c r="W14" s="85"/>
    </row>
    <row r="15" customFormat="false" ht="15" hidden="false" customHeight="true" outlineLevel="0" collapsed="false">
      <c r="B15" s="98"/>
      <c r="C15" s="99"/>
      <c r="D15" s="99"/>
      <c r="E15" s="120" t="s">
        <v>74</v>
      </c>
      <c r="F15" s="121"/>
      <c r="G15" s="112"/>
      <c r="H15" s="113"/>
      <c r="I15" s="114" t="n">
        <v>0.259259259259259</v>
      </c>
      <c r="J15" s="115"/>
      <c r="K15" s="116" t="n">
        <v>0.481481481481481</v>
      </c>
      <c r="L15" s="115"/>
      <c r="M15" s="116" t="s">
        <v>75</v>
      </c>
      <c r="N15" s="122" t="s">
        <v>75</v>
      </c>
      <c r="O15" s="123" t="s">
        <v>75</v>
      </c>
      <c r="P15" s="124" t="s">
        <v>75</v>
      </c>
      <c r="Q15" s="123" t="s">
        <v>75</v>
      </c>
      <c r="R15" s="124" t="s">
        <v>75</v>
      </c>
      <c r="S15" s="123"/>
      <c r="T15" s="124"/>
      <c r="U15" s="123"/>
      <c r="V15" s="125"/>
      <c r="W15" s="85"/>
    </row>
    <row r="16" customFormat="false" ht="15" hidden="false" customHeight="true" outlineLevel="0" collapsed="false">
      <c r="B16" s="98"/>
      <c r="C16" s="99"/>
      <c r="D16" s="99"/>
      <c r="E16" s="120" t="s">
        <v>74</v>
      </c>
      <c r="F16" s="121"/>
      <c r="G16" s="112"/>
      <c r="H16" s="113"/>
      <c r="I16" s="114" t="n">
        <v>0.259259259259259</v>
      </c>
      <c r="J16" s="115"/>
      <c r="K16" s="116" t="n">
        <v>0.481481481481481</v>
      </c>
      <c r="L16" s="115"/>
      <c r="M16" s="116" t="s">
        <v>75</v>
      </c>
      <c r="N16" s="122" t="s">
        <v>75</v>
      </c>
      <c r="O16" s="123" t="s">
        <v>75</v>
      </c>
      <c r="P16" s="124" t="s">
        <v>75</v>
      </c>
      <c r="Q16" s="123" t="s">
        <v>75</v>
      </c>
      <c r="R16" s="124" t="s">
        <v>75</v>
      </c>
      <c r="S16" s="123"/>
      <c r="T16" s="124"/>
      <c r="U16" s="123"/>
      <c r="V16" s="125"/>
      <c r="W16" s="85"/>
    </row>
    <row r="17" customFormat="false" ht="15" hidden="false" customHeight="true" outlineLevel="0" collapsed="false">
      <c r="B17" s="98"/>
      <c r="C17" s="99"/>
      <c r="D17" s="99"/>
      <c r="E17" s="120"/>
      <c r="F17" s="121"/>
      <c r="G17" s="126"/>
      <c r="H17" s="124"/>
      <c r="I17" s="114" t="n">
        <v>0.259259259259259</v>
      </c>
      <c r="J17" s="127"/>
      <c r="K17" s="116" t="n">
        <v>0.481481481481481</v>
      </c>
      <c r="L17" s="127"/>
      <c r="M17" s="116" t="s">
        <v>75</v>
      </c>
      <c r="N17" s="122" t="s">
        <v>75</v>
      </c>
      <c r="O17" s="123" t="s">
        <v>75</v>
      </c>
      <c r="P17" s="124" t="s">
        <v>75</v>
      </c>
      <c r="Q17" s="123" t="s">
        <v>75</v>
      </c>
      <c r="R17" s="124" t="s">
        <v>75</v>
      </c>
      <c r="S17" s="123"/>
      <c r="T17" s="124"/>
      <c r="U17" s="123"/>
      <c r="V17" s="125"/>
      <c r="W17" s="85"/>
    </row>
    <row r="18" customFormat="false" ht="15" hidden="false" customHeight="true" outlineLevel="0" collapsed="false">
      <c r="B18" s="98"/>
      <c r="C18" s="99"/>
      <c r="D18" s="99"/>
      <c r="E18" s="120"/>
      <c r="F18" s="121"/>
      <c r="G18" s="126"/>
      <c r="H18" s="124"/>
      <c r="I18" s="114" t="n">
        <v>0.259259259259259</v>
      </c>
      <c r="J18" s="127"/>
      <c r="K18" s="116" t="n">
        <v>0.481481481481481</v>
      </c>
      <c r="L18" s="127"/>
      <c r="M18" s="116" t="s">
        <v>75</v>
      </c>
      <c r="N18" s="122" t="s">
        <v>75</v>
      </c>
      <c r="O18" s="123" t="s">
        <v>75</v>
      </c>
      <c r="P18" s="124" t="s">
        <v>75</v>
      </c>
      <c r="Q18" s="123" t="s">
        <v>75</v>
      </c>
      <c r="R18" s="124" t="s">
        <v>75</v>
      </c>
      <c r="S18" s="123"/>
      <c r="T18" s="124"/>
      <c r="U18" s="123"/>
      <c r="V18" s="125"/>
      <c r="W18" s="85"/>
    </row>
    <row r="19" customFormat="false" ht="15" hidden="false" customHeight="true" outlineLevel="0" collapsed="false">
      <c r="B19" s="98"/>
      <c r="C19" s="99"/>
      <c r="D19" s="99"/>
      <c r="E19" s="128" t="s">
        <v>74</v>
      </c>
      <c r="F19" s="129" t="s">
        <v>70</v>
      </c>
      <c r="G19" s="130"/>
      <c r="H19" s="131"/>
      <c r="I19" s="132" t="n">
        <v>0.5</v>
      </c>
      <c r="J19" s="133"/>
      <c r="K19" s="134" t="n">
        <v>0</v>
      </c>
      <c r="L19" s="133"/>
      <c r="M19" s="134" t="s">
        <v>75</v>
      </c>
      <c r="N19" s="135" t="s">
        <v>75</v>
      </c>
      <c r="O19" s="136" t="s">
        <v>75</v>
      </c>
      <c r="P19" s="131" t="s">
        <v>75</v>
      </c>
      <c r="Q19" s="136" t="s">
        <v>75</v>
      </c>
      <c r="R19" s="131" t="s">
        <v>75</v>
      </c>
      <c r="S19" s="136"/>
      <c r="T19" s="131"/>
      <c r="U19" s="136"/>
      <c r="V19" s="137"/>
      <c r="W19" s="85"/>
    </row>
    <row r="20" customFormat="false" ht="15.75" hidden="false" customHeight="false" outlineLevel="0" collapsed="false">
      <c r="B20" s="98"/>
      <c r="C20" s="99"/>
      <c r="D20" s="138" t="s">
        <v>76</v>
      </c>
      <c r="E20" s="139"/>
      <c r="F20" s="140"/>
      <c r="G20" s="90" t="n">
        <f aca="false">SUM(G7:G19)</f>
        <v>0</v>
      </c>
      <c r="H20" s="91" t="n">
        <f aca="false">SUM(H7:H19)</f>
        <v>0</v>
      </c>
      <c r="I20" s="92" t="e">
        <f aca="false">J20/G20</f>
        <v>#DIV/0!</v>
      </c>
      <c r="J20" s="93" t="n">
        <f aca="false">SUM(J7:J19)</f>
        <v>0</v>
      </c>
      <c r="K20" s="94" t="e">
        <f aca="false">L20/G20</f>
        <v>#DIV/0!</v>
      </c>
      <c r="L20" s="93" t="n">
        <f aca="false">SUM(L7:L19)</f>
        <v>0</v>
      </c>
      <c r="M20" s="94" t="e">
        <f aca="false">N20/L20</f>
        <v>#DIV/0!</v>
      </c>
      <c r="N20" s="95" t="n">
        <f aca="false">SUM(N7:N19)</f>
        <v>0</v>
      </c>
      <c r="O20" s="141"/>
      <c r="P20" s="142"/>
      <c r="Q20" s="141"/>
      <c r="R20" s="142"/>
      <c r="S20" s="141"/>
      <c r="T20" s="142"/>
      <c r="U20" s="141"/>
      <c r="V20" s="143"/>
      <c r="W20" s="85"/>
    </row>
    <row r="21" customFormat="false" ht="15" hidden="false" customHeight="true" outlineLevel="0" collapsed="false">
      <c r="B21" s="98" t="s">
        <v>77</v>
      </c>
      <c r="C21" s="99" t="s">
        <v>68</v>
      </c>
      <c r="D21" s="99" t="n">
        <v>8</v>
      </c>
      <c r="E21" s="100" t="s">
        <v>78</v>
      </c>
      <c r="F21" s="101" t="s">
        <v>70</v>
      </c>
      <c r="G21" s="102" t="n">
        <v>31</v>
      </c>
      <c r="H21" s="103" t="n">
        <v>23</v>
      </c>
      <c r="I21" s="104" t="n">
        <v>0.32258064516129</v>
      </c>
      <c r="J21" s="105" t="n">
        <f aca="false">I21*G21</f>
        <v>10</v>
      </c>
      <c r="K21" s="106" t="n">
        <v>0.32258064516129</v>
      </c>
      <c r="L21" s="105" t="n">
        <f aca="false">K21*G21</f>
        <v>10</v>
      </c>
      <c r="M21" s="106" t="s">
        <v>75</v>
      </c>
      <c r="N21" s="107" t="s">
        <v>75</v>
      </c>
      <c r="O21" s="108" t="s">
        <v>75</v>
      </c>
      <c r="P21" s="103" t="s">
        <v>75</v>
      </c>
      <c r="Q21" s="108" t="s">
        <v>75</v>
      </c>
      <c r="R21" s="103" t="s">
        <v>75</v>
      </c>
      <c r="S21" s="108"/>
      <c r="T21" s="103"/>
      <c r="U21" s="108"/>
      <c r="V21" s="109"/>
      <c r="W21" s="85"/>
    </row>
    <row r="22" customFormat="false" ht="15" hidden="false" customHeight="true" outlineLevel="0" collapsed="false">
      <c r="B22" s="98"/>
      <c r="C22" s="99"/>
      <c r="D22" s="99"/>
      <c r="E22" s="110" t="s">
        <v>79</v>
      </c>
      <c r="F22" s="111" t="s">
        <v>70</v>
      </c>
      <c r="G22" s="112" t="n">
        <v>25</v>
      </c>
      <c r="H22" s="113" t="n">
        <v>13</v>
      </c>
      <c r="I22" s="114" t="n">
        <v>0.48</v>
      </c>
      <c r="J22" s="115" t="n">
        <f aca="false">I22*G22</f>
        <v>12</v>
      </c>
      <c r="K22" s="116" t="n">
        <v>0.36</v>
      </c>
      <c r="L22" s="115" t="n">
        <f aca="false">K22*G22</f>
        <v>9</v>
      </c>
      <c r="M22" s="116" t="s">
        <v>75</v>
      </c>
      <c r="N22" s="117" t="s">
        <v>75</v>
      </c>
      <c r="O22" s="118" t="s">
        <v>75</v>
      </c>
      <c r="P22" s="113" t="s">
        <v>75</v>
      </c>
      <c r="Q22" s="118" t="s">
        <v>75</v>
      </c>
      <c r="R22" s="113" t="s">
        <v>75</v>
      </c>
      <c r="S22" s="118"/>
      <c r="T22" s="113"/>
      <c r="U22" s="118"/>
      <c r="V22" s="119"/>
      <c r="W22" s="85"/>
    </row>
    <row r="23" customFormat="false" ht="15" hidden="false" customHeight="true" outlineLevel="0" collapsed="false">
      <c r="B23" s="98"/>
      <c r="C23" s="99"/>
      <c r="D23" s="99"/>
      <c r="E23" s="110" t="s">
        <v>80</v>
      </c>
      <c r="F23" s="111" t="s">
        <v>70</v>
      </c>
      <c r="G23" s="112" t="n">
        <v>18</v>
      </c>
      <c r="H23" s="113" t="n">
        <v>10</v>
      </c>
      <c r="I23" s="114" t="n">
        <v>0.5</v>
      </c>
      <c r="J23" s="115" t="n">
        <f aca="false">I23*G23</f>
        <v>9</v>
      </c>
      <c r="K23" s="116" t="n">
        <v>0.166666666666667</v>
      </c>
      <c r="L23" s="115" t="n">
        <f aca="false">K23*G23</f>
        <v>3</v>
      </c>
      <c r="M23" s="116" t="s">
        <v>75</v>
      </c>
      <c r="N23" s="117" t="s">
        <v>75</v>
      </c>
      <c r="O23" s="118" t="s">
        <v>75</v>
      </c>
      <c r="P23" s="113" t="s">
        <v>75</v>
      </c>
      <c r="Q23" s="118" t="s">
        <v>75</v>
      </c>
      <c r="R23" s="113" t="s">
        <v>75</v>
      </c>
      <c r="S23" s="118"/>
      <c r="T23" s="113"/>
      <c r="U23" s="118"/>
      <c r="V23" s="119"/>
      <c r="W23" s="85"/>
    </row>
    <row r="24" customFormat="false" ht="15" hidden="false" customHeight="true" outlineLevel="0" collapsed="false">
      <c r="B24" s="98"/>
      <c r="C24" s="99"/>
      <c r="D24" s="99"/>
      <c r="E24" s="110"/>
      <c r="F24" s="111"/>
      <c r="G24" s="112"/>
      <c r="H24" s="113"/>
      <c r="I24" s="114" t="n">
        <v>0.5</v>
      </c>
      <c r="J24" s="115"/>
      <c r="K24" s="116" t="n">
        <v>0.166666666666667</v>
      </c>
      <c r="L24" s="115"/>
      <c r="M24" s="116" t="s">
        <v>75</v>
      </c>
      <c r="N24" s="117" t="s">
        <v>75</v>
      </c>
      <c r="O24" s="118" t="s">
        <v>75</v>
      </c>
      <c r="P24" s="113" t="s">
        <v>75</v>
      </c>
      <c r="Q24" s="118" t="s">
        <v>75</v>
      </c>
      <c r="R24" s="113" t="s">
        <v>75</v>
      </c>
      <c r="S24" s="118"/>
      <c r="T24" s="113"/>
      <c r="U24" s="118"/>
      <c r="V24" s="119"/>
      <c r="W24" s="85"/>
    </row>
    <row r="25" customFormat="false" ht="15" hidden="false" customHeight="true" outlineLevel="0" collapsed="false">
      <c r="B25" s="98"/>
      <c r="C25" s="99"/>
      <c r="D25" s="99"/>
      <c r="E25" s="110" t="s">
        <v>81</v>
      </c>
      <c r="F25" s="111" t="s">
        <v>70</v>
      </c>
      <c r="G25" s="112" t="n">
        <v>14</v>
      </c>
      <c r="H25" s="113" t="n">
        <v>9</v>
      </c>
      <c r="I25" s="114" t="n">
        <v>0.0714285714285714</v>
      </c>
      <c r="J25" s="115" t="n">
        <f aca="false">I25*G25</f>
        <v>1</v>
      </c>
      <c r="K25" s="116" t="n">
        <v>0.0714285714285714</v>
      </c>
      <c r="L25" s="115" t="n">
        <f aca="false">K25*G25</f>
        <v>1</v>
      </c>
      <c r="M25" s="116" t="s">
        <v>75</v>
      </c>
      <c r="N25" s="117" t="s">
        <v>75</v>
      </c>
      <c r="O25" s="118" t="s">
        <v>75</v>
      </c>
      <c r="P25" s="113" t="s">
        <v>75</v>
      </c>
      <c r="Q25" s="118" t="s">
        <v>75</v>
      </c>
      <c r="R25" s="113" t="s">
        <v>75</v>
      </c>
      <c r="S25" s="118"/>
      <c r="T25" s="113"/>
      <c r="U25" s="118"/>
      <c r="V25" s="119"/>
      <c r="W25" s="85"/>
    </row>
    <row r="26" customFormat="false" ht="15" hidden="false" customHeight="true" outlineLevel="0" collapsed="false">
      <c r="B26" s="98"/>
      <c r="C26" s="99"/>
      <c r="D26" s="99"/>
      <c r="E26" s="110" t="s">
        <v>82</v>
      </c>
      <c r="F26" s="111" t="s">
        <v>70</v>
      </c>
      <c r="G26" s="112" t="n">
        <v>24</v>
      </c>
      <c r="H26" s="113" t="n">
        <v>16</v>
      </c>
      <c r="I26" s="114" t="n">
        <v>0.0416666666666667</v>
      </c>
      <c r="J26" s="115" t="n">
        <f aca="false">I26*G26</f>
        <v>1</v>
      </c>
      <c r="K26" s="116" t="n">
        <v>0.208333333333333</v>
      </c>
      <c r="L26" s="115" t="n">
        <f aca="false">K26*G26</f>
        <v>5</v>
      </c>
      <c r="M26" s="116" t="s">
        <v>75</v>
      </c>
      <c r="N26" s="117" t="s">
        <v>75</v>
      </c>
      <c r="O26" s="118" t="s">
        <v>75</v>
      </c>
      <c r="P26" s="113" t="s">
        <v>75</v>
      </c>
      <c r="Q26" s="118" t="s">
        <v>75</v>
      </c>
      <c r="R26" s="113" t="s">
        <v>75</v>
      </c>
      <c r="S26" s="118"/>
      <c r="T26" s="113"/>
      <c r="U26" s="118"/>
      <c r="V26" s="119"/>
      <c r="W26" s="85"/>
    </row>
    <row r="27" customFormat="false" ht="15" hidden="false" customHeight="true" outlineLevel="0" collapsed="false">
      <c r="B27" s="98"/>
      <c r="C27" s="99"/>
      <c r="D27" s="99"/>
      <c r="E27" s="110" t="s">
        <v>83</v>
      </c>
      <c r="F27" s="111" t="s">
        <v>70</v>
      </c>
      <c r="G27" s="112" t="n">
        <v>29</v>
      </c>
      <c r="H27" s="113" t="n">
        <v>21</v>
      </c>
      <c r="I27" s="114" t="n">
        <v>0</v>
      </c>
      <c r="J27" s="115" t="n">
        <f aca="false">I27*G27</f>
        <v>0</v>
      </c>
      <c r="K27" s="116" t="n">
        <v>0.413793103448276</v>
      </c>
      <c r="L27" s="115" t="n">
        <f aca="false">K27*G27</f>
        <v>12</v>
      </c>
      <c r="M27" s="116" t="s">
        <v>75</v>
      </c>
      <c r="N27" s="117" t="s">
        <v>75</v>
      </c>
      <c r="O27" s="118" t="s">
        <v>75</v>
      </c>
      <c r="P27" s="113" t="s">
        <v>75</v>
      </c>
      <c r="Q27" s="118" t="s">
        <v>75</v>
      </c>
      <c r="R27" s="113" t="s">
        <v>75</v>
      </c>
      <c r="S27" s="118"/>
      <c r="T27" s="113"/>
      <c r="U27" s="118"/>
      <c r="V27" s="119"/>
      <c r="W27" s="85"/>
    </row>
    <row r="28" customFormat="false" ht="15" hidden="false" customHeight="true" outlineLevel="0" collapsed="false">
      <c r="B28" s="98"/>
      <c r="C28" s="99"/>
      <c r="D28" s="99"/>
      <c r="E28" s="110" t="s">
        <v>84</v>
      </c>
      <c r="F28" s="111" t="s">
        <v>70</v>
      </c>
      <c r="G28" s="112" t="n">
        <v>27</v>
      </c>
      <c r="H28" s="113" t="n">
        <v>17</v>
      </c>
      <c r="I28" s="114" t="n">
        <v>0.259259259259259</v>
      </c>
      <c r="J28" s="115" t="n">
        <f aca="false">I28*G28</f>
        <v>7</v>
      </c>
      <c r="K28" s="116" t="n">
        <v>0.481481481481481</v>
      </c>
      <c r="L28" s="115" t="n">
        <f aca="false">K28*G28</f>
        <v>13</v>
      </c>
      <c r="M28" s="116" t="s">
        <v>75</v>
      </c>
      <c r="N28" s="117" t="s">
        <v>75</v>
      </c>
      <c r="O28" s="118" t="s">
        <v>75</v>
      </c>
      <c r="P28" s="113" t="s">
        <v>75</v>
      </c>
      <c r="Q28" s="118" t="s">
        <v>75</v>
      </c>
      <c r="R28" s="113" t="s">
        <v>75</v>
      </c>
      <c r="S28" s="118"/>
      <c r="T28" s="113"/>
      <c r="U28" s="118"/>
      <c r="V28" s="119"/>
      <c r="W28" s="85"/>
    </row>
    <row r="29" customFormat="false" ht="15" hidden="false" customHeight="true" outlineLevel="0" collapsed="false">
      <c r="B29" s="98"/>
      <c r="C29" s="99"/>
      <c r="D29" s="99"/>
      <c r="E29" s="120"/>
      <c r="F29" s="121"/>
      <c r="G29" s="126"/>
      <c r="H29" s="124"/>
      <c r="I29" s="114" t="n">
        <v>0.259259259259259</v>
      </c>
      <c r="J29" s="127"/>
      <c r="K29" s="116" t="n">
        <v>0.481481481481481</v>
      </c>
      <c r="L29" s="127"/>
      <c r="M29" s="116" t="s">
        <v>75</v>
      </c>
      <c r="N29" s="122" t="s">
        <v>75</v>
      </c>
      <c r="O29" s="123" t="s">
        <v>75</v>
      </c>
      <c r="P29" s="124" t="s">
        <v>75</v>
      </c>
      <c r="Q29" s="123" t="s">
        <v>75</v>
      </c>
      <c r="R29" s="124" t="s">
        <v>75</v>
      </c>
      <c r="S29" s="123"/>
      <c r="T29" s="124"/>
      <c r="U29" s="123"/>
      <c r="V29" s="125"/>
      <c r="W29" s="85"/>
    </row>
    <row r="30" customFormat="false" ht="15" hidden="false" customHeight="true" outlineLevel="0" collapsed="false">
      <c r="B30" s="98"/>
      <c r="C30" s="99"/>
      <c r="D30" s="99"/>
      <c r="E30" s="120"/>
      <c r="F30" s="121"/>
      <c r="G30" s="126"/>
      <c r="H30" s="124"/>
      <c r="I30" s="114" t="n">
        <v>0.259259259259259</v>
      </c>
      <c r="J30" s="127"/>
      <c r="K30" s="116" t="n">
        <v>0.481481481481481</v>
      </c>
      <c r="L30" s="127"/>
      <c r="M30" s="116" t="s">
        <v>75</v>
      </c>
      <c r="N30" s="122" t="s">
        <v>75</v>
      </c>
      <c r="O30" s="123" t="s">
        <v>75</v>
      </c>
      <c r="P30" s="124" t="s">
        <v>75</v>
      </c>
      <c r="Q30" s="123" t="s">
        <v>75</v>
      </c>
      <c r="R30" s="124" t="s">
        <v>75</v>
      </c>
      <c r="S30" s="123"/>
      <c r="T30" s="124"/>
      <c r="U30" s="123"/>
      <c r="V30" s="125"/>
      <c r="W30" s="85"/>
    </row>
    <row r="31" customFormat="false" ht="15" hidden="false" customHeight="true" outlineLevel="0" collapsed="false">
      <c r="B31" s="98"/>
      <c r="C31" s="99"/>
      <c r="D31" s="99"/>
      <c r="E31" s="128" t="s">
        <v>85</v>
      </c>
      <c r="F31" s="129" t="s">
        <v>70</v>
      </c>
      <c r="G31" s="130" t="n">
        <v>4</v>
      </c>
      <c r="H31" s="131" t="n">
        <v>2</v>
      </c>
      <c r="I31" s="132" t="n">
        <v>0.5</v>
      </c>
      <c r="J31" s="133" t="n">
        <f aca="false">I31*G31</f>
        <v>2</v>
      </c>
      <c r="K31" s="134" t="n">
        <v>0</v>
      </c>
      <c r="L31" s="133" t="n">
        <f aca="false">K31*G31</f>
        <v>0</v>
      </c>
      <c r="M31" s="134" t="s">
        <v>75</v>
      </c>
      <c r="N31" s="135" t="s">
        <v>75</v>
      </c>
      <c r="O31" s="136" t="s">
        <v>75</v>
      </c>
      <c r="P31" s="131" t="s">
        <v>75</v>
      </c>
      <c r="Q31" s="136" t="s">
        <v>75</v>
      </c>
      <c r="R31" s="131" t="s">
        <v>75</v>
      </c>
      <c r="S31" s="136"/>
      <c r="T31" s="131"/>
      <c r="U31" s="136"/>
      <c r="V31" s="137"/>
      <c r="W31" s="85"/>
    </row>
    <row r="32" customFormat="false" ht="15.75" hidden="false" customHeight="false" outlineLevel="0" collapsed="false">
      <c r="B32" s="98"/>
      <c r="C32" s="99"/>
      <c r="D32" s="138" t="s">
        <v>76</v>
      </c>
      <c r="E32" s="139"/>
      <c r="F32" s="140"/>
      <c r="G32" s="90" t="n">
        <f aca="false">SUM(G21:G31)</f>
        <v>172</v>
      </c>
      <c r="H32" s="91" t="n">
        <f aca="false">SUM(H21:H31)</f>
        <v>111</v>
      </c>
      <c r="I32" s="92" t="n">
        <f aca="false">J32/G32</f>
        <v>0.244186046511628</v>
      </c>
      <c r="J32" s="93" t="n">
        <f aca="false">SUM(J21:J31)</f>
        <v>42</v>
      </c>
      <c r="K32" s="94" t="n">
        <f aca="false">L32/G32</f>
        <v>0.308139534883721</v>
      </c>
      <c r="L32" s="93" t="n">
        <f aca="false">SUM(L21:L31)</f>
        <v>53</v>
      </c>
      <c r="M32" s="94" t="n">
        <f aca="false">N32/L32</f>
        <v>0</v>
      </c>
      <c r="N32" s="95" t="n">
        <f aca="false">SUM(N21:N31)</f>
        <v>0</v>
      </c>
      <c r="O32" s="141"/>
      <c r="P32" s="142"/>
      <c r="Q32" s="141"/>
      <c r="R32" s="142"/>
      <c r="S32" s="141"/>
      <c r="T32" s="142"/>
      <c r="U32" s="141"/>
      <c r="V32" s="143"/>
      <c r="W32" s="85"/>
    </row>
    <row r="33" customFormat="false" ht="15" hidden="false" customHeight="true" outlineLevel="0" collapsed="false">
      <c r="B33" s="144" t="s">
        <v>86</v>
      </c>
      <c r="C33" s="145" t="s">
        <v>68</v>
      </c>
      <c r="D33" s="87" t="n">
        <v>9</v>
      </c>
      <c r="E33" s="100" t="s">
        <v>87</v>
      </c>
      <c r="F33" s="101" t="s">
        <v>70</v>
      </c>
      <c r="G33" s="102" t="n">
        <v>37</v>
      </c>
      <c r="H33" s="103" t="n">
        <v>23</v>
      </c>
      <c r="I33" s="104" t="n">
        <v>0.38</v>
      </c>
      <c r="J33" s="105" t="n">
        <f aca="false">I33*G33</f>
        <v>14.06</v>
      </c>
      <c r="K33" s="106" t="n">
        <v>0.16</v>
      </c>
      <c r="L33" s="105" t="n">
        <f aca="false">K33*G33</f>
        <v>5.92</v>
      </c>
      <c r="M33" s="106" t="n">
        <v>1</v>
      </c>
      <c r="N33" s="107" t="n">
        <f aca="false">IF(M33="-","-",M33*L33)</f>
        <v>5.92</v>
      </c>
      <c r="O33" s="108"/>
      <c r="P33" s="103"/>
      <c r="Q33" s="108"/>
      <c r="R33" s="103"/>
      <c r="S33" s="108"/>
      <c r="T33" s="103"/>
      <c r="U33" s="108"/>
      <c r="V33" s="109"/>
      <c r="W33" s="85"/>
    </row>
    <row r="34" customFormat="false" ht="15" hidden="false" customHeight="false" outlineLevel="0" collapsed="false">
      <c r="B34" s="144"/>
      <c r="C34" s="145"/>
      <c r="D34" s="87"/>
      <c r="E34" s="110" t="s">
        <v>88</v>
      </c>
      <c r="F34" s="111" t="s">
        <v>70</v>
      </c>
      <c r="G34" s="112" t="n">
        <v>33</v>
      </c>
      <c r="H34" s="113" t="n">
        <v>15</v>
      </c>
      <c r="I34" s="114" t="n">
        <v>0.3</v>
      </c>
      <c r="J34" s="115" t="n">
        <f aca="false">I34*G34</f>
        <v>9.9</v>
      </c>
      <c r="K34" s="116" t="n">
        <v>0.09</v>
      </c>
      <c r="L34" s="115" t="n">
        <f aca="false">K34*G34</f>
        <v>2.97</v>
      </c>
      <c r="M34" s="116" t="n">
        <v>1</v>
      </c>
      <c r="N34" s="117" t="n">
        <f aca="false">IF(M34="-","-",M34*L34)</f>
        <v>2.97</v>
      </c>
      <c r="O34" s="118"/>
      <c r="P34" s="113"/>
      <c r="Q34" s="118"/>
      <c r="R34" s="113"/>
      <c r="S34" s="118"/>
      <c r="T34" s="113"/>
      <c r="U34" s="118"/>
      <c r="V34" s="119"/>
      <c r="W34" s="85"/>
    </row>
    <row r="35" customFormat="false" ht="15" hidden="false" customHeight="false" outlineLevel="0" collapsed="false">
      <c r="B35" s="144"/>
      <c r="C35" s="145"/>
      <c r="D35" s="87"/>
      <c r="E35" s="110" t="s">
        <v>89</v>
      </c>
      <c r="F35" s="111" t="s">
        <v>70</v>
      </c>
      <c r="G35" s="112" t="n">
        <v>6</v>
      </c>
      <c r="H35" s="113" t="n">
        <v>5</v>
      </c>
      <c r="I35" s="114" t="n">
        <v>0</v>
      </c>
      <c r="J35" s="115" t="n">
        <f aca="false">I35*G35</f>
        <v>0</v>
      </c>
      <c r="K35" s="116" t="n">
        <v>0</v>
      </c>
      <c r="L35" s="115" t="n">
        <f aca="false">K35*G35</f>
        <v>0</v>
      </c>
      <c r="M35" s="116" t="n">
        <v>0</v>
      </c>
      <c r="N35" s="117" t="n">
        <f aca="false">IF(M35="-","-",M35*L35)</f>
        <v>0</v>
      </c>
      <c r="O35" s="118"/>
      <c r="P35" s="113"/>
      <c r="Q35" s="118"/>
      <c r="R35" s="113"/>
      <c r="S35" s="118"/>
      <c r="T35" s="113"/>
      <c r="U35" s="118"/>
      <c r="V35" s="119"/>
      <c r="W35" s="85"/>
    </row>
    <row r="36" customFormat="false" ht="15" hidden="false" customHeight="false" outlineLevel="0" collapsed="false">
      <c r="B36" s="144"/>
      <c r="C36" s="145"/>
      <c r="D36" s="87"/>
      <c r="E36" s="110" t="s">
        <v>90</v>
      </c>
      <c r="F36" s="111" t="s">
        <v>70</v>
      </c>
      <c r="G36" s="112" t="n">
        <v>25</v>
      </c>
      <c r="H36" s="113" t="n">
        <v>15</v>
      </c>
      <c r="I36" s="114" t="n">
        <v>0.28</v>
      </c>
      <c r="J36" s="115" t="n">
        <f aca="false">I36*G36</f>
        <v>7</v>
      </c>
      <c r="K36" s="116" t="n">
        <v>0.16</v>
      </c>
      <c r="L36" s="115" t="n">
        <f aca="false">K36*G36</f>
        <v>4</v>
      </c>
      <c r="M36" s="116" t="n">
        <v>0.25</v>
      </c>
      <c r="N36" s="117" t="n">
        <f aca="false">IF(M36="-","-",M36*L36)</f>
        <v>1</v>
      </c>
      <c r="O36" s="118"/>
      <c r="P36" s="113"/>
      <c r="Q36" s="118"/>
      <c r="R36" s="113"/>
      <c r="S36" s="118"/>
      <c r="T36" s="113"/>
      <c r="U36" s="118"/>
      <c r="V36" s="119"/>
      <c r="W36" s="85"/>
    </row>
    <row r="37" customFormat="false" ht="15" hidden="false" customHeight="false" outlineLevel="0" collapsed="false">
      <c r="B37" s="144"/>
      <c r="C37" s="145"/>
      <c r="D37" s="87"/>
      <c r="E37" s="110" t="s">
        <v>91</v>
      </c>
      <c r="F37" s="111" t="s">
        <v>70</v>
      </c>
      <c r="G37" s="112" t="n">
        <v>15</v>
      </c>
      <c r="H37" s="113" t="n">
        <v>9</v>
      </c>
      <c r="I37" s="114" t="n">
        <v>0.13</v>
      </c>
      <c r="J37" s="115" t="n">
        <f aca="false">I37*G37</f>
        <v>1.95</v>
      </c>
      <c r="K37" s="116" t="n">
        <v>0.07</v>
      </c>
      <c r="L37" s="115" t="n">
        <f aca="false">K37*G37</f>
        <v>1.05</v>
      </c>
      <c r="M37" s="116" t="n">
        <v>0</v>
      </c>
      <c r="N37" s="117" t="n">
        <f aca="false">IF(M37="-","-",M37*L37)</f>
        <v>0</v>
      </c>
      <c r="O37" s="118"/>
      <c r="P37" s="113"/>
      <c r="Q37" s="118"/>
      <c r="R37" s="113"/>
      <c r="S37" s="118"/>
      <c r="T37" s="113"/>
      <c r="U37" s="118"/>
      <c r="V37" s="119"/>
      <c r="W37" s="85"/>
    </row>
    <row r="38" customFormat="false" ht="15" hidden="false" customHeight="false" outlineLevel="0" collapsed="false">
      <c r="B38" s="144"/>
      <c r="C38" s="145"/>
      <c r="D38" s="87"/>
      <c r="E38" s="110" t="s">
        <v>92</v>
      </c>
      <c r="F38" s="111" t="s">
        <v>70</v>
      </c>
      <c r="G38" s="112" t="n">
        <v>16</v>
      </c>
      <c r="H38" s="113" t="n">
        <v>14</v>
      </c>
      <c r="I38" s="114" t="n">
        <v>0.38</v>
      </c>
      <c r="J38" s="115" t="n">
        <f aca="false">I38*G38</f>
        <v>6.08</v>
      </c>
      <c r="K38" s="116" t="n">
        <v>0.13</v>
      </c>
      <c r="L38" s="115" t="n">
        <f aca="false">K38*G38</f>
        <v>2.08</v>
      </c>
      <c r="M38" s="116" t="n">
        <v>1</v>
      </c>
      <c r="N38" s="117" t="n">
        <f aca="false">IF(M38="-","-",M38*L38)</f>
        <v>2.08</v>
      </c>
      <c r="O38" s="118"/>
      <c r="P38" s="113"/>
      <c r="Q38" s="118"/>
      <c r="R38" s="113"/>
      <c r="S38" s="118"/>
      <c r="T38" s="113"/>
      <c r="U38" s="118"/>
      <c r="V38" s="119"/>
      <c r="W38" s="85"/>
    </row>
    <row r="39" customFormat="false" ht="15" hidden="false" customHeight="false" outlineLevel="0" collapsed="false">
      <c r="B39" s="144"/>
      <c r="C39" s="145"/>
      <c r="D39" s="87"/>
      <c r="E39" s="110" t="s">
        <v>93</v>
      </c>
      <c r="F39" s="111" t="s">
        <v>70</v>
      </c>
      <c r="G39" s="112" t="n">
        <v>7</v>
      </c>
      <c r="H39" s="113" t="n">
        <v>5</v>
      </c>
      <c r="I39" s="114" t="n">
        <v>0.14</v>
      </c>
      <c r="J39" s="115" t="n">
        <f aca="false">I39*G39</f>
        <v>0.98</v>
      </c>
      <c r="K39" s="116" t="n">
        <v>0</v>
      </c>
      <c r="L39" s="115" t="n">
        <f aca="false">K39*G39</f>
        <v>0</v>
      </c>
      <c r="M39" s="116" t="n">
        <v>0</v>
      </c>
      <c r="N39" s="117" t="n">
        <f aca="false">IF(M39="-","-",M39*L39)</f>
        <v>0</v>
      </c>
      <c r="O39" s="118"/>
      <c r="P39" s="113"/>
      <c r="Q39" s="118"/>
      <c r="R39" s="113"/>
      <c r="S39" s="118"/>
      <c r="T39" s="113"/>
      <c r="U39" s="118"/>
      <c r="V39" s="119"/>
      <c r="W39" s="85"/>
    </row>
    <row r="40" customFormat="false" ht="15" hidden="false" customHeight="false" outlineLevel="0" collapsed="false">
      <c r="B40" s="144"/>
      <c r="C40" s="145"/>
      <c r="D40" s="87"/>
      <c r="E40" s="120"/>
      <c r="F40" s="121"/>
      <c r="G40" s="126"/>
      <c r="H40" s="124"/>
      <c r="I40" s="114" t="n">
        <v>0.14</v>
      </c>
      <c r="J40" s="127"/>
      <c r="K40" s="116" t="n">
        <v>0</v>
      </c>
      <c r="L40" s="127"/>
      <c r="M40" s="116" t="n">
        <v>0</v>
      </c>
      <c r="N40" s="122"/>
      <c r="O40" s="123"/>
      <c r="P40" s="124"/>
      <c r="Q40" s="123"/>
      <c r="R40" s="124"/>
      <c r="S40" s="123"/>
      <c r="T40" s="124"/>
      <c r="U40" s="123"/>
      <c r="V40" s="125"/>
      <c r="W40" s="85"/>
    </row>
    <row r="41" customFormat="false" ht="15" hidden="false" customHeight="false" outlineLevel="0" collapsed="false">
      <c r="B41" s="144"/>
      <c r="C41" s="145"/>
      <c r="D41" s="87"/>
      <c r="E41" s="120"/>
      <c r="F41" s="121"/>
      <c r="G41" s="126"/>
      <c r="H41" s="124"/>
      <c r="I41" s="114" t="n">
        <v>0.14</v>
      </c>
      <c r="J41" s="127"/>
      <c r="K41" s="116" t="n">
        <v>0</v>
      </c>
      <c r="L41" s="127"/>
      <c r="M41" s="116" t="n">
        <v>0</v>
      </c>
      <c r="N41" s="122"/>
      <c r="O41" s="123"/>
      <c r="P41" s="124"/>
      <c r="Q41" s="123"/>
      <c r="R41" s="124"/>
      <c r="S41" s="123"/>
      <c r="T41" s="124"/>
      <c r="U41" s="123"/>
      <c r="V41" s="125"/>
      <c r="W41" s="85"/>
    </row>
    <row r="42" customFormat="false" ht="15" hidden="false" customHeight="false" outlineLevel="0" collapsed="false">
      <c r="B42" s="144"/>
      <c r="C42" s="145"/>
      <c r="D42" s="87"/>
      <c r="E42" s="128" t="s">
        <v>94</v>
      </c>
      <c r="F42" s="129" t="s">
        <v>70</v>
      </c>
      <c r="G42" s="130" t="n">
        <v>20</v>
      </c>
      <c r="H42" s="131" t="n">
        <v>9</v>
      </c>
      <c r="I42" s="132" t="n">
        <v>0.25</v>
      </c>
      <c r="J42" s="133" t="n">
        <f aca="false">I42*G42</f>
        <v>5</v>
      </c>
      <c r="K42" s="134" t="n">
        <v>0.15</v>
      </c>
      <c r="L42" s="133" t="n">
        <f aca="false">K42*G42</f>
        <v>3</v>
      </c>
      <c r="M42" s="134" t="n">
        <v>0.33</v>
      </c>
      <c r="N42" s="135" t="n">
        <f aca="false">IF(M42="-","-",M42*L42)</f>
        <v>0.99</v>
      </c>
      <c r="O42" s="136"/>
      <c r="P42" s="131"/>
      <c r="Q42" s="136"/>
      <c r="R42" s="131"/>
      <c r="S42" s="136"/>
      <c r="T42" s="131"/>
      <c r="U42" s="136"/>
      <c r="V42" s="137"/>
      <c r="W42" s="85"/>
    </row>
    <row r="43" customFormat="false" ht="16.5" hidden="false" customHeight="false" outlineLevel="0" collapsed="false">
      <c r="B43" s="144"/>
      <c r="C43" s="145"/>
      <c r="D43" s="146" t="s">
        <v>76</v>
      </c>
      <c r="E43" s="139"/>
      <c r="F43" s="147"/>
      <c r="G43" s="148" t="n">
        <f aca="false">SUM(G33:G42)</f>
        <v>159</v>
      </c>
      <c r="H43" s="149" t="n">
        <f aca="false">SUM(H33:H42)</f>
        <v>95</v>
      </c>
      <c r="I43" s="150" t="n">
        <f aca="false">J43/G43</f>
        <v>0.282830188679245</v>
      </c>
      <c r="J43" s="151" t="n">
        <f aca="false">SUM(J33:J42)</f>
        <v>44.97</v>
      </c>
      <c r="K43" s="152" t="n">
        <f aca="false">L43/G43</f>
        <v>0.119622641509434</v>
      </c>
      <c r="L43" s="151" t="n">
        <f aca="false">SUM(L33:L42)</f>
        <v>19.02</v>
      </c>
      <c r="M43" s="152" t="n">
        <f aca="false">N43/L43</f>
        <v>0.681388012618297</v>
      </c>
      <c r="N43" s="153" t="n">
        <f aca="false">SUM(N33:N42)</f>
        <v>12.96</v>
      </c>
      <c r="O43" s="154"/>
      <c r="P43" s="149"/>
      <c r="Q43" s="154"/>
      <c r="R43" s="149"/>
      <c r="S43" s="154"/>
      <c r="T43" s="149"/>
      <c r="U43" s="154"/>
      <c r="V43" s="155"/>
      <c r="W43" s="85"/>
    </row>
    <row r="44" s="171" customFormat="true" ht="21" hidden="false" customHeight="true" outlineLevel="0" collapsed="false">
      <c r="A44" s="22"/>
      <c r="B44" s="156" t="s">
        <v>95</v>
      </c>
      <c r="C44" s="157"/>
      <c r="D44" s="157" t="n">
        <f aca="false">SUM(D5:D42)</f>
        <v>29</v>
      </c>
      <c r="E44" s="158" t="n">
        <f aca="false">COUNT(G5:G42)</f>
        <v>19</v>
      </c>
      <c r="F44" s="159" t="n">
        <f aca="false">COUNT(J5:J42)</f>
        <v>19</v>
      </c>
      <c r="G44" s="160" t="n">
        <f aca="false">G5+G32+G43</f>
        <v>394</v>
      </c>
      <c r="H44" s="161" t="n">
        <f aca="false">H5+H32+H43</f>
        <v>235</v>
      </c>
      <c r="I44" s="162" t="n">
        <f aca="false">J44/G44</f>
        <v>0.225812182741117</v>
      </c>
      <c r="J44" s="163" t="n">
        <f aca="false">J5+J32+J43</f>
        <v>88.97</v>
      </c>
      <c r="K44" s="164" t="n">
        <f aca="false">L44/G44</f>
        <v>0.225939086294416</v>
      </c>
      <c r="L44" s="163" t="n">
        <f aca="false">L5+L32+L43</f>
        <v>89.02</v>
      </c>
      <c r="M44" s="165" t="n">
        <f aca="false">N44/(L5+L33+L34+L36+L38+L42)</f>
        <v>0.427795253074063</v>
      </c>
      <c r="N44" s="166" t="n">
        <f aca="false">N5+N32+N43</f>
        <v>14.96</v>
      </c>
      <c r="O44" s="167"/>
      <c r="P44" s="168"/>
      <c r="Q44" s="167"/>
      <c r="R44" s="168"/>
      <c r="S44" s="167"/>
      <c r="T44" s="168"/>
      <c r="U44" s="167"/>
      <c r="V44" s="169"/>
      <c r="W44" s="170"/>
    </row>
    <row r="45" customFormat="false" ht="15" hidden="false" customHeight="true" outlineLevel="0" collapsed="false">
      <c r="B45" s="172" t="s">
        <v>96</v>
      </c>
      <c r="C45" s="173" t="s">
        <v>97</v>
      </c>
      <c r="D45" s="173" t="n">
        <v>31</v>
      </c>
      <c r="E45" s="174" t="s">
        <v>98</v>
      </c>
      <c r="F45" s="175" t="s">
        <v>70</v>
      </c>
      <c r="G45" s="176" t="n">
        <v>603</v>
      </c>
      <c r="H45" s="177" t="n">
        <v>173</v>
      </c>
      <c r="I45" s="178" t="n">
        <v>0.43</v>
      </c>
      <c r="J45" s="179" t="n">
        <v>261</v>
      </c>
      <c r="K45" s="180" t="n">
        <v>0.38</v>
      </c>
      <c r="L45" s="179" t="n">
        <v>242</v>
      </c>
      <c r="M45" s="180" t="s">
        <v>75</v>
      </c>
      <c r="N45" s="181" t="str">
        <f aca="false">IF(M45="-","-",M45*L45)</f>
        <v>-</v>
      </c>
      <c r="O45" s="182"/>
      <c r="P45" s="177"/>
      <c r="Q45" s="182"/>
      <c r="R45" s="177"/>
      <c r="S45" s="182"/>
      <c r="T45" s="177"/>
      <c r="U45" s="182"/>
      <c r="V45" s="183"/>
      <c r="W45" s="85"/>
    </row>
    <row r="46" customFormat="false" ht="15" hidden="false" customHeight="true" outlineLevel="0" collapsed="false">
      <c r="B46" s="172"/>
      <c r="C46" s="173"/>
      <c r="D46" s="173"/>
      <c r="E46" s="184" t="s">
        <v>99</v>
      </c>
      <c r="F46" s="185" t="s">
        <v>70</v>
      </c>
      <c r="G46" s="186" t="n">
        <v>354</v>
      </c>
      <c r="H46" s="187" t="n">
        <v>103</v>
      </c>
      <c r="I46" s="188" t="n">
        <v>0.4</v>
      </c>
      <c r="J46" s="189" t="n">
        <v>142</v>
      </c>
      <c r="K46" s="190" t="n">
        <v>0.42</v>
      </c>
      <c r="L46" s="189" t="n">
        <v>161</v>
      </c>
      <c r="M46" s="190" t="s">
        <v>75</v>
      </c>
      <c r="N46" s="191" t="str">
        <f aca="false">IF(M46="-","-",M46*L46)</f>
        <v>-</v>
      </c>
      <c r="O46" s="192"/>
      <c r="P46" s="187"/>
      <c r="Q46" s="192"/>
      <c r="R46" s="187"/>
      <c r="S46" s="192"/>
      <c r="T46" s="187"/>
      <c r="U46" s="192"/>
      <c r="V46" s="193"/>
      <c r="W46" s="85"/>
    </row>
    <row r="47" customFormat="false" ht="15" hidden="false" customHeight="true" outlineLevel="0" collapsed="false">
      <c r="B47" s="172"/>
      <c r="C47" s="173"/>
      <c r="D47" s="173"/>
      <c r="E47" s="184" t="s">
        <v>100</v>
      </c>
      <c r="F47" s="185" t="s">
        <v>70</v>
      </c>
      <c r="G47" s="186" t="n">
        <v>222</v>
      </c>
      <c r="H47" s="187" t="n">
        <v>66</v>
      </c>
      <c r="I47" s="188" t="n">
        <v>0.36</v>
      </c>
      <c r="J47" s="189" t="n">
        <v>137</v>
      </c>
      <c r="K47" s="190" t="n">
        <v>0.38</v>
      </c>
      <c r="L47" s="189" t="n">
        <v>88</v>
      </c>
      <c r="M47" s="190" t="s">
        <v>75</v>
      </c>
      <c r="N47" s="191" t="str">
        <f aca="false">IF(M47="-","-",M47*L47)</f>
        <v>-</v>
      </c>
      <c r="O47" s="192"/>
      <c r="P47" s="187"/>
      <c r="Q47" s="192"/>
      <c r="R47" s="187"/>
      <c r="S47" s="192"/>
      <c r="T47" s="187"/>
      <c r="U47" s="192"/>
      <c r="V47" s="193"/>
      <c r="W47" s="85"/>
    </row>
    <row r="48" customFormat="false" ht="15" hidden="false" customHeight="true" outlineLevel="0" collapsed="false">
      <c r="B48" s="172"/>
      <c r="C48" s="173"/>
      <c r="D48" s="173"/>
      <c r="E48" s="184" t="s">
        <v>101</v>
      </c>
      <c r="F48" s="185" t="s">
        <v>102</v>
      </c>
      <c r="G48" s="186" t="n">
        <v>106</v>
      </c>
      <c r="H48" s="187" t="n">
        <v>35</v>
      </c>
      <c r="I48" s="188" t="n">
        <v>0.38</v>
      </c>
      <c r="J48" s="189" t="n">
        <v>39</v>
      </c>
      <c r="K48" s="190" t="n">
        <v>0.44</v>
      </c>
      <c r="L48" s="189" t="n">
        <v>48</v>
      </c>
      <c r="M48" s="190" t="s">
        <v>75</v>
      </c>
      <c r="N48" s="191" t="str">
        <f aca="false">IF(M48="-","-",M48*L48)</f>
        <v>-</v>
      </c>
      <c r="O48" s="192"/>
      <c r="P48" s="187"/>
      <c r="Q48" s="192"/>
      <c r="R48" s="187"/>
      <c r="S48" s="192"/>
      <c r="T48" s="187"/>
      <c r="U48" s="192"/>
      <c r="V48" s="193"/>
      <c r="W48" s="85"/>
    </row>
    <row r="49" customFormat="false" ht="15" hidden="false" customHeight="true" outlineLevel="0" collapsed="false">
      <c r="B49" s="172"/>
      <c r="C49" s="173"/>
      <c r="D49" s="173"/>
      <c r="E49" s="184" t="s">
        <v>103</v>
      </c>
      <c r="F49" s="185" t="s">
        <v>70</v>
      </c>
      <c r="G49" s="186" t="n">
        <v>206</v>
      </c>
      <c r="H49" s="187" t="n">
        <v>70</v>
      </c>
      <c r="I49" s="188" t="n">
        <v>0.43</v>
      </c>
      <c r="J49" s="189" t="n">
        <v>87</v>
      </c>
      <c r="K49" s="190" t="n">
        <v>0.39</v>
      </c>
      <c r="L49" s="189" t="n">
        <v>83</v>
      </c>
      <c r="M49" s="190" t="s">
        <v>75</v>
      </c>
      <c r="N49" s="191" t="str">
        <f aca="false">IF(M49="-","-",M49*L49)</f>
        <v>-</v>
      </c>
      <c r="O49" s="192"/>
      <c r="P49" s="187"/>
      <c r="Q49" s="192"/>
      <c r="R49" s="187"/>
      <c r="S49" s="192"/>
      <c r="T49" s="187"/>
      <c r="U49" s="192"/>
      <c r="V49" s="193"/>
      <c r="W49" s="85"/>
      <c r="X49" s="194"/>
      <c r="Y49" s="194"/>
    </row>
    <row r="50" customFormat="false" ht="15" hidden="false" customHeight="true" outlineLevel="0" collapsed="false">
      <c r="B50" s="172"/>
      <c r="C50" s="173"/>
      <c r="D50" s="173"/>
      <c r="E50" s="195"/>
      <c r="F50" s="196"/>
      <c r="G50" s="197"/>
      <c r="H50" s="198"/>
      <c r="I50" s="188" t="n">
        <v>0.43</v>
      </c>
      <c r="J50" s="199"/>
      <c r="K50" s="190" t="n">
        <v>0.39</v>
      </c>
      <c r="L50" s="199"/>
      <c r="M50" s="190" t="s">
        <v>75</v>
      </c>
      <c r="N50" s="200"/>
      <c r="O50" s="201"/>
      <c r="P50" s="198"/>
      <c r="Q50" s="201"/>
      <c r="R50" s="198"/>
      <c r="S50" s="201"/>
      <c r="T50" s="198"/>
      <c r="U50" s="201"/>
      <c r="V50" s="202"/>
      <c r="W50" s="85"/>
      <c r="X50" s="194"/>
      <c r="Y50" s="194"/>
    </row>
    <row r="51" customFormat="false" ht="15" hidden="false" customHeight="true" outlineLevel="0" collapsed="false">
      <c r="B51" s="172"/>
      <c r="C51" s="173"/>
      <c r="D51" s="173"/>
      <c r="E51" s="195"/>
      <c r="F51" s="196"/>
      <c r="G51" s="197"/>
      <c r="H51" s="198"/>
      <c r="I51" s="188" t="n">
        <v>0.43</v>
      </c>
      <c r="J51" s="199"/>
      <c r="K51" s="190" t="n">
        <v>0.39</v>
      </c>
      <c r="L51" s="199"/>
      <c r="M51" s="190" t="s">
        <v>75</v>
      </c>
      <c r="N51" s="200"/>
      <c r="O51" s="201"/>
      <c r="P51" s="198"/>
      <c r="Q51" s="201"/>
      <c r="R51" s="198"/>
      <c r="S51" s="201"/>
      <c r="T51" s="198"/>
      <c r="U51" s="201"/>
      <c r="V51" s="202"/>
      <c r="W51" s="85"/>
      <c r="X51" s="194"/>
      <c r="Y51" s="194"/>
    </row>
    <row r="52" customFormat="false" ht="15" hidden="false" customHeight="true" outlineLevel="0" collapsed="false">
      <c r="B52" s="172"/>
      <c r="C52" s="173"/>
      <c r="D52" s="173"/>
      <c r="E52" s="203" t="s">
        <v>104</v>
      </c>
      <c r="F52" s="204" t="s">
        <v>102</v>
      </c>
      <c r="G52" s="205" t="n">
        <v>173</v>
      </c>
      <c r="H52" s="206" t="n">
        <v>62</v>
      </c>
      <c r="I52" s="207" t="n">
        <v>0.23</v>
      </c>
      <c r="J52" s="208" t="n">
        <v>39</v>
      </c>
      <c r="K52" s="209" t="n">
        <v>0.39</v>
      </c>
      <c r="L52" s="208" t="n">
        <v>75</v>
      </c>
      <c r="M52" s="209" t="s">
        <v>75</v>
      </c>
      <c r="N52" s="210" t="str">
        <f aca="false">IF(M52="-","-",M52*L52)</f>
        <v>-</v>
      </c>
      <c r="O52" s="211"/>
      <c r="P52" s="206"/>
      <c r="Q52" s="211"/>
      <c r="R52" s="206"/>
      <c r="S52" s="211"/>
      <c r="T52" s="206"/>
      <c r="U52" s="211"/>
      <c r="V52" s="212"/>
      <c r="W52" s="85"/>
      <c r="X52" s="194"/>
      <c r="Y52" s="194"/>
    </row>
    <row r="53" customFormat="false" ht="15.75" hidden="false" customHeight="false" outlineLevel="0" collapsed="false">
      <c r="B53" s="172"/>
      <c r="C53" s="173"/>
      <c r="D53" s="213" t="s">
        <v>76</v>
      </c>
      <c r="E53" s="214"/>
      <c r="F53" s="215"/>
      <c r="G53" s="216" t="n">
        <f aca="false">SUM(G45:G52)</f>
        <v>1664</v>
      </c>
      <c r="H53" s="217" t="n">
        <f aca="false">SUM(H45:H52)</f>
        <v>509</v>
      </c>
      <c r="I53" s="218" t="n">
        <f aca="false">J53/G53</f>
        <v>0.423677884615385</v>
      </c>
      <c r="J53" s="219" t="n">
        <f aca="false">SUM(J45:J52)</f>
        <v>705</v>
      </c>
      <c r="K53" s="220" t="n">
        <f aca="false">L53/G53</f>
        <v>0.418870192307692</v>
      </c>
      <c r="L53" s="219" t="n">
        <f aca="false">SUM(L45:L52)</f>
        <v>697</v>
      </c>
      <c r="M53" s="220" t="n">
        <f aca="false">N53/L53</f>
        <v>0</v>
      </c>
      <c r="N53" s="221" t="n">
        <f aca="false">SUM(N45:N52)</f>
        <v>0</v>
      </c>
      <c r="O53" s="222"/>
      <c r="P53" s="217"/>
      <c r="Q53" s="222"/>
      <c r="R53" s="217"/>
      <c r="S53" s="222"/>
      <c r="T53" s="217"/>
      <c r="U53" s="222"/>
      <c r="V53" s="223"/>
      <c r="W53" s="85"/>
      <c r="X53" s="194"/>
      <c r="Y53" s="194"/>
    </row>
    <row r="54" customFormat="false" ht="15" hidden="false" customHeight="false" outlineLevel="0" collapsed="false">
      <c r="B54" s="224" t="s">
        <v>105</v>
      </c>
      <c r="C54" s="225" t="s">
        <v>97</v>
      </c>
      <c r="D54" s="213" t="n">
        <v>12</v>
      </c>
      <c r="E54" s="226" t="s">
        <v>74</v>
      </c>
      <c r="F54" s="227" t="s">
        <v>102</v>
      </c>
      <c r="G54" s="228"/>
      <c r="H54" s="229"/>
      <c r="I54" s="230" t="n">
        <v>0.636363636363636</v>
      </c>
      <c r="J54" s="231" t="n">
        <f aca="false">I54*G54</f>
        <v>0</v>
      </c>
      <c r="K54" s="232" t="n">
        <v>0.242424242424242</v>
      </c>
      <c r="L54" s="231" t="n">
        <f aca="false">K54*G54</f>
        <v>0</v>
      </c>
      <c r="M54" s="232" t="n">
        <v>0.875</v>
      </c>
      <c r="N54" s="233" t="n">
        <f aca="false">IF(M54="-","-",M54*L54)</f>
        <v>0</v>
      </c>
      <c r="O54" s="234"/>
      <c r="P54" s="229"/>
      <c r="Q54" s="234"/>
      <c r="R54" s="229"/>
      <c r="S54" s="234"/>
      <c r="T54" s="229"/>
      <c r="U54" s="234"/>
      <c r="V54" s="235"/>
      <c r="W54" s="85"/>
      <c r="X54" s="194"/>
      <c r="Y54" s="194"/>
    </row>
    <row r="55" customFormat="false" ht="15" hidden="false" customHeight="false" outlineLevel="0" collapsed="false">
      <c r="B55" s="224"/>
      <c r="C55" s="225"/>
      <c r="D55" s="213"/>
      <c r="E55" s="236" t="s">
        <v>74</v>
      </c>
      <c r="F55" s="237" t="s">
        <v>102</v>
      </c>
      <c r="G55" s="238"/>
      <c r="H55" s="239"/>
      <c r="I55" s="240" t="n">
        <v>0.602272727272727</v>
      </c>
      <c r="J55" s="241" t="n">
        <f aca="false">I55*G55</f>
        <v>0</v>
      </c>
      <c r="K55" s="242" t="n">
        <v>0.363636363636364</v>
      </c>
      <c r="L55" s="241" t="n">
        <f aca="false">K55*G55</f>
        <v>0</v>
      </c>
      <c r="M55" s="242" t="n">
        <v>0.84375</v>
      </c>
      <c r="N55" s="243" t="n">
        <f aca="false">IF(M55="-","-",M55*L55)</f>
        <v>0</v>
      </c>
      <c r="O55" s="244"/>
      <c r="P55" s="239"/>
      <c r="Q55" s="244"/>
      <c r="R55" s="239"/>
      <c r="S55" s="244"/>
      <c r="T55" s="239"/>
      <c r="U55" s="244"/>
      <c r="V55" s="245"/>
      <c r="W55" s="85"/>
      <c r="X55" s="194"/>
      <c r="Y55" s="194"/>
    </row>
    <row r="56" customFormat="false" ht="15" hidden="false" customHeight="false" outlineLevel="0" collapsed="false">
      <c r="B56" s="224"/>
      <c r="C56" s="225"/>
      <c r="D56" s="213"/>
      <c r="E56" s="236" t="s">
        <v>74</v>
      </c>
      <c r="F56" s="237" t="s">
        <v>102</v>
      </c>
      <c r="G56" s="238"/>
      <c r="H56" s="239"/>
      <c r="I56" s="240" t="n">
        <v>0.642857142857143</v>
      </c>
      <c r="J56" s="241" t="n">
        <f aca="false">I56*G56</f>
        <v>0</v>
      </c>
      <c r="K56" s="242" t="n">
        <v>0.5</v>
      </c>
      <c r="L56" s="241" t="n">
        <f aca="false">K56*G56</f>
        <v>0</v>
      </c>
      <c r="M56" s="242" t="n">
        <v>0.571428571428571</v>
      </c>
      <c r="N56" s="243" t="n">
        <f aca="false">IF(M56="-","-",M56*L56)</f>
        <v>0</v>
      </c>
      <c r="O56" s="244"/>
      <c r="P56" s="239"/>
      <c r="Q56" s="244"/>
      <c r="R56" s="239"/>
      <c r="S56" s="244"/>
      <c r="T56" s="239"/>
      <c r="U56" s="244"/>
      <c r="V56" s="245"/>
      <c r="W56" s="85"/>
      <c r="X56" s="194"/>
      <c r="Y56" s="194"/>
    </row>
    <row r="57" customFormat="false" ht="15" hidden="false" customHeight="false" outlineLevel="0" collapsed="false">
      <c r="B57" s="224"/>
      <c r="C57" s="225"/>
      <c r="D57" s="213"/>
      <c r="E57" s="236" t="s">
        <v>74</v>
      </c>
      <c r="F57" s="237" t="s">
        <v>102</v>
      </c>
      <c r="G57" s="238"/>
      <c r="H57" s="239"/>
      <c r="I57" s="240" t="n">
        <v>0.652173913043478</v>
      </c>
      <c r="J57" s="241" t="n">
        <f aca="false">I57*G57</f>
        <v>0</v>
      </c>
      <c r="K57" s="242" t="n">
        <v>0.478260869565217</v>
      </c>
      <c r="L57" s="241" t="n">
        <f aca="false">K57*G57</f>
        <v>0</v>
      </c>
      <c r="M57" s="242" t="n">
        <v>0.727272727272727</v>
      </c>
      <c r="N57" s="243" t="n">
        <f aca="false">IF(M57="-","-",M57*L57)</f>
        <v>0</v>
      </c>
      <c r="O57" s="244"/>
      <c r="P57" s="239"/>
      <c r="Q57" s="244"/>
      <c r="R57" s="239"/>
      <c r="S57" s="244"/>
      <c r="T57" s="239"/>
      <c r="U57" s="244"/>
      <c r="V57" s="245"/>
      <c r="W57" s="85"/>
      <c r="X57" s="194"/>
      <c r="Y57" s="194"/>
    </row>
    <row r="58" customFormat="false" ht="15" hidden="false" customHeight="false" outlineLevel="0" collapsed="false">
      <c r="B58" s="224"/>
      <c r="C58" s="225"/>
      <c r="D58" s="213"/>
      <c r="E58" s="246" t="s">
        <v>74</v>
      </c>
      <c r="F58" s="247"/>
      <c r="G58" s="248"/>
      <c r="H58" s="249"/>
      <c r="I58" s="240" t="n">
        <v>0.652173913043478</v>
      </c>
      <c r="J58" s="241" t="n">
        <f aca="false">I58*G58</f>
        <v>0</v>
      </c>
      <c r="K58" s="242" t="n">
        <v>0.478260869565217</v>
      </c>
      <c r="L58" s="241" t="n">
        <f aca="false">K58*G58</f>
        <v>0</v>
      </c>
      <c r="M58" s="242" t="n">
        <v>0.727272727272727</v>
      </c>
      <c r="N58" s="243" t="n">
        <f aca="false">IF(M58="-","-",M58*L58)</f>
        <v>0</v>
      </c>
      <c r="O58" s="250"/>
      <c r="P58" s="249"/>
      <c r="Q58" s="250"/>
      <c r="R58" s="249"/>
      <c r="S58" s="250"/>
      <c r="T58" s="249"/>
      <c r="U58" s="250"/>
      <c r="V58" s="251"/>
      <c r="W58" s="85"/>
      <c r="X58" s="194"/>
      <c r="Y58" s="194"/>
    </row>
    <row r="59" customFormat="false" ht="15" hidden="false" customHeight="false" outlineLevel="0" collapsed="false">
      <c r="B59" s="224"/>
      <c r="C59" s="225"/>
      <c r="D59" s="213"/>
      <c r="E59" s="246" t="s">
        <v>74</v>
      </c>
      <c r="F59" s="247"/>
      <c r="G59" s="248"/>
      <c r="H59" s="249"/>
      <c r="I59" s="240" t="n">
        <v>0.652173913043478</v>
      </c>
      <c r="J59" s="241" t="n">
        <f aca="false">I59*G59</f>
        <v>0</v>
      </c>
      <c r="K59" s="242" t="n">
        <v>0.478260869565217</v>
      </c>
      <c r="L59" s="241" t="n">
        <f aca="false">K59*G59</f>
        <v>0</v>
      </c>
      <c r="M59" s="242" t="n">
        <v>0.727272727272727</v>
      </c>
      <c r="N59" s="243" t="n">
        <f aca="false">IF(M59="-","-",M59*L59)</f>
        <v>0</v>
      </c>
      <c r="O59" s="250"/>
      <c r="P59" s="249"/>
      <c r="Q59" s="250"/>
      <c r="R59" s="249"/>
      <c r="S59" s="250"/>
      <c r="T59" s="249"/>
      <c r="U59" s="250"/>
      <c r="V59" s="251"/>
      <c r="W59" s="85"/>
      <c r="X59" s="194"/>
      <c r="Y59" s="194"/>
    </row>
    <row r="60" customFormat="false" ht="15" hidden="false" customHeight="false" outlineLevel="0" collapsed="false">
      <c r="B60" s="224"/>
      <c r="C60" s="225"/>
      <c r="D60" s="213"/>
      <c r="E60" s="252" t="s">
        <v>74</v>
      </c>
      <c r="F60" s="253" t="s">
        <v>102</v>
      </c>
      <c r="G60" s="254"/>
      <c r="H60" s="255"/>
      <c r="I60" s="256" t="n">
        <v>0.5</v>
      </c>
      <c r="J60" s="257" t="n">
        <f aca="false">I60*G60</f>
        <v>0</v>
      </c>
      <c r="K60" s="258" t="n">
        <v>0.472222222222222</v>
      </c>
      <c r="L60" s="257" t="n">
        <f aca="false">K60*G60</f>
        <v>0</v>
      </c>
      <c r="M60" s="258" t="n">
        <v>0.764705882352941</v>
      </c>
      <c r="N60" s="259" t="n">
        <f aca="false">IF(M60="-","-",M60*L60)</f>
        <v>0</v>
      </c>
      <c r="O60" s="260"/>
      <c r="P60" s="255"/>
      <c r="Q60" s="260"/>
      <c r="R60" s="255"/>
      <c r="S60" s="260"/>
      <c r="T60" s="255"/>
      <c r="U60" s="260"/>
      <c r="V60" s="261"/>
      <c r="W60" s="85"/>
      <c r="X60" s="194"/>
      <c r="Y60" s="194"/>
    </row>
    <row r="61" customFormat="false" ht="15.75" hidden="false" customHeight="false" outlineLevel="0" collapsed="false">
      <c r="B61" s="224"/>
      <c r="C61" s="225"/>
      <c r="D61" s="213" t="s">
        <v>76</v>
      </c>
      <c r="E61" s="262"/>
      <c r="F61" s="263"/>
      <c r="G61" s="216" t="n">
        <f aca="false">SUM(G54:G60)</f>
        <v>0</v>
      </c>
      <c r="H61" s="217" t="n">
        <f aca="false">SUM(H54:H60)</f>
        <v>0</v>
      </c>
      <c r="I61" s="218" t="e">
        <f aca="false">J61/G61</f>
        <v>#DIV/0!</v>
      </c>
      <c r="J61" s="219" t="n">
        <f aca="false">SUM(J54:J60)</f>
        <v>0</v>
      </c>
      <c r="K61" s="220" t="e">
        <f aca="false">L61/G61</f>
        <v>#DIV/0!</v>
      </c>
      <c r="L61" s="219" t="n">
        <f aca="false">SUM(L54:L60)</f>
        <v>0</v>
      </c>
      <c r="M61" s="220" t="e">
        <f aca="false">N61/L61</f>
        <v>#DIV/0!</v>
      </c>
      <c r="N61" s="221" t="n">
        <f aca="false">SUM(N54:N60)</f>
        <v>0</v>
      </c>
      <c r="O61" s="222"/>
      <c r="P61" s="217"/>
      <c r="Q61" s="222"/>
      <c r="R61" s="217"/>
      <c r="S61" s="222" t="n">
        <f aca="false">SUM(S54:S60)</f>
        <v>0</v>
      </c>
      <c r="T61" s="217" t="n">
        <f aca="false">SUM(T54:T60)</f>
        <v>0</v>
      </c>
      <c r="U61" s="222" t="n">
        <f aca="false">SUM(U54:U60)</f>
        <v>0</v>
      </c>
      <c r="V61" s="223" t="n">
        <f aca="false">SUM(V54:V60)</f>
        <v>0</v>
      </c>
      <c r="W61" s="85"/>
      <c r="X61" s="194"/>
      <c r="Y61" s="194"/>
    </row>
    <row r="62" customFormat="false" ht="15" hidden="false" customHeight="false" outlineLevel="0" collapsed="false">
      <c r="B62" s="224" t="s">
        <v>106</v>
      </c>
      <c r="C62" s="225" t="s">
        <v>97</v>
      </c>
      <c r="D62" s="213" t="n">
        <v>12</v>
      </c>
      <c r="E62" s="226" t="s">
        <v>107</v>
      </c>
      <c r="F62" s="227" t="s">
        <v>102</v>
      </c>
      <c r="G62" s="228" t="n">
        <v>33</v>
      </c>
      <c r="H62" s="229" t="n">
        <v>33</v>
      </c>
      <c r="I62" s="230" t="n">
        <v>0.636363636363636</v>
      </c>
      <c r="J62" s="231" t="n">
        <f aca="false">I62*G62</f>
        <v>21</v>
      </c>
      <c r="K62" s="232" t="n">
        <v>0.242424242424242</v>
      </c>
      <c r="L62" s="231" t="n">
        <f aca="false">K62*G62</f>
        <v>8</v>
      </c>
      <c r="M62" s="232" t="n">
        <v>0.875</v>
      </c>
      <c r="N62" s="233" t="n">
        <f aca="false">IF(M62="-","-",M62*L62)</f>
        <v>7</v>
      </c>
      <c r="O62" s="234"/>
      <c r="P62" s="229"/>
      <c r="Q62" s="234"/>
      <c r="R62" s="229"/>
      <c r="S62" s="234" t="n">
        <v>33</v>
      </c>
      <c r="T62" s="229" t="n">
        <v>33</v>
      </c>
      <c r="U62" s="234" t="n">
        <v>0</v>
      </c>
      <c r="V62" s="235" t="n">
        <v>0</v>
      </c>
      <c r="W62" s="85"/>
      <c r="X62" s="194"/>
      <c r="Y62" s="194"/>
    </row>
    <row r="63" customFormat="false" ht="15" hidden="false" customHeight="false" outlineLevel="0" collapsed="false">
      <c r="B63" s="224"/>
      <c r="C63" s="225"/>
      <c r="D63" s="213"/>
      <c r="E63" s="236" t="s">
        <v>108</v>
      </c>
      <c r="F63" s="237" t="s">
        <v>102</v>
      </c>
      <c r="G63" s="238" t="n">
        <v>88</v>
      </c>
      <c r="H63" s="239" t="n">
        <v>88</v>
      </c>
      <c r="I63" s="240" t="n">
        <v>0.602272727272727</v>
      </c>
      <c r="J63" s="241" t="n">
        <f aca="false">I63*G63</f>
        <v>53</v>
      </c>
      <c r="K63" s="242" t="n">
        <v>0.363636363636364</v>
      </c>
      <c r="L63" s="241" t="n">
        <f aca="false">K63*G63</f>
        <v>32</v>
      </c>
      <c r="M63" s="242" t="n">
        <v>0.84375</v>
      </c>
      <c r="N63" s="243" t="n">
        <f aca="false">IF(M63="-","-",M63*L63)</f>
        <v>27</v>
      </c>
      <c r="O63" s="244"/>
      <c r="P63" s="239"/>
      <c r="Q63" s="244"/>
      <c r="R63" s="239"/>
      <c r="S63" s="244" t="n">
        <v>78</v>
      </c>
      <c r="T63" s="239" t="n">
        <v>78</v>
      </c>
      <c r="U63" s="244" t="n">
        <v>10</v>
      </c>
      <c r="V63" s="245" t="n">
        <v>10</v>
      </c>
      <c r="W63" s="85"/>
      <c r="X63" s="194"/>
      <c r="Y63" s="194"/>
    </row>
    <row r="64" customFormat="false" ht="15" hidden="false" customHeight="false" outlineLevel="0" collapsed="false">
      <c r="B64" s="224"/>
      <c r="C64" s="225"/>
      <c r="D64" s="213"/>
      <c r="E64" s="236" t="s">
        <v>109</v>
      </c>
      <c r="F64" s="237" t="s">
        <v>102</v>
      </c>
      <c r="G64" s="238" t="n">
        <v>14</v>
      </c>
      <c r="H64" s="239" t="n">
        <v>14</v>
      </c>
      <c r="I64" s="240" t="n">
        <v>0.642857142857143</v>
      </c>
      <c r="J64" s="241" t="n">
        <f aca="false">I64*G64</f>
        <v>9</v>
      </c>
      <c r="K64" s="242" t="n">
        <v>0.5</v>
      </c>
      <c r="L64" s="241" t="n">
        <f aca="false">K64*G64</f>
        <v>7</v>
      </c>
      <c r="M64" s="242" t="n">
        <v>0.571428571428571</v>
      </c>
      <c r="N64" s="243" t="n">
        <f aca="false">IF(M64="-","-",M64*L64)</f>
        <v>4</v>
      </c>
      <c r="O64" s="244"/>
      <c r="P64" s="239"/>
      <c r="Q64" s="244"/>
      <c r="R64" s="239"/>
      <c r="S64" s="244" t="n">
        <v>14</v>
      </c>
      <c r="T64" s="239" t="n">
        <v>14</v>
      </c>
      <c r="U64" s="244" t="n">
        <v>0</v>
      </c>
      <c r="V64" s="245" t="n">
        <v>0</v>
      </c>
      <c r="W64" s="85"/>
      <c r="X64" s="194"/>
      <c r="Y64" s="194"/>
    </row>
    <row r="65" customFormat="false" ht="15" hidden="false" customHeight="false" outlineLevel="0" collapsed="false">
      <c r="B65" s="224"/>
      <c r="C65" s="225"/>
      <c r="D65" s="213"/>
      <c r="E65" s="236" t="s">
        <v>110</v>
      </c>
      <c r="F65" s="237" t="s">
        <v>102</v>
      </c>
      <c r="G65" s="238" t="n">
        <v>23</v>
      </c>
      <c r="H65" s="239" t="n">
        <v>23</v>
      </c>
      <c r="I65" s="240" t="n">
        <v>0.652173913043478</v>
      </c>
      <c r="J65" s="241" t="n">
        <f aca="false">I65*G65</f>
        <v>15</v>
      </c>
      <c r="K65" s="242" t="n">
        <v>0.478260869565217</v>
      </c>
      <c r="L65" s="241" t="n">
        <f aca="false">K65*G65</f>
        <v>11</v>
      </c>
      <c r="M65" s="242" t="n">
        <v>0.727272727272727</v>
      </c>
      <c r="N65" s="243" t="n">
        <f aca="false">IF(M65="-","-",M65*L65)</f>
        <v>8</v>
      </c>
      <c r="O65" s="244"/>
      <c r="P65" s="239"/>
      <c r="Q65" s="244"/>
      <c r="R65" s="239"/>
      <c r="S65" s="244" t="n">
        <v>20</v>
      </c>
      <c r="T65" s="239" t="n">
        <v>20</v>
      </c>
      <c r="U65" s="244" t="n">
        <v>3</v>
      </c>
      <c r="V65" s="245" t="n">
        <v>3</v>
      </c>
      <c r="W65" s="85"/>
      <c r="X65" s="194"/>
      <c r="Y65" s="194"/>
    </row>
    <row r="66" customFormat="false" ht="15" hidden="false" customHeight="false" outlineLevel="0" collapsed="false">
      <c r="B66" s="224"/>
      <c r="C66" s="225"/>
      <c r="D66" s="213"/>
      <c r="E66" s="246"/>
      <c r="F66" s="247"/>
      <c r="G66" s="248"/>
      <c r="H66" s="249"/>
      <c r="I66" s="240" t="n">
        <v>0.652173913043478</v>
      </c>
      <c r="J66" s="264"/>
      <c r="K66" s="242" t="n">
        <v>0.478260869565217</v>
      </c>
      <c r="L66" s="264"/>
      <c r="M66" s="242" t="n">
        <v>0.727272727272727</v>
      </c>
      <c r="N66" s="265"/>
      <c r="O66" s="250"/>
      <c r="P66" s="249"/>
      <c r="Q66" s="250"/>
      <c r="R66" s="249"/>
      <c r="S66" s="250"/>
      <c r="T66" s="249"/>
      <c r="U66" s="250"/>
      <c r="V66" s="251"/>
      <c r="W66" s="85"/>
      <c r="X66" s="194"/>
      <c r="Y66" s="194"/>
    </row>
    <row r="67" customFormat="false" ht="15" hidden="false" customHeight="false" outlineLevel="0" collapsed="false">
      <c r="B67" s="224"/>
      <c r="C67" s="225"/>
      <c r="D67" s="213"/>
      <c r="E67" s="246"/>
      <c r="F67" s="247"/>
      <c r="G67" s="248"/>
      <c r="H67" s="249"/>
      <c r="I67" s="240" t="n">
        <v>0.652173913043478</v>
      </c>
      <c r="J67" s="264"/>
      <c r="K67" s="242" t="n">
        <v>0.478260869565217</v>
      </c>
      <c r="L67" s="264"/>
      <c r="M67" s="242" t="n">
        <v>0.727272727272727</v>
      </c>
      <c r="N67" s="265"/>
      <c r="O67" s="250"/>
      <c r="P67" s="249"/>
      <c r="Q67" s="250"/>
      <c r="R67" s="249"/>
      <c r="S67" s="250"/>
      <c r="T67" s="249"/>
      <c r="U67" s="250"/>
      <c r="V67" s="251"/>
      <c r="W67" s="85"/>
      <c r="X67" s="194"/>
      <c r="Y67" s="194"/>
    </row>
    <row r="68" customFormat="false" ht="15" hidden="false" customHeight="false" outlineLevel="0" collapsed="false">
      <c r="B68" s="224"/>
      <c r="C68" s="225"/>
      <c r="D68" s="213"/>
      <c r="E68" s="252" t="s">
        <v>111</v>
      </c>
      <c r="F68" s="253" t="s">
        <v>102</v>
      </c>
      <c r="G68" s="254" t="n">
        <v>36</v>
      </c>
      <c r="H68" s="255" t="n">
        <v>36</v>
      </c>
      <c r="I68" s="256" t="n">
        <v>0.5</v>
      </c>
      <c r="J68" s="257" t="n">
        <f aca="false">I68*G68</f>
        <v>18</v>
      </c>
      <c r="K68" s="258" t="n">
        <v>0.472222222222222</v>
      </c>
      <c r="L68" s="257" t="n">
        <f aca="false">K68*G68</f>
        <v>17</v>
      </c>
      <c r="M68" s="258" t="n">
        <v>0.764705882352941</v>
      </c>
      <c r="N68" s="259" t="n">
        <f aca="false">IF(M68="-","-",M68*L68)</f>
        <v>13</v>
      </c>
      <c r="O68" s="260"/>
      <c r="P68" s="255"/>
      <c r="Q68" s="260"/>
      <c r="R68" s="255"/>
      <c r="S68" s="260" t="n">
        <v>36</v>
      </c>
      <c r="T68" s="255" t="n">
        <v>36</v>
      </c>
      <c r="U68" s="260" t="n">
        <v>0</v>
      </c>
      <c r="V68" s="261" t="n">
        <v>0</v>
      </c>
      <c r="W68" s="85"/>
      <c r="X68" s="194"/>
      <c r="Y68" s="194"/>
    </row>
    <row r="69" customFormat="false" ht="15.75" hidden="false" customHeight="false" outlineLevel="0" collapsed="false">
      <c r="B69" s="224"/>
      <c r="C69" s="225"/>
      <c r="D69" s="213" t="s">
        <v>76</v>
      </c>
      <c r="E69" s="262"/>
      <c r="F69" s="263"/>
      <c r="G69" s="216" t="n">
        <f aca="false">SUM(G62:G68)</f>
        <v>194</v>
      </c>
      <c r="H69" s="217" t="n">
        <f aca="false">SUM(H62:H68)</f>
        <v>194</v>
      </c>
      <c r="I69" s="218" t="n">
        <f aca="false">J69/G69</f>
        <v>0.597938144329897</v>
      </c>
      <c r="J69" s="219" t="n">
        <f aca="false">SUM(J62:J68)</f>
        <v>116</v>
      </c>
      <c r="K69" s="220" t="n">
        <f aca="false">L69/G69</f>
        <v>0.38659793814433</v>
      </c>
      <c r="L69" s="219" t="n">
        <f aca="false">SUM(L62:L68)</f>
        <v>75</v>
      </c>
      <c r="M69" s="220" t="n">
        <f aca="false">N69/L69</f>
        <v>0.786666666666667</v>
      </c>
      <c r="N69" s="221" t="n">
        <f aca="false">SUM(N62:N68)</f>
        <v>59</v>
      </c>
      <c r="O69" s="222"/>
      <c r="P69" s="217"/>
      <c r="Q69" s="222"/>
      <c r="R69" s="217"/>
      <c r="S69" s="222" t="n">
        <f aca="false">SUM(S62:S68)</f>
        <v>181</v>
      </c>
      <c r="T69" s="217" t="n">
        <f aca="false">SUM(T62:T68)</f>
        <v>181</v>
      </c>
      <c r="U69" s="222" t="n">
        <f aca="false">SUM(U62:U68)</f>
        <v>13</v>
      </c>
      <c r="V69" s="223" t="n">
        <f aca="false">SUM(V62:V68)</f>
        <v>13</v>
      </c>
      <c r="W69" s="85"/>
      <c r="X69" s="194"/>
      <c r="Y69" s="194"/>
    </row>
    <row r="70" customFormat="false" ht="15" hidden="false" customHeight="true" outlineLevel="0" collapsed="false">
      <c r="B70" s="266" t="s">
        <v>112</v>
      </c>
      <c r="C70" s="267" t="s">
        <v>97</v>
      </c>
      <c r="D70" s="267" t="n">
        <v>10</v>
      </c>
      <c r="E70" s="268" t="s">
        <v>113</v>
      </c>
      <c r="F70" s="269" t="s">
        <v>102</v>
      </c>
      <c r="G70" s="270" t="n">
        <v>59</v>
      </c>
      <c r="H70" s="271" t="n">
        <f aca="false">G70</f>
        <v>59</v>
      </c>
      <c r="I70" s="272" t="n">
        <v>0.51</v>
      </c>
      <c r="J70" s="273" t="n">
        <f aca="false">I70*G70</f>
        <v>30.09</v>
      </c>
      <c r="K70" s="274" t="n">
        <v>0.44</v>
      </c>
      <c r="L70" s="273" t="n">
        <f aca="false">K70*G70</f>
        <v>25.96</v>
      </c>
      <c r="M70" s="274" t="n">
        <v>0.62</v>
      </c>
      <c r="N70" s="275" t="n">
        <f aca="false">IF(M70="-","-",M70*L70)</f>
        <v>16.0952</v>
      </c>
      <c r="O70" s="276"/>
      <c r="P70" s="271"/>
      <c r="Q70" s="276"/>
      <c r="R70" s="271"/>
      <c r="S70" s="276"/>
      <c r="T70" s="271"/>
      <c r="U70" s="276"/>
      <c r="V70" s="277"/>
      <c r="W70" s="85"/>
      <c r="X70" s="194"/>
      <c r="Y70" s="194"/>
    </row>
    <row r="71" customFormat="false" ht="15" hidden="false" customHeight="true" outlineLevel="0" collapsed="false">
      <c r="B71" s="266"/>
      <c r="C71" s="267"/>
      <c r="D71" s="267"/>
      <c r="E71" s="278" t="s">
        <v>114</v>
      </c>
      <c r="F71" s="185" t="s">
        <v>102</v>
      </c>
      <c r="G71" s="186" t="n">
        <v>45</v>
      </c>
      <c r="H71" s="187" t="n">
        <f aca="false">G71</f>
        <v>45</v>
      </c>
      <c r="I71" s="188" t="n">
        <v>0.58</v>
      </c>
      <c r="J71" s="189" t="n">
        <f aca="false">I71*G71</f>
        <v>26.1</v>
      </c>
      <c r="K71" s="190" t="n">
        <v>0.44</v>
      </c>
      <c r="L71" s="189" t="n">
        <f aca="false">K71*G71</f>
        <v>19.8</v>
      </c>
      <c r="M71" s="190" t="n">
        <v>0.65</v>
      </c>
      <c r="N71" s="191" t="n">
        <f aca="false">IF(M71="-","-",M71*L71)</f>
        <v>12.87</v>
      </c>
      <c r="O71" s="192"/>
      <c r="P71" s="187"/>
      <c r="Q71" s="192"/>
      <c r="R71" s="187"/>
      <c r="S71" s="192"/>
      <c r="T71" s="187"/>
      <c r="U71" s="192"/>
      <c r="V71" s="193"/>
      <c r="W71" s="85"/>
      <c r="X71" s="194"/>
      <c r="Y71" s="194"/>
    </row>
    <row r="72" customFormat="false" ht="15" hidden="false" customHeight="true" outlineLevel="0" collapsed="false">
      <c r="B72" s="266"/>
      <c r="C72" s="267"/>
      <c r="D72" s="267"/>
      <c r="E72" s="278" t="s">
        <v>115</v>
      </c>
      <c r="F72" s="185" t="s">
        <v>102</v>
      </c>
      <c r="G72" s="186" t="n">
        <v>16</v>
      </c>
      <c r="H72" s="187" t="n">
        <f aca="false">G72</f>
        <v>16</v>
      </c>
      <c r="I72" s="188" t="n">
        <v>0.44</v>
      </c>
      <c r="J72" s="189" t="n">
        <f aca="false">I72*G72</f>
        <v>7.04</v>
      </c>
      <c r="K72" s="190" t="n">
        <v>0.31</v>
      </c>
      <c r="L72" s="189" t="n">
        <f aca="false">K72*G72</f>
        <v>4.96</v>
      </c>
      <c r="M72" s="190" t="n">
        <v>0.4</v>
      </c>
      <c r="N72" s="191" t="n">
        <f aca="false">IF(M72="-","-",M72*L72)</f>
        <v>1.984</v>
      </c>
      <c r="O72" s="192"/>
      <c r="P72" s="187"/>
      <c r="Q72" s="192"/>
      <c r="R72" s="187"/>
      <c r="S72" s="192"/>
      <c r="T72" s="187"/>
      <c r="U72" s="192"/>
      <c r="V72" s="193"/>
      <c r="W72" s="85"/>
      <c r="X72" s="194"/>
      <c r="Y72" s="194"/>
    </row>
    <row r="73" customFormat="false" ht="15" hidden="false" customHeight="true" outlineLevel="0" collapsed="false">
      <c r="B73" s="266"/>
      <c r="C73" s="267"/>
      <c r="D73" s="267"/>
      <c r="E73" s="278" t="s">
        <v>116</v>
      </c>
      <c r="F73" s="185" t="s">
        <v>102</v>
      </c>
      <c r="G73" s="186" t="n">
        <v>31</v>
      </c>
      <c r="H73" s="187" t="n">
        <f aca="false">G73</f>
        <v>31</v>
      </c>
      <c r="I73" s="188" t="n">
        <v>0.29</v>
      </c>
      <c r="J73" s="189" t="n">
        <f aca="false">I73*G73</f>
        <v>8.99</v>
      </c>
      <c r="K73" s="190" t="n">
        <v>0.32</v>
      </c>
      <c r="L73" s="189" t="n">
        <f aca="false">K73*G73</f>
        <v>9.92</v>
      </c>
      <c r="M73" s="190" t="n">
        <v>0.3</v>
      </c>
      <c r="N73" s="191" t="n">
        <f aca="false">IF(M73="-","-",M73*L73)</f>
        <v>2.976</v>
      </c>
      <c r="O73" s="192"/>
      <c r="P73" s="187"/>
      <c r="Q73" s="192"/>
      <c r="R73" s="187"/>
      <c r="S73" s="192"/>
      <c r="T73" s="187"/>
      <c r="U73" s="192"/>
      <c r="V73" s="193"/>
      <c r="W73" s="85"/>
      <c r="X73" s="194"/>
      <c r="Y73" s="194"/>
    </row>
    <row r="74" customFormat="false" ht="15" hidden="false" customHeight="true" outlineLevel="0" collapsed="false">
      <c r="B74" s="266"/>
      <c r="C74" s="267"/>
      <c r="D74" s="267"/>
      <c r="E74" s="278" t="s">
        <v>117</v>
      </c>
      <c r="F74" s="185" t="s">
        <v>102</v>
      </c>
      <c r="G74" s="186" t="n">
        <v>3</v>
      </c>
      <c r="H74" s="187" t="n">
        <f aca="false">G74</f>
        <v>3</v>
      </c>
      <c r="I74" s="188" t="n">
        <v>0</v>
      </c>
      <c r="J74" s="189" t="n">
        <f aca="false">I74*G74</f>
        <v>0</v>
      </c>
      <c r="K74" s="190" t="n">
        <v>0</v>
      </c>
      <c r="L74" s="189" t="n">
        <f aca="false">K74*G74</f>
        <v>0</v>
      </c>
      <c r="M74" s="190" t="s">
        <v>75</v>
      </c>
      <c r="N74" s="191" t="str">
        <f aca="false">IF(M74="-","-",M74*L74)</f>
        <v>-</v>
      </c>
      <c r="O74" s="192"/>
      <c r="P74" s="187"/>
      <c r="Q74" s="192"/>
      <c r="R74" s="187"/>
      <c r="S74" s="192"/>
      <c r="T74" s="187"/>
      <c r="U74" s="192"/>
      <c r="V74" s="193"/>
      <c r="W74" s="85"/>
      <c r="X74" s="194"/>
      <c r="Y74" s="194"/>
    </row>
    <row r="75" customFormat="false" ht="15" hidden="false" customHeight="true" outlineLevel="0" collapsed="false">
      <c r="B75" s="266"/>
      <c r="C75" s="267"/>
      <c r="D75" s="267"/>
      <c r="E75" s="278" t="s">
        <v>118</v>
      </c>
      <c r="F75" s="185" t="s">
        <v>102</v>
      </c>
      <c r="G75" s="186" t="n">
        <v>13</v>
      </c>
      <c r="H75" s="187" t="n">
        <f aca="false">G75</f>
        <v>13</v>
      </c>
      <c r="I75" s="188" t="n">
        <v>0.23</v>
      </c>
      <c r="J75" s="189" t="n">
        <f aca="false">I75*G75</f>
        <v>2.99</v>
      </c>
      <c r="K75" s="190" t="n">
        <v>0.15</v>
      </c>
      <c r="L75" s="189" t="n">
        <f aca="false">K75*G75</f>
        <v>1.95</v>
      </c>
      <c r="M75" s="190" t="n">
        <v>0.5</v>
      </c>
      <c r="N75" s="191" t="n">
        <f aca="false">IF(M75="-","-",M75*L75)</f>
        <v>0.975</v>
      </c>
      <c r="O75" s="192"/>
      <c r="P75" s="187"/>
      <c r="Q75" s="192"/>
      <c r="R75" s="187"/>
      <c r="S75" s="192"/>
      <c r="T75" s="187"/>
      <c r="U75" s="192"/>
      <c r="V75" s="193"/>
      <c r="W75" s="85"/>
      <c r="X75" s="194"/>
      <c r="Y75" s="194"/>
    </row>
    <row r="76" customFormat="false" ht="15.75" hidden="false" customHeight="true" outlineLevel="0" collapsed="false">
      <c r="B76" s="266"/>
      <c r="C76" s="267"/>
      <c r="D76" s="267"/>
      <c r="E76" s="278" t="s">
        <v>119</v>
      </c>
      <c r="F76" s="185"/>
      <c r="G76" s="186"/>
      <c r="H76" s="187"/>
      <c r="I76" s="188"/>
      <c r="J76" s="189"/>
      <c r="K76" s="190"/>
      <c r="L76" s="189"/>
      <c r="M76" s="190"/>
      <c r="N76" s="191"/>
      <c r="O76" s="192"/>
      <c r="P76" s="187"/>
      <c r="Q76" s="192"/>
      <c r="R76" s="187"/>
      <c r="S76" s="192"/>
      <c r="T76" s="187"/>
      <c r="U76" s="192"/>
      <c r="V76" s="193"/>
      <c r="W76" s="85"/>
      <c r="X76" s="194"/>
      <c r="Y76" s="194"/>
    </row>
    <row r="77" customFormat="false" ht="15.75" hidden="false" customHeight="true" outlineLevel="0" collapsed="false">
      <c r="B77" s="266"/>
      <c r="C77" s="267"/>
      <c r="D77" s="267"/>
      <c r="E77" s="279"/>
      <c r="F77" s="280"/>
      <c r="G77" s="197"/>
      <c r="H77" s="198"/>
      <c r="I77" s="188"/>
      <c r="J77" s="199"/>
      <c r="K77" s="190"/>
      <c r="L77" s="199"/>
      <c r="M77" s="190"/>
      <c r="N77" s="200"/>
      <c r="O77" s="201"/>
      <c r="P77" s="198"/>
      <c r="Q77" s="201"/>
      <c r="R77" s="198"/>
      <c r="S77" s="201"/>
      <c r="T77" s="198"/>
      <c r="U77" s="201"/>
      <c r="V77" s="202"/>
      <c r="W77" s="85"/>
      <c r="X77" s="194"/>
      <c r="Y77" s="194"/>
    </row>
    <row r="78" customFormat="false" ht="15.75" hidden="false" customHeight="true" outlineLevel="0" collapsed="false">
      <c r="B78" s="266"/>
      <c r="C78" s="267"/>
      <c r="D78" s="267"/>
      <c r="E78" s="279"/>
      <c r="F78" s="280"/>
      <c r="G78" s="197"/>
      <c r="H78" s="198"/>
      <c r="I78" s="188"/>
      <c r="J78" s="199"/>
      <c r="K78" s="190"/>
      <c r="L78" s="199"/>
      <c r="M78" s="190"/>
      <c r="N78" s="200"/>
      <c r="O78" s="201"/>
      <c r="P78" s="198"/>
      <c r="Q78" s="201"/>
      <c r="R78" s="198"/>
      <c r="S78" s="201"/>
      <c r="T78" s="198"/>
      <c r="U78" s="201"/>
      <c r="V78" s="202"/>
      <c r="W78" s="85"/>
      <c r="X78" s="194"/>
      <c r="Y78" s="194"/>
    </row>
    <row r="79" customFormat="false" ht="15.75" hidden="false" customHeight="true" outlineLevel="0" collapsed="false">
      <c r="B79" s="266"/>
      <c r="C79" s="267"/>
      <c r="D79" s="267"/>
      <c r="E79" s="281" t="s">
        <v>120</v>
      </c>
      <c r="F79" s="204"/>
      <c r="G79" s="205"/>
      <c r="H79" s="206"/>
      <c r="I79" s="207"/>
      <c r="J79" s="208"/>
      <c r="K79" s="209"/>
      <c r="L79" s="208"/>
      <c r="M79" s="209"/>
      <c r="N79" s="210"/>
      <c r="O79" s="211"/>
      <c r="P79" s="206"/>
      <c r="Q79" s="211"/>
      <c r="R79" s="206"/>
      <c r="S79" s="211"/>
      <c r="T79" s="206"/>
      <c r="U79" s="211"/>
      <c r="V79" s="212"/>
      <c r="W79" s="85"/>
      <c r="X79" s="194"/>
      <c r="Y79" s="194"/>
    </row>
    <row r="80" customFormat="false" ht="15.75" hidden="false" customHeight="false" outlineLevel="0" collapsed="false">
      <c r="B80" s="266"/>
      <c r="C80" s="267"/>
      <c r="D80" s="267" t="s">
        <v>76</v>
      </c>
      <c r="E80" s="282"/>
      <c r="F80" s="263"/>
      <c r="G80" s="216" t="n">
        <f aca="false">SUM(G70:G75)</f>
        <v>167</v>
      </c>
      <c r="H80" s="217" t="n">
        <f aca="false">SUM(H70:H75)</f>
        <v>167</v>
      </c>
      <c r="I80" s="218" t="n">
        <f aca="false">J80/G80</f>
        <v>0.450359281437126</v>
      </c>
      <c r="J80" s="219" t="n">
        <f aca="false">SUM(J70:J75)</f>
        <v>75.21</v>
      </c>
      <c r="K80" s="220" t="n">
        <f aca="false">L80/G80</f>
        <v>0.374790419161677</v>
      </c>
      <c r="L80" s="219" t="n">
        <f aca="false">SUM(L70:L75)</f>
        <v>62.59</v>
      </c>
      <c r="M80" s="220" t="n">
        <f aca="false">N80/L80</f>
        <v>0.55760025563189</v>
      </c>
      <c r="N80" s="221" t="n">
        <f aca="false">SUM(N70:N75)</f>
        <v>34.9002</v>
      </c>
      <c r="O80" s="222"/>
      <c r="P80" s="217"/>
      <c r="Q80" s="222"/>
      <c r="R80" s="217"/>
      <c r="S80" s="222"/>
      <c r="T80" s="217"/>
      <c r="U80" s="222"/>
      <c r="V80" s="223"/>
      <c r="W80" s="85"/>
      <c r="X80" s="194"/>
      <c r="Y80" s="194"/>
    </row>
    <row r="81" customFormat="false" ht="15" hidden="false" customHeight="true" outlineLevel="0" collapsed="false">
      <c r="B81" s="283" t="s">
        <v>121</v>
      </c>
      <c r="C81" s="213" t="s">
        <v>97</v>
      </c>
      <c r="D81" s="284" t="n">
        <v>14</v>
      </c>
      <c r="E81" s="268" t="s">
        <v>122</v>
      </c>
      <c r="F81" s="269"/>
      <c r="G81" s="270"/>
      <c r="H81" s="271"/>
      <c r="I81" s="272"/>
      <c r="J81" s="273"/>
      <c r="K81" s="274"/>
      <c r="L81" s="273"/>
      <c r="M81" s="274"/>
      <c r="N81" s="275"/>
      <c r="O81" s="276"/>
      <c r="P81" s="271"/>
      <c r="Q81" s="276"/>
      <c r="R81" s="271"/>
      <c r="S81" s="276"/>
      <c r="T81" s="271"/>
      <c r="U81" s="276"/>
      <c r="V81" s="277"/>
      <c r="W81" s="285"/>
      <c r="X81" s="286"/>
      <c r="Y81" s="194"/>
    </row>
    <row r="82" customFormat="false" ht="15.75" hidden="false" customHeight="true" outlineLevel="0" collapsed="false">
      <c r="B82" s="283"/>
      <c r="C82" s="213"/>
      <c r="D82" s="284"/>
      <c r="E82" s="278" t="s">
        <v>123</v>
      </c>
      <c r="F82" s="185"/>
      <c r="G82" s="186"/>
      <c r="H82" s="187"/>
      <c r="I82" s="188"/>
      <c r="J82" s="189"/>
      <c r="K82" s="190"/>
      <c r="L82" s="189"/>
      <c r="M82" s="190"/>
      <c r="N82" s="191"/>
      <c r="O82" s="192"/>
      <c r="P82" s="187"/>
      <c r="Q82" s="192"/>
      <c r="R82" s="187"/>
      <c r="S82" s="192"/>
      <c r="T82" s="187"/>
      <c r="U82" s="192"/>
      <c r="V82" s="193"/>
      <c r="W82" s="287"/>
      <c r="X82" s="288"/>
      <c r="Y82" s="194"/>
    </row>
    <row r="83" customFormat="false" ht="15.75" hidden="false" customHeight="true" outlineLevel="0" collapsed="false">
      <c r="B83" s="283"/>
      <c r="C83" s="213"/>
      <c r="D83" s="284"/>
      <c r="E83" s="278" t="s">
        <v>124</v>
      </c>
      <c r="F83" s="185"/>
      <c r="G83" s="186"/>
      <c r="H83" s="187"/>
      <c r="I83" s="188"/>
      <c r="J83" s="189"/>
      <c r="K83" s="190"/>
      <c r="L83" s="189"/>
      <c r="M83" s="190"/>
      <c r="N83" s="191"/>
      <c r="O83" s="192"/>
      <c r="P83" s="187"/>
      <c r="Q83" s="192"/>
      <c r="R83" s="187"/>
      <c r="S83" s="192"/>
      <c r="T83" s="187"/>
      <c r="U83" s="192"/>
      <c r="V83" s="193"/>
      <c r="W83" s="287"/>
      <c r="X83" s="288"/>
      <c r="Y83" s="194"/>
    </row>
    <row r="84" customFormat="false" ht="15" hidden="false" customHeight="true" outlineLevel="0" collapsed="false">
      <c r="B84" s="283"/>
      <c r="C84" s="213"/>
      <c r="D84" s="284"/>
      <c r="E84" s="278" t="s">
        <v>125</v>
      </c>
      <c r="F84" s="289" t="s">
        <v>70</v>
      </c>
      <c r="G84" s="290" t="n">
        <v>217</v>
      </c>
      <c r="H84" s="291" t="n">
        <v>102</v>
      </c>
      <c r="I84" s="292" t="n">
        <v>0.29</v>
      </c>
      <c r="J84" s="293" t="n">
        <f aca="false">I84*G84</f>
        <v>62.93</v>
      </c>
      <c r="K84" s="294" t="n">
        <v>0.32</v>
      </c>
      <c r="L84" s="293" t="n">
        <v>69</v>
      </c>
      <c r="M84" s="294" t="s">
        <v>75</v>
      </c>
      <c r="N84" s="295" t="str">
        <f aca="false">IF(M84="-","-",M84*L84)</f>
        <v>-</v>
      </c>
      <c r="O84" s="296" t="n">
        <v>27</v>
      </c>
      <c r="P84" s="291" t="n">
        <v>8</v>
      </c>
      <c r="Q84" s="296" t="n">
        <v>33</v>
      </c>
      <c r="R84" s="291" t="n">
        <v>14</v>
      </c>
      <c r="S84" s="296" t="n">
        <v>241</v>
      </c>
      <c r="T84" s="291" t="n">
        <v>112</v>
      </c>
      <c r="U84" s="296" t="n">
        <v>9</v>
      </c>
      <c r="V84" s="297" t="n">
        <v>4</v>
      </c>
      <c r="W84" s="287"/>
      <c r="X84" s="288"/>
      <c r="Y84" s="194"/>
    </row>
    <row r="85" customFormat="false" ht="15" hidden="false" customHeight="true" outlineLevel="0" collapsed="false">
      <c r="B85" s="283"/>
      <c r="C85" s="213"/>
      <c r="D85" s="284"/>
      <c r="E85" s="278" t="s">
        <v>126</v>
      </c>
      <c r="F85" s="289" t="s">
        <v>102</v>
      </c>
      <c r="G85" s="290" t="n">
        <v>156</v>
      </c>
      <c r="H85" s="291" t="n">
        <v>87</v>
      </c>
      <c r="I85" s="292" t="n">
        <v>0.4</v>
      </c>
      <c r="J85" s="293" t="n">
        <f aca="false">I85*G85</f>
        <v>62.4</v>
      </c>
      <c r="K85" s="294" t="n">
        <v>0.39</v>
      </c>
      <c r="L85" s="293" t="n">
        <v>61</v>
      </c>
      <c r="M85" s="294" t="s">
        <v>75</v>
      </c>
      <c r="N85" s="295" t="str">
        <f aca="false">IF(M85="-","-",M85*L85)</f>
        <v>-</v>
      </c>
      <c r="O85" s="296" t="n">
        <v>7</v>
      </c>
      <c r="P85" s="291" t="n">
        <v>5</v>
      </c>
      <c r="Q85" s="296" t="n">
        <v>4</v>
      </c>
      <c r="R85" s="291" t="n">
        <v>1</v>
      </c>
      <c r="S85" s="296" t="n">
        <v>146</v>
      </c>
      <c r="T85" s="291" t="n">
        <v>81</v>
      </c>
      <c r="U85" s="296" t="n">
        <v>14</v>
      </c>
      <c r="V85" s="297" t="n">
        <v>7</v>
      </c>
      <c r="W85" s="287"/>
      <c r="X85" s="288"/>
      <c r="Y85" s="194"/>
    </row>
    <row r="86" customFormat="false" ht="15" hidden="false" customHeight="true" outlineLevel="0" collapsed="false">
      <c r="B86" s="283"/>
      <c r="C86" s="213"/>
      <c r="D86" s="284"/>
      <c r="E86" s="278" t="s">
        <v>127</v>
      </c>
      <c r="F86" s="289" t="s">
        <v>102</v>
      </c>
      <c r="G86" s="290" t="n">
        <v>167</v>
      </c>
      <c r="H86" s="291" t="n">
        <v>80</v>
      </c>
      <c r="I86" s="292" t="n">
        <v>0.26</v>
      </c>
      <c r="J86" s="293" t="n">
        <f aca="false">I86*G86</f>
        <v>43.42</v>
      </c>
      <c r="K86" s="294" t="n">
        <v>0.37</v>
      </c>
      <c r="L86" s="293" t="n">
        <v>62</v>
      </c>
      <c r="M86" s="294" t="s">
        <v>75</v>
      </c>
      <c r="N86" s="295" t="str">
        <f aca="false">IF(M86="-","-",M86*L86)</f>
        <v>-</v>
      </c>
      <c r="O86" s="296" t="n">
        <v>7</v>
      </c>
      <c r="P86" s="291" t="n">
        <v>3</v>
      </c>
      <c r="Q86" s="296" t="n">
        <v>33</v>
      </c>
      <c r="R86" s="291" t="n">
        <v>14</v>
      </c>
      <c r="S86" s="296" t="n">
        <v>153</v>
      </c>
      <c r="T86" s="291" t="n">
        <v>74</v>
      </c>
      <c r="U86" s="296" t="n">
        <v>47</v>
      </c>
      <c r="V86" s="297" t="n">
        <v>20</v>
      </c>
      <c r="W86" s="287"/>
      <c r="X86" s="288"/>
      <c r="Y86" s="194"/>
    </row>
    <row r="87" customFormat="false" ht="15" hidden="false" customHeight="true" outlineLevel="0" collapsed="false">
      <c r="B87" s="283"/>
      <c r="C87" s="213"/>
      <c r="D87" s="284"/>
      <c r="E87" s="278" t="s">
        <v>128</v>
      </c>
      <c r="F87" s="289"/>
      <c r="G87" s="290"/>
      <c r="H87" s="291"/>
      <c r="I87" s="292" t="n">
        <v>0.26</v>
      </c>
      <c r="J87" s="293"/>
      <c r="K87" s="294" t="n">
        <v>0.37</v>
      </c>
      <c r="L87" s="293"/>
      <c r="M87" s="294" t="s">
        <v>75</v>
      </c>
      <c r="N87" s="295"/>
      <c r="O87" s="296"/>
      <c r="P87" s="291"/>
      <c r="Q87" s="296"/>
      <c r="R87" s="291"/>
      <c r="S87" s="296"/>
      <c r="T87" s="291"/>
      <c r="U87" s="296"/>
      <c r="V87" s="297"/>
      <c r="W87" s="287"/>
      <c r="X87" s="288"/>
      <c r="Y87" s="194"/>
    </row>
    <row r="88" customFormat="false" ht="15" hidden="false" customHeight="true" outlineLevel="0" collapsed="false">
      <c r="B88" s="283"/>
      <c r="C88" s="213"/>
      <c r="D88" s="284"/>
      <c r="E88" s="278" t="s">
        <v>129</v>
      </c>
      <c r="F88" s="289"/>
      <c r="G88" s="290"/>
      <c r="H88" s="291"/>
      <c r="I88" s="292" t="n">
        <v>0.26</v>
      </c>
      <c r="J88" s="293"/>
      <c r="K88" s="294" t="n">
        <v>0.37</v>
      </c>
      <c r="L88" s="293"/>
      <c r="M88" s="294" t="s">
        <v>75</v>
      </c>
      <c r="N88" s="295"/>
      <c r="O88" s="296"/>
      <c r="P88" s="291"/>
      <c r="Q88" s="296"/>
      <c r="R88" s="291"/>
      <c r="S88" s="296"/>
      <c r="T88" s="291"/>
      <c r="U88" s="296"/>
      <c r="V88" s="297"/>
      <c r="W88" s="287"/>
      <c r="X88" s="288"/>
      <c r="Y88" s="194"/>
    </row>
    <row r="89" customFormat="false" ht="15" hidden="false" customHeight="true" outlineLevel="0" collapsed="false">
      <c r="B89" s="283"/>
      <c r="C89" s="213"/>
      <c r="D89" s="284"/>
      <c r="E89" s="278" t="s">
        <v>130</v>
      </c>
      <c r="F89" s="289"/>
      <c r="G89" s="290"/>
      <c r="H89" s="291"/>
      <c r="I89" s="292" t="n">
        <v>0.26</v>
      </c>
      <c r="J89" s="293"/>
      <c r="K89" s="294" t="n">
        <v>0.37</v>
      </c>
      <c r="L89" s="293"/>
      <c r="M89" s="294" t="s">
        <v>75</v>
      </c>
      <c r="N89" s="295"/>
      <c r="O89" s="296"/>
      <c r="P89" s="291"/>
      <c r="Q89" s="296"/>
      <c r="R89" s="291"/>
      <c r="S89" s="296"/>
      <c r="T89" s="291"/>
      <c r="U89" s="296"/>
      <c r="V89" s="297"/>
      <c r="W89" s="287"/>
      <c r="X89" s="288"/>
      <c r="Y89" s="194"/>
    </row>
    <row r="90" customFormat="false" ht="15" hidden="false" customHeight="true" outlineLevel="0" collapsed="false">
      <c r="B90" s="283"/>
      <c r="C90" s="213"/>
      <c r="D90" s="284"/>
      <c r="E90" s="278"/>
      <c r="F90" s="289"/>
      <c r="G90" s="290"/>
      <c r="H90" s="291"/>
      <c r="I90" s="292" t="n">
        <v>0.26</v>
      </c>
      <c r="J90" s="293"/>
      <c r="K90" s="294" t="n">
        <v>0.37</v>
      </c>
      <c r="L90" s="293"/>
      <c r="M90" s="294" t="s">
        <v>75</v>
      </c>
      <c r="N90" s="295"/>
      <c r="O90" s="296"/>
      <c r="P90" s="291"/>
      <c r="Q90" s="296"/>
      <c r="R90" s="291"/>
      <c r="S90" s="296"/>
      <c r="T90" s="291"/>
      <c r="U90" s="296"/>
      <c r="V90" s="297"/>
      <c r="W90" s="287"/>
      <c r="X90" s="288"/>
      <c r="Y90" s="194"/>
    </row>
    <row r="91" customFormat="false" ht="15" hidden="false" customHeight="true" outlineLevel="0" collapsed="false">
      <c r="B91" s="283"/>
      <c r="C91" s="213"/>
      <c r="D91" s="284"/>
      <c r="E91" s="278"/>
      <c r="F91" s="289"/>
      <c r="G91" s="290"/>
      <c r="H91" s="291"/>
      <c r="I91" s="292" t="n">
        <v>0.26</v>
      </c>
      <c r="J91" s="293"/>
      <c r="K91" s="294" t="n">
        <v>0.37</v>
      </c>
      <c r="L91" s="293"/>
      <c r="M91" s="294" t="s">
        <v>75</v>
      </c>
      <c r="N91" s="295"/>
      <c r="O91" s="296"/>
      <c r="P91" s="291"/>
      <c r="Q91" s="296"/>
      <c r="R91" s="291"/>
      <c r="S91" s="296"/>
      <c r="T91" s="291"/>
      <c r="U91" s="296"/>
      <c r="V91" s="297"/>
      <c r="W91" s="287"/>
      <c r="X91" s="288"/>
      <c r="Y91" s="194"/>
    </row>
    <row r="92" customFormat="false" ht="15" hidden="false" customHeight="true" outlineLevel="0" collapsed="false">
      <c r="B92" s="283"/>
      <c r="C92" s="213"/>
      <c r="D92" s="284"/>
      <c r="E92" s="278" t="s">
        <v>131</v>
      </c>
      <c r="F92" s="289"/>
      <c r="G92" s="290"/>
      <c r="H92" s="291"/>
      <c r="I92" s="292"/>
      <c r="J92" s="293"/>
      <c r="K92" s="294"/>
      <c r="L92" s="293"/>
      <c r="M92" s="294"/>
      <c r="N92" s="295"/>
      <c r="O92" s="296"/>
      <c r="P92" s="291"/>
      <c r="Q92" s="296"/>
      <c r="R92" s="291"/>
      <c r="S92" s="296"/>
      <c r="T92" s="291"/>
      <c r="U92" s="296"/>
      <c r="V92" s="297"/>
      <c r="W92" s="287"/>
      <c r="X92" s="288"/>
      <c r="Y92" s="194"/>
    </row>
    <row r="93" customFormat="false" ht="15.75" hidden="false" customHeight="false" outlineLevel="0" collapsed="false">
      <c r="B93" s="283"/>
      <c r="C93" s="213"/>
      <c r="D93" s="298" t="s">
        <v>76</v>
      </c>
      <c r="E93" s="281"/>
      <c r="F93" s="299"/>
      <c r="G93" s="300" t="n">
        <f aca="false">SUM(G84:G92)</f>
        <v>540</v>
      </c>
      <c r="H93" s="301" t="n">
        <f aca="false">SUM(H84:H92)</f>
        <v>269</v>
      </c>
      <c r="I93" s="302" t="n">
        <f aca="false">J93/G93</f>
        <v>0.3125</v>
      </c>
      <c r="J93" s="303" t="n">
        <f aca="false">SUM(J84:J92)</f>
        <v>168.75</v>
      </c>
      <c r="K93" s="209" t="n">
        <f aca="false">L93/G93</f>
        <v>0.355555555555556</v>
      </c>
      <c r="L93" s="303" t="n">
        <f aca="false">SUM(L84:L92)</f>
        <v>192</v>
      </c>
      <c r="M93" s="304" t="n">
        <f aca="false">N93/L93</f>
        <v>0</v>
      </c>
      <c r="N93" s="305" t="n">
        <f aca="false">SUM(N84:N92)</f>
        <v>0</v>
      </c>
      <c r="O93" s="306" t="n">
        <f aca="false">SUM(O84:O92)</f>
        <v>41</v>
      </c>
      <c r="P93" s="301" t="n">
        <f aca="false">SUM(P84:P92)</f>
        <v>16</v>
      </c>
      <c r="Q93" s="306" t="n">
        <f aca="false">SUM(Q84:Q92)</f>
        <v>70</v>
      </c>
      <c r="R93" s="301" t="n">
        <f aca="false">SUM(R84:R92)</f>
        <v>29</v>
      </c>
      <c r="S93" s="306" t="n">
        <f aca="false">SUM(S84:S92)</f>
        <v>540</v>
      </c>
      <c r="T93" s="301" t="n">
        <f aca="false">SUM(T84:T92)</f>
        <v>267</v>
      </c>
      <c r="U93" s="306" t="n">
        <f aca="false">SUM(U84:U92)</f>
        <v>70</v>
      </c>
      <c r="V93" s="307" t="n">
        <f aca="false">SUM(V84:V92)</f>
        <v>31</v>
      </c>
      <c r="W93" s="308"/>
      <c r="X93" s="309"/>
      <c r="Y93" s="194"/>
    </row>
    <row r="94" customFormat="false" ht="15.75" hidden="false" customHeight="true" outlineLevel="0" collapsed="false">
      <c r="B94" s="266" t="s">
        <v>132</v>
      </c>
      <c r="C94" s="213" t="s">
        <v>97</v>
      </c>
      <c r="D94" s="213" t="n">
        <v>2</v>
      </c>
      <c r="E94" s="174" t="s">
        <v>133</v>
      </c>
      <c r="F94" s="215" t="s">
        <v>102</v>
      </c>
      <c r="G94" s="270" t="n">
        <v>21</v>
      </c>
      <c r="H94" s="271" t="n">
        <v>8</v>
      </c>
      <c r="I94" s="272" t="n">
        <v>0.29</v>
      </c>
      <c r="J94" s="273" t="n">
        <f aca="false">I94*G94</f>
        <v>6.09</v>
      </c>
      <c r="K94" s="274" t="n">
        <v>0.32</v>
      </c>
      <c r="L94" s="273" t="n">
        <f aca="false">K94*G94</f>
        <v>6.72</v>
      </c>
      <c r="M94" s="274" t="s">
        <v>75</v>
      </c>
      <c r="N94" s="275" t="n">
        <v>0</v>
      </c>
      <c r="O94" s="276" t="n">
        <v>1</v>
      </c>
      <c r="P94" s="271" t="n">
        <v>0</v>
      </c>
      <c r="Q94" s="276" t="n">
        <v>7</v>
      </c>
      <c r="R94" s="271" t="n">
        <v>5</v>
      </c>
      <c r="S94" s="276" t="n">
        <v>19</v>
      </c>
      <c r="T94" s="271" t="n">
        <v>8</v>
      </c>
      <c r="U94" s="276" t="n">
        <v>9</v>
      </c>
      <c r="V94" s="277" t="n">
        <v>5</v>
      </c>
      <c r="W94" s="285"/>
      <c r="X94" s="286"/>
      <c r="Y94" s="194"/>
    </row>
    <row r="95" customFormat="false" ht="15.75" hidden="false" customHeight="true" outlineLevel="0" collapsed="false">
      <c r="B95" s="266"/>
      <c r="C95" s="213"/>
      <c r="D95" s="213"/>
      <c r="E95" s="310" t="s">
        <v>134</v>
      </c>
      <c r="F95" s="311"/>
      <c r="G95" s="186"/>
      <c r="H95" s="187"/>
      <c r="I95" s="188"/>
      <c r="J95" s="189"/>
      <c r="K95" s="190"/>
      <c r="L95" s="189"/>
      <c r="M95" s="190"/>
      <c r="N95" s="191"/>
      <c r="O95" s="192"/>
      <c r="P95" s="187"/>
      <c r="Q95" s="192"/>
      <c r="R95" s="187"/>
      <c r="S95" s="192"/>
      <c r="T95" s="187"/>
      <c r="U95" s="192"/>
      <c r="V95" s="193"/>
      <c r="W95" s="287"/>
      <c r="X95" s="288"/>
      <c r="Y95" s="194"/>
    </row>
    <row r="96" customFormat="false" ht="15.75" hidden="false" customHeight="true" outlineLevel="0" collapsed="false">
      <c r="B96" s="266"/>
      <c r="C96" s="213"/>
      <c r="D96" s="213"/>
      <c r="E96" s="312"/>
      <c r="F96" s="311"/>
      <c r="G96" s="197"/>
      <c r="H96" s="198"/>
      <c r="I96" s="188"/>
      <c r="J96" s="199"/>
      <c r="K96" s="190"/>
      <c r="L96" s="199"/>
      <c r="M96" s="190"/>
      <c r="N96" s="200"/>
      <c r="O96" s="201"/>
      <c r="P96" s="198"/>
      <c r="Q96" s="201"/>
      <c r="R96" s="198"/>
      <c r="S96" s="201"/>
      <c r="T96" s="198"/>
      <c r="U96" s="201"/>
      <c r="V96" s="202"/>
      <c r="W96" s="308"/>
      <c r="X96" s="309"/>
      <c r="Y96" s="194"/>
    </row>
    <row r="97" customFormat="false" ht="15.75" hidden="false" customHeight="true" outlineLevel="0" collapsed="false">
      <c r="B97" s="266"/>
      <c r="C97" s="213"/>
      <c r="D97" s="213"/>
      <c r="E97" s="312"/>
      <c r="F97" s="311"/>
      <c r="G97" s="197"/>
      <c r="H97" s="198"/>
      <c r="I97" s="188"/>
      <c r="J97" s="199"/>
      <c r="K97" s="190"/>
      <c r="L97" s="199"/>
      <c r="M97" s="190"/>
      <c r="N97" s="200"/>
      <c r="O97" s="201"/>
      <c r="P97" s="198"/>
      <c r="Q97" s="201"/>
      <c r="R97" s="198"/>
      <c r="S97" s="201"/>
      <c r="T97" s="198"/>
      <c r="U97" s="201"/>
      <c r="V97" s="202"/>
      <c r="W97" s="308"/>
      <c r="X97" s="309"/>
      <c r="Y97" s="194"/>
    </row>
    <row r="98" customFormat="false" ht="15.75" hidden="false" customHeight="true" outlineLevel="0" collapsed="false">
      <c r="B98" s="266"/>
      <c r="C98" s="213"/>
      <c r="D98" s="213"/>
      <c r="E98" s="313" t="s">
        <v>135</v>
      </c>
      <c r="F98" s="215"/>
      <c r="G98" s="205"/>
      <c r="H98" s="206"/>
      <c r="I98" s="207"/>
      <c r="J98" s="208"/>
      <c r="K98" s="209"/>
      <c r="L98" s="208"/>
      <c r="M98" s="209"/>
      <c r="N98" s="210"/>
      <c r="O98" s="211"/>
      <c r="P98" s="206"/>
      <c r="Q98" s="211"/>
      <c r="R98" s="206"/>
      <c r="S98" s="211"/>
      <c r="T98" s="206"/>
      <c r="U98" s="211"/>
      <c r="V98" s="212"/>
      <c r="W98" s="308"/>
      <c r="X98" s="309"/>
      <c r="Y98" s="194"/>
    </row>
    <row r="99" customFormat="false" ht="15.75" hidden="false" customHeight="true" outlineLevel="0" collapsed="false">
      <c r="B99" s="266"/>
      <c r="C99" s="213"/>
      <c r="D99" s="314" t="s">
        <v>76</v>
      </c>
      <c r="E99" s="214"/>
      <c r="F99" s="215"/>
      <c r="G99" s="315" t="n">
        <f aca="false">SUM(G94:G98)</f>
        <v>21</v>
      </c>
      <c r="H99" s="316" t="n">
        <f aca="false">SUM(H94:H98)</f>
        <v>8</v>
      </c>
      <c r="I99" s="317" t="n">
        <f aca="false">J99/G99</f>
        <v>0.29</v>
      </c>
      <c r="J99" s="318" t="n">
        <f aca="false">SUM(J94:J98)</f>
        <v>6.09</v>
      </c>
      <c r="K99" s="220" t="n">
        <f aca="false">L99/G99</f>
        <v>0.32</v>
      </c>
      <c r="L99" s="318" t="n">
        <f aca="false">SUM(L94:L98)</f>
        <v>6.72</v>
      </c>
      <c r="M99" s="319" t="n">
        <f aca="false">N99/L99</f>
        <v>0</v>
      </c>
      <c r="N99" s="320" t="n">
        <f aca="false">SUM(N94:N98)</f>
        <v>0</v>
      </c>
      <c r="O99" s="321" t="n">
        <f aca="false">SUM(O94:O98)</f>
        <v>1</v>
      </c>
      <c r="P99" s="316" t="n">
        <f aca="false">SUM(P94:P98)</f>
        <v>0</v>
      </c>
      <c r="Q99" s="321" t="n">
        <f aca="false">SUM(Q94:Q98)</f>
        <v>7</v>
      </c>
      <c r="R99" s="316" t="n">
        <f aca="false">SUM(R94:R98)</f>
        <v>5</v>
      </c>
      <c r="S99" s="321" t="n">
        <f aca="false">SUM(S94:S98)</f>
        <v>19</v>
      </c>
      <c r="T99" s="316" t="n">
        <f aca="false">SUM(T94:T98)</f>
        <v>8</v>
      </c>
      <c r="U99" s="321" t="n">
        <f aca="false">SUM(U94:U98)</f>
        <v>9</v>
      </c>
      <c r="V99" s="322" t="n">
        <f aca="false">SUM(V94:V98)</f>
        <v>5</v>
      </c>
      <c r="W99" s="323"/>
      <c r="X99" s="324"/>
      <c r="Y99" s="194"/>
    </row>
    <row r="100" customFormat="false" ht="15.75" hidden="false" customHeight="true" outlineLevel="0" collapsed="false">
      <c r="B100" s="325" t="s">
        <v>136</v>
      </c>
      <c r="C100" s="326" t="s">
        <v>97</v>
      </c>
      <c r="D100" s="213" t="n">
        <v>14</v>
      </c>
      <c r="E100" s="174" t="s">
        <v>137</v>
      </c>
      <c r="F100" s="269" t="s">
        <v>138</v>
      </c>
      <c r="G100" s="270" t="n">
        <f aca="false">17+25</f>
        <v>42</v>
      </c>
      <c r="H100" s="271" t="n">
        <f aca="false">G100</f>
        <v>42</v>
      </c>
      <c r="I100" s="272" t="n">
        <f aca="false">17/G100</f>
        <v>0.404761904761905</v>
      </c>
      <c r="J100" s="273" t="n">
        <f aca="false">I100*G100</f>
        <v>17</v>
      </c>
      <c r="K100" s="274" t="n">
        <f aca="false">21/G100</f>
        <v>0.5</v>
      </c>
      <c r="L100" s="273" t="n">
        <f aca="false">K100*G100</f>
        <v>21</v>
      </c>
      <c r="M100" s="274"/>
      <c r="N100" s="275"/>
      <c r="O100" s="276"/>
      <c r="P100" s="271"/>
      <c r="Q100" s="276"/>
      <c r="R100" s="271"/>
      <c r="S100" s="276"/>
      <c r="T100" s="271"/>
      <c r="U100" s="276"/>
      <c r="V100" s="277"/>
      <c r="W100" s="327"/>
      <c r="X100" s="328"/>
      <c r="Y100" s="194"/>
    </row>
    <row r="101" customFormat="false" ht="15.75" hidden="false" customHeight="true" outlineLevel="0" collapsed="false">
      <c r="B101" s="325"/>
      <c r="C101" s="326"/>
      <c r="D101" s="213"/>
      <c r="E101" s="184" t="s">
        <v>139</v>
      </c>
      <c r="F101" s="185" t="s">
        <v>138</v>
      </c>
      <c r="G101" s="186" t="n">
        <f aca="false">122+29+119+13</f>
        <v>283</v>
      </c>
      <c r="H101" s="187" t="n">
        <f aca="false">G101</f>
        <v>283</v>
      </c>
      <c r="I101" s="188" t="n">
        <f aca="false">(29+13)/G101</f>
        <v>0.148409893992933</v>
      </c>
      <c r="J101" s="189" t="n">
        <f aca="false">I101*G101</f>
        <v>42</v>
      </c>
      <c r="K101" s="190" t="n">
        <f aca="false">(65+47)/G101</f>
        <v>0.395759717314488</v>
      </c>
      <c r="L101" s="189" t="n">
        <f aca="false">K101*G101</f>
        <v>112</v>
      </c>
      <c r="M101" s="190"/>
      <c r="N101" s="191"/>
      <c r="O101" s="192"/>
      <c r="P101" s="187"/>
      <c r="Q101" s="192"/>
      <c r="R101" s="187"/>
      <c r="S101" s="192"/>
      <c r="T101" s="187"/>
      <c r="U101" s="192"/>
      <c r="V101" s="193"/>
      <c r="W101" s="287"/>
      <c r="X101" s="288"/>
      <c r="Y101" s="194"/>
    </row>
    <row r="102" customFormat="false" ht="15.75" hidden="false" customHeight="true" outlineLevel="0" collapsed="false">
      <c r="B102" s="325"/>
      <c r="C102" s="326"/>
      <c r="D102" s="213"/>
      <c r="E102" s="184" t="s">
        <v>140</v>
      </c>
      <c r="F102" s="185" t="s">
        <v>138</v>
      </c>
      <c r="G102" s="186" t="n">
        <f aca="false">(19+11+31+18)</f>
        <v>79</v>
      </c>
      <c r="H102" s="187" t="n">
        <f aca="false">G102</f>
        <v>79</v>
      </c>
      <c r="I102" s="188" t="n">
        <f aca="false">(11+18)/G102</f>
        <v>0.367088607594937</v>
      </c>
      <c r="J102" s="189" t="n">
        <f aca="false">I102*G102</f>
        <v>29</v>
      </c>
      <c r="K102" s="190" t="n">
        <f aca="false">(5+28)/G102</f>
        <v>0.417721518987342</v>
      </c>
      <c r="L102" s="189" t="n">
        <f aca="false">K102*G102</f>
        <v>33</v>
      </c>
      <c r="M102" s="190"/>
      <c r="N102" s="191"/>
      <c r="O102" s="192"/>
      <c r="P102" s="187"/>
      <c r="Q102" s="192"/>
      <c r="R102" s="187"/>
      <c r="S102" s="192"/>
      <c r="T102" s="187"/>
      <c r="U102" s="192"/>
      <c r="V102" s="193"/>
      <c r="W102" s="287"/>
      <c r="X102" s="288"/>
      <c r="Y102" s="194"/>
    </row>
    <row r="103" customFormat="false" ht="15.75" hidden="false" customHeight="true" outlineLevel="0" collapsed="false">
      <c r="B103" s="325"/>
      <c r="C103" s="326"/>
      <c r="D103" s="213"/>
      <c r="E103" s="184" t="s">
        <v>141</v>
      </c>
      <c r="F103" s="185" t="s">
        <v>138</v>
      </c>
      <c r="G103" s="186" t="n">
        <f aca="false">15+8+12+6+33+34</f>
        <v>108</v>
      </c>
      <c r="H103" s="187" t="n">
        <f aca="false">G103</f>
        <v>108</v>
      </c>
      <c r="I103" s="188" t="n">
        <f aca="false">(8+6+33)/G103</f>
        <v>0.435185185185185</v>
      </c>
      <c r="J103" s="189" t="n">
        <f aca="false">I103*G103</f>
        <v>47</v>
      </c>
      <c r="K103" s="190" t="n">
        <f aca="false">(12+6+33)/G103</f>
        <v>0.472222222222222</v>
      </c>
      <c r="L103" s="189" t="n">
        <f aca="false">K103*G103</f>
        <v>51</v>
      </c>
      <c r="M103" s="190"/>
      <c r="N103" s="191"/>
      <c r="O103" s="192"/>
      <c r="P103" s="187"/>
      <c r="Q103" s="192"/>
      <c r="R103" s="187"/>
      <c r="S103" s="192"/>
      <c r="T103" s="187"/>
      <c r="U103" s="192"/>
      <c r="V103" s="193"/>
      <c r="W103" s="287"/>
      <c r="X103" s="288"/>
      <c r="Y103" s="194"/>
    </row>
    <row r="104" customFormat="false" ht="15.75" hidden="false" customHeight="true" outlineLevel="0" collapsed="false">
      <c r="B104" s="325"/>
      <c r="C104" s="326"/>
      <c r="D104" s="213"/>
      <c r="E104" s="184" t="s">
        <v>142</v>
      </c>
      <c r="F104" s="185" t="s">
        <v>138</v>
      </c>
      <c r="G104" s="186" t="n">
        <f aca="false">56+28+19+14</f>
        <v>117</v>
      </c>
      <c r="H104" s="187" t="n">
        <f aca="false">G104</f>
        <v>117</v>
      </c>
      <c r="I104" s="188" t="n">
        <f aca="false">(28+14)/G104</f>
        <v>0.358974358974359</v>
      </c>
      <c r="J104" s="189" t="n">
        <f aca="false">I104*G104</f>
        <v>42</v>
      </c>
      <c r="K104" s="190" t="n">
        <f aca="false">(31+21)/G104</f>
        <v>0.444444444444444</v>
      </c>
      <c r="L104" s="189" t="n">
        <f aca="false">K104*G104</f>
        <v>52</v>
      </c>
      <c r="M104" s="190"/>
      <c r="N104" s="191"/>
      <c r="O104" s="192"/>
      <c r="P104" s="187"/>
      <c r="Q104" s="192"/>
      <c r="R104" s="187"/>
      <c r="S104" s="192"/>
      <c r="T104" s="187"/>
      <c r="U104" s="192"/>
      <c r="V104" s="193"/>
      <c r="W104" s="287"/>
      <c r="X104" s="288"/>
      <c r="Y104" s="194"/>
    </row>
    <row r="105" customFormat="false" ht="15.75" hidden="false" customHeight="true" outlineLevel="0" collapsed="false">
      <c r="B105" s="325"/>
      <c r="C105" s="326"/>
      <c r="D105" s="213"/>
      <c r="E105" s="184" t="s">
        <v>143</v>
      </c>
      <c r="F105" s="185"/>
      <c r="G105" s="186"/>
      <c r="H105" s="187"/>
      <c r="I105" s="188"/>
      <c r="J105" s="189"/>
      <c r="K105" s="190"/>
      <c r="L105" s="189"/>
      <c r="M105" s="190"/>
      <c r="N105" s="329"/>
      <c r="O105" s="192"/>
      <c r="P105" s="187"/>
      <c r="Q105" s="192"/>
      <c r="R105" s="187"/>
      <c r="S105" s="192"/>
      <c r="T105" s="187"/>
      <c r="U105" s="192"/>
      <c r="V105" s="193"/>
      <c r="W105" s="287"/>
      <c r="X105" s="288"/>
      <c r="Y105" s="194"/>
    </row>
    <row r="106" customFormat="false" ht="15.75" hidden="false" customHeight="true" outlineLevel="0" collapsed="false">
      <c r="B106" s="325"/>
      <c r="C106" s="326"/>
      <c r="D106" s="213"/>
      <c r="E106" s="184" t="s">
        <v>144</v>
      </c>
      <c r="F106" s="185"/>
      <c r="G106" s="186"/>
      <c r="H106" s="187"/>
      <c r="I106" s="188"/>
      <c r="J106" s="189"/>
      <c r="K106" s="190"/>
      <c r="L106" s="189"/>
      <c r="M106" s="190"/>
      <c r="N106" s="329"/>
      <c r="O106" s="192"/>
      <c r="P106" s="187"/>
      <c r="Q106" s="192"/>
      <c r="R106" s="187"/>
      <c r="S106" s="192"/>
      <c r="T106" s="187"/>
      <c r="U106" s="192"/>
      <c r="V106" s="193"/>
      <c r="W106" s="287"/>
      <c r="X106" s="288"/>
      <c r="Y106" s="194"/>
    </row>
    <row r="107" customFormat="false" ht="15.75" hidden="false" customHeight="true" outlineLevel="0" collapsed="false">
      <c r="B107" s="325"/>
      <c r="C107" s="326"/>
      <c r="D107" s="213"/>
      <c r="E107" s="184" t="s">
        <v>145</v>
      </c>
      <c r="F107" s="185" t="s">
        <v>138</v>
      </c>
      <c r="G107" s="186" t="n">
        <f aca="false">(388+263)</f>
        <v>651</v>
      </c>
      <c r="H107" s="187" t="n">
        <f aca="false">G107</f>
        <v>651</v>
      </c>
      <c r="I107" s="188"/>
      <c r="J107" s="189" t="n">
        <f aca="false">I107*G107</f>
        <v>0</v>
      </c>
      <c r="K107" s="190" t="n">
        <f aca="false">250/G107</f>
        <v>0.384024577572965</v>
      </c>
      <c r="L107" s="189" t="n">
        <f aca="false">K107*G107</f>
        <v>250</v>
      </c>
      <c r="M107" s="190"/>
      <c r="N107" s="329"/>
      <c r="O107" s="192"/>
      <c r="P107" s="187"/>
      <c r="Q107" s="192"/>
      <c r="R107" s="187"/>
      <c r="S107" s="192"/>
      <c r="T107" s="187"/>
      <c r="U107" s="192"/>
      <c r="V107" s="193"/>
      <c r="W107" s="287"/>
      <c r="X107" s="288"/>
      <c r="Y107" s="194"/>
    </row>
    <row r="108" customFormat="false" ht="15.75" hidden="false" customHeight="true" outlineLevel="0" collapsed="false">
      <c r="B108" s="325"/>
      <c r="C108" s="326"/>
      <c r="D108" s="213"/>
      <c r="E108" s="184" t="s">
        <v>146</v>
      </c>
      <c r="F108" s="185" t="s">
        <v>138</v>
      </c>
      <c r="G108" s="186" t="n">
        <f aca="false">284+220+60+51</f>
        <v>615</v>
      </c>
      <c r="H108" s="187" t="n">
        <f aca="false">G108</f>
        <v>615</v>
      </c>
      <c r="I108" s="188"/>
      <c r="J108" s="189" t="n">
        <f aca="false">I108*G108</f>
        <v>0</v>
      </c>
      <c r="K108" s="190" t="n">
        <f aca="false">(195+46)/G108</f>
        <v>0.391869918699187</v>
      </c>
      <c r="L108" s="189" t="n">
        <f aca="false">K108*G108</f>
        <v>241</v>
      </c>
      <c r="M108" s="190"/>
      <c r="N108" s="191"/>
      <c r="O108" s="192"/>
      <c r="P108" s="187"/>
      <c r="Q108" s="192"/>
      <c r="R108" s="187"/>
      <c r="S108" s="192"/>
      <c r="T108" s="187"/>
      <c r="U108" s="192"/>
      <c r="V108" s="193"/>
      <c r="W108" s="287"/>
      <c r="X108" s="288"/>
      <c r="Y108" s="194"/>
    </row>
    <row r="109" customFormat="false" ht="15.75" hidden="false" customHeight="true" outlineLevel="0" collapsed="false">
      <c r="B109" s="325"/>
      <c r="C109" s="326"/>
      <c r="D109" s="213"/>
      <c r="E109" s="195"/>
      <c r="F109" s="196"/>
      <c r="G109" s="197"/>
      <c r="H109" s="198"/>
      <c r="I109" s="188"/>
      <c r="J109" s="199"/>
      <c r="K109" s="190" t="e">
        <f aca="false">(195+46)/G109</f>
        <v>#DIV/0!</v>
      </c>
      <c r="L109" s="199"/>
      <c r="M109" s="190"/>
      <c r="N109" s="200"/>
      <c r="O109" s="201"/>
      <c r="P109" s="198"/>
      <c r="Q109" s="201"/>
      <c r="R109" s="198"/>
      <c r="S109" s="201"/>
      <c r="T109" s="198"/>
      <c r="U109" s="201"/>
      <c r="V109" s="202"/>
      <c r="W109" s="308"/>
      <c r="X109" s="309"/>
      <c r="Y109" s="194"/>
    </row>
    <row r="110" customFormat="false" ht="15.75" hidden="false" customHeight="true" outlineLevel="0" collapsed="false">
      <c r="B110" s="325"/>
      <c r="C110" s="326"/>
      <c r="D110" s="213"/>
      <c r="E110" s="195"/>
      <c r="F110" s="196"/>
      <c r="G110" s="197"/>
      <c r="H110" s="198"/>
      <c r="I110" s="188"/>
      <c r="J110" s="199"/>
      <c r="K110" s="190" t="e">
        <f aca="false">(195+46)/G110</f>
        <v>#DIV/0!</v>
      </c>
      <c r="L110" s="199"/>
      <c r="M110" s="190"/>
      <c r="N110" s="200"/>
      <c r="O110" s="201"/>
      <c r="P110" s="198"/>
      <c r="Q110" s="201"/>
      <c r="R110" s="198"/>
      <c r="S110" s="201"/>
      <c r="T110" s="198"/>
      <c r="U110" s="201"/>
      <c r="V110" s="202"/>
      <c r="W110" s="308"/>
      <c r="X110" s="309"/>
      <c r="Y110" s="194"/>
    </row>
    <row r="111" customFormat="false" ht="15.75" hidden="false" customHeight="true" outlineLevel="0" collapsed="false">
      <c r="B111" s="325"/>
      <c r="C111" s="326"/>
      <c r="D111" s="213"/>
      <c r="E111" s="203" t="s">
        <v>147</v>
      </c>
      <c r="F111" s="204" t="s">
        <v>138</v>
      </c>
      <c r="G111" s="205" t="n">
        <f aca="false">215+82+11+8</f>
        <v>316</v>
      </c>
      <c r="H111" s="206" t="n">
        <f aca="false">G111</f>
        <v>316</v>
      </c>
      <c r="I111" s="207" t="n">
        <f aca="false">(82+8)/G111</f>
        <v>0.284810126582278</v>
      </c>
      <c r="J111" s="208" t="n">
        <f aca="false">I111*G111</f>
        <v>90</v>
      </c>
      <c r="K111" s="209" t="n">
        <f aca="false">(116+8)/G111</f>
        <v>0.392405063291139</v>
      </c>
      <c r="L111" s="208" t="n">
        <f aca="false">K111*G111</f>
        <v>124</v>
      </c>
      <c r="M111" s="209"/>
      <c r="N111" s="210"/>
      <c r="O111" s="211"/>
      <c r="P111" s="206"/>
      <c r="Q111" s="211"/>
      <c r="R111" s="206"/>
      <c r="S111" s="211"/>
      <c r="T111" s="206"/>
      <c r="U111" s="211"/>
      <c r="V111" s="212"/>
      <c r="W111" s="323"/>
      <c r="X111" s="324"/>
      <c r="Y111" s="194"/>
    </row>
    <row r="112" customFormat="false" ht="16.5" hidden="false" customHeight="false" outlineLevel="0" collapsed="false">
      <c r="B112" s="325"/>
      <c r="C112" s="326"/>
      <c r="D112" s="326" t="s">
        <v>76</v>
      </c>
      <c r="E112" s="330"/>
      <c r="F112" s="331"/>
      <c r="G112" s="332" t="n">
        <f aca="false">SUM(G100:G111)</f>
        <v>2211</v>
      </c>
      <c r="H112" s="333" t="n">
        <f aca="false">SUM(H100:H111)</f>
        <v>2211</v>
      </c>
      <c r="I112" s="218" t="n">
        <f aca="false">J112/G112</f>
        <v>0.120759837177748</v>
      </c>
      <c r="J112" s="334" t="n">
        <f aca="false">SUM(J100:J111)</f>
        <v>267</v>
      </c>
      <c r="K112" s="220" t="n">
        <f aca="false">L112/G112</f>
        <v>0.399819086386251</v>
      </c>
      <c r="L112" s="334" t="n">
        <f aca="false">SUM(L100:L111)</f>
        <v>884</v>
      </c>
      <c r="M112" s="220" t="n">
        <f aca="false">N112/L112</f>
        <v>0</v>
      </c>
      <c r="N112" s="335" t="n">
        <f aca="false">SUM(N100:N111)</f>
        <v>0</v>
      </c>
      <c r="O112" s="336"/>
      <c r="P112" s="333"/>
      <c r="Q112" s="336"/>
      <c r="R112" s="333"/>
      <c r="S112" s="336"/>
      <c r="T112" s="333"/>
      <c r="U112" s="336"/>
      <c r="V112" s="337"/>
      <c r="W112" s="338"/>
      <c r="X112" s="339"/>
      <c r="Y112" s="194"/>
    </row>
    <row r="113" s="171" customFormat="true" ht="21" hidden="false" customHeight="true" outlineLevel="0" collapsed="false">
      <c r="A113" s="22"/>
      <c r="B113" s="340" t="s">
        <v>148</v>
      </c>
      <c r="C113" s="341"/>
      <c r="D113" s="341" t="n">
        <f aca="false">SUM(D45:D111)</f>
        <v>95</v>
      </c>
      <c r="E113" s="342"/>
      <c r="F113" s="343" t="n">
        <f aca="false">COUNT(J45:J111)</f>
        <v>42</v>
      </c>
      <c r="G113" s="344" t="n">
        <f aca="false">G53+G69+G80+G93+G94+G112</f>
        <v>4797</v>
      </c>
      <c r="H113" s="345" t="n">
        <f aca="false">H53+H69+H80+H93+H94+H112</f>
        <v>3358</v>
      </c>
      <c r="I113" s="346" t="n">
        <f aca="false">J113/G113</f>
        <v>0.27893475088597</v>
      </c>
      <c r="J113" s="347" t="n">
        <f aca="false">J53+J69+J80+J93+J94+J112</f>
        <v>1338.05</v>
      </c>
      <c r="K113" s="348" t="n">
        <f aca="false">L113/G113</f>
        <v>0.399689389201584</v>
      </c>
      <c r="L113" s="347" t="n">
        <f aca="false">L53+L69+L80+L93+L94+L112</f>
        <v>1917.31</v>
      </c>
      <c r="M113" s="349" t="n">
        <f aca="false">N113/(SUM(L62:L75))</f>
        <v>0.441696222776236</v>
      </c>
      <c r="N113" s="350" t="n">
        <f aca="false">N53+N69+N80+N93+N94+N112</f>
        <v>93.9002</v>
      </c>
      <c r="O113" s="351"/>
      <c r="P113" s="345"/>
      <c r="Q113" s="351"/>
      <c r="R113" s="345"/>
      <c r="S113" s="351"/>
      <c r="T113" s="345"/>
      <c r="U113" s="351"/>
      <c r="V113" s="352"/>
      <c r="W113" s="170"/>
      <c r="X113" s="353"/>
      <c r="Y113" s="353"/>
    </row>
    <row r="114" s="171" customFormat="true" ht="21" hidden="false" customHeight="true" outlineLevel="0" collapsed="false">
      <c r="A114" s="22"/>
      <c r="B114" s="340" t="s">
        <v>149</v>
      </c>
      <c r="C114" s="341"/>
      <c r="D114" s="341" t="n">
        <f aca="false">D113+D44</f>
        <v>124</v>
      </c>
      <c r="E114" s="342"/>
      <c r="F114" s="343" t="n">
        <f aca="false">F113+F44</f>
        <v>61</v>
      </c>
      <c r="G114" s="344" t="n">
        <f aca="false">G44+G113</f>
        <v>5191</v>
      </c>
      <c r="H114" s="345" t="n">
        <f aca="false">H44+H113</f>
        <v>3593</v>
      </c>
      <c r="I114" s="346" t="n">
        <f aca="false">J114/G114</f>
        <v>0.274902716239645</v>
      </c>
      <c r="J114" s="347" t="n">
        <f aca="false">J44+J113</f>
        <v>1427.02</v>
      </c>
      <c r="K114" s="348" t="n">
        <f aca="false">L114/G114</f>
        <v>0.386501637449432</v>
      </c>
      <c r="L114" s="347" t="n">
        <f aca="false">L44+L113</f>
        <v>2006.33</v>
      </c>
      <c r="M114" s="349" t="n">
        <f aca="false">N114/(L5+L33+L34+L36+L38+L42+SUM(L62:L75))</f>
        <v>0.678058652447892</v>
      </c>
      <c r="N114" s="350" t="n">
        <f aca="false">N5+N33+N34+N36+N38+N42+SUM(N62:N75)</f>
        <v>167.8602</v>
      </c>
      <c r="O114" s="351"/>
      <c r="P114" s="345"/>
      <c r="Q114" s="351"/>
      <c r="R114" s="345"/>
      <c r="S114" s="351"/>
      <c r="T114" s="345"/>
      <c r="U114" s="351"/>
      <c r="V114" s="352"/>
      <c r="W114" s="170"/>
      <c r="X114" s="353"/>
      <c r="Y114" s="353"/>
    </row>
    <row r="115" customFormat="false" ht="15" hidden="false" customHeight="false" outlineLevel="0" collapsed="false">
      <c r="B115" s="354"/>
      <c r="C115" s="355"/>
      <c r="D115" s="355"/>
      <c r="E115" s="354"/>
      <c r="F115" s="355"/>
      <c r="G115" s="355"/>
      <c r="H115" s="355"/>
      <c r="I115" s="356"/>
      <c r="J115" s="357"/>
      <c r="K115" s="356"/>
      <c r="L115" s="357"/>
      <c r="M115" s="358" t="s">
        <v>150</v>
      </c>
      <c r="N115" s="358"/>
      <c r="O115" s="355"/>
      <c r="P115" s="355"/>
      <c r="Q115" s="355"/>
      <c r="R115" s="355"/>
      <c r="S115" s="355"/>
      <c r="T115" s="355"/>
      <c r="U115" s="355"/>
      <c r="V115" s="355"/>
    </row>
    <row r="116" customFormat="false" ht="15" hidden="false" customHeight="false" outlineLevel="0" collapsed="false">
      <c r="E116" s="359" t="s">
        <v>151</v>
      </c>
      <c r="F116" s="360"/>
    </row>
    <row r="117" customFormat="false" ht="15" hidden="false" customHeight="false" outlineLevel="0" collapsed="false">
      <c r="E117" s="1" t="s">
        <v>70</v>
      </c>
      <c r="F117" s="2" t="n">
        <f aca="false">COUNTIF(F$5:F$111,E117)</f>
        <v>31</v>
      </c>
    </row>
    <row r="118" customFormat="false" ht="15" hidden="false" customHeight="false" outlineLevel="0" collapsed="false">
      <c r="E118" s="1" t="s">
        <v>138</v>
      </c>
      <c r="F118" s="2" t="n">
        <f aca="false">COUNTIF(F$5:F$111,E118)</f>
        <v>8</v>
      </c>
    </row>
    <row r="119" customFormat="false" ht="15" hidden="false" customHeight="false" outlineLevel="0" collapsed="false">
      <c r="E119" s="1" t="s">
        <v>102</v>
      </c>
      <c r="F119" s="2" t="n">
        <f aca="false">COUNTIF(F$5:F$111,E119)</f>
        <v>21</v>
      </c>
    </row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</sheetData>
  <mergeCells count="47">
    <mergeCell ref="B2:B4"/>
    <mergeCell ref="C2:C4"/>
    <mergeCell ref="D2:D4"/>
    <mergeCell ref="E2:E4"/>
    <mergeCell ref="F2:F4"/>
    <mergeCell ref="G2:H2"/>
    <mergeCell ref="I2:I4"/>
    <mergeCell ref="J2:J4"/>
    <mergeCell ref="K2:K4"/>
    <mergeCell ref="L2:L4"/>
    <mergeCell ref="M2:M4"/>
    <mergeCell ref="N2:N4"/>
    <mergeCell ref="O2:P2"/>
    <mergeCell ref="Q2:R2"/>
    <mergeCell ref="S2:T2"/>
    <mergeCell ref="U2:V2"/>
    <mergeCell ref="B7:B20"/>
    <mergeCell ref="C7:C20"/>
    <mergeCell ref="D7:D19"/>
    <mergeCell ref="B21:B32"/>
    <mergeCell ref="C21:C32"/>
    <mergeCell ref="D21:D31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B62:B69"/>
    <mergeCell ref="C62:C69"/>
    <mergeCell ref="D62:D68"/>
    <mergeCell ref="B70:B80"/>
    <mergeCell ref="C70:C80"/>
    <mergeCell ref="D70:D79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M115:N115"/>
  </mergeCells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true"/>
  </sheetPr>
  <dimension ref="A1:Y1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C2" activeCellId="0" sqref="C2"/>
    </sheetView>
  </sheetViews>
  <sheetFormatPr defaultColWidth="11.43359375" defaultRowHeight="15" zeroHeight="false" outlineLevelRow="0" outlineLevelCol="0"/>
  <cols>
    <col collapsed="false" customWidth="true" hidden="false" outlineLevel="0" max="1" min="1" style="24" width="0.42"/>
    <col collapsed="false" customWidth="true" hidden="false" outlineLevel="0" max="2" min="2" style="1" width="38.86"/>
    <col collapsed="false" customWidth="true" hidden="false" outlineLevel="0" max="3" min="3" style="2" width="11.57"/>
    <col collapsed="false" customWidth="true" hidden="false" outlineLevel="0" max="4" min="4" style="2" width="15.29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false" hidden="false" outlineLevel="0" max="8" min="7" style="2" width="11.42"/>
    <col collapsed="false" customWidth="false" hidden="false" outlineLevel="0" max="9" min="9" style="46" width="11.42"/>
    <col collapsed="false" customWidth="false" hidden="false" outlineLevel="0" max="10" min="10" style="47" width="11.42"/>
    <col collapsed="false" customWidth="false" hidden="false" outlineLevel="0" max="11" min="11" style="46" width="11.42"/>
    <col collapsed="false" customWidth="false" hidden="false" outlineLevel="0" max="12" min="12" style="47" width="11.42"/>
    <col collapsed="false" customWidth="false" hidden="false" outlineLevel="0" max="13" min="13" style="46" width="11.42"/>
    <col collapsed="false" customWidth="false" hidden="false" outlineLevel="0" max="14" min="14" style="47" width="11.42"/>
    <col collapsed="false" customWidth="true" hidden="false" outlineLevel="0" max="22" min="15" style="2" width="7.57"/>
    <col collapsed="false" customWidth="true" hidden="false" outlineLevel="0" max="23" min="23" style="2" width="5.28"/>
    <col collapsed="false" customWidth="false" hidden="false" outlineLevel="0" max="1024" min="24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48"/>
      <c r="J1" s="49"/>
      <c r="K1" s="48"/>
      <c r="L1" s="49"/>
      <c r="M1" s="48"/>
      <c r="N1" s="49"/>
      <c r="O1" s="23"/>
      <c r="P1" s="23"/>
      <c r="Q1" s="23"/>
      <c r="R1" s="23"/>
      <c r="S1" s="23"/>
      <c r="T1" s="23"/>
      <c r="U1" s="23"/>
      <c r="V1" s="23"/>
      <c r="W1" s="23"/>
    </row>
    <row r="2" s="63" customFormat="true" ht="30" hidden="false" customHeight="true" outlineLevel="0" collapsed="false">
      <c r="A2" s="50"/>
      <c r="B2" s="51" t="s">
        <v>49</v>
      </c>
      <c r="C2" s="52" t="s">
        <v>50</v>
      </c>
      <c r="D2" s="52" t="s">
        <v>51</v>
      </c>
      <c r="E2" s="53" t="s">
        <v>52</v>
      </c>
      <c r="F2" s="54" t="s">
        <v>53</v>
      </c>
      <c r="G2" s="55" t="s">
        <v>54</v>
      </c>
      <c r="H2" s="55"/>
      <c r="I2" s="56" t="s">
        <v>55</v>
      </c>
      <c r="J2" s="361" t="s">
        <v>56</v>
      </c>
      <c r="K2" s="56" t="s">
        <v>57</v>
      </c>
      <c r="L2" s="361" t="s">
        <v>58</v>
      </c>
      <c r="M2" s="56" t="s">
        <v>59</v>
      </c>
      <c r="N2" s="361" t="s">
        <v>60</v>
      </c>
      <c r="O2" s="60" t="s">
        <v>61</v>
      </c>
      <c r="P2" s="60"/>
      <c r="Q2" s="60" t="s">
        <v>62</v>
      </c>
      <c r="R2" s="60"/>
      <c r="S2" s="60" t="s">
        <v>63</v>
      </c>
      <c r="T2" s="60"/>
      <c r="U2" s="61" t="s">
        <v>64</v>
      </c>
      <c r="V2" s="61"/>
      <c r="W2" s="362"/>
    </row>
    <row r="3" s="63" customFormat="true" ht="30" hidden="false" customHeight="true" outlineLevel="0" collapsed="false">
      <c r="A3" s="50"/>
      <c r="B3" s="51"/>
      <c r="C3" s="52"/>
      <c r="D3" s="52"/>
      <c r="E3" s="53"/>
      <c r="F3" s="54"/>
      <c r="G3" s="64"/>
      <c r="H3" s="65"/>
      <c r="I3" s="56"/>
      <c r="J3" s="361"/>
      <c r="K3" s="56"/>
      <c r="L3" s="361"/>
      <c r="M3" s="56"/>
      <c r="N3" s="361"/>
      <c r="O3" s="66"/>
      <c r="P3" s="65"/>
      <c r="Q3" s="66"/>
      <c r="R3" s="65"/>
      <c r="S3" s="66"/>
      <c r="T3" s="65"/>
      <c r="U3" s="67"/>
      <c r="V3" s="68"/>
      <c r="W3" s="362"/>
    </row>
    <row r="4" s="63" customFormat="true" ht="30" hidden="false" customHeight="true" outlineLevel="0" collapsed="false">
      <c r="A4" s="50"/>
      <c r="B4" s="51"/>
      <c r="C4" s="52"/>
      <c r="D4" s="52"/>
      <c r="E4" s="53"/>
      <c r="F4" s="54"/>
      <c r="G4" s="69" t="s">
        <v>65</v>
      </c>
      <c r="H4" s="70" t="s">
        <v>66</v>
      </c>
      <c r="I4" s="56"/>
      <c r="J4" s="361"/>
      <c r="K4" s="56"/>
      <c r="L4" s="361"/>
      <c r="M4" s="56"/>
      <c r="N4" s="361"/>
      <c r="O4" s="71" t="s">
        <v>65</v>
      </c>
      <c r="P4" s="70" t="s">
        <v>66</v>
      </c>
      <c r="Q4" s="71" t="s">
        <v>65</v>
      </c>
      <c r="R4" s="70" t="s">
        <v>66</v>
      </c>
      <c r="S4" s="71" t="s">
        <v>65</v>
      </c>
      <c r="T4" s="70" t="s">
        <v>66</v>
      </c>
      <c r="U4" s="71" t="s">
        <v>65</v>
      </c>
      <c r="V4" s="72" t="s">
        <v>66</v>
      </c>
      <c r="W4" s="362"/>
    </row>
    <row r="5" customFormat="false" ht="15.75" hidden="false" customHeight="false" outlineLevel="0" collapsed="false">
      <c r="B5" s="172" t="s">
        <v>152</v>
      </c>
      <c r="C5" s="173" t="s">
        <v>68</v>
      </c>
      <c r="D5" s="363" t="n">
        <v>2</v>
      </c>
      <c r="E5" s="364" t="s">
        <v>69</v>
      </c>
      <c r="F5" s="365" t="s">
        <v>70</v>
      </c>
      <c r="G5" s="366" t="n">
        <v>102</v>
      </c>
      <c r="H5" s="367" t="n">
        <v>94</v>
      </c>
      <c r="I5" s="368" t="n">
        <f aca="false">J5/G5</f>
        <v>0.0196078431372549</v>
      </c>
      <c r="J5" s="369" t="n">
        <v>2</v>
      </c>
      <c r="K5" s="370" t="n">
        <f aca="false">L5/G5</f>
        <v>0.176470588235294</v>
      </c>
      <c r="L5" s="369" t="n">
        <v>18</v>
      </c>
      <c r="M5" s="370" t="n">
        <f aca="false">IF(N5="-","-",N5/L5)</f>
        <v>0.111111111111111</v>
      </c>
      <c r="N5" s="371" t="n">
        <v>2</v>
      </c>
      <c r="O5" s="372" t="s">
        <v>75</v>
      </c>
      <c r="P5" s="373" t="s">
        <v>75</v>
      </c>
      <c r="Q5" s="372" t="s">
        <v>75</v>
      </c>
      <c r="R5" s="373" t="s">
        <v>75</v>
      </c>
      <c r="S5" s="374" t="s">
        <v>75</v>
      </c>
      <c r="T5" s="375" t="s">
        <v>75</v>
      </c>
      <c r="U5" s="374" t="s">
        <v>75</v>
      </c>
      <c r="V5" s="376" t="s">
        <v>75</v>
      </c>
      <c r="W5" s="377" t="s">
        <v>153</v>
      </c>
      <c r="Y5" s="1" t="n">
        <f aca="false">IF(G5="","",1)</f>
        <v>1</v>
      </c>
    </row>
    <row r="6" customFormat="false" ht="15.75" hidden="false" customHeight="false" outlineLevel="0" collapsed="false">
      <c r="B6" s="266" t="s">
        <v>71</v>
      </c>
      <c r="C6" s="213" t="s">
        <v>68</v>
      </c>
      <c r="D6" s="378" t="n">
        <v>2</v>
      </c>
      <c r="E6" s="379" t="s">
        <v>72</v>
      </c>
      <c r="F6" s="380" t="s">
        <v>70</v>
      </c>
      <c r="G6" s="381"/>
      <c r="H6" s="382"/>
      <c r="I6" s="319" t="e">
        <f aca="false">J6/G6</f>
        <v>#DIV/0!</v>
      </c>
      <c r="J6" s="383"/>
      <c r="K6" s="317" t="e">
        <f aca="false">L6/G6</f>
        <v>#DIV/0!</v>
      </c>
      <c r="L6" s="383"/>
      <c r="M6" s="317" t="e">
        <f aca="false">IF(N6="-","-",N6/L6)</f>
        <v>#DIV/0!</v>
      </c>
      <c r="N6" s="384"/>
      <c r="O6" s="385" t="s">
        <v>75</v>
      </c>
      <c r="P6" s="386" t="s">
        <v>75</v>
      </c>
      <c r="Q6" s="385" t="s">
        <v>75</v>
      </c>
      <c r="R6" s="386" t="s">
        <v>75</v>
      </c>
      <c r="S6" s="321" t="s">
        <v>75</v>
      </c>
      <c r="T6" s="316" t="s">
        <v>75</v>
      </c>
      <c r="U6" s="321" t="s">
        <v>75</v>
      </c>
      <c r="V6" s="322" t="s">
        <v>75</v>
      </c>
      <c r="W6" s="377" t="s">
        <v>153</v>
      </c>
      <c r="Y6" s="1" t="str">
        <f aca="false">IF(G6="","",1)</f>
        <v/>
      </c>
    </row>
    <row r="7" customFormat="false" ht="15" hidden="false" customHeight="true" outlineLevel="0" collapsed="false">
      <c r="B7" s="283" t="s">
        <v>73</v>
      </c>
      <c r="C7" s="267" t="s">
        <v>68</v>
      </c>
      <c r="D7" s="387" t="n">
        <v>9</v>
      </c>
      <c r="E7" s="388" t="s">
        <v>74</v>
      </c>
      <c r="F7" s="389" t="s">
        <v>70</v>
      </c>
      <c r="G7" s="390"/>
      <c r="H7" s="391"/>
      <c r="I7" s="392" t="e">
        <f aca="false">J7/G7</f>
        <v>#DIV/0!</v>
      </c>
      <c r="J7" s="393"/>
      <c r="K7" s="394" t="e">
        <f aca="false">L7/G7</f>
        <v>#DIV/0!</v>
      </c>
      <c r="L7" s="393"/>
      <c r="M7" s="394" t="str">
        <f aca="false">IF(N7="-","-",N7/L7)</f>
        <v>-</v>
      </c>
      <c r="N7" s="395" t="s">
        <v>75</v>
      </c>
      <c r="O7" s="396" t="s">
        <v>75</v>
      </c>
      <c r="P7" s="397" t="s">
        <v>75</v>
      </c>
      <c r="Q7" s="396" t="s">
        <v>75</v>
      </c>
      <c r="R7" s="397" t="s">
        <v>75</v>
      </c>
      <c r="S7" s="398" t="s">
        <v>75</v>
      </c>
      <c r="T7" s="399" t="s">
        <v>75</v>
      </c>
      <c r="U7" s="398" t="s">
        <v>75</v>
      </c>
      <c r="V7" s="400" t="s">
        <v>75</v>
      </c>
      <c r="W7" s="377" t="s">
        <v>153</v>
      </c>
      <c r="Y7" s="1" t="str">
        <f aca="false">IF(G7="","",1)</f>
        <v/>
      </c>
    </row>
    <row r="8" customFormat="false" ht="15" hidden="false" customHeight="true" outlineLevel="0" collapsed="false">
      <c r="B8" s="283"/>
      <c r="C8" s="267"/>
      <c r="D8" s="387"/>
      <c r="E8" s="401" t="s">
        <v>74</v>
      </c>
      <c r="F8" s="402" t="s">
        <v>70</v>
      </c>
      <c r="G8" s="403"/>
      <c r="H8" s="404"/>
      <c r="I8" s="294" t="e">
        <f aca="false">J8/G8</f>
        <v>#DIV/0!</v>
      </c>
      <c r="J8" s="405"/>
      <c r="K8" s="292" t="e">
        <f aca="false">L8/G8</f>
        <v>#DIV/0!</v>
      </c>
      <c r="L8" s="405"/>
      <c r="M8" s="292" t="str">
        <f aca="false">IF(N8="-","-",N8/L8)</f>
        <v>-</v>
      </c>
      <c r="N8" s="406" t="s">
        <v>75</v>
      </c>
      <c r="O8" s="407" t="s">
        <v>75</v>
      </c>
      <c r="P8" s="408" t="s">
        <v>75</v>
      </c>
      <c r="Q8" s="407" t="s">
        <v>75</v>
      </c>
      <c r="R8" s="408" t="s">
        <v>75</v>
      </c>
      <c r="S8" s="296" t="s">
        <v>75</v>
      </c>
      <c r="T8" s="291" t="s">
        <v>75</v>
      </c>
      <c r="U8" s="296" t="s">
        <v>75</v>
      </c>
      <c r="V8" s="297" t="s">
        <v>75</v>
      </c>
      <c r="W8" s="377" t="s">
        <v>153</v>
      </c>
      <c r="Y8" s="1" t="str">
        <f aca="false">IF(G8="","",1)</f>
        <v/>
      </c>
    </row>
    <row r="9" customFormat="false" ht="15" hidden="false" customHeight="true" outlineLevel="0" collapsed="false">
      <c r="B9" s="283"/>
      <c r="C9" s="267"/>
      <c r="D9" s="387"/>
      <c r="E9" s="401" t="s">
        <v>74</v>
      </c>
      <c r="F9" s="402" t="s">
        <v>70</v>
      </c>
      <c r="G9" s="403"/>
      <c r="H9" s="404"/>
      <c r="I9" s="294" t="e">
        <f aca="false">J9/G9</f>
        <v>#DIV/0!</v>
      </c>
      <c r="J9" s="405"/>
      <c r="K9" s="292" t="e">
        <f aca="false">L9/G9</f>
        <v>#DIV/0!</v>
      </c>
      <c r="L9" s="405"/>
      <c r="M9" s="292" t="str">
        <f aca="false">IF(N9="-","-",N9/L9)</f>
        <v>-</v>
      </c>
      <c r="N9" s="406" t="s">
        <v>75</v>
      </c>
      <c r="O9" s="407" t="s">
        <v>75</v>
      </c>
      <c r="P9" s="408" t="s">
        <v>75</v>
      </c>
      <c r="Q9" s="407" t="s">
        <v>75</v>
      </c>
      <c r="R9" s="408" t="s">
        <v>75</v>
      </c>
      <c r="S9" s="296" t="s">
        <v>75</v>
      </c>
      <c r="T9" s="291" t="s">
        <v>75</v>
      </c>
      <c r="U9" s="296" t="s">
        <v>75</v>
      </c>
      <c r="V9" s="297" t="s">
        <v>75</v>
      </c>
      <c r="W9" s="377" t="s">
        <v>153</v>
      </c>
      <c r="Y9" s="1" t="str">
        <f aca="false">IF(G9="","",1)</f>
        <v/>
      </c>
    </row>
    <row r="10" customFormat="false" ht="15" hidden="false" customHeight="true" outlineLevel="0" collapsed="false">
      <c r="B10" s="283"/>
      <c r="C10" s="267"/>
      <c r="D10" s="387"/>
      <c r="E10" s="401" t="s">
        <v>74</v>
      </c>
      <c r="F10" s="402" t="s">
        <v>70</v>
      </c>
      <c r="G10" s="403"/>
      <c r="H10" s="404"/>
      <c r="I10" s="294" t="e">
        <f aca="false">J10/G10</f>
        <v>#DIV/0!</v>
      </c>
      <c r="J10" s="405"/>
      <c r="K10" s="292" t="e">
        <f aca="false">L10/G10</f>
        <v>#DIV/0!</v>
      </c>
      <c r="L10" s="405"/>
      <c r="M10" s="292" t="str">
        <f aca="false">IF(N10="-","-",N10/L10)</f>
        <v>-</v>
      </c>
      <c r="N10" s="406" t="s">
        <v>75</v>
      </c>
      <c r="O10" s="407" t="s">
        <v>75</v>
      </c>
      <c r="P10" s="408" t="s">
        <v>75</v>
      </c>
      <c r="Q10" s="407" t="s">
        <v>75</v>
      </c>
      <c r="R10" s="408" t="s">
        <v>75</v>
      </c>
      <c r="S10" s="296"/>
      <c r="T10" s="291"/>
      <c r="U10" s="296"/>
      <c r="V10" s="297"/>
      <c r="W10" s="377" t="s">
        <v>153</v>
      </c>
      <c r="Y10" s="1" t="str">
        <f aca="false">IF(G10="","",1)</f>
        <v/>
      </c>
    </row>
    <row r="11" customFormat="false" ht="15" hidden="false" customHeight="true" outlineLevel="0" collapsed="false">
      <c r="B11" s="283"/>
      <c r="C11" s="267"/>
      <c r="D11" s="387"/>
      <c r="E11" s="401" t="s">
        <v>74</v>
      </c>
      <c r="F11" s="402" t="s">
        <v>70</v>
      </c>
      <c r="G11" s="403"/>
      <c r="H11" s="404"/>
      <c r="I11" s="294" t="e">
        <f aca="false">J11/G11</f>
        <v>#DIV/0!</v>
      </c>
      <c r="J11" s="405"/>
      <c r="K11" s="292" t="e">
        <f aca="false">L11/G11</f>
        <v>#DIV/0!</v>
      </c>
      <c r="L11" s="405"/>
      <c r="M11" s="292" t="str">
        <f aca="false">IF(N11="-","-",N11/L11)</f>
        <v>-</v>
      </c>
      <c r="N11" s="406" t="s">
        <v>75</v>
      </c>
      <c r="O11" s="407" t="s">
        <v>75</v>
      </c>
      <c r="P11" s="408" t="s">
        <v>75</v>
      </c>
      <c r="Q11" s="407" t="s">
        <v>75</v>
      </c>
      <c r="R11" s="408" t="s">
        <v>75</v>
      </c>
      <c r="S11" s="296" t="s">
        <v>75</v>
      </c>
      <c r="T11" s="291" t="s">
        <v>75</v>
      </c>
      <c r="U11" s="296" t="s">
        <v>75</v>
      </c>
      <c r="V11" s="297" t="s">
        <v>75</v>
      </c>
      <c r="W11" s="377" t="s">
        <v>153</v>
      </c>
      <c r="Y11" s="1" t="str">
        <f aca="false">IF(G11="","",1)</f>
        <v/>
      </c>
    </row>
    <row r="12" customFormat="false" ht="15" hidden="false" customHeight="true" outlineLevel="0" collapsed="false">
      <c r="B12" s="283"/>
      <c r="C12" s="267"/>
      <c r="D12" s="387"/>
      <c r="E12" s="401" t="s">
        <v>74</v>
      </c>
      <c r="F12" s="402" t="s">
        <v>70</v>
      </c>
      <c r="G12" s="403"/>
      <c r="H12" s="404"/>
      <c r="I12" s="294" t="e">
        <f aca="false">J12/G12</f>
        <v>#DIV/0!</v>
      </c>
      <c r="J12" s="405"/>
      <c r="K12" s="292" t="e">
        <f aca="false">L12/G12</f>
        <v>#DIV/0!</v>
      </c>
      <c r="L12" s="405"/>
      <c r="M12" s="292" t="str">
        <f aca="false">IF(N12="-","-",N12/L12)</f>
        <v>-</v>
      </c>
      <c r="N12" s="406" t="s">
        <v>75</v>
      </c>
      <c r="O12" s="407" t="s">
        <v>75</v>
      </c>
      <c r="P12" s="408" t="s">
        <v>75</v>
      </c>
      <c r="Q12" s="407" t="s">
        <v>75</v>
      </c>
      <c r="R12" s="408" t="s">
        <v>75</v>
      </c>
      <c r="S12" s="296" t="s">
        <v>75</v>
      </c>
      <c r="T12" s="291" t="s">
        <v>75</v>
      </c>
      <c r="U12" s="296" t="s">
        <v>75</v>
      </c>
      <c r="V12" s="297" t="s">
        <v>75</v>
      </c>
      <c r="W12" s="377" t="s">
        <v>153</v>
      </c>
      <c r="Y12" s="1" t="str">
        <f aca="false">IF(G12="","",1)</f>
        <v/>
      </c>
    </row>
    <row r="13" customFormat="false" ht="15" hidden="false" customHeight="true" outlineLevel="0" collapsed="false">
      <c r="B13" s="283"/>
      <c r="C13" s="267"/>
      <c r="D13" s="387"/>
      <c r="E13" s="401" t="s">
        <v>74</v>
      </c>
      <c r="F13" s="402" t="s">
        <v>70</v>
      </c>
      <c r="G13" s="403"/>
      <c r="H13" s="404"/>
      <c r="I13" s="294" t="e">
        <f aca="false">J13/G13</f>
        <v>#DIV/0!</v>
      </c>
      <c r="J13" s="405"/>
      <c r="K13" s="292" t="e">
        <f aca="false">L13/G13</f>
        <v>#DIV/0!</v>
      </c>
      <c r="L13" s="405"/>
      <c r="M13" s="292" t="str">
        <f aca="false">IF(N13="-","-",N13/L13)</f>
        <v>-</v>
      </c>
      <c r="N13" s="406" t="s">
        <v>75</v>
      </c>
      <c r="O13" s="407" t="s">
        <v>75</v>
      </c>
      <c r="P13" s="408" t="s">
        <v>75</v>
      </c>
      <c r="Q13" s="407" t="s">
        <v>75</v>
      </c>
      <c r="R13" s="408" t="s">
        <v>75</v>
      </c>
      <c r="S13" s="296" t="s">
        <v>75</v>
      </c>
      <c r="T13" s="291" t="s">
        <v>75</v>
      </c>
      <c r="U13" s="296" t="s">
        <v>75</v>
      </c>
      <c r="V13" s="297" t="s">
        <v>75</v>
      </c>
      <c r="W13" s="377" t="s">
        <v>153</v>
      </c>
      <c r="Y13" s="1" t="str">
        <f aca="false">IF(G13="","",1)</f>
        <v/>
      </c>
    </row>
    <row r="14" customFormat="false" ht="15" hidden="false" customHeight="true" outlineLevel="0" collapsed="false">
      <c r="B14" s="283"/>
      <c r="C14" s="267"/>
      <c r="D14" s="387"/>
      <c r="E14" s="401" t="s">
        <v>74</v>
      </c>
      <c r="F14" s="402" t="s">
        <v>70</v>
      </c>
      <c r="G14" s="403"/>
      <c r="H14" s="404"/>
      <c r="I14" s="294" t="e">
        <f aca="false">J14/G14</f>
        <v>#DIV/0!</v>
      </c>
      <c r="J14" s="405"/>
      <c r="K14" s="292" t="e">
        <f aca="false">L14/G14</f>
        <v>#DIV/0!</v>
      </c>
      <c r="L14" s="405"/>
      <c r="M14" s="292" t="str">
        <f aca="false">IF(N14="-","-",N14/L14)</f>
        <v>-</v>
      </c>
      <c r="N14" s="406" t="s">
        <v>75</v>
      </c>
      <c r="O14" s="407" t="s">
        <v>75</v>
      </c>
      <c r="P14" s="408" t="s">
        <v>75</v>
      </c>
      <c r="Q14" s="407" t="s">
        <v>75</v>
      </c>
      <c r="R14" s="408" t="s">
        <v>75</v>
      </c>
      <c r="S14" s="296" t="s">
        <v>75</v>
      </c>
      <c r="T14" s="291" t="s">
        <v>75</v>
      </c>
      <c r="U14" s="296" t="s">
        <v>75</v>
      </c>
      <c r="V14" s="297" t="s">
        <v>75</v>
      </c>
      <c r="W14" s="377" t="s">
        <v>153</v>
      </c>
      <c r="Y14" s="1" t="str">
        <f aca="false">IF(G14="","",1)</f>
        <v/>
      </c>
    </row>
    <row r="15" customFormat="false" ht="15" hidden="false" customHeight="true" outlineLevel="0" collapsed="false">
      <c r="B15" s="283"/>
      <c r="C15" s="267"/>
      <c r="D15" s="387"/>
      <c r="E15" s="409" t="s">
        <v>74</v>
      </c>
      <c r="F15" s="410"/>
      <c r="G15" s="403"/>
      <c r="H15" s="404"/>
      <c r="I15" s="294" t="e">
        <f aca="false">J15/G15</f>
        <v>#DIV/0!</v>
      </c>
      <c r="J15" s="405"/>
      <c r="K15" s="292" t="e">
        <f aca="false">L15/G15</f>
        <v>#DIV/0!</v>
      </c>
      <c r="L15" s="405"/>
      <c r="M15" s="292" t="str">
        <f aca="false">IF(N15="-","-",N15/L15)</f>
        <v>-</v>
      </c>
      <c r="N15" s="411" t="s">
        <v>75</v>
      </c>
      <c r="O15" s="412" t="s">
        <v>75</v>
      </c>
      <c r="P15" s="413" t="s">
        <v>75</v>
      </c>
      <c r="Q15" s="412" t="s">
        <v>75</v>
      </c>
      <c r="R15" s="413" t="s">
        <v>75</v>
      </c>
      <c r="S15" s="414"/>
      <c r="T15" s="415"/>
      <c r="U15" s="414"/>
      <c r="V15" s="416"/>
      <c r="W15" s="377"/>
    </row>
    <row r="16" customFormat="false" ht="15" hidden="false" customHeight="true" outlineLevel="0" collapsed="false">
      <c r="B16" s="283"/>
      <c r="C16" s="267"/>
      <c r="D16" s="387"/>
      <c r="E16" s="409" t="s">
        <v>74</v>
      </c>
      <c r="F16" s="410"/>
      <c r="G16" s="403"/>
      <c r="H16" s="404"/>
      <c r="I16" s="294" t="e">
        <f aca="false">J16/G16</f>
        <v>#DIV/0!</v>
      </c>
      <c r="J16" s="405"/>
      <c r="K16" s="292" t="e">
        <f aca="false">L16/G16</f>
        <v>#DIV/0!</v>
      </c>
      <c r="L16" s="405"/>
      <c r="M16" s="292" t="str">
        <f aca="false">IF(N16="-","-",N16/L16)</f>
        <v>-</v>
      </c>
      <c r="N16" s="411" t="s">
        <v>75</v>
      </c>
      <c r="O16" s="412" t="s">
        <v>75</v>
      </c>
      <c r="P16" s="413" t="s">
        <v>75</v>
      </c>
      <c r="Q16" s="412" t="s">
        <v>75</v>
      </c>
      <c r="R16" s="413" t="s">
        <v>75</v>
      </c>
      <c r="S16" s="414"/>
      <c r="T16" s="415"/>
      <c r="U16" s="414"/>
      <c r="V16" s="416"/>
      <c r="W16" s="377"/>
    </row>
    <row r="17" customFormat="false" ht="15" hidden="false" customHeight="true" outlineLevel="0" collapsed="false">
      <c r="B17" s="283"/>
      <c r="C17" s="267"/>
      <c r="D17" s="387"/>
      <c r="E17" s="409"/>
      <c r="F17" s="410"/>
      <c r="G17" s="417"/>
      <c r="H17" s="418"/>
      <c r="I17" s="294" t="e">
        <f aca="false">J17/G17</f>
        <v>#DIV/0!</v>
      </c>
      <c r="J17" s="419"/>
      <c r="K17" s="292" t="e">
        <f aca="false">L17/G17</f>
        <v>#DIV/0!</v>
      </c>
      <c r="L17" s="419"/>
      <c r="M17" s="292" t="str">
        <f aca="false">IF(N17="-","-",N17/L17)</f>
        <v>-</v>
      </c>
      <c r="N17" s="411" t="s">
        <v>75</v>
      </c>
      <c r="O17" s="412" t="s">
        <v>75</v>
      </c>
      <c r="P17" s="413" t="s">
        <v>75</v>
      </c>
      <c r="Q17" s="412" t="s">
        <v>75</v>
      </c>
      <c r="R17" s="413" t="s">
        <v>75</v>
      </c>
      <c r="S17" s="414"/>
      <c r="T17" s="415"/>
      <c r="U17" s="414"/>
      <c r="V17" s="416"/>
      <c r="W17" s="377"/>
    </row>
    <row r="18" customFormat="false" ht="15" hidden="false" customHeight="true" outlineLevel="0" collapsed="false">
      <c r="B18" s="283"/>
      <c r="C18" s="267"/>
      <c r="D18" s="387"/>
      <c r="E18" s="409"/>
      <c r="F18" s="410"/>
      <c r="G18" s="417"/>
      <c r="H18" s="418"/>
      <c r="I18" s="294" t="e">
        <f aca="false">J18/G18</f>
        <v>#DIV/0!</v>
      </c>
      <c r="J18" s="419"/>
      <c r="K18" s="292" t="e">
        <f aca="false">L18/G18</f>
        <v>#DIV/0!</v>
      </c>
      <c r="L18" s="419"/>
      <c r="M18" s="292" t="str">
        <f aca="false">IF(N18="-","-",N18/L18)</f>
        <v>-</v>
      </c>
      <c r="N18" s="411" t="s">
        <v>75</v>
      </c>
      <c r="O18" s="412" t="s">
        <v>75</v>
      </c>
      <c r="P18" s="413" t="s">
        <v>75</v>
      </c>
      <c r="Q18" s="412" t="s">
        <v>75</v>
      </c>
      <c r="R18" s="413" t="s">
        <v>75</v>
      </c>
      <c r="S18" s="414"/>
      <c r="T18" s="415"/>
      <c r="U18" s="414"/>
      <c r="V18" s="416"/>
      <c r="W18" s="377"/>
    </row>
    <row r="19" customFormat="false" ht="15" hidden="false" customHeight="true" outlineLevel="0" collapsed="false">
      <c r="B19" s="283"/>
      <c r="C19" s="267"/>
      <c r="D19" s="387"/>
      <c r="E19" s="420" t="s">
        <v>74</v>
      </c>
      <c r="F19" s="421" t="s">
        <v>70</v>
      </c>
      <c r="G19" s="422"/>
      <c r="H19" s="423"/>
      <c r="I19" s="304" t="e">
        <f aca="false">J19/G19</f>
        <v>#DIV/0!</v>
      </c>
      <c r="J19" s="424"/>
      <c r="K19" s="302" t="e">
        <f aca="false">L19/G19</f>
        <v>#DIV/0!</v>
      </c>
      <c r="L19" s="424"/>
      <c r="M19" s="302" t="str">
        <f aca="false">IF(N19="-","-",N19/L19)</f>
        <v>-</v>
      </c>
      <c r="N19" s="425" t="s">
        <v>75</v>
      </c>
      <c r="O19" s="426" t="s">
        <v>75</v>
      </c>
      <c r="P19" s="427" t="s">
        <v>75</v>
      </c>
      <c r="Q19" s="426" t="s">
        <v>75</v>
      </c>
      <c r="R19" s="427" t="s">
        <v>75</v>
      </c>
      <c r="S19" s="306" t="s">
        <v>75</v>
      </c>
      <c r="T19" s="301" t="s">
        <v>75</v>
      </c>
      <c r="U19" s="306" t="s">
        <v>75</v>
      </c>
      <c r="V19" s="307" t="s">
        <v>75</v>
      </c>
      <c r="W19" s="377" t="s">
        <v>153</v>
      </c>
      <c r="Y19" s="1" t="str">
        <f aca="false">IF(G19="","",1)</f>
        <v/>
      </c>
    </row>
    <row r="20" customFormat="false" ht="15.75" hidden="false" customHeight="false" outlineLevel="0" collapsed="false">
      <c r="B20" s="283"/>
      <c r="C20" s="267"/>
      <c r="D20" s="428" t="s">
        <v>76</v>
      </c>
      <c r="E20" s="312"/>
      <c r="F20" s="429"/>
      <c r="G20" s="216" t="n">
        <f aca="false">SUM(G7:G19)</f>
        <v>0</v>
      </c>
      <c r="H20" s="217" t="n">
        <f aca="false">SUM(H7:H19)</f>
        <v>0</v>
      </c>
      <c r="I20" s="218" t="e">
        <f aca="false">J20/G20</f>
        <v>#DIV/0!</v>
      </c>
      <c r="J20" s="320" t="n">
        <f aca="false">SUM(J7:J19)</f>
        <v>0</v>
      </c>
      <c r="K20" s="218" t="e">
        <f aca="false">L20/G20</f>
        <v>#DIV/0!</v>
      </c>
      <c r="L20" s="320" t="n">
        <f aca="false">SUM(L7:L19)</f>
        <v>0</v>
      </c>
      <c r="M20" s="218" t="e">
        <f aca="false">N20/L20</f>
        <v>#DIV/0!</v>
      </c>
      <c r="N20" s="320" t="n">
        <f aca="false">SUM(N7:N19)</f>
        <v>0</v>
      </c>
      <c r="O20" s="430"/>
      <c r="P20" s="431"/>
      <c r="Q20" s="430"/>
      <c r="R20" s="431"/>
      <c r="S20" s="430"/>
      <c r="T20" s="431"/>
      <c r="U20" s="430"/>
      <c r="V20" s="432"/>
      <c r="W20" s="377" t="s">
        <v>153</v>
      </c>
    </row>
    <row r="21" customFormat="false" ht="15" hidden="false" customHeight="true" outlineLevel="0" collapsed="false">
      <c r="B21" s="283" t="s">
        <v>154</v>
      </c>
      <c r="C21" s="267" t="s">
        <v>68</v>
      </c>
      <c r="D21" s="387" t="n">
        <v>9</v>
      </c>
      <c r="E21" s="388" t="s">
        <v>78</v>
      </c>
      <c r="F21" s="389" t="s">
        <v>70</v>
      </c>
      <c r="G21" s="390" t="n">
        <v>76</v>
      </c>
      <c r="H21" s="391" t="n">
        <v>50</v>
      </c>
      <c r="I21" s="392" t="n">
        <f aca="false">J21/G21</f>
        <v>0.223684210526316</v>
      </c>
      <c r="J21" s="393" t="n">
        <v>17</v>
      </c>
      <c r="K21" s="394" t="n">
        <f aca="false">L21/G21</f>
        <v>0.368421052631579</v>
      </c>
      <c r="L21" s="393" t="n">
        <v>28</v>
      </c>
      <c r="M21" s="394" t="str">
        <f aca="false">IF(N21="-","-",N21/L21)</f>
        <v>-</v>
      </c>
      <c r="N21" s="395" t="s">
        <v>75</v>
      </c>
      <c r="O21" s="396" t="s">
        <v>75</v>
      </c>
      <c r="P21" s="397" t="s">
        <v>75</v>
      </c>
      <c r="Q21" s="396" t="s">
        <v>75</v>
      </c>
      <c r="R21" s="397" t="s">
        <v>75</v>
      </c>
      <c r="S21" s="398" t="s">
        <v>75</v>
      </c>
      <c r="T21" s="399" t="s">
        <v>75</v>
      </c>
      <c r="U21" s="398" t="s">
        <v>75</v>
      </c>
      <c r="V21" s="400" t="s">
        <v>75</v>
      </c>
      <c r="W21" s="377" t="s">
        <v>153</v>
      </c>
      <c r="Y21" s="1" t="n">
        <f aca="false">IF(G21="","",1)</f>
        <v>1</v>
      </c>
    </row>
    <row r="22" customFormat="false" ht="15" hidden="false" customHeight="true" outlineLevel="0" collapsed="false">
      <c r="B22" s="283"/>
      <c r="C22" s="267"/>
      <c r="D22" s="387"/>
      <c r="E22" s="401" t="s">
        <v>79</v>
      </c>
      <c r="F22" s="402" t="s">
        <v>70</v>
      </c>
      <c r="G22" s="403" t="n">
        <v>45</v>
      </c>
      <c r="H22" s="404" t="n">
        <v>27</v>
      </c>
      <c r="I22" s="294" t="n">
        <f aca="false">J22/G22</f>
        <v>0.466666666666667</v>
      </c>
      <c r="J22" s="405" t="n">
        <v>21</v>
      </c>
      <c r="K22" s="292" t="n">
        <f aca="false">L22/G22</f>
        <v>0.311111111111111</v>
      </c>
      <c r="L22" s="405" t="n">
        <v>14</v>
      </c>
      <c r="M22" s="292" t="str">
        <f aca="false">IF(N22="-","-",N22/L22)</f>
        <v>-</v>
      </c>
      <c r="N22" s="406" t="s">
        <v>75</v>
      </c>
      <c r="O22" s="407" t="s">
        <v>75</v>
      </c>
      <c r="P22" s="408" t="s">
        <v>75</v>
      </c>
      <c r="Q22" s="407" t="s">
        <v>75</v>
      </c>
      <c r="R22" s="408" t="s">
        <v>75</v>
      </c>
      <c r="S22" s="296" t="s">
        <v>75</v>
      </c>
      <c r="T22" s="291" t="s">
        <v>75</v>
      </c>
      <c r="U22" s="296" t="s">
        <v>75</v>
      </c>
      <c r="V22" s="297" t="s">
        <v>75</v>
      </c>
      <c r="W22" s="377" t="s">
        <v>153</v>
      </c>
      <c r="Y22" s="1" t="n">
        <f aca="false">IF(G22="","",1)</f>
        <v>1</v>
      </c>
    </row>
    <row r="23" customFormat="false" ht="15" hidden="false" customHeight="true" outlineLevel="0" collapsed="false">
      <c r="B23" s="283"/>
      <c r="C23" s="267"/>
      <c r="D23" s="387"/>
      <c r="E23" s="401" t="s">
        <v>80</v>
      </c>
      <c r="F23" s="402" t="s">
        <v>70</v>
      </c>
      <c r="G23" s="403" t="n">
        <v>16</v>
      </c>
      <c r="H23" s="404" t="n">
        <v>10</v>
      </c>
      <c r="I23" s="294" t="n">
        <f aca="false">J23/G23</f>
        <v>0.3125</v>
      </c>
      <c r="J23" s="405" t="n">
        <v>5</v>
      </c>
      <c r="K23" s="292" t="n">
        <f aca="false">L23/G23</f>
        <v>0.1875</v>
      </c>
      <c r="L23" s="405" t="n">
        <v>3</v>
      </c>
      <c r="M23" s="292" t="str">
        <f aca="false">IF(N23="-","-",N23/L23)</f>
        <v>-</v>
      </c>
      <c r="N23" s="406" t="s">
        <v>75</v>
      </c>
      <c r="O23" s="407" t="s">
        <v>75</v>
      </c>
      <c r="P23" s="408" t="s">
        <v>75</v>
      </c>
      <c r="Q23" s="407" t="s">
        <v>75</v>
      </c>
      <c r="R23" s="408" t="s">
        <v>75</v>
      </c>
      <c r="S23" s="296" t="s">
        <v>75</v>
      </c>
      <c r="T23" s="291" t="s">
        <v>75</v>
      </c>
      <c r="U23" s="296" t="s">
        <v>75</v>
      </c>
      <c r="V23" s="297" t="s">
        <v>75</v>
      </c>
      <c r="W23" s="377" t="s">
        <v>153</v>
      </c>
      <c r="Y23" s="1" t="n">
        <f aca="false">IF(G23="","",1)</f>
        <v>1</v>
      </c>
    </row>
    <row r="24" customFormat="false" ht="15" hidden="false" customHeight="true" outlineLevel="0" collapsed="false">
      <c r="B24" s="283"/>
      <c r="C24" s="267"/>
      <c r="D24" s="387"/>
      <c r="E24" s="401" t="s">
        <v>155</v>
      </c>
      <c r="F24" s="402" t="s">
        <v>70</v>
      </c>
      <c r="G24" s="403" t="n">
        <v>56</v>
      </c>
      <c r="H24" s="404" t="n">
        <v>36</v>
      </c>
      <c r="I24" s="294" t="n">
        <f aca="false">J24/G24</f>
        <v>0.214285714285714</v>
      </c>
      <c r="J24" s="405" t="n">
        <v>12</v>
      </c>
      <c r="K24" s="292" t="n">
        <f aca="false">L24/G24</f>
        <v>0.178571428571429</v>
      </c>
      <c r="L24" s="405" t="n">
        <v>10</v>
      </c>
      <c r="M24" s="292" t="str">
        <f aca="false">IF(N24="-","-",N24/L24)</f>
        <v>-</v>
      </c>
      <c r="N24" s="406" t="s">
        <v>75</v>
      </c>
      <c r="O24" s="407" t="s">
        <v>75</v>
      </c>
      <c r="P24" s="408" t="s">
        <v>75</v>
      </c>
      <c r="Q24" s="407" t="s">
        <v>75</v>
      </c>
      <c r="R24" s="408" t="s">
        <v>75</v>
      </c>
      <c r="S24" s="296"/>
      <c r="T24" s="291"/>
      <c r="U24" s="296"/>
      <c r="V24" s="297"/>
      <c r="W24" s="377" t="s">
        <v>153</v>
      </c>
      <c r="Y24" s="1" t="n">
        <f aca="false">IF(G24="","",1)</f>
        <v>1</v>
      </c>
    </row>
    <row r="25" customFormat="false" ht="15" hidden="false" customHeight="true" outlineLevel="0" collapsed="false">
      <c r="B25" s="283"/>
      <c r="C25" s="267"/>
      <c r="D25" s="387"/>
      <c r="E25" s="401" t="s">
        <v>81</v>
      </c>
      <c r="F25" s="402" t="s">
        <v>70</v>
      </c>
      <c r="G25" s="403" t="n">
        <v>13</v>
      </c>
      <c r="H25" s="404" t="n">
        <v>8</v>
      </c>
      <c r="I25" s="294" t="n">
        <f aca="false">J25/G25</f>
        <v>0.538461538461538</v>
      </c>
      <c r="J25" s="405" t="n">
        <v>7</v>
      </c>
      <c r="K25" s="292" t="n">
        <f aca="false">L25/G25</f>
        <v>0.461538461538462</v>
      </c>
      <c r="L25" s="405" t="n">
        <v>6</v>
      </c>
      <c r="M25" s="292" t="str">
        <f aca="false">IF(N25="-","-",N25/L25)</f>
        <v>-</v>
      </c>
      <c r="N25" s="406" t="s">
        <v>75</v>
      </c>
      <c r="O25" s="407" t="s">
        <v>75</v>
      </c>
      <c r="P25" s="408" t="s">
        <v>75</v>
      </c>
      <c r="Q25" s="407" t="s">
        <v>75</v>
      </c>
      <c r="R25" s="408" t="s">
        <v>75</v>
      </c>
      <c r="S25" s="296" t="s">
        <v>75</v>
      </c>
      <c r="T25" s="291" t="s">
        <v>75</v>
      </c>
      <c r="U25" s="296" t="s">
        <v>75</v>
      </c>
      <c r="V25" s="297" t="s">
        <v>75</v>
      </c>
      <c r="W25" s="377" t="s">
        <v>153</v>
      </c>
      <c r="Y25" s="1" t="n">
        <f aca="false">IF(G25="","",1)</f>
        <v>1</v>
      </c>
    </row>
    <row r="26" customFormat="false" ht="15" hidden="false" customHeight="true" outlineLevel="0" collapsed="false">
      <c r="B26" s="283"/>
      <c r="C26" s="267"/>
      <c r="D26" s="387"/>
      <c r="E26" s="401" t="s">
        <v>82</v>
      </c>
      <c r="F26" s="402" t="s">
        <v>70</v>
      </c>
      <c r="G26" s="403" t="n">
        <v>24</v>
      </c>
      <c r="H26" s="404" t="n">
        <v>20</v>
      </c>
      <c r="I26" s="294" t="n">
        <f aca="false">J26/G26</f>
        <v>0.291666666666667</v>
      </c>
      <c r="J26" s="405" t="n">
        <v>7</v>
      </c>
      <c r="K26" s="292" t="n">
        <f aca="false">L26/G26</f>
        <v>0.291666666666667</v>
      </c>
      <c r="L26" s="405" t="n">
        <v>7</v>
      </c>
      <c r="M26" s="292" t="str">
        <f aca="false">IF(N26="-","-",N26/L26)</f>
        <v>-</v>
      </c>
      <c r="N26" s="406" t="s">
        <v>75</v>
      </c>
      <c r="O26" s="407" t="s">
        <v>75</v>
      </c>
      <c r="P26" s="408" t="s">
        <v>75</v>
      </c>
      <c r="Q26" s="407" t="s">
        <v>75</v>
      </c>
      <c r="R26" s="408" t="s">
        <v>75</v>
      </c>
      <c r="S26" s="296" t="s">
        <v>75</v>
      </c>
      <c r="T26" s="291" t="s">
        <v>75</v>
      </c>
      <c r="U26" s="296" t="s">
        <v>75</v>
      </c>
      <c r="V26" s="297" t="s">
        <v>75</v>
      </c>
      <c r="W26" s="377" t="s">
        <v>153</v>
      </c>
      <c r="Y26" s="1" t="n">
        <f aca="false">IF(G26="","",1)</f>
        <v>1</v>
      </c>
    </row>
    <row r="27" customFormat="false" ht="15" hidden="false" customHeight="true" outlineLevel="0" collapsed="false">
      <c r="B27" s="283"/>
      <c r="C27" s="267"/>
      <c r="D27" s="387"/>
      <c r="E27" s="401" t="s">
        <v>83</v>
      </c>
      <c r="F27" s="402" t="s">
        <v>70</v>
      </c>
      <c r="G27" s="403" t="n">
        <v>33</v>
      </c>
      <c r="H27" s="404" t="n">
        <v>25</v>
      </c>
      <c r="I27" s="294" t="n">
        <f aca="false">J27/G27</f>
        <v>0</v>
      </c>
      <c r="J27" s="405" t="n">
        <v>0</v>
      </c>
      <c r="K27" s="292" t="n">
        <f aca="false">L27/G27</f>
        <v>0.212121212121212</v>
      </c>
      <c r="L27" s="405" t="n">
        <v>7</v>
      </c>
      <c r="M27" s="292" t="str">
        <f aca="false">IF(N27="-","-",N27/L27)</f>
        <v>-</v>
      </c>
      <c r="N27" s="406" t="s">
        <v>75</v>
      </c>
      <c r="O27" s="407" t="s">
        <v>75</v>
      </c>
      <c r="P27" s="408" t="s">
        <v>75</v>
      </c>
      <c r="Q27" s="407" t="s">
        <v>75</v>
      </c>
      <c r="R27" s="408" t="s">
        <v>75</v>
      </c>
      <c r="S27" s="296" t="s">
        <v>75</v>
      </c>
      <c r="T27" s="291" t="s">
        <v>75</v>
      </c>
      <c r="U27" s="296" t="s">
        <v>75</v>
      </c>
      <c r="V27" s="297" t="s">
        <v>75</v>
      </c>
      <c r="W27" s="377" t="s">
        <v>153</v>
      </c>
      <c r="Y27" s="1" t="n">
        <f aca="false">IF(G27="","",1)</f>
        <v>1</v>
      </c>
    </row>
    <row r="28" customFormat="false" ht="15" hidden="false" customHeight="true" outlineLevel="0" collapsed="false">
      <c r="B28" s="283"/>
      <c r="C28" s="267"/>
      <c r="D28" s="387"/>
      <c r="E28" s="401" t="s">
        <v>84</v>
      </c>
      <c r="F28" s="402" t="s">
        <v>70</v>
      </c>
      <c r="G28" s="403" t="n">
        <v>32</v>
      </c>
      <c r="H28" s="404" t="n">
        <v>17</v>
      </c>
      <c r="I28" s="294" t="n">
        <f aca="false">J28/G28</f>
        <v>0.15625</v>
      </c>
      <c r="J28" s="405" t="n">
        <v>5</v>
      </c>
      <c r="K28" s="292" t="n">
        <f aca="false">L28/G28</f>
        <v>0.375</v>
      </c>
      <c r="L28" s="405" t="n">
        <v>12</v>
      </c>
      <c r="M28" s="292" t="str">
        <f aca="false">IF(N28="-","-",N28/L28)</f>
        <v>-</v>
      </c>
      <c r="N28" s="406" t="s">
        <v>75</v>
      </c>
      <c r="O28" s="407" t="s">
        <v>75</v>
      </c>
      <c r="P28" s="408" t="s">
        <v>75</v>
      </c>
      <c r="Q28" s="407" t="s">
        <v>75</v>
      </c>
      <c r="R28" s="408" t="s">
        <v>75</v>
      </c>
      <c r="S28" s="296" t="s">
        <v>75</v>
      </c>
      <c r="T28" s="291" t="s">
        <v>75</v>
      </c>
      <c r="U28" s="296" t="s">
        <v>75</v>
      </c>
      <c r="V28" s="297" t="s">
        <v>75</v>
      </c>
      <c r="W28" s="377" t="s">
        <v>153</v>
      </c>
      <c r="Y28" s="1" t="n">
        <f aca="false">IF(G28="","",1)</f>
        <v>1</v>
      </c>
    </row>
    <row r="29" customFormat="false" ht="15" hidden="false" customHeight="true" outlineLevel="0" collapsed="false">
      <c r="B29" s="283"/>
      <c r="C29" s="267"/>
      <c r="D29" s="387"/>
      <c r="E29" s="409"/>
      <c r="F29" s="410"/>
      <c r="G29" s="417"/>
      <c r="H29" s="418"/>
      <c r="I29" s="294" t="e">
        <f aca="false">J29/G29</f>
        <v>#DIV/0!</v>
      </c>
      <c r="J29" s="419"/>
      <c r="K29" s="292" t="e">
        <f aca="false">L29/G29</f>
        <v>#DIV/0!</v>
      </c>
      <c r="L29" s="419"/>
      <c r="M29" s="292" t="str">
        <f aca="false">IF(N29="-","-",N29/L29)</f>
        <v>-</v>
      </c>
      <c r="N29" s="411" t="s">
        <v>75</v>
      </c>
      <c r="O29" s="412" t="s">
        <v>75</v>
      </c>
      <c r="P29" s="413" t="s">
        <v>75</v>
      </c>
      <c r="Q29" s="412" t="s">
        <v>75</v>
      </c>
      <c r="R29" s="413" t="s">
        <v>75</v>
      </c>
      <c r="S29" s="414"/>
      <c r="T29" s="415"/>
      <c r="U29" s="414"/>
      <c r="V29" s="416"/>
      <c r="W29" s="377"/>
    </row>
    <row r="30" customFormat="false" ht="15" hidden="false" customHeight="true" outlineLevel="0" collapsed="false">
      <c r="B30" s="283"/>
      <c r="C30" s="267"/>
      <c r="D30" s="387"/>
      <c r="E30" s="409"/>
      <c r="F30" s="410"/>
      <c r="G30" s="417"/>
      <c r="H30" s="418"/>
      <c r="I30" s="294" t="e">
        <f aca="false">J30/G30</f>
        <v>#DIV/0!</v>
      </c>
      <c r="J30" s="419"/>
      <c r="K30" s="292" t="e">
        <f aca="false">L30/G30</f>
        <v>#DIV/0!</v>
      </c>
      <c r="L30" s="419"/>
      <c r="M30" s="292" t="str">
        <f aca="false">IF(N30="-","-",N30/L30)</f>
        <v>-</v>
      </c>
      <c r="N30" s="411" t="s">
        <v>75</v>
      </c>
      <c r="O30" s="412" t="s">
        <v>75</v>
      </c>
      <c r="P30" s="413" t="s">
        <v>75</v>
      </c>
      <c r="Q30" s="412" t="s">
        <v>75</v>
      </c>
      <c r="R30" s="413" t="s">
        <v>75</v>
      </c>
      <c r="S30" s="414"/>
      <c r="T30" s="415"/>
      <c r="U30" s="414"/>
      <c r="V30" s="416"/>
      <c r="W30" s="377"/>
    </row>
    <row r="31" customFormat="false" ht="15" hidden="false" customHeight="true" outlineLevel="0" collapsed="false">
      <c r="B31" s="283"/>
      <c r="C31" s="267"/>
      <c r="D31" s="387"/>
      <c r="E31" s="420" t="s">
        <v>85</v>
      </c>
      <c r="F31" s="421" t="s">
        <v>70</v>
      </c>
      <c r="G31" s="422"/>
      <c r="H31" s="423"/>
      <c r="I31" s="304" t="e">
        <f aca="false">J31/G31</f>
        <v>#DIV/0!</v>
      </c>
      <c r="J31" s="424"/>
      <c r="K31" s="302" t="e">
        <f aca="false">L31/G31</f>
        <v>#DIV/0!</v>
      </c>
      <c r="L31" s="424"/>
      <c r="M31" s="302" t="str">
        <f aca="false">IF(N31="-","-",N31/L31)</f>
        <v>-</v>
      </c>
      <c r="N31" s="425" t="s">
        <v>75</v>
      </c>
      <c r="O31" s="426" t="s">
        <v>75</v>
      </c>
      <c r="P31" s="427" t="s">
        <v>75</v>
      </c>
      <c r="Q31" s="426" t="s">
        <v>75</v>
      </c>
      <c r="R31" s="427" t="s">
        <v>75</v>
      </c>
      <c r="S31" s="306" t="s">
        <v>75</v>
      </c>
      <c r="T31" s="301" t="s">
        <v>75</v>
      </c>
      <c r="U31" s="306" t="s">
        <v>75</v>
      </c>
      <c r="V31" s="307" t="s">
        <v>75</v>
      </c>
      <c r="W31" s="377" t="s">
        <v>153</v>
      </c>
      <c r="Y31" s="1" t="str">
        <f aca="false">IF(G31="","",1)</f>
        <v/>
      </c>
    </row>
    <row r="32" customFormat="false" ht="15.75" hidden="false" customHeight="false" outlineLevel="0" collapsed="false">
      <c r="B32" s="283"/>
      <c r="C32" s="267"/>
      <c r="D32" s="428" t="s">
        <v>76</v>
      </c>
      <c r="E32" s="312"/>
      <c r="F32" s="429"/>
      <c r="G32" s="216" t="n">
        <f aca="false">SUM(G21:G31)</f>
        <v>295</v>
      </c>
      <c r="H32" s="217" t="n">
        <f aca="false">SUM(H21:H31)</f>
        <v>193</v>
      </c>
      <c r="I32" s="218" t="n">
        <f aca="false">J32/G32</f>
        <v>0.250847457627119</v>
      </c>
      <c r="J32" s="320" t="n">
        <f aca="false">SUM(J21:J31)</f>
        <v>74</v>
      </c>
      <c r="K32" s="218" t="n">
        <f aca="false">L32/G32</f>
        <v>0.294915254237288</v>
      </c>
      <c r="L32" s="320" t="n">
        <f aca="false">SUM(L21:L31)</f>
        <v>87</v>
      </c>
      <c r="M32" s="218" t="n">
        <f aca="false">N32/L32</f>
        <v>0</v>
      </c>
      <c r="N32" s="320" t="n">
        <f aca="false">SUM(N21:N31)</f>
        <v>0</v>
      </c>
      <c r="O32" s="430"/>
      <c r="P32" s="431"/>
      <c r="Q32" s="430"/>
      <c r="R32" s="431"/>
      <c r="S32" s="430"/>
      <c r="T32" s="431"/>
      <c r="U32" s="430"/>
      <c r="V32" s="432"/>
      <c r="W32" s="377" t="s">
        <v>153</v>
      </c>
    </row>
    <row r="33" customFormat="false" ht="15" hidden="false" customHeight="true" outlineLevel="0" collapsed="false">
      <c r="B33" s="433" t="s">
        <v>156</v>
      </c>
      <c r="C33" s="434" t="s">
        <v>68</v>
      </c>
      <c r="D33" s="378" t="n">
        <v>9</v>
      </c>
      <c r="E33" s="388" t="s">
        <v>87</v>
      </c>
      <c r="F33" s="389" t="s">
        <v>70</v>
      </c>
      <c r="G33" s="435" t="n">
        <v>46</v>
      </c>
      <c r="H33" s="436" t="n">
        <v>32</v>
      </c>
      <c r="I33" s="392" t="n">
        <f aca="false">J33/G33</f>
        <v>0.652173913043478</v>
      </c>
      <c r="J33" s="437" t="n">
        <v>30</v>
      </c>
      <c r="K33" s="394" t="n">
        <f aca="false">L33/G33</f>
        <v>0.195652173913043</v>
      </c>
      <c r="L33" s="437" t="n">
        <v>9</v>
      </c>
      <c r="M33" s="394" t="n">
        <f aca="false">IF(N33="-","-",N33/L33)</f>
        <v>1</v>
      </c>
      <c r="N33" s="395" t="n">
        <v>9</v>
      </c>
      <c r="O33" s="396" t="s">
        <v>75</v>
      </c>
      <c r="P33" s="397" t="s">
        <v>75</v>
      </c>
      <c r="Q33" s="396" t="s">
        <v>75</v>
      </c>
      <c r="R33" s="397" t="s">
        <v>75</v>
      </c>
      <c r="S33" s="398" t="s">
        <v>75</v>
      </c>
      <c r="T33" s="399" t="s">
        <v>75</v>
      </c>
      <c r="U33" s="398" t="s">
        <v>75</v>
      </c>
      <c r="V33" s="400" t="s">
        <v>75</v>
      </c>
      <c r="W33" s="377" t="s">
        <v>153</v>
      </c>
      <c r="Y33" s="1" t="n">
        <f aca="false">IF(G33="","",1)</f>
        <v>1</v>
      </c>
    </row>
    <row r="34" customFormat="false" ht="15" hidden="false" customHeight="false" outlineLevel="0" collapsed="false">
      <c r="B34" s="433"/>
      <c r="C34" s="434"/>
      <c r="D34" s="378"/>
      <c r="E34" s="401" t="s">
        <v>88</v>
      </c>
      <c r="F34" s="402" t="s">
        <v>70</v>
      </c>
      <c r="G34" s="438" t="n">
        <v>28</v>
      </c>
      <c r="H34" s="439" t="n">
        <v>17</v>
      </c>
      <c r="I34" s="294" t="n">
        <f aca="false">J34/G34</f>
        <v>0.642857142857143</v>
      </c>
      <c r="J34" s="440" t="n">
        <v>18</v>
      </c>
      <c r="K34" s="292" t="n">
        <f aca="false">L34/G34</f>
        <v>0.321428571428571</v>
      </c>
      <c r="L34" s="440" t="n">
        <v>9</v>
      </c>
      <c r="M34" s="292" t="n">
        <f aca="false">IF(N34="-","-",N34/L34)</f>
        <v>0.777777777777778</v>
      </c>
      <c r="N34" s="406" t="n">
        <v>7</v>
      </c>
      <c r="O34" s="407" t="s">
        <v>75</v>
      </c>
      <c r="P34" s="408" t="s">
        <v>75</v>
      </c>
      <c r="Q34" s="407" t="s">
        <v>75</v>
      </c>
      <c r="R34" s="408" t="s">
        <v>75</v>
      </c>
      <c r="S34" s="296" t="s">
        <v>75</v>
      </c>
      <c r="T34" s="291" t="s">
        <v>75</v>
      </c>
      <c r="U34" s="296" t="s">
        <v>75</v>
      </c>
      <c r="V34" s="297" t="s">
        <v>75</v>
      </c>
      <c r="W34" s="377" t="s">
        <v>153</v>
      </c>
      <c r="Y34" s="1" t="n">
        <f aca="false">IF(G34="","",1)</f>
        <v>1</v>
      </c>
    </row>
    <row r="35" customFormat="false" ht="15" hidden="false" customHeight="false" outlineLevel="0" collapsed="false">
      <c r="B35" s="433"/>
      <c r="C35" s="434"/>
      <c r="D35" s="378"/>
      <c r="E35" s="401" t="s">
        <v>89</v>
      </c>
      <c r="F35" s="402" t="s">
        <v>70</v>
      </c>
      <c r="G35" s="438" t="n">
        <v>5</v>
      </c>
      <c r="H35" s="439" t="n">
        <v>5</v>
      </c>
      <c r="I35" s="294" t="n">
        <f aca="false">J35/G35</f>
        <v>0.6</v>
      </c>
      <c r="J35" s="440" t="n">
        <v>3</v>
      </c>
      <c r="K35" s="292" t="n">
        <f aca="false">L35/G35</f>
        <v>0.2</v>
      </c>
      <c r="L35" s="440" t="n">
        <v>1</v>
      </c>
      <c r="M35" s="292" t="n">
        <f aca="false">IF(N35="-","-",N35/L35)</f>
        <v>1</v>
      </c>
      <c r="N35" s="406" t="n">
        <v>1</v>
      </c>
      <c r="O35" s="407" t="s">
        <v>75</v>
      </c>
      <c r="P35" s="408" t="s">
        <v>75</v>
      </c>
      <c r="Q35" s="407" t="s">
        <v>75</v>
      </c>
      <c r="R35" s="408" t="s">
        <v>75</v>
      </c>
      <c r="S35" s="296" t="s">
        <v>75</v>
      </c>
      <c r="T35" s="291" t="s">
        <v>75</v>
      </c>
      <c r="U35" s="296" t="s">
        <v>75</v>
      </c>
      <c r="V35" s="297" t="s">
        <v>75</v>
      </c>
      <c r="W35" s="377" t="s">
        <v>153</v>
      </c>
      <c r="Y35" s="1" t="n">
        <f aca="false">IF(G35="","",1)</f>
        <v>1</v>
      </c>
    </row>
    <row r="36" customFormat="false" ht="15" hidden="false" customHeight="false" outlineLevel="0" collapsed="false">
      <c r="B36" s="433"/>
      <c r="C36" s="434"/>
      <c r="D36" s="378"/>
      <c r="E36" s="401" t="s">
        <v>90</v>
      </c>
      <c r="F36" s="402" t="s">
        <v>70</v>
      </c>
      <c r="G36" s="438" t="n">
        <v>45</v>
      </c>
      <c r="H36" s="439" t="n">
        <v>26</v>
      </c>
      <c r="I36" s="294" t="n">
        <f aca="false">J36/G36</f>
        <v>0.266666666666667</v>
      </c>
      <c r="J36" s="440" t="n">
        <v>12</v>
      </c>
      <c r="K36" s="292" t="n">
        <f aca="false">L36/G36</f>
        <v>0.266666666666667</v>
      </c>
      <c r="L36" s="440" t="n">
        <v>12</v>
      </c>
      <c r="M36" s="292" t="n">
        <f aca="false">IF(N36="-","-",N36/L36)</f>
        <v>0.25</v>
      </c>
      <c r="N36" s="406" t="n">
        <v>3</v>
      </c>
      <c r="O36" s="407" t="s">
        <v>75</v>
      </c>
      <c r="P36" s="408" t="s">
        <v>75</v>
      </c>
      <c r="Q36" s="407" t="s">
        <v>75</v>
      </c>
      <c r="R36" s="408" t="s">
        <v>75</v>
      </c>
      <c r="S36" s="296" t="s">
        <v>75</v>
      </c>
      <c r="T36" s="291" t="s">
        <v>75</v>
      </c>
      <c r="U36" s="296" t="s">
        <v>75</v>
      </c>
      <c r="V36" s="297" t="s">
        <v>75</v>
      </c>
      <c r="W36" s="377" t="s">
        <v>153</v>
      </c>
      <c r="Y36" s="1" t="n">
        <f aca="false">IF(G36="","",1)</f>
        <v>1</v>
      </c>
    </row>
    <row r="37" customFormat="false" ht="15" hidden="false" customHeight="false" outlineLevel="0" collapsed="false">
      <c r="B37" s="433"/>
      <c r="C37" s="434"/>
      <c r="D37" s="378"/>
      <c r="E37" s="401" t="s">
        <v>91</v>
      </c>
      <c r="F37" s="402" t="s">
        <v>70</v>
      </c>
      <c r="G37" s="438" t="n">
        <v>14</v>
      </c>
      <c r="H37" s="439" t="n">
        <v>9</v>
      </c>
      <c r="I37" s="294" t="n">
        <f aca="false">J37/G37</f>
        <v>0.214285714285714</v>
      </c>
      <c r="J37" s="440" t="n">
        <v>3</v>
      </c>
      <c r="K37" s="292" t="n">
        <f aca="false">L37/G37</f>
        <v>0.142857142857143</v>
      </c>
      <c r="L37" s="440" t="n">
        <v>2</v>
      </c>
      <c r="M37" s="292" t="n">
        <f aca="false">IF(N37="-","-",N37/L37)</f>
        <v>0.5</v>
      </c>
      <c r="N37" s="406" t="n">
        <v>1</v>
      </c>
      <c r="O37" s="407" t="s">
        <v>75</v>
      </c>
      <c r="P37" s="408" t="s">
        <v>75</v>
      </c>
      <c r="Q37" s="407" t="s">
        <v>75</v>
      </c>
      <c r="R37" s="408" t="s">
        <v>75</v>
      </c>
      <c r="S37" s="296" t="s">
        <v>75</v>
      </c>
      <c r="T37" s="291" t="s">
        <v>75</v>
      </c>
      <c r="U37" s="296" t="s">
        <v>75</v>
      </c>
      <c r="V37" s="297" t="s">
        <v>75</v>
      </c>
      <c r="W37" s="377" t="s">
        <v>153</v>
      </c>
      <c r="Y37" s="1" t="n">
        <f aca="false">IF(G37="","",1)</f>
        <v>1</v>
      </c>
    </row>
    <row r="38" customFormat="false" ht="15" hidden="false" customHeight="false" outlineLevel="0" collapsed="false">
      <c r="B38" s="433"/>
      <c r="C38" s="434"/>
      <c r="D38" s="378"/>
      <c r="E38" s="401" t="s">
        <v>92</v>
      </c>
      <c r="F38" s="402" t="s">
        <v>70</v>
      </c>
      <c r="G38" s="438" t="n">
        <v>31</v>
      </c>
      <c r="H38" s="439" t="n">
        <v>23</v>
      </c>
      <c r="I38" s="294" t="n">
        <f aca="false">J38/G38</f>
        <v>0.548387096774194</v>
      </c>
      <c r="J38" s="440" t="n">
        <v>17</v>
      </c>
      <c r="K38" s="292" t="n">
        <f aca="false">L38/G38</f>
        <v>0.161290322580645</v>
      </c>
      <c r="L38" s="440" t="n">
        <v>5</v>
      </c>
      <c r="M38" s="292" t="n">
        <f aca="false">IF(N38="-","-",N38/L38)</f>
        <v>1</v>
      </c>
      <c r="N38" s="406" t="n">
        <v>5</v>
      </c>
      <c r="O38" s="407" t="s">
        <v>75</v>
      </c>
      <c r="P38" s="408" t="s">
        <v>75</v>
      </c>
      <c r="Q38" s="407" t="s">
        <v>75</v>
      </c>
      <c r="R38" s="408" t="s">
        <v>75</v>
      </c>
      <c r="S38" s="296" t="s">
        <v>75</v>
      </c>
      <c r="T38" s="291" t="s">
        <v>75</v>
      </c>
      <c r="U38" s="296" t="s">
        <v>75</v>
      </c>
      <c r="V38" s="297" t="s">
        <v>75</v>
      </c>
      <c r="W38" s="377" t="s">
        <v>153</v>
      </c>
      <c r="Y38" s="1" t="n">
        <f aca="false">IF(G38="","",1)</f>
        <v>1</v>
      </c>
    </row>
    <row r="39" customFormat="false" ht="15" hidden="false" customHeight="false" outlineLevel="0" collapsed="false">
      <c r="B39" s="433"/>
      <c r="C39" s="434"/>
      <c r="D39" s="378"/>
      <c r="E39" s="401" t="s">
        <v>93</v>
      </c>
      <c r="F39" s="402" t="s">
        <v>70</v>
      </c>
      <c r="G39" s="438" t="n">
        <v>12</v>
      </c>
      <c r="H39" s="439" t="n">
        <v>7</v>
      </c>
      <c r="I39" s="294" t="n">
        <f aca="false">J39/G39</f>
        <v>0.333333333333333</v>
      </c>
      <c r="J39" s="440" t="n">
        <v>4</v>
      </c>
      <c r="K39" s="292" t="n">
        <f aca="false">L39/G39</f>
        <v>0.333333333333333</v>
      </c>
      <c r="L39" s="440" t="n">
        <v>4</v>
      </c>
      <c r="M39" s="292" t="n">
        <f aca="false">IF(N39="-","-",N39/L39)</f>
        <v>0.5</v>
      </c>
      <c r="N39" s="406" t="n">
        <v>2</v>
      </c>
      <c r="O39" s="407" t="s">
        <v>75</v>
      </c>
      <c r="P39" s="408" t="s">
        <v>75</v>
      </c>
      <c r="Q39" s="407" t="s">
        <v>75</v>
      </c>
      <c r="R39" s="408" t="s">
        <v>75</v>
      </c>
      <c r="S39" s="296" t="s">
        <v>75</v>
      </c>
      <c r="T39" s="291" t="s">
        <v>75</v>
      </c>
      <c r="U39" s="296" t="s">
        <v>75</v>
      </c>
      <c r="V39" s="297" t="s">
        <v>75</v>
      </c>
      <c r="W39" s="377" t="s">
        <v>153</v>
      </c>
      <c r="Y39" s="1" t="n">
        <f aca="false">IF(G39="","",1)</f>
        <v>1</v>
      </c>
    </row>
    <row r="40" customFormat="false" ht="15" hidden="false" customHeight="false" outlineLevel="0" collapsed="false">
      <c r="B40" s="433"/>
      <c r="C40" s="434"/>
      <c r="D40" s="378"/>
      <c r="E40" s="409"/>
      <c r="F40" s="410"/>
      <c r="G40" s="441"/>
      <c r="H40" s="442"/>
      <c r="I40" s="294" t="e">
        <f aca="false">J40/G40</f>
        <v>#DIV/0!</v>
      </c>
      <c r="J40" s="443"/>
      <c r="K40" s="292" t="e">
        <f aca="false">L40/G40</f>
        <v>#DIV/0!</v>
      </c>
      <c r="L40" s="443"/>
      <c r="M40" s="292" t="e">
        <f aca="false">IF(N40="-","-",N40/L40)</f>
        <v>#DIV/0!</v>
      </c>
      <c r="N40" s="411"/>
      <c r="O40" s="412"/>
      <c r="P40" s="413"/>
      <c r="Q40" s="412"/>
      <c r="R40" s="413"/>
      <c r="S40" s="414"/>
      <c r="T40" s="415"/>
      <c r="U40" s="414"/>
      <c r="V40" s="416"/>
      <c r="W40" s="377"/>
    </row>
    <row r="41" customFormat="false" ht="15" hidden="false" customHeight="false" outlineLevel="0" collapsed="false">
      <c r="B41" s="433"/>
      <c r="C41" s="434"/>
      <c r="D41" s="378"/>
      <c r="E41" s="409"/>
      <c r="F41" s="410"/>
      <c r="G41" s="441"/>
      <c r="H41" s="442"/>
      <c r="I41" s="294" t="e">
        <f aca="false">J41/G41</f>
        <v>#DIV/0!</v>
      </c>
      <c r="J41" s="443"/>
      <c r="K41" s="292" t="e">
        <f aca="false">L41/G41</f>
        <v>#DIV/0!</v>
      </c>
      <c r="L41" s="443"/>
      <c r="M41" s="292" t="e">
        <f aca="false">IF(N41="-","-",N41/L41)</f>
        <v>#DIV/0!</v>
      </c>
      <c r="N41" s="411"/>
      <c r="O41" s="412"/>
      <c r="P41" s="413"/>
      <c r="Q41" s="412"/>
      <c r="R41" s="413"/>
      <c r="S41" s="414"/>
      <c r="T41" s="415"/>
      <c r="U41" s="414"/>
      <c r="V41" s="416"/>
      <c r="W41" s="377"/>
    </row>
    <row r="42" customFormat="false" ht="15" hidden="false" customHeight="false" outlineLevel="0" collapsed="false">
      <c r="B42" s="433"/>
      <c r="C42" s="434"/>
      <c r="D42" s="378"/>
      <c r="E42" s="420" t="s">
        <v>94</v>
      </c>
      <c r="F42" s="421" t="s">
        <v>70</v>
      </c>
      <c r="G42" s="422" t="n">
        <v>17</v>
      </c>
      <c r="H42" s="423" t="n">
        <v>9</v>
      </c>
      <c r="I42" s="304" t="n">
        <f aca="false">J42/G42</f>
        <v>0.411764705882353</v>
      </c>
      <c r="J42" s="424" t="n">
        <v>7</v>
      </c>
      <c r="K42" s="302" t="n">
        <f aca="false">L42/G42</f>
        <v>0.235294117647059</v>
      </c>
      <c r="L42" s="424" t="n">
        <v>4</v>
      </c>
      <c r="M42" s="302" t="n">
        <f aca="false">IF(N42="-","-",N42/L42)</f>
        <v>0.25</v>
      </c>
      <c r="N42" s="425" t="n">
        <v>1</v>
      </c>
      <c r="O42" s="426" t="s">
        <v>75</v>
      </c>
      <c r="P42" s="427" t="s">
        <v>75</v>
      </c>
      <c r="Q42" s="426" t="s">
        <v>75</v>
      </c>
      <c r="R42" s="427" t="s">
        <v>75</v>
      </c>
      <c r="S42" s="306" t="s">
        <v>75</v>
      </c>
      <c r="T42" s="301" t="s">
        <v>75</v>
      </c>
      <c r="U42" s="306" t="s">
        <v>75</v>
      </c>
      <c r="V42" s="307" t="s">
        <v>75</v>
      </c>
      <c r="W42" s="377" t="s">
        <v>153</v>
      </c>
      <c r="Y42" s="1" t="n">
        <f aca="false">IF(G42="","",1)</f>
        <v>1</v>
      </c>
    </row>
    <row r="43" customFormat="false" ht="16.5" hidden="false" customHeight="false" outlineLevel="0" collapsed="false">
      <c r="B43" s="433"/>
      <c r="C43" s="434"/>
      <c r="D43" s="444" t="s">
        <v>76</v>
      </c>
      <c r="E43" s="312"/>
      <c r="F43" s="429"/>
      <c r="G43" s="216" t="n">
        <f aca="false">SUM(G33:G42)</f>
        <v>198</v>
      </c>
      <c r="H43" s="217" t="n">
        <f aca="false">SUM(H33:H42)</f>
        <v>128</v>
      </c>
      <c r="I43" s="218" t="n">
        <f aca="false">J43/G43</f>
        <v>0.474747474747475</v>
      </c>
      <c r="J43" s="320" t="n">
        <f aca="false">SUM(J33:J42)</f>
        <v>94</v>
      </c>
      <c r="K43" s="218" t="n">
        <f aca="false">L43/G43</f>
        <v>0.232323232323232</v>
      </c>
      <c r="L43" s="320" t="n">
        <f aca="false">SUM(L33:L42)</f>
        <v>46</v>
      </c>
      <c r="M43" s="218" t="n">
        <f aca="false">N43/L43</f>
        <v>0.630434782608696</v>
      </c>
      <c r="N43" s="320" t="n">
        <f aca="false">SUM(N33:N42)</f>
        <v>29</v>
      </c>
      <c r="O43" s="430"/>
      <c r="P43" s="431"/>
      <c r="Q43" s="430"/>
      <c r="R43" s="431"/>
      <c r="S43" s="430"/>
      <c r="T43" s="431"/>
      <c r="U43" s="430"/>
      <c r="V43" s="432"/>
      <c r="W43" s="377" t="s">
        <v>153</v>
      </c>
    </row>
    <row r="44" s="171" customFormat="true" ht="21" hidden="false" customHeight="true" outlineLevel="0" collapsed="false">
      <c r="A44" s="22"/>
      <c r="B44" s="340" t="s">
        <v>95</v>
      </c>
      <c r="C44" s="341"/>
      <c r="D44" s="341" t="n">
        <f aca="false">SUM(D5:D42)</f>
        <v>31</v>
      </c>
      <c r="E44" s="445" t="n">
        <f aca="false">COUNT(G5:G31,G33:G42)</f>
        <v>18</v>
      </c>
      <c r="F44" s="343" t="n">
        <f aca="false">COUNT(J5:J42)</f>
        <v>19</v>
      </c>
      <c r="G44" s="446" t="n">
        <f aca="false">G5+G32+G43</f>
        <v>595</v>
      </c>
      <c r="H44" s="447" t="n">
        <f aca="false">H5+H32+H43</f>
        <v>415</v>
      </c>
      <c r="I44" s="448" t="n">
        <f aca="false">J44/G44</f>
        <v>0.285714285714286</v>
      </c>
      <c r="J44" s="449" t="n">
        <f aca="false">J5+J32+J43</f>
        <v>170</v>
      </c>
      <c r="K44" s="450" t="n">
        <f aca="false">L44/G44</f>
        <v>0.253781512605042</v>
      </c>
      <c r="L44" s="449" t="n">
        <f aca="false">L5+L32+L43</f>
        <v>151</v>
      </c>
      <c r="M44" s="448" t="n">
        <f aca="false">N44/(L5+SUM(L33:L42))</f>
        <v>0.484375</v>
      </c>
      <c r="N44" s="449" t="n">
        <f aca="false">N5+N32+N43</f>
        <v>31</v>
      </c>
      <c r="O44" s="451"/>
      <c r="P44" s="452"/>
      <c r="Q44" s="451"/>
      <c r="R44" s="452"/>
      <c r="S44" s="451"/>
      <c r="T44" s="452"/>
      <c r="U44" s="451"/>
      <c r="V44" s="453"/>
      <c r="W44" s="377" t="s">
        <v>153</v>
      </c>
      <c r="Y44" s="1"/>
    </row>
    <row r="45" customFormat="false" ht="15" hidden="false" customHeight="true" outlineLevel="0" collapsed="false">
      <c r="B45" s="172" t="s">
        <v>157</v>
      </c>
      <c r="C45" s="173" t="s">
        <v>97</v>
      </c>
      <c r="D45" s="454" t="n">
        <v>6</v>
      </c>
      <c r="E45" s="455" t="s">
        <v>98</v>
      </c>
      <c r="F45" s="456" t="s">
        <v>70</v>
      </c>
      <c r="G45" s="435"/>
      <c r="H45" s="436"/>
      <c r="I45" s="394" t="e">
        <f aca="false">J45/G45</f>
        <v>#DIV/0!</v>
      </c>
      <c r="J45" s="437"/>
      <c r="K45" s="394" t="e">
        <f aca="false">L45/G45</f>
        <v>#DIV/0!</v>
      </c>
      <c r="L45" s="437"/>
      <c r="M45" s="394" t="str">
        <f aca="false">IF(N45="-","-",N45/L45)</f>
        <v>-</v>
      </c>
      <c r="N45" s="395" t="s">
        <v>75</v>
      </c>
      <c r="O45" s="396" t="s">
        <v>75</v>
      </c>
      <c r="P45" s="397" t="s">
        <v>75</v>
      </c>
      <c r="Q45" s="396" t="s">
        <v>75</v>
      </c>
      <c r="R45" s="397" t="s">
        <v>75</v>
      </c>
      <c r="S45" s="398"/>
      <c r="T45" s="399"/>
      <c r="U45" s="398"/>
      <c r="V45" s="400"/>
      <c r="W45" s="457" t="s">
        <v>153</v>
      </c>
      <c r="Y45" s="1" t="str">
        <f aca="false">IF(G45="","",1)</f>
        <v/>
      </c>
    </row>
    <row r="46" customFormat="false" ht="15" hidden="false" customHeight="true" outlineLevel="0" collapsed="false">
      <c r="B46" s="172"/>
      <c r="C46" s="173"/>
      <c r="D46" s="454"/>
      <c r="E46" s="458" t="s">
        <v>99</v>
      </c>
      <c r="F46" s="459" t="s">
        <v>70</v>
      </c>
      <c r="G46" s="438"/>
      <c r="H46" s="439"/>
      <c r="I46" s="292" t="e">
        <f aca="false">J46/G46</f>
        <v>#DIV/0!</v>
      </c>
      <c r="J46" s="440"/>
      <c r="K46" s="292" t="e">
        <f aca="false">L46/G46</f>
        <v>#DIV/0!</v>
      </c>
      <c r="L46" s="440"/>
      <c r="M46" s="292" t="str">
        <f aca="false">IF(N46="-","-",N46/L46)</f>
        <v>-</v>
      </c>
      <c r="N46" s="406" t="s">
        <v>75</v>
      </c>
      <c r="O46" s="407" t="s">
        <v>75</v>
      </c>
      <c r="P46" s="408" t="s">
        <v>75</v>
      </c>
      <c r="Q46" s="407" t="s">
        <v>75</v>
      </c>
      <c r="R46" s="408" t="s">
        <v>75</v>
      </c>
      <c r="S46" s="296"/>
      <c r="T46" s="291"/>
      <c r="U46" s="296"/>
      <c r="V46" s="297"/>
      <c r="W46" s="457" t="s">
        <v>153</v>
      </c>
      <c r="Y46" s="1" t="str">
        <f aca="false">IF(G46="","",1)</f>
        <v/>
      </c>
    </row>
    <row r="47" customFormat="false" ht="15" hidden="false" customHeight="true" outlineLevel="0" collapsed="false">
      <c r="B47" s="172"/>
      <c r="C47" s="173"/>
      <c r="D47" s="454"/>
      <c r="E47" s="458" t="s">
        <v>100</v>
      </c>
      <c r="F47" s="459" t="s">
        <v>70</v>
      </c>
      <c r="G47" s="438" t="n">
        <v>228</v>
      </c>
      <c r="H47" s="439" t="n">
        <v>125</v>
      </c>
      <c r="I47" s="292" t="n">
        <f aca="false">J47/G47</f>
        <v>0.394736842105263</v>
      </c>
      <c r="J47" s="440" t="n">
        <v>90</v>
      </c>
      <c r="K47" s="292" t="n">
        <f aca="false">L47/G47</f>
        <v>0.399122807017544</v>
      </c>
      <c r="L47" s="440" t="n">
        <v>91</v>
      </c>
      <c r="M47" s="292" t="str">
        <f aca="false">IF(N47="-","-",N47/L47)</f>
        <v>-</v>
      </c>
      <c r="N47" s="406" t="s">
        <v>75</v>
      </c>
      <c r="O47" s="407" t="s">
        <v>75</v>
      </c>
      <c r="P47" s="408" t="s">
        <v>75</v>
      </c>
      <c r="Q47" s="407" t="s">
        <v>75</v>
      </c>
      <c r="R47" s="408" t="s">
        <v>75</v>
      </c>
      <c r="S47" s="296" t="s">
        <v>75</v>
      </c>
      <c r="T47" s="291" t="s">
        <v>75</v>
      </c>
      <c r="U47" s="296" t="s">
        <v>75</v>
      </c>
      <c r="V47" s="297" t="s">
        <v>75</v>
      </c>
      <c r="W47" s="457" t="s">
        <v>153</v>
      </c>
      <c r="Y47" s="1" t="n">
        <f aca="false">IF(G47="","",1)</f>
        <v>1</v>
      </c>
    </row>
    <row r="48" customFormat="false" ht="15" hidden="false" customHeight="true" outlineLevel="0" collapsed="false">
      <c r="B48" s="172"/>
      <c r="C48" s="173"/>
      <c r="D48" s="454"/>
      <c r="E48" s="458" t="s">
        <v>101</v>
      </c>
      <c r="F48" s="459" t="s">
        <v>102</v>
      </c>
      <c r="G48" s="438" t="n">
        <v>141</v>
      </c>
      <c r="H48" s="439" t="n">
        <v>80</v>
      </c>
      <c r="I48" s="292" t="n">
        <f aca="false">J48/G48</f>
        <v>0.460992907801418</v>
      </c>
      <c r="J48" s="440" t="n">
        <v>65</v>
      </c>
      <c r="K48" s="292" t="n">
        <f aca="false">L48/G48</f>
        <v>0.439716312056738</v>
      </c>
      <c r="L48" s="440" t="n">
        <v>62</v>
      </c>
      <c r="M48" s="292" t="str">
        <f aca="false">IF(N48="-","-",N48/L48)</f>
        <v>-</v>
      </c>
      <c r="N48" s="406" t="s">
        <v>75</v>
      </c>
      <c r="O48" s="407" t="s">
        <v>75</v>
      </c>
      <c r="P48" s="408" t="s">
        <v>75</v>
      </c>
      <c r="Q48" s="407" t="s">
        <v>75</v>
      </c>
      <c r="R48" s="408" t="s">
        <v>75</v>
      </c>
      <c r="S48" s="296"/>
      <c r="T48" s="291"/>
      <c r="U48" s="296"/>
      <c r="V48" s="297"/>
      <c r="W48" s="457" t="s">
        <v>153</v>
      </c>
      <c r="Y48" s="1" t="n">
        <f aca="false">IF(G48="","",1)</f>
        <v>1</v>
      </c>
    </row>
    <row r="49" customFormat="false" ht="15" hidden="false" customHeight="true" outlineLevel="0" collapsed="false">
      <c r="B49" s="172"/>
      <c r="C49" s="173"/>
      <c r="D49" s="454"/>
      <c r="E49" s="458" t="s">
        <v>103</v>
      </c>
      <c r="F49" s="459" t="s">
        <v>70</v>
      </c>
      <c r="G49" s="438" t="n">
        <v>234</v>
      </c>
      <c r="H49" s="439" t="n">
        <v>127</v>
      </c>
      <c r="I49" s="292" t="n">
        <f aca="false">J49/G49</f>
        <v>0.423076923076923</v>
      </c>
      <c r="J49" s="440" t="n">
        <v>99</v>
      </c>
      <c r="K49" s="292" t="n">
        <f aca="false">L49/G49</f>
        <v>0.478632478632479</v>
      </c>
      <c r="L49" s="440" t="n">
        <v>112</v>
      </c>
      <c r="M49" s="292" t="str">
        <f aca="false">IF(N49="-","-",N49/L49)</f>
        <v>-</v>
      </c>
      <c r="N49" s="406" t="s">
        <v>75</v>
      </c>
      <c r="O49" s="407" t="s">
        <v>75</v>
      </c>
      <c r="P49" s="408" t="s">
        <v>75</v>
      </c>
      <c r="Q49" s="407" t="s">
        <v>75</v>
      </c>
      <c r="R49" s="408" t="s">
        <v>75</v>
      </c>
      <c r="S49" s="296" t="s">
        <v>75</v>
      </c>
      <c r="T49" s="291" t="s">
        <v>75</v>
      </c>
      <c r="U49" s="296" t="s">
        <v>75</v>
      </c>
      <c r="V49" s="297" t="s">
        <v>75</v>
      </c>
      <c r="W49" s="457" t="s">
        <v>153</v>
      </c>
      <c r="Y49" s="1" t="n">
        <f aca="false">IF(G49="","",1)</f>
        <v>1</v>
      </c>
    </row>
    <row r="50" customFormat="false" ht="15" hidden="false" customHeight="true" outlineLevel="0" collapsed="false">
      <c r="B50" s="172"/>
      <c r="C50" s="173"/>
      <c r="D50" s="454"/>
      <c r="E50" s="460"/>
      <c r="F50" s="461"/>
      <c r="G50" s="441"/>
      <c r="H50" s="442"/>
      <c r="I50" s="292" t="e">
        <f aca="false">J50/G50</f>
        <v>#DIV/0!</v>
      </c>
      <c r="J50" s="443"/>
      <c r="K50" s="292" t="e">
        <f aca="false">L50/G50</f>
        <v>#DIV/0!</v>
      </c>
      <c r="L50" s="443"/>
      <c r="M50" s="292" t="e">
        <f aca="false">IF(N50="-","-",N50/L50)</f>
        <v>#DIV/0!</v>
      </c>
      <c r="N50" s="411"/>
      <c r="O50" s="412"/>
      <c r="P50" s="413"/>
      <c r="Q50" s="412"/>
      <c r="R50" s="413"/>
      <c r="S50" s="414"/>
      <c r="T50" s="415"/>
      <c r="U50" s="414"/>
      <c r="V50" s="416"/>
      <c r="W50" s="457"/>
    </row>
    <row r="51" customFormat="false" ht="15" hidden="false" customHeight="true" outlineLevel="0" collapsed="false">
      <c r="B51" s="172"/>
      <c r="C51" s="173"/>
      <c r="D51" s="454"/>
      <c r="E51" s="460"/>
      <c r="F51" s="461"/>
      <c r="G51" s="441"/>
      <c r="H51" s="442"/>
      <c r="I51" s="292" t="e">
        <f aca="false">J51/G51</f>
        <v>#DIV/0!</v>
      </c>
      <c r="J51" s="443"/>
      <c r="K51" s="292" t="e">
        <f aca="false">L51/G51</f>
        <v>#DIV/0!</v>
      </c>
      <c r="L51" s="443"/>
      <c r="M51" s="292" t="e">
        <f aca="false">IF(N51="-","-",N51/L51)</f>
        <v>#DIV/0!</v>
      </c>
      <c r="N51" s="411"/>
      <c r="O51" s="412"/>
      <c r="P51" s="413"/>
      <c r="Q51" s="412"/>
      <c r="R51" s="413"/>
      <c r="S51" s="414"/>
      <c r="T51" s="415"/>
      <c r="U51" s="414"/>
      <c r="V51" s="416"/>
      <c r="W51" s="457"/>
    </row>
    <row r="52" customFormat="false" ht="15" hidden="false" customHeight="true" outlineLevel="0" collapsed="false">
      <c r="B52" s="172"/>
      <c r="C52" s="173"/>
      <c r="D52" s="454"/>
      <c r="E52" s="462" t="s">
        <v>104</v>
      </c>
      <c r="F52" s="463" t="s">
        <v>102</v>
      </c>
      <c r="G52" s="422" t="n">
        <v>157</v>
      </c>
      <c r="H52" s="423" t="n">
        <v>82</v>
      </c>
      <c r="I52" s="302" t="n">
        <f aca="false">J52/G52</f>
        <v>0.229299363057325</v>
      </c>
      <c r="J52" s="424" t="n">
        <v>36</v>
      </c>
      <c r="K52" s="302" t="n">
        <f aca="false">L52/G52</f>
        <v>0.312101910828025</v>
      </c>
      <c r="L52" s="424" t="n">
        <v>49</v>
      </c>
      <c r="M52" s="302" t="str">
        <f aca="false">IF(N52="-","-",N52/L52)</f>
        <v>-</v>
      </c>
      <c r="N52" s="425" t="s">
        <v>75</v>
      </c>
      <c r="O52" s="426" t="s">
        <v>75</v>
      </c>
      <c r="P52" s="427" t="s">
        <v>75</v>
      </c>
      <c r="Q52" s="426" t="s">
        <v>75</v>
      </c>
      <c r="R52" s="427" t="s">
        <v>75</v>
      </c>
      <c r="S52" s="306"/>
      <c r="T52" s="301"/>
      <c r="U52" s="306"/>
      <c r="V52" s="307"/>
      <c r="W52" s="457" t="s">
        <v>153</v>
      </c>
      <c r="Y52" s="1" t="n">
        <f aca="false">IF(G52="","",1)</f>
        <v>1</v>
      </c>
    </row>
    <row r="53" customFormat="false" ht="15.75" hidden="false" customHeight="false" outlineLevel="0" collapsed="false">
      <c r="B53" s="172"/>
      <c r="C53" s="173"/>
      <c r="D53" s="213" t="s">
        <v>76</v>
      </c>
      <c r="E53" s="214"/>
      <c r="F53" s="215"/>
      <c r="G53" s="216" t="n">
        <f aca="false">SUM(G45:G52)</f>
        <v>760</v>
      </c>
      <c r="H53" s="217" t="n">
        <f aca="false">SUM(H45:H52)</f>
        <v>414</v>
      </c>
      <c r="I53" s="218" t="n">
        <f aca="false">J53/G53</f>
        <v>0.381578947368421</v>
      </c>
      <c r="J53" s="320" t="n">
        <f aca="false">SUM(J45:J52)</f>
        <v>290</v>
      </c>
      <c r="K53" s="317" t="n">
        <f aca="false">L53/G53</f>
        <v>0.413157894736842</v>
      </c>
      <c r="L53" s="320" t="n">
        <f aca="false">SUM(L45:L52)</f>
        <v>314</v>
      </c>
      <c r="M53" s="218" t="n">
        <f aca="false">N53/L53</f>
        <v>0</v>
      </c>
      <c r="N53" s="320" t="n">
        <f aca="false">SUM(N45:N52)</f>
        <v>0</v>
      </c>
      <c r="O53" s="321" t="n">
        <f aca="false">SUM(O45:O52)</f>
        <v>0</v>
      </c>
      <c r="P53" s="316" t="n">
        <f aca="false">SUM(P45:P52)</f>
        <v>0</v>
      </c>
      <c r="Q53" s="321" t="n">
        <f aca="false">SUM(Q45:Q52)</f>
        <v>0</v>
      </c>
      <c r="R53" s="316" t="n">
        <f aca="false">SUM(R45:R52)</f>
        <v>0</v>
      </c>
      <c r="S53" s="321" t="n">
        <f aca="false">SUM(S45:S52)</f>
        <v>0</v>
      </c>
      <c r="T53" s="316" t="n">
        <f aca="false">SUM(T45:T52)</f>
        <v>0</v>
      </c>
      <c r="U53" s="321" t="n">
        <f aca="false">SUM(U45:U52)</f>
        <v>0</v>
      </c>
      <c r="V53" s="322" t="n">
        <f aca="false">SUM(V45:V52)</f>
        <v>0</v>
      </c>
      <c r="W53" s="377"/>
    </row>
    <row r="54" customFormat="false" ht="15" hidden="false" customHeight="false" outlineLevel="0" collapsed="false">
      <c r="B54" s="224" t="s">
        <v>105</v>
      </c>
      <c r="C54" s="225" t="s">
        <v>97</v>
      </c>
      <c r="D54" s="378" t="n">
        <v>11</v>
      </c>
      <c r="E54" s="464" t="s">
        <v>74</v>
      </c>
      <c r="F54" s="465" t="s">
        <v>102</v>
      </c>
      <c r="G54" s="466"/>
      <c r="H54" s="467"/>
      <c r="I54" s="468" t="e">
        <f aca="false">J54/G54</f>
        <v>#DIV/0!</v>
      </c>
      <c r="J54" s="469" t="n">
        <v>32</v>
      </c>
      <c r="K54" s="468" t="e">
        <f aca="false">L54/G54</f>
        <v>#DIV/0!</v>
      </c>
      <c r="L54" s="469" t="n">
        <v>12</v>
      </c>
      <c r="M54" s="468" t="n">
        <f aca="false">IF(N54="-","-",N54/L54)</f>
        <v>0.833333333333333</v>
      </c>
      <c r="N54" s="470" t="n">
        <v>10</v>
      </c>
      <c r="O54" s="471" t="s">
        <v>75</v>
      </c>
      <c r="P54" s="472" t="s">
        <v>75</v>
      </c>
      <c r="Q54" s="471" t="s">
        <v>75</v>
      </c>
      <c r="R54" s="472" t="s">
        <v>75</v>
      </c>
      <c r="S54" s="473"/>
      <c r="T54" s="474"/>
      <c r="U54" s="473"/>
      <c r="V54" s="475"/>
      <c r="W54" s="377" t="s">
        <v>153</v>
      </c>
      <c r="Y54" s="1" t="str">
        <f aca="false">IF(G54="","",1)</f>
        <v/>
      </c>
    </row>
    <row r="55" customFormat="false" ht="15" hidden="false" customHeight="false" outlineLevel="0" collapsed="false">
      <c r="B55" s="224"/>
      <c r="C55" s="225"/>
      <c r="D55" s="378"/>
      <c r="E55" s="476" t="s">
        <v>74</v>
      </c>
      <c r="F55" s="477" t="s">
        <v>102</v>
      </c>
      <c r="G55" s="478"/>
      <c r="H55" s="479"/>
      <c r="I55" s="480" t="e">
        <f aca="false">J55/G55</f>
        <v>#DIV/0!</v>
      </c>
      <c r="J55" s="481" t="n">
        <v>81</v>
      </c>
      <c r="K55" s="480" t="e">
        <f aca="false">L55/G55</f>
        <v>#DIV/0!</v>
      </c>
      <c r="L55" s="481" t="n">
        <v>47</v>
      </c>
      <c r="M55" s="480" t="n">
        <f aca="false">IF(N55="-","-",N55/L55)</f>
        <v>0.702127659574468</v>
      </c>
      <c r="N55" s="482" t="n">
        <v>33</v>
      </c>
      <c r="O55" s="483" t="s">
        <v>75</v>
      </c>
      <c r="P55" s="484" t="s">
        <v>75</v>
      </c>
      <c r="Q55" s="483" t="s">
        <v>75</v>
      </c>
      <c r="R55" s="484" t="s">
        <v>75</v>
      </c>
      <c r="S55" s="485"/>
      <c r="T55" s="486"/>
      <c r="U55" s="485"/>
      <c r="V55" s="487"/>
      <c r="W55" s="377" t="s">
        <v>153</v>
      </c>
      <c r="Y55" s="1" t="str">
        <f aca="false">IF(G55="","",1)</f>
        <v/>
      </c>
    </row>
    <row r="56" customFormat="false" ht="15" hidden="false" customHeight="false" outlineLevel="0" collapsed="false">
      <c r="B56" s="224"/>
      <c r="C56" s="225"/>
      <c r="D56" s="378"/>
      <c r="E56" s="476" t="s">
        <v>74</v>
      </c>
      <c r="F56" s="477" t="s">
        <v>102</v>
      </c>
      <c r="G56" s="478"/>
      <c r="H56" s="479"/>
      <c r="I56" s="480" t="e">
        <f aca="false">J56/G56</f>
        <v>#DIV/0!</v>
      </c>
      <c r="J56" s="481" t="n">
        <v>16</v>
      </c>
      <c r="K56" s="480" t="e">
        <f aca="false">L56/G56</f>
        <v>#DIV/0!</v>
      </c>
      <c r="L56" s="481" t="n">
        <v>12</v>
      </c>
      <c r="M56" s="480" t="n">
        <f aca="false">IF(N56="-","-",N56/L56)</f>
        <v>0.75</v>
      </c>
      <c r="N56" s="482" t="n">
        <v>9</v>
      </c>
      <c r="O56" s="483" t="s">
        <v>75</v>
      </c>
      <c r="P56" s="484" t="s">
        <v>75</v>
      </c>
      <c r="Q56" s="483" t="s">
        <v>75</v>
      </c>
      <c r="R56" s="484" t="s">
        <v>75</v>
      </c>
      <c r="S56" s="485"/>
      <c r="T56" s="486"/>
      <c r="U56" s="485"/>
      <c r="V56" s="487"/>
      <c r="W56" s="377" t="s">
        <v>153</v>
      </c>
      <c r="Y56" s="1" t="str">
        <f aca="false">IF(G56="","",1)</f>
        <v/>
      </c>
    </row>
    <row r="57" customFormat="false" ht="15" hidden="false" customHeight="false" outlineLevel="0" collapsed="false">
      <c r="B57" s="224"/>
      <c r="C57" s="225"/>
      <c r="D57" s="378"/>
      <c r="E57" s="476" t="s">
        <v>74</v>
      </c>
      <c r="F57" s="477" t="s">
        <v>102</v>
      </c>
      <c r="G57" s="478"/>
      <c r="H57" s="479"/>
      <c r="I57" s="480" t="e">
        <f aca="false">J57/G57</f>
        <v>#DIV/0!</v>
      </c>
      <c r="J57" s="481" t="n">
        <v>35</v>
      </c>
      <c r="K57" s="480" t="e">
        <f aca="false">L57/G57</f>
        <v>#DIV/0!</v>
      </c>
      <c r="L57" s="481" t="n">
        <v>20</v>
      </c>
      <c r="M57" s="480" t="n">
        <f aca="false">IF(N57="-","-",N57/L57)</f>
        <v>0.85</v>
      </c>
      <c r="N57" s="482" t="n">
        <v>17</v>
      </c>
      <c r="O57" s="483" t="s">
        <v>75</v>
      </c>
      <c r="P57" s="484" t="s">
        <v>75</v>
      </c>
      <c r="Q57" s="483" t="s">
        <v>75</v>
      </c>
      <c r="R57" s="484" t="s">
        <v>75</v>
      </c>
      <c r="S57" s="485"/>
      <c r="T57" s="486"/>
      <c r="U57" s="485"/>
      <c r="V57" s="487"/>
      <c r="W57" s="377" t="s">
        <v>153</v>
      </c>
      <c r="Y57" s="1" t="str">
        <f aca="false">IF(G57="","",1)</f>
        <v/>
      </c>
    </row>
    <row r="58" customFormat="false" ht="15" hidden="false" customHeight="false" outlineLevel="0" collapsed="false">
      <c r="B58" s="224"/>
      <c r="C58" s="225"/>
      <c r="D58" s="378"/>
      <c r="E58" s="488" t="s">
        <v>74</v>
      </c>
      <c r="F58" s="489"/>
      <c r="G58" s="490"/>
      <c r="H58" s="491"/>
      <c r="I58" s="480" t="e">
        <f aca="false">J58/G58</f>
        <v>#DIV/0!</v>
      </c>
      <c r="J58" s="481" t="n">
        <v>35</v>
      </c>
      <c r="K58" s="480" t="e">
        <f aca="false">L58/G58</f>
        <v>#DIV/0!</v>
      </c>
      <c r="L58" s="481" t="n">
        <v>20</v>
      </c>
      <c r="M58" s="480" t="n">
        <f aca="false">IF(N58="-","-",N58/L58)</f>
        <v>0.85</v>
      </c>
      <c r="N58" s="482" t="n">
        <v>17</v>
      </c>
      <c r="O58" s="492"/>
      <c r="P58" s="493"/>
      <c r="Q58" s="492"/>
      <c r="R58" s="493"/>
      <c r="S58" s="494"/>
      <c r="T58" s="495"/>
      <c r="U58" s="494"/>
      <c r="V58" s="496"/>
      <c r="W58" s="377"/>
    </row>
    <row r="59" customFormat="false" ht="15" hidden="false" customHeight="false" outlineLevel="0" collapsed="false">
      <c r="B59" s="224"/>
      <c r="C59" s="225"/>
      <c r="D59" s="378"/>
      <c r="E59" s="488" t="s">
        <v>74</v>
      </c>
      <c r="F59" s="489"/>
      <c r="G59" s="490"/>
      <c r="H59" s="491"/>
      <c r="I59" s="480" t="e">
        <f aca="false">J59/G59</f>
        <v>#DIV/0!</v>
      </c>
      <c r="J59" s="481" t="n">
        <v>35</v>
      </c>
      <c r="K59" s="480" t="e">
        <f aca="false">L59/G59</f>
        <v>#DIV/0!</v>
      </c>
      <c r="L59" s="481" t="n">
        <v>20</v>
      </c>
      <c r="M59" s="480" t="n">
        <f aca="false">IF(N59="-","-",N59/L59)</f>
        <v>0.85</v>
      </c>
      <c r="N59" s="482" t="n">
        <v>17</v>
      </c>
      <c r="O59" s="492"/>
      <c r="P59" s="493"/>
      <c r="Q59" s="492"/>
      <c r="R59" s="493"/>
      <c r="S59" s="494"/>
      <c r="T59" s="495"/>
      <c r="U59" s="494"/>
      <c r="V59" s="496"/>
      <c r="W59" s="377"/>
    </row>
    <row r="60" customFormat="false" ht="15" hidden="false" customHeight="false" outlineLevel="0" collapsed="false">
      <c r="B60" s="224"/>
      <c r="C60" s="225"/>
      <c r="D60" s="378"/>
      <c r="E60" s="497" t="s">
        <v>74</v>
      </c>
      <c r="F60" s="498" t="s">
        <v>102</v>
      </c>
      <c r="G60" s="499"/>
      <c r="H60" s="500"/>
      <c r="I60" s="501" t="e">
        <f aca="false">J60/G60</f>
        <v>#DIV/0!</v>
      </c>
      <c r="J60" s="502" t="n">
        <v>28</v>
      </c>
      <c r="K60" s="501" t="e">
        <f aca="false">L60/G60</f>
        <v>#DIV/0!</v>
      </c>
      <c r="L60" s="502" t="n">
        <v>16</v>
      </c>
      <c r="M60" s="501" t="n">
        <f aca="false">IF(N60="-","-",N60/L60)</f>
        <v>0.9375</v>
      </c>
      <c r="N60" s="503" t="n">
        <v>15</v>
      </c>
      <c r="O60" s="504" t="s">
        <v>75</v>
      </c>
      <c r="P60" s="505" t="s">
        <v>75</v>
      </c>
      <c r="Q60" s="504" t="s">
        <v>75</v>
      </c>
      <c r="R60" s="505" t="s">
        <v>75</v>
      </c>
      <c r="S60" s="506"/>
      <c r="T60" s="507"/>
      <c r="U60" s="506"/>
      <c r="V60" s="508"/>
      <c r="W60" s="377" t="s">
        <v>153</v>
      </c>
      <c r="X60" s="194" t="s">
        <v>158</v>
      </c>
      <c r="Y60" s="1" t="str">
        <f aca="false">IF(G60="","",1)</f>
        <v/>
      </c>
    </row>
    <row r="61" customFormat="false" ht="15.75" hidden="false" customHeight="false" outlineLevel="0" collapsed="false">
      <c r="B61" s="224"/>
      <c r="C61" s="225"/>
      <c r="D61" s="213" t="s">
        <v>76</v>
      </c>
      <c r="E61" s="262"/>
      <c r="F61" s="263"/>
      <c r="G61" s="216" t="n">
        <f aca="false">SUM(G54:G60)</f>
        <v>0</v>
      </c>
      <c r="H61" s="217" t="n">
        <f aca="false">SUM(H54:H60)</f>
        <v>0</v>
      </c>
      <c r="I61" s="218" t="e">
        <f aca="false">J61/G61</f>
        <v>#DIV/0!</v>
      </c>
      <c r="J61" s="320" t="n">
        <f aca="false">SUM(J54:J60)</f>
        <v>262</v>
      </c>
      <c r="K61" s="317" t="e">
        <f aca="false">L61/G61</f>
        <v>#DIV/0!</v>
      </c>
      <c r="L61" s="320" t="n">
        <f aca="false">SUM(L54:L60)</f>
        <v>147</v>
      </c>
      <c r="M61" s="218" t="n">
        <f aca="false">N61/L61</f>
        <v>0.802721088435374</v>
      </c>
      <c r="N61" s="320" t="n">
        <f aca="false">SUM(N54:N60)</f>
        <v>118</v>
      </c>
      <c r="O61" s="321" t="n">
        <f aca="false">SUM(O54:O60)</f>
        <v>0</v>
      </c>
      <c r="P61" s="316" t="n">
        <f aca="false">SUM(P54:P60)</f>
        <v>0</v>
      </c>
      <c r="Q61" s="321" t="n">
        <f aca="false">SUM(Q54:Q60)</f>
        <v>0</v>
      </c>
      <c r="R61" s="316" t="n">
        <f aca="false">SUM(R54:R60)</f>
        <v>0</v>
      </c>
      <c r="S61" s="321" t="n">
        <f aca="false">SUM(S54:S60)</f>
        <v>0</v>
      </c>
      <c r="T61" s="316" t="n">
        <f aca="false">SUM(T54:T60)</f>
        <v>0</v>
      </c>
      <c r="U61" s="321" t="n">
        <f aca="false">SUM(U54:U60)</f>
        <v>0</v>
      </c>
      <c r="V61" s="322" t="n">
        <f aca="false">SUM(V54:V60)</f>
        <v>0</v>
      </c>
      <c r="W61" s="377" t="s">
        <v>153</v>
      </c>
      <c r="X61" s="194"/>
    </row>
    <row r="62" customFormat="false" ht="15" hidden="false" customHeight="false" outlineLevel="0" collapsed="false">
      <c r="B62" s="224" t="s">
        <v>106</v>
      </c>
      <c r="C62" s="225" t="s">
        <v>97</v>
      </c>
      <c r="D62" s="378" t="n">
        <v>11</v>
      </c>
      <c r="E62" s="464" t="s">
        <v>107</v>
      </c>
      <c r="F62" s="465" t="s">
        <v>102</v>
      </c>
      <c r="G62" s="466" t="n">
        <v>53</v>
      </c>
      <c r="H62" s="467" t="n">
        <v>38</v>
      </c>
      <c r="I62" s="468" t="n">
        <f aca="false">J62/G62</f>
        <v>0.60377358490566</v>
      </c>
      <c r="J62" s="469" t="n">
        <v>32</v>
      </c>
      <c r="K62" s="468" t="n">
        <f aca="false">L62/G62</f>
        <v>0.226415094339623</v>
      </c>
      <c r="L62" s="469" t="n">
        <v>12</v>
      </c>
      <c r="M62" s="468" t="n">
        <f aca="false">IF(N62="-","-",N62/L62)</f>
        <v>0.833333333333333</v>
      </c>
      <c r="N62" s="470" t="n">
        <v>10</v>
      </c>
      <c r="O62" s="471" t="s">
        <v>75</v>
      </c>
      <c r="P62" s="472" t="s">
        <v>75</v>
      </c>
      <c r="Q62" s="471" t="s">
        <v>75</v>
      </c>
      <c r="R62" s="472" t="s">
        <v>75</v>
      </c>
      <c r="S62" s="473" t="n">
        <v>51</v>
      </c>
      <c r="T62" s="474" t="n">
        <v>36</v>
      </c>
      <c r="U62" s="473" t="n">
        <v>2</v>
      </c>
      <c r="V62" s="475" t="n">
        <v>2</v>
      </c>
      <c r="W62" s="377" t="s">
        <v>153</v>
      </c>
      <c r="Y62" s="1" t="n">
        <f aca="false">IF(G62="","",1)</f>
        <v>1</v>
      </c>
    </row>
    <row r="63" customFormat="false" ht="15" hidden="false" customHeight="false" outlineLevel="0" collapsed="false">
      <c r="B63" s="224"/>
      <c r="C63" s="225"/>
      <c r="D63" s="378"/>
      <c r="E63" s="476" t="s">
        <v>108</v>
      </c>
      <c r="F63" s="477" t="s">
        <v>102</v>
      </c>
      <c r="G63" s="478" t="n">
        <v>117</v>
      </c>
      <c r="H63" s="479" t="n">
        <v>86</v>
      </c>
      <c r="I63" s="480" t="n">
        <f aca="false">J63/G63</f>
        <v>0.692307692307692</v>
      </c>
      <c r="J63" s="481" t="n">
        <v>81</v>
      </c>
      <c r="K63" s="480" t="n">
        <f aca="false">L63/G63</f>
        <v>0.401709401709402</v>
      </c>
      <c r="L63" s="481" t="n">
        <v>47</v>
      </c>
      <c r="M63" s="480" t="n">
        <f aca="false">IF(N63="-","-",N63/L63)</f>
        <v>0.702127659574468</v>
      </c>
      <c r="N63" s="482" t="n">
        <v>33</v>
      </c>
      <c r="O63" s="483" t="s">
        <v>75</v>
      </c>
      <c r="P63" s="484" t="s">
        <v>75</v>
      </c>
      <c r="Q63" s="483" t="s">
        <v>75</v>
      </c>
      <c r="R63" s="484" t="s">
        <v>75</v>
      </c>
      <c r="S63" s="485" t="n">
        <v>112</v>
      </c>
      <c r="T63" s="486" t="n">
        <v>82</v>
      </c>
      <c r="U63" s="485" t="n">
        <v>5</v>
      </c>
      <c r="V63" s="487" t="n">
        <v>4</v>
      </c>
      <c r="W63" s="377" t="s">
        <v>153</v>
      </c>
      <c r="Y63" s="1" t="n">
        <f aca="false">IF(G63="","",1)</f>
        <v>1</v>
      </c>
    </row>
    <row r="64" customFormat="false" ht="15" hidden="false" customHeight="false" outlineLevel="0" collapsed="false">
      <c r="B64" s="224"/>
      <c r="C64" s="225"/>
      <c r="D64" s="378"/>
      <c r="E64" s="476" t="s">
        <v>109</v>
      </c>
      <c r="F64" s="477" t="s">
        <v>102</v>
      </c>
      <c r="G64" s="478" t="n">
        <v>22</v>
      </c>
      <c r="H64" s="479" t="n">
        <v>20</v>
      </c>
      <c r="I64" s="480" t="n">
        <f aca="false">J64/G64</f>
        <v>0.727272727272727</v>
      </c>
      <c r="J64" s="481" t="n">
        <v>16</v>
      </c>
      <c r="K64" s="480" t="n">
        <f aca="false">L64/G64</f>
        <v>0.545454545454545</v>
      </c>
      <c r="L64" s="481" t="n">
        <v>12</v>
      </c>
      <c r="M64" s="480" t="n">
        <f aca="false">IF(N64="-","-",N64/L64)</f>
        <v>0.75</v>
      </c>
      <c r="N64" s="482" t="n">
        <v>9</v>
      </c>
      <c r="O64" s="483" t="s">
        <v>75</v>
      </c>
      <c r="P64" s="484" t="s">
        <v>75</v>
      </c>
      <c r="Q64" s="483" t="s">
        <v>75</v>
      </c>
      <c r="R64" s="484" t="s">
        <v>75</v>
      </c>
      <c r="S64" s="485" t="n">
        <v>22</v>
      </c>
      <c r="T64" s="486" t="n">
        <v>20</v>
      </c>
      <c r="U64" s="485" t="n">
        <v>0</v>
      </c>
      <c r="V64" s="487" t="n">
        <v>0</v>
      </c>
      <c r="W64" s="377" t="s">
        <v>153</v>
      </c>
      <c r="Y64" s="1" t="n">
        <f aca="false">IF(G64="","",1)</f>
        <v>1</v>
      </c>
    </row>
    <row r="65" customFormat="false" ht="15" hidden="false" customHeight="false" outlineLevel="0" collapsed="false">
      <c r="B65" s="224"/>
      <c r="C65" s="225"/>
      <c r="D65" s="378"/>
      <c r="E65" s="476" t="s">
        <v>110</v>
      </c>
      <c r="F65" s="477" t="s">
        <v>102</v>
      </c>
      <c r="G65" s="478" t="n">
        <v>49</v>
      </c>
      <c r="H65" s="479" t="n">
        <v>33</v>
      </c>
      <c r="I65" s="480" t="n">
        <f aca="false">J65/G65</f>
        <v>0.714285714285714</v>
      </c>
      <c r="J65" s="481" t="n">
        <v>35</v>
      </c>
      <c r="K65" s="480" t="n">
        <f aca="false">L65/G65</f>
        <v>0.408163265306122</v>
      </c>
      <c r="L65" s="481" t="n">
        <v>20</v>
      </c>
      <c r="M65" s="480" t="n">
        <f aca="false">IF(N65="-","-",N65/L65)</f>
        <v>0.85</v>
      </c>
      <c r="N65" s="482" t="n">
        <v>17</v>
      </c>
      <c r="O65" s="483" t="s">
        <v>75</v>
      </c>
      <c r="P65" s="484" t="s">
        <v>75</v>
      </c>
      <c r="Q65" s="483" t="s">
        <v>75</v>
      </c>
      <c r="R65" s="484" t="s">
        <v>75</v>
      </c>
      <c r="S65" s="485" t="n">
        <v>46</v>
      </c>
      <c r="T65" s="486" t="n">
        <v>31</v>
      </c>
      <c r="U65" s="485" t="n">
        <v>3</v>
      </c>
      <c r="V65" s="487" t="n">
        <v>2</v>
      </c>
      <c r="W65" s="377" t="s">
        <v>153</v>
      </c>
      <c r="Y65" s="1" t="n">
        <f aca="false">IF(G65="","",1)</f>
        <v>1</v>
      </c>
    </row>
    <row r="66" customFormat="false" ht="15" hidden="false" customHeight="false" outlineLevel="0" collapsed="false">
      <c r="B66" s="224"/>
      <c r="C66" s="225"/>
      <c r="D66" s="378"/>
      <c r="E66" s="488"/>
      <c r="F66" s="489"/>
      <c r="G66" s="490"/>
      <c r="H66" s="491"/>
      <c r="I66" s="480" t="e">
        <f aca="false">J66/G66</f>
        <v>#DIV/0!</v>
      </c>
      <c r="J66" s="509"/>
      <c r="K66" s="480" t="e">
        <f aca="false">L66/G66</f>
        <v>#DIV/0!</v>
      </c>
      <c r="L66" s="509"/>
      <c r="M66" s="480" t="e">
        <f aca="false">IF(N66="-","-",N66/L66)</f>
        <v>#DIV/0!</v>
      </c>
      <c r="N66" s="510"/>
      <c r="O66" s="492"/>
      <c r="P66" s="493"/>
      <c r="Q66" s="492"/>
      <c r="R66" s="493"/>
      <c r="S66" s="494"/>
      <c r="T66" s="495"/>
      <c r="U66" s="494"/>
      <c r="V66" s="496"/>
      <c r="W66" s="377"/>
    </row>
    <row r="67" customFormat="false" ht="15" hidden="false" customHeight="false" outlineLevel="0" collapsed="false">
      <c r="B67" s="224"/>
      <c r="C67" s="225"/>
      <c r="D67" s="378"/>
      <c r="E67" s="488"/>
      <c r="F67" s="489"/>
      <c r="G67" s="490"/>
      <c r="H67" s="491"/>
      <c r="I67" s="480" t="e">
        <f aca="false">J67/G67</f>
        <v>#DIV/0!</v>
      </c>
      <c r="J67" s="509"/>
      <c r="K67" s="480" t="e">
        <f aca="false">L67/G67</f>
        <v>#DIV/0!</v>
      </c>
      <c r="L67" s="509"/>
      <c r="M67" s="480" t="e">
        <f aca="false">IF(N67="-","-",N67/L67)</f>
        <v>#DIV/0!</v>
      </c>
      <c r="N67" s="510"/>
      <c r="O67" s="492"/>
      <c r="P67" s="493"/>
      <c r="Q67" s="492"/>
      <c r="R67" s="493"/>
      <c r="S67" s="494"/>
      <c r="T67" s="495"/>
      <c r="U67" s="494"/>
      <c r="V67" s="496"/>
      <c r="W67" s="377"/>
    </row>
    <row r="68" customFormat="false" ht="15" hidden="false" customHeight="false" outlineLevel="0" collapsed="false">
      <c r="B68" s="224"/>
      <c r="C68" s="225"/>
      <c r="D68" s="378"/>
      <c r="E68" s="497" t="s">
        <v>111</v>
      </c>
      <c r="F68" s="498" t="s">
        <v>102</v>
      </c>
      <c r="G68" s="499" t="n">
        <v>44</v>
      </c>
      <c r="H68" s="500" t="n">
        <v>44</v>
      </c>
      <c r="I68" s="501" t="n">
        <f aca="false">J68/G68</f>
        <v>0.636363636363636</v>
      </c>
      <c r="J68" s="502" t="n">
        <v>28</v>
      </c>
      <c r="K68" s="501" t="n">
        <f aca="false">L68/G68</f>
        <v>0.363636363636364</v>
      </c>
      <c r="L68" s="502" t="n">
        <v>16</v>
      </c>
      <c r="M68" s="501" t="n">
        <f aca="false">IF(N68="-","-",N68/L68)</f>
        <v>0.9375</v>
      </c>
      <c r="N68" s="503" t="n">
        <v>15</v>
      </c>
      <c r="O68" s="504" t="s">
        <v>75</v>
      </c>
      <c r="P68" s="505" t="s">
        <v>75</v>
      </c>
      <c r="Q68" s="504" t="s">
        <v>75</v>
      </c>
      <c r="R68" s="505" t="s">
        <v>75</v>
      </c>
      <c r="S68" s="506" t="n">
        <v>40</v>
      </c>
      <c r="T68" s="507" t="n">
        <v>40</v>
      </c>
      <c r="U68" s="506" t="n">
        <v>4</v>
      </c>
      <c r="V68" s="508" t="n">
        <v>4</v>
      </c>
      <c r="W68" s="377" t="s">
        <v>153</v>
      </c>
      <c r="X68" s="194" t="s">
        <v>158</v>
      </c>
      <c r="Y68" s="1" t="n">
        <f aca="false">IF(G68="","",1)</f>
        <v>1</v>
      </c>
    </row>
    <row r="69" customFormat="false" ht="15.75" hidden="false" customHeight="false" outlineLevel="0" collapsed="false">
      <c r="B69" s="224"/>
      <c r="C69" s="225"/>
      <c r="D69" s="213" t="s">
        <v>76</v>
      </c>
      <c r="E69" s="262"/>
      <c r="F69" s="263"/>
      <c r="G69" s="216" t="n">
        <f aca="false">SUM(G62:G68)</f>
        <v>285</v>
      </c>
      <c r="H69" s="217" t="n">
        <f aca="false">SUM(H62:H68)</f>
        <v>221</v>
      </c>
      <c r="I69" s="218" t="n">
        <f aca="false">J69/G69</f>
        <v>0.673684210526316</v>
      </c>
      <c r="J69" s="320" t="n">
        <f aca="false">SUM(J62:J68)</f>
        <v>192</v>
      </c>
      <c r="K69" s="317" t="n">
        <f aca="false">L69/G69</f>
        <v>0.375438596491228</v>
      </c>
      <c r="L69" s="320" t="n">
        <f aca="false">SUM(L62:L68)</f>
        <v>107</v>
      </c>
      <c r="M69" s="218" t="n">
        <f aca="false">N69/L69</f>
        <v>0.785046728971963</v>
      </c>
      <c r="N69" s="320" t="n">
        <f aca="false">SUM(N62:N68)</f>
        <v>84</v>
      </c>
      <c r="O69" s="321" t="n">
        <f aca="false">SUM(O62:O68)</f>
        <v>0</v>
      </c>
      <c r="P69" s="316" t="n">
        <f aca="false">SUM(P62:P68)</f>
        <v>0</v>
      </c>
      <c r="Q69" s="321" t="n">
        <f aca="false">SUM(Q62:Q68)</f>
        <v>0</v>
      </c>
      <c r="R69" s="316" t="n">
        <f aca="false">SUM(R62:R68)</f>
        <v>0</v>
      </c>
      <c r="S69" s="321" t="n">
        <f aca="false">SUM(S62:S68)</f>
        <v>271</v>
      </c>
      <c r="T69" s="316" t="n">
        <f aca="false">SUM(T62:T68)</f>
        <v>209</v>
      </c>
      <c r="U69" s="321" t="n">
        <f aca="false">SUM(U62:U68)</f>
        <v>14</v>
      </c>
      <c r="V69" s="322" t="n">
        <f aca="false">SUM(V62:V68)</f>
        <v>12</v>
      </c>
      <c r="W69" s="377" t="s">
        <v>153</v>
      </c>
      <c r="X69" s="194"/>
    </row>
    <row r="70" customFormat="false" ht="15" hidden="false" customHeight="true" outlineLevel="0" collapsed="false">
      <c r="B70" s="266" t="s">
        <v>112</v>
      </c>
      <c r="C70" s="267" t="s">
        <v>97</v>
      </c>
      <c r="D70" s="511" t="n">
        <v>17</v>
      </c>
      <c r="E70" s="455" t="s">
        <v>113</v>
      </c>
      <c r="F70" s="389" t="s">
        <v>102</v>
      </c>
      <c r="G70" s="435" t="n">
        <v>76</v>
      </c>
      <c r="H70" s="436" t="n">
        <f aca="false">G70</f>
        <v>76</v>
      </c>
      <c r="I70" s="394" t="n">
        <f aca="false">J70/G70</f>
        <v>0.5</v>
      </c>
      <c r="J70" s="437" t="n">
        <f aca="false">17+21</f>
        <v>38</v>
      </c>
      <c r="K70" s="394" t="n">
        <f aca="false">L70/G70</f>
        <v>0.381578947368421</v>
      </c>
      <c r="L70" s="437" t="n">
        <v>29</v>
      </c>
      <c r="M70" s="394" t="n">
        <f aca="false">IF(N70="-","-",N70/L70)</f>
        <v>0.724137931034483</v>
      </c>
      <c r="N70" s="395" t="n">
        <v>21</v>
      </c>
      <c r="O70" s="396" t="s">
        <v>75</v>
      </c>
      <c r="P70" s="397" t="s">
        <v>75</v>
      </c>
      <c r="Q70" s="396" t="s">
        <v>75</v>
      </c>
      <c r="R70" s="397" t="s">
        <v>75</v>
      </c>
      <c r="S70" s="512" t="n">
        <v>75</v>
      </c>
      <c r="T70" s="513" t="n">
        <v>75</v>
      </c>
      <c r="U70" s="512" t="n">
        <v>1</v>
      </c>
      <c r="V70" s="514" t="n">
        <v>1</v>
      </c>
      <c r="W70" s="377" t="s">
        <v>153</v>
      </c>
      <c r="X70" s="194"/>
      <c r="Y70" s="1" t="n">
        <f aca="false">IF(G70="","",1)</f>
        <v>1</v>
      </c>
    </row>
    <row r="71" customFormat="false" ht="15" hidden="false" customHeight="true" outlineLevel="0" collapsed="false">
      <c r="B71" s="266"/>
      <c r="C71" s="267"/>
      <c r="D71" s="511"/>
      <c r="E71" s="458" t="s">
        <v>114</v>
      </c>
      <c r="F71" s="402" t="s">
        <v>102</v>
      </c>
      <c r="G71" s="438" t="n">
        <v>80</v>
      </c>
      <c r="H71" s="439" t="n">
        <f aca="false">G71</f>
        <v>80</v>
      </c>
      <c r="I71" s="292" t="n">
        <f aca="false">J71/G71</f>
        <v>0.6375</v>
      </c>
      <c r="J71" s="440" t="n">
        <f aca="false">25+26</f>
        <v>51</v>
      </c>
      <c r="K71" s="292" t="n">
        <f aca="false">L71/G71</f>
        <v>0.5</v>
      </c>
      <c r="L71" s="440" t="n">
        <v>40</v>
      </c>
      <c r="M71" s="292" t="n">
        <f aca="false">IF(N71="-","-",N71/L71)</f>
        <v>0.65</v>
      </c>
      <c r="N71" s="406" t="n">
        <v>26</v>
      </c>
      <c r="O71" s="407" t="s">
        <v>75</v>
      </c>
      <c r="P71" s="408" t="s">
        <v>75</v>
      </c>
      <c r="Q71" s="407" t="s">
        <v>75</v>
      </c>
      <c r="R71" s="408" t="s">
        <v>75</v>
      </c>
      <c r="S71" s="515" t="n">
        <v>74</v>
      </c>
      <c r="T71" s="516" t="n">
        <v>74</v>
      </c>
      <c r="U71" s="515" t="n">
        <v>6</v>
      </c>
      <c r="V71" s="517" t="n">
        <v>6</v>
      </c>
      <c r="W71" s="377" t="s">
        <v>153</v>
      </c>
      <c r="X71" s="194"/>
      <c r="Y71" s="1" t="n">
        <f aca="false">IF(G71="","",1)</f>
        <v>1</v>
      </c>
    </row>
    <row r="72" customFormat="false" ht="15" hidden="false" customHeight="true" outlineLevel="0" collapsed="false">
      <c r="B72" s="266"/>
      <c r="C72" s="267"/>
      <c r="D72" s="511"/>
      <c r="E72" s="458" t="s">
        <v>115</v>
      </c>
      <c r="F72" s="402" t="s">
        <v>102</v>
      </c>
      <c r="G72" s="438" t="n">
        <v>31</v>
      </c>
      <c r="H72" s="439" t="n">
        <f aca="false">G72</f>
        <v>31</v>
      </c>
      <c r="I72" s="292" t="n">
        <f aca="false">J72/G72</f>
        <v>0.32258064516129</v>
      </c>
      <c r="J72" s="440" t="n">
        <f aca="false">5+5</f>
        <v>10</v>
      </c>
      <c r="K72" s="292" t="n">
        <f aca="false">L72/G72</f>
        <v>0.354838709677419</v>
      </c>
      <c r="L72" s="440" t="n">
        <v>11</v>
      </c>
      <c r="M72" s="292" t="n">
        <f aca="false">IF(N72="-","-",N72/L72)</f>
        <v>0.454545454545455</v>
      </c>
      <c r="N72" s="406" t="n">
        <v>5</v>
      </c>
      <c r="O72" s="407" t="s">
        <v>75</v>
      </c>
      <c r="P72" s="408" t="s">
        <v>75</v>
      </c>
      <c r="Q72" s="407" t="s">
        <v>75</v>
      </c>
      <c r="R72" s="408" t="s">
        <v>75</v>
      </c>
      <c r="S72" s="515" t="n">
        <v>31</v>
      </c>
      <c r="T72" s="516" t="n">
        <v>31</v>
      </c>
      <c r="U72" s="515" t="n">
        <v>0</v>
      </c>
      <c r="V72" s="517" t="n">
        <v>0</v>
      </c>
      <c r="W72" s="377" t="s">
        <v>153</v>
      </c>
      <c r="X72" s="194"/>
      <c r="Y72" s="1" t="n">
        <f aca="false">IF(G72="","",1)</f>
        <v>1</v>
      </c>
    </row>
    <row r="73" customFormat="false" ht="15" hidden="false" customHeight="true" outlineLevel="0" collapsed="false">
      <c r="B73" s="266"/>
      <c r="C73" s="267"/>
      <c r="D73" s="511"/>
      <c r="E73" s="458" t="s">
        <v>116</v>
      </c>
      <c r="F73" s="402" t="s">
        <v>102</v>
      </c>
      <c r="G73" s="438" t="n">
        <v>15</v>
      </c>
      <c r="H73" s="439" t="n">
        <f aca="false">G73</f>
        <v>15</v>
      </c>
      <c r="I73" s="292" t="n">
        <f aca="false">J73/G73</f>
        <v>0.333333333333333</v>
      </c>
      <c r="J73" s="440" t="n">
        <f aca="false">5+0</f>
        <v>5</v>
      </c>
      <c r="K73" s="292" t="n">
        <f aca="false">L73/G73</f>
        <v>0</v>
      </c>
      <c r="L73" s="440" t="n">
        <v>0</v>
      </c>
      <c r="M73" s="292" t="str">
        <f aca="false">IF(N73=0,"-",N73/L73)</f>
        <v>-</v>
      </c>
      <c r="N73" s="406" t="n">
        <v>0</v>
      </c>
      <c r="O73" s="407" t="s">
        <v>75</v>
      </c>
      <c r="P73" s="408" t="s">
        <v>75</v>
      </c>
      <c r="Q73" s="407" t="s">
        <v>75</v>
      </c>
      <c r="R73" s="408" t="s">
        <v>75</v>
      </c>
      <c r="S73" s="515" t="n">
        <v>15</v>
      </c>
      <c r="T73" s="516" t="n">
        <v>15</v>
      </c>
      <c r="U73" s="515" t="n">
        <v>0</v>
      </c>
      <c r="V73" s="517" t="n">
        <v>0</v>
      </c>
      <c r="W73" s="377" t="s">
        <v>153</v>
      </c>
      <c r="X73" s="194"/>
      <c r="Y73" s="1" t="n">
        <f aca="false">IF(G73="","",1)</f>
        <v>1</v>
      </c>
    </row>
    <row r="74" customFormat="false" ht="15" hidden="false" customHeight="true" outlineLevel="0" collapsed="false">
      <c r="B74" s="266"/>
      <c r="C74" s="267"/>
      <c r="D74" s="511"/>
      <c r="E74" s="458" t="s">
        <v>117</v>
      </c>
      <c r="F74" s="402" t="s">
        <v>102</v>
      </c>
      <c r="G74" s="438" t="n">
        <v>2</v>
      </c>
      <c r="H74" s="439" t="n">
        <f aca="false">G74</f>
        <v>2</v>
      </c>
      <c r="I74" s="292" t="n">
        <f aca="false">J74/G74</f>
        <v>0.5</v>
      </c>
      <c r="J74" s="440" t="n">
        <f aca="false">0+1</f>
        <v>1</v>
      </c>
      <c r="K74" s="292" t="n">
        <f aca="false">L74/G74</f>
        <v>0.5</v>
      </c>
      <c r="L74" s="440" t="n">
        <v>1</v>
      </c>
      <c r="M74" s="292" t="n">
        <f aca="false">IF(N74="-","-",N74/L74)</f>
        <v>1</v>
      </c>
      <c r="N74" s="406" t="n">
        <v>1</v>
      </c>
      <c r="O74" s="407" t="s">
        <v>75</v>
      </c>
      <c r="P74" s="408" t="s">
        <v>75</v>
      </c>
      <c r="Q74" s="407" t="s">
        <v>75</v>
      </c>
      <c r="R74" s="408" t="s">
        <v>75</v>
      </c>
      <c r="S74" s="515" t="n">
        <v>1</v>
      </c>
      <c r="T74" s="516" t="n">
        <v>1</v>
      </c>
      <c r="U74" s="515" t="n">
        <v>1</v>
      </c>
      <c r="V74" s="517" t="n">
        <v>1</v>
      </c>
      <c r="W74" s="377" t="s">
        <v>153</v>
      </c>
      <c r="X74" s="194"/>
      <c r="Y74" s="1" t="n">
        <f aca="false">IF(G74="","",1)</f>
        <v>1</v>
      </c>
    </row>
    <row r="75" customFormat="false" ht="15" hidden="false" customHeight="true" outlineLevel="0" collapsed="false">
      <c r="B75" s="266"/>
      <c r="C75" s="267"/>
      <c r="D75" s="511"/>
      <c r="E75" s="458" t="s">
        <v>118</v>
      </c>
      <c r="F75" s="402" t="s">
        <v>102</v>
      </c>
      <c r="G75" s="438" t="n">
        <v>15</v>
      </c>
      <c r="H75" s="439" t="n">
        <f aca="false">G75</f>
        <v>15</v>
      </c>
      <c r="I75" s="292" t="n">
        <f aca="false">J75/G75</f>
        <v>0.533333333333333</v>
      </c>
      <c r="J75" s="440" t="n">
        <f aca="false">6+2</f>
        <v>8</v>
      </c>
      <c r="K75" s="292" t="n">
        <f aca="false">L75/G75</f>
        <v>0.266666666666667</v>
      </c>
      <c r="L75" s="440" t="n">
        <v>4</v>
      </c>
      <c r="M75" s="292" t="n">
        <f aca="false">IF(N75="-","-",N75/L75)</f>
        <v>0.5</v>
      </c>
      <c r="N75" s="406" t="n">
        <v>2</v>
      </c>
      <c r="O75" s="407" t="s">
        <v>75</v>
      </c>
      <c r="P75" s="408" t="s">
        <v>75</v>
      </c>
      <c r="Q75" s="407" t="s">
        <v>75</v>
      </c>
      <c r="R75" s="408" t="s">
        <v>75</v>
      </c>
      <c r="S75" s="515" t="n">
        <v>13</v>
      </c>
      <c r="T75" s="516" t="n">
        <v>13</v>
      </c>
      <c r="U75" s="515" t="n">
        <v>2</v>
      </c>
      <c r="V75" s="517" t="n">
        <v>2</v>
      </c>
      <c r="W75" s="377" t="s">
        <v>153</v>
      </c>
      <c r="X75" s="194"/>
      <c r="Y75" s="1" t="n">
        <f aca="false">IF(G75="","",1)</f>
        <v>1</v>
      </c>
    </row>
    <row r="76" customFormat="false" ht="15.75" hidden="false" customHeight="true" outlineLevel="0" collapsed="false">
      <c r="B76" s="266"/>
      <c r="C76" s="267"/>
      <c r="D76" s="511"/>
      <c r="E76" s="458" t="s">
        <v>119</v>
      </c>
      <c r="F76" s="402"/>
      <c r="G76" s="438" t="n">
        <v>12</v>
      </c>
      <c r="H76" s="439" t="n">
        <f aca="false">G76</f>
        <v>12</v>
      </c>
      <c r="I76" s="292" t="n">
        <f aca="false">J76/G76</f>
        <v>0.833333333333333</v>
      </c>
      <c r="J76" s="440" t="n">
        <f aca="false">3+7</f>
        <v>10</v>
      </c>
      <c r="K76" s="292" t="n">
        <f aca="false">L76/G76</f>
        <v>0.583333333333333</v>
      </c>
      <c r="L76" s="440" t="n">
        <v>7</v>
      </c>
      <c r="M76" s="292" t="n">
        <f aca="false">IF(N76="-","-",N76/L76)</f>
        <v>1</v>
      </c>
      <c r="N76" s="406" t="n">
        <v>7</v>
      </c>
      <c r="O76" s="407" t="s">
        <v>75</v>
      </c>
      <c r="P76" s="408" t="s">
        <v>75</v>
      </c>
      <c r="Q76" s="407" t="s">
        <v>75</v>
      </c>
      <c r="R76" s="408" t="s">
        <v>75</v>
      </c>
      <c r="S76" s="515" t="n">
        <v>12</v>
      </c>
      <c r="T76" s="516" t="n">
        <v>12</v>
      </c>
      <c r="U76" s="515" t="n">
        <v>0</v>
      </c>
      <c r="V76" s="517" t="n">
        <v>0</v>
      </c>
      <c r="W76" s="377" t="s">
        <v>153</v>
      </c>
      <c r="X76" s="194"/>
      <c r="Y76" s="1" t="n">
        <f aca="false">IF(G76="","",1)</f>
        <v>1</v>
      </c>
    </row>
    <row r="77" customFormat="false" ht="15.75" hidden="false" customHeight="true" outlineLevel="0" collapsed="false">
      <c r="B77" s="266"/>
      <c r="C77" s="267"/>
      <c r="D77" s="511"/>
      <c r="E77" s="460"/>
      <c r="F77" s="518"/>
      <c r="G77" s="441"/>
      <c r="H77" s="442"/>
      <c r="I77" s="292" t="e">
        <f aca="false">J77/G77</f>
        <v>#DIV/0!</v>
      </c>
      <c r="J77" s="443"/>
      <c r="K77" s="292" t="e">
        <f aca="false">L77/G77</f>
        <v>#DIV/0!</v>
      </c>
      <c r="L77" s="443"/>
      <c r="M77" s="292" t="e">
        <f aca="false">IF(N77="-","-",N77/L77)</f>
        <v>#DIV/0!</v>
      </c>
      <c r="N77" s="411"/>
      <c r="O77" s="412"/>
      <c r="P77" s="413"/>
      <c r="Q77" s="412"/>
      <c r="R77" s="413"/>
      <c r="S77" s="519"/>
      <c r="T77" s="520"/>
      <c r="U77" s="519"/>
      <c r="V77" s="521"/>
      <c r="W77" s="377"/>
      <c r="X77" s="194"/>
    </row>
    <row r="78" customFormat="false" ht="15.75" hidden="false" customHeight="true" outlineLevel="0" collapsed="false">
      <c r="B78" s="266"/>
      <c r="C78" s="267"/>
      <c r="D78" s="511"/>
      <c r="E78" s="460"/>
      <c r="F78" s="518"/>
      <c r="G78" s="441"/>
      <c r="H78" s="442"/>
      <c r="I78" s="292" t="e">
        <f aca="false">J78/G78</f>
        <v>#DIV/0!</v>
      </c>
      <c r="J78" s="443"/>
      <c r="K78" s="292" t="e">
        <f aca="false">L78/G78</f>
        <v>#DIV/0!</v>
      </c>
      <c r="L78" s="443"/>
      <c r="M78" s="292" t="e">
        <f aca="false">IF(N78="-","-",N78/L78)</f>
        <v>#DIV/0!</v>
      </c>
      <c r="N78" s="411"/>
      <c r="O78" s="412"/>
      <c r="P78" s="413"/>
      <c r="Q78" s="412"/>
      <c r="R78" s="413"/>
      <c r="S78" s="519"/>
      <c r="T78" s="520"/>
      <c r="U78" s="519"/>
      <c r="V78" s="521"/>
      <c r="W78" s="377"/>
      <c r="X78" s="194"/>
    </row>
    <row r="79" customFormat="false" ht="15.75" hidden="false" customHeight="true" outlineLevel="0" collapsed="false">
      <c r="B79" s="266"/>
      <c r="C79" s="267"/>
      <c r="D79" s="511"/>
      <c r="E79" s="462" t="s">
        <v>120</v>
      </c>
      <c r="F79" s="421"/>
      <c r="G79" s="422" t="n">
        <v>14</v>
      </c>
      <c r="H79" s="423" t="n">
        <f aca="false">G79</f>
        <v>14</v>
      </c>
      <c r="I79" s="302" t="n">
        <f aca="false">J79/G79</f>
        <v>1</v>
      </c>
      <c r="J79" s="424" t="n">
        <f aca="false">9+5</f>
        <v>14</v>
      </c>
      <c r="K79" s="302" t="n">
        <f aca="false">L79/G79</f>
        <v>0.357142857142857</v>
      </c>
      <c r="L79" s="424" t="n">
        <v>5</v>
      </c>
      <c r="M79" s="302" t="n">
        <f aca="false">IF(N79="-","-",N79/L79)</f>
        <v>1</v>
      </c>
      <c r="N79" s="425" t="n">
        <v>5</v>
      </c>
      <c r="O79" s="426" t="s">
        <v>75</v>
      </c>
      <c r="P79" s="427" t="s">
        <v>75</v>
      </c>
      <c r="Q79" s="426" t="s">
        <v>75</v>
      </c>
      <c r="R79" s="427" t="s">
        <v>75</v>
      </c>
      <c r="S79" s="522" t="n">
        <v>14</v>
      </c>
      <c r="T79" s="523" t="n">
        <v>14</v>
      </c>
      <c r="U79" s="522" t="n">
        <v>0</v>
      </c>
      <c r="V79" s="524" t="n">
        <v>0</v>
      </c>
      <c r="W79" s="377" t="s">
        <v>153</v>
      </c>
      <c r="X79" s="194"/>
      <c r="Y79" s="1" t="n">
        <f aca="false">IF(G79="","",1)</f>
        <v>1</v>
      </c>
    </row>
    <row r="80" customFormat="false" ht="15.75" hidden="false" customHeight="false" outlineLevel="0" collapsed="false">
      <c r="B80" s="266"/>
      <c r="C80" s="267"/>
      <c r="D80" s="267" t="s">
        <v>76</v>
      </c>
      <c r="E80" s="282"/>
      <c r="F80" s="263"/>
      <c r="G80" s="216" t="n">
        <f aca="false">SUM(G70:G79)</f>
        <v>245</v>
      </c>
      <c r="H80" s="217" t="n">
        <f aca="false">SUM(H70:H79)</f>
        <v>245</v>
      </c>
      <c r="I80" s="218" t="n">
        <f aca="false">J80/G80</f>
        <v>0.559183673469388</v>
      </c>
      <c r="J80" s="320" t="n">
        <f aca="false">SUM(J70:J79)</f>
        <v>137</v>
      </c>
      <c r="K80" s="317" t="n">
        <f aca="false">L80/G80</f>
        <v>0.395918367346939</v>
      </c>
      <c r="L80" s="320" t="n">
        <f aca="false">SUM(L70:L79)</f>
        <v>97</v>
      </c>
      <c r="M80" s="218" t="n">
        <f aca="false">N80/L80</f>
        <v>0.690721649484536</v>
      </c>
      <c r="N80" s="320" t="n">
        <f aca="false">SUM(N70:N79)</f>
        <v>67</v>
      </c>
      <c r="O80" s="321" t="n">
        <f aca="false">SUM(O70:O79)</f>
        <v>0</v>
      </c>
      <c r="P80" s="316" t="n">
        <f aca="false">SUM(P70:P79)</f>
        <v>0</v>
      </c>
      <c r="Q80" s="321" t="n">
        <f aca="false">SUM(Q70:Q79)</f>
        <v>0</v>
      </c>
      <c r="R80" s="316" t="n">
        <f aca="false">SUM(R70:R79)</f>
        <v>0</v>
      </c>
      <c r="S80" s="321" t="n">
        <f aca="false">SUM(S70:S79)</f>
        <v>235</v>
      </c>
      <c r="T80" s="316" t="n">
        <f aca="false">SUM(T70:T79)</f>
        <v>235</v>
      </c>
      <c r="U80" s="321" t="n">
        <f aca="false">SUM(U70:U79)</f>
        <v>10</v>
      </c>
      <c r="V80" s="322" t="n">
        <f aca="false">SUM(V70:V79)</f>
        <v>10</v>
      </c>
      <c r="W80" s="377" t="s">
        <v>153</v>
      </c>
      <c r="X80" s="194"/>
    </row>
    <row r="81" customFormat="false" ht="15" hidden="false" customHeight="true" outlineLevel="0" collapsed="false">
      <c r="B81" s="283" t="s">
        <v>159</v>
      </c>
      <c r="C81" s="213" t="s">
        <v>97</v>
      </c>
      <c r="D81" s="525" t="n">
        <v>17</v>
      </c>
      <c r="E81" s="455" t="s">
        <v>122</v>
      </c>
      <c r="F81" s="389"/>
      <c r="G81" s="390"/>
      <c r="H81" s="391"/>
      <c r="I81" s="272"/>
      <c r="J81" s="437"/>
      <c r="K81" s="394"/>
      <c r="L81" s="437"/>
      <c r="M81" s="272"/>
      <c r="N81" s="395"/>
      <c r="O81" s="396"/>
      <c r="P81" s="397"/>
      <c r="Q81" s="396"/>
      <c r="R81" s="397"/>
      <c r="S81" s="512"/>
      <c r="T81" s="513"/>
      <c r="U81" s="512"/>
      <c r="V81" s="514"/>
      <c r="W81" s="526"/>
      <c r="X81" s="286"/>
    </row>
    <row r="82" customFormat="false" ht="15.75" hidden="false" customHeight="true" outlineLevel="0" collapsed="false">
      <c r="B82" s="283"/>
      <c r="C82" s="213"/>
      <c r="D82" s="525"/>
      <c r="E82" s="458" t="s">
        <v>123</v>
      </c>
      <c r="F82" s="402"/>
      <c r="G82" s="403"/>
      <c r="H82" s="404"/>
      <c r="I82" s="188"/>
      <c r="J82" s="440"/>
      <c r="K82" s="292"/>
      <c r="L82" s="440"/>
      <c r="M82" s="188"/>
      <c r="N82" s="406"/>
      <c r="O82" s="407"/>
      <c r="P82" s="408"/>
      <c r="Q82" s="407"/>
      <c r="R82" s="408"/>
      <c r="S82" s="515"/>
      <c r="T82" s="516"/>
      <c r="U82" s="515"/>
      <c r="V82" s="517"/>
      <c r="W82" s="527"/>
      <c r="X82" s="288"/>
    </row>
    <row r="83" customFormat="false" ht="15.75" hidden="false" customHeight="true" outlineLevel="0" collapsed="false">
      <c r="B83" s="283"/>
      <c r="C83" s="213"/>
      <c r="D83" s="525"/>
      <c r="E83" s="458" t="s">
        <v>124</v>
      </c>
      <c r="F83" s="402"/>
      <c r="G83" s="403"/>
      <c r="H83" s="404"/>
      <c r="I83" s="188"/>
      <c r="J83" s="440"/>
      <c r="K83" s="292"/>
      <c r="L83" s="440"/>
      <c r="M83" s="188"/>
      <c r="N83" s="406"/>
      <c r="O83" s="407"/>
      <c r="P83" s="408"/>
      <c r="Q83" s="407"/>
      <c r="R83" s="408"/>
      <c r="S83" s="515"/>
      <c r="T83" s="516"/>
      <c r="U83" s="515"/>
      <c r="V83" s="517"/>
      <c r="W83" s="527"/>
      <c r="X83" s="288"/>
    </row>
    <row r="84" customFormat="false" ht="15" hidden="false" customHeight="true" outlineLevel="0" collapsed="false">
      <c r="B84" s="283"/>
      <c r="C84" s="213"/>
      <c r="D84" s="525"/>
      <c r="E84" s="458" t="s">
        <v>125</v>
      </c>
      <c r="F84" s="459" t="s">
        <v>70</v>
      </c>
      <c r="G84" s="438" t="n">
        <v>346</v>
      </c>
      <c r="H84" s="439" t="n">
        <v>174</v>
      </c>
      <c r="I84" s="292" t="n">
        <f aca="false">J84/G84</f>
        <v>0.315028901734104</v>
      </c>
      <c r="J84" s="440" t="n">
        <v>109</v>
      </c>
      <c r="K84" s="292" t="n">
        <f aca="false">L84/G84</f>
        <v>0.236994219653179</v>
      </c>
      <c r="L84" s="440" t="n">
        <v>82</v>
      </c>
      <c r="M84" s="292" t="n">
        <f aca="false">IF(N84="-","-",N84/L84)</f>
        <v>0.524390243902439</v>
      </c>
      <c r="N84" s="406" t="n">
        <v>43</v>
      </c>
      <c r="O84" s="407" t="n">
        <v>11</v>
      </c>
      <c r="P84" s="408" t="n">
        <v>7</v>
      </c>
      <c r="Q84" s="407" t="n">
        <v>50</v>
      </c>
      <c r="R84" s="408" t="n">
        <v>36</v>
      </c>
      <c r="S84" s="515" t="n">
        <v>374</v>
      </c>
      <c r="T84" s="516" t="n">
        <v>195</v>
      </c>
      <c r="U84" s="515" t="n">
        <v>22</v>
      </c>
      <c r="V84" s="517" t="n">
        <v>15</v>
      </c>
      <c r="W84" s="527" t="s">
        <v>153</v>
      </c>
      <c r="X84" s="288"/>
      <c r="Y84" s="1" t="n">
        <f aca="false">IF(G84="","",1)</f>
        <v>1</v>
      </c>
    </row>
    <row r="85" customFormat="false" ht="15" hidden="false" customHeight="true" outlineLevel="0" collapsed="false">
      <c r="B85" s="283"/>
      <c r="C85" s="213"/>
      <c r="D85" s="525"/>
      <c r="E85" s="458" t="s">
        <v>126</v>
      </c>
      <c r="F85" s="459" t="s">
        <v>102</v>
      </c>
      <c r="G85" s="438" t="n">
        <v>230</v>
      </c>
      <c r="H85" s="439" t="n">
        <v>116</v>
      </c>
      <c r="I85" s="292" t="n">
        <f aca="false">J85/G85</f>
        <v>0.4</v>
      </c>
      <c r="J85" s="440" t="n">
        <v>92</v>
      </c>
      <c r="K85" s="292" t="n">
        <f aca="false">L85/G85</f>
        <v>0.334782608695652</v>
      </c>
      <c r="L85" s="440" t="n">
        <v>77</v>
      </c>
      <c r="M85" s="292" t="n">
        <f aca="false">IF(N85="-","-",N85/L85)</f>
        <v>0.454545454545455</v>
      </c>
      <c r="N85" s="406" t="n">
        <v>35</v>
      </c>
      <c r="O85" s="407" t="n">
        <v>20</v>
      </c>
      <c r="P85" s="408" t="n">
        <v>9</v>
      </c>
      <c r="Q85" s="407" t="n">
        <v>4</v>
      </c>
      <c r="R85" s="408" t="n">
        <v>3</v>
      </c>
      <c r="S85" s="515" t="n">
        <v>216</v>
      </c>
      <c r="T85" s="516" t="n">
        <v>106</v>
      </c>
      <c r="U85" s="515" t="n">
        <v>18</v>
      </c>
      <c r="V85" s="517" t="n">
        <v>10</v>
      </c>
      <c r="W85" s="527" t="s">
        <v>153</v>
      </c>
      <c r="X85" s="288"/>
      <c r="Y85" s="1" t="n">
        <f aca="false">IF(G85="","",1)</f>
        <v>1</v>
      </c>
    </row>
    <row r="86" customFormat="false" ht="15" hidden="false" customHeight="true" outlineLevel="0" collapsed="false">
      <c r="B86" s="283"/>
      <c r="C86" s="213"/>
      <c r="D86" s="525"/>
      <c r="E86" s="458" t="s">
        <v>127</v>
      </c>
      <c r="F86" s="459" t="s">
        <v>102</v>
      </c>
      <c r="G86" s="438" t="n">
        <v>239</v>
      </c>
      <c r="H86" s="439" t="n">
        <v>114</v>
      </c>
      <c r="I86" s="292" t="n">
        <f aca="false">J86/G86</f>
        <v>0.355648535564854</v>
      </c>
      <c r="J86" s="440" t="n">
        <v>85</v>
      </c>
      <c r="K86" s="292" t="n">
        <f aca="false">L86/G86</f>
        <v>0.322175732217573</v>
      </c>
      <c r="L86" s="440" t="n">
        <v>77</v>
      </c>
      <c r="M86" s="292" t="n">
        <f aca="false">IF(N86="-","-",N86/L86)</f>
        <v>0.38961038961039</v>
      </c>
      <c r="N86" s="406" t="n">
        <v>30</v>
      </c>
      <c r="O86" s="407" t="n">
        <v>13</v>
      </c>
      <c r="P86" s="408" t="n">
        <v>5</v>
      </c>
      <c r="Q86" s="407" t="n">
        <v>36</v>
      </c>
      <c r="R86" s="408" t="n">
        <v>17</v>
      </c>
      <c r="S86" s="515" t="n">
        <v>228</v>
      </c>
      <c r="T86" s="516" t="n">
        <v>105</v>
      </c>
      <c r="U86" s="515" t="n">
        <v>47</v>
      </c>
      <c r="V86" s="517" t="n">
        <v>26</v>
      </c>
      <c r="W86" s="527" t="s">
        <v>153</v>
      </c>
      <c r="X86" s="288"/>
      <c r="Y86" s="1" t="n">
        <f aca="false">IF(G86="","",1)</f>
        <v>1</v>
      </c>
    </row>
    <row r="87" customFormat="false" ht="15" hidden="false" customHeight="true" outlineLevel="0" collapsed="false">
      <c r="B87" s="283"/>
      <c r="C87" s="213"/>
      <c r="D87" s="525"/>
      <c r="E87" s="458" t="s">
        <v>128</v>
      </c>
      <c r="F87" s="459"/>
      <c r="G87" s="438"/>
      <c r="H87" s="439"/>
      <c r="I87" s="292" t="e">
        <f aca="false">J87/G87</f>
        <v>#DIV/0!</v>
      </c>
      <c r="J87" s="440"/>
      <c r="K87" s="292" t="e">
        <f aca="false">L87/G87</f>
        <v>#DIV/0!</v>
      </c>
      <c r="L87" s="440"/>
      <c r="M87" s="292" t="e">
        <f aca="false">IF(N87="-","-",N87/L87)</f>
        <v>#DIV/0!</v>
      </c>
      <c r="N87" s="406"/>
      <c r="O87" s="407"/>
      <c r="P87" s="408"/>
      <c r="Q87" s="407"/>
      <c r="R87" s="408"/>
      <c r="S87" s="515"/>
      <c r="T87" s="516"/>
      <c r="U87" s="515"/>
      <c r="V87" s="517"/>
      <c r="W87" s="527"/>
      <c r="X87" s="288"/>
    </row>
    <row r="88" customFormat="false" ht="15" hidden="false" customHeight="true" outlineLevel="0" collapsed="false">
      <c r="B88" s="283"/>
      <c r="C88" s="213"/>
      <c r="D88" s="525"/>
      <c r="E88" s="458" t="s">
        <v>129</v>
      </c>
      <c r="F88" s="459"/>
      <c r="G88" s="438" t="n">
        <v>40</v>
      </c>
      <c r="H88" s="439" t="n">
        <v>20</v>
      </c>
      <c r="I88" s="292" t="n">
        <f aca="false">J88/G88</f>
        <v>0.375</v>
      </c>
      <c r="J88" s="440" t="n">
        <v>15</v>
      </c>
      <c r="K88" s="292" t="n">
        <f aca="false">L88/G88</f>
        <v>0.325</v>
      </c>
      <c r="L88" s="440" t="n">
        <v>13</v>
      </c>
      <c r="M88" s="292" t="n">
        <f aca="false">IF(N88="-","-",N88/L88)</f>
        <v>0.538461538461538</v>
      </c>
      <c r="N88" s="406" t="n">
        <v>7</v>
      </c>
      <c r="O88" s="407" t="n">
        <v>0</v>
      </c>
      <c r="P88" s="408" t="n">
        <v>0</v>
      </c>
      <c r="Q88" s="407" t="n">
        <v>0</v>
      </c>
      <c r="R88" s="408" t="n">
        <v>0</v>
      </c>
      <c r="S88" s="515" t="n">
        <v>28</v>
      </c>
      <c r="T88" s="516" t="n">
        <v>15</v>
      </c>
      <c r="U88" s="515" t="n">
        <v>12</v>
      </c>
      <c r="V88" s="517" t="n">
        <v>5</v>
      </c>
      <c r="W88" s="527" t="s">
        <v>153</v>
      </c>
      <c r="X88" s="288"/>
      <c r="Y88" s="1" t="n">
        <f aca="false">IF(G88="","",1)</f>
        <v>1</v>
      </c>
    </row>
    <row r="89" customFormat="false" ht="15" hidden="false" customHeight="true" outlineLevel="0" collapsed="false">
      <c r="B89" s="283"/>
      <c r="C89" s="213"/>
      <c r="D89" s="525"/>
      <c r="E89" s="458" t="s">
        <v>130</v>
      </c>
      <c r="F89" s="459"/>
      <c r="G89" s="438" t="n">
        <v>24</v>
      </c>
      <c r="H89" s="439" t="n">
        <v>18</v>
      </c>
      <c r="I89" s="292" t="n">
        <f aca="false">J89/G89</f>
        <v>0.458333333333333</v>
      </c>
      <c r="J89" s="440" t="n">
        <v>11</v>
      </c>
      <c r="K89" s="292" t="n">
        <f aca="false">L89/G89</f>
        <v>0.333333333333333</v>
      </c>
      <c r="L89" s="440" t="n">
        <v>8</v>
      </c>
      <c r="M89" s="292" t="n">
        <f aca="false">IF(N89="-","-",N89/L89)</f>
        <v>0.5</v>
      </c>
      <c r="N89" s="406" t="n">
        <v>4</v>
      </c>
      <c r="O89" s="407" t="n">
        <v>1</v>
      </c>
      <c r="P89" s="408" t="n">
        <v>1</v>
      </c>
      <c r="Q89" s="407" t="n">
        <v>10</v>
      </c>
      <c r="R89" s="408" t="n">
        <v>9</v>
      </c>
      <c r="S89" s="515" t="n">
        <v>32</v>
      </c>
      <c r="T89" s="516" t="n">
        <v>25</v>
      </c>
      <c r="U89" s="515" t="n">
        <v>2</v>
      </c>
      <c r="V89" s="517" t="n">
        <v>2</v>
      </c>
      <c r="W89" s="527" t="s">
        <v>153</v>
      </c>
      <c r="X89" s="288"/>
      <c r="Y89" s="1" t="n">
        <f aca="false">IF(G89="","",1)</f>
        <v>1</v>
      </c>
    </row>
    <row r="90" customFormat="false" ht="15" hidden="false" customHeight="true" outlineLevel="0" collapsed="false">
      <c r="B90" s="283"/>
      <c r="C90" s="213"/>
      <c r="D90" s="525"/>
      <c r="E90" s="458"/>
      <c r="F90" s="459"/>
      <c r="G90" s="438"/>
      <c r="H90" s="439"/>
      <c r="I90" s="292" t="e">
        <f aca="false">J90/G90</f>
        <v>#DIV/0!</v>
      </c>
      <c r="J90" s="440"/>
      <c r="K90" s="292" t="e">
        <f aca="false">L90/G90</f>
        <v>#DIV/0!</v>
      </c>
      <c r="L90" s="440"/>
      <c r="M90" s="292" t="e">
        <f aca="false">IF(N90="-","-",N90/L90)</f>
        <v>#DIV/0!</v>
      </c>
      <c r="N90" s="406"/>
      <c r="O90" s="407"/>
      <c r="P90" s="408"/>
      <c r="Q90" s="407"/>
      <c r="R90" s="408"/>
      <c r="S90" s="515"/>
      <c r="T90" s="516"/>
      <c r="U90" s="515"/>
      <c r="V90" s="517"/>
      <c r="W90" s="527"/>
      <c r="X90" s="288"/>
    </row>
    <row r="91" customFormat="false" ht="15" hidden="false" customHeight="true" outlineLevel="0" collapsed="false">
      <c r="B91" s="283"/>
      <c r="C91" s="213"/>
      <c r="D91" s="525"/>
      <c r="E91" s="458"/>
      <c r="F91" s="459"/>
      <c r="G91" s="438"/>
      <c r="H91" s="439"/>
      <c r="I91" s="292" t="e">
        <f aca="false">J91/G91</f>
        <v>#DIV/0!</v>
      </c>
      <c r="J91" s="440"/>
      <c r="K91" s="292" t="e">
        <f aca="false">L91/G91</f>
        <v>#DIV/0!</v>
      </c>
      <c r="L91" s="440"/>
      <c r="M91" s="292" t="e">
        <f aca="false">IF(N91="-","-",N91/L91)</f>
        <v>#DIV/0!</v>
      </c>
      <c r="N91" s="406"/>
      <c r="O91" s="407"/>
      <c r="P91" s="408"/>
      <c r="Q91" s="407"/>
      <c r="R91" s="408"/>
      <c r="S91" s="515"/>
      <c r="T91" s="516"/>
      <c r="U91" s="515"/>
      <c r="V91" s="517"/>
      <c r="W91" s="527"/>
      <c r="X91" s="288"/>
    </row>
    <row r="92" customFormat="false" ht="15" hidden="false" customHeight="true" outlineLevel="0" collapsed="false">
      <c r="B92" s="283"/>
      <c r="C92" s="213"/>
      <c r="D92" s="525"/>
      <c r="E92" s="458" t="s">
        <v>131</v>
      </c>
      <c r="F92" s="459"/>
      <c r="G92" s="438" t="n">
        <v>3</v>
      </c>
      <c r="H92" s="439" t="n">
        <v>3</v>
      </c>
      <c r="I92" s="292" t="n">
        <f aca="false">J92/G92</f>
        <v>0.666666666666667</v>
      </c>
      <c r="J92" s="440" t="n">
        <v>2</v>
      </c>
      <c r="K92" s="292" t="n">
        <f aca="false">L92/G92</f>
        <v>0.666666666666667</v>
      </c>
      <c r="L92" s="440" t="n">
        <v>2</v>
      </c>
      <c r="M92" s="292" t="n">
        <f aca="false">IF(N92="-","-",N92/L92)</f>
        <v>0.5</v>
      </c>
      <c r="N92" s="406" t="n">
        <v>1</v>
      </c>
      <c r="O92" s="407" t="n">
        <v>0</v>
      </c>
      <c r="P92" s="408" t="n">
        <v>0</v>
      </c>
      <c r="Q92" s="407" t="n">
        <v>0</v>
      </c>
      <c r="R92" s="408" t="n">
        <v>0</v>
      </c>
      <c r="S92" s="515" t="n">
        <v>3</v>
      </c>
      <c r="T92" s="516" t="n">
        <v>3</v>
      </c>
      <c r="U92" s="515" t="n">
        <v>0</v>
      </c>
      <c r="V92" s="517" t="n">
        <v>0</v>
      </c>
      <c r="W92" s="527" t="s">
        <v>153</v>
      </c>
      <c r="X92" s="288"/>
      <c r="Y92" s="1" t="n">
        <f aca="false">IF(G92="","",1)</f>
        <v>1</v>
      </c>
    </row>
    <row r="93" customFormat="false" ht="15.75" hidden="false" customHeight="false" outlineLevel="0" collapsed="false">
      <c r="B93" s="283"/>
      <c r="C93" s="213"/>
      <c r="D93" s="298" t="s">
        <v>76</v>
      </c>
      <c r="E93" s="281"/>
      <c r="F93" s="299"/>
      <c r="G93" s="205" t="n">
        <f aca="false">SUM(G84:G92)</f>
        <v>882</v>
      </c>
      <c r="H93" s="206" t="n">
        <f aca="false">SUM(H84:H92)</f>
        <v>445</v>
      </c>
      <c r="I93" s="207" t="n">
        <f aca="false">J93/G93</f>
        <v>0.356009070294785</v>
      </c>
      <c r="J93" s="305" t="n">
        <f aca="false">SUM(J84:J92)</f>
        <v>314</v>
      </c>
      <c r="K93" s="302" t="n">
        <f aca="false">L93/G93</f>
        <v>0.293650793650794</v>
      </c>
      <c r="L93" s="305" t="n">
        <f aca="false">SUM(L84:L92)</f>
        <v>259</v>
      </c>
      <c r="M93" s="207" t="n">
        <f aca="false">N93/L93</f>
        <v>0.463320463320463</v>
      </c>
      <c r="N93" s="305" t="n">
        <f aca="false">SUM(N84:N92)</f>
        <v>120</v>
      </c>
      <c r="O93" s="306" t="n">
        <f aca="false">SUM(O84:O92)</f>
        <v>45</v>
      </c>
      <c r="P93" s="301" t="n">
        <f aca="false">SUM(P84:P92)</f>
        <v>22</v>
      </c>
      <c r="Q93" s="306" t="n">
        <f aca="false">SUM(Q84:Q92)</f>
        <v>100</v>
      </c>
      <c r="R93" s="301" t="n">
        <f aca="false">SUM(R84:R92)</f>
        <v>65</v>
      </c>
      <c r="S93" s="306" t="n">
        <f aca="false">SUM(S84:S92)</f>
        <v>881</v>
      </c>
      <c r="T93" s="301" t="n">
        <f aca="false">SUM(T84:T92)</f>
        <v>449</v>
      </c>
      <c r="U93" s="306" t="n">
        <f aca="false">SUM(U84:U92)</f>
        <v>101</v>
      </c>
      <c r="V93" s="307" t="n">
        <f aca="false">SUM(V84:V92)</f>
        <v>58</v>
      </c>
      <c r="W93" s="528" t="s">
        <v>153</v>
      </c>
      <c r="X93" s="309"/>
    </row>
    <row r="94" customFormat="false" ht="15.75" hidden="false" customHeight="true" outlineLevel="0" collapsed="false">
      <c r="B94" s="529" t="s">
        <v>132</v>
      </c>
      <c r="C94" s="213" t="s">
        <v>97</v>
      </c>
      <c r="D94" s="530" t="n">
        <v>5</v>
      </c>
      <c r="E94" s="455" t="s">
        <v>133</v>
      </c>
      <c r="F94" s="456" t="s">
        <v>102</v>
      </c>
      <c r="G94" s="435" t="n">
        <v>47</v>
      </c>
      <c r="H94" s="436" t="n">
        <v>38</v>
      </c>
      <c r="I94" s="394" t="n">
        <f aca="false">J94/G94</f>
        <v>0.191489361702128</v>
      </c>
      <c r="J94" s="437" t="n">
        <v>9</v>
      </c>
      <c r="K94" s="394" t="n">
        <f aca="false">L94/G94</f>
        <v>0.234042553191489</v>
      </c>
      <c r="L94" s="437" t="n">
        <v>11</v>
      </c>
      <c r="M94" s="394" t="n">
        <f aca="false">IF(N94="-","-",N94/L94)</f>
        <v>0.545454545454545</v>
      </c>
      <c r="N94" s="395" t="n">
        <v>6</v>
      </c>
      <c r="O94" s="396" t="n">
        <v>1</v>
      </c>
      <c r="P94" s="397" t="n">
        <v>0</v>
      </c>
      <c r="Q94" s="396" t="n">
        <v>1</v>
      </c>
      <c r="R94" s="397" t="n">
        <v>1</v>
      </c>
      <c r="S94" s="512" t="n">
        <v>45</v>
      </c>
      <c r="T94" s="513" t="n">
        <v>38</v>
      </c>
      <c r="U94" s="512" t="n">
        <v>3</v>
      </c>
      <c r="V94" s="514" t="n">
        <v>1</v>
      </c>
      <c r="W94" s="377" t="s">
        <v>153</v>
      </c>
      <c r="X94" s="194"/>
      <c r="Y94" s="1" t="n">
        <f aca="false">IF(G94="","",1)</f>
        <v>1</v>
      </c>
    </row>
    <row r="95" customFormat="false" ht="15.75" hidden="false" customHeight="true" outlineLevel="0" collapsed="false">
      <c r="B95" s="529"/>
      <c r="C95" s="213"/>
      <c r="D95" s="530"/>
      <c r="E95" s="458" t="s">
        <v>134</v>
      </c>
      <c r="F95" s="459"/>
      <c r="G95" s="438" t="n">
        <v>23</v>
      </c>
      <c r="H95" s="439" t="n">
        <v>7</v>
      </c>
      <c r="I95" s="292" t="n">
        <f aca="false">J95/G95</f>
        <v>0.391304347826087</v>
      </c>
      <c r="J95" s="440" t="n">
        <v>9</v>
      </c>
      <c r="K95" s="292" t="n">
        <f aca="false">L95/G95</f>
        <v>0.391304347826087</v>
      </c>
      <c r="L95" s="440" t="n">
        <v>9</v>
      </c>
      <c r="M95" s="292" t="n">
        <f aca="false">IF(N95="-","-",N95/L95)</f>
        <v>0.555555555555556</v>
      </c>
      <c r="N95" s="406" t="n">
        <v>5</v>
      </c>
      <c r="O95" s="407" t="n">
        <v>0</v>
      </c>
      <c r="P95" s="408" t="n">
        <v>0</v>
      </c>
      <c r="Q95" s="407" t="n">
        <v>8</v>
      </c>
      <c r="R95" s="408" t="n">
        <v>7</v>
      </c>
      <c r="S95" s="515" t="n">
        <v>22</v>
      </c>
      <c r="T95" s="516" t="n">
        <v>10</v>
      </c>
      <c r="U95" s="515" t="n">
        <v>9</v>
      </c>
      <c r="V95" s="517" t="n">
        <v>4</v>
      </c>
      <c r="W95" s="377" t="s">
        <v>153</v>
      </c>
      <c r="X95" s="194"/>
      <c r="Y95" s="1" t="n">
        <f aca="false">IF(G95="","",1)</f>
        <v>1</v>
      </c>
    </row>
    <row r="96" customFormat="false" ht="15.75" hidden="false" customHeight="true" outlineLevel="0" collapsed="false">
      <c r="B96" s="529"/>
      <c r="C96" s="213"/>
      <c r="D96" s="530"/>
      <c r="E96" s="460"/>
      <c r="F96" s="461"/>
      <c r="G96" s="441"/>
      <c r="H96" s="442"/>
      <c r="I96" s="292" t="e">
        <f aca="false">J96/G96</f>
        <v>#DIV/0!</v>
      </c>
      <c r="J96" s="443"/>
      <c r="K96" s="292" t="e">
        <f aca="false">L96/G96</f>
        <v>#DIV/0!</v>
      </c>
      <c r="L96" s="443"/>
      <c r="M96" s="292" t="e">
        <f aca="false">IF(N96="-","-",N96/L96)</f>
        <v>#DIV/0!</v>
      </c>
      <c r="N96" s="411"/>
      <c r="O96" s="412"/>
      <c r="P96" s="413"/>
      <c r="Q96" s="412"/>
      <c r="R96" s="413"/>
      <c r="S96" s="519"/>
      <c r="T96" s="520"/>
      <c r="U96" s="519"/>
      <c r="V96" s="521"/>
      <c r="W96" s="377"/>
      <c r="X96" s="194"/>
    </row>
    <row r="97" customFormat="false" ht="15.75" hidden="false" customHeight="true" outlineLevel="0" collapsed="false">
      <c r="B97" s="529"/>
      <c r="C97" s="213"/>
      <c r="D97" s="530"/>
      <c r="E97" s="460"/>
      <c r="F97" s="461"/>
      <c r="G97" s="441"/>
      <c r="H97" s="442"/>
      <c r="I97" s="292" t="e">
        <f aca="false">J97/G97</f>
        <v>#DIV/0!</v>
      </c>
      <c r="J97" s="443"/>
      <c r="K97" s="292" t="e">
        <f aca="false">L97/G97</f>
        <v>#DIV/0!</v>
      </c>
      <c r="L97" s="443"/>
      <c r="M97" s="292" t="e">
        <f aca="false">IF(N97="-","-",N97/L97)</f>
        <v>#DIV/0!</v>
      </c>
      <c r="N97" s="411"/>
      <c r="O97" s="412"/>
      <c r="P97" s="413"/>
      <c r="Q97" s="412"/>
      <c r="R97" s="413"/>
      <c r="S97" s="519"/>
      <c r="T97" s="520"/>
      <c r="U97" s="519"/>
      <c r="V97" s="521"/>
      <c r="W97" s="377"/>
      <c r="X97" s="194"/>
    </row>
    <row r="98" customFormat="false" ht="15.75" hidden="false" customHeight="true" outlineLevel="0" collapsed="false">
      <c r="B98" s="529"/>
      <c r="C98" s="213"/>
      <c r="D98" s="530"/>
      <c r="E98" s="462" t="s">
        <v>135</v>
      </c>
      <c r="F98" s="463"/>
      <c r="G98" s="422" t="n">
        <v>13</v>
      </c>
      <c r="H98" s="423" t="n">
        <v>11</v>
      </c>
      <c r="I98" s="302" t="n">
        <f aca="false">J98/G98</f>
        <v>0.384615384615385</v>
      </c>
      <c r="J98" s="424" t="n">
        <v>5</v>
      </c>
      <c r="K98" s="302" t="n">
        <f aca="false">L98/G98</f>
        <v>0.230769230769231</v>
      </c>
      <c r="L98" s="424" t="n">
        <v>3</v>
      </c>
      <c r="M98" s="302" t="n">
        <f aca="false">IF(N98="-","-",N98/L98)</f>
        <v>0.666666666666667</v>
      </c>
      <c r="N98" s="425" t="n">
        <v>2</v>
      </c>
      <c r="O98" s="426" t="n">
        <v>0</v>
      </c>
      <c r="P98" s="427" t="n">
        <v>0</v>
      </c>
      <c r="Q98" s="426" t="n">
        <v>2</v>
      </c>
      <c r="R98" s="427" t="n">
        <v>1</v>
      </c>
      <c r="S98" s="522" t="n">
        <v>11</v>
      </c>
      <c r="T98" s="523" t="n">
        <v>8</v>
      </c>
      <c r="U98" s="522" t="n">
        <v>4</v>
      </c>
      <c r="V98" s="524" t="n">
        <v>4</v>
      </c>
      <c r="W98" s="377" t="s">
        <v>153</v>
      </c>
      <c r="X98" s="194"/>
      <c r="Y98" s="1" t="n">
        <f aca="false">IF(G98="","",1)</f>
        <v>1</v>
      </c>
    </row>
    <row r="99" customFormat="false" ht="15.75" hidden="false" customHeight="true" outlineLevel="0" collapsed="false">
      <c r="B99" s="529"/>
      <c r="C99" s="213"/>
      <c r="D99" s="531" t="s">
        <v>76</v>
      </c>
      <c r="E99" s="282"/>
      <c r="F99" s="532"/>
      <c r="G99" s="216" t="n">
        <f aca="false">SUM(G94:G98)</f>
        <v>83</v>
      </c>
      <c r="H99" s="217" t="n">
        <f aca="false">SUM(H94:H98)</f>
        <v>56</v>
      </c>
      <c r="I99" s="218" t="n">
        <f aca="false">J99/G99</f>
        <v>0.27710843373494</v>
      </c>
      <c r="J99" s="320" t="n">
        <f aca="false">SUM(J94:J98)</f>
        <v>23</v>
      </c>
      <c r="K99" s="317" t="n">
        <f aca="false">L99/G99</f>
        <v>0.27710843373494</v>
      </c>
      <c r="L99" s="320" t="n">
        <f aca="false">SUM(L94:L98)</f>
        <v>23</v>
      </c>
      <c r="M99" s="218" t="n">
        <f aca="false">N99/L99</f>
        <v>0.565217391304348</v>
      </c>
      <c r="N99" s="320" t="n">
        <f aca="false">SUM(N94:N98)</f>
        <v>13</v>
      </c>
      <c r="O99" s="321" t="n">
        <f aca="false">SUM(O94:O98)</f>
        <v>1</v>
      </c>
      <c r="P99" s="316" t="n">
        <f aca="false">SUM(P94:P98)</f>
        <v>0</v>
      </c>
      <c r="Q99" s="321" t="n">
        <f aca="false">SUM(Q94:Q98)</f>
        <v>11</v>
      </c>
      <c r="R99" s="316" t="n">
        <f aca="false">SUM(R94:R98)</f>
        <v>9</v>
      </c>
      <c r="S99" s="321" t="n">
        <f aca="false">SUM(S94:S98)</f>
        <v>78</v>
      </c>
      <c r="T99" s="316" t="n">
        <f aca="false">SUM(T94:T98)</f>
        <v>56</v>
      </c>
      <c r="U99" s="321" t="n">
        <f aca="false">SUM(U94:U98)</f>
        <v>16</v>
      </c>
      <c r="V99" s="322" t="n">
        <f aca="false">SUM(V94:V98)</f>
        <v>9</v>
      </c>
      <c r="W99" s="377" t="s">
        <v>153</v>
      </c>
      <c r="X99" s="194"/>
    </row>
    <row r="100" customFormat="false" ht="15.75" hidden="false" customHeight="true" outlineLevel="0" collapsed="false">
      <c r="B100" s="325" t="s">
        <v>136</v>
      </c>
      <c r="C100" s="326" t="s">
        <v>97</v>
      </c>
      <c r="D100" s="378" t="n">
        <v>11</v>
      </c>
      <c r="E100" s="388" t="s">
        <v>137</v>
      </c>
      <c r="F100" s="389" t="s">
        <v>138</v>
      </c>
      <c r="G100" s="435"/>
      <c r="H100" s="436"/>
      <c r="I100" s="394"/>
      <c r="J100" s="437"/>
      <c r="K100" s="394"/>
      <c r="L100" s="437"/>
      <c r="M100" s="394"/>
      <c r="N100" s="395"/>
      <c r="O100" s="396" t="s">
        <v>75</v>
      </c>
      <c r="P100" s="397" t="s">
        <v>75</v>
      </c>
      <c r="Q100" s="396" t="s">
        <v>75</v>
      </c>
      <c r="R100" s="397" t="s">
        <v>75</v>
      </c>
      <c r="S100" s="398"/>
      <c r="T100" s="399"/>
      <c r="U100" s="398"/>
      <c r="V100" s="400"/>
      <c r="W100" s="377" t="s">
        <v>153</v>
      </c>
      <c r="X100" s="194"/>
      <c r="Y100" s="1" t="str">
        <f aca="false">IF(G100="","",1)</f>
        <v/>
      </c>
    </row>
    <row r="101" customFormat="false" ht="15.75" hidden="false" customHeight="true" outlineLevel="0" collapsed="false">
      <c r="B101" s="325"/>
      <c r="C101" s="326"/>
      <c r="D101" s="378"/>
      <c r="E101" s="401" t="s">
        <v>139</v>
      </c>
      <c r="F101" s="402" t="s">
        <v>138</v>
      </c>
      <c r="G101" s="438"/>
      <c r="H101" s="439"/>
      <c r="I101" s="292"/>
      <c r="J101" s="440"/>
      <c r="K101" s="292"/>
      <c r="L101" s="440"/>
      <c r="M101" s="292"/>
      <c r="N101" s="406"/>
      <c r="O101" s="407" t="s">
        <v>75</v>
      </c>
      <c r="P101" s="408" t="s">
        <v>75</v>
      </c>
      <c r="Q101" s="407" t="s">
        <v>75</v>
      </c>
      <c r="R101" s="408" t="s">
        <v>75</v>
      </c>
      <c r="S101" s="296"/>
      <c r="T101" s="291"/>
      <c r="U101" s="296"/>
      <c r="V101" s="297"/>
      <c r="W101" s="377" t="s">
        <v>153</v>
      </c>
      <c r="X101" s="194"/>
      <c r="Y101" s="1" t="str">
        <f aca="false">IF(G101="","",1)</f>
        <v/>
      </c>
    </row>
    <row r="102" customFormat="false" ht="15.75" hidden="false" customHeight="true" outlineLevel="0" collapsed="false">
      <c r="B102" s="325"/>
      <c r="C102" s="326"/>
      <c r="D102" s="378"/>
      <c r="E102" s="401" t="s">
        <v>140</v>
      </c>
      <c r="F102" s="402" t="s">
        <v>138</v>
      </c>
      <c r="G102" s="438"/>
      <c r="H102" s="439"/>
      <c r="I102" s="292"/>
      <c r="J102" s="440"/>
      <c r="K102" s="292"/>
      <c r="L102" s="440"/>
      <c r="M102" s="292"/>
      <c r="N102" s="406"/>
      <c r="O102" s="407" t="s">
        <v>75</v>
      </c>
      <c r="P102" s="408" t="s">
        <v>75</v>
      </c>
      <c r="Q102" s="407" t="s">
        <v>75</v>
      </c>
      <c r="R102" s="408" t="s">
        <v>75</v>
      </c>
      <c r="S102" s="296"/>
      <c r="T102" s="291"/>
      <c r="U102" s="296"/>
      <c r="V102" s="297"/>
      <c r="W102" s="377" t="s">
        <v>153</v>
      </c>
      <c r="X102" s="194"/>
      <c r="Y102" s="1" t="str">
        <f aca="false">IF(G102="","",1)</f>
        <v/>
      </c>
    </row>
    <row r="103" customFormat="false" ht="15.75" hidden="false" customHeight="true" outlineLevel="0" collapsed="false">
      <c r="B103" s="325"/>
      <c r="C103" s="326"/>
      <c r="D103" s="378"/>
      <c r="E103" s="401" t="s">
        <v>141</v>
      </c>
      <c r="F103" s="402" t="s">
        <v>138</v>
      </c>
      <c r="G103" s="438"/>
      <c r="H103" s="439"/>
      <c r="I103" s="292"/>
      <c r="J103" s="440"/>
      <c r="K103" s="292"/>
      <c r="L103" s="440"/>
      <c r="M103" s="292"/>
      <c r="N103" s="406"/>
      <c r="O103" s="407" t="s">
        <v>75</v>
      </c>
      <c r="P103" s="408" t="s">
        <v>75</v>
      </c>
      <c r="Q103" s="407" t="s">
        <v>75</v>
      </c>
      <c r="R103" s="408" t="s">
        <v>75</v>
      </c>
      <c r="S103" s="296"/>
      <c r="T103" s="291"/>
      <c r="U103" s="296"/>
      <c r="V103" s="297"/>
      <c r="W103" s="377" t="s">
        <v>153</v>
      </c>
      <c r="X103" s="194"/>
      <c r="Y103" s="1" t="str">
        <f aca="false">IF(G103="","",1)</f>
        <v/>
      </c>
    </row>
    <row r="104" customFormat="false" ht="15.75" hidden="false" customHeight="true" outlineLevel="0" collapsed="false">
      <c r="B104" s="325"/>
      <c r="C104" s="326"/>
      <c r="D104" s="378"/>
      <c r="E104" s="401" t="s">
        <v>142</v>
      </c>
      <c r="F104" s="402" t="s">
        <v>138</v>
      </c>
      <c r="G104" s="438"/>
      <c r="H104" s="439"/>
      <c r="I104" s="292"/>
      <c r="J104" s="440"/>
      <c r="K104" s="292"/>
      <c r="L104" s="440"/>
      <c r="M104" s="292"/>
      <c r="N104" s="406"/>
      <c r="O104" s="407" t="s">
        <v>75</v>
      </c>
      <c r="P104" s="408" t="s">
        <v>75</v>
      </c>
      <c r="Q104" s="407" t="s">
        <v>75</v>
      </c>
      <c r="R104" s="408" t="s">
        <v>75</v>
      </c>
      <c r="S104" s="296"/>
      <c r="T104" s="291"/>
      <c r="U104" s="296"/>
      <c r="V104" s="297"/>
      <c r="W104" s="377" t="s">
        <v>153</v>
      </c>
      <c r="X104" s="194"/>
      <c r="Y104" s="1" t="str">
        <f aca="false">IF(G104="","",1)</f>
        <v/>
      </c>
    </row>
    <row r="105" customFormat="false" ht="15.75" hidden="false" customHeight="true" outlineLevel="0" collapsed="false">
      <c r="B105" s="325"/>
      <c r="C105" s="326"/>
      <c r="D105" s="378"/>
      <c r="E105" s="401" t="s">
        <v>143</v>
      </c>
      <c r="F105" s="402"/>
      <c r="G105" s="438" t="n">
        <v>159</v>
      </c>
      <c r="H105" s="439" t="n">
        <v>159</v>
      </c>
      <c r="I105" s="292" t="n">
        <f aca="false">J105/G105</f>
        <v>0.345911949685535</v>
      </c>
      <c r="J105" s="440" t="n">
        <v>55</v>
      </c>
      <c r="K105" s="292" t="n">
        <f aca="false">L105/G105</f>
        <v>0.415094339622642</v>
      </c>
      <c r="L105" s="440" t="n">
        <v>66</v>
      </c>
      <c r="M105" s="292" t="n">
        <f aca="false">IF(N105="-","-",N105/L105)</f>
        <v>0.46969696969697</v>
      </c>
      <c r="N105" s="406" t="n">
        <v>31</v>
      </c>
      <c r="O105" s="407" t="s">
        <v>75</v>
      </c>
      <c r="P105" s="408" t="s">
        <v>75</v>
      </c>
      <c r="Q105" s="407" t="s">
        <v>75</v>
      </c>
      <c r="R105" s="408" t="s">
        <v>75</v>
      </c>
      <c r="S105" s="296"/>
      <c r="T105" s="291"/>
      <c r="U105" s="296"/>
      <c r="V105" s="297"/>
      <c r="W105" s="377" t="s">
        <v>153</v>
      </c>
      <c r="X105" s="194"/>
      <c r="Y105" s="1" t="n">
        <f aca="false">IF(G105="","",1)</f>
        <v>1</v>
      </c>
    </row>
    <row r="106" customFormat="false" ht="15.75" hidden="false" customHeight="true" outlineLevel="0" collapsed="false">
      <c r="B106" s="325"/>
      <c r="C106" s="326"/>
      <c r="D106" s="378"/>
      <c r="E106" s="401" t="s">
        <v>144</v>
      </c>
      <c r="F106" s="402"/>
      <c r="G106" s="438" t="n">
        <v>165</v>
      </c>
      <c r="H106" s="439" t="n">
        <v>165</v>
      </c>
      <c r="I106" s="292" t="n">
        <f aca="false">J106/G106</f>
        <v>0</v>
      </c>
      <c r="J106" s="440"/>
      <c r="K106" s="292" t="n">
        <f aca="false">L106/G106</f>
        <v>0</v>
      </c>
      <c r="L106" s="440"/>
      <c r="M106" s="292" t="e">
        <f aca="false">IF(N106="-","-",N106/L106)</f>
        <v>#DIV/0!</v>
      </c>
      <c r="N106" s="406"/>
      <c r="O106" s="407" t="s">
        <v>75</v>
      </c>
      <c r="P106" s="408" t="s">
        <v>75</v>
      </c>
      <c r="Q106" s="407" t="s">
        <v>75</v>
      </c>
      <c r="R106" s="408" t="s">
        <v>75</v>
      </c>
      <c r="S106" s="296"/>
      <c r="T106" s="291"/>
      <c r="U106" s="296"/>
      <c r="V106" s="297"/>
      <c r="W106" s="377" t="s">
        <v>153</v>
      </c>
      <c r="X106" s="194"/>
      <c r="Y106" s="1" t="n">
        <f aca="false">IF(G106="","",1)</f>
        <v>1</v>
      </c>
    </row>
    <row r="107" customFormat="false" ht="15.75" hidden="false" customHeight="true" outlineLevel="0" collapsed="false">
      <c r="B107" s="325"/>
      <c r="C107" s="326"/>
      <c r="D107" s="378"/>
      <c r="E107" s="401" t="s">
        <v>145</v>
      </c>
      <c r="F107" s="402" t="s">
        <v>138</v>
      </c>
      <c r="G107" s="438" t="n">
        <v>773</v>
      </c>
      <c r="H107" s="439" t="n">
        <f aca="false">G107</f>
        <v>773</v>
      </c>
      <c r="I107" s="292" t="n">
        <f aca="false">J107/G107</f>
        <v>0.393272962483829</v>
      </c>
      <c r="J107" s="440" t="n">
        <v>304</v>
      </c>
      <c r="K107" s="292" t="n">
        <f aca="false">L107/G107</f>
        <v>0.430789133247089</v>
      </c>
      <c r="L107" s="440" t="n">
        <v>333</v>
      </c>
      <c r="M107" s="292" t="n">
        <f aca="false">IF(N107="-","-",N107/L107)</f>
        <v>0.576576576576577</v>
      </c>
      <c r="N107" s="406" t="n">
        <v>192</v>
      </c>
      <c r="O107" s="407" t="s">
        <v>75</v>
      </c>
      <c r="P107" s="408" t="s">
        <v>75</v>
      </c>
      <c r="Q107" s="407" t="s">
        <v>75</v>
      </c>
      <c r="R107" s="408" t="s">
        <v>75</v>
      </c>
      <c r="S107" s="296"/>
      <c r="T107" s="291"/>
      <c r="U107" s="296"/>
      <c r="V107" s="297"/>
      <c r="W107" s="377" t="s">
        <v>153</v>
      </c>
      <c r="X107" s="194"/>
      <c r="Y107" s="1" t="n">
        <f aca="false">IF(G107="","",1)</f>
        <v>1</v>
      </c>
    </row>
    <row r="108" customFormat="false" ht="15.75" hidden="false" customHeight="true" outlineLevel="0" collapsed="false">
      <c r="B108" s="325"/>
      <c r="C108" s="326"/>
      <c r="D108" s="378"/>
      <c r="E108" s="401" t="s">
        <v>146</v>
      </c>
      <c r="F108" s="402" t="s">
        <v>138</v>
      </c>
      <c r="G108" s="438" t="n">
        <v>629</v>
      </c>
      <c r="H108" s="439" t="n">
        <f aca="false">G108</f>
        <v>629</v>
      </c>
      <c r="I108" s="292" t="n">
        <f aca="false">J108/G108</f>
        <v>0.470588235294118</v>
      </c>
      <c r="J108" s="440" t="n">
        <v>296</v>
      </c>
      <c r="K108" s="292" t="n">
        <f aca="false">L108/G108</f>
        <v>0.494435612082671</v>
      </c>
      <c r="L108" s="440" t="n">
        <v>311</v>
      </c>
      <c r="M108" s="292" t="n">
        <f aca="false">IF(N108="-","-",N108/L108)</f>
        <v>0.585209003215434</v>
      </c>
      <c r="N108" s="406" t="n">
        <v>182</v>
      </c>
      <c r="O108" s="407" t="s">
        <v>75</v>
      </c>
      <c r="P108" s="408" t="s">
        <v>75</v>
      </c>
      <c r="Q108" s="407" t="s">
        <v>75</v>
      </c>
      <c r="R108" s="408" t="s">
        <v>75</v>
      </c>
      <c r="S108" s="296"/>
      <c r="T108" s="291"/>
      <c r="U108" s="296"/>
      <c r="V108" s="297"/>
      <c r="W108" s="377" t="s">
        <v>153</v>
      </c>
      <c r="X108" s="194"/>
      <c r="Y108" s="1" t="n">
        <f aca="false">IF(G108="","",1)</f>
        <v>1</v>
      </c>
    </row>
    <row r="109" customFormat="false" ht="15.75" hidden="false" customHeight="true" outlineLevel="0" collapsed="false">
      <c r="B109" s="325"/>
      <c r="C109" s="326"/>
      <c r="D109" s="378"/>
      <c r="E109" s="409"/>
      <c r="F109" s="410"/>
      <c r="G109" s="441"/>
      <c r="H109" s="442"/>
      <c r="I109" s="292" t="e">
        <f aca="false">J109/G109</f>
        <v>#DIV/0!</v>
      </c>
      <c r="J109" s="443"/>
      <c r="K109" s="292" t="e">
        <f aca="false">L109/G109</f>
        <v>#DIV/0!</v>
      </c>
      <c r="L109" s="443"/>
      <c r="M109" s="292" t="e">
        <f aca="false">IF(N109="-","-",N109/L109)</f>
        <v>#DIV/0!</v>
      </c>
      <c r="N109" s="411"/>
      <c r="O109" s="412"/>
      <c r="P109" s="413"/>
      <c r="Q109" s="412"/>
      <c r="R109" s="413"/>
      <c r="S109" s="414"/>
      <c r="T109" s="415"/>
      <c r="U109" s="414"/>
      <c r="V109" s="416"/>
      <c r="W109" s="377"/>
      <c r="X109" s="194"/>
    </row>
    <row r="110" customFormat="false" ht="15.75" hidden="false" customHeight="true" outlineLevel="0" collapsed="false">
      <c r="B110" s="325"/>
      <c r="C110" s="326"/>
      <c r="D110" s="378"/>
      <c r="E110" s="409"/>
      <c r="F110" s="410"/>
      <c r="G110" s="441"/>
      <c r="H110" s="442"/>
      <c r="I110" s="292" t="e">
        <f aca="false">J110/G110</f>
        <v>#DIV/0!</v>
      </c>
      <c r="J110" s="443"/>
      <c r="K110" s="292" t="e">
        <f aca="false">L110/G110</f>
        <v>#DIV/0!</v>
      </c>
      <c r="L110" s="443"/>
      <c r="M110" s="292" t="e">
        <f aca="false">IF(N110="-","-",N110/L110)</f>
        <v>#DIV/0!</v>
      </c>
      <c r="N110" s="411"/>
      <c r="O110" s="412"/>
      <c r="P110" s="413"/>
      <c r="Q110" s="412"/>
      <c r="R110" s="413"/>
      <c r="S110" s="414"/>
      <c r="T110" s="415"/>
      <c r="U110" s="414"/>
      <c r="V110" s="416"/>
      <c r="W110" s="377"/>
      <c r="X110" s="194"/>
    </row>
    <row r="111" customFormat="false" ht="15.75" hidden="false" customHeight="true" outlineLevel="0" collapsed="false">
      <c r="B111" s="325"/>
      <c r="C111" s="326"/>
      <c r="D111" s="378"/>
      <c r="E111" s="420" t="s">
        <v>147</v>
      </c>
      <c r="F111" s="421" t="s">
        <v>138</v>
      </c>
      <c r="G111" s="422"/>
      <c r="H111" s="423"/>
      <c r="I111" s="302"/>
      <c r="J111" s="424"/>
      <c r="K111" s="302"/>
      <c r="L111" s="424"/>
      <c r="M111" s="302"/>
      <c r="N111" s="425"/>
      <c r="O111" s="426" t="s">
        <v>75</v>
      </c>
      <c r="P111" s="427" t="s">
        <v>75</v>
      </c>
      <c r="Q111" s="426" t="s">
        <v>75</v>
      </c>
      <c r="R111" s="427" t="s">
        <v>75</v>
      </c>
      <c r="S111" s="306"/>
      <c r="T111" s="301"/>
      <c r="U111" s="306"/>
      <c r="V111" s="307"/>
      <c r="W111" s="377" t="s">
        <v>153</v>
      </c>
      <c r="X111" s="194"/>
      <c r="Y111" s="1" t="str">
        <f aca="false">IF(G111="","",1)</f>
        <v/>
      </c>
    </row>
    <row r="112" customFormat="false" ht="16.5" hidden="false" customHeight="false" outlineLevel="0" collapsed="false">
      <c r="B112" s="325"/>
      <c r="C112" s="326"/>
      <c r="D112" s="326" t="s">
        <v>76</v>
      </c>
      <c r="E112" s="330"/>
      <c r="F112" s="331"/>
      <c r="G112" s="332" t="n">
        <f aca="false">SUM(G100:G111)</f>
        <v>1726</v>
      </c>
      <c r="H112" s="333" t="n">
        <f aca="false">SUM(H100:H111)</f>
        <v>1726</v>
      </c>
      <c r="I112" s="218" t="n">
        <f aca="false">J112/G112</f>
        <v>0.379490150637312</v>
      </c>
      <c r="J112" s="533" t="n">
        <f aca="false">SUM(J100:J111)</f>
        <v>655</v>
      </c>
      <c r="K112" s="317" t="n">
        <f aca="false">L112/G112</f>
        <v>0.41135573580533</v>
      </c>
      <c r="L112" s="533" t="n">
        <f aca="false">SUM(L100:L111)</f>
        <v>710</v>
      </c>
      <c r="M112" s="218" t="n">
        <f aca="false">N112/L112</f>
        <v>0.570422535211268</v>
      </c>
      <c r="N112" s="533" t="n">
        <f aca="false">SUM(N100:N111)</f>
        <v>405</v>
      </c>
      <c r="O112" s="534"/>
      <c r="P112" s="535"/>
      <c r="Q112" s="534"/>
      <c r="R112" s="535"/>
      <c r="S112" s="534"/>
      <c r="T112" s="535"/>
      <c r="U112" s="534"/>
      <c r="V112" s="536"/>
      <c r="W112" s="377" t="s">
        <v>153</v>
      </c>
      <c r="X112" s="194"/>
      <c r="Y112" s="194"/>
    </row>
    <row r="113" s="171" customFormat="true" ht="21" hidden="false" customHeight="true" outlineLevel="0" collapsed="false">
      <c r="A113" s="22"/>
      <c r="B113" s="340" t="s">
        <v>148</v>
      </c>
      <c r="C113" s="341"/>
      <c r="D113" s="341" t="n">
        <f aca="false">SUM(D45:D111)</f>
        <v>78</v>
      </c>
      <c r="E113" s="445" t="n">
        <f aca="false">COUNT(G45:G52,G62:G68,G70:G79,G84:G92,G94:G98,G100:G111)</f>
        <v>30</v>
      </c>
      <c r="F113" s="343" t="n">
        <f aca="false">COUNT(J45:J111)</f>
        <v>42</v>
      </c>
      <c r="G113" s="537" t="n">
        <f aca="false">G53+G69+G80+G93+G99+G112</f>
        <v>3981</v>
      </c>
      <c r="H113" s="452" t="n">
        <f aca="false">H53+H69+H80+H93+H99+H112</f>
        <v>3107</v>
      </c>
      <c r="I113" s="538" t="n">
        <f aca="false">J113/G113</f>
        <v>0.404672192916353</v>
      </c>
      <c r="J113" s="539" t="n">
        <f aca="false">J53+J69+J80+J93+J99+J112</f>
        <v>1611</v>
      </c>
      <c r="K113" s="538" t="n">
        <f aca="false">L113/G113</f>
        <v>0.379301682994223</v>
      </c>
      <c r="L113" s="539" t="n">
        <f aca="false">L53+L69+L80+L93+L99+L112</f>
        <v>1510</v>
      </c>
      <c r="M113" s="540" t="n">
        <f aca="false">N113/L113</f>
        <v>0.456291390728477</v>
      </c>
      <c r="N113" s="539" t="n">
        <f aca="false">N53+N69+N80+N93+N99+N112</f>
        <v>689</v>
      </c>
      <c r="O113" s="451"/>
      <c r="P113" s="452"/>
      <c r="Q113" s="451"/>
      <c r="R113" s="452"/>
      <c r="S113" s="451" t="n">
        <f aca="false">S53+S69+S80+S93+S99</f>
        <v>1465</v>
      </c>
      <c r="T113" s="452" t="n">
        <f aca="false">T53+T69+T80+T93+T99</f>
        <v>949</v>
      </c>
      <c r="U113" s="451" t="n">
        <f aca="false">U53+U69+U80+U93+U99</f>
        <v>141</v>
      </c>
      <c r="V113" s="453" t="n">
        <f aca="false">V53+V69+V80+V93+V99</f>
        <v>89</v>
      </c>
      <c r="W113" s="541"/>
      <c r="X113" s="353"/>
      <c r="Y113" s="353"/>
    </row>
    <row r="114" s="171" customFormat="true" ht="21" hidden="false" customHeight="true" outlineLevel="0" collapsed="false">
      <c r="A114" s="22"/>
      <c r="B114" s="340" t="s">
        <v>149</v>
      </c>
      <c r="C114" s="341"/>
      <c r="D114" s="341" t="n">
        <f aca="false">D113+D44</f>
        <v>109</v>
      </c>
      <c r="E114" s="445" t="n">
        <f aca="false">E44+E113</f>
        <v>48</v>
      </c>
      <c r="F114" s="343" t="n">
        <f aca="false">F113+F44</f>
        <v>61</v>
      </c>
      <c r="G114" s="537" t="n">
        <f aca="false">G44+G113</f>
        <v>4576</v>
      </c>
      <c r="H114" s="452" t="n">
        <f aca="false">H44+H113</f>
        <v>3522</v>
      </c>
      <c r="I114" s="538" t="n">
        <f aca="false">J114/G114</f>
        <v>0.389204545454545</v>
      </c>
      <c r="J114" s="539" t="n">
        <f aca="false">J44+J113</f>
        <v>1781</v>
      </c>
      <c r="K114" s="538" t="n">
        <f aca="false">L114/G114</f>
        <v>0.362980769230769</v>
      </c>
      <c r="L114" s="539" t="n">
        <f aca="false">L44+L113</f>
        <v>1661</v>
      </c>
      <c r="M114" s="540" t="n">
        <f aca="false">N114/L114</f>
        <v>0.433473810957255</v>
      </c>
      <c r="N114" s="539" t="n">
        <f aca="false">N44+N113</f>
        <v>720</v>
      </c>
      <c r="O114" s="451"/>
      <c r="P114" s="452"/>
      <c r="Q114" s="451"/>
      <c r="R114" s="452"/>
      <c r="S114" s="451" t="n">
        <f aca="false">S113</f>
        <v>1465</v>
      </c>
      <c r="T114" s="452" t="n">
        <f aca="false">T113</f>
        <v>949</v>
      </c>
      <c r="U114" s="451" t="n">
        <f aca="false">U113</f>
        <v>141</v>
      </c>
      <c r="V114" s="453" t="n">
        <f aca="false">V113</f>
        <v>89</v>
      </c>
      <c r="W114" s="541"/>
      <c r="Y114" s="171" t="n">
        <f aca="false">SUM(Y1:Y113)</f>
        <v>47</v>
      </c>
    </row>
    <row r="115" customFormat="false" ht="15" hidden="false" customHeight="false" outlineLevel="0" collapsed="false">
      <c r="B115" s="354"/>
      <c r="C115" s="355"/>
      <c r="D115" s="355"/>
      <c r="E115" s="354"/>
      <c r="F115" s="355"/>
      <c r="G115" s="542"/>
      <c r="H115" s="542"/>
      <c r="I115" s="543"/>
      <c r="J115" s="543"/>
      <c r="K115" s="543"/>
      <c r="L115" s="543"/>
      <c r="M115" s="544" t="s">
        <v>150</v>
      </c>
      <c r="N115" s="544"/>
      <c r="O115" s="542"/>
      <c r="P115" s="542"/>
      <c r="Q115" s="542"/>
      <c r="R115" s="542"/>
      <c r="S115" s="542"/>
      <c r="T115" s="542"/>
      <c r="U115" s="542"/>
      <c r="V115" s="542"/>
    </row>
    <row r="116" customFormat="false" ht="15" hidden="false" customHeight="false" outlineLevel="0" collapsed="false">
      <c r="E116" s="359" t="s">
        <v>151</v>
      </c>
      <c r="F116" s="360"/>
    </row>
    <row r="117" customFormat="false" ht="15" hidden="false" customHeight="false" outlineLevel="0" collapsed="false">
      <c r="E117" s="1" t="s">
        <v>70</v>
      </c>
      <c r="F117" s="2" t="n">
        <f aca="false">COUNTIF(F$5:F$111,E117)</f>
        <v>33</v>
      </c>
    </row>
    <row r="118" customFormat="false" ht="15" hidden="false" customHeight="false" outlineLevel="0" collapsed="false">
      <c r="E118" s="1" t="s">
        <v>138</v>
      </c>
      <c r="F118" s="2" t="n">
        <f aca="false">COUNTIF(F$5:F$111,E118)</f>
        <v>8</v>
      </c>
    </row>
    <row r="119" customFormat="false" ht="15" hidden="false" customHeight="false" outlineLevel="0" collapsed="false">
      <c r="E119" s="1" t="s">
        <v>102</v>
      </c>
      <c r="F119" s="2" t="n">
        <f aca="false">COUNTIF(F$5:F$111,E119)</f>
        <v>21</v>
      </c>
    </row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</sheetData>
  <mergeCells count="47">
    <mergeCell ref="B2:B4"/>
    <mergeCell ref="C2:C4"/>
    <mergeCell ref="D2:D4"/>
    <mergeCell ref="E2:E4"/>
    <mergeCell ref="F2:F4"/>
    <mergeCell ref="G2:H2"/>
    <mergeCell ref="I2:I4"/>
    <mergeCell ref="J2:J4"/>
    <mergeCell ref="K2:K4"/>
    <mergeCell ref="L2:L4"/>
    <mergeCell ref="M2:M4"/>
    <mergeCell ref="N2:N4"/>
    <mergeCell ref="O2:P2"/>
    <mergeCell ref="Q2:R2"/>
    <mergeCell ref="S2:T2"/>
    <mergeCell ref="U2:V2"/>
    <mergeCell ref="B7:B20"/>
    <mergeCell ref="C7:C20"/>
    <mergeCell ref="D7:D19"/>
    <mergeCell ref="B21:B32"/>
    <mergeCell ref="C21:C32"/>
    <mergeCell ref="D21:D31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B62:B69"/>
    <mergeCell ref="C62:C69"/>
    <mergeCell ref="D62:D68"/>
    <mergeCell ref="B70:B80"/>
    <mergeCell ref="C70:C80"/>
    <mergeCell ref="D70:D79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M115:N115"/>
  </mergeCells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true"/>
  </sheetPr>
  <dimension ref="A1:Y142"/>
  <sheetViews>
    <sheetView showFormulas="false" showGridLines="true" showRowColHeaders="true" showZeros="true" rightToLeft="false" tabSelected="true" showOutlineSymbols="true" defaultGridColor="true" view="normal" topLeftCell="D1" colorId="64" zoomScale="70" zoomScaleNormal="70" zoomScalePageLayoutView="100" workbookViewId="0">
      <pane xSplit="0" ySplit="4" topLeftCell="G23" activePane="bottomLeft" state="frozen"/>
      <selection pane="topLeft" activeCell="D1" activeCellId="0" sqref="D1"/>
      <selection pane="bottomLeft" activeCell="L50" activeCellId="0" sqref="L50"/>
    </sheetView>
  </sheetViews>
  <sheetFormatPr defaultColWidth="11.43359375" defaultRowHeight="15" zeroHeight="false" outlineLevelRow="0" outlineLevelCol="0"/>
  <cols>
    <col collapsed="false" customWidth="true" hidden="false" outlineLevel="0" max="1" min="1" style="24" width="0.42"/>
    <col collapsed="false" customWidth="true" hidden="false" outlineLevel="0" max="2" min="2" style="1" width="38.86"/>
    <col collapsed="false" customWidth="true" hidden="false" outlineLevel="0" max="3" min="3" style="2" width="11.57"/>
    <col collapsed="false" customWidth="true" hidden="false" outlineLevel="0" max="4" min="4" style="2" width="15.29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false" hidden="false" outlineLevel="0" max="8" min="7" style="2" width="11.42"/>
    <col collapsed="false" customWidth="false" hidden="false" outlineLevel="0" max="9" min="9" style="46" width="11.42"/>
    <col collapsed="false" customWidth="false" hidden="false" outlineLevel="0" max="10" min="10" style="47" width="11.42"/>
    <col collapsed="false" customWidth="false" hidden="false" outlineLevel="0" max="11" min="11" style="46" width="11.42"/>
    <col collapsed="false" customWidth="false" hidden="false" outlineLevel="0" max="12" min="12" style="47" width="11.42"/>
    <col collapsed="false" customWidth="false" hidden="false" outlineLevel="0" max="13" min="13" style="46" width="11.42"/>
    <col collapsed="false" customWidth="false" hidden="false" outlineLevel="0" max="14" min="14" style="47" width="11.42"/>
    <col collapsed="false" customWidth="true" hidden="false" outlineLevel="0" max="22" min="15" style="2" width="7.57"/>
    <col collapsed="false" customWidth="true" hidden="false" outlineLevel="0" max="23" min="23" style="2" width="5.28"/>
    <col collapsed="false" customWidth="false" hidden="false" outlineLevel="0" max="1024" min="24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48"/>
      <c r="J1" s="49"/>
      <c r="K1" s="48"/>
      <c r="L1" s="49"/>
      <c r="M1" s="48"/>
      <c r="N1" s="49"/>
      <c r="O1" s="23"/>
      <c r="P1" s="23"/>
      <c r="Q1" s="23"/>
      <c r="R1" s="23"/>
      <c r="S1" s="23"/>
      <c r="T1" s="23"/>
      <c r="U1" s="23"/>
      <c r="V1" s="23"/>
      <c r="W1" s="23"/>
    </row>
    <row r="2" s="63" customFormat="true" ht="30" hidden="false" customHeight="true" outlineLevel="0" collapsed="false">
      <c r="A2" s="50"/>
      <c r="B2" s="51" t="s">
        <v>49</v>
      </c>
      <c r="C2" s="52" t="s">
        <v>50</v>
      </c>
      <c r="D2" s="52" t="s">
        <v>51</v>
      </c>
      <c r="E2" s="53" t="s">
        <v>52</v>
      </c>
      <c r="F2" s="54" t="s">
        <v>53</v>
      </c>
      <c r="G2" s="55" t="s">
        <v>54</v>
      </c>
      <c r="H2" s="55"/>
      <c r="I2" s="56" t="s">
        <v>55</v>
      </c>
      <c r="J2" s="361" t="s">
        <v>56</v>
      </c>
      <c r="K2" s="56" t="s">
        <v>57</v>
      </c>
      <c r="L2" s="361" t="s">
        <v>58</v>
      </c>
      <c r="M2" s="56" t="s">
        <v>59</v>
      </c>
      <c r="N2" s="361" t="s">
        <v>60</v>
      </c>
      <c r="O2" s="60" t="s">
        <v>61</v>
      </c>
      <c r="P2" s="60"/>
      <c r="Q2" s="60" t="s">
        <v>62</v>
      </c>
      <c r="R2" s="60"/>
      <c r="S2" s="60" t="s">
        <v>63</v>
      </c>
      <c r="T2" s="60"/>
      <c r="U2" s="61" t="s">
        <v>64</v>
      </c>
      <c r="V2" s="61"/>
      <c r="W2" s="362"/>
    </row>
    <row r="3" s="63" customFormat="true" ht="30" hidden="false" customHeight="true" outlineLevel="0" collapsed="false">
      <c r="A3" s="50"/>
      <c r="B3" s="51"/>
      <c r="C3" s="52"/>
      <c r="D3" s="52"/>
      <c r="E3" s="53"/>
      <c r="F3" s="54"/>
      <c r="G3" s="64"/>
      <c r="H3" s="65"/>
      <c r="I3" s="56"/>
      <c r="J3" s="361"/>
      <c r="K3" s="56"/>
      <c r="L3" s="361"/>
      <c r="M3" s="56"/>
      <c r="N3" s="361"/>
      <c r="O3" s="66"/>
      <c r="P3" s="65"/>
      <c r="Q3" s="66"/>
      <c r="R3" s="65"/>
      <c r="S3" s="66"/>
      <c r="T3" s="65"/>
      <c r="U3" s="67"/>
      <c r="V3" s="68"/>
      <c r="W3" s="362"/>
    </row>
    <row r="4" s="63" customFormat="true" ht="30" hidden="false" customHeight="true" outlineLevel="0" collapsed="false">
      <c r="A4" s="50"/>
      <c r="B4" s="51"/>
      <c r="C4" s="52"/>
      <c r="D4" s="52"/>
      <c r="E4" s="53"/>
      <c r="F4" s="54"/>
      <c r="G4" s="69" t="s">
        <v>65</v>
      </c>
      <c r="H4" s="70" t="s">
        <v>66</v>
      </c>
      <c r="I4" s="56"/>
      <c r="J4" s="361"/>
      <c r="K4" s="56"/>
      <c r="L4" s="361"/>
      <c r="M4" s="56"/>
      <c r="N4" s="361"/>
      <c r="O4" s="71" t="s">
        <v>65</v>
      </c>
      <c r="P4" s="70" t="s">
        <v>66</v>
      </c>
      <c r="Q4" s="71" t="s">
        <v>65</v>
      </c>
      <c r="R4" s="70" t="s">
        <v>66</v>
      </c>
      <c r="S4" s="71" t="s">
        <v>65</v>
      </c>
      <c r="T4" s="70" t="s">
        <v>66</v>
      </c>
      <c r="U4" s="71" t="s">
        <v>65</v>
      </c>
      <c r="V4" s="72" t="s">
        <v>66</v>
      </c>
      <c r="W4" s="362"/>
    </row>
    <row r="5" customFormat="false" ht="15.75" hidden="false" customHeight="false" outlineLevel="0" collapsed="false">
      <c r="B5" s="172" t="s">
        <v>152</v>
      </c>
      <c r="C5" s="173" t="s">
        <v>68</v>
      </c>
      <c r="D5" s="363" t="n">
        <v>2</v>
      </c>
      <c r="E5" s="364" t="s">
        <v>69</v>
      </c>
      <c r="F5" s="365" t="s">
        <v>70</v>
      </c>
      <c r="G5" s="366"/>
      <c r="H5" s="367"/>
      <c r="I5" s="368" t="e">
        <f aca="false">J5/G5</f>
        <v>#DIV/0!</v>
      </c>
      <c r="J5" s="369"/>
      <c r="K5" s="370" t="e">
        <f aca="false">L5/G5</f>
        <v>#DIV/0!</v>
      </c>
      <c r="L5" s="369"/>
      <c r="M5" s="370" t="e">
        <f aca="false">IF(N5="-","-",N5/L5)</f>
        <v>#DIV/0!</v>
      </c>
      <c r="N5" s="371"/>
      <c r="O5" s="372"/>
      <c r="P5" s="373"/>
      <c r="Q5" s="372"/>
      <c r="R5" s="373"/>
      <c r="S5" s="374" t="s">
        <v>75</v>
      </c>
      <c r="T5" s="375" t="s">
        <v>75</v>
      </c>
      <c r="U5" s="374" t="s">
        <v>75</v>
      </c>
      <c r="V5" s="376" t="s">
        <v>75</v>
      </c>
      <c r="W5" s="377"/>
    </row>
    <row r="6" customFormat="false" ht="15.75" hidden="false" customHeight="false" outlineLevel="0" collapsed="false">
      <c r="B6" s="266" t="s">
        <v>71</v>
      </c>
      <c r="C6" s="213" t="s">
        <v>68</v>
      </c>
      <c r="D6" s="378" t="n">
        <v>2</v>
      </c>
      <c r="E6" s="379" t="s">
        <v>72</v>
      </c>
      <c r="F6" s="380" t="s">
        <v>70</v>
      </c>
      <c r="G6" s="381"/>
      <c r="H6" s="382"/>
      <c r="I6" s="319" t="e">
        <f aca="false">J6/G6</f>
        <v>#DIV/0!</v>
      </c>
      <c r="J6" s="383"/>
      <c r="K6" s="317" t="e">
        <f aca="false">L6/G6</f>
        <v>#DIV/0!</v>
      </c>
      <c r="L6" s="383"/>
      <c r="M6" s="317" t="e">
        <f aca="false">IF(N6="-","-",N6/L6)</f>
        <v>#DIV/0!</v>
      </c>
      <c r="N6" s="384"/>
      <c r="O6" s="385"/>
      <c r="P6" s="386"/>
      <c r="Q6" s="385"/>
      <c r="R6" s="386"/>
      <c r="S6" s="321" t="s">
        <v>75</v>
      </c>
      <c r="T6" s="316" t="s">
        <v>75</v>
      </c>
      <c r="U6" s="321" t="s">
        <v>75</v>
      </c>
      <c r="V6" s="322" t="s">
        <v>75</v>
      </c>
      <c r="W6" s="377"/>
    </row>
    <row r="7" customFormat="false" ht="15" hidden="false" customHeight="true" outlineLevel="0" collapsed="false">
      <c r="B7" s="283" t="s">
        <v>73</v>
      </c>
      <c r="C7" s="267" t="s">
        <v>68</v>
      </c>
      <c r="D7" s="387" t="n">
        <v>9</v>
      </c>
      <c r="E7" s="388" t="s">
        <v>74</v>
      </c>
      <c r="F7" s="389" t="s">
        <v>70</v>
      </c>
      <c r="G7" s="390"/>
      <c r="H7" s="391"/>
      <c r="I7" s="392" t="e">
        <f aca="false">J7/G7</f>
        <v>#DIV/0!</v>
      </c>
      <c r="J7" s="393"/>
      <c r="K7" s="394" t="e">
        <f aca="false">L7/G7</f>
        <v>#DIV/0!</v>
      </c>
      <c r="L7" s="393"/>
      <c r="M7" s="394" t="e">
        <f aca="false">IF(N7="-","-",N7/L7)</f>
        <v>#DIV/0!</v>
      </c>
      <c r="N7" s="395"/>
      <c r="O7" s="396"/>
      <c r="P7" s="397"/>
      <c r="Q7" s="396"/>
      <c r="R7" s="397"/>
      <c r="S7" s="398" t="s">
        <v>75</v>
      </c>
      <c r="T7" s="399" t="s">
        <v>75</v>
      </c>
      <c r="U7" s="398" t="s">
        <v>75</v>
      </c>
      <c r="V7" s="400" t="s">
        <v>75</v>
      </c>
      <c r="W7" s="377"/>
    </row>
    <row r="8" customFormat="false" ht="15" hidden="false" customHeight="true" outlineLevel="0" collapsed="false">
      <c r="B8" s="283"/>
      <c r="C8" s="267"/>
      <c r="D8" s="387"/>
      <c r="E8" s="401" t="s">
        <v>74</v>
      </c>
      <c r="F8" s="402" t="s">
        <v>70</v>
      </c>
      <c r="G8" s="403"/>
      <c r="H8" s="404"/>
      <c r="I8" s="294" t="e">
        <f aca="false">J8/G8</f>
        <v>#DIV/0!</v>
      </c>
      <c r="J8" s="405"/>
      <c r="K8" s="292" t="e">
        <f aca="false">L8/G8</f>
        <v>#DIV/0!</v>
      </c>
      <c r="L8" s="405"/>
      <c r="M8" s="292" t="e">
        <f aca="false">IF(N8="-","-",N8/L8)</f>
        <v>#DIV/0!</v>
      </c>
      <c r="N8" s="406"/>
      <c r="O8" s="407"/>
      <c r="P8" s="408"/>
      <c r="Q8" s="407"/>
      <c r="R8" s="408"/>
      <c r="S8" s="296" t="s">
        <v>75</v>
      </c>
      <c r="T8" s="291" t="s">
        <v>75</v>
      </c>
      <c r="U8" s="296" t="s">
        <v>75</v>
      </c>
      <c r="V8" s="297" t="s">
        <v>75</v>
      </c>
      <c r="W8" s="377"/>
    </row>
    <row r="9" customFormat="false" ht="15" hidden="false" customHeight="true" outlineLevel="0" collapsed="false">
      <c r="B9" s="283"/>
      <c r="C9" s="267"/>
      <c r="D9" s="387"/>
      <c r="E9" s="401" t="s">
        <v>74</v>
      </c>
      <c r="F9" s="402" t="s">
        <v>70</v>
      </c>
      <c r="G9" s="403"/>
      <c r="H9" s="404"/>
      <c r="I9" s="294" t="e">
        <f aca="false">J9/G9</f>
        <v>#DIV/0!</v>
      </c>
      <c r="J9" s="405"/>
      <c r="K9" s="292" t="e">
        <f aca="false">L9/G9</f>
        <v>#DIV/0!</v>
      </c>
      <c r="L9" s="405"/>
      <c r="M9" s="292" t="e">
        <f aca="false">IF(N9="-","-",N9/L9)</f>
        <v>#DIV/0!</v>
      </c>
      <c r="N9" s="406"/>
      <c r="O9" s="407"/>
      <c r="P9" s="408"/>
      <c r="Q9" s="407"/>
      <c r="R9" s="408"/>
      <c r="S9" s="296" t="s">
        <v>75</v>
      </c>
      <c r="T9" s="291" t="s">
        <v>75</v>
      </c>
      <c r="U9" s="296" t="s">
        <v>75</v>
      </c>
      <c r="V9" s="297" t="s">
        <v>75</v>
      </c>
      <c r="W9" s="377"/>
    </row>
    <row r="10" customFormat="false" ht="15" hidden="false" customHeight="true" outlineLevel="0" collapsed="false">
      <c r="B10" s="283"/>
      <c r="C10" s="267"/>
      <c r="D10" s="387"/>
      <c r="E10" s="401" t="s">
        <v>74</v>
      </c>
      <c r="F10" s="402" t="s">
        <v>70</v>
      </c>
      <c r="G10" s="403"/>
      <c r="H10" s="404"/>
      <c r="I10" s="294" t="e">
        <f aca="false">J10/G10</f>
        <v>#DIV/0!</v>
      </c>
      <c r="J10" s="405"/>
      <c r="K10" s="292" t="e">
        <f aca="false">L10/G10</f>
        <v>#DIV/0!</v>
      </c>
      <c r="L10" s="405"/>
      <c r="M10" s="292" t="e">
        <f aca="false">IF(N10="-","-",N10/L10)</f>
        <v>#DIV/0!</v>
      </c>
      <c r="N10" s="406"/>
      <c r="O10" s="407"/>
      <c r="P10" s="408"/>
      <c r="Q10" s="407"/>
      <c r="R10" s="408"/>
      <c r="S10" s="296" t="s">
        <v>75</v>
      </c>
      <c r="T10" s="291" t="s">
        <v>75</v>
      </c>
      <c r="U10" s="296" t="s">
        <v>75</v>
      </c>
      <c r="V10" s="297" t="s">
        <v>75</v>
      </c>
      <c r="W10" s="377"/>
    </row>
    <row r="11" customFormat="false" ht="15" hidden="false" customHeight="true" outlineLevel="0" collapsed="false">
      <c r="B11" s="283"/>
      <c r="C11" s="267"/>
      <c r="D11" s="387"/>
      <c r="E11" s="401" t="s">
        <v>74</v>
      </c>
      <c r="F11" s="402" t="s">
        <v>70</v>
      </c>
      <c r="G11" s="403"/>
      <c r="H11" s="404"/>
      <c r="I11" s="294" t="e">
        <f aca="false">J11/G11</f>
        <v>#DIV/0!</v>
      </c>
      <c r="J11" s="405"/>
      <c r="K11" s="292" t="e">
        <f aca="false">L11/G11</f>
        <v>#DIV/0!</v>
      </c>
      <c r="L11" s="405"/>
      <c r="M11" s="292" t="e">
        <f aca="false">IF(N11="-","-",N11/L11)</f>
        <v>#DIV/0!</v>
      </c>
      <c r="N11" s="406"/>
      <c r="O11" s="407"/>
      <c r="P11" s="408"/>
      <c r="Q11" s="407"/>
      <c r="R11" s="408"/>
      <c r="S11" s="296" t="s">
        <v>75</v>
      </c>
      <c r="T11" s="291" t="s">
        <v>75</v>
      </c>
      <c r="U11" s="296" t="s">
        <v>75</v>
      </c>
      <c r="V11" s="297" t="s">
        <v>75</v>
      </c>
      <c r="W11" s="377"/>
    </row>
    <row r="12" customFormat="false" ht="15" hidden="false" customHeight="true" outlineLevel="0" collapsed="false">
      <c r="B12" s="283"/>
      <c r="C12" s="267"/>
      <c r="D12" s="387"/>
      <c r="E12" s="401" t="s">
        <v>74</v>
      </c>
      <c r="F12" s="402" t="s">
        <v>70</v>
      </c>
      <c r="G12" s="403"/>
      <c r="H12" s="404"/>
      <c r="I12" s="294" t="e">
        <f aca="false">J12/G12</f>
        <v>#DIV/0!</v>
      </c>
      <c r="J12" s="405"/>
      <c r="K12" s="292" t="e">
        <f aca="false">L12/G12</f>
        <v>#DIV/0!</v>
      </c>
      <c r="L12" s="405"/>
      <c r="M12" s="292" t="e">
        <f aca="false">IF(N12="-","-",N12/L12)</f>
        <v>#DIV/0!</v>
      </c>
      <c r="N12" s="406"/>
      <c r="O12" s="407"/>
      <c r="P12" s="408"/>
      <c r="Q12" s="407"/>
      <c r="R12" s="408"/>
      <c r="S12" s="296" t="s">
        <v>75</v>
      </c>
      <c r="T12" s="291" t="s">
        <v>75</v>
      </c>
      <c r="U12" s="296" t="s">
        <v>75</v>
      </c>
      <c r="V12" s="297" t="s">
        <v>75</v>
      </c>
      <c r="W12" s="377"/>
    </row>
    <row r="13" customFormat="false" ht="15" hidden="false" customHeight="true" outlineLevel="0" collapsed="false">
      <c r="B13" s="283"/>
      <c r="C13" s="267"/>
      <c r="D13" s="387"/>
      <c r="E13" s="401" t="s">
        <v>74</v>
      </c>
      <c r="F13" s="402" t="s">
        <v>70</v>
      </c>
      <c r="G13" s="403"/>
      <c r="H13" s="404"/>
      <c r="I13" s="294" t="e">
        <f aca="false">J13/G13</f>
        <v>#DIV/0!</v>
      </c>
      <c r="J13" s="405"/>
      <c r="K13" s="292" t="e">
        <f aca="false">L13/G13</f>
        <v>#DIV/0!</v>
      </c>
      <c r="L13" s="405"/>
      <c r="M13" s="292" t="e">
        <f aca="false">IF(N13="-","-",N13/L13)</f>
        <v>#DIV/0!</v>
      </c>
      <c r="N13" s="406"/>
      <c r="O13" s="407"/>
      <c r="P13" s="408"/>
      <c r="Q13" s="407"/>
      <c r="R13" s="408"/>
      <c r="S13" s="296" t="s">
        <v>75</v>
      </c>
      <c r="T13" s="291" t="s">
        <v>75</v>
      </c>
      <c r="U13" s="296" t="s">
        <v>75</v>
      </c>
      <c r="V13" s="297" t="s">
        <v>75</v>
      </c>
      <c r="W13" s="377"/>
    </row>
    <row r="14" customFormat="false" ht="15" hidden="false" customHeight="true" outlineLevel="0" collapsed="false">
      <c r="B14" s="283"/>
      <c r="C14" s="267"/>
      <c r="D14" s="387"/>
      <c r="E14" s="401" t="s">
        <v>74</v>
      </c>
      <c r="F14" s="402" t="s">
        <v>70</v>
      </c>
      <c r="G14" s="403"/>
      <c r="H14" s="404"/>
      <c r="I14" s="294" t="e">
        <f aca="false">J14/G14</f>
        <v>#DIV/0!</v>
      </c>
      <c r="J14" s="405"/>
      <c r="K14" s="292" t="e">
        <f aca="false">L14/G14</f>
        <v>#DIV/0!</v>
      </c>
      <c r="L14" s="405"/>
      <c r="M14" s="292" t="e">
        <f aca="false">IF(N14="-","-",N14/L14)</f>
        <v>#DIV/0!</v>
      </c>
      <c r="N14" s="406"/>
      <c r="O14" s="407"/>
      <c r="P14" s="408"/>
      <c r="Q14" s="407"/>
      <c r="R14" s="408"/>
      <c r="S14" s="296" t="s">
        <v>75</v>
      </c>
      <c r="T14" s="291" t="s">
        <v>75</v>
      </c>
      <c r="U14" s="296" t="s">
        <v>75</v>
      </c>
      <c r="V14" s="297" t="s">
        <v>75</v>
      </c>
      <c r="W14" s="377"/>
    </row>
    <row r="15" customFormat="false" ht="15" hidden="false" customHeight="true" outlineLevel="0" collapsed="false">
      <c r="B15" s="283"/>
      <c r="C15" s="267"/>
      <c r="D15" s="387"/>
      <c r="E15" s="409" t="s">
        <v>74</v>
      </c>
      <c r="F15" s="410"/>
      <c r="G15" s="403"/>
      <c r="H15" s="404"/>
      <c r="I15" s="294" t="e">
        <f aca="false">J15/G15</f>
        <v>#DIV/0!</v>
      </c>
      <c r="J15" s="405"/>
      <c r="K15" s="292" t="e">
        <f aca="false">L15/G15</f>
        <v>#DIV/0!</v>
      </c>
      <c r="L15" s="405"/>
      <c r="M15" s="292" t="e">
        <f aca="false">IF(N15="-","-",N15/L15)</f>
        <v>#DIV/0!</v>
      </c>
      <c r="N15" s="411"/>
      <c r="O15" s="412"/>
      <c r="P15" s="413"/>
      <c r="Q15" s="412"/>
      <c r="R15" s="413"/>
      <c r="S15" s="414" t="s">
        <v>75</v>
      </c>
      <c r="T15" s="415" t="s">
        <v>75</v>
      </c>
      <c r="U15" s="414" t="s">
        <v>75</v>
      </c>
      <c r="V15" s="416" t="s">
        <v>75</v>
      </c>
      <c r="W15" s="377"/>
    </row>
    <row r="16" customFormat="false" ht="15" hidden="false" customHeight="true" outlineLevel="0" collapsed="false">
      <c r="B16" s="283"/>
      <c r="C16" s="267"/>
      <c r="D16" s="387"/>
      <c r="E16" s="409" t="s">
        <v>74</v>
      </c>
      <c r="F16" s="410"/>
      <c r="G16" s="403"/>
      <c r="H16" s="404"/>
      <c r="I16" s="294" t="e">
        <f aca="false">J16/G16</f>
        <v>#DIV/0!</v>
      </c>
      <c r="J16" s="405"/>
      <c r="K16" s="292" t="e">
        <f aca="false">L16/G16</f>
        <v>#DIV/0!</v>
      </c>
      <c r="L16" s="405"/>
      <c r="M16" s="292" t="e">
        <f aca="false">IF(N16="-","-",N16/L16)</f>
        <v>#DIV/0!</v>
      </c>
      <c r="N16" s="411"/>
      <c r="O16" s="412"/>
      <c r="P16" s="413"/>
      <c r="Q16" s="412"/>
      <c r="R16" s="413"/>
      <c r="S16" s="414" t="s">
        <v>75</v>
      </c>
      <c r="T16" s="415" t="s">
        <v>75</v>
      </c>
      <c r="U16" s="414" t="s">
        <v>75</v>
      </c>
      <c r="V16" s="416" t="s">
        <v>75</v>
      </c>
      <c r="W16" s="377"/>
    </row>
    <row r="17" customFormat="false" ht="15" hidden="false" customHeight="true" outlineLevel="0" collapsed="false">
      <c r="B17" s="283"/>
      <c r="C17" s="267"/>
      <c r="D17" s="387"/>
      <c r="E17" s="409"/>
      <c r="F17" s="410"/>
      <c r="G17" s="417"/>
      <c r="H17" s="418"/>
      <c r="I17" s="294" t="e">
        <f aca="false">J17/G17</f>
        <v>#DIV/0!</v>
      </c>
      <c r="J17" s="419"/>
      <c r="K17" s="292" t="e">
        <f aca="false">L17/G17</f>
        <v>#DIV/0!</v>
      </c>
      <c r="L17" s="419"/>
      <c r="M17" s="292" t="e">
        <f aca="false">IF(N17="-","-",N17/L17)</f>
        <v>#DIV/0!</v>
      </c>
      <c r="N17" s="411"/>
      <c r="O17" s="412"/>
      <c r="P17" s="413"/>
      <c r="Q17" s="412"/>
      <c r="R17" s="413"/>
      <c r="S17" s="414" t="s">
        <v>75</v>
      </c>
      <c r="T17" s="415" t="s">
        <v>75</v>
      </c>
      <c r="U17" s="414" t="s">
        <v>75</v>
      </c>
      <c r="V17" s="416" t="s">
        <v>75</v>
      </c>
      <c r="W17" s="377"/>
    </row>
    <row r="18" customFormat="false" ht="15" hidden="false" customHeight="true" outlineLevel="0" collapsed="false">
      <c r="B18" s="283"/>
      <c r="C18" s="267"/>
      <c r="D18" s="387"/>
      <c r="E18" s="409"/>
      <c r="F18" s="410"/>
      <c r="G18" s="417"/>
      <c r="H18" s="418"/>
      <c r="I18" s="294" t="e">
        <f aca="false">J18/G18</f>
        <v>#DIV/0!</v>
      </c>
      <c r="J18" s="419"/>
      <c r="K18" s="292" t="e">
        <f aca="false">L18/G18</f>
        <v>#DIV/0!</v>
      </c>
      <c r="L18" s="419"/>
      <c r="M18" s="292" t="e">
        <f aca="false">IF(N18="-","-",N18/L18)</f>
        <v>#DIV/0!</v>
      </c>
      <c r="N18" s="411"/>
      <c r="O18" s="412"/>
      <c r="P18" s="413"/>
      <c r="Q18" s="412"/>
      <c r="R18" s="413"/>
      <c r="S18" s="414" t="s">
        <v>75</v>
      </c>
      <c r="T18" s="415" t="s">
        <v>75</v>
      </c>
      <c r="U18" s="414" t="s">
        <v>75</v>
      </c>
      <c r="V18" s="416" t="s">
        <v>75</v>
      </c>
      <c r="W18" s="377"/>
    </row>
    <row r="19" customFormat="false" ht="15" hidden="false" customHeight="true" outlineLevel="0" collapsed="false">
      <c r="B19" s="283"/>
      <c r="C19" s="267"/>
      <c r="D19" s="387"/>
      <c r="E19" s="420" t="s">
        <v>74</v>
      </c>
      <c r="F19" s="421" t="s">
        <v>70</v>
      </c>
      <c r="G19" s="422"/>
      <c r="H19" s="423"/>
      <c r="I19" s="304" t="e">
        <f aca="false">J19/G19</f>
        <v>#DIV/0!</v>
      </c>
      <c r="J19" s="424"/>
      <c r="K19" s="302" t="e">
        <f aca="false">L19/G19</f>
        <v>#DIV/0!</v>
      </c>
      <c r="L19" s="424"/>
      <c r="M19" s="302" t="e">
        <f aca="false">IF(N19="-","-",N19/L19)</f>
        <v>#DIV/0!</v>
      </c>
      <c r="N19" s="425"/>
      <c r="O19" s="426"/>
      <c r="P19" s="427"/>
      <c r="Q19" s="426"/>
      <c r="R19" s="427"/>
      <c r="S19" s="306" t="s">
        <v>75</v>
      </c>
      <c r="T19" s="301" t="s">
        <v>75</v>
      </c>
      <c r="U19" s="306" t="s">
        <v>75</v>
      </c>
      <c r="V19" s="307" t="s">
        <v>75</v>
      </c>
      <c r="W19" s="377"/>
    </row>
    <row r="20" customFormat="false" ht="15.75" hidden="false" customHeight="false" outlineLevel="0" collapsed="false">
      <c r="B20" s="283"/>
      <c r="C20" s="267"/>
      <c r="D20" s="428" t="s">
        <v>76</v>
      </c>
      <c r="E20" s="312"/>
      <c r="F20" s="429"/>
      <c r="G20" s="216" t="n">
        <f aca="false">SUM(G7:G19)</f>
        <v>0</v>
      </c>
      <c r="H20" s="217" t="n">
        <f aca="false">SUM(H7:H19)</f>
        <v>0</v>
      </c>
      <c r="I20" s="218" t="e">
        <f aca="false">J20/G20</f>
        <v>#DIV/0!</v>
      </c>
      <c r="J20" s="320" t="n">
        <f aca="false">SUM(J7:J19)</f>
        <v>0</v>
      </c>
      <c r="K20" s="218" t="e">
        <f aca="false">L20/G20</f>
        <v>#DIV/0!</v>
      </c>
      <c r="L20" s="320" t="n">
        <f aca="false">SUM(L7:L19)</f>
        <v>0</v>
      </c>
      <c r="M20" s="218" t="e">
        <f aca="false">N20/L20</f>
        <v>#DIV/0!</v>
      </c>
      <c r="N20" s="320" t="n">
        <f aca="false">SUM(N7:N19)</f>
        <v>0</v>
      </c>
      <c r="O20" s="430" t="n">
        <f aca="false">SUM(O7:O19)</f>
        <v>0</v>
      </c>
      <c r="P20" s="431" t="n">
        <f aca="false">SUM(P7:P19)</f>
        <v>0</v>
      </c>
      <c r="Q20" s="430" t="n">
        <f aca="false">SUM(Q7:Q19)</f>
        <v>0</v>
      </c>
      <c r="R20" s="431" t="n">
        <f aca="false">SUM(R7:R19)</f>
        <v>0</v>
      </c>
      <c r="S20" s="430" t="n">
        <f aca="false">SUM(S7:S19)</f>
        <v>0</v>
      </c>
      <c r="T20" s="431" t="n">
        <f aca="false">SUM(T7:T19)</f>
        <v>0</v>
      </c>
      <c r="U20" s="430" t="n">
        <f aca="false">SUM(U7:U19)</f>
        <v>0</v>
      </c>
      <c r="V20" s="432" t="n">
        <f aca="false">SUM(V7:V19)</f>
        <v>0</v>
      </c>
      <c r="W20" s="377"/>
    </row>
    <row r="21" customFormat="false" ht="15" hidden="false" customHeight="true" outlineLevel="0" collapsed="false">
      <c r="B21" s="283" t="s">
        <v>154</v>
      </c>
      <c r="C21" s="267" t="s">
        <v>68</v>
      </c>
      <c r="D21" s="387" t="n">
        <v>9</v>
      </c>
      <c r="E21" s="388" t="s">
        <v>78</v>
      </c>
      <c r="F21" s="389" t="s">
        <v>70</v>
      </c>
      <c r="G21" s="390"/>
      <c r="H21" s="391"/>
      <c r="I21" s="392" t="e">
        <f aca="false">J21/G21</f>
        <v>#DIV/0!</v>
      </c>
      <c r="J21" s="393"/>
      <c r="K21" s="394" t="e">
        <f aca="false">L21/G21</f>
        <v>#DIV/0!</v>
      </c>
      <c r="L21" s="393"/>
      <c r="M21" s="394" t="e">
        <f aca="false">IF(N21="-","-",N21/L21)</f>
        <v>#DIV/0!</v>
      </c>
      <c r="N21" s="395"/>
      <c r="O21" s="396"/>
      <c r="P21" s="397"/>
      <c r="Q21" s="396"/>
      <c r="R21" s="397"/>
      <c r="S21" s="398" t="s">
        <v>75</v>
      </c>
      <c r="T21" s="399" t="s">
        <v>75</v>
      </c>
      <c r="U21" s="398" t="s">
        <v>75</v>
      </c>
      <c r="V21" s="400" t="s">
        <v>75</v>
      </c>
      <c r="W21" s="377"/>
    </row>
    <row r="22" customFormat="false" ht="15" hidden="false" customHeight="true" outlineLevel="0" collapsed="false">
      <c r="B22" s="283"/>
      <c r="C22" s="267"/>
      <c r="D22" s="387"/>
      <c r="E22" s="401" t="s">
        <v>79</v>
      </c>
      <c r="F22" s="402" t="s">
        <v>70</v>
      </c>
      <c r="G22" s="403"/>
      <c r="H22" s="404"/>
      <c r="I22" s="294" t="e">
        <f aca="false">J22/G22</f>
        <v>#DIV/0!</v>
      </c>
      <c r="J22" s="405"/>
      <c r="K22" s="292" t="e">
        <f aca="false">L22/G22</f>
        <v>#DIV/0!</v>
      </c>
      <c r="L22" s="405"/>
      <c r="M22" s="292" t="e">
        <f aca="false">IF(N22="-","-",N22/L22)</f>
        <v>#DIV/0!</v>
      </c>
      <c r="N22" s="406"/>
      <c r="O22" s="407"/>
      <c r="P22" s="408"/>
      <c r="Q22" s="407"/>
      <c r="R22" s="408"/>
      <c r="S22" s="296" t="s">
        <v>75</v>
      </c>
      <c r="T22" s="291" t="s">
        <v>75</v>
      </c>
      <c r="U22" s="296" t="s">
        <v>75</v>
      </c>
      <c r="V22" s="297" t="s">
        <v>75</v>
      </c>
      <c r="W22" s="377"/>
    </row>
    <row r="23" customFormat="false" ht="15" hidden="false" customHeight="true" outlineLevel="0" collapsed="false">
      <c r="B23" s="283"/>
      <c r="C23" s="267"/>
      <c r="D23" s="387"/>
      <c r="E23" s="401" t="s">
        <v>80</v>
      </c>
      <c r="F23" s="402" t="s">
        <v>70</v>
      </c>
      <c r="G23" s="403"/>
      <c r="H23" s="404"/>
      <c r="I23" s="294" t="e">
        <f aca="false">J23/G23</f>
        <v>#DIV/0!</v>
      </c>
      <c r="J23" s="405"/>
      <c r="K23" s="292" t="e">
        <f aca="false">L23/G23</f>
        <v>#DIV/0!</v>
      </c>
      <c r="L23" s="405"/>
      <c r="M23" s="292" t="e">
        <f aca="false">IF(N23="-","-",N23/L23)</f>
        <v>#DIV/0!</v>
      </c>
      <c r="N23" s="406"/>
      <c r="O23" s="407"/>
      <c r="P23" s="408"/>
      <c r="Q23" s="407"/>
      <c r="R23" s="408"/>
      <c r="S23" s="296" t="s">
        <v>75</v>
      </c>
      <c r="T23" s="291" t="s">
        <v>75</v>
      </c>
      <c r="U23" s="296" t="s">
        <v>75</v>
      </c>
      <c r="V23" s="297" t="s">
        <v>75</v>
      </c>
      <c r="W23" s="377"/>
    </row>
    <row r="24" customFormat="false" ht="15" hidden="false" customHeight="true" outlineLevel="0" collapsed="false">
      <c r="B24" s="283"/>
      <c r="C24" s="267"/>
      <c r="D24" s="387"/>
      <c r="E24" s="401" t="s">
        <v>155</v>
      </c>
      <c r="F24" s="402" t="s">
        <v>70</v>
      </c>
      <c r="G24" s="403"/>
      <c r="H24" s="404"/>
      <c r="I24" s="294" t="e">
        <f aca="false">J24/G24</f>
        <v>#DIV/0!</v>
      </c>
      <c r="J24" s="405"/>
      <c r="K24" s="292" t="e">
        <f aca="false">L24/G24</f>
        <v>#DIV/0!</v>
      </c>
      <c r="L24" s="405"/>
      <c r="M24" s="292" t="e">
        <f aca="false">IF(N24="-","-",N24/L24)</f>
        <v>#DIV/0!</v>
      </c>
      <c r="N24" s="406"/>
      <c r="O24" s="407"/>
      <c r="P24" s="408"/>
      <c r="Q24" s="407"/>
      <c r="R24" s="408"/>
      <c r="S24" s="296" t="s">
        <v>75</v>
      </c>
      <c r="T24" s="291" t="s">
        <v>75</v>
      </c>
      <c r="U24" s="296" t="s">
        <v>75</v>
      </c>
      <c r="V24" s="297" t="s">
        <v>75</v>
      </c>
      <c r="W24" s="377"/>
    </row>
    <row r="25" customFormat="false" ht="15" hidden="false" customHeight="true" outlineLevel="0" collapsed="false">
      <c r="B25" s="283"/>
      <c r="C25" s="267"/>
      <c r="D25" s="387"/>
      <c r="E25" s="401" t="s">
        <v>81</v>
      </c>
      <c r="F25" s="402" t="s">
        <v>70</v>
      </c>
      <c r="G25" s="403"/>
      <c r="H25" s="404"/>
      <c r="I25" s="294" t="e">
        <f aca="false">J25/G25</f>
        <v>#DIV/0!</v>
      </c>
      <c r="J25" s="405"/>
      <c r="K25" s="292" t="e">
        <f aca="false">L25/G25</f>
        <v>#DIV/0!</v>
      </c>
      <c r="L25" s="405"/>
      <c r="M25" s="292" t="e">
        <f aca="false">IF(N25="-","-",N25/L25)</f>
        <v>#DIV/0!</v>
      </c>
      <c r="N25" s="406"/>
      <c r="O25" s="407"/>
      <c r="P25" s="408"/>
      <c r="Q25" s="407"/>
      <c r="R25" s="408"/>
      <c r="S25" s="296" t="s">
        <v>75</v>
      </c>
      <c r="T25" s="291" t="s">
        <v>75</v>
      </c>
      <c r="U25" s="296" t="s">
        <v>75</v>
      </c>
      <c r="V25" s="297" t="s">
        <v>75</v>
      </c>
      <c r="W25" s="377"/>
    </row>
    <row r="26" customFormat="false" ht="15" hidden="false" customHeight="true" outlineLevel="0" collapsed="false">
      <c r="B26" s="283"/>
      <c r="C26" s="267"/>
      <c r="D26" s="387"/>
      <c r="E26" s="401" t="s">
        <v>82</v>
      </c>
      <c r="F26" s="402" t="s">
        <v>70</v>
      </c>
      <c r="G26" s="403"/>
      <c r="H26" s="404"/>
      <c r="I26" s="294" t="e">
        <f aca="false">J26/G26</f>
        <v>#DIV/0!</v>
      </c>
      <c r="J26" s="405"/>
      <c r="K26" s="292" t="e">
        <f aca="false">L26/G26</f>
        <v>#DIV/0!</v>
      </c>
      <c r="L26" s="405"/>
      <c r="M26" s="292" t="e">
        <f aca="false">IF(N26="-","-",N26/L26)</f>
        <v>#DIV/0!</v>
      </c>
      <c r="N26" s="406"/>
      <c r="O26" s="407"/>
      <c r="P26" s="408"/>
      <c r="Q26" s="407"/>
      <c r="R26" s="408"/>
      <c r="S26" s="296" t="s">
        <v>75</v>
      </c>
      <c r="T26" s="291" t="s">
        <v>75</v>
      </c>
      <c r="U26" s="296" t="s">
        <v>75</v>
      </c>
      <c r="V26" s="297" t="s">
        <v>75</v>
      </c>
      <c r="W26" s="377"/>
    </row>
    <row r="27" customFormat="false" ht="15" hidden="false" customHeight="true" outlineLevel="0" collapsed="false">
      <c r="B27" s="283"/>
      <c r="C27" s="267"/>
      <c r="D27" s="387"/>
      <c r="E27" s="401" t="s">
        <v>83</v>
      </c>
      <c r="F27" s="402" t="s">
        <v>70</v>
      </c>
      <c r="G27" s="403"/>
      <c r="H27" s="404"/>
      <c r="I27" s="294" t="e">
        <f aca="false">J27/G27</f>
        <v>#DIV/0!</v>
      </c>
      <c r="J27" s="405"/>
      <c r="K27" s="292" t="e">
        <f aca="false">L27/G27</f>
        <v>#DIV/0!</v>
      </c>
      <c r="L27" s="405"/>
      <c r="M27" s="292" t="e">
        <f aca="false">IF(N27="-","-",N27/L27)</f>
        <v>#DIV/0!</v>
      </c>
      <c r="N27" s="406"/>
      <c r="O27" s="407"/>
      <c r="P27" s="408"/>
      <c r="Q27" s="407"/>
      <c r="R27" s="408"/>
      <c r="S27" s="296" t="s">
        <v>75</v>
      </c>
      <c r="T27" s="291" t="s">
        <v>75</v>
      </c>
      <c r="U27" s="296" t="s">
        <v>75</v>
      </c>
      <c r="V27" s="297" t="s">
        <v>75</v>
      </c>
      <c r="W27" s="377"/>
    </row>
    <row r="28" customFormat="false" ht="15" hidden="false" customHeight="true" outlineLevel="0" collapsed="false">
      <c r="B28" s="283"/>
      <c r="C28" s="267"/>
      <c r="D28" s="387"/>
      <c r="E28" s="401" t="s">
        <v>84</v>
      </c>
      <c r="F28" s="402" t="s">
        <v>70</v>
      </c>
      <c r="G28" s="403"/>
      <c r="H28" s="404"/>
      <c r="I28" s="294" t="e">
        <f aca="false">J28/G28</f>
        <v>#DIV/0!</v>
      </c>
      <c r="J28" s="405"/>
      <c r="K28" s="292" t="e">
        <f aca="false">L28/G28</f>
        <v>#DIV/0!</v>
      </c>
      <c r="L28" s="405"/>
      <c r="M28" s="292" t="e">
        <f aca="false">IF(N28="-","-",N28/L28)</f>
        <v>#DIV/0!</v>
      </c>
      <c r="N28" s="406"/>
      <c r="O28" s="407"/>
      <c r="P28" s="408"/>
      <c r="Q28" s="407"/>
      <c r="R28" s="408"/>
      <c r="S28" s="296" t="s">
        <v>75</v>
      </c>
      <c r="T28" s="291" t="s">
        <v>75</v>
      </c>
      <c r="U28" s="296" t="s">
        <v>75</v>
      </c>
      <c r="V28" s="297" t="s">
        <v>75</v>
      </c>
      <c r="W28" s="377"/>
    </row>
    <row r="29" customFormat="false" ht="15" hidden="false" customHeight="true" outlineLevel="0" collapsed="false">
      <c r="B29" s="283"/>
      <c r="C29" s="267"/>
      <c r="D29" s="387"/>
      <c r="E29" s="409"/>
      <c r="F29" s="410"/>
      <c r="G29" s="417"/>
      <c r="H29" s="418"/>
      <c r="I29" s="294" t="e">
        <f aca="false">J29/G29</f>
        <v>#DIV/0!</v>
      </c>
      <c r="J29" s="419"/>
      <c r="K29" s="292" t="e">
        <f aca="false">L29/G29</f>
        <v>#DIV/0!</v>
      </c>
      <c r="L29" s="419"/>
      <c r="M29" s="292" t="e">
        <f aca="false">IF(N29="-","-",N29/L29)</f>
        <v>#DIV/0!</v>
      </c>
      <c r="N29" s="411"/>
      <c r="O29" s="412"/>
      <c r="P29" s="413"/>
      <c r="Q29" s="412"/>
      <c r="R29" s="413"/>
      <c r="S29" s="414" t="s">
        <v>75</v>
      </c>
      <c r="T29" s="415" t="s">
        <v>75</v>
      </c>
      <c r="U29" s="414" t="s">
        <v>75</v>
      </c>
      <c r="V29" s="416" t="s">
        <v>75</v>
      </c>
      <c r="W29" s="377"/>
    </row>
    <row r="30" customFormat="false" ht="15" hidden="false" customHeight="true" outlineLevel="0" collapsed="false">
      <c r="B30" s="283"/>
      <c r="C30" s="267"/>
      <c r="D30" s="387"/>
      <c r="E30" s="409"/>
      <c r="F30" s="410"/>
      <c r="G30" s="417"/>
      <c r="H30" s="418"/>
      <c r="I30" s="294" t="e">
        <f aca="false">J30/G30</f>
        <v>#DIV/0!</v>
      </c>
      <c r="J30" s="419"/>
      <c r="K30" s="292" t="e">
        <f aca="false">L30/G30</f>
        <v>#DIV/0!</v>
      </c>
      <c r="L30" s="419"/>
      <c r="M30" s="292" t="e">
        <f aca="false">IF(N30="-","-",N30/L30)</f>
        <v>#DIV/0!</v>
      </c>
      <c r="N30" s="411"/>
      <c r="O30" s="412"/>
      <c r="P30" s="413"/>
      <c r="Q30" s="412"/>
      <c r="R30" s="413"/>
      <c r="S30" s="414" t="s">
        <v>75</v>
      </c>
      <c r="T30" s="415" t="s">
        <v>75</v>
      </c>
      <c r="U30" s="414" t="s">
        <v>75</v>
      </c>
      <c r="V30" s="416" t="s">
        <v>75</v>
      </c>
      <c r="W30" s="377"/>
    </row>
    <row r="31" customFormat="false" ht="15" hidden="false" customHeight="true" outlineLevel="0" collapsed="false">
      <c r="B31" s="283"/>
      <c r="C31" s="267"/>
      <c r="D31" s="387"/>
      <c r="E31" s="420" t="s">
        <v>85</v>
      </c>
      <c r="F31" s="421" t="s">
        <v>70</v>
      </c>
      <c r="G31" s="422"/>
      <c r="H31" s="423"/>
      <c r="I31" s="304" t="e">
        <f aca="false">J31/G31</f>
        <v>#DIV/0!</v>
      </c>
      <c r="J31" s="424"/>
      <c r="K31" s="302" t="e">
        <f aca="false">L31/G31</f>
        <v>#DIV/0!</v>
      </c>
      <c r="L31" s="424"/>
      <c r="M31" s="302" t="e">
        <f aca="false">IF(N31="-","-",N31/L31)</f>
        <v>#DIV/0!</v>
      </c>
      <c r="N31" s="425"/>
      <c r="O31" s="426"/>
      <c r="P31" s="427"/>
      <c r="Q31" s="426"/>
      <c r="R31" s="427"/>
      <c r="S31" s="306" t="s">
        <v>75</v>
      </c>
      <c r="T31" s="301" t="s">
        <v>75</v>
      </c>
      <c r="U31" s="306" t="s">
        <v>75</v>
      </c>
      <c r="V31" s="307" t="s">
        <v>75</v>
      </c>
      <c r="W31" s="377"/>
    </row>
    <row r="32" customFormat="false" ht="15.75" hidden="false" customHeight="false" outlineLevel="0" collapsed="false">
      <c r="B32" s="283"/>
      <c r="C32" s="267"/>
      <c r="D32" s="428" t="s">
        <v>76</v>
      </c>
      <c r="E32" s="312"/>
      <c r="F32" s="429"/>
      <c r="G32" s="216" t="n">
        <f aca="false">SUM(G21:G31)</f>
        <v>0</v>
      </c>
      <c r="H32" s="217" t="n">
        <f aca="false">SUM(H21:H31)</f>
        <v>0</v>
      </c>
      <c r="I32" s="218" t="e">
        <f aca="false">J32/G32</f>
        <v>#DIV/0!</v>
      </c>
      <c r="J32" s="320" t="n">
        <f aca="false">SUM(J21:J31)</f>
        <v>0</v>
      </c>
      <c r="K32" s="218" t="e">
        <f aca="false">L32/G32</f>
        <v>#DIV/0!</v>
      </c>
      <c r="L32" s="320" t="n">
        <f aca="false">SUM(L21:L31)</f>
        <v>0</v>
      </c>
      <c r="M32" s="218" t="e">
        <f aca="false">N32/L32</f>
        <v>#DIV/0!</v>
      </c>
      <c r="N32" s="320" t="n">
        <f aca="false">SUM(N21:N31)</f>
        <v>0</v>
      </c>
      <c r="O32" s="430" t="n">
        <f aca="false">SUM(O21:O31)</f>
        <v>0</v>
      </c>
      <c r="P32" s="431" t="n">
        <f aca="false">SUM(P21:P31)</f>
        <v>0</v>
      </c>
      <c r="Q32" s="430" t="n">
        <f aca="false">SUM(Q21:Q31)</f>
        <v>0</v>
      </c>
      <c r="R32" s="431" t="n">
        <f aca="false">SUM(R21:R31)</f>
        <v>0</v>
      </c>
      <c r="S32" s="430" t="n">
        <f aca="false">SUM(S21:S31)</f>
        <v>0</v>
      </c>
      <c r="T32" s="431" t="n">
        <f aca="false">SUM(T21:T31)</f>
        <v>0</v>
      </c>
      <c r="U32" s="430" t="n">
        <f aca="false">SUM(U21:U31)</f>
        <v>0</v>
      </c>
      <c r="V32" s="432" t="n">
        <f aca="false">SUM(V21:V31)</f>
        <v>0</v>
      </c>
      <c r="W32" s="377"/>
    </row>
    <row r="33" customFormat="false" ht="15" hidden="false" customHeight="true" outlineLevel="0" collapsed="false">
      <c r="B33" s="433" t="s">
        <v>156</v>
      </c>
      <c r="C33" s="434" t="s">
        <v>68</v>
      </c>
      <c r="D33" s="378" t="n">
        <v>9</v>
      </c>
      <c r="E33" s="388" t="s">
        <v>87</v>
      </c>
      <c r="F33" s="389" t="s">
        <v>70</v>
      </c>
      <c r="G33" s="435"/>
      <c r="H33" s="436"/>
      <c r="I33" s="392" t="e">
        <f aca="false">J33/G33</f>
        <v>#DIV/0!</v>
      </c>
      <c r="J33" s="437"/>
      <c r="K33" s="394" t="e">
        <f aca="false">L33/G33</f>
        <v>#DIV/0!</v>
      </c>
      <c r="L33" s="437"/>
      <c r="M33" s="394" t="e">
        <f aca="false">IF(N33="-","-",N33/L33)</f>
        <v>#DIV/0!</v>
      </c>
      <c r="N33" s="395"/>
      <c r="O33" s="396"/>
      <c r="P33" s="397"/>
      <c r="Q33" s="396"/>
      <c r="R33" s="397"/>
      <c r="S33" s="398" t="s">
        <v>75</v>
      </c>
      <c r="T33" s="399" t="s">
        <v>75</v>
      </c>
      <c r="U33" s="398" t="s">
        <v>75</v>
      </c>
      <c r="V33" s="400" t="s">
        <v>75</v>
      </c>
      <c r="W33" s="377"/>
    </row>
    <row r="34" customFormat="false" ht="15" hidden="false" customHeight="false" outlineLevel="0" collapsed="false">
      <c r="B34" s="433"/>
      <c r="C34" s="434"/>
      <c r="D34" s="378"/>
      <c r="E34" s="401" t="s">
        <v>88</v>
      </c>
      <c r="F34" s="402" t="s">
        <v>70</v>
      </c>
      <c r="G34" s="438"/>
      <c r="H34" s="439"/>
      <c r="I34" s="294" t="e">
        <f aca="false">J34/G34</f>
        <v>#DIV/0!</v>
      </c>
      <c r="J34" s="440"/>
      <c r="K34" s="292" t="e">
        <f aca="false">L34/G34</f>
        <v>#DIV/0!</v>
      </c>
      <c r="L34" s="440"/>
      <c r="M34" s="292" t="e">
        <f aca="false">IF(N34="-","-",N34/L34)</f>
        <v>#DIV/0!</v>
      </c>
      <c r="N34" s="406"/>
      <c r="O34" s="407"/>
      <c r="P34" s="408"/>
      <c r="Q34" s="407"/>
      <c r="R34" s="408"/>
      <c r="S34" s="296" t="s">
        <v>75</v>
      </c>
      <c r="T34" s="291" t="s">
        <v>75</v>
      </c>
      <c r="U34" s="296" t="s">
        <v>75</v>
      </c>
      <c r="V34" s="297" t="s">
        <v>75</v>
      </c>
      <c r="W34" s="377"/>
    </row>
    <row r="35" customFormat="false" ht="15" hidden="false" customHeight="false" outlineLevel="0" collapsed="false">
      <c r="B35" s="433"/>
      <c r="C35" s="434"/>
      <c r="D35" s="378"/>
      <c r="E35" s="401" t="s">
        <v>89</v>
      </c>
      <c r="F35" s="402" t="s">
        <v>70</v>
      </c>
      <c r="G35" s="438"/>
      <c r="H35" s="439"/>
      <c r="I35" s="294" t="e">
        <f aca="false">J35/G35</f>
        <v>#DIV/0!</v>
      </c>
      <c r="J35" s="440"/>
      <c r="K35" s="292" t="e">
        <f aca="false">L35/G35</f>
        <v>#DIV/0!</v>
      </c>
      <c r="L35" s="440"/>
      <c r="M35" s="292" t="e">
        <f aca="false">IF(N35="-","-",N35/L35)</f>
        <v>#DIV/0!</v>
      </c>
      <c r="N35" s="406"/>
      <c r="O35" s="407"/>
      <c r="P35" s="408"/>
      <c r="Q35" s="407"/>
      <c r="R35" s="408"/>
      <c r="S35" s="296" t="s">
        <v>75</v>
      </c>
      <c r="T35" s="291" t="s">
        <v>75</v>
      </c>
      <c r="U35" s="296" t="s">
        <v>75</v>
      </c>
      <c r="V35" s="297" t="s">
        <v>75</v>
      </c>
      <c r="W35" s="377"/>
    </row>
    <row r="36" customFormat="false" ht="15" hidden="false" customHeight="false" outlineLevel="0" collapsed="false">
      <c r="B36" s="433"/>
      <c r="C36" s="434"/>
      <c r="D36" s="378"/>
      <c r="E36" s="401" t="s">
        <v>90</v>
      </c>
      <c r="F36" s="402" t="s">
        <v>70</v>
      </c>
      <c r="G36" s="438"/>
      <c r="H36" s="439"/>
      <c r="I36" s="294" t="e">
        <f aca="false">J36/G36</f>
        <v>#DIV/0!</v>
      </c>
      <c r="J36" s="440"/>
      <c r="K36" s="292" t="e">
        <f aca="false">L36/G36</f>
        <v>#DIV/0!</v>
      </c>
      <c r="L36" s="440"/>
      <c r="M36" s="292" t="e">
        <f aca="false">IF(N36="-","-",N36/L36)</f>
        <v>#DIV/0!</v>
      </c>
      <c r="N36" s="406"/>
      <c r="O36" s="407"/>
      <c r="P36" s="408"/>
      <c r="Q36" s="407"/>
      <c r="R36" s="408"/>
      <c r="S36" s="296" t="s">
        <v>75</v>
      </c>
      <c r="T36" s="291" t="s">
        <v>75</v>
      </c>
      <c r="U36" s="296" t="s">
        <v>75</v>
      </c>
      <c r="V36" s="297" t="s">
        <v>75</v>
      </c>
      <c r="W36" s="377"/>
    </row>
    <row r="37" customFormat="false" ht="15" hidden="false" customHeight="false" outlineLevel="0" collapsed="false">
      <c r="B37" s="433"/>
      <c r="C37" s="434"/>
      <c r="D37" s="378"/>
      <c r="E37" s="401" t="s">
        <v>91</v>
      </c>
      <c r="F37" s="402" t="s">
        <v>70</v>
      </c>
      <c r="G37" s="438"/>
      <c r="H37" s="439"/>
      <c r="I37" s="294" t="e">
        <f aca="false">J37/G37</f>
        <v>#DIV/0!</v>
      </c>
      <c r="J37" s="440"/>
      <c r="K37" s="292" t="e">
        <f aca="false">L37/G37</f>
        <v>#DIV/0!</v>
      </c>
      <c r="L37" s="440"/>
      <c r="M37" s="292" t="e">
        <f aca="false">IF(N37="-","-",N37/L37)</f>
        <v>#DIV/0!</v>
      </c>
      <c r="N37" s="406"/>
      <c r="O37" s="407"/>
      <c r="P37" s="408"/>
      <c r="Q37" s="407"/>
      <c r="R37" s="408"/>
      <c r="S37" s="296" t="s">
        <v>75</v>
      </c>
      <c r="T37" s="291" t="s">
        <v>75</v>
      </c>
      <c r="U37" s="296" t="s">
        <v>75</v>
      </c>
      <c r="V37" s="297" t="s">
        <v>75</v>
      </c>
      <c r="W37" s="377"/>
    </row>
    <row r="38" customFormat="false" ht="15" hidden="false" customHeight="false" outlineLevel="0" collapsed="false">
      <c r="B38" s="433"/>
      <c r="C38" s="434"/>
      <c r="D38" s="378"/>
      <c r="E38" s="401" t="s">
        <v>92</v>
      </c>
      <c r="F38" s="402" t="s">
        <v>70</v>
      </c>
      <c r="G38" s="438"/>
      <c r="H38" s="439"/>
      <c r="I38" s="294" t="e">
        <f aca="false">J38/G38</f>
        <v>#DIV/0!</v>
      </c>
      <c r="J38" s="440"/>
      <c r="K38" s="292" t="e">
        <f aca="false">L38/G38</f>
        <v>#DIV/0!</v>
      </c>
      <c r="L38" s="440"/>
      <c r="M38" s="292" t="e">
        <f aca="false">IF(N38="-","-",N38/L38)</f>
        <v>#DIV/0!</v>
      </c>
      <c r="N38" s="406"/>
      <c r="O38" s="407"/>
      <c r="P38" s="408"/>
      <c r="Q38" s="407"/>
      <c r="R38" s="408"/>
      <c r="S38" s="296" t="s">
        <v>75</v>
      </c>
      <c r="T38" s="291" t="s">
        <v>75</v>
      </c>
      <c r="U38" s="296" t="s">
        <v>75</v>
      </c>
      <c r="V38" s="297" t="s">
        <v>75</v>
      </c>
      <c r="W38" s="377"/>
    </row>
    <row r="39" customFormat="false" ht="15" hidden="false" customHeight="false" outlineLevel="0" collapsed="false">
      <c r="B39" s="433"/>
      <c r="C39" s="434"/>
      <c r="D39" s="378"/>
      <c r="E39" s="401" t="s">
        <v>93</v>
      </c>
      <c r="F39" s="402" t="s">
        <v>70</v>
      </c>
      <c r="G39" s="438"/>
      <c r="H39" s="439"/>
      <c r="I39" s="294" t="e">
        <f aca="false">J39/G39</f>
        <v>#DIV/0!</v>
      </c>
      <c r="J39" s="440"/>
      <c r="K39" s="292" t="e">
        <f aca="false">L39/G39</f>
        <v>#DIV/0!</v>
      </c>
      <c r="L39" s="440"/>
      <c r="M39" s="292" t="e">
        <f aca="false">IF(N39="-","-",N39/L39)</f>
        <v>#DIV/0!</v>
      </c>
      <c r="N39" s="406"/>
      <c r="O39" s="407"/>
      <c r="P39" s="408"/>
      <c r="Q39" s="407"/>
      <c r="R39" s="408"/>
      <c r="S39" s="296" t="s">
        <v>75</v>
      </c>
      <c r="T39" s="291" t="s">
        <v>75</v>
      </c>
      <c r="U39" s="296" t="s">
        <v>75</v>
      </c>
      <c r="V39" s="297" t="s">
        <v>75</v>
      </c>
      <c r="W39" s="377"/>
    </row>
    <row r="40" customFormat="false" ht="15" hidden="false" customHeight="false" outlineLevel="0" collapsed="false">
      <c r="B40" s="433"/>
      <c r="C40" s="434"/>
      <c r="D40" s="378"/>
      <c r="E40" s="409"/>
      <c r="F40" s="410"/>
      <c r="G40" s="441"/>
      <c r="H40" s="442"/>
      <c r="I40" s="294" t="e">
        <f aca="false">J40/G40</f>
        <v>#DIV/0!</v>
      </c>
      <c r="J40" s="443"/>
      <c r="K40" s="292" t="e">
        <f aca="false">L40/G40</f>
        <v>#DIV/0!</v>
      </c>
      <c r="L40" s="443"/>
      <c r="M40" s="292" t="e">
        <f aca="false">IF(N40="-","-",N40/L40)</f>
        <v>#DIV/0!</v>
      </c>
      <c r="N40" s="411"/>
      <c r="O40" s="412"/>
      <c r="P40" s="413"/>
      <c r="Q40" s="412"/>
      <c r="R40" s="413"/>
      <c r="S40" s="414" t="s">
        <v>75</v>
      </c>
      <c r="T40" s="415" t="s">
        <v>75</v>
      </c>
      <c r="U40" s="414" t="s">
        <v>75</v>
      </c>
      <c r="V40" s="416" t="s">
        <v>75</v>
      </c>
      <c r="W40" s="377"/>
    </row>
    <row r="41" customFormat="false" ht="15" hidden="false" customHeight="false" outlineLevel="0" collapsed="false">
      <c r="B41" s="433"/>
      <c r="C41" s="434"/>
      <c r="D41" s="378"/>
      <c r="E41" s="409"/>
      <c r="F41" s="410"/>
      <c r="G41" s="441"/>
      <c r="H41" s="442"/>
      <c r="I41" s="294" t="e">
        <f aca="false">J41/G41</f>
        <v>#DIV/0!</v>
      </c>
      <c r="J41" s="443"/>
      <c r="K41" s="292" t="e">
        <f aca="false">L41/G41</f>
        <v>#DIV/0!</v>
      </c>
      <c r="L41" s="443"/>
      <c r="M41" s="292" t="e">
        <f aca="false">IF(N41="-","-",N41/L41)</f>
        <v>#DIV/0!</v>
      </c>
      <c r="N41" s="411"/>
      <c r="O41" s="412"/>
      <c r="P41" s="413"/>
      <c r="Q41" s="412"/>
      <c r="R41" s="413"/>
      <c r="S41" s="414" t="s">
        <v>75</v>
      </c>
      <c r="T41" s="415" t="s">
        <v>75</v>
      </c>
      <c r="U41" s="414" t="s">
        <v>75</v>
      </c>
      <c r="V41" s="416" t="s">
        <v>75</v>
      </c>
      <c r="W41" s="377"/>
    </row>
    <row r="42" customFormat="false" ht="15" hidden="false" customHeight="false" outlineLevel="0" collapsed="false">
      <c r="B42" s="433"/>
      <c r="C42" s="434"/>
      <c r="D42" s="378"/>
      <c r="E42" s="420" t="s">
        <v>94</v>
      </c>
      <c r="F42" s="421" t="s">
        <v>70</v>
      </c>
      <c r="G42" s="422"/>
      <c r="H42" s="423"/>
      <c r="I42" s="304" t="e">
        <f aca="false">J42/G42</f>
        <v>#DIV/0!</v>
      </c>
      <c r="J42" s="424"/>
      <c r="K42" s="302" t="e">
        <f aca="false">L42/G42</f>
        <v>#DIV/0!</v>
      </c>
      <c r="L42" s="424"/>
      <c r="M42" s="302" t="e">
        <f aca="false">IF(N42="-","-",N42/L42)</f>
        <v>#DIV/0!</v>
      </c>
      <c r="N42" s="425"/>
      <c r="O42" s="426"/>
      <c r="P42" s="427"/>
      <c r="Q42" s="426"/>
      <c r="R42" s="427"/>
      <c r="S42" s="306" t="s">
        <v>75</v>
      </c>
      <c r="T42" s="301" t="s">
        <v>75</v>
      </c>
      <c r="U42" s="306" t="s">
        <v>75</v>
      </c>
      <c r="V42" s="307" t="s">
        <v>75</v>
      </c>
      <c r="W42" s="377"/>
    </row>
    <row r="43" customFormat="false" ht="16.5" hidden="false" customHeight="false" outlineLevel="0" collapsed="false">
      <c r="B43" s="433"/>
      <c r="C43" s="434"/>
      <c r="D43" s="444" t="s">
        <v>76</v>
      </c>
      <c r="E43" s="312"/>
      <c r="F43" s="429"/>
      <c r="G43" s="216" t="n">
        <f aca="false">SUM(G33:G42)</f>
        <v>0</v>
      </c>
      <c r="H43" s="217" t="n">
        <f aca="false">SUM(H33:H42)</f>
        <v>0</v>
      </c>
      <c r="I43" s="218" t="e">
        <f aca="false">J43/G43</f>
        <v>#DIV/0!</v>
      </c>
      <c r="J43" s="320" t="n">
        <f aca="false">SUM(J33:J42)</f>
        <v>0</v>
      </c>
      <c r="K43" s="218" t="e">
        <f aca="false">L43/G43</f>
        <v>#DIV/0!</v>
      </c>
      <c r="L43" s="320" t="n">
        <f aca="false">SUM(L33:L42)</f>
        <v>0</v>
      </c>
      <c r="M43" s="218" t="e">
        <f aca="false">N43/L43</f>
        <v>#DIV/0!</v>
      </c>
      <c r="N43" s="320" t="n">
        <f aca="false">SUM(N33:N42)</f>
        <v>0</v>
      </c>
      <c r="O43" s="430" t="n">
        <f aca="false">SUM(O33:O42)</f>
        <v>0</v>
      </c>
      <c r="P43" s="431" t="n">
        <f aca="false">SUM(P33:P42)</f>
        <v>0</v>
      </c>
      <c r="Q43" s="430" t="n">
        <f aca="false">SUM(Q33:Q42)</f>
        <v>0</v>
      </c>
      <c r="R43" s="431" t="n">
        <f aca="false">SUM(R33:R42)</f>
        <v>0</v>
      </c>
      <c r="S43" s="430" t="n">
        <f aca="false">SUM(S33:S42)</f>
        <v>0</v>
      </c>
      <c r="T43" s="431" t="n">
        <f aca="false">SUM(T33:T42)</f>
        <v>0</v>
      </c>
      <c r="U43" s="430" t="n">
        <f aca="false">SUM(U33:U42)</f>
        <v>0</v>
      </c>
      <c r="V43" s="432" t="n">
        <f aca="false">SUM(V33:V42)</f>
        <v>0</v>
      </c>
      <c r="W43" s="377"/>
    </row>
    <row r="44" s="171" customFormat="true" ht="21" hidden="false" customHeight="true" outlineLevel="0" collapsed="false">
      <c r="A44" s="22"/>
      <c r="B44" s="340" t="s">
        <v>95</v>
      </c>
      <c r="C44" s="341"/>
      <c r="D44" s="341" t="n">
        <f aca="false">SUM(D5:D42)</f>
        <v>31</v>
      </c>
      <c r="E44" s="445" t="n">
        <f aca="false">COUNT(G5:G31,G33:G42)</f>
        <v>1</v>
      </c>
      <c r="F44" s="343" t="n">
        <f aca="false">COUNT(J5:J42)</f>
        <v>2</v>
      </c>
      <c r="G44" s="446" t="n">
        <f aca="false">G5+G32+G43</f>
        <v>0</v>
      </c>
      <c r="H44" s="447" t="n">
        <f aca="false">H5+H32+H43</f>
        <v>0</v>
      </c>
      <c r="I44" s="448" t="e">
        <f aca="false">J44/G44</f>
        <v>#DIV/0!</v>
      </c>
      <c r="J44" s="449" t="n">
        <f aca="false">J5+J32+J43</f>
        <v>0</v>
      </c>
      <c r="K44" s="450" t="e">
        <f aca="false">L44/G44</f>
        <v>#DIV/0!</v>
      </c>
      <c r="L44" s="449" t="n">
        <f aca="false">L5+L32+L43</f>
        <v>0</v>
      </c>
      <c r="M44" s="448" t="e">
        <f aca="false">N44/(L5+SUM(L33:L42))</f>
        <v>#DIV/0!</v>
      </c>
      <c r="N44" s="449" t="n">
        <f aca="false">N5+N32+N43</f>
        <v>0</v>
      </c>
      <c r="O44" s="451"/>
      <c r="P44" s="452"/>
      <c r="Q44" s="451"/>
      <c r="R44" s="452"/>
      <c r="S44" s="451"/>
      <c r="T44" s="452"/>
      <c r="U44" s="451"/>
      <c r="V44" s="453"/>
      <c r="W44" s="377"/>
      <c r="Y44" s="1"/>
    </row>
    <row r="45" customFormat="false" ht="15" hidden="false" customHeight="true" outlineLevel="0" collapsed="false">
      <c r="B45" s="172" t="s">
        <v>157</v>
      </c>
      <c r="C45" s="173" t="s">
        <v>97</v>
      </c>
      <c r="D45" s="454" t="n">
        <v>10</v>
      </c>
      <c r="E45" s="455" t="s">
        <v>98</v>
      </c>
      <c r="F45" s="456" t="s">
        <v>70</v>
      </c>
      <c r="G45" s="435"/>
      <c r="H45" s="436"/>
      <c r="I45" s="394" t="e">
        <f aca="false">J45/G45</f>
        <v>#DIV/0!</v>
      </c>
      <c r="J45" s="437"/>
      <c r="K45" s="394" t="e">
        <f aca="false">L45/G45</f>
        <v>#DIV/0!</v>
      </c>
      <c r="L45" s="437"/>
      <c r="M45" s="394" t="e">
        <f aca="false">IF(N45="-","-",N45/L45)</f>
        <v>#DIV/0!</v>
      </c>
      <c r="N45" s="395"/>
      <c r="O45" s="396"/>
      <c r="P45" s="397"/>
      <c r="Q45" s="396"/>
      <c r="R45" s="397"/>
      <c r="S45" s="398"/>
      <c r="T45" s="399"/>
      <c r="U45" s="398"/>
      <c r="V45" s="400"/>
      <c r="W45" s="457"/>
    </row>
    <row r="46" customFormat="false" ht="15" hidden="false" customHeight="true" outlineLevel="0" collapsed="false">
      <c r="B46" s="172"/>
      <c r="C46" s="173"/>
      <c r="D46" s="454"/>
      <c r="E46" s="458" t="s">
        <v>99</v>
      </c>
      <c r="F46" s="459" t="s">
        <v>70</v>
      </c>
      <c r="G46" s="438" t="n">
        <v>620</v>
      </c>
      <c r="H46" s="439" t="n">
        <v>331</v>
      </c>
      <c r="I46" s="292" t="n">
        <f aca="false">J46/G46</f>
        <v>0.438709677419355</v>
      </c>
      <c r="J46" s="440" t="n">
        <v>272</v>
      </c>
      <c r="K46" s="292" t="n">
        <f aca="false">L46/G46</f>
        <v>0.367741935483871</v>
      </c>
      <c r="L46" s="440" t="n">
        <v>228</v>
      </c>
      <c r="M46" s="292" t="n">
        <f aca="false">IF(N46="-","-",N46/L46)</f>
        <v>0</v>
      </c>
      <c r="N46" s="406"/>
      <c r="O46" s="407"/>
      <c r="P46" s="408"/>
      <c r="Q46" s="407"/>
      <c r="R46" s="408"/>
      <c r="S46" s="296"/>
      <c r="T46" s="291"/>
      <c r="U46" s="296"/>
      <c r="V46" s="297"/>
      <c r="W46" s="457"/>
    </row>
    <row r="47" customFormat="false" ht="15" hidden="false" customHeight="true" outlineLevel="0" collapsed="false">
      <c r="B47" s="172"/>
      <c r="C47" s="173"/>
      <c r="D47" s="454"/>
      <c r="E47" s="458" t="s">
        <v>100</v>
      </c>
      <c r="F47" s="459" t="s">
        <v>70</v>
      </c>
      <c r="G47" s="438" t="n">
        <v>325</v>
      </c>
      <c r="H47" s="439" t="n">
        <v>227</v>
      </c>
      <c r="I47" s="292" t="n">
        <f aca="false">J47/G47</f>
        <v>0.516923076923077</v>
      </c>
      <c r="J47" s="440" t="n">
        <v>168</v>
      </c>
      <c r="K47" s="292" t="n">
        <f aca="false">L47/G47</f>
        <v>0.4</v>
      </c>
      <c r="L47" s="440" t="n">
        <v>130</v>
      </c>
      <c r="M47" s="292" t="n">
        <f aca="false">IF(N47="-","-",N47/L47)</f>
        <v>0</v>
      </c>
      <c r="N47" s="406"/>
      <c r="O47" s="407"/>
      <c r="P47" s="408"/>
      <c r="Q47" s="407"/>
      <c r="R47" s="408"/>
      <c r="S47" s="296" t="s">
        <v>75</v>
      </c>
      <c r="T47" s="291" t="s">
        <v>75</v>
      </c>
      <c r="U47" s="296" t="s">
        <v>75</v>
      </c>
      <c r="V47" s="297" t="s">
        <v>75</v>
      </c>
      <c r="W47" s="457"/>
    </row>
    <row r="48" customFormat="false" ht="15" hidden="false" customHeight="true" outlineLevel="0" collapsed="false">
      <c r="B48" s="172"/>
      <c r="C48" s="173"/>
      <c r="D48" s="454"/>
      <c r="E48" s="458" t="s">
        <v>101</v>
      </c>
      <c r="F48" s="459" t="s">
        <v>102</v>
      </c>
      <c r="G48" s="438" t="n">
        <v>180</v>
      </c>
      <c r="H48" s="439" t="n">
        <v>92</v>
      </c>
      <c r="I48" s="292" t="n">
        <f aca="false">J48/G48</f>
        <v>0.438888888888889</v>
      </c>
      <c r="J48" s="440" t="n">
        <v>79</v>
      </c>
      <c r="K48" s="292" t="n">
        <f aca="false">L48/G48</f>
        <v>0.405555555555556</v>
      </c>
      <c r="L48" s="440" t="n">
        <v>73</v>
      </c>
      <c r="M48" s="292" t="n">
        <f aca="false">IF(N48="-","-",N48/L48)</f>
        <v>0</v>
      </c>
      <c r="N48" s="406"/>
      <c r="O48" s="407"/>
      <c r="P48" s="408"/>
      <c r="Q48" s="407"/>
      <c r="R48" s="408"/>
      <c r="S48" s="296"/>
      <c r="T48" s="291"/>
      <c r="U48" s="296"/>
      <c r="V48" s="297"/>
      <c r="W48" s="457"/>
    </row>
    <row r="49" customFormat="false" ht="15" hidden="false" customHeight="true" outlineLevel="0" collapsed="false">
      <c r="B49" s="172"/>
      <c r="C49" s="173"/>
      <c r="D49" s="454"/>
      <c r="E49" s="458" t="s">
        <v>103</v>
      </c>
      <c r="F49" s="459" t="s">
        <v>70</v>
      </c>
      <c r="G49" s="438" t="n">
        <v>366</v>
      </c>
      <c r="H49" s="439" t="n">
        <v>180</v>
      </c>
      <c r="I49" s="292" t="n">
        <f aca="false">J49/G49</f>
        <v>0.431693989071038</v>
      </c>
      <c r="J49" s="440" t="n">
        <v>158</v>
      </c>
      <c r="K49" s="292" t="n">
        <f aca="false">L49/G49</f>
        <v>0.390710382513661</v>
      </c>
      <c r="L49" s="440" t="n">
        <v>143</v>
      </c>
      <c r="M49" s="292" t="n">
        <f aca="false">IF(N49="-","-",N49/L49)</f>
        <v>0</v>
      </c>
      <c r="N49" s="406"/>
      <c r="O49" s="407"/>
      <c r="P49" s="408"/>
      <c r="Q49" s="407"/>
      <c r="R49" s="408"/>
      <c r="S49" s="296" t="s">
        <v>75</v>
      </c>
      <c r="T49" s="291" t="s">
        <v>75</v>
      </c>
      <c r="U49" s="296" t="s">
        <v>75</v>
      </c>
      <c r="V49" s="297" t="s">
        <v>75</v>
      </c>
      <c r="W49" s="457"/>
    </row>
    <row r="50" customFormat="false" ht="15" hidden="false" customHeight="true" outlineLevel="0" collapsed="false">
      <c r="B50" s="172"/>
      <c r="C50" s="173"/>
      <c r="D50" s="454"/>
      <c r="E50" s="460"/>
      <c r="F50" s="461"/>
      <c r="G50" s="441"/>
      <c r="H50" s="442"/>
      <c r="I50" s="292" t="e">
        <f aca="false">J50/G50</f>
        <v>#DIV/0!</v>
      </c>
      <c r="J50" s="443"/>
      <c r="K50" s="292" t="e">
        <f aca="false">L50/G50</f>
        <v>#DIV/0!</v>
      </c>
      <c r="L50" s="443"/>
      <c r="M50" s="292" t="e">
        <f aca="false">IF(N50="-","-",N50/L50)</f>
        <v>#DIV/0!</v>
      </c>
      <c r="N50" s="411"/>
      <c r="O50" s="412"/>
      <c r="P50" s="413"/>
      <c r="Q50" s="412"/>
      <c r="R50" s="413"/>
      <c r="S50" s="414"/>
      <c r="T50" s="415"/>
      <c r="U50" s="414"/>
      <c r="V50" s="416"/>
      <c r="W50" s="457"/>
    </row>
    <row r="51" customFormat="false" ht="15" hidden="false" customHeight="true" outlineLevel="0" collapsed="false">
      <c r="B51" s="172"/>
      <c r="C51" s="173"/>
      <c r="D51" s="454"/>
      <c r="E51" s="460"/>
      <c r="F51" s="461"/>
      <c r="G51" s="441"/>
      <c r="H51" s="442"/>
      <c r="I51" s="292" t="e">
        <f aca="false">J51/G51</f>
        <v>#DIV/0!</v>
      </c>
      <c r="J51" s="443"/>
      <c r="K51" s="292" t="e">
        <f aca="false">L51/G51</f>
        <v>#DIV/0!</v>
      </c>
      <c r="L51" s="443"/>
      <c r="M51" s="292" t="e">
        <f aca="false">IF(N51="-","-",N51/L51)</f>
        <v>#DIV/0!</v>
      </c>
      <c r="N51" s="411"/>
      <c r="O51" s="412"/>
      <c r="P51" s="413"/>
      <c r="Q51" s="412"/>
      <c r="R51" s="413"/>
      <c r="S51" s="414"/>
      <c r="T51" s="415"/>
      <c r="U51" s="414"/>
      <c r="V51" s="416"/>
      <c r="W51" s="457"/>
    </row>
    <row r="52" customFormat="false" ht="15" hidden="false" customHeight="true" outlineLevel="0" collapsed="false">
      <c r="B52" s="172"/>
      <c r="C52" s="173"/>
      <c r="D52" s="454"/>
      <c r="E52" s="462" t="s">
        <v>104</v>
      </c>
      <c r="F52" s="463" t="s">
        <v>102</v>
      </c>
      <c r="G52" s="422" t="n">
        <v>123</v>
      </c>
      <c r="H52" s="423" t="n">
        <v>90</v>
      </c>
      <c r="I52" s="302" t="n">
        <f aca="false">J52/G52</f>
        <v>0.32520325203252</v>
      </c>
      <c r="J52" s="424" t="n">
        <v>40</v>
      </c>
      <c r="K52" s="302" t="n">
        <f aca="false">L52/G52</f>
        <v>0.349593495934959</v>
      </c>
      <c r="L52" s="424" t="n">
        <v>43</v>
      </c>
      <c r="M52" s="302" t="n">
        <f aca="false">IF(N52="-","-",N52/L52)</f>
        <v>0</v>
      </c>
      <c r="N52" s="425"/>
      <c r="O52" s="426"/>
      <c r="P52" s="427"/>
      <c r="Q52" s="426"/>
      <c r="R52" s="427"/>
      <c r="S52" s="306"/>
      <c r="T52" s="301"/>
      <c r="U52" s="306"/>
      <c r="V52" s="307"/>
      <c r="W52" s="457"/>
    </row>
    <row r="53" customFormat="false" ht="15.75" hidden="false" customHeight="false" outlineLevel="0" collapsed="false">
      <c r="B53" s="172"/>
      <c r="C53" s="173"/>
      <c r="D53" s="213" t="s">
        <v>76</v>
      </c>
      <c r="E53" s="214"/>
      <c r="F53" s="215"/>
      <c r="G53" s="216" t="n">
        <f aca="false">SUM(G45:G52)</f>
        <v>1614</v>
      </c>
      <c r="H53" s="217" t="n">
        <f aca="false">SUM(H45:H52)</f>
        <v>920</v>
      </c>
      <c r="I53" s="218" t="n">
        <f aca="false">J53/G53</f>
        <v>0.444237918215613</v>
      </c>
      <c r="J53" s="320" t="n">
        <f aca="false">SUM(J45:J52)</f>
        <v>717</v>
      </c>
      <c r="K53" s="317" t="n">
        <f aca="false">L53/G53</f>
        <v>0.382280049566295</v>
      </c>
      <c r="L53" s="320" t="n">
        <f aca="false">SUM(L45:L52)</f>
        <v>617</v>
      </c>
      <c r="M53" s="218" t="n">
        <f aca="false">N53/L53</f>
        <v>0</v>
      </c>
      <c r="N53" s="320" t="n">
        <f aca="false">SUM(N45:N52)</f>
        <v>0</v>
      </c>
      <c r="O53" s="321" t="n">
        <f aca="false">SUM(O45:O52)</f>
        <v>0</v>
      </c>
      <c r="P53" s="316" t="n">
        <f aca="false">SUM(P45:P52)</f>
        <v>0</v>
      </c>
      <c r="Q53" s="321" t="n">
        <f aca="false">SUM(Q45:Q52)</f>
        <v>0</v>
      </c>
      <c r="R53" s="316" t="n">
        <f aca="false">SUM(R45:R52)</f>
        <v>0</v>
      </c>
      <c r="S53" s="321" t="n">
        <f aca="false">SUM(S45:S52)</f>
        <v>0</v>
      </c>
      <c r="T53" s="316" t="n">
        <f aca="false">SUM(T45:T52)</f>
        <v>0</v>
      </c>
      <c r="U53" s="321" t="n">
        <f aca="false">SUM(U45:U52)</f>
        <v>0</v>
      </c>
      <c r="V53" s="322" t="n">
        <f aca="false">SUM(V45:V52)</f>
        <v>0</v>
      </c>
      <c r="W53" s="377"/>
    </row>
    <row r="54" customFormat="false" ht="15" hidden="false" customHeight="false" outlineLevel="0" collapsed="false">
      <c r="B54" s="224" t="s">
        <v>105</v>
      </c>
      <c r="C54" s="225" t="s">
        <v>97</v>
      </c>
      <c r="D54" s="378" t="n">
        <v>11</v>
      </c>
      <c r="E54" s="464" t="s">
        <v>74</v>
      </c>
      <c r="F54" s="465" t="s">
        <v>102</v>
      </c>
      <c r="G54" s="466"/>
      <c r="H54" s="467"/>
      <c r="I54" s="468" t="e">
        <f aca="false">J54/G54</f>
        <v>#DIV/0!</v>
      </c>
      <c r="J54" s="469"/>
      <c r="K54" s="468" t="e">
        <f aca="false">L54/G54</f>
        <v>#DIV/0!</v>
      </c>
      <c r="L54" s="469"/>
      <c r="M54" s="468" t="e">
        <f aca="false">IF(N54="-","-",N54/L54)</f>
        <v>#DIV/0!</v>
      </c>
      <c r="N54" s="470"/>
      <c r="O54" s="471"/>
      <c r="P54" s="472"/>
      <c r="Q54" s="471"/>
      <c r="R54" s="472"/>
      <c r="S54" s="473"/>
      <c r="T54" s="474"/>
      <c r="U54" s="473"/>
      <c r="V54" s="475"/>
      <c r="W54" s="377"/>
    </row>
    <row r="55" customFormat="false" ht="15" hidden="false" customHeight="false" outlineLevel="0" collapsed="false">
      <c r="B55" s="224"/>
      <c r="C55" s="225"/>
      <c r="D55" s="378"/>
      <c r="E55" s="476" t="s">
        <v>74</v>
      </c>
      <c r="F55" s="477" t="s">
        <v>102</v>
      </c>
      <c r="G55" s="478"/>
      <c r="H55" s="479"/>
      <c r="I55" s="480" t="e">
        <f aca="false">J55/G55</f>
        <v>#DIV/0!</v>
      </c>
      <c r="J55" s="481"/>
      <c r="K55" s="480" t="e">
        <f aca="false">L55/G55</f>
        <v>#DIV/0!</v>
      </c>
      <c r="L55" s="481"/>
      <c r="M55" s="480" t="e">
        <f aca="false">IF(N55="-","-",N55/L55)</f>
        <v>#DIV/0!</v>
      </c>
      <c r="N55" s="482"/>
      <c r="O55" s="483"/>
      <c r="P55" s="484"/>
      <c r="Q55" s="483"/>
      <c r="R55" s="484"/>
      <c r="S55" s="485"/>
      <c r="T55" s="486"/>
      <c r="U55" s="485"/>
      <c r="V55" s="487"/>
      <c r="W55" s="377"/>
    </row>
    <row r="56" customFormat="false" ht="15" hidden="false" customHeight="false" outlineLevel="0" collapsed="false">
      <c r="B56" s="224"/>
      <c r="C56" s="225"/>
      <c r="D56" s="378"/>
      <c r="E56" s="476" t="s">
        <v>74</v>
      </c>
      <c r="F56" s="477" t="s">
        <v>102</v>
      </c>
      <c r="G56" s="478"/>
      <c r="H56" s="479"/>
      <c r="I56" s="480" t="e">
        <f aca="false">J56/G56</f>
        <v>#DIV/0!</v>
      </c>
      <c r="J56" s="481"/>
      <c r="K56" s="480" t="e">
        <f aca="false">L56/G56</f>
        <v>#DIV/0!</v>
      </c>
      <c r="L56" s="481"/>
      <c r="M56" s="480" t="e">
        <f aca="false">IF(N56="-","-",N56/L56)</f>
        <v>#DIV/0!</v>
      </c>
      <c r="N56" s="482"/>
      <c r="O56" s="483"/>
      <c r="P56" s="484"/>
      <c r="Q56" s="483"/>
      <c r="R56" s="484"/>
      <c r="S56" s="485"/>
      <c r="T56" s="486"/>
      <c r="U56" s="485"/>
      <c r="V56" s="487"/>
      <c r="W56" s="377"/>
    </row>
    <row r="57" customFormat="false" ht="15" hidden="false" customHeight="false" outlineLevel="0" collapsed="false">
      <c r="B57" s="224"/>
      <c r="C57" s="225"/>
      <c r="D57" s="378"/>
      <c r="E57" s="476" t="s">
        <v>74</v>
      </c>
      <c r="F57" s="477" t="s">
        <v>102</v>
      </c>
      <c r="G57" s="478"/>
      <c r="H57" s="479"/>
      <c r="I57" s="480" t="e">
        <f aca="false">J57/G57</f>
        <v>#DIV/0!</v>
      </c>
      <c r="J57" s="481"/>
      <c r="K57" s="480" t="e">
        <f aca="false">L57/G57</f>
        <v>#DIV/0!</v>
      </c>
      <c r="L57" s="481"/>
      <c r="M57" s="480" t="e">
        <f aca="false">IF(N57="-","-",N57/L57)</f>
        <v>#DIV/0!</v>
      </c>
      <c r="N57" s="482"/>
      <c r="O57" s="483"/>
      <c r="P57" s="484"/>
      <c r="Q57" s="483"/>
      <c r="R57" s="484"/>
      <c r="S57" s="485"/>
      <c r="T57" s="486"/>
      <c r="U57" s="485"/>
      <c r="V57" s="487"/>
      <c r="W57" s="377"/>
    </row>
    <row r="58" customFormat="false" ht="15" hidden="false" customHeight="false" outlineLevel="0" collapsed="false">
      <c r="B58" s="224"/>
      <c r="C58" s="225"/>
      <c r="D58" s="378"/>
      <c r="E58" s="488" t="s">
        <v>74</v>
      </c>
      <c r="F58" s="489"/>
      <c r="G58" s="490"/>
      <c r="H58" s="491"/>
      <c r="I58" s="480" t="e">
        <f aca="false">J58/G58</f>
        <v>#DIV/0!</v>
      </c>
      <c r="J58" s="481"/>
      <c r="K58" s="480" t="e">
        <f aca="false">L58/G58</f>
        <v>#DIV/0!</v>
      </c>
      <c r="L58" s="481"/>
      <c r="M58" s="480" t="e">
        <f aca="false">IF(N58="-","-",N58/L58)</f>
        <v>#DIV/0!</v>
      </c>
      <c r="N58" s="482"/>
      <c r="O58" s="492"/>
      <c r="P58" s="493"/>
      <c r="Q58" s="492"/>
      <c r="R58" s="493"/>
      <c r="S58" s="494"/>
      <c r="T58" s="495"/>
      <c r="U58" s="494"/>
      <c r="V58" s="496"/>
      <c r="W58" s="377"/>
    </row>
    <row r="59" customFormat="false" ht="15" hidden="false" customHeight="false" outlineLevel="0" collapsed="false">
      <c r="B59" s="224"/>
      <c r="C59" s="225"/>
      <c r="D59" s="378"/>
      <c r="E59" s="488" t="s">
        <v>74</v>
      </c>
      <c r="F59" s="489"/>
      <c r="G59" s="490"/>
      <c r="H59" s="491"/>
      <c r="I59" s="480" t="e">
        <f aca="false">J59/G59</f>
        <v>#DIV/0!</v>
      </c>
      <c r="J59" s="481"/>
      <c r="K59" s="480" t="e">
        <f aca="false">L59/G59</f>
        <v>#DIV/0!</v>
      </c>
      <c r="L59" s="481"/>
      <c r="M59" s="480" t="e">
        <f aca="false">IF(N59="-","-",N59/L59)</f>
        <v>#DIV/0!</v>
      </c>
      <c r="N59" s="482"/>
      <c r="O59" s="492"/>
      <c r="P59" s="493"/>
      <c r="Q59" s="492"/>
      <c r="R59" s="493"/>
      <c r="S59" s="494"/>
      <c r="T59" s="495"/>
      <c r="U59" s="494"/>
      <c r="V59" s="496"/>
      <c r="W59" s="377"/>
    </row>
    <row r="60" customFormat="false" ht="15" hidden="false" customHeight="false" outlineLevel="0" collapsed="false">
      <c r="B60" s="224"/>
      <c r="C60" s="225"/>
      <c r="D60" s="378"/>
      <c r="E60" s="497" t="s">
        <v>74</v>
      </c>
      <c r="F60" s="498" t="s">
        <v>102</v>
      </c>
      <c r="G60" s="499"/>
      <c r="H60" s="500"/>
      <c r="I60" s="501" t="e">
        <f aca="false">J60/G60</f>
        <v>#DIV/0!</v>
      </c>
      <c r="J60" s="502"/>
      <c r="K60" s="501" t="e">
        <f aca="false">L60/G60</f>
        <v>#DIV/0!</v>
      </c>
      <c r="L60" s="502"/>
      <c r="M60" s="501" t="e">
        <f aca="false">IF(N60="-","-",N60/L60)</f>
        <v>#DIV/0!</v>
      </c>
      <c r="N60" s="503"/>
      <c r="O60" s="504"/>
      <c r="P60" s="505"/>
      <c r="Q60" s="504"/>
      <c r="R60" s="505"/>
      <c r="S60" s="506"/>
      <c r="T60" s="507"/>
      <c r="U60" s="506"/>
      <c r="V60" s="508"/>
      <c r="W60" s="377"/>
      <c r="X60" s="194" t="s">
        <v>158</v>
      </c>
    </row>
    <row r="61" customFormat="false" ht="15.75" hidden="false" customHeight="false" outlineLevel="0" collapsed="false">
      <c r="B61" s="224"/>
      <c r="C61" s="225"/>
      <c r="D61" s="213" t="s">
        <v>76</v>
      </c>
      <c r="E61" s="262"/>
      <c r="F61" s="263"/>
      <c r="G61" s="216" t="n">
        <f aca="false">SUM(G54:G60)</f>
        <v>0</v>
      </c>
      <c r="H61" s="217" t="n">
        <f aca="false">SUM(H54:H60)</f>
        <v>0</v>
      </c>
      <c r="I61" s="218" t="e">
        <f aca="false">J61/G61</f>
        <v>#DIV/0!</v>
      </c>
      <c r="J61" s="320" t="n">
        <f aca="false">SUM(J54:J60)</f>
        <v>0</v>
      </c>
      <c r="K61" s="317" t="e">
        <f aca="false">L61/G61</f>
        <v>#DIV/0!</v>
      </c>
      <c r="L61" s="320" t="n">
        <f aca="false">SUM(L54:L60)</f>
        <v>0</v>
      </c>
      <c r="M61" s="218" t="e">
        <f aca="false">N61/L61</f>
        <v>#DIV/0!</v>
      </c>
      <c r="N61" s="320" t="n">
        <f aca="false">SUM(N54:N60)</f>
        <v>0</v>
      </c>
      <c r="O61" s="321" t="n">
        <f aca="false">SUM(O54:O60)</f>
        <v>0</v>
      </c>
      <c r="P61" s="316" t="n">
        <f aca="false">SUM(P54:P60)</f>
        <v>0</v>
      </c>
      <c r="Q61" s="321" t="n">
        <f aca="false">SUM(Q54:Q60)</f>
        <v>0</v>
      </c>
      <c r="R61" s="316" t="n">
        <f aca="false">SUM(R54:R60)</f>
        <v>0</v>
      </c>
      <c r="S61" s="321" t="n">
        <f aca="false">SUM(S54:S60)</f>
        <v>0</v>
      </c>
      <c r="T61" s="316" t="n">
        <f aca="false">SUM(T54:T60)</f>
        <v>0</v>
      </c>
      <c r="U61" s="321" t="n">
        <f aca="false">SUM(U54:U60)</f>
        <v>0</v>
      </c>
      <c r="V61" s="322" t="n">
        <f aca="false">SUM(V54:V60)</f>
        <v>0</v>
      </c>
      <c r="W61" s="377"/>
      <c r="X61" s="194"/>
    </row>
    <row r="62" customFormat="false" ht="15" hidden="false" customHeight="false" outlineLevel="0" collapsed="false">
      <c r="B62" s="224" t="s">
        <v>106</v>
      </c>
      <c r="C62" s="225" t="s">
        <v>97</v>
      </c>
      <c r="D62" s="378" t="n">
        <v>11</v>
      </c>
      <c r="E62" s="464" t="s">
        <v>107</v>
      </c>
      <c r="F62" s="465" t="s">
        <v>102</v>
      </c>
      <c r="G62" s="466"/>
      <c r="H62" s="467"/>
      <c r="I62" s="468" t="e">
        <f aca="false">J62/G62</f>
        <v>#DIV/0!</v>
      </c>
      <c r="J62" s="469"/>
      <c r="K62" s="468" t="e">
        <f aca="false">L62/G62</f>
        <v>#DIV/0!</v>
      </c>
      <c r="L62" s="469"/>
      <c r="M62" s="468" t="e">
        <f aca="false">IF(N62="-","-",N62/L62)</f>
        <v>#DIV/0!</v>
      </c>
      <c r="N62" s="470"/>
      <c r="O62" s="471"/>
      <c r="P62" s="472"/>
      <c r="Q62" s="471"/>
      <c r="R62" s="472"/>
      <c r="S62" s="473"/>
      <c r="T62" s="474"/>
      <c r="U62" s="473"/>
      <c r="V62" s="475"/>
      <c r="W62" s="377"/>
    </row>
    <row r="63" customFormat="false" ht="15" hidden="false" customHeight="false" outlineLevel="0" collapsed="false">
      <c r="B63" s="224"/>
      <c r="C63" s="225"/>
      <c r="D63" s="378"/>
      <c r="E63" s="476" t="s">
        <v>108</v>
      </c>
      <c r="F63" s="477" t="s">
        <v>102</v>
      </c>
      <c r="G63" s="478"/>
      <c r="H63" s="479"/>
      <c r="I63" s="480" t="e">
        <f aca="false">J63/G63</f>
        <v>#DIV/0!</v>
      </c>
      <c r="J63" s="481"/>
      <c r="K63" s="480" t="e">
        <f aca="false">L63/G63</f>
        <v>#DIV/0!</v>
      </c>
      <c r="L63" s="481"/>
      <c r="M63" s="480" t="e">
        <f aca="false">IF(N63="-","-",N63/L63)</f>
        <v>#DIV/0!</v>
      </c>
      <c r="N63" s="482"/>
      <c r="O63" s="483"/>
      <c r="P63" s="484"/>
      <c r="Q63" s="483"/>
      <c r="R63" s="484"/>
      <c r="S63" s="485"/>
      <c r="T63" s="486"/>
      <c r="U63" s="485"/>
      <c r="V63" s="487"/>
      <c r="W63" s="377"/>
    </row>
    <row r="64" customFormat="false" ht="15" hidden="false" customHeight="false" outlineLevel="0" collapsed="false">
      <c r="B64" s="224"/>
      <c r="C64" s="225"/>
      <c r="D64" s="378"/>
      <c r="E64" s="476" t="s">
        <v>109</v>
      </c>
      <c r="F64" s="477" t="s">
        <v>102</v>
      </c>
      <c r="G64" s="478"/>
      <c r="H64" s="479"/>
      <c r="I64" s="480" t="e">
        <f aca="false">J64/G64</f>
        <v>#DIV/0!</v>
      </c>
      <c r="J64" s="481"/>
      <c r="K64" s="480" t="e">
        <f aca="false">L64/G64</f>
        <v>#DIV/0!</v>
      </c>
      <c r="L64" s="481"/>
      <c r="M64" s="480" t="e">
        <f aca="false">IF(N64="-","-",N64/L64)</f>
        <v>#DIV/0!</v>
      </c>
      <c r="N64" s="482"/>
      <c r="O64" s="483"/>
      <c r="P64" s="484"/>
      <c r="Q64" s="483"/>
      <c r="R64" s="484"/>
      <c r="S64" s="485"/>
      <c r="T64" s="486"/>
      <c r="U64" s="485"/>
      <c r="V64" s="487"/>
      <c r="W64" s="377"/>
    </row>
    <row r="65" customFormat="false" ht="15" hidden="false" customHeight="false" outlineLevel="0" collapsed="false">
      <c r="B65" s="224"/>
      <c r="C65" s="225"/>
      <c r="D65" s="378"/>
      <c r="E65" s="476" t="s">
        <v>110</v>
      </c>
      <c r="F65" s="477" t="s">
        <v>102</v>
      </c>
      <c r="G65" s="478"/>
      <c r="H65" s="479"/>
      <c r="I65" s="480" t="e">
        <f aca="false">J65/G65</f>
        <v>#DIV/0!</v>
      </c>
      <c r="J65" s="481"/>
      <c r="K65" s="480" t="e">
        <f aca="false">L65/G65</f>
        <v>#DIV/0!</v>
      </c>
      <c r="L65" s="481"/>
      <c r="M65" s="480" t="e">
        <f aca="false">IF(N65="-","-",N65/L65)</f>
        <v>#DIV/0!</v>
      </c>
      <c r="N65" s="482"/>
      <c r="O65" s="483"/>
      <c r="P65" s="484"/>
      <c r="Q65" s="483"/>
      <c r="R65" s="484"/>
      <c r="S65" s="485"/>
      <c r="T65" s="486"/>
      <c r="U65" s="485"/>
      <c r="V65" s="487"/>
      <c r="W65" s="377"/>
    </row>
    <row r="66" customFormat="false" ht="15" hidden="false" customHeight="false" outlineLevel="0" collapsed="false">
      <c r="B66" s="224"/>
      <c r="C66" s="225"/>
      <c r="D66" s="378"/>
      <c r="E66" s="488"/>
      <c r="F66" s="489"/>
      <c r="G66" s="490"/>
      <c r="H66" s="491"/>
      <c r="I66" s="480" t="e">
        <f aca="false">J66/G66</f>
        <v>#DIV/0!</v>
      </c>
      <c r="J66" s="509"/>
      <c r="K66" s="480" t="e">
        <f aca="false">L66/G66</f>
        <v>#DIV/0!</v>
      </c>
      <c r="L66" s="509"/>
      <c r="M66" s="480" t="e">
        <f aca="false">IF(N66="-","-",N66/L66)</f>
        <v>#DIV/0!</v>
      </c>
      <c r="N66" s="510"/>
      <c r="O66" s="492"/>
      <c r="P66" s="493"/>
      <c r="Q66" s="492"/>
      <c r="R66" s="493"/>
      <c r="S66" s="494"/>
      <c r="T66" s="495"/>
      <c r="U66" s="494"/>
      <c r="V66" s="496"/>
      <c r="W66" s="377"/>
    </row>
    <row r="67" customFormat="false" ht="15" hidden="false" customHeight="false" outlineLevel="0" collapsed="false">
      <c r="B67" s="224"/>
      <c r="C67" s="225"/>
      <c r="D67" s="378"/>
      <c r="E67" s="488"/>
      <c r="F67" s="489"/>
      <c r="G67" s="490"/>
      <c r="H67" s="491"/>
      <c r="I67" s="480" t="e">
        <f aca="false">J67/G67</f>
        <v>#DIV/0!</v>
      </c>
      <c r="J67" s="509"/>
      <c r="K67" s="480" t="e">
        <f aca="false">L67/G67</f>
        <v>#DIV/0!</v>
      </c>
      <c r="L67" s="509"/>
      <c r="M67" s="480" t="e">
        <f aca="false">IF(N67="-","-",N67/L67)</f>
        <v>#DIV/0!</v>
      </c>
      <c r="N67" s="510"/>
      <c r="O67" s="492"/>
      <c r="P67" s="493"/>
      <c r="Q67" s="492"/>
      <c r="R67" s="493"/>
      <c r="S67" s="494"/>
      <c r="T67" s="495"/>
      <c r="U67" s="494"/>
      <c r="V67" s="496"/>
      <c r="W67" s="377"/>
    </row>
    <row r="68" customFormat="false" ht="15" hidden="false" customHeight="false" outlineLevel="0" collapsed="false">
      <c r="B68" s="224"/>
      <c r="C68" s="225"/>
      <c r="D68" s="378"/>
      <c r="E68" s="497" t="s">
        <v>111</v>
      </c>
      <c r="F68" s="498" t="s">
        <v>102</v>
      </c>
      <c r="G68" s="499"/>
      <c r="H68" s="500"/>
      <c r="I68" s="501" t="e">
        <f aca="false">J68/G68</f>
        <v>#DIV/0!</v>
      </c>
      <c r="J68" s="502"/>
      <c r="K68" s="501" t="e">
        <f aca="false">L68/G68</f>
        <v>#DIV/0!</v>
      </c>
      <c r="L68" s="502"/>
      <c r="M68" s="501" t="e">
        <f aca="false">IF(N68="-","-",N68/L68)</f>
        <v>#DIV/0!</v>
      </c>
      <c r="N68" s="503"/>
      <c r="O68" s="504"/>
      <c r="P68" s="505"/>
      <c r="Q68" s="504"/>
      <c r="R68" s="505"/>
      <c r="S68" s="506"/>
      <c r="T68" s="507"/>
      <c r="U68" s="506"/>
      <c r="V68" s="508"/>
      <c r="W68" s="377"/>
      <c r="X68" s="194" t="s">
        <v>158</v>
      </c>
    </row>
    <row r="69" customFormat="false" ht="15.75" hidden="false" customHeight="false" outlineLevel="0" collapsed="false">
      <c r="B69" s="224"/>
      <c r="C69" s="225"/>
      <c r="D69" s="213" t="s">
        <v>76</v>
      </c>
      <c r="E69" s="262"/>
      <c r="F69" s="263"/>
      <c r="G69" s="216" t="n">
        <f aca="false">SUM(G62:G68)</f>
        <v>0</v>
      </c>
      <c r="H69" s="217" t="n">
        <f aca="false">SUM(H62:H68)</f>
        <v>0</v>
      </c>
      <c r="I69" s="218" t="e">
        <f aca="false">J69/G69</f>
        <v>#DIV/0!</v>
      </c>
      <c r="J69" s="320" t="n">
        <f aca="false">SUM(J62:J68)</f>
        <v>0</v>
      </c>
      <c r="K69" s="317" t="e">
        <f aca="false">L69/G69</f>
        <v>#DIV/0!</v>
      </c>
      <c r="L69" s="320" t="n">
        <f aca="false">SUM(L62:L68)</f>
        <v>0</v>
      </c>
      <c r="M69" s="218" t="e">
        <f aca="false">N69/L69</f>
        <v>#DIV/0!</v>
      </c>
      <c r="N69" s="320" t="n">
        <f aca="false">SUM(N62:N68)</f>
        <v>0</v>
      </c>
      <c r="O69" s="321" t="n">
        <f aca="false">SUM(O62:O68)</f>
        <v>0</v>
      </c>
      <c r="P69" s="316" t="n">
        <f aca="false">SUM(P62:P68)</f>
        <v>0</v>
      </c>
      <c r="Q69" s="321" t="n">
        <f aca="false">SUM(Q62:Q68)</f>
        <v>0</v>
      </c>
      <c r="R69" s="316" t="n">
        <f aca="false">SUM(R62:R68)</f>
        <v>0</v>
      </c>
      <c r="S69" s="321" t="n">
        <f aca="false">SUM(S62:S68)</f>
        <v>0</v>
      </c>
      <c r="T69" s="316" t="n">
        <f aca="false">SUM(T62:T68)</f>
        <v>0</v>
      </c>
      <c r="U69" s="321" t="n">
        <f aca="false">SUM(U62:U68)</f>
        <v>0</v>
      </c>
      <c r="V69" s="322" t="n">
        <f aca="false">SUM(V62:V68)</f>
        <v>0</v>
      </c>
      <c r="W69" s="377"/>
      <c r="X69" s="194"/>
    </row>
    <row r="70" customFormat="false" ht="15" hidden="false" customHeight="true" outlineLevel="0" collapsed="false">
      <c r="B70" s="266" t="s">
        <v>112</v>
      </c>
      <c r="C70" s="267" t="s">
        <v>97</v>
      </c>
      <c r="D70" s="511" t="n">
        <v>17</v>
      </c>
      <c r="E70" s="455" t="s">
        <v>113</v>
      </c>
      <c r="F70" s="389" t="s">
        <v>102</v>
      </c>
      <c r="G70" s="435"/>
      <c r="H70" s="436"/>
      <c r="I70" s="394" t="e">
        <f aca="false">J70/G70</f>
        <v>#DIV/0!</v>
      </c>
      <c r="J70" s="437"/>
      <c r="K70" s="394" t="e">
        <f aca="false">L70/G70</f>
        <v>#DIV/0!</v>
      </c>
      <c r="L70" s="437"/>
      <c r="M70" s="394" t="e">
        <f aca="false">IF(N70="-","-",N70/L70)</f>
        <v>#DIV/0!</v>
      </c>
      <c r="N70" s="395"/>
      <c r="O70" s="396"/>
      <c r="P70" s="397"/>
      <c r="Q70" s="396"/>
      <c r="R70" s="397"/>
      <c r="S70" s="512"/>
      <c r="T70" s="513"/>
      <c r="U70" s="512"/>
      <c r="V70" s="514"/>
      <c r="W70" s="377"/>
      <c r="X70" s="194"/>
    </row>
    <row r="71" customFormat="false" ht="15" hidden="false" customHeight="true" outlineLevel="0" collapsed="false">
      <c r="B71" s="266"/>
      <c r="C71" s="267"/>
      <c r="D71" s="511"/>
      <c r="E71" s="458" t="s">
        <v>114</v>
      </c>
      <c r="F71" s="402" t="s">
        <v>102</v>
      </c>
      <c r="G71" s="438"/>
      <c r="H71" s="439"/>
      <c r="I71" s="292" t="e">
        <f aca="false">J71/G71</f>
        <v>#DIV/0!</v>
      </c>
      <c r="J71" s="440"/>
      <c r="K71" s="292" t="e">
        <f aca="false">L71/G71</f>
        <v>#DIV/0!</v>
      </c>
      <c r="L71" s="440"/>
      <c r="M71" s="292" t="e">
        <f aca="false">IF(N71="-","-",N71/L71)</f>
        <v>#DIV/0!</v>
      </c>
      <c r="N71" s="406"/>
      <c r="O71" s="407"/>
      <c r="P71" s="408"/>
      <c r="Q71" s="407"/>
      <c r="R71" s="408"/>
      <c r="S71" s="515"/>
      <c r="T71" s="516"/>
      <c r="U71" s="515"/>
      <c r="V71" s="517"/>
      <c r="W71" s="377"/>
      <c r="X71" s="194"/>
    </row>
    <row r="72" customFormat="false" ht="15" hidden="false" customHeight="true" outlineLevel="0" collapsed="false">
      <c r="B72" s="266"/>
      <c r="C72" s="267"/>
      <c r="D72" s="511"/>
      <c r="E72" s="458" t="s">
        <v>115</v>
      </c>
      <c r="F72" s="402" t="s">
        <v>102</v>
      </c>
      <c r="G72" s="438"/>
      <c r="H72" s="439"/>
      <c r="I72" s="292" t="e">
        <f aca="false">J72/G72</f>
        <v>#DIV/0!</v>
      </c>
      <c r="J72" s="440"/>
      <c r="K72" s="292" t="e">
        <f aca="false">L72/G72</f>
        <v>#DIV/0!</v>
      </c>
      <c r="L72" s="440"/>
      <c r="M72" s="292" t="e">
        <f aca="false">IF(N72="-","-",N72/L72)</f>
        <v>#DIV/0!</v>
      </c>
      <c r="N72" s="406"/>
      <c r="O72" s="407"/>
      <c r="P72" s="408"/>
      <c r="Q72" s="407"/>
      <c r="R72" s="408"/>
      <c r="S72" s="515"/>
      <c r="T72" s="516"/>
      <c r="U72" s="515"/>
      <c r="V72" s="517"/>
      <c r="W72" s="377"/>
      <c r="X72" s="194"/>
    </row>
    <row r="73" customFormat="false" ht="15" hidden="false" customHeight="true" outlineLevel="0" collapsed="false">
      <c r="B73" s="266"/>
      <c r="C73" s="267"/>
      <c r="D73" s="511"/>
      <c r="E73" s="458" t="s">
        <v>116</v>
      </c>
      <c r="F73" s="402" t="s">
        <v>102</v>
      </c>
      <c r="G73" s="438"/>
      <c r="H73" s="439"/>
      <c r="I73" s="292" t="e">
        <f aca="false">J73/G73</f>
        <v>#DIV/0!</v>
      </c>
      <c r="J73" s="440"/>
      <c r="K73" s="292" t="e">
        <f aca="false">L73/G73</f>
        <v>#DIV/0!</v>
      </c>
      <c r="L73" s="440"/>
      <c r="M73" s="292" t="str">
        <f aca="false">IF(N73=0,"-",N73/L73)</f>
        <v>-</v>
      </c>
      <c r="N73" s="406"/>
      <c r="O73" s="407"/>
      <c r="P73" s="408"/>
      <c r="Q73" s="407"/>
      <c r="R73" s="408"/>
      <c r="S73" s="515"/>
      <c r="T73" s="516"/>
      <c r="U73" s="515"/>
      <c r="V73" s="517"/>
      <c r="W73" s="377"/>
      <c r="X73" s="194"/>
    </row>
    <row r="74" customFormat="false" ht="15" hidden="false" customHeight="true" outlineLevel="0" collapsed="false">
      <c r="B74" s="266"/>
      <c r="C74" s="267"/>
      <c r="D74" s="511"/>
      <c r="E74" s="458" t="s">
        <v>117</v>
      </c>
      <c r="F74" s="402" t="s">
        <v>102</v>
      </c>
      <c r="G74" s="438"/>
      <c r="H74" s="439"/>
      <c r="I74" s="292" t="e">
        <f aca="false">J74/G74</f>
        <v>#DIV/0!</v>
      </c>
      <c r="J74" s="440"/>
      <c r="K74" s="292" t="e">
        <f aca="false">L74/G74</f>
        <v>#DIV/0!</v>
      </c>
      <c r="L74" s="440"/>
      <c r="M74" s="292" t="e">
        <f aca="false">IF(N74="-","-",N74/L74)</f>
        <v>#DIV/0!</v>
      </c>
      <c r="N74" s="406"/>
      <c r="O74" s="407"/>
      <c r="P74" s="408"/>
      <c r="Q74" s="407"/>
      <c r="R74" s="408"/>
      <c r="S74" s="515"/>
      <c r="T74" s="516"/>
      <c r="U74" s="515"/>
      <c r="V74" s="517"/>
      <c r="W74" s="377"/>
      <c r="X74" s="194"/>
    </row>
    <row r="75" customFormat="false" ht="15" hidden="false" customHeight="true" outlineLevel="0" collapsed="false">
      <c r="B75" s="266"/>
      <c r="C75" s="267"/>
      <c r="D75" s="511"/>
      <c r="E75" s="458" t="s">
        <v>118</v>
      </c>
      <c r="F75" s="402" t="s">
        <v>102</v>
      </c>
      <c r="G75" s="438"/>
      <c r="H75" s="439"/>
      <c r="I75" s="292" t="e">
        <f aca="false">J75/G75</f>
        <v>#DIV/0!</v>
      </c>
      <c r="J75" s="440"/>
      <c r="K75" s="292" t="e">
        <f aca="false">L75/G75</f>
        <v>#DIV/0!</v>
      </c>
      <c r="L75" s="440"/>
      <c r="M75" s="292" t="e">
        <f aca="false">IF(N75="-","-",N75/L75)</f>
        <v>#DIV/0!</v>
      </c>
      <c r="N75" s="406"/>
      <c r="O75" s="407"/>
      <c r="P75" s="408"/>
      <c r="Q75" s="407"/>
      <c r="R75" s="408"/>
      <c r="S75" s="515"/>
      <c r="T75" s="516"/>
      <c r="U75" s="515"/>
      <c r="V75" s="517"/>
      <c r="W75" s="377"/>
      <c r="X75" s="194"/>
    </row>
    <row r="76" customFormat="false" ht="15.75" hidden="false" customHeight="true" outlineLevel="0" collapsed="false">
      <c r="B76" s="266"/>
      <c r="C76" s="267"/>
      <c r="D76" s="511"/>
      <c r="E76" s="458" t="s">
        <v>119</v>
      </c>
      <c r="F76" s="402"/>
      <c r="G76" s="438"/>
      <c r="H76" s="439"/>
      <c r="I76" s="292" t="e">
        <f aca="false">J76/G76</f>
        <v>#DIV/0!</v>
      </c>
      <c r="J76" s="440"/>
      <c r="K76" s="292" t="e">
        <f aca="false">L76/G76</f>
        <v>#DIV/0!</v>
      </c>
      <c r="L76" s="440"/>
      <c r="M76" s="292" t="e">
        <f aca="false">IF(N76="-","-",N76/L76)</f>
        <v>#DIV/0!</v>
      </c>
      <c r="N76" s="406"/>
      <c r="O76" s="407"/>
      <c r="P76" s="408"/>
      <c r="Q76" s="407"/>
      <c r="R76" s="408"/>
      <c r="S76" s="515"/>
      <c r="T76" s="516"/>
      <c r="U76" s="515"/>
      <c r="V76" s="517"/>
      <c r="W76" s="377"/>
      <c r="X76" s="194"/>
    </row>
    <row r="77" customFormat="false" ht="15.75" hidden="false" customHeight="true" outlineLevel="0" collapsed="false">
      <c r="B77" s="266"/>
      <c r="C77" s="267"/>
      <c r="D77" s="511"/>
      <c r="E77" s="460"/>
      <c r="F77" s="518"/>
      <c r="G77" s="441"/>
      <c r="H77" s="442"/>
      <c r="I77" s="292" t="e">
        <f aca="false">J77/G77</f>
        <v>#DIV/0!</v>
      </c>
      <c r="J77" s="443"/>
      <c r="K77" s="292" t="e">
        <f aca="false">L77/G77</f>
        <v>#DIV/0!</v>
      </c>
      <c r="L77" s="443"/>
      <c r="M77" s="292" t="e">
        <f aca="false">IF(N77="-","-",N77/L77)</f>
        <v>#DIV/0!</v>
      </c>
      <c r="N77" s="411"/>
      <c r="O77" s="412"/>
      <c r="P77" s="413"/>
      <c r="Q77" s="412"/>
      <c r="R77" s="413"/>
      <c r="S77" s="519"/>
      <c r="T77" s="520"/>
      <c r="U77" s="519"/>
      <c r="V77" s="521"/>
      <c r="W77" s="377"/>
      <c r="X77" s="194"/>
    </row>
    <row r="78" customFormat="false" ht="15.75" hidden="false" customHeight="true" outlineLevel="0" collapsed="false">
      <c r="B78" s="266"/>
      <c r="C78" s="267"/>
      <c r="D78" s="511"/>
      <c r="E78" s="460"/>
      <c r="F78" s="518"/>
      <c r="G78" s="441"/>
      <c r="H78" s="442"/>
      <c r="I78" s="292" t="e">
        <f aca="false">J78/G78</f>
        <v>#DIV/0!</v>
      </c>
      <c r="J78" s="443"/>
      <c r="K78" s="292" t="e">
        <f aca="false">L78/G78</f>
        <v>#DIV/0!</v>
      </c>
      <c r="L78" s="443"/>
      <c r="M78" s="292" t="e">
        <f aca="false">IF(N78="-","-",N78/L78)</f>
        <v>#DIV/0!</v>
      </c>
      <c r="N78" s="411"/>
      <c r="O78" s="412"/>
      <c r="P78" s="413"/>
      <c r="Q78" s="412"/>
      <c r="R78" s="413"/>
      <c r="S78" s="519"/>
      <c r="T78" s="520"/>
      <c r="U78" s="519"/>
      <c r="V78" s="521"/>
      <c r="W78" s="377"/>
      <c r="X78" s="194"/>
    </row>
    <row r="79" customFormat="false" ht="15.75" hidden="false" customHeight="true" outlineLevel="0" collapsed="false">
      <c r="B79" s="266"/>
      <c r="C79" s="267"/>
      <c r="D79" s="511"/>
      <c r="E79" s="462" t="s">
        <v>120</v>
      </c>
      <c r="F79" s="421"/>
      <c r="G79" s="422"/>
      <c r="H79" s="423"/>
      <c r="I79" s="302" t="e">
        <f aca="false">J79/G79</f>
        <v>#DIV/0!</v>
      </c>
      <c r="J79" s="424"/>
      <c r="K79" s="302" t="e">
        <f aca="false">L79/G79</f>
        <v>#DIV/0!</v>
      </c>
      <c r="L79" s="424"/>
      <c r="M79" s="302" t="e">
        <f aca="false">IF(N79="-","-",N79/L79)</f>
        <v>#DIV/0!</v>
      </c>
      <c r="N79" s="425"/>
      <c r="O79" s="426"/>
      <c r="P79" s="427"/>
      <c r="Q79" s="426"/>
      <c r="R79" s="427"/>
      <c r="S79" s="522"/>
      <c r="T79" s="523"/>
      <c r="U79" s="522"/>
      <c r="V79" s="524"/>
      <c r="W79" s="377"/>
      <c r="X79" s="194"/>
    </row>
    <row r="80" customFormat="false" ht="15.75" hidden="false" customHeight="false" outlineLevel="0" collapsed="false">
      <c r="B80" s="266"/>
      <c r="C80" s="267"/>
      <c r="D80" s="267" t="s">
        <v>76</v>
      </c>
      <c r="E80" s="282"/>
      <c r="F80" s="263"/>
      <c r="G80" s="216" t="n">
        <f aca="false">SUM(G70:G79)</f>
        <v>0</v>
      </c>
      <c r="H80" s="217" t="n">
        <f aca="false">SUM(H70:H79)</f>
        <v>0</v>
      </c>
      <c r="I80" s="218" t="e">
        <f aca="false">J80/G80</f>
        <v>#DIV/0!</v>
      </c>
      <c r="J80" s="320" t="n">
        <f aca="false">SUM(J70:J79)</f>
        <v>0</v>
      </c>
      <c r="K80" s="317" t="e">
        <f aca="false">L80/G80</f>
        <v>#DIV/0!</v>
      </c>
      <c r="L80" s="320" t="n">
        <f aca="false">SUM(L70:L79)</f>
        <v>0</v>
      </c>
      <c r="M80" s="218" t="e">
        <f aca="false">N80/L80</f>
        <v>#DIV/0!</v>
      </c>
      <c r="N80" s="320" t="n">
        <f aca="false">SUM(N70:N79)</f>
        <v>0</v>
      </c>
      <c r="O80" s="321" t="n">
        <f aca="false">SUM(O70:O79)</f>
        <v>0</v>
      </c>
      <c r="P80" s="316" t="n">
        <f aca="false">SUM(P70:P79)</f>
        <v>0</v>
      </c>
      <c r="Q80" s="321" t="n">
        <f aca="false">SUM(Q70:Q79)</f>
        <v>0</v>
      </c>
      <c r="R80" s="316" t="n">
        <f aca="false">SUM(R70:R79)</f>
        <v>0</v>
      </c>
      <c r="S80" s="321" t="n">
        <f aca="false">SUM(S70:S79)</f>
        <v>0</v>
      </c>
      <c r="T80" s="316" t="n">
        <f aca="false">SUM(T70:T79)</f>
        <v>0</v>
      </c>
      <c r="U80" s="321" t="n">
        <f aca="false">SUM(U70:U79)</f>
        <v>0</v>
      </c>
      <c r="V80" s="322" t="n">
        <f aca="false">SUM(V70:V79)</f>
        <v>0</v>
      </c>
      <c r="W80" s="377"/>
      <c r="X80" s="194"/>
    </row>
    <row r="81" customFormat="false" ht="15" hidden="false" customHeight="true" outlineLevel="0" collapsed="false">
      <c r="B81" s="283" t="s">
        <v>159</v>
      </c>
      <c r="C81" s="213" t="s">
        <v>97</v>
      </c>
      <c r="D81" s="525" t="n">
        <v>17</v>
      </c>
      <c r="E81" s="455" t="s">
        <v>122</v>
      </c>
      <c r="F81" s="389"/>
      <c r="G81" s="390"/>
      <c r="H81" s="391"/>
      <c r="I81" s="272"/>
      <c r="J81" s="437"/>
      <c r="K81" s="394"/>
      <c r="L81" s="437"/>
      <c r="M81" s="272"/>
      <c r="N81" s="395"/>
      <c r="O81" s="396"/>
      <c r="P81" s="397"/>
      <c r="Q81" s="396"/>
      <c r="R81" s="397"/>
      <c r="S81" s="512"/>
      <c r="T81" s="513"/>
      <c r="U81" s="512"/>
      <c r="V81" s="514"/>
      <c r="W81" s="526"/>
      <c r="X81" s="286"/>
    </row>
    <row r="82" customFormat="false" ht="15.75" hidden="false" customHeight="true" outlineLevel="0" collapsed="false">
      <c r="B82" s="283"/>
      <c r="C82" s="213"/>
      <c r="D82" s="525"/>
      <c r="E82" s="458" t="s">
        <v>123</v>
      </c>
      <c r="F82" s="402"/>
      <c r="G82" s="403"/>
      <c r="H82" s="404"/>
      <c r="I82" s="188"/>
      <c r="J82" s="440"/>
      <c r="K82" s="292"/>
      <c r="L82" s="440"/>
      <c r="M82" s="188"/>
      <c r="N82" s="406"/>
      <c r="O82" s="407"/>
      <c r="P82" s="408"/>
      <c r="Q82" s="407"/>
      <c r="R82" s="408"/>
      <c r="S82" s="515"/>
      <c r="T82" s="516"/>
      <c r="U82" s="515"/>
      <c r="V82" s="517"/>
      <c r="W82" s="527"/>
      <c r="X82" s="288"/>
    </row>
    <row r="83" customFormat="false" ht="15.75" hidden="false" customHeight="true" outlineLevel="0" collapsed="false">
      <c r="B83" s="283"/>
      <c r="C83" s="213"/>
      <c r="D83" s="525"/>
      <c r="E83" s="458" t="s">
        <v>124</v>
      </c>
      <c r="F83" s="402"/>
      <c r="G83" s="403"/>
      <c r="H83" s="404"/>
      <c r="I83" s="188"/>
      <c r="J83" s="440"/>
      <c r="K83" s="292"/>
      <c r="L83" s="440"/>
      <c r="M83" s="188"/>
      <c r="N83" s="406"/>
      <c r="O83" s="407"/>
      <c r="P83" s="408"/>
      <c r="Q83" s="407"/>
      <c r="R83" s="408"/>
      <c r="S83" s="515"/>
      <c r="T83" s="516"/>
      <c r="U83" s="515"/>
      <c r="V83" s="517"/>
      <c r="W83" s="527"/>
      <c r="X83" s="288"/>
    </row>
    <row r="84" customFormat="false" ht="15" hidden="false" customHeight="true" outlineLevel="0" collapsed="false">
      <c r="B84" s="283"/>
      <c r="C84" s="213"/>
      <c r="D84" s="525"/>
      <c r="E84" s="458" t="s">
        <v>125</v>
      </c>
      <c r="F84" s="459" t="s">
        <v>70</v>
      </c>
      <c r="G84" s="438"/>
      <c r="H84" s="439"/>
      <c r="I84" s="292" t="e">
        <f aca="false">J84/G84</f>
        <v>#DIV/0!</v>
      </c>
      <c r="J84" s="440"/>
      <c r="K84" s="292" t="e">
        <f aca="false">L84/G84</f>
        <v>#DIV/0!</v>
      </c>
      <c r="L84" s="440"/>
      <c r="M84" s="292" t="e">
        <f aca="false">IF(N84="-","-",N84/L84)</f>
        <v>#DIV/0!</v>
      </c>
      <c r="N84" s="406"/>
      <c r="O84" s="407"/>
      <c r="P84" s="408"/>
      <c r="Q84" s="407"/>
      <c r="R84" s="408"/>
      <c r="S84" s="515"/>
      <c r="T84" s="516"/>
      <c r="U84" s="515"/>
      <c r="V84" s="517"/>
      <c r="W84" s="527"/>
      <c r="X84" s="288"/>
    </row>
    <row r="85" customFormat="false" ht="15" hidden="false" customHeight="true" outlineLevel="0" collapsed="false">
      <c r="B85" s="283"/>
      <c r="C85" s="213"/>
      <c r="D85" s="525"/>
      <c r="E85" s="458" t="s">
        <v>126</v>
      </c>
      <c r="F85" s="459" t="s">
        <v>102</v>
      </c>
      <c r="G85" s="438"/>
      <c r="H85" s="439"/>
      <c r="I85" s="292" t="e">
        <f aca="false">J85/G85</f>
        <v>#DIV/0!</v>
      </c>
      <c r="J85" s="440"/>
      <c r="K85" s="292" t="e">
        <f aca="false">L85/G85</f>
        <v>#DIV/0!</v>
      </c>
      <c r="L85" s="440"/>
      <c r="M85" s="292" t="e">
        <f aca="false">IF(N85="-","-",N85/L85)</f>
        <v>#DIV/0!</v>
      </c>
      <c r="N85" s="406"/>
      <c r="O85" s="407"/>
      <c r="P85" s="408"/>
      <c r="Q85" s="407"/>
      <c r="R85" s="408"/>
      <c r="S85" s="515"/>
      <c r="T85" s="516"/>
      <c r="U85" s="515"/>
      <c r="V85" s="517"/>
      <c r="W85" s="527"/>
      <c r="X85" s="288"/>
    </row>
    <row r="86" customFormat="false" ht="15" hidden="false" customHeight="true" outlineLevel="0" collapsed="false">
      <c r="B86" s="283"/>
      <c r="C86" s="213"/>
      <c r="D86" s="525"/>
      <c r="E86" s="458" t="s">
        <v>127</v>
      </c>
      <c r="F86" s="459" t="s">
        <v>102</v>
      </c>
      <c r="G86" s="438"/>
      <c r="H86" s="439"/>
      <c r="I86" s="292" t="e">
        <f aca="false">J86/G86</f>
        <v>#DIV/0!</v>
      </c>
      <c r="J86" s="440"/>
      <c r="K86" s="292" t="e">
        <f aca="false">L86/G86</f>
        <v>#DIV/0!</v>
      </c>
      <c r="L86" s="440"/>
      <c r="M86" s="292" t="e">
        <f aca="false">IF(N86="-","-",N86/L86)</f>
        <v>#DIV/0!</v>
      </c>
      <c r="N86" s="406"/>
      <c r="O86" s="407"/>
      <c r="P86" s="408"/>
      <c r="Q86" s="407"/>
      <c r="R86" s="408"/>
      <c r="S86" s="515"/>
      <c r="T86" s="516"/>
      <c r="U86" s="515"/>
      <c r="V86" s="517"/>
      <c r="W86" s="527"/>
      <c r="X86" s="288"/>
    </row>
    <row r="87" customFormat="false" ht="15" hidden="false" customHeight="true" outlineLevel="0" collapsed="false">
      <c r="B87" s="283"/>
      <c r="C87" s="213"/>
      <c r="D87" s="525"/>
      <c r="E87" s="458" t="s">
        <v>128</v>
      </c>
      <c r="F87" s="459"/>
      <c r="G87" s="438"/>
      <c r="H87" s="439"/>
      <c r="I87" s="292" t="e">
        <f aca="false">J87/G87</f>
        <v>#DIV/0!</v>
      </c>
      <c r="J87" s="440"/>
      <c r="K87" s="292" t="e">
        <f aca="false">L87/G87</f>
        <v>#DIV/0!</v>
      </c>
      <c r="L87" s="440"/>
      <c r="M87" s="292" t="e">
        <f aca="false">IF(N87="-","-",N87/L87)</f>
        <v>#DIV/0!</v>
      </c>
      <c r="N87" s="406"/>
      <c r="O87" s="407"/>
      <c r="P87" s="408"/>
      <c r="Q87" s="407"/>
      <c r="R87" s="408"/>
      <c r="S87" s="515"/>
      <c r="T87" s="516"/>
      <c r="U87" s="515"/>
      <c r="V87" s="517"/>
      <c r="W87" s="527"/>
      <c r="X87" s="288"/>
    </row>
    <row r="88" customFormat="false" ht="15" hidden="false" customHeight="true" outlineLevel="0" collapsed="false">
      <c r="B88" s="283"/>
      <c r="C88" s="213"/>
      <c r="D88" s="525"/>
      <c r="E88" s="458" t="s">
        <v>129</v>
      </c>
      <c r="F88" s="459"/>
      <c r="G88" s="438"/>
      <c r="H88" s="439"/>
      <c r="I88" s="292" t="e">
        <f aca="false">J88/G88</f>
        <v>#DIV/0!</v>
      </c>
      <c r="J88" s="440"/>
      <c r="K88" s="292" t="e">
        <f aca="false">L88/G88</f>
        <v>#DIV/0!</v>
      </c>
      <c r="L88" s="440"/>
      <c r="M88" s="292" t="e">
        <f aca="false">IF(N88="-","-",N88/L88)</f>
        <v>#DIV/0!</v>
      </c>
      <c r="N88" s="406"/>
      <c r="O88" s="407"/>
      <c r="P88" s="408"/>
      <c r="Q88" s="407"/>
      <c r="R88" s="408"/>
      <c r="S88" s="515"/>
      <c r="T88" s="516"/>
      <c r="U88" s="515"/>
      <c r="V88" s="517"/>
      <c r="W88" s="527"/>
      <c r="X88" s="288"/>
    </row>
    <row r="89" customFormat="false" ht="15" hidden="false" customHeight="true" outlineLevel="0" collapsed="false">
      <c r="B89" s="283"/>
      <c r="C89" s="213"/>
      <c r="D89" s="525"/>
      <c r="E89" s="458" t="s">
        <v>130</v>
      </c>
      <c r="F89" s="459"/>
      <c r="G89" s="438"/>
      <c r="H89" s="439"/>
      <c r="I89" s="292" t="e">
        <f aca="false">J89/G89</f>
        <v>#DIV/0!</v>
      </c>
      <c r="J89" s="440"/>
      <c r="K89" s="292" t="e">
        <f aca="false">L89/G89</f>
        <v>#DIV/0!</v>
      </c>
      <c r="L89" s="440"/>
      <c r="M89" s="292" t="e">
        <f aca="false">IF(N89="-","-",N89/L89)</f>
        <v>#DIV/0!</v>
      </c>
      <c r="N89" s="406"/>
      <c r="O89" s="407"/>
      <c r="P89" s="408"/>
      <c r="Q89" s="407"/>
      <c r="R89" s="408"/>
      <c r="S89" s="515"/>
      <c r="T89" s="516"/>
      <c r="U89" s="515"/>
      <c r="V89" s="517"/>
      <c r="W89" s="527"/>
      <c r="X89" s="288"/>
    </row>
    <row r="90" customFormat="false" ht="15" hidden="false" customHeight="true" outlineLevel="0" collapsed="false">
      <c r="B90" s="283"/>
      <c r="C90" s="213"/>
      <c r="D90" s="525"/>
      <c r="E90" s="458"/>
      <c r="F90" s="459"/>
      <c r="G90" s="438"/>
      <c r="H90" s="439"/>
      <c r="I90" s="292" t="e">
        <f aca="false">J90/G90</f>
        <v>#DIV/0!</v>
      </c>
      <c r="J90" s="440"/>
      <c r="K90" s="292" t="e">
        <f aca="false">L90/G90</f>
        <v>#DIV/0!</v>
      </c>
      <c r="L90" s="440"/>
      <c r="M90" s="292" t="e">
        <f aca="false">IF(N90="-","-",N90/L90)</f>
        <v>#DIV/0!</v>
      </c>
      <c r="N90" s="406"/>
      <c r="O90" s="407"/>
      <c r="P90" s="408"/>
      <c r="Q90" s="407"/>
      <c r="R90" s="408"/>
      <c r="S90" s="515"/>
      <c r="T90" s="516"/>
      <c r="U90" s="515"/>
      <c r="V90" s="517"/>
      <c r="W90" s="527"/>
      <c r="X90" s="288"/>
    </row>
    <row r="91" customFormat="false" ht="15" hidden="false" customHeight="true" outlineLevel="0" collapsed="false">
      <c r="B91" s="283"/>
      <c r="C91" s="213"/>
      <c r="D91" s="525"/>
      <c r="E91" s="458"/>
      <c r="F91" s="459"/>
      <c r="G91" s="438"/>
      <c r="H91" s="439"/>
      <c r="I91" s="292" t="e">
        <f aca="false">J91/G91</f>
        <v>#DIV/0!</v>
      </c>
      <c r="J91" s="440"/>
      <c r="K91" s="292" t="e">
        <f aca="false">L91/G91</f>
        <v>#DIV/0!</v>
      </c>
      <c r="L91" s="440"/>
      <c r="M91" s="292" t="e">
        <f aca="false">IF(N91="-","-",N91/L91)</f>
        <v>#DIV/0!</v>
      </c>
      <c r="N91" s="406"/>
      <c r="O91" s="407"/>
      <c r="P91" s="408"/>
      <c r="Q91" s="407"/>
      <c r="R91" s="408"/>
      <c r="S91" s="515"/>
      <c r="T91" s="516"/>
      <c r="U91" s="515"/>
      <c r="V91" s="517"/>
      <c r="W91" s="527"/>
      <c r="X91" s="288"/>
    </row>
    <row r="92" customFormat="false" ht="15" hidden="false" customHeight="true" outlineLevel="0" collapsed="false">
      <c r="B92" s="283"/>
      <c r="C92" s="213"/>
      <c r="D92" s="525"/>
      <c r="E92" s="458" t="s">
        <v>131</v>
      </c>
      <c r="F92" s="459"/>
      <c r="G92" s="438"/>
      <c r="H92" s="439"/>
      <c r="I92" s="292" t="e">
        <f aca="false">J92/G92</f>
        <v>#DIV/0!</v>
      </c>
      <c r="J92" s="440"/>
      <c r="K92" s="292" t="e">
        <f aca="false">L92/G92</f>
        <v>#DIV/0!</v>
      </c>
      <c r="L92" s="440"/>
      <c r="M92" s="292" t="e">
        <f aca="false">IF(N92="-","-",N92/L92)</f>
        <v>#DIV/0!</v>
      </c>
      <c r="N92" s="406"/>
      <c r="O92" s="407"/>
      <c r="P92" s="408"/>
      <c r="Q92" s="407"/>
      <c r="R92" s="408"/>
      <c r="S92" s="515"/>
      <c r="T92" s="516"/>
      <c r="U92" s="515"/>
      <c r="V92" s="517"/>
      <c r="W92" s="527"/>
      <c r="X92" s="288"/>
    </row>
    <row r="93" customFormat="false" ht="15.75" hidden="false" customHeight="false" outlineLevel="0" collapsed="false">
      <c r="B93" s="283"/>
      <c r="C93" s="213"/>
      <c r="D93" s="298" t="s">
        <v>76</v>
      </c>
      <c r="E93" s="281"/>
      <c r="F93" s="299"/>
      <c r="G93" s="205" t="n">
        <f aca="false">SUM(G84:G92)</f>
        <v>0</v>
      </c>
      <c r="H93" s="206" t="n">
        <f aca="false">SUM(H84:H92)</f>
        <v>0</v>
      </c>
      <c r="I93" s="207" t="e">
        <f aca="false">J93/G93</f>
        <v>#DIV/0!</v>
      </c>
      <c r="J93" s="305" t="n">
        <f aca="false">SUM(J84:J92)</f>
        <v>0</v>
      </c>
      <c r="K93" s="302" t="e">
        <f aca="false">L93/G93</f>
        <v>#DIV/0!</v>
      </c>
      <c r="L93" s="305" t="n">
        <f aca="false">SUM(L84:L92)</f>
        <v>0</v>
      </c>
      <c r="M93" s="207" t="e">
        <f aca="false">N93/L93</f>
        <v>#DIV/0!</v>
      </c>
      <c r="N93" s="305" t="n">
        <f aca="false">SUM(N84:N92)</f>
        <v>0</v>
      </c>
      <c r="O93" s="306" t="n">
        <f aca="false">SUM(O84:O92)</f>
        <v>0</v>
      </c>
      <c r="P93" s="301" t="n">
        <f aca="false">SUM(P84:P92)</f>
        <v>0</v>
      </c>
      <c r="Q93" s="306" t="n">
        <f aca="false">SUM(Q84:Q92)</f>
        <v>0</v>
      </c>
      <c r="R93" s="301" t="n">
        <f aca="false">SUM(R84:R92)</f>
        <v>0</v>
      </c>
      <c r="S93" s="306" t="n">
        <f aca="false">SUM(S84:S92)</f>
        <v>0</v>
      </c>
      <c r="T93" s="301" t="n">
        <f aca="false">SUM(T84:T92)</f>
        <v>0</v>
      </c>
      <c r="U93" s="306" t="n">
        <f aca="false">SUM(U84:U92)</f>
        <v>0</v>
      </c>
      <c r="V93" s="307" t="n">
        <f aca="false">SUM(V84:V92)</f>
        <v>0</v>
      </c>
      <c r="W93" s="528"/>
      <c r="X93" s="309"/>
    </row>
    <row r="94" customFormat="false" ht="15.75" hidden="false" customHeight="true" outlineLevel="0" collapsed="false">
      <c r="B94" s="529" t="s">
        <v>132</v>
      </c>
      <c r="C94" s="213" t="s">
        <v>97</v>
      </c>
      <c r="D94" s="530" t="n">
        <v>5</v>
      </c>
      <c r="E94" s="455" t="s">
        <v>133</v>
      </c>
      <c r="F94" s="456" t="s">
        <v>102</v>
      </c>
      <c r="G94" s="435"/>
      <c r="H94" s="436"/>
      <c r="I94" s="394" t="e">
        <f aca="false">J94/G94</f>
        <v>#DIV/0!</v>
      </c>
      <c r="J94" s="437"/>
      <c r="K94" s="394" t="e">
        <f aca="false">L94/G94</f>
        <v>#DIV/0!</v>
      </c>
      <c r="L94" s="437"/>
      <c r="M94" s="394" t="e">
        <f aca="false">IF(N94="-","-",N94/L94)</f>
        <v>#DIV/0!</v>
      </c>
      <c r="N94" s="395"/>
      <c r="O94" s="396"/>
      <c r="P94" s="397"/>
      <c r="Q94" s="396"/>
      <c r="R94" s="397"/>
      <c r="S94" s="512"/>
      <c r="T94" s="513"/>
      <c r="U94" s="512"/>
      <c r="V94" s="514"/>
      <c r="W94" s="377"/>
      <c r="X94" s="194"/>
    </row>
    <row r="95" customFormat="false" ht="15.75" hidden="false" customHeight="true" outlineLevel="0" collapsed="false">
      <c r="B95" s="529"/>
      <c r="C95" s="213"/>
      <c r="D95" s="530"/>
      <c r="E95" s="458" t="s">
        <v>134</v>
      </c>
      <c r="F95" s="459"/>
      <c r="G95" s="438"/>
      <c r="H95" s="439"/>
      <c r="I95" s="292" t="e">
        <f aca="false">J95/G95</f>
        <v>#DIV/0!</v>
      </c>
      <c r="J95" s="440"/>
      <c r="K95" s="292" t="e">
        <f aca="false">L95/G95</f>
        <v>#DIV/0!</v>
      </c>
      <c r="L95" s="440"/>
      <c r="M95" s="292" t="e">
        <f aca="false">IF(N95="-","-",N95/L95)</f>
        <v>#DIV/0!</v>
      </c>
      <c r="N95" s="406"/>
      <c r="O95" s="407"/>
      <c r="P95" s="408"/>
      <c r="Q95" s="407"/>
      <c r="R95" s="408"/>
      <c r="S95" s="515"/>
      <c r="T95" s="516"/>
      <c r="U95" s="515"/>
      <c r="V95" s="517"/>
      <c r="W95" s="377"/>
      <c r="X95" s="194"/>
    </row>
    <row r="96" customFormat="false" ht="15.75" hidden="false" customHeight="true" outlineLevel="0" collapsed="false">
      <c r="B96" s="529"/>
      <c r="C96" s="213"/>
      <c r="D96" s="530"/>
      <c r="E96" s="460"/>
      <c r="F96" s="461"/>
      <c r="G96" s="441"/>
      <c r="H96" s="442"/>
      <c r="I96" s="292" t="e">
        <f aca="false">J96/G96</f>
        <v>#DIV/0!</v>
      </c>
      <c r="J96" s="443"/>
      <c r="K96" s="292" t="e">
        <f aca="false">L96/G96</f>
        <v>#DIV/0!</v>
      </c>
      <c r="L96" s="443"/>
      <c r="M96" s="292" t="e">
        <f aca="false">IF(N96="-","-",N96/L96)</f>
        <v>#DIV/0!</v>
      </c>
      <c r="N96" s="411"/>
      <c r="O96" s="412"/>
      <c r="P96" s="413"/>
      <c r="Q96" s="412"/>
      <c r="R96" s="413"/>
      <c r="S96" s="519"/>
      <c r="T96" s="520"/>
      <c r="U96" s="519"/>
      <c r="V96" s="521"/>
      <c r="W96" s="377"/>
      <c r="X96" s="194"/>
    </row>
    <row r="97" customFormat="false" ht="15.75" hidden="false" customHeight="true" outlineLevel="0" collapsed="false">
      <c r="B97" s="529"/>
      <c r="C97" s="213"/>
      <c r="D97" s="530"/>
      <c r="E97" s="460"/>
      <c r="F97" s="461"/>
      <c r="G97" s="441"/>
      <c r="H97" s="442"/>
      <c r="I97" s="292" t="e">
        <f aca="false">J97/G97</f>
        <v>#DIV/0!</v>
      </c>
      <c r="J97" s="443"/>
      <c r="K97" s="292" t="e">
        <f aca="false">L97/G97</f>
        <v>#DIV/0!</v>
      </c>
      <c r="L97" s="443"/>
      <c r="M97" s="292" t="e">
        <f aca="false">IF(N97="-","-",N97/L97)</f>
        <v>#DIV/0!</v>
      </c>
      <c r="N97" s="411"/>
      <c r="O97" s="412"/>
      <c r="P97" s="413"/>
      <c r="Q97" s="412"/>
      <c r="R97" s="413"/>
      <c r="S97" s="519"/>
      <c r="T97" s="520"/>
      <c r="U97" s="519"/>
      <c r="V97" s="521"/>
      <c r="W97" s="377"/>
      <c r="X97" s="194"/>
    </row>
    <row r="98" customFormat="false" ht="15.75" hidden="false" customHeight="true" outlineLevel="0" collapsed="false">
      <c r="B98" s="529"/>
      <c r="C98" s="213"/>
      <c r="D98" s="530"/>
      <c r="E98" s="462" t="s">
        <v>135</v>
      </c>
      <c r="F98" s="463"/>
      <c r="G98" s="422"/>
      <c r="H98" s="423"/>
      <c r="I98" s="302" t="e">
        <f aca="false">J98/G98</f>
        <v>#DIV/0!</v>
      </c>
      <c r="J98" s="424"/>
      <c r="K98" s="302" t="e">
        <f aca="false">L98/G98</f>
        <v>#DIV/0!</v>
      </c>
      <c r="L98" s="424"/>
      <c r="M98" s="302" t="e">
        <f aca="false">IF(N98="-","-",N98/L98)</f>
        <v>#DIV/0!</v>
      </c>
      <c r="N98" s="425"/>
      <c r="O98" s="426"/>
      <c r="P98" s="427"/>
      <c r="Q98" s="426"/>
      <c r="R98" s="427"/>
      <c r="S98" s="522"/>
      <c r="T98" s="523"/>
      <c r="U98" s="522"/>
      <c r="V98" s="524"/>
      <c r="W98" s="377"/>
      <c r="X98" s="194"/>
    </row>
    <row r="99" customFormat="false" ht="15.75" hidden="false" customHeight="true" outlineLevel="0" collapsed="false">
      <c r="B99" s="529"/>
      <c r="C99" s="213"/>
      <c r="D99" s="531" t="s">
        <v>76</v>
      </c>
      <c r="E99" s="282"/>
      <c r="F99" s="532"/>
      <c r="G99" s="216" t="n">
        <f aca="false">SUM(G94:G98)</f>
        <v>0</v>
      </c>
      <c r="H99" s="217" t="n">
        <f aca="false">SUM(H94:H98)</f>
        <v>0</v>
      </c>
      <c r="I99" s="218" t="e">
        <f aca="false">J99/G99</f>
        <v>#DIV/0!</v>
      </c>
      <c r="J99" s="320" t="n">
        <f aca="false">SUM(J94:J98)</f>
        <v>0</v>
      </c>
      <c r="K99" s="317" t="e">
        <f aca="false">L99/G99</f>
        <v>#DIV/0!</v>
      </c>
      <c r="L99" s="320" t="n">
        <f aca="false">SUM(L94:L98)</f>
        <v>0</v>
      </c>
      <c r="M99" s="218" t="e">
        <f aca="false">N99/L99</f>
        <v>#DIV/0!</v>
      </c>
      <c r="N99" s="320" t="n">
        <f aca="false">SUM(N94:N98)</f>
        <v>0</v>
      </c>
      <c r="O99" s="321" t="n">
        <f aca="false">SUM(O94:O98)</f>
        <v>0</v>
      </c>
      <c r="P99" s="316" t="n">
        <f aca="false">SUM(P94:P98)</f>
        <v>0</v>
      </c>
      <c r="Q99" s="321" t="n">
        <f aca="false">SUM(Q94:Q98)</f>
        <v>0</v>
      </c>
      <c r="R99" s="316" t="n">
        <f aca="false">SUM(R94:R98)</f>
        <v>0</v>
      </c>
      <c r="S99" s="321" t="n">
        <f aca="false">SUM(S94:S98)</f>
        <v>0</v>
      </c>
      <c r="T99" s="316" t="n">
        <f aca="false">SUM(T94:T98)</f>
        <v>0</v>
      </c>
      <c r="U99" s="321" t="n">
        <f aca="false">SUM(U94:U98)</f>
        <v>0</v>
      </c>
      <c r="V99" s="322" t="n">
        <f aca="false">SUM(V94:V98)</f>
        <v>0</v>
      </c>
      <c r="W99" s="377"/>
      <c r="X99" s="194"/>
    </row>
    <row r="100" customFormat="false" ht="15.75" hidden="false" customHeight="true" outlineLevel="0" collapsed="false">
      <c r="B100" s="325" t="s">
        <v>136</v>
      </c>
      <c r="C100" s="326" t="s">
        <v>97</v>
      </c>
      <c r="D100" s="378" t="n">
        <v>11</v>
      </c>
      <c r="E100" s="388" t="s">
        <v>137</v>
      </c>
      <c r="F100" s="389" t="s">
        <v>138</v>
      </c>
      <c r="G100" s="435"/>
      <c r="H100" s="436"/>
      <c r="I100" s="394"/>
      <c r="J100" s="437"/>
      <c r="K100" s="394"/>
      <c r="L100" s="437"/>
      <c r="M100" s="394"/>
      <c r="N100" s="395"/>
      <c r="O100" s="396" t="s">
        <v>75</v>
      </c>
      <c r="P100" s="397" t="s">
        <v>75</v>
      </c>
      <c r="Q100" s="396" t="s">
        <v>75</v>
      </c>
      <c r="R100" s="397" t="s">
        <v>75</v>
      </c>
      <c r="S100" s="398"/>
      <c r="T100" s="399"/>
      <c r="U100" s="398"/>
      <c r="V100" s="400"/>
      <c r="W100" s="377"/>
      <c r="X100" s="194"/>
    </row>
    <row r="101" customFormat="false" ht="15.75" hidden="false" customHeight="true" outlineLevel="0" collapsed="false">
      <c r="B101" s="325"/>
      <c r="C101" s="326"/>
      <c r="D101" s="378"/>
      <c r="E101" s="401" t="s">
        <v>139</v>
      </c>
      <c r="F101" s="402" t="s">
        <v>138</v>
      </c>
      <c r="G101" s="438"/>
      <c r="H101" s="439"/>
      <c r="I101" s="292"/>
      <c r="J101" s="440"/>
      <c r="K101" s="292"/>
      <c r="L101" s="440"/>
      <c r="M101" s="292"/>
      <c r="N101" s="406"/>
      <c r="O101" s="407" t="s">
        <v>75</v>
      </c>
      <c r="P101" s="408" t="s">
        <v>75</v>
      </c>
      <c r="Q101" s="407" t="s">
        <v>75</v>
      </c>
      <c r="R101" s="408" t="s">
        <v>75</v>
      </c>
      <c r="S101" s="296"/>
      <c r="T101" s="291"/>
      <c r="U101" s="296"/>
      <c r="V101" s="297"/>
      <c r="W101" s="377"/>
      <c r="X101" s="194"/>
    </row>
    <row r="102" customFormat="false" ht="15.75" hidden="false" customHeight="true" outlineLevel="0" collapsed="false">
      <c r="B102" s="325"/>
      <c r="C102" s="326"/>
      <c r="D102" s="378"/>
      <c r="E102" s="401" t="s">
        <v>140</v>
      </c>
      <c r="F102" s="402" t="s">
        <v>138</v>
      </c>
      <c r="G102" s="438"/>
      <c r="H102" s="439"/>
      <c r="I102" s="292"/>
      <c r="J102" s="440"/>
      <c r="K102" s="292"/>
      <c r="L102" s="440"/>
      <c r="M102" s="292"/>
      <c r="N102" s="406"/>
      <c r="O102" s="407" t="s">
        <v>75</v>
      </c>
      <c r="P102" s="408" t="s">
        <v>75</v>
      </c>
      <c r="Q102" s="407" t="s">
        <v>75</v>
      </c>
      <c r="R102" s="408" t="s">
        <v>75</v>
      </c>
      <c r="S102" s="296"/>
      <c r="T102" s="291"/>
      <c r="U102" s="296"/>
      <c r="V102" s="297"/>
      <c r="W102" s="377"/>
      <c r="X102" s="194"/>
    </row>
    <row r="103" customFormat="false" ht="15.75" hidden="false" customHeight="true" outlineLevel="0" collapsed="false">
      <c r="B103" s="325"/>
      <c r="C103" s="326"/>
      <c r="D103" s="378"/>
      <c r="E103" s="401" t="s">
        <v>141</v>
      </c>
      <c r="F103" s="402" t="s">
        <v>138</v>
      </c>
      <c r="G103" s="438"/>
      <c r="H103" s="439"/>
      <c r="I103" s="292"/>
      <c r="J103" s="440"/>
      <c r="K103" s="292"/>
      <c r="L103" s="440"/>
      <c r="M103" s="292"/>
      <c r="N103" s="406"/>
      <c r="O103" s="407" t="s">
        <v>75</v>
      </c>
      <c r="P103" s="408" t="s">
        <v>75</v>
      </c>
      <c r="Q103" s="407" t="s">
        <v>75</v>
      </c>
      <c r="R103" s="408" t="s">
        <v>75</v>
      </c>
      <c r="S103" s="296"/>
      <c r="T103" s="291"/>
      <c r="U103" s="296"/>
      <c r="V103" s="297"/>
      <c r="W103" s="377"/>
      <c r="X103" s="194"/>
    </row>
    <row r="104" customFormat="false" ht="15.75" hidden="false" customHeight="true" outlineLevel="0" collapsed="false">
      <c r="B104" s="325"/>
      <c r="C104" s="326"/>
      <c r="D104" s="378"/>
      <c r="E104" s="401" t="s">
        <v>142</v>
      </c>
      <c r="F104" s="402" t="s">
        <v>138</v>
      </c>
      <c r="G104" s="438"/>
      <c r="H104" s="439"/>
      <c r="I104" s="292"/>
      <c r="J104" s="440"/>
      <c r="K104" s="292"/>
      <c r="L104" s="440"/>
      <c r="M104" s="292"/>
      <c r="N104" s="406"/>
      <c r="O104" s="407" t="s">
        <v>75</v>
      </c>
      <c r="P104" s="408" t="s">
        <v>75</v>
      </c>
      <c r="Q104" s="407" t="s">
        <v>75</v>
      </c>
      <c r="R104" s="408" t="s">
        <v>75</v>
      </c>
      <c r="S104" s="296"/>
      <c r="T104" s="291"/>
      <c r="U104" s="296"/>
      <c r="V104" s="297"/>
      <c r="W104" s="377"/>
      <c r="X104" s="194"/>
    </row>
    <row r="105" customFormat="false" ht="15.75" hidden="false" customHeight="true" outlineLevel="0" collapsed="false">
      <c r="B105" s="325"/>
      <c r="C105" s="326"/>
      <c r="D105" s="378"/>
      <c r="E105" s="401" t="s">
        <v>143</v>
      </c>
      <c r="F105" s="402"/>
      <c r="G105" s="438"/>
      <c r="H105" s="439"/>
      <c r="I105" s="292" t="e">
        <f aca="false">J105/G105</f>
        <v>#DIV/0!</v>
      </c>
      <c r="J105" s="440"/>
      <c r="K105" s="292" t="e">
        <f aca="false">L105/G105</f>
        <v>#DIV/0!</v>
      </c>
      <c r="L105" s="440"/>
      <c r="M105" s="292" t="e">
        <f aca="false">IF(N105="-","-",N105/L105)</f>
        <v>#DIV/0!</v>
      </c>
      <c r="N105" s="406"/>
      <c r="O105" s="407" t="s">
        <v>75</v>
      </c>
      <c r="P105" s="408" t="s">
        <v>75</v>
      </c>
      <c r="Q105" s="407" t="s">
        <v>75</v>
      </c>
      <c r="R105" s="408" t="s">
        <v>75</v>
      </c>
      <c r="S105" s="296"/>
      <c r="T105" s="291"/>
      <c r="U105" s="296"/>
      <c r="V105" s="297"/>
      <c r="W105" s="377"/>
      <c r="X105" s="194"/>
    </row>
    <row r="106" customFormat="false" ht="15.75" hidden="false" customHeight="true" outlineLevel="0" collapsed="false">
      <c r="B106" s="325"/>
      <c r="C106" s="326"/>
      <c r="D106" s="378"/>
      <c r="E106" s="401" t="s">
        <v>144</v>
      </c>
      <c r="F106" s="402"/>
      <c r="G106" s="438"/>
      <c r="H106" s="439"/>
      <c r="I106" s="292" t="e">
        <f aca="false">J106/G106</f>
        <v>#DIV/0!</v>
      </c>
      <c r="J106" s="440"/>
      <c r="K106" s="292" t="e">
        <f aca="false">L106/G106</f>
        <v>#DIV/0!</v>
      </c>
      <c r="L106" s="440"/>
      <c r="M106" s="292" t="e">
        <f aca="false">IF(N106="-","-",N106/L106)</f>
        <v>#DIV/0!</v>
      </c>
      <c r="N106" s="406"/>
      <c r="O106" s="407" t="s">
        <v>75</v>
      </c>
      <c r="P106" s="408" t="s">
        <v>75</v>
      </c>
      <c r="Q106" s="407" t="s">
        <v>75</v>
      </c>
      <c r="R106" s="408" t="s">
        <v>75</v>
      </c>
      <c r="S106" s="296"/>
      <c r="T106" s="291"/>
      <c r="U106" s="296"/>
      <c r="V106" s="297"/>
      <c r="W106" s="377"/>
      <c r="X106" s="194"/>
    </row>
    <row r="107" customFormat="false" ht="15.75" hidden="false" customHeight="true" outlineLevel="0" collapsed="false">
      <c r="B107" s="325"/>
      <c r="C107" s="326"/>
      <c r="D107" s="378"/>
      <c r="E107" s="401" t="s">
        <v>145</v>
      </c>
      <c r="F107" s="402" t="s">
        <v>138</v>
      </c>
      <c r="G107" s="438"/>
      <c r="H107" s="439"/>
      <c r="I107" s="292" t="e">
        <f aca="false">J107/G107</f>
        <v>#DIV/0!</v>
      </c>
      <c r="J107" s="440"/>
      <c r="K107" s="292" t="e">
        <f aca="false">L107/G107</f>
        <v>#DIV/0!</v>
      </c>
      <c r="L107" s="440"/>
      <c r="M107" s="292" t="e">
        <f aca="false">IF(N107="-","-",N107/L107)</f>
        <v>#DIV/0!</v>
      </c>
      <c r="N107" s="406"/>
      <c r="O107" s="407" t="s">
        <v>75</v>
      </c>
      <c r="P107" s="408" t="s">
        <v>75</v>
      </c>
      <c r="Q107" s="407" t="s">
        <v>75</v>
      </c>
      <c r="R107" s="408" t="s">
        <v>75</v>
      </c>
      <c r="S107" s="296"/>
      <c r="T107" s="291"/>
      <c r="U107" s="296"/>
      <c r="V107" s="297"/>
      <c r="W107" s="377"/>
      <c r="X107" s="194"/>
    </row>
    <row r="108" customFormat="false" ht="15.75" hidden="false" customHeight="true" outlineLevel="0" collapsed="false">
      <c r="B108" s="325"/>
      <c r="C108" s="326"/>
      <c r="D108" s="378"/>
      <c r="E108" s="401" t="s">
        <v>146</v>
      </c>
      <c r="F108" s="402" t="s">
        <v>138</v>
      </c>
      <c r="G108" s="438"/>
      <c r="H108" s="439"/>
      <c r="I108" s="292" t="e">
        <f aca="false">J108/G108</f>
        <v>#DIV/0!</v>
      </c>
      <c r="J108" s="440"/>
      <c r="K108" s="292" t="e">
        <f aca="false">L108/G108</f>
        <v>#DIV/0!</v>
      </c>
      <c r="L108" s="440"/>
      <c r="M108" s="292" t="e">
        <f aca="false">IF(N108="-","-",N108/L108)</f>
        <v>#DIV/0!</v>
      </c>
      <c r="N108" s="406"/>
      <c r="O108" s="407" t="s">
        <v>75</v>
      </c>
      <c r="P108" s="408" t="s">
        <v>75</v>
      </c>
      <c r="Q108" s="407" t="s">
        <v>75</v>
      </c>
      <c r="R108" s="408" t="s">
        <v>75</v>
      </c>
      <c r="S108" s="296"/>
      <c r="T108" s="291"/>
      <c r="U108" s="296"/>
      <c r="V108" s="297"/>
      <c r="W108" s="377"/>
      <c r="X108" s="194"/>
    </row>
    <row r="109" customFormat="false" ht="15.75" hidden="false" customHeight="true" outlineLevel="0" collapsed="false">
      <c r="B109" s="325"/>
      <c r="C109" s="326"/>
      <c r="D109" s="378"/>
      <c r="E109" s="409"/>
      <c r="F109" s="410"/>
      <c r="G109" s="441"/>
      <c r="H109" s="442"/>
      <c r="I109" s="292" t="e">
        <f aca="false">J109/G109</f>
        <v>#DIV/0!</v>
      </c>
      <c r="J109" s="443"/>
      <c r="K109" s="292" t="e">
        <f aca="false">L109/G109</f>
        <v>#DIV/0!</v>
      </c>
      <c r="L109" s="443"/>
      <c r="M109" s="292" t="e">
        <f aca="false">IF(N109="-","-",N109/L109)</f>
        <v>#DIV/0!</v>
      </c>
      <c r="N109" s="411"/>
      <c r="O109" s="412"/>
      <c r="P109" s="413"/>
      <c r="Q109" s="412"/>
      <c r="R109" s="413"/>
      <c r="S109" s="414"/>
      <c r="T109" s="415"/>
      <c r="U109" s="414"/>
      <c r="V109" s="416"/>
      <c r="W109" s="377"/>
      <c r="X109" s="194"/>
    </row>
    <row r="110" customFormat="false" ht="15.75" hidden="false" customHeight="true" outlineLevel="0" collapsed="false">
      <c r="B110" s="325"/>
      <c r="C110" s="326"/>
      <c r="D110" s="378"/>
      <c r="E110" s="409"/>
      <c r="F110" s="410"/>
      <c r="G110" s="441"/>
      <c r="H110" s="442"/>
      <c r="I110" s="292" t="e">
        <f aca="false">J110/G110</f>
        <v>#DIV/0!</v>
      </c>
      <c r="J110" s="443"/>
      <c r="K110" s="292" t="e">
        <f aca="false">L110/G110</f>
        <v>#DIV/0!</v>
      </c>
      <c r="L110" s="443"/>
      <c r="M110" s="292" t="e">
        <f aca="false">IF(N110="-","-",N110/L110)</f>
        <v>#DIV/0!</v>
      </c>
      <c r="N110" s="411"/>
      <c r="O110" s="412"/>
      <c r="P110" s="413"/>
      <c r="Q110" s="412"/>
      <c r="R110" s="413"/>
      <c r="S110" s="414"/>
      <c r="T110" s="415"/>
      <c r="U110" s="414"/>
      <c r="V110" s="416"/>
      <c r="W110" s="377"/>
      <c r="X110" s="194"/>
    </row>
    <row r="111" customFormat="false" ht="15.75" hidden="false" customHeight="true" outlineLevel="0" collapsed="false">
      <c r="B111" s="325"/>
      <c r="C111" s="326"/>
      <c r="D111" s="378"/>
      <c r="E111" s="420" t="s">
        <v>147</v>
      </c>
      <c r="F111" s="421" t="s">
        <v>138</v>
      </c>
      <c r="G111" s="422"/>
      <c r="H111" s="423"/>
      <c r="I111" s="302"/>
      <c r="J111" s="424"/>
      <c r="K111" s="302"/>
      <c r="L111" s="424"/>
      <c r="M111" s="302"/>
      <c r="N111" s="425"/>
      <c r="O111" s="426" t="s">
        <v>75</v>
      </c>
      <c r="P111" s="427" t="s">
        <v>75</v>
      </c>
      <c r="Q111" s="426" t="s">
        <v>75</v>
      </c>
      <c r="R111" s="427" t="s">
        <v>75</v>
      </c>
      <c r="S111" s="306"/>
      <c r="T111" s="301"/>
      <c r="U111" s="306"/>
      <c r="V111" s="307"/>
      <c r="W111" s="377"/>
      <c r="X111" s="194"/>
    </row>
    <row r="112" customFormat="false" ht="16.5" hidden="false" customHeight="false" outlineLevel="0" collapsed="false">
      <c r="B112" s="325"/>
      <c r="C112" s="326"/>
      <c r="D112" s="326" t="s">
        <v>76</v>
      </c>
      <c r="E112" s="330"/>
      <c r="F112" s="331"/>
      <c r="G112" s="332" t="n">
        <f aca="false">SUM(G100:G111)</f>
        <v>0</v>
      </c>
      <c r="H112" s="333" t="n">
        <f aca="false">SUM(H100:H111)</f>
        <v>0</v>
      </c>
      <c r="I112" s="218" t="e">
        <f aca="false">J112/G112</f>
        <v>#DIV/0!</v>
      </c>
      <c r="J112" s="533" t="n">
        <f aca="false">SUM(J100:J111)</f>
        <v>0</v>
      </c>
      <c r="K112" s="317" t="e">
        <f aca="false">L112/G112</f>
        <v>#DIV/0!</v>
      </c>
      <c r="L112" s="533" t="n">
        <f aca="false">SUM(L100:L111)</f>
        <v>0</v>
      </c>
      <c r="M112" s="218" t="e">
        <f aca="false">N112/L112</f>
        <v>#DIV/0!</v>
      </c>
      <c r="N112" s="533" t="n">
        <f aca="false">SUM(N100:N111)</f>
        <v>0</v>
      </c>
      <c r="O112" s="534"/>
      <c r="P112" s="535"/>
      <c r="Q112" s="534"/>
      <c r="R112" s="535"/>
      <c r="S112" s="534"/>
      <c r="T112" s="535"/>
      <c r="U112" s="534"/>
      <c r="V112" s="536"/>
      <c r="W112" s="377"/>
      <c r="X112" s="194"/>
      <c r="Y112" s="194"/>
    </row>
    <row r="113" s="171" customFormat="true" ht="21" hidden="false" customHeight="true" outlineLevel="0" collapsed="false">
      <c r="A113" s="22"/>
      <c r="B113" s="340" t="s">
        <v>148</v>
      </c>
      <c r="C113" s="341"/>
      <c r="D113" s="341" t="n">
        <f aca="false">SUM(D45:D111)</f>
        <v>82</v>
      </c>
      <c r="E113" s="445" t="n">
        <f aca="false">COUNT(G45:G52,G62:G68,G70:G79,G84:G92,G94:G98,G100:G111)</f>
        <v>5</v>
      </c>
      <c r="F113" s="343" t="n">
        <f aca="false">COUNT(J45:J111)</f>
        <v>11</v>
      </c>
      <c r="G113" s="537" t="n">
        <f aca="false">G53+G69+G80+G93+G99+G112</f>
        <v>1614</v>
      </c>
      <c r="H113" s="452" t="n">
        <f aca="false">H53+H69+H80+H93+H99+H112</f>
        <v>920</v>
      </c>
      <c r="I113" s="538" t="n">
        <f aca="false">J113/G113</f>
        <v>0.444237918215613</v>
      </c>
      <c r="J113" s="539" t="n">
        <f aca="false">J53+J69+J80+J93+J99+J112</f>
        <v>717</v>
      </c>
      <c r="K113" s="538" t="n">
        <f aca="false">L113/G113</f>
        <v>0.382280049566295</v>
      </c>
      <c r="L113" s="539" t="n">
        <f aca="false">L53+L69+L80+L93+L99+L112</f>
        <v>617</v>
      </c>
      <c r="M113" s="540" t="n">
        <f aca="false">N113/L113</f>
        <v>0</v>
      </c>
      <c r="N113" s="539" t="n">
        <f aca="false">N53+N69+N80+N93+N99+N112</f>
        <v>0</v>
      </c>
      <c r="O113" s="451"/>
      <c r="P113" s="452"/>
      <c r="Q113" s="451"/>
      <c r="R113" s="452"/>
      <c r="S113" s="451" t="n">
        <f aca="false">S53+S69+S80+S93+S99</f>
        <v>0</v>
      </c>
      <c r="T113" s="452" t="n">
        <f aca="false">T53+T69+T80+T93+T99</f>
        <v>0</v>
      </c>
      <c r="U113" s="451" t="n">
        <f aca="false">U53+U69+U80+U93+U99</f>
        <v>0</v>
      </c>
      <c r="V113" s="453" t="n">
        <f aca="false">V53+V69+V80+V93+V99</f>
        <v>0</v>
      </c>
      <c r="W113" s="541"/>
      <c r="X113" s="353"/>
      <c r="Y113" s="353"/>
    </row>
    <row r="114" s="171" customFormat="true" ht="21" hidden="false" customHeight="true" outlineLevel="0" collapsed="false">
      <c r="A114" s="22"/>
      <c r="B114" s="340" t="s">
        <v>149</v>
      </c>
      <c r="C114" s="341"/>
      <c r="D114" s="341" t="n">
        <f aca="false">D113+D44</f>
        <v>113</v>
      </c>
      <c r="E114" s="445" t="n">
        <f aca="false">E44+E113</f>
        <v>6</v>
      </c>
      <c r="F114" s="343" t="n">
        <f aca="false">F113+F44</f>
        <v>13</v>
      </c>
      <c r="G114" s="537" t="n">
        <f aca="false">G44+G113</f>
        <v>1614</v>
      </c>
      <c r="H114" s="452" t="n">
        <f aca="false">H44+H113</f>
        <v>920</v>
      </c>
      <c r="I114" s="538" t="n">
        <f aca="false">J114/G114</f>
        <v>0.444237918215613</v>
      </c>
      <c r="J114" s="539" t="n">
        <f aca="false">J44+J113</f>
        <v>717</v>
      </c>
      <c r="K114" s="538" t="n">
        <f aca="false">L114/G114</f>
        <v>0.382280049566295</v>
      </c>
      <c r="L114" s="539" t="n">
        <f aca="false">L44+L113</f>
        <v>617</v>
      </c>
      <c r="M114" s="540" t="n">
        <f aca="false">N114/L114</f>
        <v>0</v>
      </c>
      <c r="N114" s="539" t="n">
        <f aca="false">N44+N113</f>
        <v>0</v>
      </c>
      <c r="O114" s="451"/>
      <c r="P114" s="452"/>
      <c r="Q114" s="451"/>
      <c r="R114" s="452"/>
      <c r="S114" s="451" t="n">
        <f aca="false">S113</f>
        <v>0</v>
      </c>
      <c r="T114" s="452" t="n">
        <f aca="false">T113</f>
        <v>0</v>
      </c>
      <c r="U114" s="451" t="n">
        <f aca="false">U113</f>
        <v>0</v>
      </c>
      <c r="V114" s="453" t="n">
        <f aca="false">V113</f>
        <v>0</v>
      </c>
      <c r="W114" s="541"/>
    </row>
    <row r="115" customFormat="false" ht="15" hidden="false" customHeight="false" outlineLevel="0" collapsed="false">
      <c r="B115" s="354"/>
      <c r="C115" s="355"/>
      <c r="D115" s="355"/>
      <c r="E115" s="354"/>
      <c r="F115" s="355"/>
      <c r="G115" s="542"/>
      <c r="H115" s="542"/>
      <c r="I115" s="543"/>
      <c r="J115" s="543"/>
      <c r="K115" s="543"/>
      <c r="L115" s="543"/>
      <c r="M115" s="544" t="s">
        <v>150</v>
      </c>
      <c r="N115" s="544"/>
      <c r="O115" s="542"/>
      <c r="P115" s="542"/>
      <c r="Q115" s="542"/>
      <c r="R115" s="542"/>
      <c r="S115" s="542"/>
      <c r="T115" s="542"/>
      <c r="U115" s="542"/>
      <c r="V115" s="542"/>
    </row>
    <row r="116" customFormat="false" ht="15" hidden="false" customHeight="false" outlineLevel="0" collapsed="false">
      <c r="E116" s="359" t="s">
        <v>151</v>
      </c>
      <c r="F116" s="360"/>
    </row>
    <row r="117" customFormat="false" ht="15" hidden="false" customHeight="false" outlineLevel="0" collapsed="false">
      <c r="E117" s="1" t="s">
        <v>70</v>
      </c>
      <c r="F117" s="2" t="n">
        <f aca="false">COUNTIF(F$5:F$111,E117)</f>
        <v>33</v>
      </c>
    </row>
    <row r="118" customFormat="false" ht="15" hidden="false" customHeight="false" outlineLevel="0" collapsed="false">
      <c r="E118" s="1" t="s">
        <v>138</v>
      </c>
      <c r="F118" s="2" t="n">
        <f aca="false">COUNTIF(F$5:F$111,E118)</f>
        <v>8</v>
      </c>
    </row>
    <row r="119" customFormat="false" ht="15" hidden="false" customHeight="false" outlineLevel="0" collapsed="false">
      <c r="E119" s="1" t="s">
        <v>102</v>
      </c>
      <c r="F119" s="2" t="n">
        <f aca="false">COUNTIF(F$5:F$111,E119)</f>
        <v>21</v>
      </c>
    </row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</sheetData>
  <mergeCells count="47">
    <mergeCell ref="B2:B4"/>
    <mergeCell ref="C2:C4"/>
    <mergeCell ref="D2:D4"/>
    <mergeCell ref="E2:E4"/>
    <mergeCell ref="F2:F4"/>
    <mergeCell ref="G2:H2"/>
    <mergeCell ref="I2:I4"/>
    <mergeCell ref="J2:J4"/>
    <mergeCell ref="K2:K4"/>
    <mergeCell ref="L2:L4"/>
    <mergeCell ref="M2:M4"/>
    <mergeCell ref="N2:N4"/>
    <mergeCell ref="O2:P2"/>
    <mergeCell ref="Q2:R2"/>
    <mergeCell ref="S2:T2"/>
    <mergeCell ref="U2:V2"/>
    <mergeCell ref="B7:B20"/>
    <mergeCell ref="C7:C20"/>
    <mergeCell ref="D7:D19"/>
    <mergeCell ref="B21:B32"/>
    <mergeCell ref="C21:C32"/>
    <mergeCell ref="D21:D31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B62:B69"/>
    <mergeCell ref="C62:C69"/>
    <mergeCell ref="D62:D68"/>
    <mergeCell ref="B70:B80"/>
    <mergeCell ref="C70:C80"/>
    <mergeCell ref="D70:D79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M115:N115"/>
  </mergeCells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true"/>
  </sheetPr>
  <dimension ref="A1:AG1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47" activePane="bottomRight" state="frozen"/>
      <selection pane="topLeft" activeCell="A1" activeCellId="0" sqref="A1"/>
      <selection pane="topRight" activeCell="G1" activeCellId="0" sqref="G1"/>
      <selection pane="bottomLeft" activeCell="A47" activeCellId="0" sqref="A47"/>
      <selection pane="bottomRight" activeCell="C2" activeCellId="0" sqref="C2"/>
    </sheetView>
  </sheetViews>
  <sheetFormatPr defaultColWidth="11.43359375" defaultRowHeight="15" zeroHeight="false" outlineLevelRow="0" outlineLevelCol="0"/>
  <cols>
    <col collapsed="false" customWidth="true" hidden="false" outlineLevel="0" max="1" min="1" style="24" width="0.42"/>
    <col collapsed="false" customWidth="true" hidden="false" outlineLevel="0" max="2" min="2" style="1" width="34.14"/>
    <col collapsed="false" customWidth="true" hidden="false" outlineLevel="0" max="3" min="3" style="2" width="11.57"/>
    <col collapsed="false" customWidth="true" hidden="false" outlineLevel="0" max="4" min="4" style="2" width="8.42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true" hidden="false" outlineLevel="0" max="12" min="7" style="2" width="7.57"/>
    <col collapsed="false" customWidth="true" hidden="false" outlineLevel="0" max="15" min="13" style="47" width="7.57"/>
    <col collapsed="false" customWidth="true" hidden="false" outlineLevel="0" max="18" min="16" style="2" width="7.57"/>
    <col collapsed="false" customWidth="false" hidden="false" outlineLevel="0" max="19" min="19" style="46" width="11.42"/>
    <col collapsed="false" customWidth="false" hidden="false" outlineLevel="0" max="20" min="20" style="47" width="11.42"/>
    <col collapsed="false" customWidth="false" hidden="false" outlineLevel="0" max="21" min="21" style="46" width="11.42"/>
    <col collapsed="false" customWidth="false" hidden="false" outlineLevel="0" max="22" min="22" style="47" width="11.42"/>
    <col collapsed="false" customWidth="true" hidden="false" outlineLevel="0" max="30" min="23" style="2" width="7.57"/>
    <col collapsed="false" customWidth="true" hidden="false" outlineLevel="0" max="31" min="31" style="2" width="5.28"/>
    <col collapsed="false" customWidth="false" hidden="false" outlineLevel="0" max="1024" min="32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23"/>
      <c r="J1" s="23"/>
      <c r="K1" s="23"/>
      <c r="L1" s="23"/>
      <c r="M1" s="49"/>
      <c r="N1" s="49"/>
      <c r="O1" s="49"/>
      <c r="P1" s="23"/>
      <c r="Q1" s="23"/>
      <c r="R1" s="23"/>
      <c r="S1" s="48"/>
      <c r="T1" s="49"/>
      <c r="U1" s="48"/>
      <c r="V1" s="49"/>
      <c r="W1" s="23"/>
      <c r="X1" s="23"/>
      <c r="Y1" s="23"/>
      <c r="Z1" s="23"/>
      <c r="AA1" s="23"/>
      <c r="AB1" s="23"/>
      <c r="AC1" s="23"/>
      <c r="AD1" s="23"/>
      <c r="AE1" s="23"/>
    </row>
    <row r="2" s="63" customFormat="true" ht="30" hidden="false" customHeight="true" outlineLevel="0" collapsed="false">
      <c r="A2" s="50"/>
      <c r="B2" s="51" t="s">
        <v>49</v>
      </c>
      <c r="C2" s="52" t="s">
        <v>50</v>
      </c>
      <c r="D2" s="52" t="s">
        <v>160</v>
      </c>
      <c r="E2" s="53" t="s">
        <v>52</v>
      </c>
      <c r="F2" s="54" t="s">
        <v>53</v>
      </c>
      <c r="G2" s="55" t="s">
        <v>54</v>
      </c>
      <c r="H2" s="55"/>
      <c r="I2" s="55"/>
      <c r="J2" s="55"/>
      <c r="K2" s="55"/>
      <c r="L2" s="55"/>
      <c r="M2" s="545" t="s">
        <v>161</v>
      </c>
      <c r="N2" s="545"/>
      <c r="O2" s="545"/>
      <c r="P2" s="545"/>
      <c r="Q2" s="545"/>
      <c r="R2" s="545"/>
      <c r="S2" s="56" t="s">
        <v>57</v>
      </c>
      <c r="T2" s="361" t="s">
        <v>58</v>
      </c>
      <c r="U2" s="56" t="s">
        <v>59</v>
      </c>
      <c r="V2" s="361" t="s">
        <v>60</v>
      </c>
      <c r="W2" s="60" t="s">
        <v>61</v>
      </c>
      <c r="X2" s="60"/>
      <c r="Y2" s="60" t="s">
        <v>62</v>
      </c>
      <c r="Z2" s="60"/>
      <c r="AA2" s="60" t="s">
        <v>63</v>
      </c>
      <c r="AB2" s="60"/>
      <c r="AC2" s="61" t="s">
        <v>64</v>
      </c>
      <c r="AD2" s="61"/>
      <c r="AE2" s="362"/>
    </row>
    <row r="3" s="63" customFormat="true" ht="30" hidden="false" customHeight="true" outlineLevel="0" collapsed="false">
      <c r="A3" s="50"/>
      <c r="B3" s="51"/>
      <c r="C3" s="52"/>
      <c r="D3" s="52"/>
      <c r="E3" s="53"/>
      <c r="F3" s="54"/>
      <c r="G3" s="546" t="s">
        <v>162</v>
      </c>
      <c r="H3" s="546"/>
      <c r="I3" s="546"/>
      <c r="J3" s="547" t="s">
        <v>66</v>
      </c>
      <c r="K3" s="547"/>
      <c r="L3" s="547"/>
      <c r="M3" s="548" t="s">
        <v>163</v>
      </c>
      <c r="N3" s="548"/>
      <c r="O3" s="548"/>
      <c r="P3" s="547" t="s">
        <v>164</v>
      </c>
      <c r="Q3" s="547"/>
      <c r="R3" s="547"/>
      <c r="S3" s="56"/>
      <c r="T3" s="361"/>
      <c r="U3" s="56"/>
      <c r="V3" s="361"/>
      <c r="W3" s="66"/>
      <c r="X3" s="65"/>
      <c r="Y3" s="66"/>
      <c r="Z3" s="65"/>
      <c r="AA3" s="66"/>
      <c r="AB3" s="65"/>
      <c r="AC3" s="67"/>
      <c r="AD3" s="68"/>
      <c r="AE3" s="362"/>
    </row>
    <row r="4" s="63" customFormat="true" ht="30" hidden="false" customHeight="true" outlineLevel="0" collapsed="false">
      <c r="A4" s="50"/>
      <c r="B4" s="51"/>
      <c r="C4" s="52"/>
      <c r="D4" s="52"/>
      <c r="E4" s="53"/>
      <c r="F4" s="54"/>
      <c r="G4" s="69" t="n">
        <v>2020</v>
      </c>
      <c r="H4" s="549" t="n">
        <v>2021</v>
      </c>
      <c r="I4" s="70" t="n">
        <v>2022</v>
      </c>
      <c r="J4" s="71" t="n">
        <v>2020</v>
      </c>
      <c r="K4" s="549" t="n">
        <v>2021</v>
      </c>
      <c r="L4" s="70" t="n">
        <v>2022</v>
      </c>
      <c r="M4" s="550" t="n">
        <v>2020</v>
      </c>
      <c r="N4" s="551" t="n">
        <v>2021</v>
      </c>
      <c r="O4" s="552" t="n">
        <v>2022</v>
      </c>
      <c r="P4" s="71" t="n">
        <v>2020</v>
      </c>
      <c r="Q4" s="549" t="n">
        <v>2021</v>
      </c>
      <c r="R4" s="70" t="n">
        <v>2022</v>
      </c>
      <c r="S4" s="56"/>
      <c r="T4" s="361"/>
      <c r="U4" s="56"/>
      <c r="V4" s="361"/>
      <c r="W4" s="71" t="s">
        <v>65</v>
      </c>
      <c r="X4" s="70" t="s">
        <v>66</v>
      </c>
      <c r="Y4" s="71" t="s">
        <v>65</v>
      </c>
      <c r="Z4" s="70" t="s">
        <v>66</v>
      </c>
      <c r="AA4" s="71" t="s">
        <v>65</v>
      </c>
      <c r="AB4" s="70" t="s">
        <v>66</v>
      </c>
      <c r="AC4" s="71" t="s">
        <v>65</v>
      </c>
      <c r="AD4" s="72" t="s">
        <v>66</v>
      </c>
      <c r="AE4" s="362"/>
    </row>
    <row r="5" customFormat="false" ht="15.75" hidden="false" customHeight="false" outlineLevel="0" collapsed="false">
      <c r="B5" s="172" t="s">
        <v>152</v>
      </c>
      <c r="C5" s="173" t="s">
        <v>68</v>
      </c>
      <c r="D5" s="363" t="n">
        <v>2</v>
      </c>
      <c r="E5" s="364" t="s">
        <v>69</v>
      </c>
      <c r="F5" s="365" t="s">
        <v>70</v>
      </c>
      <c r="G5" s="553" t="n">
        <f aca="false">'2020'!G5</f>
        <v>63</v>
      </c>
      <c r="H5" s="554" t="n">
        <f aca="false">'2021'!G5</f>
        <v>102</v>
      </c>
      <c r="I5" s="555" t="n">
        <f aca="false">'2022'!G5</f>
        <v>0</v>
      </c>
      <c r="J5" s="556" t="n">
        <f aca="false">'2020'!H5</f>
        <v>29</v>
      </c>
      <c r="K5" s="554" t="n">
        <f aca="false">'2021'!H5</f>
        <v>94</v>
      </c>
      <c r="L5" s="555" t="n">
        <f aca="false">'2022'!H5</f>
        <v>0</v>
      </c>
      <c r="M5" s="370" t="n">
        <f aca="false">IF(G5=0,0,IF(P5=0,0,P5/G5))</f>
        <v>0.0317460317460317</v>
      </c>
      <c r="N5" s="368" t="n">
        <f aca="false">IF(H5=0,0,IF(Q5=0,0,Q5/H5))</f>
        <v>0.0196078431372549</v>
      </c>
      <c r="O5" s="557" t="n">
        <f aca="false">IF(I5=0,0,IF(R5=0,0,R5/I5))</f>
        <v>0</v>
      </c>
      <c r="P5" s="556" t="n">
        <f aca="false">'2020'!J5</f>
        <v>2</v>
      </c>
      <c r="Q5" s="554" t="n">
        <f aca="false">'2021'!J5</f>
        <v>2</v>
      </c>
      <c r="R5" s="555" t="n">
        <f aca="false">'2022'!J5</f>
        <v>0</v>
      </c>
      <c r="S5" s="370" t="n">
        <f aca="false">T5/G5</f>
        <v>0.285714285714286</v>
      </c>
      <c r="T5" s="369" t="n">
        <v>18</v>
      </c>
      <c r="U5" s="370" t="n">
        <f aca="false">IF(V5="-","-",V5/T5)</f>
        <v>0.111111111111111</v>
      </c>
      <c r="V5" s="371" t="n">
        <v>2</v>
      </c>
      <c r="W5" s="372" t="s">
        <v>75</v>
      </c>
      <c r="X5" s="373" t="s">
        <v>75</v>
      </c>
      <c r="Y5" s="372" t="s">
        <v>75</v>
      </c>
      <c r="Z5" s="373" t="s">
        <v>75</v>
      </c>
      <c r="AA5" s="374" t="s">
        <v>75</v>
      </c>
      <c r="AB5" s="375" t="s">
        <v>75</v>
      </c>
      <c r="AC5" s="374" t="s">
        <v>75</v>
      </c>
      <c r="AD5" s="376" t="s">
        <v>75</v>
      </c>
      <c r="AE5" s="377" t="s">
        <v>153</v>
      </c>
      <c r="AG5" s="1" t="n">
        <f aca="false">IF(G5="","",1)</f>
        <v>1</v>
      </c>
    </row>
    <row r="6" customFormat="false" ht="15.75" hidden="false" customHeight="false" outlineLevel="0" collapsed="false">
      <c r="B6" s="266" t="s">
        <v>71</v>
      </c>
      <c r="C6" s="213" t="s">
        <v>68</v>
      </c>
      <c r="D6" s="378" t="n">
        <v>2</v>
      </c>
      <c r="E6" s="379" t="s">
        <v>72</v>
      </c>
      <c r="F6" s="380" t="s">
        <v>70</v>
      </c>
      <c r="G6" s="558" t="n">
        <f aca="false">'2020'!G21</f>
        <v>31</v>
      </c>
      <c r="H6" s="559" t="n">
        <f aca="false">'2021'!G21</f>
        <v>76</v>
      </c>
      <c r="I6" s="560" t="n">
        <f aca="false">'2022'!G21</f>
        <v>0</v>
      </c>
      <c r="J6" s="561" t="n">
        <f aca="false">'2020'!H21</f>
        <v>23</v>
      </c>
      <c r="K6" s="559" t="n">
        <f aca="false">'2021'!H21</f>
        <v>50</v>
      </c>
      <c r="L6" s="560" t="n">
        <f aca="false">'2022'!H21</f>
        <v>0</v>
      </c>
      <c r="M6" s="317" t="n">
        <f aca="false">IF(G6=0,0,IF(P6=0,0,P6/G6))</f>
        <v>0.32258064516129</v>
      </c>
      <c r="N6" s="319" t="n">
        <f aca="false">IF(H6=0,0,IF(Q6=0,0,Q6/H6))</f>
        <v>0.223684210526316</v>
      </c>
      <c r="O6" s="562" t="n">
        <f aca="false">IF(I6=0,0,IF(R6=0,0,R6/I6))</f>
        <v>0</v>
      </c>
      <c r="P6" s="561" t="n">
        <f aca="false">'2020'!J21</f>
        <v>10</v>
      </c>
      <c r="Q6" s="559" t="n">
        <f aca="false">'2021'!J21</f>
        <v>17</v>
      </c>
      <c r="R6" s="560" t="n">
        <f aca="false">'2022'!J21</f>
        <v>0</v>
      </c>
      <c r="S6" s="317" t="n">
        <f aca="false">T6/G6</f>
        <v>0.580645161290323</v>
      </c>
      <c r="T6" s="383" t="n">
        <v>18</v>
      </c>
      <c r="U6" s="317" t="n">
        <f aca="false">IF(V6="-","-",V6/T6)</f>
        <v>0.111111111111111</v>
      </c>
      <c r="V6" s="384" t="n">
        <v>2</v>
      </c>
      <c r="W6" s="385" t="s">
        <v>75</v>
      </c>
      <c r="X6" s="386" t="s">
        <v>75</v>
      </c>
      <c r="Y6" s="385" t="s">
        <v>75</v>
      </c>
      <c r="Z6" s="386" t="s">
        <v>75</v>
      </c>
      <c r="AA6" s="321" t="s">
        <v>75</v>
      </c>
      <c r="AB6" s="316" t="s">
        <v>75</v>
      </c>
      <c r="AC6" s="321" t="s">
        <v>75</v>
      </c>
      <c r="AD6" s="322" t="s">
        <v>75</v>
      </c>
      <c r="AE6" s="377" t="s">
        <v>153</v>
      </c>
      <c r="AG6" s="1" t="n">
        <f aca="false">IF(G6="","",1)</f>
        <v>1</v>
      </c>
    </row>
    <row r="7" customFormat="false" ht="15" hidden="false" customHeight="true" outlineLevel="0" collapsed="false">
      <c r="B7" s="283" t="s">
        <v>73</v>
      </c>
      <c r="C7" s="267" t="s">
        <v>68</v>
      </c>
      <c r="D7" s="387" t="n">
        <v>9</v>
      </c>
      <c r="E7" s="388" t="s">
        <v>74</v>
      </c>
      <c r="F7" s="389" t="s">
        <v>70</v>
      </c>
      <c r="G7" s="563" t="n">
        <f aca="false">'2020'!G7</f>
        <v>0</v>
      </c>
      <c r="H7" s="564" t="n">
        <f aca="false">'2021'!G7</f>
        <v>0</v>
      </c>
      <c r="I7" s="565" t="n">
        <f aca="false">'2022'!G7</f>
        <v>0</v>
      </c>
      <c r="J7" s="566" t="n">
        <f aca="false">'2020'!H7</f>
        <v>0</v>
      </c>
      <c r="K7" s="564" t="n">
        <f aca="false">'2021'!H7</f>
        <v>0</v>
      </c>
      <c r="L7" s="565" t="n">
        <f aca="false">'2022'!H7</f>
        <v>0</v>
      </c>
      <c r="M7" s="272" t="n">
        <f aca="false">IF(G7=0,0,IF(P7=0,0,P7/G7))</f>
        <v>0</v>
      </c>
      <c r="N7" s="274" t="n">
        <f aca="false">IF(H7=0,0,IF(Q7=0,0,Q7/H7))</f>
        <v>0</v>
      </c>
      <c r="O7" s="567" t="n">
        <f aca="false">IF(I7=0,0,IF(R7=0,0,R7/I7))</f>
        <v>0</v>
      </c>
      <c r="P7" s="566" t="n">
        <f aca="false">'2020'!J7</f>
        <v>0</v>
      </c>
      <c r="Q7" s="564" t="n">
        <f aca="false">'2021'!J7</f>
        <v>0</v>
      </c>
      <c r="R7" s="565" t="n">
        <f aca="false">'2022'!J7</f>
        <v>0</v>
      </c>
      <c r="S7" s="394" t="e">
        <f aca="false">T7/G7</f>
        <v>#DIV/0!</v>
      </c>
      <c r="T7" s="393" t="n">
        <v>28</v>
      </c>
      <c r="U7" s="394" t="str">
        <f aca="false">IF(V7="-","-",V7/T7)</f>
        <v>-</v>
      </c>
      <c r="V7" s="395" t="s">
        <v>75</v>
      </c>
      <c r="W7" s="396" t="s">
        <v>75</v>
      </c>
      <c r="X7" s="397" t="s">
        <v>75</v>
      </c>
      <c r="Y7" s="396" t="s">
        <v>75</v>
      </c>
      <c r="Z7" s="397" t="s">
        <v>75</v>
      </c>
      <c r="AA7" s="398" t="s">
        <v>75</v>
      </c>
      <c r="AB7" s="399" t="s">
        <v>75</v>
      </c>
      <c r="AC7" s="398" t="s">
        <v>75</v>
      </c>
      <c r="AD7" s="400" t="s">
        <v>75</v>
      </c>
      <c r="AE7" s="377" t="s">
        <v>153</v>
      </c>
      <c r="AG7" s="1" t="n">
        <f aca="false">IF(G7="","",1)</f>
        <v>1</v>
      </c>
    </row>
    <row r="8" customFormat="false" ht="15" hidden="false" customHeight="true" outlineLevel="0" collapsed="false">
      <c r="B8" s="283"/>
      <c r="C8" s="267"/>
      <c r="D8" s="387"/>
      <c r="E8" s="401" t="s">
        <v>74</v>
      </c>
      <c r="F8" s="402" t="s">
        <v>70</v>
      </c>
      <c r="G8" s="568" t="n">
        <f aca="false">'2020'!G8</f>
        <v>0</v>
      </c>
      <c r="H8" s="569" t="n">
        <f aca="false">'2021'!G8</f>
        <v>0</v>
      </c>
      <c r="I8" s="570" t="n">
        <f aca="false">'2022'!G8</f>
        <v>0</v>
      </c>
      <c r="J8" s="571" t="n">
        <f aca="false">'2020'!H8</f>
        <v>0</v>
      </c>
      <c r="K8" s="569" t="n">
        <f aca="false">'2021'!H8</f>
        <v>0</v>
      </c>
      <c r="L8" s="570" t="n">
        <f aca="false">'2022'!H8</f>
        <v>0</v>
      </c>
      <c r="M8" s="188" t="n">
        <f aca="false">IF(G8=0,0,IF(P8=0,0,P8/G8))</f>
        <v>0</v>
      </c>
      <c r="N8" s="190" t="n">
        <f aca="false">IF(H8=0,0,IF(Q8=0,0,Q8/H8))</f>
        <v>0</v>
      </c>
      <c r="O8" s="572" t="n">
        <f aca="false">IF(I8=0,0,IF(R8=0,0,R8/I8))</f>
        <v>0</v>
      </c>
      <c r="P8" s="571" t="n">
        <f aca="false">'2020'!J8</f>
        <v>0</v>
      </c>
      <c r="Q8" s="569" t="n">
        <f aca="false">'2021'!J8</f>
        <v>0</v>
      </c>
      <c r="R8" s="570" t="n">
        <f aca="false">'2022'!J8</f>
        <v>0</v>
      </c>
      <c r="S8" s="292" t="e">
        <f aca="false">T8/G8</f>
        <v>#DIV/0!</v>
      </c>
      <c r="T8" s="405" t="n">
        <v>14</v>
      </c>
      <c r="U8" s="292" t="str">
        <f aca="false">IF(V8="-","-",V8/T8)</f>
        <v>-</v>
      </c>
      <c r="V8" s="406" t="s">
        <v>75</v>
      </c>
      <c r="W8" s="407" t="s">
        <v>75</v>
      </c>
      <c r="X8" s="408" t="s">
        <v>75</v>
      </c>
      <c r="Y8" s="407" t="s">
        <v>75</v>
      </c>
      <c r="Z8" s="408" t="s">
        <v>75</v>
      </c>
      <c r="AA8" s="296" t="s">
        <v>75</v>
      </c>
      <c r="AB8" s="291" t="s">
        <v>75</v>
      </c>
      <c r="AC8" s="296" t="s">
        <v>75</v>
      </c>
      <c r="AD8" s="297" t="s">
        <v>75</v>
      </c>
      <c r="AE8" s="377" t="s">
        <v>153</v>
      </c>
      <c r="AG8" s="1" t="n">
        <f aca="false">IF(G8="","",1)</f>
        <v>1</v>
      </c>
    </row>
    <row r="9" customFormat="false" ht="15" hidden="false" customHeight="true" outlineLevel="0" collapsed="false">
      <c r="B9" s="283"/>
      <c r="C9" s="267"/>
      <c r="D9" s="387"/>
      <c r="E9" s="401" t="s">
        <v>74</v>
      </c>
      <c r="F9" s="402" t="s">
        <v>70</v>
      </c>
      <c r="G9" s="568" t="n">
        <f aca="false">'2020'!G9</f>
        <v>0</v>
      </c>
      <c r="H9" s="569" t="n">
        <f aca="false">'2021'!G9</f>
        <v>0</v>
      </c>
      <c r="I9" s="570" t="n">
        <f aca="false">'2022'!G9</f>
        <v>0</v>
      </c>
      <c r="J9" s="571" t="n">
        <f aca="false">'2020'!H9</f>
        <v>0</v>
      </c>
      <c r="K9" s="569" t="n">
        <f aca="false">'2021'!H9</f>
        <v>0</v>
      </c>
      <c r="L9" s="570" t="n">
        <f aca="false">'2022'!H9</f>
        <v>0</v>
      </c>
      <c r="M9" s="188" t="n">
        <f aca="false">IF(G9=0,0,IF(P9=0,0,P9/G9))</f>
        <v>0</v>
      </c>
      <c r="N9" s="190" t="n">
        <f aca="false">IF(H9=0,0,IF(Q9=0,0,Q9/H9))</f>
        <v>0</v>
      </c>
      <c r="O9" s="572" t="n">
        <f aca="false">IF(I9=0,0,IF(R9=0,0,R9/I9))</f>
        <v>0</v>
      </c>
      <c r="P9" s="571" t="n">
        <f aca="false">'2020'!J9</f>
        <v>0</v>
      </c>
      <c r="Q9" s="569" t="n">
        <f aca="false">'2021'!J9</f>
        <v>0</v>
      </c>
      <c r="R9" s="570" t="n">
        <f aca="false">'2022'!J9</f>
        <v>0</v>
      </c>
      <c r="S9" s="292" t="e">
        <f aca="false">T9/G9</f>
        <v>#DIV/0!</v>
      </c>
      <c r="T9" s="405" t="n">
        <v>3</v>
      </c>
      <c r="U9" s="292" t="str">
        <f aca="false">IF(V9="-","-",V9/T9)</f>
        <v>-</v>
      </c>
      <c r="V9" s="406" t="s">
        <v>75</v>
      </c>
      <c r="W9" s="407" t="s">
        <v>75</v>
      </c>
      <c r="X9" s="408" t="s">
        <v>75</v>
      </c>
      <c r="Y9" s="407" t="s">
        <v>75</v>
      </c>
      <c r="Z9" s="408" t="s">
        <v>75</v>
      </c>
      <c r="AA9" s="296" t="s">
        <v>75</v>
      </c>
      <c r="AB9" s="291" t="s">
        <v>75</v>
      </c>
      <c r="AC9" s="296" t="s">
        <v>75</v>
      </c>
      <c r="AD9" s="297" t="s">
        <v>75</v>
      </c>
      <c r="AE9" s="377" t="s">
        <v>153</v>
      </c>
      <c r="AG9" s="1" t="n">
        <f aca="false">IF(G9="","",1)</f>
        <v>1</v>
      </c>
    </row>
    <row r="10" customFormat="false" ht="15" hidden="false" customHeight="true" outlineLevel="0" collapsed="false">
      <c r="B10" s="283"/>
      <c r="C10" s="267"/>
      <c r="D10" s="387"/>
      <c r="E10" s="401" t="s">
        <v>74</v>
      </c>
      <c r="F10" s="402" t="s">
        <v>70</v>
      </c>
      <c r="G10" s="568" t="n">
        <f aca="false">'2020'!G10</f>
        <v>0</v>
      </c>
      <c r="H10" s="569" t="n">
        <f aca="false">'2021'!G10</f>
        <v>0</v>
      </c>
      <c r="I10" s="570" t="n">
        <f aca="false">'2022'!G10</f>
        <v>0</v>
      </c>
      <c r="J10" s="571" t="n">
        <f aca="false">'2020'!H10</f>
        <v>0</v>
      </c>
      <c r="K10" s="569" t="n">
        <f aca="false">'2021'!H10</f>
        <v>0</v>
      </c>
      <c r="L10" s="570" t="n">
        <f aca="false">'2022'!H10</f>
        <v>0</v>
      </c>
      <c r="M10" s="188" t="n">
        <f aca="false">IF(G10=0,0,IF(P10=0,0,P10/G10))</f>
        <v>0</v>
      </c>
      <c r="N10" s="190" t="n">
        <f aca="false">IF(H10=0,0,IF(Q10=0,0,Q10/H10))</f>
        <v>0</v>
      </c>
      <c r="O10" s="572" t="n">
        <f aca="false">IF(I10=0,0,IF(R10=0,0,R10/I10))</f>
        <v>0</v>
      </c>
      <c r="P10" s="571" t="n">
        <f aca="false">'2020'!J10</f>
        <v>0</v>
      </c>
      <c r="Q10" s="569" t="n">
        <f aca="false">'2021'!J10</f>
        <v>0</v>
      </c>
      <c r="R10" s="570" t="n">
        <f aca="false">'2022'!J10</f>
        <v>0</v>
      </c>
      <c r="S10" s="292"/>
      <c r="T10" s="405" t="n">
        <v>10</v>
      </c>
      <c r="U10" s="292"/>
      <c r="V10" s="406"/>
      <c r="W10" s="407" t="s">
        <v>75</v>
      </c>
      <c r="X10" s="408" t="s">
        <v>75</v>
      </c>
      <c r="Y10" s="407" t="s">
        <v>75</v>
      </c>
      <c r="Z10" s="408" t="s">
        <v>75</v>
      </c>
      <c r="AA10" s="296"/>
      <c r="AB10" s="291"/>
      <c r="AC10" s="296"/>
      <c r="AD10" s="297"/>
      <c r="AE10" s="377" t="s">
        <v>153</v>
      </c>
      <c r="AG10" s="1" t="n">
        <f aca="false">IF(G10="","",1)</f>
        <v>1</v>
      </c>
    </row>
    <row r="11" customFormat="false" ht="15" hidden="false" customHeight="true" outlineLevel="0" collapsed="false">
      <c r="B11" s="283"/>
      <c r="C11" s="267"/>
      <c r="D11" s="387"/>
      <c r="E11" s="401" t="s">
        <v>74</v>
      </c>
      <c r="F11" s="402" t="s">
        <v>70</v>
      </c>
      <c r="G11" s="568" t="n">
        <f aca="false">'2020'!G11</f>
        <v>0</v>
      </c>
      <c r="H11" s="569" t="n">
        <f aca="false">'2021'!G11</f>
        <v>0</v>
      </c>
      <c r="I11" s="570" t="n">
        <f aca="false">'2022'!G11</f>
        <v>0</v>
      </c>
      <c r="J11" s="571" t="n">
        <f aca="false">'2020'!H11</f>
        <v>0</v>
      </c>
      <c r="K11" s="569" t="n">
        <f aca="false">'2021'!H11</f>
        <v>0</v>
      </c>
      <c r="L11" s="570" t="n">
        <f aca="false">'2022'!H11</f>
        <v>0</v>
      </c>
      <c r="M11" s="188" t="n">
        <f aca="false">IF(G11=0,0,IF(P11=0,0,P11/G11))</f>
        <v>0</v>
      </c>
      <c r="N11" s="190" t="n">
        <f aca="false">IF(H11=0,0,IF(Q11=0,0,Q11/H11))</f>
        <v>0</v>
      </c>
      <c r="O11" s="572" t="n">
        <f aca="false">IF(I11=0,0,IF(R11=0,0,R11/I11))</f>
        <v>0</v>
      </c>
      <c r="P11" s="571" t="n">
        <f aca="false">'2020'!J11</f>
        <v>0</v>
      </c>
      <c r="Q11" s="569" t="n">
        <f aca="false">'2021'!J11</f>
        <v>0</v>
      </c>
      <c r="R11" s="570" t="n">
        <f aca="false">'2022'!J11</f>
        <v>0</v>
      </c>
      <c r="S11" s="292" t="e">
        <f aca="false">T11/G11</f>
        <v>#DIV/0!</v>
      </c>
      <c r="T11" s="405" t="n">
        <v>6</v>
      </c>
      <c r="U11" s="292" t="str">
        <f aca="false">IF(V11="-","-",V11/T11)</f>
        <v>-</v>
      </c>
      <c r="V11" s="406" t="s">
        <v>75</v>
      </c>
      <c r="W11" s="407" t="s">
        <v>75</v>
      </c>
      <c r="X11" s="408" t="s">
        <v>75</v>
      </c>
      <c r="Y11" s="407" t="s">
        <v>75</v>
      </c>
      <c r="Z11" s="408" t="s">
        <v>75</v>
      </c>
      <c r="AA11" s="296" t="s">
        <v>75</v>
      </c>
      <c r="AB11" s="291" t="s">
        <v>75</v>
      </c>
      <c r="AC11" s="296" t="s">
        <v>75</v>
      </c>
      <c r="AD11" s="297" t="s">
        <v>75</v>
      </c>
      <c r="AE11" s="377" t="s">
        <v>153</v>
      </c>
      <c r="AG11" s="1" t="n">
        <f aca="false">IF(G11="","",1)</f>
        <v>1</v>
      </c>
    </row>
    <row r="12" customFormat="false" ht="15" hidden="false" customHeight="true" outlineLevel="0" collapsed="false">
      <c r="B12" s="283"/>
      <c r="C12" s="267"/>
      <c r="D12" s="387"/>
      <c r="E12" s="401" t="s">
        <v>74</v>
      </c>
      <c r="F12" s="402" t="s">
        <v>70</v>
      </c>
      <c r="G12" s="568" t="n">
        <f aca="false">'2020'!G12</f>
        <v>0</v>
      </c>
      <c r="H12" s="569" t="n">
        <f aca="false">'2021'!G12</f>
        <v>0</v>
      </c>
      <c r="I12" s="570" t="n">
        <f aca="false">'2022'!G12</f>
        <v>0</v>
      </c>
      <c r="J12" s="571" t="n">
        <f aca="false">'2020'!H12</f>
        <v>0</v>
      </c>
      <c r="K12" s="569" t="n">
        <f aca="false">'2021'!H12</f>
        <v>0</v>
      </c>
      <c r="L12" s="570" t="n">
        <f aca="false">'2022'!H12</f>
        <v>0</v>
      </c>
      <c r="M12" s="188" t="n">
        <f aca="false">IF(G12=0,0,IF(P12=0,0,P12/G12))</f>
        <v>0</v>
      </c>
      <c r="N12" s="190" t="n">
        <f aca="false">IF(H12=0,0,IF(Q12=0,0,Q12/H12))</f>
        <v>0</v>
      </c>
      <c r="O12" s="572" t="n">
        <f aca="false">IF(I12=0,0,IF(R12=0,0,R12/I12))</f>
        <v>0</v>
      </c>
      <c r="P12" s="571" t="n">
        <f aca="false">'2020'!J12</f>
        <v>0</v>
      </c>
      <c r="Q12" s="569" t="n">
        <f aca="false">'2021'!J12</f>
        <v>0</v>
      </c>
      <c r="R12" s="570" t="n">
        <f aca="false">'2022'!J12</f>
        <v>0</v>
      </c>
      <c r="S12" s="292" t="e">
        <f aca="false">T12/G12</f>
        <v>#DIV/0!</v>
      </c>
      <c r="T12" s="405" t="n">
        <v>7</v>
      </c>
      <c r="U12" s="292" t="str">
        <f aca="false">IF(V12="-","-",V12/T12)</f>
        <v>-</v>
      </c>
      <c r="V12" s="406" t="s">
        <v>75</v>
      </c>
      <c r="W12" s="407" t="s">
        <v>75</v>
      </c>
      <c r="X12" s="408" t="s">
        <v>75</v>
      </c>
      <c r="Y12" s="407" t="s">
        <v>75</v>
      </c>
      <c r="Z12" s="408" t="s">
        <v>75</v>
      </c>
      <c r="AA12" s="296" t="s">
        <v>75</v>
      </c>
      <c r="AB12" s="291" t="s">
        <v>75</v>
      </c>
      <c r="AC12" s="296" t="s">
        <v>75</v>
      </c>
      <c r="AD12" s="297" t="s">
        <v>75</v>
      </c>
      <c r="AE12" s="377" t="s">
        <v>153</v>
      </c>
      <c r="AG12" s="1" t="n">
        <f aca="false">IF(G12="","",1)</f>
        <v>1</v>
      </c>
    </row>
    <row r="13" customFormat="false" ht="15" hidden="false" customHeight="true" outlineLevel="0" collapsed="false">
      <c r="B13" s="283"/>
      <c r="C13" s="267"/>
      <c r="D13" s="387"/>
      <c r="E13" s="401" t="s">
        <v>74</v>
      </c>
      <c r="F13" s="402" t="s">
        <v>70</v>
      </c>
      <c r="G13" s="568" t="n">
        <f aca="false">'2020'!G13</f>
        <v>0</v>
      </c>
      <c r="H13" s="569" t="n">
        <f aca="false">'2021'!G13</f>
        <v>0</v>
      </c>
      <c r="I13" s="570" t="n">
        <f aca="false">'2022'!G13</f>
        <v>0</v>
      </c>
      <c r="J13" s="571" t="n">
        <f aca="false">'2020'!H13</f>
        <v>0</v>
      </c>
      <c r="K13" s="569" t="n">
        <f aca="false">'2021'!H13</f>
        <v>0</v>
      </c>
      <c r="L13" s="570" t="n">
        <f aca="false">'2022'!H13</f>
        <v>0</v>
      </c>
      <c r="M13" s="188" t="n">
        <f aca="false">IF(G13=0,0,IF(P13=0,0,P13/G13))</f>
        <v>0</v>
      </c>
      <c r="N13" s="190" t="n">
        <f aca="false">IF(H13=0,0,IF(Q13=0,0,Q13/H13))</f>
        <v>0</v>
      </c>
      <c r="O13" s="572" t="n">
        <f aca="false">IF(I13=0,0,IF(R13=0,0,R13/I13))</f>
        <v>0</v>
      </c>
      <c r="P13" s="571" t="n">
        <f aca="false">'2020'!J13</f>
        <v>0</v>
      </c>
      <c r="Q13" s="569" t="n">
        <f aca="false">'2021'!J13</f>
        <v>0</v>
      </c>
      <c r="R13" s="570" t="n">
        <f aca="false">'2022'!J13</f>
        <v>0</v>
      </c>
      <c r="S13" s="292" t="e">
        <f aca="false">T13/G13</f>
        <v>#DIV/0!</v>
      </c>
      <c r="T13" s="405" t="n">
        <v>7</v>
      </c>
      <c r="U13" s="292" t="str">
        <f aca="false">IF(V13="-","-",V13/T13)</f>
        <v>-</v>
      </c>
      <c r="V13" s="406" t="s">
        <v>75</v>
      </c>
      <c r="W13" s="407" t="s">
        <v>75</v>
      </c>
      <c r="X13" s="408" t="s">
        <v>75</v>
      </c>
      <c r="Y13" s="407" t="s">
        <v>75</v>
      </c>
      <c r="Z13" s="408" t="s">
        <v>75</v>
      </c>
      <c r="AA13" s="296" t="s">
        <v>75</v>
      </c>
      <c r="AB13" s="291" t="s">
        <v>75</v>
      </c>
      <c r="AC13" s="296" t="s">
        <v>75</v>
      </c>
      <c r="AD13" s="297" t="s">
        <v>75</v>
      </c>
      <c r="AE13" s="377" t="s">
        <v>153</v>
      </c>
      <c r="AG13" s="1" t="n">
        <f aca="false">IF(G13="","",1)</f>
        <v>1</v>
      </c>
    </row>
    <row r="14" customFormat="false" ht="15" hidden="false" customHeight="true" outlineLevel="0" collapsed="false">
      <c r="B14" s="283"/>
      <c r="C14" s="267"/>
      <c r="D14" s="387"/>
      <c r="E14" s="401" t="s">
        <v>74</v>
      </c>
      <c r="F14" s="402" t="s">
        <v>70</v>
      </c>
      <c r="G14" s="568" t="n">
        <f aca="false">'2020'!G14</f>
        <v>0</v>
      </c>
      <c r="H14" s="569" t="n">
        <f aca="false">'2021'!G14</f>
        <v>0</v>
      </c>
      <c r="I14" s="570" t="n">
        <f aca="false">'2022'!G14</f>
        <v>0</v>
      </c>
      <c r="J14" s="571" t="n">
        <f aca="false">'2020'!H14</f>
        <v>0</v>
      </c>
      <c r="K14" s="569" t="n">
        <f aca="false">'2021'!H14</f>
        <v>0</v>
      </c>
      <c r="L14" s="570" t="n">
        <f aca="false">'2022'!H14</f>
        <v>0</v>
      </c>
      <c r="M14" s="188" t="n">
        <f aca="false">IF(G14=0,0,IF(P14=0,0,P14/G14))</f>
        <v>0</v>
      </c>
      <c r="N14" s="190" t="n">
        <f aca="false">IF(H14=0,0,IF(Q14=0,0,Q14/H14))</f>
        <v>0</v>
      </c>
      <c r="O14" s="572" t="n">
        <f aca="false">IF(I14=0,0,IF(R14=0,0,R14/I14))</f>
        <v>0</v>
      </c>
      <c r="P14" s="571" t="n">
        <f aca="false">'2020'!J14</f>
        <v>0</v>
      </c>
      <c r="Q14" s="569" t="n">
        <f aca="false">'2021'!J14</f>
        <v>0</v>
      </c>
      <c r="R14" s="570" t="n">
        <f aca="false">'2022'!J14</f>
        <v>0</v>
      </c>
      <c r="S14" s="292" t="e">
        <f aca="false">T14/G14</f>
        <v>#DIV/0!</v>
      </c>
      <c r="T14" s="405" t="n">
        <v>12</v>
      </c>
      <c r="U14" s="292" t="str">
        <f aca="false">IF(V14="-","-",V14/T14)</f>
        <v>-</v>
      </c>
      <c r="V14" s="406" t="s">
        <v>75</v>
      </c>
      <c r="W14" s="407" t="s">
        <v>75</v>
      </c>
      <c r="X14" s="408" t="s">
        <v>75</v>
      </c>
      <c r="Y14" s="407" t="s">
        <v>75</v>
      </c>
      <c r="Z14" s="408" t="s">
        <v>75</v>
      </c>
      <c r="AA14" s="296" t="s">
        <v>75</v>
      </c>
      <c r="AB14" s="291" t="s">
        <v>75</v>
      </c>
      <c r="AC14" s="296" t="s">
        <v>75</v>
      </c>
      <c r="AD14" s="297" t="s">
        <v>75</v>
      </c>
      <c r="AE14" s="377" t="s">
        <v>153</v>
      </c>
      <c r="AG14" s="1" t="n">
        <f aca="false">IF(G14="","",1)</f>
        <v>1</v>
      </c>
    </row>
    <row r="15" customFormat="false" ht="15" hidden="false" customHeight="true" outlineLevel="0" collapsed="false">
      <c r="B15" s="283"/>
      <c r="C15" s="267"/>
      <c r="D15" s="387"/>
      <c r="E15" s="409" t="s">
        <v>74</v>
      </c>
      <c r="F15" s="410"/>
      <c r="G15" s="568" t="n">
        <f aca="false">'2020'!G15</f>
        <v>0</v>
      </c>
      <c r="H15" s="569" t="n">
        <f aca="false">'2021'!G15</f>
        <v>0</v>
      </c>
      <c r="I15" s="570" t="n">
        <f aca="false">'2022'!G15</f>
        <v>0</v>
      </c>
      <c r="J15" s="571" t="n">
        <f aca="false">'2020'!H15</f>
        <v>0</v>
      </c>
      <c r="K15" s="569" t="n">
        <f aca="false">'2021'!H15</f>
        <v>0</v>
      </c>
      <c r="L15" s="570" t="n">
        <f aca="false">'2022'!H15</f>
        <v>0</v>
      </c>
      <c r="M15" s="188" t="n">
        <f aca="false">IF(G15=0,0,IF(P15=0,0,P15/G15))</f>
        <v>0</v>
      </c>
      <c r="N15" s="190" t="n">
        <f aca="false">IF(H15=0,0,IF(Q15=0,0,Q15/H15))</f>
        <v>0</v>
      </c>
      <c r="O15" s="572" t="n">
        <f aca="false">IF(I15=0,0,IF(R15=0,0,R15/I15))</f>
        <v>0</v>
      </c>
      <c r="P15" s="571" t="n">
        <f aca="false">'2020'!J15</f>
        <v>0</v>
      </c>
      <c r="Q15" s="569" t="n">
        <f aca="false">'2021'!J15</f>
        <v>0</v>
      </c>
      <c r="R15" s="570" t="n">
        <f aca="false">'2022'!J15</f>
        <v>0</v>
      </c>
      <c r="S15" s="292" t="e">
        <f aca="false">T15/G15</f>
        <v>#DIV/0!</v>
      </c>
      <c r="T15" s="405" t="n">
        <v>13</v>
      </c>
      <c r="U15" s="292" t="str">
        <f aca="false">IF(V15="-","-",V15/T15)</f>
        <v>-</v>
      </c>
      <c r="V15" s="406" t="s">
        <v>75</v>
      </c>
      <c r="W15" s="407" t="s">
        <v>75</v>
      </c>
      <c r="X15" s="408" t="s">
        <v>75</v>
      </c>
      <c r="Y15" s="407" t="s">
        <v>75</v>
      </c>
      <c r="Z15" s="408" t="s">
        <v>75</v>
      </c>
      <c r="AA15" s="296" t="s">
        <v>75</v>
      </c>
      <c r="AB15" s="291" t="s">
        <v>75</v>
      </c>
      <c r="AC15" s="296" t="s">
        <v>75</v>
      </c>
      <c r="AD15" s="297" t="s">
        <v>75</v>
      </c>
      <c r="AE15" s="377"/>
    </row>
    <row r="16" customFormat="false" ht="15" hidden="false" customHeight="true" outlineLevel="0" collapsed="false">
      <c r="B16" s="283"/>
      <c r="C16" s="267"/>
      <c r="D16" s="387"/>
      <c r="E16" s="409" t="s">
        <v>74</v>
      </c>
      <c r="F16" s="410"/>
      <c r="G16" s="568" t="n">
        <f aca="false">'2020'!G16</f>
        <v>0</v>
      </c>
      <c r="H16" s="569" t="n">
        <f aca="false">'2021'!G16</f>
        <v>0</v>
      </c>
      <c r="I16" s="570" t="n">
        <f aca="false">'2022'!G16</f>
        <v>0</v>
      </c>
      <c r="J16" s="571" t="n">
        <f aca="false">'2020'!H16</f>
        <v>0</v>
      </c>
      <c r="K16" s="569" t="n">
        <f aca="false">'2021'!H16</f>
        <v>0</v>
      </c>
      <c r="L16" s="570" t="n">
        <f aca="false">'2022'!H16</f>
        <v>0</v>
      </c>
      <c r="M16" s="188" t="n">
        <f aca="false">IF(G16=0,0,IF(P16=0,0,P16/G16))</f>
        <v>0</v>
      </c>
      <c r="N16" s="190" t="n">
        <f aca="false">IF(H16=0,0,IF(Q16=0,0,Q16/H16))</f>
        <v>0</v>
      </c>
      <c r="O16" s="572" t="n">
        <f aca="false">IF(I16=0,0,IF(R16=0,0,R16/I16))</f>
        <v>0</v>
      </c>
      <c r="P16" s="571" t="n">
        <f aca="false">'2020'!J16</f>
        <v>0</v>
      </c>
      <c r="Q16" s="569" t="n">
        <f aca="false">'2021'!J16</f>
        <v>0</v>
      </c>
      <c r="R16" s="570" t="n">
        <f aca="false">'2022'!J16</f>
        <v>0</v>
      </c>
      <c r="S16" s="292" t="e">
        <f aca="false">T16/G16</f>
        <v>#DIV/0!</v>
      </c>
      <c r="T16" s="405" t="n">
        <v>14</v>
      </c>
      <c r="U16" s="292" t="str">
        <f aca="false">IF(V16="-","-",V16/T16)</f>
        <v>-</v>
      </c>
      <c r="V16" s="406" t="s">
        <v>75</v>
      </c>
      <c r="W16" s="407" t="s">
        <v>75</v>
      </c>
      <c r="X16" s="408" t="s">
        <v>75</v>
      </c>
      <c r="Y16" s="407" t="s">
        <v>75</v>
      </c>
      <c r="Z16" s="408" t="s">
        <v>75</v>
      </c>
      <c r="AA16" s="296" t="s">
        <v>75</v>
      </c>
      <c r="AB16" s="291" t="s">
        <v>75</v>
      </c>
      <c r="AC16" s="296" t="s">
        <v>75</v>
      </c>
      <c r="AD16" s="297" t="s">
        <v>75</v>
      </c>
      <c r="AE16" s="377"/>
    </row>
    <row r="17" customFormat="false" ht="15" hidden="false" customHeight="true" outlineLevel="0" collapsed="false">
      <c r="B17" s="283"/>
      <c r="C17" s="267"/>
      <c r="D17" s="387"/>
      <c r="E17" s="409"/>
      <c r="F17" s="410"/>
      <c r="G17" s="568" t="n">
        <f aca="false">'2020'!G17</f>
        <v>0</v>
      </c>
      <c r="H17" s="569" t="n">
        <f aca="false">'2021'!G17</f>
        <v>0</v>
      </c>
      <c r="I17" s="570" t="n">
        <f aca="false">'2022'!G17</f>
        <v>0</v>
      </c>
      <c r="J17" s="571" t="n">
        <f aca="false">'2020'!H17</f>
        <v>0</v>
      </c>
      <c r="K17" s="569" t="n">
        <f aca="false">'2021'!H17</f>
        <v>0</v>
      </c>
      <c r="L17" s="570" t="n">
        <f aca="false">'2022'!H17</f>
        <v>0</v>
      </c>
      <c r="M17" s="188" t="n">
        <f aca="false">IF(G17=0,0,IF(P17=0,0,P17/G17))</f>
        <v>0</v>
      </c>
      <c r="N17" s="190" t="n">
        <f aca="false">IF(H17=0,0,IF(Q17=0,0,Q17/H17))</f>
        <v>0</v>
      </c>
      <c r="O17" s="572" t="n">
        <f aca="false">IF(I17=0,0,IF(R17=0,0,R17/I17))</f>
        <v>0</v>
      </c>
      <c r="P17" s="571" t="n">
        <f aca="false">'2020'!J17</f>
        <v>0</v>
      </c>
      <c r="Q17" s="569" t="n">
        <f aca="false">'2021'!J17</f>
        <v>0</v>
      </c>
      <c r="R17" s="570" t="n">
        <f aca="false">'2022'!J17</f>
        <v>0</v>
      </c>
      <c r="S17" s="292" t="e">
        <f aca="false">T17/G17</f>
        <v>#DIV/0!</v>
      </c>
      <c r="T17" s="405" t="n">
        <v>15</v>
      </c>
      <c r="U17" s="292" t="str">
        <f aca="false">IF(V17="-","-",V17/T17)</f>
        <v>-</v>
      </c>
      <c r="V17" s="406" t="s">
        <v>75</v>
      </c>
      <c r="W17" s="407" t="s">
        <v>75</v>
      </c>
      <c r="X17" s="408" t="s">
        <v>75</v>
      </c>
      <c r="Y17" s="407" t="s">
        <v>75</v>
      </c>
      <c r="Z17" s="408" t="s">
        <v>75</v>
      </c>
      <c r="AA17" s="296" t="s">
        <v>75</v>
      </c>
      <c r="AB17" s="291" t="s">
        <v>75</v>
      </c>
      <c r="AC17" s="296" t="s">
        <v>75</v>
      </c>
      <c r="AD17" s="297" t="s">
        <v>75</v>
      </c>
      <c r="AE17" s="377"/>
    </row>
    <row r="18" customFormat="false" ht="15" hidden="false" customHeight="true" outlineLevel="0" collapsed="false">
      <c r="B18" s="283"/>
      <c r="C18" s="267"/>
      <c r="D18" s="387"/>
      <c r="E18" s="409"/>
      <c r="F18" s="410"/>
      <c r="G18" s="568" t="n">
        <f aca="false">'2020'!G18</f>
        <v>0</v>
      </c>
      <c r="H18" s="569" t="n">
        <f aca="false">'2021'!G18</f>
        <v>0</v>
      </c>
      <c r="I18" s="570" t="n">
        <f aca="false">'2022'!G18</f>
        <v>0</v>
      </c>
      <c r="J18" s="571" t="n">
        <f aca="false">'2020'!H18</f>
        <v>0</v>
      </c>
      <c r="K18" s="569" t="n">
        <f aca="false">'2021'!H18</f>
        <v>0</v>
      </c>
      <c r="L18" s="570" t="n">
        <f aca="false">'2022'!H18</f>
        <v>0</v>
      </c>
      <c r="M18" s="188" t="n">
        <f aca="false">IF(G18=0,0,IF(P18=0,0,P18/G18))</f>
        <v>0</v>
      </c>
      <c r="N18" s="190" t="n">
        <f aca="false">IF(H18=0,0,IF(Q18=0,0,Q18/H18))</f>
        <v>0</v>
      </c>
      <c r="O18" s="572" t="n">
        <f aca="false">IF(I18=0,0,IF(R18=0,0,R18/I18))</f>
        <v>0</v>
      </c>
      <c r="P18" s="571" t="n">
        <f aca="false">'2020'!J18</f>
        <v>0</v>
      </c>
      <c r="Q18" s="569" t="n">
        <f aca="false">'2021'!J18</f>
        <v>0</v>
      </c>
      <c r="R18" s="570" t="n">
        <f aca="false">'2022'!J18</f>
        <v>0</v>
      </c>
      <c r="S18" s="292" t="e">
        <f aca="false">T18/G18</f>
        <v>#DIV/0!</v>
      </c>
      <c r="T18" s="405" t="n">
        <v>16</v>
      </c>
      <c r="U18" s="292" t="str">
        <f aca="false">IF(V18="-","-",V18/T18)</f>
        <v>-</v>
      </c>
      <c r="V18" s="406" t="s">
        <v>75</v>
      </c>
      <c r="W18" s="407" t="s">
        <v>75</v>
      </c>
      <c r="X18" s="408" t="s">
        <v>75</v>
      </c>
      <c r="Y18" s="407" t="s">
        <v>75</v>
      </c>
      <c r="Z18" s="408" t="s">
        <v>75</v>
      </c>
      <c r="AA18" s="296" t="s">
        <v>75</v>
      </c>
      <c r="AB18" s="291" t="s">
        <v>75</v>
      </c>
      <c r="AC18" s="296" t="s">
        <v>75</v>
      </c>
      <c r="AD18" s="297" t="s">
        <v>75</v>
      </c>
      <c r="AE18" s="377"/>
    </row>
    <row r="19" customFormat="false" ht="15" hidden="false" customHeight="true" outlineLevel="0" collapsed="false">
      <c r="B19" s="283"/>
      <c r="C19" s="267"/>
      <c r="D19" s="387"/>
      <c r="E19" s="420" t="s">
        <v>74</v>
      </c>
      <c r="F19" s="421" t="s">
        <v>70</v>
      </c>
      <c r="G19" s="573" t="n">
        <f aca="false">'2020'!G19</f>
        <v>0</v>
      </c>
      <c r="H19" s="574" t="n">
        <f aca="false">'2021'!G19</f>
        <v>0</v>
      </c>
      <c r="I19" s="575" t="n">
        <f aca="false">'2022'!G19</f>
        <v>0</v>
      </c>
      <c r="J19" s="576" t="n">
        <f aca="false">'2020'!H19</f>
        <v>0</v>
      </c>
      <c r="K19" s="574" t="n">
        <f aca="false">'2021'!H19</f>
        <v>0</v>
      </c>
      <c r="L19" s="575" t="n">
        <f aca="false">'2022'!H19</f>
        <v>0</v>
      </c>
      <c r="M19" s="302" t="n">
        <f aca="false">IF(G19=0,0,IF(P19=0,0,P19/G19))</f>
        <v>0</v>
      </c>
      <c r="N19" s="304" t="n">
        <f aca="false">IF(H19=0,0,IF(Q19=0,0,Q19/H19))</f>
        <v>0</v>
      </c>
      <c r="O19" s="577" t="n">
        <f aca="false">IF(I19=0,0,IF(R19=0,0,R19/I19))</f>
        <v>0</v>
      </c>
      <c r="P19" s="576" t="n">
        <f aca="false">'2020'!J19</f>
        <v>0</v>
      </c>
      <c r="Q19" s="574" t="n">
        <f aca="false">'2021'!J19</f>
        <v>0</v>
      </c>
      <c r="R19" s="575" t="n">
        <f aca="false">'2022'!J19</f>
        <v>0</v>
      </c>
      <c r="S19" s="302" t="e">
        <f aca="false">T19/G19</f>
        <v>#DIV/0!</v>
      </c>
      <c r="T19" s="424"/>
      <c r="U19" s="302" t="str">
        <f aca="false">IF(V19="-","-",V19/T19)</f>
        <v>-</v>
      </c>
      <c r="V19" s="425" t="s">
        <v>75</v>
      </c>
      <c r="W19" s="426" t="s">
        <v>75</v>
      </c>
      <c r="X19" s="427" t="s">
        <v>75</v>
      </c>
      <c r="Y19" s="426" t="s">
        <v>75</v>
      </c>
      <c r="Z19" s="427" t="s">
        <v>75</v>
      </c>
      <c r="AA19" s="306" t="s">
        <v>75</v>
      </c>
      <c r="AB19" s="301" t="s">
        <v>75</v>
      </c>
      <c r="AC19" s="306" t="s">
        <v>75</v>
      </c>
      <c r="AD19" s="307" t="s">
        <v>75</v>
      </c>
      <c r="AE19" s="377" t="s">
        <v>153</v>
      </c>
      <c r="AG19" s="1" t="n">
        <f aca="false">IF(G19="","",1)</f>
        <v>1</v>
      </c>
    </row>
    <row r="20" customFormat="false" ht="15.75" hidden="false" customHeight="false" outlineLevel="0" collapsed="false">
      <c r="B20" s="283"/>
      <c r="C20" s="267"/>
      <c r="D20" s="578" t="s">
        <v>76</v>
      </c>
      <c r="E20" s="312"/>
      <c r="F20" s="429"/>
      <c r="G20" s="579" t="n">
        <f aca="false">SUM(G7:G19)</f>
        <v>0</v>
      </c>
      <c r="H20" s="580" t="n">
        <f aca="false">SUM(H7:H19)</f>
        <v>0</v>
      </c>
      <c r="I20" s="581" t="n">
        <f aca="false">SUM(I7:I19)</f>
        <v>0</v>
      </c>
      <c r="J20" s="582" t="n">
        <f aca="false">SUM(J7:J19)</f>
        <v>0</v>
      </c>
      <c r="K20" s="580" t="n">
        <f aca="false">SUM(K7:K19)</f>
        <v>0</v>
      </c>
      <c r="L20" s="581" t="n">
        <f aca="false">SUM(L7:L19)</f>
        <v>0</v>
      </c>
      <c r="M20" s="317" t="n">
        <f aca="false">IF(G20=0,0,IF(P20=0,0,P20/G20))</f>
        <v>0</v>
      </c>
      <c r="N20" s="319" t="n">
        <f aca="false">IF(H20=0,0,IF(Q20=0,0,Q20/H20))</f>
        <v>0</v>
      </c>
      <c r="O20" s="562" t="n">
        <f aca="false">IF(I20=0,0,IF(R20=0,0,R20/I20))</f>
        <v>0</v>
      </c>
      <c r="P20" s="582" t="n">
        <f aca="false">SUM(P7:P19)</f>
        <v>0</v>
      </c>
      <c r="Q20" s="580" t="n">
        <f aca="false">SUM(Q7:Q19)</f>
        <v>0</v>
      </c>
      <c r="R20" s="581" t="n">
        <f aca="false">SUM(R7:R19)</f>
        <v>0</v>
      </c>
      <c r="S20" s="218" t="e">
        <f aca="false">T20/G20</f>
        <v>#DIV/0!</v>
      </c>
      <c r="T20" s="320" t="n">
        <f aca="false">SUM(T7:T19)</f>
        <v>145</v>
      </c>
      <c r="U20" s="218" t="n">
        <f aca="false">V20/T20</f>
        <v>0</v>
      </c>
      <c r="V20" s="320" t="n">
        <f aca="false">SUM(V7:V19)</f>
        <v>0</v>
      </c>
      <c r="W20" s="430"/>
      <c r="X20" s="431"/>
      <c r="Y20" s="430"/>
      <c r="Z20" s="431"/>
      <c r="AA20" s="430"/>
      <c r="AB20" s="431"/>
      <c r="AC20" s="430"/>
      <c r="AD20" s="432"/>
      <c r="AE20" s="377" t="s">
        <v>153</v>
      </c>
    </row>
    <row r="21" customFormat="false" ht="15" hidden="false" customHeight="true" outlineLevel="0" collapsed="false">
      <c r="B21" s="283" t="s">
        <v>154</v>
      </c>
      <c r="C21" s="267" t="s">
        <v>68</v>
      </c>
      <c r="D21" s="583" t="n">
        <v>9</v>
      </c>
      <c r="E21" s="401" t="s">
        <v>78</v>
      </c>
      <c r="F21" s="402" t="s">
        <v>70</v>
      </c>
      <c r="G21" s="568" t="n">
        <f aca="false">'2020'!G21</f>
        <v>31</v>
      </c>
      <c r="H21" s="569" t="n">
        <f aca="false">'2021'!G21</f>
        <v>76</v>
      </c>
      <c r="I21" s="570" t="n">
        <f aca="false">'2022'!G21</f>
        <v>0</v>
      </c>
      <c r="J21" s="571" t="n">
        <f aca="false">'2020'!H21</f>
        <v>23</v>
      </c>
      <c r="K21" s="569" t="n">
        <f aca="false">'2021'!H21</f>
        <v>50</v>
      </c>
      <c r="L21" s="570" t="n">
        <f aca="false">'2022'!H21</f>
        <v>0</v>
      </c>
      <c r="M21" s="188" t="n">
        <f aca="false">IF(G21=0,0,IF(P21=0,0,P21/G21))</f>
        <v>0.32258064516129</v>
      </c>
      <c r="N21" s="190" t="n">
        <f aca="false">IF(H21=0,0,IF(Q21=0,0,Q21/H21))</f>
        <v>0.223684210526316</v>
      </c>
      <c r="O21" s="572" t="n">
        <f aca="false">IF(I21=0,0,IF(R21=0,0,R21/I21))</f>
        <v>0</v>
      </c>
      <c r="P21" s="571" t="n">
        <f aca="false">'2020'!J21</f>
        <v>10</v>
      </c>
      <c r="Q21" s="569" t="n">
        <f aca="false">'2021'!J21</f>
        <v>17</v>
      </c>
      <c r="R21" s="570" t="n">
        <f aca="false">'2022'!J21</f>
        <v>0</v>
      </c>
      <c r="S21" s="292" t="n">
        <f aca="false">T21/G21</f>
        <v>0.903225806451613</v>
      </c>
      <c r="T21" s="405" t="n">
        <v>28</v>
      </c>
      <c r="U21" s="292" t="str">
        <f aca="false">IF(V21="-","-",V21/T21)</f>
        <v>-</v>
      </c>
      <c r="V21" s="406" t="s">
        <v>75</v>
      </c>
      <c r="W21" s="407" t="s">
        <v>75</v>
      </c>
      <c r="X21" s="408" t="s">
        <v>75</v>
      </c>
      <c r="Y21" s="407" t="s">
        <v>75</v>
      </c>
      <c r="Z21" s="408" t="s">
        <v>75</v>
      </c>
      <c r="AA21" s="296" t="s">
        <v>75</v>
      </c>
      <c r="AB21" s="291" t="s">
        <v>75</v>
      </c>
      <c r="AC21" s="296" t="s">
        <v>75</v>
      </c>
      <c r="AD21" s="297" t="s">
        <v>75</v>
      </c>
      <c r="AE21" s="377" t="s">
        <v>153</v>
      </c>
      <c r="AG21" s="1" t="n">
        <f aca="false">IF(G21="","",1)</f>
        <v>1</v>
      </c>
    </row>
    <row r="22" customFormat="false" ht="15" hidden="false" customHeight="true" outlineLevel="0" collapsed="false">
      <c r="B22" s="283"/>
      <c r="C22" s="267"/>
      <c r="D22" s="583"/>
      <c r="E22" s="401" t="s">
        <v>79</v>
      </c>
      <c r="F22" s="402" t="s">
        <v>70</v>
      </c>
      <c r="G22" s="568" t="n">
        <f aca="false">'2020'!G22</f>
        <v>25</v>
      </c>
      <c r="H22" s="569" t="n">
        <f aca="false">'2021'!G22</f>
        <v>45</v>
      </c>
      <c r="I22" s="570" t="n">
        <f aca="false">'2022'!G22</f>
        <v>0</v>
      </c>
      <c r="J22" s="571" t="n">
        <f aca="false">'2020'!H22</f>
        <v>13</v>
      </c>
      <c r="K22" s="569" t="n">
        <f aca="false">'2021'!H22</f>
        <v>27</v>
      </c>
      <c r="L22" s="570" t="n">
        <f aca="false">'2022'!H22</f>
        <v>0</v>
      </c>
      <c r="M22" s="188" t="n">
        <f aca="false">IF(G22=0,0,IF(P22=0,0,P22/G22))</f>
        <v>0.48</v>
      </c>
      <c r="N22" s="190" t="n">
        <f aca="false">IF(H22=0,0,IF(Q22=0,0,Q22/H22))</f>
        <v>0.466666666666667</v>
      </c>
      <c r="O22" s="572" t="n">
        <f aca="false">IF(I22=0,0,IF(R22=0,0,R22/I22))</f>
        <v>0</v>
      </c>
      <c r="P22" s="571" t="n">
        <f aca="false">'2020'!J22</f>
        <v>12</v>
      </c>
      <c r="Q22" s="569" t="n">
        <f aca="false">'2021'!J22</f>
        <v>21</v>
      </c>
      <c r="R22" s="570" t="n">
        <f aca="false">'2022'!J22</f>
        <v>0</v>
      </c>
      <c r="S22" s="292" t="n">
        <f aca="false">T22/G22</f>
        <v>0.56</v>
      </c>
      <c r="T22" s="405" t="n">
        <v>14</v>
      </c>
      <c r="U22" s="292" t="str">
        <f aca="false">IF(V22="-","-",V22/T22)</f>
        <v>-</v>
      </c>
      <c r="V22" s="406" t="s">
        <v>75</v>
      </c>
      <c r="W22" s="407" t="s">
        <v>75</v>
      </c>
      <c r="X22" s="408" t="s">
        <v>75</v>
      </c>
      <c r="Y22" s="407" t="s">
        <v>75</v>
      </c>
      <c r="Z22" s="408" t="s">
        <v>75</v>
      </c>
      <c r="AA22" s="296" t="s">
        <v>75</v>
      </c>
      <c r="AB22" s="291" t="s">
        <v>75</v>
      </c>
      <c r="AC22" s="296" t="s">
        <v>75</v>
      </c>
      <c r="AD22" s="297" t="s">
        <v>75</v>
      </c>
      <c r="AE22" s="377" t="s">
        <v>153</v>
      </c>
      <c r="AG22" s="1" t="n">
        <f aca="false">IF(G22="","",1)</f>
        <v>1</v>
      </c>
    </row>
    <row r="23" customFormat="false" ht="15" hidden="false" customHeight="true" outlineLevel="0" collapsed="false">
      <c r="B23" s="283"/>
      <c r="C23" s="267"/>
      <c r="D23" s="583"/>
      <c r="E23" s="401" t="s">
        <v>80</v>
      </c>
      <c r="F23" s="402" t="s">
        <v>70</v>
      </c>
      <c r="G23" s="568" t="n">
        <f aca="false">'2020'!G23</f>
        <v>18</v>
      </c>
      <c r="H23" s="569" t="n">
        <f aca="false">'2021'!G23</f>
        <v>16</v>
      </c>
      <c r="I23" s="570" t="n">
        <f aca="false">'2022'!G23</f>
        <v>0</v>
      </c>
      <c r="J23" s="571" t="n">
        <f aca="false">'2020'!H23</f>
        <v>10</v>
      </c>
      <c r="K23" s="569" t="n">
        <f aca="false">'2021'!H23</f>
        <v>10</v>
      </c>
      <c r="L23" s="570" t="n">
        <f aca="false">'2022'!H23</f>
        <v>0</v>
      </c>
      <c r="M23" s="188" t="n">
        <f aca="false">IF(G23=0,0,IF(P23=0,0,P23/G23))</f>
        <v>0.5</v>
      </c>
      <c r="N23" s="190" t="n">
        <f aca="false">IF(H23=0,0,IF(Q23=0,0,Q23/H23))</f>
        <v>0.3125</v>
      </c>
      <c r="O23" s="572" t="n">
        <f aca="false">IF(I23=0,0,IF(R23=0,0,R23/I23))</f>
        <v>0</v>
      </c>
      <c r="P23" s="571" t="n">
        <f aca="false">'2020'!J23</f>
        <v>9</v>
      </c>
      <c r="Q23" s="569" t="n">
        <f aca="false">'2021'!J23</f>
        <v>5</v>
      </c>
      <c r="R23" s="570" t="n">
        <f aca="false">'2022'!J23</f>
        <v>0</v>
      </c>
      <c r="S23" s="292" t="n">
        <f aca="false">T23/G23</f>
        <v>0.166666666666667</v>
      </c>
      <c r="T23" s="405" t="n">
        <v>3</v>
      </c>
      <c r="U23" s="292" t="str">
        <f aca="false">IF(V23="-","-",V23/T23)</f>
        <v>-</v>
      </c>
      <c r="V23" s="406" t="s">
        <v>75</v>
      </c>
      <c r="W23" s="407" t="s">
        <v>75</v>
      </c>
      <c r="X23" s="408" t="s">
        <v>75</v>
      </c>
      <c r="Y23" s="407" t="s">
        <v>75</v>
      </c>
      <c r="Z23" s="408" t="s">
        <v>75</v>
      </c>
      <c r="AA23" s="296" t="s">
        <v>75</v>
      </c>
      <c r="AB23" s="291" t="s">
        <v>75</v>
      </c>
      <c r="AC23" s="296" t="s">
        <v>75</v>
      </c>
      <c r="AD23" s="297" t="s">
        <v>75</v>
      </c>
      <c r="AE23" s="377" t="s">
        <v>153</v>
      </c>
      <c r="AG23" s="1" t="n">
        <f aca="false">IF(G23="","",1)</f>
        <v>1</v>
      </c>
    </row>
    <row r="24" customFormat="false" ht="15" hidden="false" customHeight="true" outlineLevel="0" collapsed="false">
      <c r="B24" s="283"/>
      <c r="C24" s="267"/>
      <c r="D24" s="583"/>
      <c r="E24" s="401" t="s">
        <v>155</v>
      </c>
      <c r="F24" s="402" t="s">
        <v>70</v>
      </c>
      <c r="G24" s="568" t="n">
        <f aca="false">'2020'!G24</f>
        <v>0</v>
      </c>
      <c r="H24" s="569" t="n">
        <f aca="false">'2021'!G24</f>
        <v>56</v>
      </c>
      <c r="I24" s="570" t="n">
        <f aca="false">'2022'!G24</f>
        <v>0</v>
      </c>
      <c r="J24" s="571" t="n">
        <f aca="false">'2020'!H24</f>
        <v>0</v>
      </c>
      <c r="K24" s="569" t="n">
        <f aca="false">'2021'!H24</f>
        <v>36</v>
      </c>
      <c r="L24" s="570" t="n">
        <f aca="false">'2022'!H24</f>
        <v>0</v>
      </c>
      <c r="M24" s="188" t="n">
        <f aca="false">IF(G24=0,0,IF(P24=0,0,P24/G24))</f>
        <v>0</v>
      </c>
      <c r="N24" s="190" t="n">
        <f aca="false">IF(H24=0,0,IF(Q24=0,0,Q24/H24))</f>
        <v>0.214285714285714</v>
      </c>
      <c r="O24" s="572" t="n">
        <f aca="false">IF(I24=0,0,IF(R24=0,0,R24/I24))</f>
        <v>0</v>
      </c>
      <c r="P24" s="571" t="n">
        <f aca="false">'2020'!J24</f>
        <v>0</v>
      </c>
      <c r="Q24" s="569" t="n">
        <f aca="false">'2021'!J24</f>
        <v>12</v>
      </c>
      <c r="R24" s="570" t="n">
        <f aca="false">'2022'!J24</f>
        <v>0</v>
      </c>
      <c r="S24" s="292"/>
      <c r="T24" s="405" t="n">
        <v>10</v>
      </c>
      <c r="U24" s="292"/>
      <c r="V24" s="406"/>
      <c r="W24" s="407" t="s">
        <v>75</v>
      </c>
      <c r="X24" s="408" t="s">
        <v>75</v>
      </c>
      <c r="Y24" s="407" t="s">
        <v>75</v>
      </c>
      <c r="Z24" s="408" t="s">
        <v>75</v>
      </c>
      <c r="AA24" s="296"/>
      <c r="AB24" s="291"/>
      <c r="AC24" s="296"/>
      <c r="AD24" s="297"/>
      <c r="AE24" s="377" t="s">
        <v>153</v>
      </c>
      <c r="AG24" s="1" t="n">
        <f aca="false">IF(G24="","",1)</f>
        <v>1</v>
      </c>
    </row>
    <row r="25" customFormat="false" ht="15" hidden="false" customHeight="true" outlineLevel="0" collapsed="false">
      <c r="B25" s="283"/>
      <c r="C25" s="267"/>
      <c r="D25" s="583"/>
      <c r="E25" s="401" t="s">
        <v>81</v>
      </c>
      <c r="F25" s="402" t="s">
        <v>70</v>
      </c>
      <c r="G25" s="568" t="n">
        <f aca="false">'2020'!G25</f>
        <v>14</v>
      </c>
      <c r="H25" s="569" t="n">
        <f aca="false">'2021'!G25</f>
        <v>13</v>
      </c>
      <c r="I25" s="570" t="n">
        <f aca="false">'2022'!G25</f>
        <v>0</v>
      </c>
      <c r="J25" s="571" t="n">
        <f aca="false">'2020'!H25</f>
        <v>9</v>
      </c>
      <c r="K25" s="569" t="n">
        <f aca="false">'2021'!H25</f>
        <v>8</v>
      </c>
      <c r="L25" s="570" t="n">
        <f aca="false">'2022'!H25</f>
        <v>0</v>
      </c>
      <c r="M25" s="188" t="n">
        <f aca="false">IF(G25=0,0,IF(P25=0,0,P25/G25))</f>
        <v>0.0714285714285714</v>
      </c>
      <c r="N25" s="190" t="n">
        <f aca="false">IF(H25=0,0,IF(Q25=0,0,Q25/H25))</f>
        <v>0.538461538461538</v>
      </c>
      <c r="O25" s="572" t="n">
        <f aca="false">IF(I25=0,0,IF(R25=0,0,R25/I25))</f>
        <v>0</v>
      </c>
      <c r="P25" s="571" t="n">
        <f aca="false">'2020'!J25</f>
        <v>1</v>
      </c>
      <c r="Q25" s="569" t="n">
        <f aca="false">'2021'!J25</f>
        <v>7</v>
      </c>
      <c r="R25" s="570" t="n">
        <f aca="false">'2022'!J25</f>
        <v>0</v>
      </c>
      <c r="S25" s="292" t="n">
        <f aca="false">T25/G25</f>
        <v>0.428571428571429</v>
      </c>
      <c r="T25" s="405" t="n">
        <v>6</v>
      </c>
      <c r="U25" s="292" t="str">
        <f aca="false">IF(V25="-","-",V25/T25)</f>
        <v>-</v>
      </c>
      <c r="V25" s="406" t="s">
        <v>75</v>
      </c>
      <c r="W25" s="407" t="s">
        <v>75</v>
      </c>
      <c r="X25" s="408" t="s">
        <v>75</v>
      </c>
      <c r="Y25" s="407" t="s">
        <v>75</v>
      </c>
      <c r="Z25" s="408" t="s">
        <v>75</v>
      </c>
      <c r="AA25" s="296" t="s">
        <v>75</v>
      </c>
      <c r="AB25" s="291" t="s">
        <v>75</v>
      </c>
      <c r="AC25" s="296" t="s">
        <v>75</v>
      </c>
      <c r="AD25" s="297" t="s">
        <v>75</v>
      </c>
      <c r="AE25" s="377" t="s">
        <v>153</v>
      </c>
      <c r="AG25" s="1" t="n">
        <f aca="false">IF(G25="","",1)</f>
        <v>1</v>
      </c>
    </row>
    <row r="26" customFormat="false" ht="15" hidden="false" customHeight="true" outlineLevel="0" collapsed="false">
      <c r="B26" s="283"/>
      <c r="C26" s="267"/>
      <c r="D26" s="583"/>
      <c r="E26" s="401" t="s">
        <v>82</v>
      </c>
      <c r="F26" s="402" t="s">
        <v>70</v>
      </c>
      <c r="G26" s="568" t="n">
        <f aca="false">'2020'!G26</f>
        <v>24</v>
      </c>
      <c r="H26" s="569" t="n">
        <f aca="false">'2021'!G26</f>
        <v>24</v>
      </c>
      <c r="I26" s="570" t="n">
        <f aca="false">'2022'!G26</f>
        <v>0</v>
      </c>
      <c r="J26" s="571" t="n">
        <f aca="false">'2020'!H26</f>
        <v>16</v>
      </c>
      <c r="K26" s="569" t="n">
        <f aca="false">'2021'!H26</f>
        <v>20</v>
      </c>
      <c r="L26" s="570" t="n">
        <f aca="false">'2022'!H26</f>
        <v>0</v>
      </c>
      <c r="M26" s="188" t="n">
        <f aca="false">IF(G26=0,0,IF(P26=0,0,P26/G26))</f>
        <v>0.0416666666666667</v>
      </c>
      <c r="N26" s="190" t="n">
        <f aca="false">IF(H26=0,0,IF(Q26=0,0,Q26/H26))</f>
        <v>0.291666666666667</v>
      </c>
      <c r="O26" s="572" t="n">
        <f aca="false">IF(I26=0,0,IF(R26=0,0,R26/I26))</f>
        <v>0</v>
      </c>
      <c r="P26" s="571" t="n">
        <f aca="false">'2020'!J26</f>
        <v>1</v>
      </c>
      <c r="Q26" s="569" t="n">
        <f aca="false">'2021'!J26</f>
        <v>7</v>
      </c>
      <c r="R26" s="570" t="n">
        <f aca="false">'2022'!J26</f>
        <v>0</v>
      </c>
      <c r="S26" s="292" t="n">
        <f aca="false">T26/G26</f>
        <v>0.291666666666667</v>
      </c>
      <c r="T26" s="405" t="n">
        <v>7</v>
      </c>
      <c r="U26" s="292" t="str">
        <f aca="false">IF(V26="-","-",V26/T26)</f>
        <v>-</v>
      </c>
      <c r="V26" s="406" t="s">
        <v>75</v>
      </c>
      <c r="W26" s="407" t="s">
        <v>75</v>
      </c>
      <c r="X26" s="408" t="s">
        <v>75</v>
      </c>
      <c r="Y26" s="407" t="s">
        <v>75</v>
      </c>
      <c r="Z26" s="408" t="s">
        <v>75</v>
      </c>
      <c r="AA26" s="296" t="s">
        <v>75</v>
      </c>
      <c r="AB26" s="291" t="s">
        <v>75</v>
      </c>
      <c r="AC26" s="296" t="s">
        <v>75</v>
      </c>
      <c r="AD26" s="297" t="s">
        <v>75</v>
      </c>
      <c r="AE26" s="377" t="s">
        <v>153</v>
      </c>
      <c r="AG26" s="1" t="n">
        <f aca="false">IF(G26="","",1)</f>
        <v>1</v>
      </c>
    </row>
    <row r="27" customFormat="false" ht="15" hidden="false" customHeight="true" outlineLevel="0" collapsed="false">
      <c r="B27" s="283"/>
      <c r="C27" s="267"/>
      <c r="D27" s="583"/>
      <c r="E27" s="401" t="s">
        <v>83</v>
      </c>
      <c r="F27" s="402" t="s">
        <v>70</v>
      </c>
      <c r="G27" s="568" t="n">
        <f aca="false">'2020'!G27</f>
        <v>29</v>
      </c>
      <c r="H27" s="569" t="n">
        <f aca="false">'2021'!G27</f>
        <v>33</v>
      </c>
      <c r="I27" s="570" t="n">
        <f aca="false">'2022'!G27</f>
        <v>0</v>
      </c>
      <c r="J27" s="571" t="n">
        <f aca="false">'2020'!H27</f>
        <v>21</v>
      </c>
      <c r="K27" s="569" t="n">
        <f aca="false">'2021'!H27</f>
        <v>25</v>
      </c>
      <c r="L27" s="570" t="n">
        <f aca="false">'2022'!H27</f>
        <v>0</v>
      </c>
      <c r="M27" s="188" t="n">
        <f aca="false">IF(G27=0,0,IF(P27=0,0,P27/G27))</f>
        <v>0</v>
      </c>
      <c r="N27" s="190" t="n">
        <f aca="false">IF(H27=0,0,IF(Q27=0,0,Q27/H27))</f>
        <v>0</v>
      </c>
      <c r="O27" s="572" t="n">
        <f aca="false">IF(I27=0,0,IF(R27=0,0,R27/I27))</f>
        <v>0</v>
      </c>
      <c r="P27" s="571" t="n">
        <f aca="false">'2020'!J27</f>
        <v>0</v>
      </c>
      <c r="Q27" s="569" t="n">
        <f aca="false">'2021'!J27</f>
        <v>0</v>
      </c>
      <c r="R27" s="570" t="n">
        <f aca="false">'2022'!J27</f>
        <v>0</v>
      </c>
      <c r="S27" s="292" t="n">
        <f aca="false">T27/G27</f>
        <v>0.241379310344828</v>
      </c>
      <c r="T27" s="405" t="n">
        <v>7</v>
      </c>
      <c r="U27" s="292" t="str">
        <f aca="false">IF(V27="-","-",V27/T27)</f>
        <v>-</v>
      </c>
      <c r="V27" s="406" t="s">
        <v>75</v>
      </c>
      <c r="W27" s="407" t="s">
        <v>75</v>
      </c>
      <c r="X27" s="408" t="s">
        <v>75</v>
      </c>
      <c r="Y27" s="407" t="s">
        <v>75</v>
      </c>
      <c r="Z27" s="408" t="s">
        <v>75</v>
      </c>
      <c r="AA27" s="296" t="s">
        <v>75</v>
      </c>
      <c r="AB27" s="291" t="s">
        <v>75</v>
      </c>
      <c r="AC27" s="296" t="s">
        <v>75</v>
      </c>
      <c r="AD27" s="297" t="s">
        <v>75</v>
      </c>
      <c r="AE27" s="377" t="s">
        <v>153</v>
      </c>
      <c r="AG27" s="1" t="n">
        <f aca="false">IF(G27="","",1)</f>
        <v>1</v>
      </c>
    </row>
    <row r="28" customFormat="false" ht="15" hidden="false" customHeight="true" outlineLevel="0" collapsed="false">
      <c r="B28" s="283"/>
      <c r="C28" s="267"/>
      <c r="D28" s="583"/>
      <c r="E28" s="401" t="s">
        <v>84</v>
      </c>
      <c r="F28" s="402" t="s">
        <v>70</v>
      </c>
      <c r="G28" s="568" t="n">
        <f aca="false">'2020'!G28</f>
        <v>27</v>
      </c>
      <c r="H28" s="569" t="n">
        <f aca="false">'2021'!G28</f>
        <v>32</v>
      </c>
      <c r="I28" s="570" t="n">
        <f aca="false">'2022'!G28</f>
        <v>0</v>
      </c>
      <c r="J28" s="571" t="n">
        <f aca="false">'2020'!H28</f>
        <v>17</v>
      </c>
      <c r="K28" s="569" t="n">
        <f aca="false">'2021'!H28</f>
        <v>17</v>
      </c>
      <c r="L28" s="570" t="n">
        <f aca="false">'2022'!H28</f>
        <v>0</v>
      </c>
      <c r="M28" s="188" t="n">
        <f aca="false">IF(G28=0,0,IF(P28=0,0,P28/G28))</f>
        <v>0.259259259259259</v>
      </c>
      <c r="N28" s="190" t="n">
        <f aca="false">IF(H28=0,0,IF(Q28=0,0,Q28/H28))</f>
        <v>0.15625</v>
      </c>
      <c r="O28" s="572" t="n">
        <f aca="false">IF(I28=0,0,IF(R28=0,0,R28/I28))</f>
        <v>0</v>
      </c>
      <c r="P28" s="571" t="n">
        <f aca="false">'2020'!J28</f>
        <v>7</v>
      </c>
      <c r="Q28" s="569" t="n">
        <f aca="false">'2021'!J28</f>
        <v>5</v>
      </c>
      <c r="R28" s="570" t="n">
        <f aca="false">'2022'!J28</f>
        <v>0</v>
      </c>
      <c r="S28" s="292" t="n">
        <f aca="false">T28/G28</f>
        <v>0.444444444444444</v>
      </c>
      <c r="T28" s="405" t="n">
        <v>12</v>
      </c>
      <c r="U28" s="292" t="str">
        <f aca="false">IF(V28="-","-",V28/T28)</f>
        <v>-</v>
      </c>
      <c r="V28" s="406" t="s">
        <v>75</v>
      </c>
      <c r="W28" s="407" t="s">
        <v>75</v>
      </c>
      <c r="X28" s="408" t="s">
        <v>75</v>
      </c>
      <c r="Y28" s="407" t="s">
        <v>75</v>
      </c>
      <c r="Z28" s="408" t="s">
        <v>75</v>
      </c>
      <c r="AA28" s="296" t="s">
        <v>75</v>
      </c>
      <c r="AB28" s="291" t="s">
        <v>75</v>
      </c>
      <c r="AC28" s="296" t="s">
        <v>75</v>
      </c>
      <c r="AD28" s="297" t="s">
        <v>75</v>
      </c>
      <c r="AE28" s="377" t="s">
        <v>153</v>
      </c>
      <c r="AG28" s="1" t="n">
        <f aca="false">IF(G28="","",1)</f>
        <v>1</v>
      </c>
    </row>
    <row r="29" customFormat="false" ht="15" hidden="false" customHeight="true" outlineLevel="0" collapsed="false">
      <c r="B29" s="283"/>
      <c r="C29" s="267"/>
      <c r="D29" s="583"/>
      <c r="E29" s="409"/>
      <c r="F29" s="410"/>
      <c r="G29" s="584"/>
      <c r="H29" s="585"/>
      <c r="I29" s="586"/>
      <c r="J29" s="587"/>
      <c r="K29" s="585"/>
      <c r="L29" s="586"/>
      <c r="M29" s="588"/>
      <c r="N29" s="589"/>
      <c r="O29" s="590"/>
      <c r="P29" s="587"/>
      <c r="Q29" s="585"/>
      <c r="R29" s="586"/>
      <c r="S29" s="591"/>
      <c r="T29" s="592"/>
      <c r="U29" s="591"/>
      <c r="V29" s="411"/>
      <c r="W29" s="412"/>
      <c r="X29" s="413"/>
      <c r="Y29" s="412"/>
      <c r="Z29" s="413"/>
      <c r="AA29" s="414"/>
      <c r="AB29" s="415"/>
      <c r="AC29" s="414"/>
      <c r="AD29" s="416"/>
      <c r="AE29" s="377"/>
    </row>
    <row r="30" customFormat="false" ht="15" hidden="false" customHeight="true" outlineLevel="0" collapsed="false">
      <c r="B30" s="283"/>
      <c r="C30" s="267"/>
      <c r="D30" s="583"/>
      <c r="E30" s="409"/>
      <c r="F30" s="410"/>
      <c r="G30" s="584"/>
      <c r="H30" s="585"/>
      <c r="I30" s="586"/>
      <c r="J30" s="587"/>
      <c r="K30" s="585"/>
      <c r="L30" s="586"/>
      <c r="M30" s="588"/>
      <c r="N30" s="589"/>
      <c r="O30" s="590"/>
      <c r="P30" s="587"/>
      <c r="Q30" s="585"/>
      <c r="R30" s="586"/>
      <c r="S30" s="591"/>
      <c r="T30" s="592"/>
      <c r="U30" s="591"/>
      <c r="V30" s="411"/>
      <c r="W30" s="412"/>
      <c r="X30" s="413"/>
      <c r="Y30" s="412"/>
      <c r="Z30" s="413"/>
      <c r="AA30" s="414"/>
      <c r="AB30" s="415"/>
      <c r="AC30" s="414"/>
      <c r="AD30" s="416"/>
      <c r="AE30" s="377"/>
    </row>
    <row r="31" customFormat="false" ht="15" hidden="false" customHeight="true" outlineLevel="0" collapsed="false">
      <c r="B31" s="283"/>
      <c r="C31" s="267"/>
      <c r="D31" s="583"/>
      <c r="E31" s="420" t="s">
        <v>85</v>
      </c>
      <c r="F31" s="421" t="s">
        <v>70</v>
      </c>
      <c r="G31" s="573" t="n">
        <f aca="false">'2020'!G31</f>
        <v>4</v>
      </c>
      <c r="H31" s="574" t="n">
        <f aca="false">'2021'!G31</f>
        <v>0</v>
      </c>
      <c r="I31" s="575" t="n">
        <f aca="false">'2022'!G31</f>
        <v>0</v>
      </c>
      <c r="J31" s="576" t="n">
        <f aca="false">'2020'!H31</f>
        <v>2</v>
      </c>
      <c r="K31" s="574" t="n">
        <f aca="false">'2021'!H31</f>
        <v>0</v>
      </c>
      <c r="L31" s="575" t="n">
        <f aca="false">'2022'!H31</f>
        <v>0</v>
      </c>
      <c r="M31" s="302" t="n">
        <f aca="false">IF(G31=0,0,IF(P31=0,0,P31/G31))</f>
        <v>0.5</v>
      </c>
      <c r="N31" s="304" t="n">
        <f aca="false">IF(H31=0,0,IF(Q31=0,0,Q31/H31))</f>
        <v>0</v>
      </c>
      <c r="O31" s="577" t="n">
        <f aca="false">IF(I31=0,0,IF(R31=0,0,R31/I31))</f>
        <v>0</v>
      </c>
      <c r="P31" s="576" t="n">
        <f aca="false">'2020'!J31</f>
        <v>2</v>
      </c>
      <c r="Q31" s="574" t="n">
        <f aca="false">'2021'!J31</f>
        <v>0</v>
      </c>
      <c r="R31" s="575" t="n">
        <f aca="false">'2022'!J31</f>
        <v>0</v>
      </c>
      <c r="S31" s="302" t="n">
        <f aca="false">T31/G31</f>
        <v>0</v>
      </c>
      <c r="T31" s="424"/>
      <c r="U31" s="302" t="str">
        <f aca="false">IF(V31="-","-",V31/T31)</f>
        <v>-</v>
      </c>
      <c r="V31" s="425" t="s">
        <v>75</v>
      </c>
      <c r="W31" s="426" t="s">
        <v>75</v>
      </c>
      <c r="X31" s="427" t="s">
        <v>75</v>
      </c>
      <c r="Y31" s="426" t="s">
        <v>75</v>
      </c>
      <c r="Z31" s="427" t="s">
        <v>75</v>
      </c>
      <c r="AA31" s="306" t="s">
        <v>75</v>
      </c>
      <c r="AB31" s="301" t="s">
        <v>75</v>
      </c>
      <c r="AC31" s="306" t="s">
        <v>75</v>
      </c>
      <c r="AD31" s="307" t="s">
        <v>75</v>
      </c>
      <c r="AE31" s="377" t="s">
        <v>153</v>
      </c>
      <c r="AG31" s="1" t="n">
        <f aca="false">IF(G31="","",1)</f>
        <v>1</v>
      </c>
    </row>
    <row r="32" customFormat="false" ht="15.75" hidden="false" customHeight="false" outlineLevel="0" collapsed="false">
      <c r="B32" s="283"/>
      <c r="C32" s="267"/>
      <c r="D32" s="578" t="s">
        <v>76</v>
      </c>
      <c r="E32" s="312"/>
      <c r="F32" s="429"/>
      <c r="G32" s="579" t="n">
        <f aca="false">SUM(G21:G31)</f>
        <v>172</v>
      </c>
      <c r="H32" s="580" t="n">
        <f aca="false">SUM(H21:H31)</f>
        <v>295</v>
      </c>
      <c r="I32" s="581" t="n">
        <f aca="false">SUM(I21:I31)</f>
        <v>0</v>
      </c>
      <c r="J32" s="582" t="n">
        <f aca="false">SUM(J21:J31)</f>
        <v>111</v>
      </c>
      <c r="K32" s="580" t="n">
        <f aca="false">SUM(K21:K31)</f>
        <v>193</v>
      </c>
      <c r="L32" s="581" t="n">
        <f aca="false">SUM(L21:L31)</f>
        <v>0</v>
      </c>
      <c r="M32" s="317" t="n">
        <f aca="false">IF(G32=0,0,IF(P32=0,0,P32/G32))</f>
        <v>0.244186046511628</v>
      </c>
      <c r="N32" s="319" t="n">
        <f aca="false">IF(H32=0,0,IF(Q32=0,0,Q32/H32))</f>
        <v>0.250847457627119</v>
      </c>
      <c r="O32" s="562" t="n">
        <f aca="false">IF(I32=0,0,IF(R32=0,0,R32/I32))</f>
        <v>0</v>
      </c>
      <c r="P32" s="582" t="n">
        <f aca="false">SUM(P21:P31)</f>
        <v>42</v>
      </c>
      <c r="Q32" s="580" t="n">
        <f aca="false">SUM(Q21:Q31)</f>
        <v>74</v>
      </c>
      <c r="R32" s="581" t="n">
        <f aca="false">SUM(R21:R31)</f>
        <v>0</v>
      </c>
      <c r="S32" s="218" t="n">
        <f aca="false">T32/G32</f>
        <v>0.505813953488372</v>
      </c>
      <c r="T32" s="320" t="n">
        <f aca="false">SUM(T21:T31)</f>
        <v>87</v>
      </c>
      <c r="U32" s="218" t="n">
        <f aca="false">V32/T32</f>
        <v>0</v>
      </c>
      <c r="V32" s="320" t="n">
        <f aca="false">SUM(V21:V31)</f>
        <v>0</v>
      </c>
      <c r="W32" s="430"/>
      <c r="X32" s="431"/>
      <c r="Y32" s="430"/>
      <c r="Z32" s="431"/>
      <c r="AA32" s="430"/>
      <c r="AB32" s="431"/>
      <c r="AC32" s="430"/>
      <c r="AD32" s="432"/>
      <c r="AE32" s="377" t="s">
        <v>153</v>
      </c>
    </row>
    <row r="33" customFormat="false" ht="15" hidden="false" customHeight="true" outlineLevel="0" collapsed="false">
      <c r="B33" s="433" t="s">
        <v>156</v>
      </c>
      <c r="C33" s="434" t="s">
        <v>68</v>
      </c>
      <c r="D33" s="378" t="n">
        <v>9</v>
      </c>
      <c r="E33" s="388" t="s">
        <v>87</v>
      </c>
      <c r="F33" s="389" t="s">
        <v>70</v>
      </c>
      <c r="G33" s="593" t="n">
        <f aca="false">'2020'!G33</f>
        <v>37</v>
      </c>
      <c r="H33" s="594" t="n">
        <f aca="false">'2021'!G33</f>
        <v>46</v>
      </c>
      <c r="I33" s="595" t="n">
        <f aca="false">'2022'!G33</f>
        <v>0</v>
      </c>
      <c r="J33" s="596" t="n">
        <f aca="false">'2020'!H33</f>
        <v>23</v>
      </c>
      <c r="K33" s="594" t="n">
        <f aca="false">'2021'!H33</f>
        <v>32</v>
      </c>
      <c r="L33" s="595" t="n">
        <f aca="false">'2022'!H33</f>
        <v>0</v>
      </c>
      <c r="M33" s="394" t="n">
        <f aca="false">IF(G33=0,0,IF(P33=0,0,P33/G33))</f>
        <v>0.38</v>
      </c>
      <c r="N33" s="392" t="n">
        <f aca="false">IF(H33=0,0,IF(Q33=0,0,Q33/H33))</f>
        <v>0.652173913043478</v>
      </c>
      <c r="O33" s="597" t="n">
        <f aca="false">IF(I33=0,0,IF(R33=0,0,R33/I33))</f>
        <v>0</v>
      </c>
      <c r="P33" s="596" t="n">
        <f aca="false">'2020'!J33</f>
        <v>14.06</v>
      </c>
      <c r="Q33" s="594" t="n">
        <f aca="false">'2021'!J33</f>
        <v>30</v>
      </c>
      <c r="R33" s="595" t="n">
        <f aca="false">'2022'!J33</f>
        <v>0</v>
      </c>
      <c r="S33" s="394" t="n">
        <f aca="false">T33/G33</f>
        <v>0.243243243243243</v>
      </c>
      <c r="T33" s="437" t="n">
        <v>9</v>
      </c>
      <c r="U33" s="394" t="n">
        <f aca="false">IF(V33="-","-",V33/T33)</f>
        <v>1</v>
      </c>
      <c r="V33" s="395" t="n">
        <v>9</v>
      </c>
      <c r="W33" s="396" t="s">
        <v>75</v>
      </c>
      <c r="X33" s="397" t="s">
        <v>75</v>
      </c>
      <c r="Y33" s="396" t="s">
        <v>75</v>
      </c>
      <c r="Z33" s="397" t="s">
        <v>75</v>
      </c>
      <c r="AA33" s="398" t="s">
        <v>75</v>
      </c>
      <c r="AB33" s="399" t="s">
        <v>75</v>
      </c>
      <c r="AC33" s="398" t="s">
        <v>75</v>
      </c>
      <c r="AD33" s="400" t="s">
        <v>75</v>
      </c>
      <c r="AE33" s="377" t="s">
        <v>153</v>
      </c>
      <c r="AG33" s="1" t="n">
        <f aca="false">IF(G33="","",1)</f>
        <v>1</v>
      </c>
    </row>
    <row r="34" customFormat="false" ht="15" hidden="false" customHeight="false" outlineLevel="0" collapsed="false">
      <c r="B34" s="433"/>
      <c r="C34" s="434"/>
      <c r="D34" s="378"/>
      <c r="E34" s="401" t="s">
        <v>88</v>
      </c>
      <c r="F34" s="402" t="s">
        <v>70</v>
      </c>
      <c r="G34" s="598" t="n">
        <f aca="false">'2020'!G34</f>
        <v>33</v>
      </c>
      <c r="H34" s="599" t="n">
        <f aca="false">'2021'!G34</f>
        <v>28</v>
      </c>
      <c r="I34" s="600" t="n">
        <f aca="false">'2022'!G34</f>
        <v>0</v>
      </c>
      <c r="J34" s="601" t="n">
        <f aca="false">'2020'!H34</f>
        <v>15</v>
      </c>
      <c r="K34" s="599" t="n">
        <f aca="false">'2021'!H34</f>
        <v>17</v>
      </c>
      <c r="L34" s="600" t="n">
        <f aca="false">'2022'!H34</f>
        <v>0</v>
      </c>
      <c r="M34" s="292" t="n">
        <f aca="false">IF(G34=0,0,IF(P34=0,0,P34/G34))</f>
        <v>0.3</v>
      </c>
      <c r="N34" s="294" t="n">
        <f aca="false">IF(H34=0,0,IF(Q34=0,0,Q34/H34))</f>
        <v>0.642857142857143</v>
      </c>
      <c r="O34" s="602" t="n">
        <f aca="false">IF(I34=0,0,IF(R34=0,0,R34/I34))</f>
        <v>0</v>
      </c>
      <c r="P34" s="601" t="n">
        <f aca="false">'2020'!J34</f>
        <v>9.9</v>
      </c>
      <c r="Q34" s="599" t="n">
        <f aca="false">'2021'!J34</f>
        <v>18</v>
      </c>
      <c r="R34" s="600" t="n">
        <f aca="false">'2022'!J34</f>
        <v>0</v>
      </c>
      <c r="S34" s="292" t="n">
        <f aca="false">T34/G34</f>
        <v>0.272727272727273</v>
      </c>
      <c r="T34" s="440" t="n">
        <v>9</v>
      </c>
      <c r="U34" s="292" t="n">
        <f aca="false">IF(V34="-","-",V34/T34)</f>
        <v>0.777777777777778</v>
      </c>
      <c r="V34" s="406" t="n">
        <v>7</v>
      </c>
      <c r="W34" s="407" t="s">
        <v>75</v>
      </c>
      <c r="X34" s="408" t="s">
        <v>75</v>
      </c>
      <c r="Y34" s="407" t="s">
        <v>75</v>
      </c>
      <c r="Z34" s="408" t="s">
        <v>75</v>
      </c>
      <c r="AA34" s="296" t="s">
        <v>75</v>
      </c>
      <c r="AB34" s="291" t="s">
        <v>75</v>
      </c>
      <c r="AC34" s="296" t="s">
        <v>75</v>
      </c>
      <c r="AD34" s="297" t="s">
        <v>75</v>
      </c>
      <c r="AE34" s="377" t="s">
        <v>153</v>
      </c>
      <c r="AG34" s="1" t="n">
        <f aca="false">IF(G34="","",1)</f>
        <v>1</v>
      </c>
    </row>
    <row r="35" customFormat="false" ht="15" hidden="false" customHeight="false" outlineLevel="0" collapsed="false">
      <c r="B35" s="433"/>
      <c r="C35" s="434"/>
      <c r="D35" s="378"/>
      <c r="E35" s="401" t="s">
        <v>89</v>
      </c>
      <c r="F35" s="402" t="s">
        <v>70</v>
      </c>
      <c r="G35" s="598" t="n">
        <f aca="false">'2020'!G35</f>
        <v>6</v>
      </c>
      <c r="H35" s="599" t="n">
        <f aca="false">'2021'!G35</f>
        <v>5</v>
      </c>
      <c r="I35" s="600" t="n">
        <f aca="false">'2022'!G35</f>
        <v>0</v>
      </c>
      <c r="J35" s="601" t="n">
        <f aca="false">'2020'!H35</f>
        <v>5</v>
      </c>
      <c r="K35" s="599" t="n">
        <f aca="false">'2021'!H35</f>
        <v>5</v>
      </c>
      <c r="L35" s="600" t="n">
        <f aca="false">'2022'!H35</f>
        <v>0</v>
      </c>
      <c r="M35" s="292" t="n">
        <f aca="false">IF(G35=0,0,IF(P35=0,0,P35/G35))</f>
        <v>0</v>
      </c>
      <c r="N35" s="294" t="n">
        <f aca="false">IF(H35=0,0,IF(Q35=0,0,Q35/H35))</f>
        <v>0.6</v>
      </c>
      <c r="O35" s="602" t="n">
        <f aca="false">IF(I35=0,0,IF(R35=0,0,R35/I35))</f>
        <v>0</v>
      </c>
      <c r="P35" s="601" t="n">
        <f aca="false">'2020'!J35</f>
        <v>0</v>
      </c>
      <c r="Q35" s="599" t="n">
        <f aca="false">'2021'!J35</f>
        <v>3</v>
      </c>
      <c r="R35" s="600" t="n">
        <f aca="false">'2022'!J35</f>
        <v>0</v>
      </c>
      <c r="S35" s="292" t="n">
        <f aca="false">T35/G35</f>
        <v>0.166666666666667</v>
      </c>
      <c r="T35" s="440" t="n">
        <v>1</v>
      </c>
      <c r="U35" s="292" t="n">
        <f aca="false">IF(V35="-","-",V35/T35)</f>
        <v>1</v>
      </c>
      <c r="V35" s="406" t="n">
        <v>1</v>
      </c>
      <c r="W35" s="407" t="s">
        <v>75</v>
      </c>
      <c r="X35" s="408" t="s">
        <v>75</v>
      </c>
      <c r="Y35" s="407" t="s">
        <v>75</v>
      </c>
      <c r="Z35" s="408" t="s">
        <v>75</v>
      </c>
      <c r="AA35" s="296" t="s">
        <v>75</v>
      </c>
      <c r="AB35" s="291" t="s">
        <v>75</v>
      </c>
      <c r="AC35" s="296" t="s">
        <v>75</v>
      </c>
      <c r="AD35" s="297" t="s">
        <v>75</v>
      </c>
      <c r="AE35" s="377" t="s">
        <v>153</v>
      </c>
      <c r="AG35" s="1" t="n">
        <f aca="false">IF(G35="","",1)</f>
        <v>1</v>
      </c>
    </row>
    <row r="36" customFormat="false" ht="15" hidden="false" customHeight="false" outlineLevel="0" collapsed="false">
      <c r="B36" s="433"/>
      <c r="C36" s="434"/>
      <c r="D36" s="378"/>
      <c r="E36" s="401" t="s">
        <v>90</v>
      </c>
      <c r="F36" s="402" t="s">
        <v>70</v>
      </c>
      <c r="G36" s="598" t="n">
        <f aca="false">'2020'!G36</f>
        <v>25</v>
      </c>
      <c r="H36" s="599" t="n">
        <f aca="false">'2021'!G36</f>
        <v>45</v>
      </c>
      <c r="I36" s="600" t="n">
        <f aca="false">'2022'!G36</f>
        <v>0</v>
      </c>
      <c r="J36" s="601" t="n">
        <f aca="false">'2020'!H36</f>
        <v>15</v>
      </c>
      <c r="K36" s="599" t="n">
        <f aca="false">'2021'!H36</f>
        <v>26</v>
      </c>
      <c r="L36" s="600" t="n">
        <f aca="false">'2022'!H36</f>
        <v>0</v>
      </c>
      <c r="M36" s="292" t="n">
        <f aca="false">IF(G36=0,0,IF(P36=0,0,P36/G36))</f>
        <v>0.28</v>
      </c>
      <c r="N36" s="294" t="n">
        <f aca="false">IF(H36=0,0,IF(Q36=0,0,Q36/H36))</f>
        <v>0.266666666666667</v>
      </c>
      <c r="O36" s="602" t="n">
        <f aca="false">IF(I36=0,0,IF(R36=0,0,R36/I36))</f>
        <v>0</v>
      </c>
      <c r="P36" s="601" t="n">
        <f aca="false">'2020'!J36</f>
        <v>7</v>
      </c>
      <c r="Q36" s="599" t="n">
        <f aca="false">'2021'!J36</f>
        <v>12</v>
      </c>
      <c r="R36" s="600" t="n">
        <f aca="false">'2022'!J36</f>
        <v>0</v>
      </c>
      <c r="S36" s="292" t="n">
        <f aca="false">T36/G36</f>
        <v>0.48</v>
      </c>
      <c r="T36" s="440" t="n">
        <v>12</v>
      </c>
      <c r="U36" s="292" t="n">
        <f aca="false">IF(V36="-","-",V36/T36)</f>
        <v>0.25</v>
      </c>
      <c r="V36" s="406" t="n">
        <v>3</v>
      </c>
      <c r="W36" s="407" t="s">
        <v>75</v>
      </c>
      <c r="X36" s="408" t="s">
        <v>75</v>
      </c>
      <c r="Y36" s="407" t="s">
        <v>75</v>
      </c>
      <c r="Z36" s="408" t="s">
        <v>75</v>
      </c>
      <c r="AA36" s="296" t="s">
        <v>75</v>
      </c>
      <c r="AB36" s="291" t="s">
        <v>75</v>
      </c>
      <c r="AC36" s="296" t="s">
        <v>75</v>
      </c>
      <c r="AD36" s="297" t="s">
        <v>75</v>
      </c>
      <c r="AE36" s="377" t="s">
        <v>153</v>
      </c>
      <c r="AG36" s="1" t="n">
        <f aca="false">IF(G36="","",1)</f>
        <v>1</v>
      </c>
    </row>
    <row r="37" customFormat="false" ht="15" hidden="false" customHeight="false" outlineLevel="0" collapsed="false">
      <c r="B37" s="433"/>
      <c r="C37" s="434"/>
      <c r="D37" s="378"/>
      <c r="E37" s="401" t="s">
        <v>91</v>
      </c>
      <c r="F37" s="402" t="s">
        <v>70</v>
      </c>
      <c r="G37" s="598" t="n">
        <f aca="false">'2020'!G37</f>
        <v>15</v>
      </c>
      <c r="H37" s="599" t="n">
        <f aca="false">'2021'!G37</f>
        <v>14</v>
      </c>
      <c r="I37" s="600" t="n">
        <f aca="false">'2022'!G37</f>
        <v>0</v>
      </c>
      <c r="J37" s="601" t="n">
        <f aca="false">'2020'!H37</f>
        <v>9</v>
      </c>
      <c r="K37" s="599" t="n">
        <f aca="false">'2021'!H37</f>
        <v>9</v>
      </c>
      <c r="L37" s="600" t="n">
        <f aca="false">'2022'!H37</f>
        <v>0</v>
      </c>
      <c r="M37" s="292" t="n">
        <f aca="false">IF(G37=0,0,IF(P37=0,0,P37/G37))</f>
        <v>0.13</v>
      </c>
      <c r="N37" s="294" t="n">
        <f aca="false">IF(H37=0,0,IF(Q37=0,0,Q37/H37))</f>
        <v>0.214285714285714</v>
      </c>
      <c r="O37" s="602" t="n">
        <f aca="false">IF(I37=0,0,IF(R37=0,0,R37/I37))</f>
        <v>0</v>
      </c>
      <c r="P37" s="601" t="n">
        <f aca="false">'2020'!J37</f>
        <v>1.95</v>
      </c>
      <c r="Q37" s="599" t="n">
        <f aca="false">'2021'!J37</f>
        <v>3</v>
      </c>
      <c r="R37" s="600" t="n">
        <f aca="false">'2022'!J37</f>
        <v>0</v>
      </c>
      <c r="S37" s="292" t="n">
        <f aca="false">T37/G37</f>
        <v>0.133333333333333</v>
      </c>
      <c r="T37" s="440" t="n">
        <v>2</v>
      </c>
      <c r="U37" s="292" t="n">
        <f aca="false">IF(V37="-","-",V37/T37)</f>
        <v>0.5</v>
      </c>
      <c r="V37" s="406" t="n">
        <v>1</v>
      </c>
      <c r="W37" s="407" t="s">
        <v>75</v>
      </c>
      <c r="X37" s="408" t="s">
        <v>75</v>
      </c>
      <c r="Y37" s="407" t="s">
        <v>75</v>
      </c>
      <c r="Z37" s="408" t="s">
        <v>75</v>
      </c>
      <c r="AA37" s="296" t="s">
        <v>75</v>
      </c>
      <c r="AB37" s="291" t="s">
        <v>75</v>
      </c>
      <c r="AC37" s="296" t="s">
        <v>75</v>
      </c>
      <c r="AD37" s="297" t="s">
        <v>75</v>
      </c>
      <c r="AE37" s="377" t="s">
        <v>153</v>
      </c>
      <c r="AG37" s="1" t="n">
        <f aca="false">IF(G37="","",1)</f>
        <v>1</v>
      </c>
    </row>
    <row r="38" customFormat="false" ht="15" hidden="false" customHeight="false" outlineLevel="0" collapsed="false">
      <c r="B38" s="433"/>
      <c r="C38" s="434"/>
      <c r="D38" s="378"/>
      <c r="E38" s="401" t="s">
        <v>92</v>
      </c>
      <c r="F38" s="402" t="s">
        <v>70</v>
      </c>
      <c r="G38" s="598" t="n">
        <f aca="false">'2020'!G38</f>
        <v>16</v>
      </c>
      <c r="H38" s="599" t="n">
        <f aca="false">'2021'!G38</f>
        <v>31</v>
      </c>
      <c r="I38" s="600" t="n">
        <f aca="false">'2022'!G38</f>
        <v>0</v>
      </c>
      <c r="J38" s="601" t="n">
        <f aca="false">'2020'!H38</f>
        <v>14</v>
      </c>
      <c r="K38" s="599" t="n">
        <f aca="false">'2021'!H38</f>
        <v>23</v>
      </c>
      <c r="L38" s="600" t="n">
        <f aca="false">'2022'!H38</f>
        <v>0</v>
      </c>
      <c r="M38" s="292" t="n">
        <f aca="false">IF(G38=0,0,IF(P38=0,0,P38/G38))</f>
        <v>0.38</v>
      </c>
      <c r="N38" s="294" t="n">
        <f aca="false">IF(H38=0,0,IF(Q38=0,0,Q38/H38))</f>
        <v>0.548387096774194</v>
      </c>
      <c r="O38" s="602" t="n">
        <f aca="false">IF(I38=0,0,IF(R38=0,0,R38/I38))</f>
        <v>0</v>
      </c>
      <c r="P38" s="601" t="n">
        <f aca="false">'2020'!J38</f>
        <v>6.08</v>
      </c>
      <c r="Q38" s="599" t="n">
        <f aca="false">'2021'!J38</f>
        <v>17</v>
      </c>
      <c r="R38" s="600" t="n">
        <f aca="false">'2022'!J38</f>
        <v>0</v>
      </c>
      <c r="S38" s="292" t="n">
        <f aca="false">T38/G38</f>
        <v>0.3125</v>
      </c>
      <c r="T38" s="440" t="n">
        <v>5</v>
      </c>
      <c r="U38" s="292" t="n">
        <f aca="false">IF(V38="-","-",V38/T38)</f>
        <v>1</v>
      </c>
      <c r="V38" s="406" t="n">
        <v>5</v>
      </c>
      <c r="W38" s="407" t="s">
        <v>75</v>
      </c>
      <c r="X38" s="408" t="s">
        <v>75</v>
      </c>
      <c r="Y38" s="407" t="s">
        <v>75</v>
      </c>
      <c r="Z38" s="408" t="s">
        <v>75</v>
      </c>
      <c r="AA38" s="296" t="s">
        <v>75</v>
      </c>
      <c r="AB38" s="291" t="s">
        <v>75</v>
      </c>
      <c r="AC38" s="296" t="s">
        <v>75</v>
      </c>
      <c r="AD38" s="297" t="s">
        <v>75</v>
      </c>
      <c r="AE38" s="377" t="s">
        <v>153</v>
      </c>
      <c r="AG38" s="1" t="n">
        <f aca="false">IF(G38="","",1)</f>
        <v>1</v>
      </c>
    </row>
    <row r="39" customFormat="false" ht="15" hidden="false" customHeight="false" outlineLevel="0" collapsed="false">
      <c r="B39" s="433"/>
      <c r="C39" s="434"/>
      <c r="D39" s="378"/>
      <c r="E39" s="401" t="s">
        <v>93</v>
      </c>
      <c r="F39" s="402" t="s">
        <v>70</v>
      </c>
      <c r="G39" s="598" t="n">
        <f aca="false">'2020'!G39</f>
        <v>7</v>
      </c>
      <c r="H39" s="599" t="n">
        <f aca="false">'2021'!G39</f>
        <v>12</v>
      </c>
      <c r="I39" s="600" t="n">
        <f aca="false">'2022'!G39</f>
        <v>0</v>
      </c>
      <c r="J39" s="601" t="n">
        <f aca="false">'2020'!H39</f>
        <v>5</v>
      </c>
      <c r="K39" s="599" t="n">
        <f aca="false">'2021'!H39</f>
        <v>7</v>
      </c>
      <c r="L39" s="600" t="n">
        <f aca="false">'2022'!H39</f>
        <v>0</v>
      </c>
      <c r="M39" s="292" t="n">
        <f aca="false">IF(G39=0,0,IF(P39=0,0,P39/G39))</f>
        <v>0.14</v>
      </c>
      <c r="N39" s="294" t="n">
        <f aca="false">IF(H39=0,0,IF(Q39=0,0,Q39/H39))</f>
        <v>0.333333333333333</v>
      </c>
      <c r="O39" s="602" t="n">
        <f aca="false">IF(I39=0,0,IF(R39=0,0,R39/I39))</f>
        <v>0</v>
      </c>
      <c r="P39" s="601" t="n">
        <f aca="false">'2020'!J39</f>
        <v>0.98</v>
      </c>
      <c r="Q39" s="599" t="n">
        <f aca="false">'2021'!J39</f>
        <v>4</v>
      </c>
      <c r="R39" s="600" t="n">
        <f aca="false">'2022'!J39</f>
        <v>0</v>
      </c>
      <c r="S39" s="292" t="n">
        <f aca="false">T39/G39</f>
        <v>0.571428571428571</v>
      </c>
      <c r="T39" s="440" t="n">
        <v>4</v>
      </c>
      <c r="U39" s="292" t="n">
        <f aca="false">IF(V39="-","-",V39/T39)</f>
        <v>0.5</v>
      </c>
      <c r="V39" s="406" t="n">
        <v>2</v>
      </c>
      <c r="W39" s="407" t="s">
        <v>75</v>
      </c>
      <c r="X39" s="408" t="s">
        <v>75</v>
      </c>
      <c r="Y39" s="407" t="s">
        <v>75</v>
      </c>
      <c r="Z39" s="408" t="s">
        <v>75</v>
      </c>
      <c r="AA39" s="296" t="s">
        <v>75</v>
      </c>
      <c r="AB39" s="291" t="s">
        <v>75</v>
      </c>
      <c r="AC39" s="296" t="s">
        <v>75</v>
      </c>
      <c r="AD39" s="297" t="s">
        <v>75</v>
      </c>
      <c r="AE39" s="377" t="s">
        <v>153</v>
      </c>
      <c r="AG39" s="1" t="n">
        <f aca="false">IF(G39="","",1)</f>
        <v>1</v>
      </c>
    </row>
    <row r="40" customFormat="false" ht="15" hidden="false" customHeight="false" outlineLevel="0" collapsed="false">
      <c r="B40" s="433"/>
      <c r="C40" s="434"/>
      <c r="D40" s="378"/>
      <c r="E40" s="409"/>
      <c r="F40" s="410"/>
      <c r="G40" s="603"/>
      <c r="H40" s="604"/>
      <c r="I40" s="605"/>
      <c r="J40" s="606"/>
      <c r="K40" s="604"/>
      <c r="L40" s="605"/>
      <c r="M40" s="591"/>
      <c r="N40" s="607"/>
      <c r="O40" s="608"/>
      <c r="P40" s="606"/>
      <c r="Q40" s="604"/>
      <c r="R40" s="605"/>
      <c r="S40" s="591"/>
      <c r="T40" s="443"/>
      <c r="U40" s="591"/>
      <c r="V40" s="411"/>
      <c r="W40" s="412"/>
      <c r="X40" s="413"/>
      <c r="Y40" s="412"/>
      <c r="Z40" s="413"/>
      <c r="AA40" s="414"/>
      <c r="AB40" s="415"/>
      <c r="AC40" s="414"/>
      <c r="AD40" s="416"/>
      <c r="AE40" s="377"/>
    </row>
    <row r="41" customFormat="false" ht="15" hidden="false" customHeight="false" outlineLevel="0" collapsed="false">
      <c r="B41" s="433"/>
      <c r="C41" s="434"/>
      <c r="D41" s="378"/>
      <c r="E41" s="409"/>
      <c r="F41" s="410"/>
      <c r="G41" s="603"/>
      <c r="H41" s="604"/>
      <c r="I41" s="605"/>
      <c r="J41" s="606"/>
      <c r="K41" s="604"/>
      <c r="L41" s="605"/>
      <c r="M41" s="591"/>
      <c r="N41" s="607"/>
      <c r="O41" s="608"/>
      <c r="P41" s="606"/>
      <c r="Q41" s="604"/>
      <c r="R41" s="605"/>
      <c r="S41" s="591"/>
      <c r="T41" s="443"/>
      <c r="U41" s="591"/>
      <c r="V41" s="411"/>
      <c r="W41" s="412"/>
      <c r="X41" s="413"/>
      <c r="Y41" s="412"/>
      <c r="Z41" s="413"/>
      <c r="AA41" s="414"/>
      <c r="AB41" s="415"/>
      <c r="AC41" s="414"/>
      <c r="AD41" s="416"/>
      <c r="AE41" s="377"/>
    </row>
    <row r="42" customFormat="false" ht="15" hidden="false" customHeight="false" outlineLevel="0" collapsed="false">
      <c r="B42" s="433"/>
      <c r="C42" s="434"/>
      <c r="D42" s="378"/>
      <c r="E42" s="420" t="s">
        <v>94</v>
      </c>
      <c r="F42" s="421" t="s">
        <v>70</v>
      </c>
      <c r="G42" s="573" t="n">
        <f aca="false">'2020'!G42</f>
        <v>20</v>
      </c>
      <c r="H42" s="574" t="n">
        <f aca="false">'2021'!G42</f>
        <v>17</v>
      </c>
      <c r="I42" s="575" t="n">
        <f aca="false">'2022'!G42</f>
        <v>0</v>
      </c>
      <c r="J42" s="576" t="n">
        <f aca="false">'2020'!H42</f>
        <v>9</v>
      </c>
      <c r="K42" s="574" t="n">
        <f aca="false">'2021'!H42</f>
        <v>9</v>
      </c>
      <c r="L42" s="575" t="n">
        <f aca="false">'2022'!H42</f>
        <v>0</v>
      </c>
      <c r="M42" s="302" t="n">
        <f aca="false">IF(G42=0,0,IF(P42=0,0,P42/G42))</f>
        <v>0.25</v>
      </c>
      <c r="N42" s="304" t="n">
        <f aca="false">IF(H42=0,0,IF(Q42=0,0,Q42/H42))</f>
        <v>0.411764705882353</v>
      </c>
      <c r="O42" s="577" t="n">
        <f aca="false">IF(I42=0,0,IF(R42=0,0,R42/I42))</f>
        <v>0</v>
      </c>
      <c r="P42" s="576" t="n">
        <f aca="false">'2020'!J42</f>
        <v>5</v>
      </c>
      <c r="Q42" s="574" t="n">
        <f aca="false">'2021'!J42</f>
        <v>7</v>
      </c>
      <c r="R42" s="575" t="n">
        <f aca="false">'2022'!J42</f>
        <v>0</v>
      </c>
      <c r="S42" s="302" t="n">
        <f aca="false">T42/G42</f>
        <v>0.2</v>
      </c>
      <c r="T42" s="424" t="n">
        <v>4</v>
      </c>
      <c r="U42" s="302" t="n">
        <f aca="false">IF(V42="-","-",V42/T42)</f>
        <v>0.25</v>
      </c>
      <c r="V42" s="425" t="n">
        <v>1</v>
      </c>
      <c r="W42" s="426" t="s">
        <v>75</v>
      </c>
      <c r="X42" s="427" t="s">
        <v>75</v>
      </c>
      <c r="Y42" s="426" t="s">
        <v>75</v>
      </c>
      <c r="Z42" s="427" t="s">
        <v>75</v>
      </c>
      <c r="AA42" s="306" t="s">
        <v>75</v>
      </c>
      <c r="AB42" s="301" t="s">
        <v>75</v>
      </c>
      <c r="AC42" s="306" t="s">
        <v>75</v>
      </c>
      <c r="AD42" s="307" t="s">
        <v>75</v>
      </c>
      <c r="AE42" s="377" t="s">
        <v>153</v>
      </c>
      <c r="AG42" s="1" t="n">
        <f aca="false">IF(G42="","",1)</f>
        <v>1</v>
      </c>
    </row>
    <row r="43" customFormat="false" ht="16.5" hidden="false" customHeight="false" outlineLevel="0" collapsed="false">
      <c r="B43" s="433"/>
      <c r="C43" s="434"/>
      <c r="D43" s="444" t="s">
        <v>76</v>
      </c>
      <c r="E43" s="312"/>
      <c r="F43" s="429"/>
      <c r="G43" s="579" t="n">
        <f aca="false">SUM(G33:G42)</f>
        <v>159</v>
      </c>
      <c r="H43" s="580" t="n">
        <f aca="false">SUM(H33:H42)</f>
        <v>198</v>
      </c>
      <c r="I43" s="581" t="n">
        <f aca="false">SUM(I33:I42)</f>
        <v>0</v>
      </c>
      <c r="J43" s="582" t="n">
        <f aca="false">SUM(J33:J42)</f>
        <v>95</v>
      </c>
      <c r="K43" s="580" t="n">
        <f aca="false">SUM(K33:K42)</f>
        <v>128</v>
      </c>
      <c r="L43" s="581" t="n">
        <f aca="false">SUM(L33:L42)</f>
        <v>0</v>
      </c>
      <c r="M43" s="317" t="n">
        <f aca="false">IF(G43=0,0,IF(P43=0,0,P43/G43))</f>
        <v>0.282830188679245</v>
      </c>
      <c r="N43" s="319" t="n">
        <f aca="false">IF(H43=0,0,IF(Q43=0,0,Q43/H43))</f>
        <v>0.474747474747475</v>
      </c>
      <c r="O43" s="562" t="n">
        <f aca="false">IF(I43=0,0,IF(R43=0,0,R43/I43))</f>
        <v>0</v>
      </c>
      <c r="P43" s="582" t="n">
        <f aca="false">SUM(P33:P42)</f>
        <v>44.97</v>
      </c>
      <c r="Q43" s="580" t="n">
        <f aca="false">SUM(Q33:Q42)</f>
        <v>94</v>
      </c>
      <c r="R43" s="581" t="n">
        <f aca="false">SUM(R33:R42)</f>
        <v>0</v>
      </c>
      <c r="S43" s="218" t="n">
        <f aca="false">T43/G43</f>
        <v>0.289308176100629</v>
      </c>
      <c r="T43" s="320" t="n">
        <f aca="false">SUM(T33:T42)</f>
        <v>46</v>
      </c>
      <c r="U43" s="218" t="n">
        <f aca="false">V43/T43</f>
        <v>0.630434782608696</v>
      </c>
      <c r="V43" s="320" t="n">
        <f aca="false">SUM(V33:V42)</f>
        <v>29</v>
      </c>
      <c r="W43" s="430"/>
      <c r="X43" s="431"/>
      <c r="Y43" s="430"/>
      <c r="Z43" s="431"/>
      <c r="AA43" s="430"/>
      <c r="AB43" s="431"/>
      <c r="AC43" s="430"/>
      <c r="AD43" s="432"/>
      <c r="AE43" s="377" t="s">
        <v>153</v>
      </c>
    </row>
    <row r="44" s="171" customFormat="true" ht="21" hidden="false" customHeight="true" outlineLevel="0" collapsed="false">
      <c r="A44" s="22"/>
      <c r="B44" s="340" t="s">
        <v>95</v>
      </c>
      <c r="C44" s="341"/>
      <c r="D44" s="341" t="n">
        <f aca="false">SUM(D5:D42)</f>
        <v>31</v>
      </c>
      <c r="E44" s="445" t="n">
        <f aca="false">COUNT(G5:G31,G33:G42)</f>
        <v>33</v>
      </c>
      <c r="F44" s="343" t="n">
        <f aca="false">COUNT(P5:P42)</f>
        <v>34</v>
      </c>
      <c r="G44" s="609" t="n">
        <f aca="false">G5+G32+G43</f>
        <v>394</v>
      </c>
      <c r="H44" s="610" t="n">
        <f aca="false">H5+H32+H43</f>
        <v>595</v>
      </c>
      <c r="I44" s="611" t="n">
        <f aca="false">I5+I32+I43</f>
        <v>0</v>
      </c>
      <c r="J44" s="612" t="n">
        <f aca="false">J5+J32+J43</f>
        <v>235</v>
      </c>
      <c r="K44" s="610" t="n">
        <f aca="false">K5+K32+K43</f>
        <v>415</v>
      </c>
      <c r="L44" s="611" t="n">
        <f aca="false">L5+L32+L43</f>
        <v>0</v>
      </c>
      <c r="M44" s="450" t="n">
        <f aca="false">IF(G44=0,0,IF(P44=0,0,P44/G44))</f>
        <v>0.225812182741117</v>
      </c>
      <c r="N44" s="613" t="n">
        <f aca="false">IF(H44=0,0,IF(Q44=0,0,Q44/H44))</f>
        <v>0.285714285714286</v>
      </c>
      <c r="O44" s="614" t="n">
        <f aca="false">IF(I44=0,0,IF(R44=0,0,R44/I44))</f>
        <v>0</v>
      </c>
      <c r="P44" s="612" t="n">
        <f aca="false">P5+P32+P43</f>
        <v>88.97</v>
      </c>
      <c r="Q44" s="610" t="n">
        <f aca="false">Q5+Q32+Q43</f>
        <v>170</v>
      </c>
      <c r="R44" s="611" t="n">
        <f aca="false">R5+R32+R43</f>
        <v>0</v>
      </c>
      <c r="S44" s="450" t="n">
        <f aca="false">T44/G44</f>
        <v>0.383248730964467</v>
      </c>
      <c r="T44" s="449" t="n">
        <f aca="false">T5+T32+T43</f>
        <v>151</v>
      </c>
      <c r="U44" s="448" t="n">
        <f aca="false">V44/(T5+SUM(T33:T42))</f>
        <v>0.484375</v>
      </c>
      <c r="V44" s="449" t="n">
        <f aca="false">V5+V32+V43</f>
        <v>31</v>
      </c>
      <c r="W44" s="451"/>
      <c r="X44" s="452"/>
      <c r="Y44" s="451"/>
      <c r="Z44" s="452"/>
      <c r="AA44" s="451"/>
      <c r="AB44" s="452"/>
      <c r="AC44" s="451"/>
      <c r="AD44" s="453"/>
      <c r="AE44" s="377" t="s">
        <v>153</v>
      </c>
      <c r="AG44" s="1"/>
    </row>
    <row r="45" customFormat="false" ht="15" hidden="false" customHeight="true" outlineLevel="0" collapsed="false">
      <c r="B45" s="172" t="s">
        <v>157</v>
      </c>
      <c r="C45" s="173" t="s">
        <v>97</v>
      </c>
      <c r="D45" s="454" t="n">
        <v>6</v>
      </c>
      <c r="E45" s="455" t="s">
        <v>98</v>
      </c>
      <c r="F45" s="456" t="s">
        <v>70</v>
      </c>
      <c r="G45" s="593" t="n">
        <f aca="false">'2020'!G45</f>
        <v>603</v>
      </c>
      <c r="H45" s="594" t="n">
        <f aca="false">'2021'!G45</f>
        <v>0</v>
      </c>
      <c r="I45" s="595" t="n">
        <f aca="false">'2022'!G45</f>
        <v>0</v>
      </c>
      <c r="J45" s="596" t="n">
        <f aca="false">'2020'!H45</f>
        <v>173</v>
      </c>
      <c r="K45" s="594" t="n">
        <f aca="false">'2021'!H45</f>
        <v>0</v>
      </c>
      <c r="L45" s="595" t="n">
        <f aca="false">'2022'!H45</f>
        <v>0</v>
      </c>
      <c r="M45" s="394" t="n">
        <f aca="false">IF(G45=0,0,IF(P45=0,0,P45/G45))</f>
        <v>0.432835820895522</v>
      </c>
      <c r="N45" s="392" t="n">
        <f aca="false">IF(H45=0,0,IF(Q45=0,0,Q45/H45))</f>
        <v>0</v>
      </c>
      <c r="O45" s="597" t="n">
        <f aca="false">IF(I45=0,0,IF(R45=0,0,R45/I45))</f>
        <v>0</v>
      </c>
      <c r="P45" s="596" t="n">
        <f aca="false">'2020'!J45</f>
        <v>261</v>
      </c>
      <c r="Q45" s="594" t="n">
        <f aca="false">'2021'!J45</f>
        <v>0</v>
      </c>
      <c r="R45" s="595" t="n">
        <f aca="false">'2022'!J45</f>
        <v>0</v>
      </c>
      <c r="S45" s="394" t="n">
        <f aca="false">T45/G45</f>
        <v>0</v>
      </c>
      <c r="T45" s="437"/>
      <c r="U45" s="394" t="str">
        <f aca="false">IF(V45="-","-",V45/T45)</f>
        <v>-</v>
      </c>
      <c r="V45" s="395" t="s">
        <v>75</v>
      </c>
      <c r="W45" s="396" t="s">
        <v>75</v>
      </c>
      <c r="X45" s="397" t="s">
        <v>75</v>
      </c>
      <c r="Y45" s="396" t="s">
        <v>75</v>
      </c>
      <c r="Z45" s="397" t="s">
        <v>75</v>
      </c>
      <c r="AA45" s="398"/>
      <c r="AB45" s="399"/>
      <c r="AC45" s="398"/>
      <c r="AD45" s="400"/>
      <c r="AE45" s="457" t="s">
        <v>153</v>
      </c>
      <c r="AG45" s="1" t="n">
        <f aca="false">IF(G45="","",1)</f>
        <v>1</v>
      </c>
    </row>
    <row r="46" customFormat="false" ht="15" hidden="false" customHeight="true" outlineLevel="0" collapsed="false">
      <c r="B46" s="172"/>
      <c r="C46" s="173"/>
      <c r="D46" s="454"/>
      <c r="E46" s="458" t="s">
        <v>99</v>
      </c>
      <c r="F46" s="459" t="s">
        <v>70</v>
      </c>
      <c r="G46" s="598" t="n">
        <f aca="false">'2020'!G46</f>
        <v>354</v>
      </c>
      <c r="H46" s="599" t="n">
        <f aca="false">'2021'!G46</f>
        <v>0</v>
      </c>
      <c r="I46" s="600" t="n">
        <f aca="false">'2022'!G46</f>
        <v>620</v>
      </c>
      <c r="J46" s="601" t="n">
        <f aca="false">'2020'!H46</f>
        <v>103</v>
      </c>
      <c r="K46" s="599" t="n">
        <f aca="false">'2021'!H46</f>
        <v>0</v>
      </c>
      <c r="L46" s="600" t="n">
        <f aca="false">'2022'!H46</f>
        <v>331</v>
      </c>
      <c r="M46" s="292" t="n">
        <f aca="false">IF(G46=0,0,IF(P46=0,0,P46/G46))</f>
        <v>0.401129943502825</v>
      </c>
      <c r="N46" s="294" t="n">
        <f aca="false">IF(H46=0,0,IF(Q46=0,0,Q46/H46))</f>
        <v>0</v>
      </c>
      <c r="O46" s="602" t="n">
        <f aca="false">IF(I46=0,0,IF(R46=0,0,R46/I46))</f>
        <v>0.438709677419355</v>
      </c>
      <c r="P46" s="601" t="n">
        <f aca="false">'2020'!J46</f>
        <v>142</v>
      </c>
      <c r="Q46" s="599" t="n">
        <f aca="false">'2021'!J46</f>
        <v>0</v>
      </c>
      <c r="R46" s="600" t="n">
        <f aca="false">'2022'!J46</f>
        <v>272</v>
      </c>
      <c r="S46" s="292" t="n">
        <f aca="false">T46/G46</f>
        <v>0</v>
      </c>
      <c r="T46" s="440"/>
      <c r="U46" s="292" t="str">
        <f aca="false">IF(V46="-","-",V46/T46)</f>
        <v>-</v>
      </c>
      <c r="V46" s="406" t="s">
        <v>75</v>
      </c>
      <c r="W46" s="407" t="s">
        <v>75</v>
      </c>
      <c r="X46" s="408" t="s">
        <v>75</v>
      </c>
      <c r="Y46" s="407" t="s">
        <v>75</v>
      </c>
      <c r="Z46" s="408" t="s">
        <v>75</v>
      </c>
      <c r="AA46" s="296"/>
      <c r="AB46" s="291"/>
      <c r="AC46" s="296"/>
      <c r="AD46" s="297"/>
      <c r="AE46" s="457" t="s">
        <v>153</v>
      </c>
      <c r="AG46" s="1" t="n">
        <f aca="false">IF(G46="","",1)</f>
        <v>1</v>
      </c>
    </row>
    <row r="47" customFormat="false" ht="15" hidden="false" customHeight="true" outlineLevel="0" collapsed="false">
      <c r="B47" s="172"/>
      <c r="C47" s="173"/>
      <c r="D47" s="454"/>
      <c r="E47" s="458" t="s">
        <v>100</v>
      </c>
      <c r="F47" s="459" t="s">
        <v>70</v>
      </c>
      <c r="G47" s="598" t="n">
        <f aca="false">'2020'!G47</f>
        <v>222</v>
      </c>
      <c r="H47" s="599" t="n">
        <f aca="false">'2021'!G47</f>
        <v>228</v>
      </c>
      <c r="I47" s="600" t="n">
        <f aca="false">'2022'!G47</f>
        <v>325</v>
      </c>
      <c r="J47" s="601" t="n">
        <f aca="false">'2020'!H47</f>
        <v>66</v>
      </c>
      <c r="K47" s="599" t="n">
        <f aca="false">'2021'!H47</f>
        <v>125</v>
      </c>
      <c r="L47" s="600" t="n">
        <f aca="false">'2022'!H47</f>
        <v>227</v>
      </c>
      <c r="M47" s="292" t="n">
        <f aca="false">IF(G47=0,0,IF(P47=0,0,P47/G47))</f>
        <v>0.617117117117117</v>
      </c>
      <c r="N47" s="294" t="n">
        <f aca="false">IF(H47=0,0,IF(Q47=0,0,Q47/H47))</f>
        <v>0.394736842105263</v>
      </c>
      <c r="O47" s="602" t="n">
        <f aca="false">IF(I47=0,0,IF(R47=0,0,R47/I47))</f>
        <v>0.516923076923077</v>
      </c>
      <c r="P47" s="601" t="n">
        <f aca="false">'2020'!J47</f>
        <v>137</v>
      </c>
      <c r="Q47" s="599" t="n">
        <f aca="false">'2021'!J47</f>
        <v>90</v>
      </c>
      <c r="R47" s="600" t="n">
        <f aca="false">'2022'!J47</f>
        <v>168</v>
      </c>
      <c r="S47" s="292" t="n">
        <f aca="false">T47/G47</f>
        <v>0.40990990990991</v>
      </c>
      <c r="T47" s="440" t="n">
        <v>91</v>
      </c>
      <c r="U47" s="292" t="str">
        <f aca="false">IF(V47="-","-",V47/T47)</f>
        <v>-</v>
      </c>
      <c r="V47" s="406" t="s">
        <v>75</v>
      </c>
      <c r="W47" s="407" t="s">
        <v>75</v>
      </c>
      <c r="X47" s="408" t="s">
        <v>75</v>
      </c>
      <c r="Y47" s="407" t="s">
        <v>75</v>
      </c>
      <c r="Z47" s="408" t="s">
        <v>75</v>
      </c>
      <c r="AA47" s="296" t="s">
        <v>75</v>
      </c>
      <c r="AB47" s="291" t="s">
        <v>75</v>
      </c>
      <c r="AC47" s="296" t="s">
        <v>75</v>
      </c>
      <c r="AD47" s="297" t="s">
        <v>75</v>
      </c>
      <c r="AE47" s="457" t="s">
        <v>153</v>
      </c>
      <c r="AG47" s="1" t="n">
        <f aca="false">IF(G47="","",1)</f>
        <v>1</v>
      </c>
    </row>
    <row r="48" customFormat="false" ht="15" hidden="false" customHeight="true" outlineLevel="0" collapsed="false">
      <c r="B48" s="172"/>
      <c r="C48" s="173"/>
      <c r="D48" s="454"/>
      <c r="E48" s="458" t="s">
        <v>101</v>
      </c>
      <c r="F48" s="459" t="s">
        <v>102</v>
      </c>
      <c r="G48" s="598" t="n">
        <f aca="false">'2020'!G48</f>
        <v>106</v>
      </c>
      <c r="H48" s="599" t="n">
        <f aca="false">'2021'!G48</f>
        <v>141</v>
      </c>
      <c r="I48" s="600" t="n">
        <f aca="false">'2022'!G48</f>
        <v>180</v>
      </c>
      <c r="J48" s="601" t="n">
        <f aca="false">'2020'!H48</f>
        <v>35</v>
      </c>
      <c r="K48" s="599" t="n">
        <f aca="false">'2021'!H48</f>
        <v>80</v>
      </c>
      <c r="L48" s="600" t="n">
        <f aca="false">'2022'!H48</f>
        <v>92</v>
      </c>
      <c r="M48" s="292" t="n">
        <f aca="false">IF(G48=0,0,IF(P48=0,0,P48/G48))</f>
        <v>0.367924528301887</v>
      </c>
      <c r="N48" s="294" t="n">
        <f aca="false">IF(H48=0,0,IF(Q48=0,0,Q48/H48))</f>
        <v>0.460992907801418</v>
      </c>
      <c r="O48" s="602" t="n">
        <f aca="false">IF(I48=0,0,IF(R48=0,0,R48/I48))</f>
        <v>0.438888888888889</v>
      </c>
      <c r="P48" s="601" t="n">
        <f aca="false">'2020'!J48</f>
        <v>39</v>
      </c>
      <c r="Q48" s="599" t="n">
        <f aca="false">'2021'!J48</f>
        <v>65</v>
      </c>
      <c r="R48" s="600" t="n">
        <f aca="false">'2022'!J48</f>
        <v>79</v>
      </c>
      <c r="S48" s="292" t="n">
        <f aca="false">T48/G48</f>
        <v>0.584905660377358</v>
      </c>
      <c r="T48" s="440" t="n">
        <v>62</v>
      </c>
      <c r="U48" s="292" t="str">
        <f aca="false">IF(V48="-","-",V48/T48)</f>
        <v>-</v>
      </c>
      <c r="V48" s="406" t="s">
        <v>75</v>
      </c>
      <c r="W48" s="407" t="s">
        <v>75</v>
      </c>
      <c r="X48" s="408" t="s">
        <v>75</v>
      </c>
      <c r="Y48" s="407" t="s">
        <v>75</v>
      </c>
      <c r="Z48" s="408" t="s">
        <v>75</v>
      </c>
      <c r="AA48" s="296"/>
      <c r="AB48" s="291"/>
      <c r="AC48" s="296"/>
      <c r="AD48" s="297"/>
      <c r="AE48" s="457" t="s">
        <v>153</v>
      </c>
      <c r="AG48" s="1" t="n">
        <f aca="false">IF(G48="","",1)</f>
        <v>1</v>
      </c>
    </row>
    <row r="49" customFormat="false" ht="15" hidden="false" customHeight="true" outlineLevel="0" collapsed="false">
      <c r="B49" s="172"/>
      <c r="C49" s="173"/>
      <c r="D49" s="454"/>
      <c r="E49" s="458" t="s">
        <v>103</v>
      </c>
      <c r="F49" s="459" t="s">
        <v>70</v>
      </c>
      <c r="G49" s="598" t="n">
        <f aca="false">'2020'!G49</f>
        <v>206</v>
      </c>
      <c r="H49" s="599" t="n">
        <f aca="false">'2021'!G49</f>
        <v>234</v>
      </c>
      <c r="I49" s="600" t="n">
        <f aca="false">'2022'!G49</f>
        <v>366</v>
      </c>
      <c r="J49" s="601" t="n">
        <f aca="false">'2020'!H49</f>
        <v>70</v>
      </c>
      <c r="K49" s="599" t="n">
        <f aca="false">'2021'!H49</f>
        <v>127</v>
      </c>
      <c r="L49" s="600" t="n">
        <f aca="false">'2022'!H49</f>
        <v>180</v>
      </c>
      <c r="M49" s="292" t="n">
        <f aca="false">IF(G49=0,0,IF(P49=0,0,P49/G49))</f>
        <v>0.422330097087379</v>
      </c>
      <c r="N49" s="294" t="n">
        <f aca="false">IF(H49=0,0,IF(Q49=0,0,Q49/H49))</f>
        <v>0.423076923076923</v>
      </c>
      <c r="O49" s="602" t="n">
        <f aca="false">IF(I49=0,0,IF(R49=0,0,R49/I49))</f>
        <v>0.431693989071038</v>
      </c>
      <c r="P49" s="601" t="n">
        <f aca="false">'2020'!J49</f>
        <v>87</v>
      </c>
      <c r="Q49" s="599" t="n">
        <f aca="false">'2021'!J49</f>
        <v>99</v>
      </c>
      <c r="R49" s="600" t="n">
        <f aca="false">'2022'!J49</f>
        <v>158</v>
      </c>
      <c r="S49" s="292" t="n">
        <f aca="false">T49/G49</f>
        <v>0.543689320388349</v>
      </c>
      <c r="T49" s="440" t="n">
        <v>112</v>
      </c>
      <c r="U49" s="292" t="str">
        <f aca="false">IF(V49="-","-",V49/T49)</f>
        <v>-</v>
      </c>
      <c r="V49" s="406" t="s">
        <v>75</v>
      </c>
      <c r="W49" s="407" t="s">
        <v>75</v>
      </c>
      <c r="X49" s="408" t="s">
        <v>75</v>
      </c>
      <c r="Y49" s="407" t="s">
        <v>75</v>
      </c>
      <c r="Z49" s="408" t="s">
        <v>75</v>
      </c>
      <c r="AA49" s="296" t="s">
        <v>75</v>
      </c>
      <c r="AB49" s="291" t="s">
        <v>75</v>
      </c>
      <c r="AC49" s="296" t="s">
        <v>75</v>
      </c>
      <c r="AD49" s="297" t="s">
        <v>75</v>
      </c>
      <c r="AE49" s="457" t="s">
        <v>153</v>
      </c>
      <c r="AG49" s="1" t="n">
        <f aca="false">IF(G49="","",1)</f>
        <v>1</v>
      </c>
    </row>
    <row r="50" customFormat="false" ht="15" hidden="false" customHeight="true" outlineLevel="0" collapsed="false">
      <c r="B50" s="172"/>
      <c r="C50" s="173"/>
      <c r="D50" s="454"/>
      <c r="E50" s="460"/>
      <c r="F50" s="461"/>
      <c r="G50" s="603"/>
      <c r="H50" s="604"/>
      <c r="I50" s="605"/>
      <c r="J50" s="606"/>
      <c r="K50" s="604"/>
      <c r="L50" s="605"/>
      <c r="M50" s="591"/>
      <c r="N50" s="607"/>
      <c r="O50" s="608"/>
      <c r="P50" s="606"/>
      <c r="Q50" s="604"/>
      <c r="R50" s="605"/>
      <c r="S50" s="591"/>
      <c r="T50" s="443"/>
      <c r="U50" s="591"/>
      <c r="V50" s="411"/>
      <c r="W50" s="412"/>
      <c r="X50" s="413"/>
      <c r="Y50" s="412"/>
      <c r="Z50" s="413"/>
      <c r="AA50" s="414"/>
      <c r="AB50" s="415"/>
      <c r="AC50" s="414"/>
      <c r="AD50" s="416"/>
      <c r="AE50" s="457"/>
    </row>
    <row r="51" customFormat="false" ht="15" hidden="false" customHeight="true" outlineLevel="0" collapsed="false">
      <c r="B51" s="172"/>
      <c r="C51" s="173"/>
      <c r="D51" s="454"/>
      <c r="E51" s="460"/>
      <c r="F51" s="461"/>
      <c r="G51" s="603"/>
      <c r="H51" s="604"/>
      <c r="I51" s="605"/>
      <c r="J51" s="606"/>
      <c r="K51" s="604"/>
      <c r="L51" s="605"/>
      <c r="M51" s="591"/>
      <c r="N51" s="607"/>
      <c r="O51" s="608"/>
      <c r="P51" s="606"/>
      <c r="Q51" s="604"/>
      <c r="R51" s="605"/>
      <c r="S51" s="591"/>
      <c r="T51" s="443"/>
      <c r="U51" s="591"/>
      <c r="V51" s="411"/>
      <c r="W51" s="412"/>
      <c r="X51" s="413"/>
      <c r="Y51" s="412"/>
      <c r="Z51" s="413"/>
      <c r="AA51" s="414"/>
      <c r="AB51" s="415"/>
      <c r="AC51" s="414"/>
      <c r="AD51" s="416"/>
      <c r="AE51" s="457"/>
    </row>
    <row r="52" customFormat="false" ht="15" hidden="false" customHeight="true" outlineLevel="0" collapsed="false">
      <c r="B52" s="172"/>
      <c r="C52" s="173"/>
      <c r="D52" s="454"/>
      <c r="E52" s="462" t="s">
        <v>104</v>
      </c>
      <c r="F52" s="463" t="s">
        <v>102</v>
      </c>
      <c r="G52" s="573" t="n">
        <f aca="false">'2020'!G52</f>
        <v>173</v>
      </c>
      <c r="H52" s="574" t="n">
        <f aca="false">'2021'!G52</f>
        <v>157</v>
      </c>
      <c r="I52" s="575" t="n">
        <f aca="false">'2022'!G52</f>
        <v>123</v>
      </c>
      <c r="J52" s="576" t="n">
        <f aca="false">'2020'!H52</f>
        <v>62</v>
      </c>
      <c r="K52" s="574" t="n">
        <f aca="false">'2021'!H52</f>
        <v>82</v>
      </c>
      <c r="L52" s="575" t="n">
        <f aca="false">'2022'!H52</f>
        <v>90</v>
      </c>
      <c r="M52" s="302" t="n">
        <f aca="false">IF(G52=0,0,IF(P52=0,0,P52/G52))</f>
        <v>0.225433526011561</v>
      </c>
      <c r="N52" s="304" t="n">
        <f aca="false">IF(H52=0,0,IF(Q52=0,0,Q52/H52))</f>
        <v>0.229299363057325</v>
      </c>
      <c r="O52" s="577" t="n">
        <f aca="false">IF(I52=0,0,IF(R52=0,0,R52/I52))</f>
        <v>0.32520325203252</v>
      </c>
      <c r="P52" s="576" t="n">
        <f aca="false">'2020'!J52</f>
        <v>39</v>
      </c>
      <c r="Q52" s="574" t="n">
        <f aca="false">'2021'!J52</f>
        <v>36</v>
      </c>
      <c r="R52" s="575" t="n">
        <f aca="false">'2022'!J52</f>
        <v>40</v>
      </c>
      <c r="S52" s="302" t="n">
        <f aca="false">T52/G52</f>
        <v>0.283236994219653</v>
      </c>
      <c r="T52" s="424" t="n">
        <v>49</v>
      </c>
      <c r="U52" s="302" t="str">
        <f aca="false">IF(V52="-","-",V52/T52)</f>
        <v>-</v>
      </c>
      <c r="V52" s="425" t="s">
        <v>75</v>
      </c>
      <c r="W52" s="426" t="s">
        <v>75</v>
      </c>
      <c r="X52" s="427" t="s">
        <v>75</v>
      </c>
      <c r="Y52" s="426" t="s">
        <v>75</v>
      </c>
      <c r="Z52" s="427" t="s">
        <v>75</v>
      </c>
      <c r="AA52" s="306"/>
      <c r="AB52" s="301"/>
      <c r="AC52" s="306"/>
      <c r="AD52" s="307"/>
      <c r="AE52" s="457" t="s">
        <v>153</v>
      </c>
      <c r="AG52" s="1" t="n">
        <f aca="false">IF(G52="","",1)</f>
        <v>1</v>
      </c>
    </row>
    <row r="53" customFormat="false" ht="15.75" hidden="false" customHeight="false" outlineLevel="0" collapsed="false">
      <c r="B53" s="172"/>
      <c r="C53" s="173"/>
      <c r="D53" s="213" t="s">
        <v>76</v>
      </c>
      <c r="E53" s="214"/>
      <c r="F53" s="215"/>
      <c r="G53" s="579" t="n">
        <f aca="false">SUM(G45:G52)</f>
        <v>1664</v>
      </c>
      <c r="H53" s="580" t="n">
        <f aca="false">SUM(H45:H52)</f>
        <v>760</v>
      </c>
      <c r="I53" s="581" t="n">
        <f aca="false">SUM(I45:I52)</f>
        <v>1614</v>
      </c>
      <c r="J53" s="582" t="n">
        <f aca="false">SUM(J45:J52)</f>
        <v>509</v>
      </c>
      <c r="K53" s="580" t="n">
        <f aca="false">SUM(K45:K52)</f>
        <v>414</v>
      </c>
      <c r="L53" s="581" t="n">
        <f aca="false">SUM(L45:L52)</f>
        <v>920</v>
      </c>
      <c r="M53" s="317" t="n">
        <f aca="false">IF(G53=0,0,IF(P53=0,0,P53/G53))</f>
        <v>0.423677884615385</v>
      </c>
      <c r="N53" s="319" t="n">
        <f aca="false">IF(H53=0,0,IF(Q53=0,0,Q53/H53))</f>
        <v>0.381578947368421</v>
      </c>
      <c r="O53" s="562" t="n">
        <f aca="false">IF(I53=0,0,IF(R53=0,0,R53/I53))</f>
        <v>0.444237918215613</v>
      </c>
      <c r="P53" s="582" t="n">
        <f aca="false">SUM(P45:P52)</f>
        <v>705</v>
      </c>
      <c r="Q53" s="580" t="n">
        <f aca="false">SUM(Q45:Q52)</f>
        <v>290</v>
      </c>
      <c r="R53" s="581" t="n">
        <f aca="false">SUM(R45:R52)</f>
        <v>717</v>
      </c>
      <c r="S53" s="317" t="n">
        <f aca="false">T53/G53</f>
        <v>0.188701923076923</v>
      </c>
      <c r="T53" s="320" t="n">
        <f aca="false">SUM(T45:T52)</f>
        <v>314</v>
      </c>
      <c r="U53" s="218" t="n">
        <f aca="false">V53/T53</f>
        <v>0</v>
      </c>
      <c r="V53" s="320" t="n">
        <f aca="false">SUM(V45:V52)</f>
        <v>0</v>
      </c>
      <c r="W53" s="321" t="n">
        <f aca="false">SUM(W45:W52)</f>
        <v>0</v>
      </c>
      <c r="X53" s="316" t="n">
        <f aca="false">SUM(X45:X52)</f>
        <v>0</v>
      </c>
      <c r="Y53" s="321" t="n">
        <f aca="false">SUM(Y45:Y52)</f>
        <v>0</v>
      </c>
      <c r="Z53" s="316" t="n">
        <f aca="false">SUM(Z45:Z52)</f>
        <v>0</v>
      </c>
      <c r="AA53" s="321" t="n">
        <f aca="false">SUM(AA45:AA52)</f>
        <v>0</v>
      </c>
      <c r="AB53" s="316" t="n">
        <f aca="false">SUM(AB45:AB52)</f>
        <v>0</v>
      </c>
      <c r="AC53" s="321" t="n">
        <f aca="false">SUM(AC45:AC52)</f>
        <v>0</v>
      </c>
      <c r="AD53" s="322" t="n">
        <f aca="false">SUM(AD45:AD52)</f>
        <v>0</v>
      </c>
      <c r="AE53" s="377"/>
    </row>
    <row r="54" customFormat="false" ht="15" hidden="false" customHeight="false" outlineLevel="0" collapsed="false">
      <c r="B54" s="224" t="s">
        <v>105</v>
      </c>
      <c r="C54" s="225" t="s">
        <v>97</v>
      </c>
      <c r="D54" s="378" t="n">
        <v>11</v>
      </c>
      <c r="E54" s="388" t="s">
        <v>74</v>
      </c>
      <c r="F54" s="389" t="s">
        <v>102</v>
      </c>
      <c r="G54" s="593" t="n">
        <f aca="false">'2020'!G54</f>
        <v>0</v>
      </c>
      <c r="H54" s="594" t="n">
        <f aca="false">'2021'!G46</f>
        <v>0</v>
      </c>
      <c r="I54" s="595" t="n">
        <f aca="false">'2022'!G46</f>
        <v>620</v>
      </c>
      <c r="J54" s="596" t="n">
        <f aca="false">'2020'!H54</f>
        <v>0</v>
      </c>
      <c r="K54" s="594" t="n">
        <f aca="false">'2021'!H46</f>
        <v>0</v>
      </c>
      <c r="L54" s="595" t="n">
        <f aca="false">'2022'!H46</f>
        <v>331</v>
      </c>
      <c r="M54" s="394" t="n">
        <f aca="false">IF(G54=0,0,IF(P54=0,0,P54/G54))</f>
        <v>0</v>
      </c>
      <c r="N54" s="392" t="n">
        <f aca="false">IF(H54=0,0,IF(Q54=0,0,Q54/H54))</f>
        <v>0</v>
      </c>
      <c r="O54" s="597" t="n">
        <f aca="false">IF(I54=0,0,IF(R54=0,0,R54/I54))</f>
        <v>0.438709677419355</v>
      </c>
      <c r="P54" s="596" t="n">
        <f aca="false">'2020'!J54</f>
        <v>0</v>
      </c>
      <c r="Q54" s="594" t="n">
        <f aca="false">'2021'!J46</f>
        <v>0</v>
      </c>
      <c r="R54" s="595" t="n">
        <f aca="false">'2022'!J46</f>
        <v>272</v>
      </c>
      <c r="S54" s="394" t="e">
        <f aca="false">T54/G54</f>
        <v>#DIV/0!</v>
      </c>
      <c r="T54" s="437" t="n">
        <v>12</v>
      </c>
      <c r="U54" s="394" t="n">
        <f aca="false">IF(V54="-","-",V54/T54)</f>
        <v>0.833333333333333</v>
      </c>
      <c r="V54" s="395" t="n">
        <v>10</v>
      </c>
      <c r="W54" s="396" t="s">
        <v>75</v>
      </c>
      <c r="X54" s="397" t="s">
        <v>75</v>
      </c>
      <c r="Y54" s="396" t="s">
        <v>75</v>
      </c>
      <c r="Z54" s="397" t="s">
        <v>75</v>
      </c>
      <c r="AA54" s="512" t="n">
        <v>51</v>
      </c>
      <c r="AB54" s="513" t="n">
        <v>36</v>
      </c>
      <c r="AC54" s="512" t="n">
        <v>2</v>
      </c>
      <c r="AD54" s="514" t="n">
        <v>2</v>
      </c>
      <c r="AE54" s="377" t="s">
        <v>153</v>
      </c>
      <c r="AG54" s="1" t="n">
        <f aca="false">IF(G54="","",1)</f>
        <v>1</v>
      </c>
    </row>
    <row r="55" customFormat="false" ht="15" hidden="false" customHeight="false" outlineLevel="0" collapsed="false">
      <c r="B55" s="224"/>
      <c r="C55" s="225"/>
      <c r="D55" s="378"/>
      <c r="E55" s="401" t="s">
        <v>74</v>
      </c>
      <c r="F55" s="402" t="s">
        <v>102</v>
      </c>
      <c r="G55" s="598" t="n">
        <f aca="false">'2020'!G55</f>
        <v>0</v>
      </c>
      <c r="H55" s="599" t="n">
        <f aca="false">'2021'!G47</f>
        <v>228</v>
      </c>
      <c r="I55" s="600" t="n">
        <f aca="false">'2022'!G47</f>
        <v>325</v>
      </c>
      <c r="J55" s="601" t="n">
        <f aca="false">'2020'!H55</f>
        <v>0</v>
      </c>
      <c r="K55" s="599" t="n">
        <f aca="false">'2021'!H47</f>
        <v>125</v>
      </c>
      <c r="L55" s="600" t="n">
        <f aca="false">'2022'!H47</f>
        <v>227</v>
      </c>
      <c r="M55" s="292" t="n">
        <f aca="false">IF(G55=0,0,IF(P55=0,0,P55/G55))</f>
        <v>0</v>
      </c>
      <c r="N55" s="294" t="n">
        <f aca="false">IF(H55=0,0,IF(Q55=0,0,Q55/H55))</f>
        <v>0.394736842105263</v>
      </c>
      <c r="O55" s="602" t="n">
        <f aca="false">IF(I55=0,0,IF(R55=0,0,R55/I55))</f>
        <v>0.516923076923077</v>
      </c>
      <c r="P55" s="601" t="n">
        <f aca="false">'2020'!J55</f>
        <v>0</v>
      </c>
      <c r="Q55" s="599" t="n">
        <f aca="false">'2021'!J47</f>
        <v>90</v>
      </c>
      <c r="R55" s="600" t="n">
        <f aca="false">'2022'!J47</f>
        <v>168</v>
      </c>
      <c r="S55" s="292" t="e">
        <f aca="false">T55/G55</f>
        <v>#DIV/0!</v>
      </c>
      <c r="T55" s="440" t="n">
        <v>47</v>
      </c>
      <c r="U55" s="292" t="n">
        <f aca="false">IF(V55="-","-",V55/T55)</f>
        <v>0.702127659574468</v>
      </c>
      <c r="V55" s="406" t="n">
        <v>33</v>
      </c>
      <c r="W55" s="407" t="s">
        <v>75</v>
      </c>
      <c r="X55" s="408" t="s">
        <v>75</v>
      </c>
      <c r="Y55" s="407" t="s">
        <v>75</v>
      </c>
      <c r="Z55" s="408" t="s">
        <v>75</v>
      </c>
      <c r="AA55" s="515" t="n">
        <v>112</v>
      </c>
      <c r="AB55" s="516" t="n">
        <v>82</v>
      </c>
      <c r="AC55" s="515" t="n">
        <v>5</v>
      </c>
      <c r="AD55" s="517" t="n">
        <v>4</v>
      </c>
      <c r="AE55" s="377" t="s">
        <v>153</v>
      </c>
      <c r="AG55" s="1" t="n">
        <f aca="false">IF(G55="","",1)</f>
        <v>1</v>
      </c>
    </row>
    <row r="56" customFormat="false" ht="15" hidden="false" customHeight="false" outlineLevel="0" collapsed="false">
      <c r="B56" s="224"/>
      <c r="C56" s="225"/>
      <c r="D56" s="378"/>
      <c r="E56" s="401" t="s">
        <v>74</v>
      </c>
      <c r="F56" s="402" t="s">
        <v>102</v>
      </c>
      <c r="G56" s="598" t="n">
        <f aca="false">'2020'!G56</f>
        <v>0</v>
      </c>
      <c r="H56" s="599" t="n">
        <f aca="false">'2021'!G48</f>
        <v>141</v>
      </c>
      <c r="I56" s="600" t="n">
        <f aca="false">'2022'!G48</f>
        <v>180</v>
      </c>
      <c r="J56" s="601" t="n">
        <f aca="false">'2020'!H56</f>
        <v>0</v>
      </c>
      <c r="K56" s="599" t="n">
        <f aca="false">'2021'!H48</f>
        <v>80</v>
      </c>
      <c r="L56" s="600" t="n">
        <f aca="false">'2022'!H48</f>
        <v>92</v>
      </c>
      <c r="M56" s="292" t="n">
        <f aca="false">IF(G56=0,0,IF(P56=0,0,P56/G56))</f>
        <v>0</v>
      </c>
      <c r="N56" s="294" t="n">
        <f aca="false">IF(H56=0,0,IF(Q56=0,0,Q56/H56))</f>
        <v>0.460992907801418</v>
      </c>
      <c r="O56" s="602" t="n">
        <f aca="false">IF(I56=0,0,IF(R56=0,0,R56/I56))</f>
        <v>0.438888888888889</v>
      </c>
      <c r="P56" s="601" t="n">
        <f aca="false">'2020'!J56</f>
        <v>0</v>
      </c>
      <c r="Q56" s="599" t="n">
        <f aca="false">'2021'!J48</f>
        <v>65</v>
      </c>
      <c r="R56" s="600" t="n">
        <f aca="false">'2022'!J48</f>
        <v>79</v>
      </c>
      <c r="S56" s="292" t="e">
        <f aca="false">T56/G56</f>
        <v>#DIV/0!</v>
      </c>
      <c r="T56" s="440" t="n">
        <v>12</v>
      </c>
      <c r="U56" s="292" t="n">
        <f aca="false">IF(V56="-","-",V56/T56)</f>
        <v>0.75</v>
      </c>
      <c r="V56" s="406" t="n">
        <v>9</v>
      </c>
      <c r="W56" s="407" t="s">
        <v>75</v>
      </c>
      <c r="X56" s="408" t="s">
        <v>75</v>
      </c>
      <c r="Y56" s="407" t="s">
        <v>75</v>
      </c>
      <c r="Z56" s="408" t="s">
        <v>75</v>
      </c>
      <c r="AA56" s="515" t="n">
        <v>22</v>
      </c>
      <c r="AB56" s="516" t="n">
        <v>20</v>
      </c>
      <c r="AC56" s="515" t="n">
        <v>0</v>
      </c>
      <c r="AD56" s="517" t="n">
        <v>0</v>
      </c>
      <c r="AE56" s="377" t="s">
        <v>153</v>
      </c>
      <c r="AG56" s="1" t="n">
        <f aca="false">IF(G56="","",1)</f>
        <v>1</v>
      </c>
    </row>
    <row r="57" customFormat="false" ht="15" hidden="false" customHeight="false" outlineLevel="0" collapsed="false">
      <c r="B57" s="224"/>
      <c r="C57" s="225"/>
      <c r="D57" s="378"/>
      <c r="E57" s="401" t="s">
        <v>74</v>
      </c>
      <c r="F57" s="402" t="s">
        <v>102</v>
      </c>
      <c r="G57" s="598" t="n">
        <f aca="false">'2020'!G57</f>
        <v>0</v>
      </c>
      <c r="H57" s="599" t="n">
        <f aca="false">'2021'!G49</f>
        <v>234</v>
      </c>
      <c r="I57" s="600" t="n">
        <f aca="false">'2022'!G49</f>
        <v>366</v>
      </c>
      <c r="J57" s="601" t="n">
        <f aca="false">'2020'!H57</f>
        <v>0</v>
      </c>
      <c r="K57" s="599" t="n">
        <f aca="false">'2021'!H49</f>
        <v>127</v>
      </c>
      <c r="L57" s="600" t="n">
        <f aca="false">'2022'!H49</f>
        <v>180</v>
      </c>
      <c r="M57" s="292" t="n">
        <f aca="false">IF(G57=0,0,IF(P57=0,0,P57/G57))</f>
        <v>0</v>
      </c>
      <c r="N57" s="294" t="n">
        <f aca="false">IF(H57=0,0,IF(Q57=0,0,Q57/H57))</f>
        <v>0.423076923076923</v>
      </c>
      <c r="O57" s="602" t="n">
        <f aca="false">IF(I57=0,0,IF(R57=0,0,R57/I57))</f>
        <v>0.431693989071038</v>
      </c>
      <c r="P57" s="601" t="n">
        <f aca="false">'2020'!J57</f>
        <v>0</v>
      </c>
      <c r="Q57" s="599" t="n">
        <f aca="false">'2021'!J49</f>
        <v>99</v>
      </c>
      <c r="R57" s="600" t="n">
        <f aca="false">'2022'!J49</f>
        <v>158</v>
      </c>
      <c r="S57" s="292" t="e">
        <f aca="false">T57/G57</f>
        <v>#DIV/0!</v>
      </c>
      <c r="T57" s="440" t="n">
        <v>20</v>
      </c>
      <c r="U57" s="292" t="n">
        <f aca="false">IF(V57="-","-",V57/T57)</f>
        <v>0.85</v>
      </c>
      <c r="V57" s="406" t="n">
        <v>17</v>
      </c>
      <c r="W57" s="407" t="s">
        <v>75</v>
      </c>
      <c r="X57" s="408" t="s">
        <v>75</v>
      </c>
      <c r="Y57" s="407" t="s">
        <v>75</v>
      </c>
      <c r="Z57" s="408" t="s">
        <v>75</v>
      </c>
      <c r="AA57" s="515" t="n">
        <v>46</v>
      </c>
      <c r="AB57" s="516" t="n">
        <v>31</v>
      </c>
      <c r="AC57" s="515" t="n">
        <v>3</v>
      </c>
      <c r="AD57" s="517" t="n">
        <v>2</v>
      </c>
      <c r="AE57" s="377" t="s">
        <v>153</v>
      </c>
      <c r="AG57" s="1" t="n">
        <f aca="false">IF(G57="","",1)</f>
        <v>1</v>
      </c>
    </row>
    <row r="58" customFormat="false" ht="15" hidden="false" customHeight="false" outlineLevel="0" collapsed="false">
      <c r="B58" s="224"/>
      <c r="C58" s="225"/>
      <c r="D58" s="378"/>
      <c r="E58" s="409" t="s">
        <v>74</v>
      </c>
      <c r="F58" s="410"/>
      <c r="G58" s="598" t="n">
        <f aca="false">'2020'!G58</f>
        <v>0</v>
      </c>
      <c r="H58" s="599" t="n">
        <f aca="false">'2021'!G50</f>
        <v>0</v>
      </c>
      <c r="I58" s="600" t="n">
        <f aca="false">'2022'!G50</f>
        <v>0</v>
      </c>
      <c r="J58" s="601" t="n">
        <f aca="false">'2020'!H58</f>
        <v>0</v>
      </c>
      <c r="K58" s="599" t="n">
        <f aca="false">'2021'!H50</f>
        <v>0</v>
      </c>
      <c r="L58" s="600" t="n">
        <f aca="false">'2022'!H50</f>
        <v>0</v>
      </c>
      <c r="M58" s="292" t="n">
        <f aca="false">IF(G58=0,0,IF(P58=0,0,P58/G58))</f>
        <v>0</v>
      </c>
      <c r="N58" s="294" t="n">
        <f aca="false">IF(H58=0,0,IF(Q58=0,0,Q58/H58))</f>
        <v>0</v>
      </c>
      <c r="O58" s="602" t="n">
        <f aca="false">IF(I58=0,0,IF(R58=0,0,R58/I58))</f>
        <v>0</v>
      </c>
      <c r="P58" s="601" t="n">
        <f aca="false">'2020'!J58</f>
        <v>0</v>
      </c>
      <c r="Q58" s="599" t="n">
        <f aca="false">'2021'!J50</f>
        <v>0</v>
      </c>
      <c r="R58" s="600" t="n">
        <f aca="false">'2022'!J50</f>
        <v>0</v>
      </c>
      <c r="S58" s="292" t="e">
        <f aca="false">T58/G58</f>
        <v>#DIV/0!</v>
      </c>
      <c r="T58" s="440" t="n">
        <v>21</v>
      </c>
      <c r="U58" s="292" t="n">
        <f aca="false">IF(V58="-","-",V58/T58)</f>
        <v>0.857142857142857</v>
      </c>
      <c r="V58" s="406" t="n">
        <v>18</v>
      </c>
      <c r="W58" s="407" t="s">
        <v>75</v>
      </c>
      <c r="X58" s="408" t="s">
        <v>75</v>
      </c>
      <c r="Y58" s="407" t="s">
        <v>75</v>
      </c>
      <c r="Z58" s="408" t="s">
        <v>75</v>
      </c>
      <c r="AA58" s="515" t="n">
        <v>46</v>
      </c>
      <c r="AB58" s="516" t="n">
        <v>31</v>
      </c>
      <c r="AC58" s="515" t="n">
        <v>3</v>
      </c>
      <c r="AD58" s="517" t="n">
        <v>2</v>
      </c>
      <c r="AE58" s="377"/>
    </row>
    <row r="59" customFormat="false" ht="15" hidden="false" customHeight="false" outlineLevel="0" collapsed="false">
      <c r="B59" s="224"/>
      <c r="C59" s="225"/>
      <c r="D59" s="378"/>
      <c r="E59" s="409" t="s">
        <v>74</v>
      </c>
      <c r="F59" s="410"/>
      <c r="G59" s="598" t="n">
        <f aca="false">'2020'!G59</f>
        <v>0</v>
      </c>
      <c r="H59" s="599" t="n">
        <f aca="false">'2021'!G51</f>
        <v>0</v>
      </c>
      <c r="I59" s="600" t="n">
        <f aca="false">'2022'!G51</f>
        <v>0</v>
      </c>
      <c r="J59" s="601" t="n">
        <f aca="false">'2020'!H59</f>
        <v>0</v>
      </c>
      <c r="K59" s="599" t="n">
        <f aca="false">'2021'!H51</f>
        <v>0</v>
      </c>
      <c r="L59" s="600" t="n">
        <f aca="false">'2022'!H51</f>
        <v>0</v>
      </c>
      <c r="M59" s="292" t="n">
        <f aca="false">IF(G59=0,0,IF(P59=0,0,P59/G59))</f>
        <v>0</v>
      </c>
      <c r="N59" s="294" t="n">
        <f aca="false">IF(H59=0,0,IF(Q59=0,0,Q59/H59))</f>
        <v>0</v>
      </c>
      <c r="O59" s="602" t="n">
        <f aca="false">IF(I59=0,0,IF(R59=0,0,R59/I59))</f>
        <v>0</v>
      </c>
      <c r="P59" s="601" t="n">
        <f aca="false">'2020'!J59</f>
        <v>0</v>
      </c>
      <c r="Q59" s="599" t="n">
        <f aca="false">'2021'!J51</f>
        <v>0</v>
      </c>
      <c r="R59" s="600" t="n">
        <f aca="false">'2022'!J51</f>
        <v>0</v>
      </c>
      <c r="S59" s="292" t="e">
        <f aca="false">T59/G59</f>
        <v>#DIV/0!</v>
      </c>
      <c r="T59" s="440" t="n">
        <v>22</v>
      </c>
      <c r="U59" s="292" t="n">
        <f aca="false">IF(V59="-","-",V59/T59)</f>
        <v>0.863636363636364</v>
      </c>
      <c r="V59" s="406" t="n">
        <v>19</v>
      </c>
      <c r="W59" s="407" t="s">
        <v>75</v>
      </c>
      <c r="X59" s="408" t="s">
        <v>75</v>
      </c>
      <c r="Y59" s="407" t="s">
        <v>75</v>
      </c>
      <c r="Z59" s="408" t="s">
        <v>75</v>
      </c>
      <c r="AA59" s="515" t="n">
        <v>46</v>
      </c>
      <c r="AB59" s="516" t="n">
        <v>31</v>
      </c>
      <c r="AC59" s="515" t="n">
        <v>3</v>
      </c>
      <c r="AD59" s="517" t="n">
        <v>2</v>
      </c>
      <c r="AE59" s="377"/>
    </row>
    <row r="60" customFormat="false" ht="15" hidden="false" customHeight="false" outlineLevel="0" collapsed="false">
      <c r="B60" s="224"/>
      <c r="C60" s="225"/>
      <c r="D60" s="378"/>
      <c r="E60" s="420" t="s">
        <v>74</v>
      </c>
      <c r="F60" s="421" t="s">
        <v>102</v>
      </c>
      <c r="G60" s="573" t="n">
        <f aca="false">'2020'!G60</f>
        <v>0</v>
      </c>
      <c r="H60" s="574" t="n">
        <f aca="false">'2021'!G52</f>
        <v>157</v>
      </c>
      <c r="I60" s="575" t="n">
        <f aca="false">'2022'!G52</f>
        <v>123</v>
      </c>
      <c r="J60" s="576" t="n">
        <f aca="false">'2020'!H60</f>
        <v>0</v>
      </c>
      <c r="K60" s="574" t="n">
        <f aca="false">'2021'!H52</f>
        <v>82</v>
      </c>
      <c r="L60" s="575" t="n">
        <f aca="false">'2022'!H52</f>
        <v>90</v>
      </c>
      <c r="M60" s="302" t="n">
        <f aca="false">IF(G60=0,0,IF(P60=0,0,P60/G60))</f>
        <v>0</v>
      </c>
      <c r="N60" s="304" t="n">
        <f aca="false">IF(H60=0,0,IF(Q60=0,0,Q60/H60))</f>
        <v>0.229299363057325</v>
      </c>
      <c r="O60" s="577" t="n">
        <f aca="false">IF(I60=0,0,IF(R60=0,0,R60/I60))</f>
        <v>0.32520325203252</v>
      </c>
      <c r="P60" s="576" t="n">
        <f aca="false">'2020'!J60</f>
        <v>0</v>
      </c>
      <c r="Q60" s="574" t="n">
        <f aca="false">'2021'!J52</f>
        <v>36</v>
      </c>
      <c r="R60" s="575" t="n">
        <f aca="false">'2022'!J52</f>
        <v>40</v>
      </c>
      <c r="S60" s="302" t="e">
        <f aca="false">T60/G60</f>
        <v>#DIV/0!</v>
      </c>
      <c r="T60" s="424" t="n">
        <v>16</v>
      </c>
      <c r="U60" s="302" t="n">
        <f aca="false">IF(V60="-","-",V60/T60)</f>
        <v>0.9375</v>
      </c>
      <c r="V60" s="425" t="n">
        <v>15</v>
      </c>
      <c r="W60" s="426" t="s">
        <v>75</v>
      </c>
      <c r="X60" s="427" t="s">
        <v>75</v>
      </c>
      <c r="Y60" s="426" t="s">
        <v>75</v>
      </c>
      <c r="Z60" s="427" t="s">
        <v>75</v>
      </c>
      <c r="AA60" s="522" t="n">
        <v>40</v>
      </c>
      <c r="AB60" s="523" t="n">
        <v>40</v>
      </c>
      <c r="AC60" s="522" t="n">
        <v>4</v>
      </c>
      <c r="AD60" s="524" t="n">
        <v>4</v>
      </c>
      <c r="AE60" s="377" t="s">
        <v>153</v>
      </c>
      <c r="AF60" s="194" t="s">
        <v>158</v>
      </c>
      <c r="AG60" s="1" t="n">
        <f aca="false">IF(G60="","",1)</f>
        <v>1</v>
      </c>
    </row>
    <row r="61" customFormat="false" ht="15.75" hidden="false" customHeight="false" outlineLevel="0" collapsed="false">
      <c r="B61" s="224"/>
      <c r="C61" s="225"/>
      <c r="D61" s="213" t="s">
        <v>76</v>
      </c>
      <c r="E61" s="262"/>
      <c r="F61" s="263"/>
      <c r="G61" s="579" t="n">
        <f aca="false">SUM(G54:G60)</f>
        <v>0</v>
      </c>
      <c r="H61" s="580" t="n">
        <f aca="false">SUM(H54:H60)</f>
        <v>760</v>
      </c>
      <c r="I61" s="581" t="n">
        <f aca="false">SUM(I54:I60)</f>
        <v>1614</v>
      </c>
      <c r="J61" s="582" t="n">
        <f aca="false">SUM(J54:J60)</f>
        <v>0</v>
      </c>
      <c r="K61" s="580" t="n">
        <f aca="false">SUM(K54:K60)</f>
        <v>414</v>
      </c>
      <c r="L61" s="581" t="n">
        <f aca="false">SUM(L54:L60)</f>
        <v>920</v>
      </c>
      <c r="M61" s="317" t="n">
        <f aca="false">IF(G61=0,0,IF(P61=0,0,P61/G61))</f>
        <v>0</v>
      </c>
      <c r="N61" s="319" t="n">
        <f aca="false">IF(H61=0,0,IF(Q61=0,0,Q61/H61))</f>
        <v>0.381578947368421</v>
      </c>
      <c r="O61" s="562" t="n">
        <f aca="false">IF(I61=0,0,IF(R61=0,0,R61/I61))</f>
        <v>0.444237918215613</v>
      </c>
      <c r="P61" s="582" t="n">
        <f aca="false">SUM(P54:P60)</f>
        <v>0</v>
      </c>
      <c r="Q61" s="580" t="n">
        <f aca="false">SUM(Q54:Q60)</f>
        <v>290</v>
      </c>
      <c r="R61" s="581" t="n">
        <f aca="false">SUM(R54:R60)</f>
        <v>717</v>
      </c>
      <c r="S61" s="317" t="e">
        <f aca="false">T61/G61</f>
        <v>#DIV/0!</v>
      </c>
      <c r="T61" s="320" t="n">
        <f aca="false">SUM(T54:T60)</f>
        <v>150</v>
      </c>
      <c r="U61" s="218" t="n">
        <f aca="false">V61/T61</f>
        <v>0.806666666666667</v>
      </c>
      <c r="V61" s="320" t="n">
        <f aca="false">SUM(V54:V60)</f>
        <v>121</v>
      </c>
      <c r="W61" s="321" t="n">
        <f aca="false">SUM(W54:W60)</f>
        <v>0</v>
      </c>
      <c r="X61" s="316" t="n">
        <f aca="false">SUM(X54:X60)</f>
        <v>0</v>
      </c>
      <c r="Y61" s="321" t="n">
        <f aca="false">SUM(Y54:Y60)</f>
        <v>0</v>
      </c>
      <c r="Z61" s="316" t="n">
        <f aca="false">SUM(Z54:Z60)</f>
        <v>0</v>
      </c>
      <c r="AA61" s="321" t="n">
        <f aca="false">SUM(AA54:AA60)</f>
        <v>363</v>
      </c>
      <c r="AB61" s="316" t="n">
        <f aca="false">SUM(AB54:AB60)</f>
        <v>271</v>
      </c>
      <c r="AC61" s="321" t="n">
        <f aca="false">SUM(AC54:AC60)</f>
        <v>20</v>
      </c>
      <c r="AD61" s="322" t="n">
        <f aca="false">SUM(AD54:AD60)</f>
        <v>16</v>
      </c>
      <c r="AE61" s="377" t="s">
        <v>153</v>
      </c>
      <c r="AF61" s="194"/>
    </row>
    <row r="62" customFormat="false" ht="15" hidden="false" customHeight="false" outlineLevel="0" collapsed="false">
      <c r="B62" s="224" t="s">
        <v>106</v>
      </c>
      <c r="C62" s="225" t="s">
        <v>97</v>
      </c>
      <c r="D62" s="378" t="n">
        <v>11</v>
      </c>
      <c r="E62" s="388" t="s">
        <v>107</v>
      </c>
      <c r="F62" s="389" t="s">
        <v>102</v>
      </c>
      <c r="G62" s="593" t="n">
        <f aca="false">'2020'!G62</f>
        <v>33</v>
      </c>
      <c r="H62" s="594" t="n">
        <f aca="false">'2021'!G62</f>
        <v>53</v>
      </c>
      <c r="I62" s="595" t="n">
        <f aca="false">'2022'!G62</f>
        <v>0</v>
      </c>
      <c r="J62" s="596" t="n">
        <f aca="false">'2020'!H62</f>
        <v>33</v>
      </c>
      <c r="K62" s="594" t="n">
        <f aca="false">'2021'!H62</f>
        <v>38</v>
      </c>
      <c r="L62" s="595" t="n">
        <f aca="false">'2022'!H62</f>
        <v>0</v>
      </c>
      <c r="M62" s="394" t="n">
        <f aca="false">IF(G62=0,0,IF(P62=0,0,P62/G62))</f>
        <v>0.636363636363636</v>
      </c>
      <c r="N62" s="392" t="n">
        <f aca="false">IF(H62=0,0,IF(Q62=0,0,Q62/H62))</f>
        <v>0.60377358490566</v>
      </c>
      <c r="O62" s="597" t="n">
        <f aca="false">IF(I62=0,0,IF(R62=0,0,R62/I62))</f>
        <v>0</v>
      </c>
      <c r="P62" s="596" t="n">
        <f aca="false">'2020'!J62</f>
        <v>21</v>
      </c>
      <c r="Q62" s="594" t="n">
        <f aca="false">'2021'!J62</f>
        <v>32</v>
      </c>
      <c r="R62" s="595" t="n">
        <f aca="false">'2022'!J62</f>
        <v>0</v>
      </c>
      <c r="S62" s="394" t="n">
        <f aca="false">T62/G62</f>
        <v>0.363636363636364</v>
      </c>
      <c r="T62" s="437" t="n">
        <v>12</v>
      </c>
      <c r="U62" s="394" t="n">
        <f aca="false">IF(V62="-","-",V62/T62)</f>
        <v>0.833333333333333</v>
      </c>
      <c r="V62" s="395" t="n">
        <v>10</v>
      </c>
      <c r="W62" s="396" t="s">
        <v>75</v>
      </c>
      <c r="X62" s="397" t="s">
        <v>75</v>
      </c>
      <c r="Y62" s="396" t="s">
        <v>75</v>
      </c>
      <c r="Z62" s="397" t="s">
        <v>75</v>
      </c>
      <c r="AA62" s="512" t="n">
        <v>51</v>
      </c>
      <c r="AB62" s="513" t="n">
        <v>36</v>
      </c>
      <c r="AC62" s="512" t="n">
        <v>2</v>
      </c>
      <c r="AD62" s="514" t="n">
        <v>2</v>
      </c>
      <c r="AE62" s="377" t="s">
        <v>153</v>
      </c>
      <c r="AG62" s="1" t="n">
        <f aca="false">IF(G62="","",1)</f>
        <v>1</v>
      </c>
    </row>
    <row r="63" customFormat="false" ht="15" hidden="false" customHeight="false" outlineLevel="0" collapsed="false">
      <c r="B63" s="224"/>
      <c r="C63" s="225"/>
      <c r="D63" s="378"/>
      <c r="E63" s="401" t="s">
        <v>108</v>
      </c>
      <c r="F63" s="402" t="s">
        <v>102</v>
      </c>
      <c r="G63" s="598" t="n">
        <f aca="false">'2020'!G63</f>
        <v>88</v>
      </c>
      <c r="H63" s="599" t="n">
        <f aca="false">'2021'!G63</f>
        <v>117</v>
      </c>
      <c r="I63" s="600" t="n">
        <f aca="false">'2022'!G63</f>
        <v>0</v>
      </c>
      <c r="J63" s="601" t="n">
        <f aca="false">'2020'!H63</f>
        <v>88</v>
      </c>
      <c r="K63" s="599" t="n">
        <f aca="false">'2021'!H63</f>
        <v>86</v>
      </c>
      <c r="L63" s="600" t="n">
        <f aca="false">'2022'!H63</f>
        <v>0</v>
      </c>
      <c r="M63" s="292" t="n">
        <f aca="false">IF(G63=0,0,IF(P63=0,0,P63/G63))</f>
        <v>0.602272727272727</v>
      </c>
      <c r="N63" s="294" t="n">
        <f aca="false">IF(H63=0,0,IF(Q63=0,0,Q63/H63))</f>
        <v>0.692307692307692</v>
      </c>
      <c r="O63" s="602" t="n">
        <f aca="false">IF(I63=0,0,IF(R63=0,0,R63/I63))</f>
        <v>0</v>
      </c>
      <c r="P63" s="601" t="n">
        <f aca="false">'2020'!J63</f>
        <v>53</v>
      </c>
      <c r="Q63" s="599" t="n">
        <f aca="false">'2021'!J63</f>
        <v>81</v>
      </c>
      <c r="R63" s="600" t="n">
        <f aca="false">'2022'!J63</f>
        <v>0</v>
      </c>
      <c r="S63" s="292" t="n">
        <f aca="false">T63/G63</f>
        <v>0.534090909090909</v>
      </c>
      <c r="T63" s="440" t="n">
        <v>47</v>
      </c>
      <c r="U63" s="292" t="n">
        <f aca="false">IF(V63="-","-",V63/T63)</f>
        <v>0.702127659574468</v>
      </c>
      <c r="V63" s="406" t="n">
        <v>33</v>
      </c>
      <c r="W63" s="407" t="s">
        <v>75</v>
      </c>
      <c r="X63" s="408" t="s">
        <v>75</v>
      </c>
      <c r="Y63" s="407" t="s">
        <v>75</v>
      </c>
      <c r="Z63" s="408" t="s">
        <v>75</v>
      </c>
      <c r="AA63" s="515" t="n">
        <v>112</v>
      </c>
      <c r="AB63" s="516" t="n">
        <v>82</v>
      </c>
      <c r="AC63" s="515" t="n">
        <v>5</v>
      </c>
      <c r="AD63" s="517" t="n">
        <v>4</v>
      </c>
      <c r="AE63" s="377" t="s">
        <v>153</v>
      </c>
      <c r="AG63" s="1" t="n">
        <f aca="false">IF(G63="","",1)</f>
        <v>1</v>
      </c>
    </row>
    <row r="64" customFormat="false" ht="15" hidden="false" customHeight="false" outlineLevel="0" collapsed="false">
      <c r="B64" s="224"/>
      <c r="C64" s="225"/>
      <c r="D64" s="378"/>
      <c r="E64" s="401" t="s">
        <v>109</v>
      </c>
      <c r="F64" s="402" t="s">
        <v>102</v>
      </c>
      <c r="G64" s="598" t="n">
        <f aca="false">'2020'!G64</f>
        <v>14</v>
      </c>
      <c r="H64" s="599" t="n">
        <f aca="false">'2021'!G64</f>
        <v>22</v>
      </c>
      <c r="I64" s="600" t="n">
        <f aca="false">'2022'!G64</f>
        <v>0</v>
      </c>
      <c r="J64" s="601" t="n">
        <f aca="false">'2020'!H64</f>
        <v>14</v>
      </c>
      <c r="K64" s="599" t="n">
        <f aca="false">'2021'!H64</f>
        <v>20</v>
      </c>
      <c r="L64" s="600" t="n">
        <f aca="false">'2022'!H64</f>
        <v>0</v>
      </c>
      <c r="M64" s="292" t="n">
        <f aca="false">IF(G64=0,0,IF(P64=0,0,P64/G64))</f>
        <v>0.642857142857143</v>
      </c>
      <c r="N64" s="294" t="n">
        <f aca="false">IF(H64=0,0,IF(Q64=0,0,Q64/H64))</f>
        <v>0.727272727272727</v>
      </c>
      <c r="O64" s="602" t="n">
        <f aca="false">IF(I64=0,0,IF(R64=0,0,R64/I64))</f>
        <v>0</v>
      </c>
      <c r="P64" s="601" t="n">
        <f aca="false">'2020'!J64</f>
        <v>9</v>
      </c>
      <c r="Q64" s="599" t="n">
        <f aca="false">'2021'!J64</f>
        <v>16</v>
      </c>
      <c r="R64" s="600" t="n">
        <f aca="false">'2022'!J64</f>
        <v>0</v>
      </c>
      <c r="S64" s="292" t="n">
        <f aca="false">T64/G64</f>
        <v>0.857142857142857</v>
      </c>
      <c r="T64" s="440" t="n">
        <v>12</v>
      </c>
      <c r="U64" s="292" t="n">
        <f aca="false">IF(V64="-","-",V64/T64)</f>
        <v>0.75</v>
      </c>
      <c r="V64" s="406" t="n">
        <v>9</v>
      </c>
      <c r="W64" s="407" t="s">
        <v>75</v>
      </c>
      <c r="X64" s="408" t="s">
        <v>75</v>
      </c>
      <c r="Y64" s="407" t="s">
        <v>75</v>
      </c>
      <c r="Z64" s="408" t="s">
        <v>75</v>
      </c>
      <c r="AA64" s="515" t="n">
        <v>22</v>
      </c>
      <c r="AB64" s="516" t="n">
        <v>20</v>
      </c>
      <c r="AC64" s="515" t="n">
        <v>0</v>
      </c>
      <c r="AD64" s="517" t="n">
        <v>0</v>
      </c>
      <c r="AE64" s="377" t="s">
        <v>153</v>
      </c>
      <c r="AG64" s="1" t="n">
        <f aca="false">IF(G64="","",1)</f>
        <v>1</v>
      </c>
    </row>
    <row r="65" customFormat="false" ht="15" hidden="false" customHeight="false" outlineLevel="0" collapsed="false">
      <c r="B65" s="224"/>
      <c r="C65" s="225"/>
      <c r="D65" s="378"/>
      <c r="E65" s="401" t="s">
        <v>110</v>
      </c>
      <c r="F65" s="402" t="s">
        <v>102</v>
      </c>
      <c r="G65" s="598" t="n">
        <f aca="false">'2020'!G65</f>
        <v>23</v>
      </c>
      <c r="H65" s="599" t="n">
        <f aca="false">'2021'!G65</f>
        <v>49</v>
      </c>
      <c r="I65" s="600" t="n">
        <f aca="false">'2022'!G65</f>
        <v>0</v>
      </c>
      <c r="J65" s="601" t="n">
        <f aca="false">'2020'!H65</f>
        <v>23</v>
      </c>
      <c r="K65" s="599" t="n">
        <f aca="false">'2021'!H65</f>
        <v>33</v>
      </c>
      <c r="L65" s="600" t="n">
        <f aca="false">'2022'!H65</f>
        <v>0</v>
      </c>
      <c r="M65" s="292" t="n">
        <f aca="false">IF(G65=0,0,IF(P65=0,0,P65/G65))</f>
        <v>0.652173913043478</v>
      </c>
      <c r="N65" s="294" t="n">
        <f aca="false">IF(H65=0,0,IF(Q65=0,0,Q65/H65))</f>
        <v>0.714285714285714</v>
      </c>
      <c r="O65" s="602" t="n">
        <f aca="false">IF(I65=0,0,IF(R65=0,0,R65/I65))</f>
        <v>0</v>
      </c>
      <c r="P65" s="601" t="n">
        <f aca="false">'2020'!J65</f>
        <v>15</v>
      </c>
      <c r="Q65" s="599" t="n">
        <f aca="false">'2021'!J65</f>
        <v>35</v>
      </c>
      <c r="R65" s="600" t="n">
        <f aca="false">'2022'!J65</f>
        <v>0</v>
      </c>
      <c r="S65" s="292" t="n">
        <f aca="false">T65/G65</f>
        <v>0.869565217391304</v>
      </c>
      <c r="T65" s="440" t="n">
        <v>20</v>
      </c>
      <c r="U65" s="292" t="n">
        <f aca="false">IF(V65="-","-",V65/T65)</f>
        <v>0.85</v>
      </c>
      <c r="V65" s="406" t="n">
        <v>17</v>
      </c>
      <c r="W65" s="407" t="s">
        <v>75</v>
      </c>
      <c r="X65" s="408" t="s">
        <v>75</v>
      </c>
      <c r="Y65" s="407" t="s">
        <v>75</v>
      </c>
      <c r="Z65" s="408" t="s">
        <v>75</v>
      </c>
      <c r="AA65" s="515" t="n">
        <v>46</v>
      </c>
      <c r="AB65" s="516" t="n">
        <v>31</v>
      </c>
      <c r="AC65" s="515" t="n">
        <v>3</v>
      </c>
      <c r="AD65" s="517" t="n">
        <v>2</v>
      </c>
      <c r="AE65" s="377" t="s">
        <v>153</v>
      </c>
      <c r="AG65" s="1" t="n">
        <f aca="false">IF(G65="","",1)</f>
        <v>1</v>
      </c>
    </row>
    <row r="66" customFormat="false" ht="15" hidden="false" customHeight="false" outlineLevel="0" collapsed="false">
      <c r="B66" s="224"/>
      <c r="C66" s="225"/>
      <c r="D66" s="378"/>
      <c r="E66" s="409"/>
      <c r="F66" s="410"/>
      <c r="G66" s="603"/>
      <c r="H66" s="604"/>
      <c r="I66" s="605"/>
      <c r="J66" s="606"/>
      <c r="K66" s="604"/>
      <c r="L66" s="605"/>
      <c r="M66" s="591"/>
      <c r="N66" s="607"/>
      <c r="O66" s="608"/>
      <c r="P66" s="606"/>
      <c r="Q66" s="604"/>
      <c r="R66" s="605"/>
      <c r="S66" s="591"/>
      <c r="T66" s="443"/>
      <c r="U66" s="591"/>
      <c r="V66" s="411"/>
      <c r="W66" s="412"/>
      <c r="X66" s="413"/>
      <c r="Y66" s="412"/>
      <c r="Z66" s="413"/>
      <c r="AA66" s="519"/>
      <c r="AB66" s="520"/>
      <c r="AC66" s="519"/>
      <c r="AD66" s="521"/>
      <c r="AE66" s="377"/>
    </row>
    <row r="67" customFormat="false" ht="15" hidden="false" customHeight="false" outlineLevel="0" collapsed="false">
      <c r="B67" s="224"/>
      <c r="C67" s="225"/>
      <c r="D67" s="378"/>
      <c r="E67" s="409"/>
      <c r="F67" s="410"/>
      <c r="G67" s="603"/>
      <c r="H67" s="604"/>
      <c r="I67" s="605"/>
      <c r="J67" s="606"/>
      <c r="K67" s="604"/>
      <c r="L67" s="605"/>
      <c r="M67" s="591"/>
      <c r="N67" s="607"/>
      <c r="O67" s="608"/>
      <c r="P67" s="606"/>
      <c r="Q67" s="604"/>
      <c r="R67" s="605"/>
      <c r="S67" s="591"/>
      <c r="T67" s="443"/>
      <c r="U67" s="591"/>
      <c r="V67" s="411"/>
      <c r="W67" s="412"/>
      <c r="X67" s="413"/>
      <c r="Y67" s="412"/>
      <c r="Z67" s="413"/>
      <c r="AA67" s="519"/>
      <c r="AB67" s="520"/>
      <c r="AC67" s="519"/>
      <c r="AD67" s="521"/>
      <c r="AE67" s="377"/>
    </row>
    <row r="68" customFormat="false" ht="15" hidden="false" customHeight="false" outlineLevel="0" collapsed="false">
      <c r="B68" s="224"/>
      <c r="C68" s="225"/>
      <c r="D68" s="378"/>
      <c r="E68" s="420" t="s">
        <v>111</v>
      </c>
      <c r="F68" s="421" t="s">
        <v>102</v>
      </c>
      <c r="G68" s="573" t="n">
        <f aca="false">'2020'!G68</f>
        <v>36</v>
      </c>
      <c r="H68" s="574" t="n">
        <f aca="false">'2021'!G68</f>
        <v>44</v>
      </c>
      <c r="I68" s="575" t="n">
        <f aca="false">'2022'!G68</f>
        <v>0</v>
      </c>
      <c r="J68" s="576" t="n">
        <f aca="false">'2020'!H68</f>
        <v>36</v>
      </c>
      <c r="K68" s="574" t="n">
        <f aca="false">'2021'!H68</f>
        <v>44</v>
      </c>
      <c r="L68" s="575" t="n">
        <f aca="false">'2022'!H68</f>
        <v>0</v>
      </c>
      <c r="M68" s="302" t="n">
        <f aca="false">IF(G68=0,0,IF(P68=0,0,P68/G68))</f>
        <v>0.5</v>
      </c>
      <c r="N68" s="304" t="n">
        <f aca="false">IF(H68=0,0,IF(Q68=0,0,Q68/H68))</f>
        <v>0.636363636363636</v>
      </c>
      <c r="O68" s="577" t="n">
        <f aca="false">IF(I68=0,0,IF(R68=0,0,R68/I68))</f>
        <v>0</v>
      </c>
      <c r="P68" s="576" t="n">
        <f aca="false">'2020'!J68</f>
        <v>18</v>
      </c>
      <c r="Q68" s="574" t="n">
        <f aca="false">'2021'!J68</f>
        <v>28</v>
      </c>
      <c r="R68" s="575" t="n">
        <f aca="false">'2022'!J68</f>
        <v>0</v>
      </c>
      <c r="S68" s="302" t="n">
        <f aca="false">T68/G68</f>
        <v>0.444444444444444</v>
      </c>
      <c r="T68" s="424" t="n">
        <v>16</v>
      </c>
      <c r="U68" s="302" t="n">
        <f aca="false">IF(V68="-","-",V68/T68)</f>
        <v>0.9375</v>
      </c>
      <c r="V68" s="425" t="n">
        <v>15</v>
      </c>
      <c r="W68" s="426" t="s">
        <v>75</v>
      </c>
      <c r="X68" s="427" t="s">
        <v>75</v>
      </c>
      <c r="Y68" s="426" t="s">
        <v>75</v>
      </c>
      <c r="Z68" s="427" t="s">
        <v>75</v>
      </c>
      <c r="AA68" s="522" t="n">
        <v>40</v>
      </c>
      <c r="AB68" s="523" t="n">
        <v>40</v>
      </c>
      <c r="AC68" s="522" t="n">
        <v>4</v>
      </c>
      <c r="AD68" s="524" t="n">
        <v>4</v>
      </c>
      <c r="AE68" s="377" t="s">
        <v>153</v>
      </c>
      <c r="AF68" s="194" t="s">
        <v>158</v>
      </c>
      <c r="AG68" s="1" t="n">
        <f aca="false">IF(G68="","",1)</f>
        <v>1</v>
      </c>
    </row>
    <row r="69" customFormat="false" ht="15.75" hidden="false" customHeight="false" outlineLevel="0" collapsed="false">
      <c r="B69" s="224"/>
      <c r="C69" s="225"/>
      <c r="D69" s="213" t="s">
        <v>76</v>
      </c>
      <c r="E69" s="262"/>
      <c r="F69" s="263"/>
      <c r="G69" s="579" t="n">
        <f aca="false">SUM(G62:G68)</f>
        <v>194</v>
      </c>
      <c r="H69" s="580" t="n">
        <f aca="false">SUM(H62:H68)</f>
        <v>285</v>
      </c>
      <c r="I69" s="581" t="n">
        <f aca="false">SUM(I62:I68)</f>
        <v>0</v>
      </c>
      <c r="J69" s="582" t="n">
        <f aca="false">SUM(J62:J68)</f>
        <v>194</v>
      </c>
      <c r="K69" s="580" t="n">
        <f aca="false">SUM(K62:K68)</f>
        <v>221</v>
      </c>
      <c r="L69" s="581" t="n">
        <f aca="false">SUM(L62:L68)</f>
        <v>0</v>
      </c>
      <c r="M69" s="317" t="n">
        <f aca="false">IF(G69=0,0,IF(P69=0,0,P69/G69))</f>
        <v>0.597938144329897</v>
      </c>
      <c r="N69" s="319" t="n">
        <f aca="false">IF(H69=0,0,IF(Q69=0,0,Q69/H69))</f>
        <v>0.673684210526316</v>
      </c>
      <c r="O69" s="562" t="n">
        <f aca="false">IF(I69=0,0,IF(R69=0,0,R69/I69))</f>
        <v>0</v>
      </c>
      <c r="P69" s="582" t="n">
        <f aca="false">SUM(P62:P68)</f>
        <v>116</v>
      </c>
      <c r="Q69" s="580" t="n">
        <f aca="false">SUM(Q62:Q68)</f>
        <v>192</v>
      </c>
      <c r="R69" s="581" t="n">
        <f aca="false">SUM(R62:R68)</f>
        <v>0</v>
      </c>
      <c r="S69" s="317" t="n">
        <f aca="false">T69/G69</f>
        <v>0.551546391752577</v>
      </c>
      <c r="T69" s="320" t="n">
        <f aca="false">SUM(T62:T68)</f>
        <v>107</v>
      </c>
      <c r="U69" s="218" t="n">
        <f aca="false">V69/T69</f>
        <v>0.785046728971963</v>
      </c>
      <c r="V69" s="320" t="n">
        <f aca="false">SUM(V62:V68)</f>
        <v>84</v>
      </c>
      <c r="W69" s="321" t="n">
        <f aca="false">SUM(W62:W68)</f>
        <v>0</v>
      </c>
      <c r="X69" s="316" t="n">
        <f aca="false">SUM(X62:X68)</f>
        <v>0</v>
      </c>
      <c r="Y69" s="321" t="n">
        <f aca="false">SUM(Y62:Y68)</f>
        <v>0</v>
      </c>
      <c r="Z69" s="316" t="n">
        <f aca="false">SUM(Z62:Z68)</f>
        <v>0</v>
      </c>
      <c r="AA69" s="321" t="n">
        <f aca="false">SUM(AA62:AA68)</f>
        <v>271</v>
      </c>
      <c r="AB69" s="316" t="n">
        <f aca="false">SUM(AB62:AB68)</f>
        <v>209</v>
      </c>
      <c r="AC69" s="321" t="n">
        <f aca="false">SUM(AC62:AC68)</f>
        <v>14</v>
      </c>
      <c r="AD69" s="322" t="n">
        <f aca="false">SUM(AD62:AD68)</f>
        <v>12</v>
      </c>
      <c r="AE69" s="377" t="s">
        <v>153</v>
      </c>
      <c r="AF69" s="194"/>
    </row>
    <row r="70" customFormat="false" ht="15" hidden="false" customHeight="true" outlineLevel="0" collapsed="false">
      <c r="B70" s="266" t="s">
        <v>112</v>
      </c>
      <c r="C70" s="267" t="s">
        <v>97</v>
      </c>
      <c r="D70" s="511" t="n">
        <v>17</v>
      </c>
      <c r="E70" s="455" t="s">
        <v>113</v>
      </c>
      <c r="F70" s="389" t="s">
        <v>102</v>
      </c>
      <c r="G70" s="593" t="n">
        <f aca="false">'2020'!G70</f>
        <v>59</v>
      </c>
      <c r="H70" s="594" t="n">
        <f aca="false">'2021'!G70</f>
        <v>76</v>
      </c>
      <c r="I70" s="595" t="n">
        <f aca="false">'2022'!G70</f>
        <v>0</v>
      </c>
      <c r="J70" s="596" t="n">
        <f aca="false">'2020'!H70</f>
        <v>59</v>
      </c>
      <c r="K70" s="594" t="n">
        <f aca="false">'2021'!H70</f>
        <v>76</v>
      </c>
      <c r="L70" s="595" t="n">
        <f aca="false">'2022'!H70</f>
        <v>0</v>
      </c>
      <c r="M70" s="394" t="n">
        <f aca="false">IF(G70=0,0,IF(P70=0,0,P70/G70))</f>
        <v>0.51</v>
      </c>
      <c r="N70" s="392" t="n">
        <f aca="false">IF(H70=0,0,IF(Q70=0,0,Q70/H70))</f>
        <v>0.5</v>
      </c>
      <c r="O70" s="597" t="n">
        <f aca="false">IF(I70=0,0,IF(R70=0,0,R70/I70))</f>
        <v>0</v>
      </c>
      <c r="P70" s="596" t="n">
        <f aca="false">'2020'!J70</f>
        <v>30.09</v>
      </c>
      <c r="Q70" s="594" t="n">
        <f aca="false">'2021'!J70</f>
        <v>38</v>
      </c>
      <c r="R70" s="595" t="n">
        <f aca="false">'2022'!J70</f>
        <v>0</v>
      </c>
      <c r="S70" s="394" t="n">
        <f aca="false">T70/G70</f>
        <v>0.491525423728814</v>
      </c>
      <c r="T70" s="437" t="n">
        <v>29</v>
      </c>
      <c r="U70" s="394" t="n">
        <f aca="false">IF(V70="-","-",V70/T70)</f>
        <v>0.724137931034483</v>
      </c>
      <c r="V70" s="395" t="n">
        <v>21</v>
      </c>
      <c r="W70" s="396" t="s">
        <v>75</v>
      </c>
      <c r="X70" s="397" t="s">
        <v>75</v>
      </c>
      <c r="Y70" s="396" t="s">
        <v>75</v>
      </c>
      <c r="Z70" s="397" t="s">
        <v>75</v>
      </c>
      <c r="AA70" s="512" t="n">
        <v>75</v>
      </c>
      <c r="AB70" s="513" t="n">
        <v>75</v>
      </c>
      <c r="AC70" s="512" t="n">
        <v>1</v>
      </c>
      <c r="AD70" s="514" t="n">
        <v>1</v>
      </c>
      <c r="AE70" s="377" t="s">
        <v>153</v>
      </c>
      <c r="AF70" s="194"/>
      <c r="AG70" s="1" t="n">
        <f aca="false">IF(G70="","",1)</f>
        <v>1</v>
      </c>
    </row>
    <row r="71" customFormat="false" ht="15" hidden="false" customHeight="true" outlineLevel="0" collapsed="false">
      <c r="B71" s="266"/>
      <c r="C71" s="267"/>
      <c r="D71" s="511"/>
      <c r="E71" s="458" t="s">
        <v>114</v>
      </c>
      <c r="F71" s="402" t="s">
        <v>102</v>
      </c>
      <c r="G71" s="598" t="n">
        <f aca="false">'2020'!G71</f>
        <v>45</v>
      </c>
      <c r="H71" s="599" t="n">
        <f aca="false">'2021'!G71</f>
        <v>80</v>
      </c>
      <c r="I71" s="600" t="n">
        <f aca="false">'2022'!G71</f>
        <v>0</v>
      </c>
      <c r="J71" s="601" t="n">
        <f aca="false">'2020'!H71</f>
        <v>45</v>
      </c>
      <c r="K71" s="599" t="n">
        <f aca="false">'2021'!H71</f>
        <v>80</v>
      </c>
      <c r="L71" s="600" t="n">
        <f aca="false">'2022'!H71</f>
        <v>0</v>
      </c>
      <c r="M71" s="292" t="n">
        <f aca="false">IF(G71=0,0,IF(P71=0,0,P71/G71))</f>
        <v>0.58</v>
      </c>
      <c r="N71" s="294" t="n">
        <f aca="false">IF(H71=0,0,IF(Q71=0,0,Q71/H71))</f>
        <v>0.6375</v>
      </c>
      <c r="O71" s="602" t="n">
        <f aca="false">IF(I71=0,0,IF(R71=0,0,R71/I71))</f>
        <v>0</v>
      </c>
      <c r="P71" s="601" t="n">
        <f aca="false">'2020'!J71</f>
        <v>26.1</v>
      </c>
      <c r="Q71" s="599" t="n">
        <f aca="false">'2021'!J71</f>
        <v>51</v>
      </c>
      <c r="R71" s="600" t="n">
        <f aca="false">'2022'!J71</f>
        <v>0</v>
      </c>
      <c r="S71" s="292" t="n">
        <f aca="false">T71/G71</f>
        <v>0.888888888888889</v>
      </c>
      <c r="T71" s="440" t="n">
        <v>40</v>
      </c>
      <c r="U71" s="292" t="n">
        <f aca="false">IF(V71="-","-",V71/T71)</f>
        <v>0.65</v>
      </c>
      <c r="V71" s="406" t="n">
        <v>26</v>
      </c>
      <c r="W71" s="407" t="s">
        <v>75</v>
      </c>
      <c r="X71" s="408" t="s">
        <v>75</v>
      </c>
      <c r="Y71" s="407" t="s">
        <v>75</v>
      </c>
      <c r="Z71" s="408" t="s">
        <v>75</v>
      </c>
      <c r="AA71" s="515" t="n">
        <v>74</v>
      </c>
      <c r="AB71" s="516" t="n">
        <v>74</v>
      </c>
      <c r="AC71" s="515" t="n">
        <v>6</v>
      </c>
      <c r="AD71" s="517" t="n">
        <v>6</v>
      </c>
      <c r="AE71" s="377" t="s">
        <v>153</v>
      </c>
      <c r="AF71" s="194"/>
      <c r="AG71" s="1" t="n">
        <f aca="false">IF(G71="","",1)</f>
        <v>1</v>
      </c>
    </row>
    <row r="72" customFormat="false" ht="15" hidden="false" customHeight="true" outlineLevel="0" collapsed="false">
      <c r="B72" s="266"/>
      <c r="C72" s="267"/>
      <c r="D72" s="511"/>
      <c r="E72" s="458" t="s">
        <v>115</v>
      </c>
      <c r="F72" s="402" t="s">
        <v>102</v>
      </c>
      <c r="G72" s="598" t="n">
        <f aca="false">'2020'!G72</f>
        <v>16</v>
      </c>
      <c r="H72" s="599" t="n">
        <f aca="false">'2021'!G72</f>
        <v>31</v>
      </c>
      <c r="I72" s="600" t="n">
        <f aca="false">'2022'!G72</f>
        <v>0</v>
      </c>
      <c r="J72" s="601" t="n">
        <f aca="false">'2020'!H72</f>
        <v>16</v>
      </c>
      <c r="K72" s="599" t="n">
        <f aca="false">'2021'!H72</f>
        <v>31</v>
      </c>
      <c r="L72" s="600" t="n">
        <f aca="false">'2022'!H72</f>
        <v>0</v>
      </c>
      <c r="M72" s="292" t="n">
        <f aca="false">IF(G72=0,0,IF(P72=0,0,P72/G72))</f>
        <v>0.44</v>
      </c>
      <c r="N72" s="294" t="n">
        <f aca="false">IF(H72=0,0,IF(Q72=0,0,Q72/H72))</f>
        <v>0.32258064516129</v>
      </c>
      <c r="O72" s="602" t="n">
        <f aca="false">IF(I72=0,0,IF(R72=0,0,R72/I72))</f>
        <v>0</v>
      </c>
      <c r="P72" s="601" t="n">
        <f aca="false">'2020'!J72</f>
        <v>7.04</v>
      </c>
      <c r="Q72" s="599" t="n">
        <f aca="false">'2021'!J72</f>
        <v>10</v>
      </c>
      <c r="R72" s="600" t="n">
        <f aca="false">'2022'!J72</f>
        <v>0</v>
      </c>
      <c r="S72" s="292" t="n">
        <f aca="false">T72/G72</f>
        <v>0.6875</v>
      </c>
      <c r="T72" s="440" t="n">
        <v>11</v>
      </c>
      <c r="U72" s="292" t="n">
        <f aca="false">IF(V72="-","-",V72/T72)</f>
        <v>0.454545454545455</v>
      </c>
      <c r="V72" s="406" t="n">
        <v>5</v>
      </c>
      <c r="W72" s="407" t="s">
        <v>75</v>
      </c>
      <c r="X72" s="408" t="s">
        <v>75</v>
      </c>
      <c r="Y72" s="407" t="s">
        <v>75</v>
      </c>
      <c r="Z72" s="408" t="s">
        <v>75</v>
      </c>
      <c r="AA72" s="515" t="n">
        <v>31</v>
      </c>
      <c r="AB72" s="516" t="n">
        <v>31</v>
      </c>
      <c r="AC72" s="515" t="n">
        <v>0</v>
      </c>
      <c r="AD72" s="517" t="n">
        <v>0</v>
      </c>
      <c r="AE72" s="377" t="s">
        <v>153</v>
      </c>
      <c r="AF72" s="194"/>
      <c r="AG72" s="1" t="n">
        <f aca="false">IF(G72="","",1)</f>
        <v>1</v>
      </c>
    </row>
    <row r="73" customFormat="false" ht="15" hidden="false" customHeight="true" outlineLevel="0" collapsed="false">
      <c r="B73" s="266"/>
      <c r="C73" s="267"/>
      <c r="D73" s="511"/>
      <c r="E73" s="458" t="s">
        <v>116</v>
      </c>
      <c r="F73" s="402" t="s">
        <v>102</v>
      </c>
      <c r="G73" s="598" t="n">
        <f aca="false">'2020'!G73</f>
        <v>31</v>
      </c>
      <c r="H73" s="599" t="n">
        <f aca="false">'2021'!G73</f>
        <v>15</v>
      </c>
      <c r="I73" s="600" t="n">
        <f aca="false">'2022'!G73</f>
        <v>0</v>
      </c>
      <c r="J73" s="601" t="n">
        <f aca="false">'2020'!H73</f>
        <v>31</v>
      </c>
      <c r="K73" s="599" t="n">
        <f aca="false">'2021'!H73</f>
        <v>15</v>
      </c>
      <c r="L73" s="600" t="n">
        <f aca="false">'2022'!H73</f>
        <v>0</v>
      </c>
      <c r="M73" s="292" t="n">
        <f aca="false">IF(G73=0,0,IF(P73=0,0,P73/G73))</f>
        <v>0.29</v>
      </c>
      <c r="N73" s="294" t="n">
        <f aca="false">IF(H73=0,0,IF(Q73=0,0,Q73/H73))</f>
        <v>0.333333333333333</v>
      </c>
      <c r="O73" s="602" t="n">
        <f aca="false">IF(I73=0,0,IF(R73=0,0,R73/I73))</f>
        <v>0</v>
      </c>
      <c r="P73" s="601" t="n">
        <f aca="false">'2020'!J73</f>
        <v>8.99</v>
      </c>
      <c r="Q73" s="599" t="n">
        <f aca="false">'2021'!J73</f>
        <v>5</v>
      </c>
      <c r="R73" s="600" t="n">
        <f aca="false">'2022'!J73</f>
        <v>0</v>
      </c>
      <c r="S73" s="292" t="n">
        <f aca="false">T73/G73</f>
        <v>0</v>
      </c>
      <c r="T73" s="440" t="n">
        <v>0</v>
      </c>
      <c r="U73" s="292" t="str">
        <f aca="false">IF(V73=0,"-",V73/T73)</f>
        <v>-</v>
      </c>
      <c r="V73" s="406" t="n">
        <v>0</v>
      </c>
      <c r="W73" s="407" t="s">
        <v>75</v>
      </c>
      <c r="X73" s="408" t="s">
        <v>75</v>
      </c>
      <c r="Y73" s="407" t="s">
        <v>75</v>
      </c>
      <c r="Z73" s="408" t="s">
        <v>75</v>
      </c>
      <c r="AA73" s="515" t="n">
        <v>15</v>
      </c>
      <c r="AB73" s="516" t="n">
        <v>15</v>
      </c>
      <c r="AC73" s="515" t="n">
        <v>0</v>
      </c>
      <c r="AD73" s="517" t="n">
        <v>0</v>
      </c>
      <c r="AE73" s="377" t="s">
        <v>153</v>
      </c>
      <c r="AF73" s="194"/>
      <c r="AG73" s="1" t="n">
        <f aca="false">IF(G73="","",1)</f>
        <v>1</v>
      </c>
    </row>
    <row r="74" customFormat="false" ht="15" hidden="false" customHeight="true" outlineLevel="0" collapsed="false">
      <c r="B74" s="266"/>
      <c r="C74" s="267"/>
      <c r="D74" s="511"/>
      <c r="E74" s="458" t="s">
        <v>117</v>
      </c>
      <c r="F74" s="402" t="s">
        <v>102</v>
      </c>
      <c r="G74" s="598" t="n">
        <f aca="false">'2020'!G74</f>
        <v>3</v>
      </c>
      <c r="H74" s="599" t="n">
        <f aca="false">'2021'!G74</f>
        <v>2</v>
      </c>
      <c r="I74" s="600" t="n">
        <f aca="false">'2022'!G74</f>
        <v>0</v>
      </c>
      <c r="J74" s="601" t="n">
        <f aca="false">'2020'!H74</f>
        <v>3</v>
      </c>
      <c r="K74" s="599" t="n">
        <f aca="false">'2021'!H74</f>
        <v>2</v>
      </c>
      <c r="L74" s="600" t="n">
        <f aca="false">'2022'!H74</f>
        <v>0</v>
      </c>
      <c r="M74" s="292" t="n">
        <f aca="false">IF(G74=0,0,IF(P74=0,0,P74/G74))</f>
        <v>0</v>
      </c>
      <c r="N74" s="294" t="n">
        <f aca="false">IF(H74=0,0,IF(Q74=0,0,Q74/H74))</f>
        <v>0.5</v>
      </c>
      <c r="O74" s="602" t="n">
        <f aca="false">IF(I74=0,0,IF(R74=0,0,R74/I74))</f>
        <v>0</v>
      </c>
      <c r="P74" s="601" t="n">
        <f aca="false">'2020'!J74</f>
        <v>0</v>
      </c>
      <c r="Q74" s="599" t="n">
        <f aca="false">'2021'!J74</f>
        <v>1</v>
      </c>
      <c r="R74" s="600" t="n">
        <f aca="false">'2022'!J74</f>
        <v>0</v>
      </c>
      <c r="S74" s="292" t="n">
        <f aca="false">T74/G74</f>
        <v>0.333333333333333</v>
      </c>
      <c r="T74" s="440" t="n">
        <v>1</v>
      </c>
      <c r="U74" s="292" t="n">
        <f aca="false">IF(V74="-","-",V74/T74)</f>
        <v>1</v>
      </c>
      <c r="V74" s="406" t="n">
        <v>1</v>
      </c>
      <c r="W74" s="407" t="s">
        <v>75</v>
      </c>
      <c r="X74" s="408" t="s">
        <v>75</v>
      </c>
      <c r="Y74" s="407" t="s">
        <v>75</v>
      </c>
      <c r="Z74" s="408" t="s">
        <v>75</v>
      </c>
      <c r="AA74" s="515" t="n">
        <v>1</v>
      </c>
      <c r="AB74" s="516" t="n">
        <v>1</v>
      </c>
      <c r="AC74" s="515" t="n">
        <v>1</v>
      </c>
      <c r="AD74" s="517" t="n">
        <v>1</v>
      </c>
      <c r="AE74" s="377" t="s">
        <v>153</v>
      </c>
      <c r="AF74" s="194"/>
      <c r="AG74" s="1" t="n">
        <f aca="false">IF(G74="","",1)</f>
        <v>1</v>
      </c>
    </row>
    <row r="75" customFormat="false" ht="15" hidden="false" customHeight="true" outlineLevel="0" collapsed="false">
      <c r="B75" s="266"/>
      <c r="C75" s="267"/>
      <c r="D75" s="511"/>
      <c r="E75" s="458" t="s">
        <v>118</v>
      </c>
      <c r="F75" s="402" t="s">
        <v>102</v>
      </c>
      <c r="G75" s="598" t="n">
        <f aca="false">'2020'!G75</f>
        <v>13</v>
      </c>
      <c r="H75" s="599" t="n">
        <f aca="false">'2021'!G75</f>
        <v>15</v>
      </c>
      <c r="I75" s="600" t="n">
        <f aca="false">'2022'!G75</f>
        <v>0</v>
      </c>
      <c r="J75" s="601" t="n">
        <f aca="false">'2020'!H75</f>
        <v>13</v>
      </c>
      <c r="K75" s="599" t="n">
        <f aca="false">'2021'!H75</f>
        <v>15</v>
      </c>
      <c r="L75" s="600" t="n">
        <f aca="false">'2022'!H75</f>
        <v>0</v>
      </c>
      <c r="M75" s="292" t="n">
        <f aca="false">IF(G75=0,0,IF(P75=0,0,P75/G75))</f>
        <v>0.23</v>
      </c>
      <c r="N75" s="294" t="n">
        <f aca="false">IF(H75=0,0,IF(Q75=0,0,Q75/H75))</f>
        <v>0.533333333333333</v>
      </c>
      <c r="O75" s="602" t="n">
        <f aca="false">IF(I75=0,0,IF(R75=0,0,R75/I75))</f>
        <v>0</v>
      </c>
      <c r="P75" s="601" t="n">
        <f aca="false">'2020'!J75</f>
        <v>2.99</v>
      </c>
      <c r="Q75" s="599" t="n">
        <f aca="false">'2021'!J75</f>
        <v>8</v>
      </c>
      <c r="R75" s="600" t="n">
        <f aca="false">'2022'!J75</f>
        <v>0</v>
      </c>
      <c r="S75" s="292" t="n">
        <f aca="false">T75/G75</f>
        <v>0.307692307692308</v>
      </c>
      <c r="T75" s="440" t="n">
        <v>4</v>
      </c>
      <c r="U75" s="292" t="n">
        <f aca="false">IF(V75="-","-",V75/T75)</f>
        <v>0.5</v>
      </c>
      <c r="V75" s="406" t="n">
        <v>2</v>
      </c>
      <c r="W75" s="407" t="s">
        <v>75</v>
      </c>
      <c r="X75" s="408" t="s">
        <v>75</v>
      </c>
      <c r="Y75" s="407" t="s">
        <v>75</v>
      </c>
      <c r="Z75" s="408" t="s">
        <v>75</v>
      </c>
      <c r="AA75" s="515" t="n">
        <v>13</v>
      </c>
      <c r="AB75" s="516" t="n">
        <v>13</v>
      </c>
      <c r="AC75" s="515" t="n">
        <v>2</v>
      </c>
      <c r="AD75" s="517" t="n">
        <v>2</v>
      </c>
      <c r="AE75" s="377" t="s">
        <v>153</v>
      </c>
      <c r="AF75" s="194"/>
      <c r="AG75" s="1" t="n">
        <f aca="false">IF(G75="","",1)</f>
        <v>1</v>
      </c>
    </row>
    <row r="76" customFormat="false" ht="15.75" hidden="false" customHeight="true" outlineLevel="0" collapsed="false">
      <c r="B76" s="266"/>
      <c r="C76" s="267"/>
      <c r="D76" s="511"/>
      <c r="E76" s="458" t="s">
        <v>119</v>
      </c>
      <c r="F76" s="402"/>
      <c r="G76" s="598" t="n">
        <f aca="false">'2020'!G76</f>
        <v>0</v>
      </c>
      <c r="H76" s="599" t="n">
        <f aca="false">'2021'!G76</f>
        <v>12</v>
      </c>
      <c r="I76" s="600" t="n">
        <f aca="false">'2022'!G76</f>
        <v>0</v>
      </c>
      <c r="J76" s="601" t="n">
        <f aca="false">'2020'!H76</f>
        <v>0</v>
      </c>
      <c r="K76" s="599" t="n">
        <f aca="false">'2021'!H76</f>
        <v>12</v>
      </c>
      <c r="L76" s="600" t="n">
        <f aca="false">'2022'!H76</f>
        <v>0</v>
      </c>
      <c r="M76" s="292" t="n">
        <f aca="false">IF(G76=0,0,IF(P76=0,0,P76/G76))</f>
        <v>0</v>
      </c>
      <c r="N76" s="294" t="n">
        <f aca="false">IF(H76=0,0,IF(Q76=0,0,Q76/H76))</f>
        <v>0.833333333333333</v>
      </c>
      <c r="O76" s="602" t="n">
        <f aca="false">IF(I76=0,0,IF(R76=0,0,R76/I76))</f>
        <v>0</v>
      </c>
      <c r="P76" s="601" t="n">
        <f aca="false">'2020'!J76</f>
        <v>0</v>
      </c>
      <c r="Q76" s="599" t="n">
        <f aca="false">'2021'!J76</f>
        <v>10</v>
      </c>
      <c r="R76" s="600" t="n">
        <f aca="false">'2022'!J76</f>
        <v>0</v>
      </c>
      <c r="S76" s="292" t="e">
        <f aca="false">T76/G76</f>
        <v>#DIV/0!</v>
      </c>
      <c r="T76" s="440" t="n">
        <v>7</v>
      </c>
      <c r="U76" s="292" t="n">
        <f aca="false">IF(V76="-","-",V76/T76)</f>
        <v>1</v>
      </c>
      <c r="V76" s="406" t="n">
        <v>7</v>
      </c>
      <c r="W76" s="407" t="s">
        <v>75</v>
      </c>
      <c r="X76" s="408" t="s">
        <v>75</v>
      </c>
      <c r="Y76" s="407" t="s">
        <v>75</v>
      </c>
      <c r="Z76" s="408" t="s">
        <v>75</v>
      </c>
      <c r="AA76" s="515" t="n">
        <v>12</v>
      </c>
      <c r="AB76" s="516" t="n">
        <v>12</v>
      </c>
      <c r="AC76" s="515" t="n">
        <v>0</v>
      </c>
      <c r="AD76" s="517" t="n">
        <v>0</v>
      </c>
      <c r="AE76" s="377" t="s">
        <v>153</v>
      </c>
      <c r="AF76" s="194"/>
      <c r="AG76" s="1" t="n">
        <f aca="false">IF(G76="","",1)</f>
        <v>1</v>
      </c>
    </row>
    <row r="77" customFormat="false" ht="15.75" hidden="false" customHeight="true" outlineLevel="0" collapsed="false">
      <c r="B77" s="266"/>
      <c r="C77" s="267"/>
      <c r="D77" s="511"/>
      <c r="E77" s="460"/>
      <c r="F77" s="518"/>
      <c r="G77" s="603"/>
      <c r="H77" s="604"/>
      <c r="I77" s="605"/>
      <c r="J77" s="606"/>
      <c r="K77" s="604"/>
      <c r="L77" s="605"/>
      <c r="M77" s="591"/>
      <c r="N77" s="607"/>
      <c r="O77" s="608"/>
      <c r="P77" s="606"/>
      <c r="Q77" s="604"/>
      <c r="R77" s="605"/>
      <c r="S77" s="591"/>
      <c r="T77" s="443"/>
      <c r="U77" s="591"/>
      <c r="V77" s="411"/>
      <c r="W77" s="412"/>
      <c r="X77" s="413"/>
      <c r="Y77" s="412"/>
      <c r="Z77" s="413"/>
      <c r="AA77" s="519"/>
      <c r="AB77" s="520"/>
      <c r="AC77" s="519"/>
      <c r="AD77" s="521"/>
      <c r="AE77" s="377"/>
      <c r="AF77" s="194"/>
    </row>
    <row r="78" customFormat="false" ht="15.75" hidden="false" customHeight="true" outlineLevel="0" collapsed="false">
      <c r="B78" s="266"/>
      <c r="C78" s="267"/>
      <c r="D78" s="511"/>
      <c r="E78" s="460"/>
      <c r="F78" s="518"/>
      <c r="G78" s="603"/>
      <c r="H78" s="604"/>
      <c r="I78" s="605"/>
      <c r="J78" s="606"/>
      <c r="K78" s="604"/>
      <c r="L78" s="605"/>
      <c r="M78" s="591"/>
      <c r="N78" s="607"/>
      <c r="O78" s="608"/>
      <c r="P78" s="606"/>
      <c r="Q78" s="604"/>
      <c r="R78" s="605"/>
      <c r="S78" s="591"/>
      <c r="T78" s="443"/>
      <c r="U78" s="591"/>
      <c r="V78" s="411"/>
      <c r="W78" s="412"/>
      <c r="X78" s="413"/>
      <c r="Y78" s="412"/>
      <c r="Z78" s="413"/>
      <c r="AA78" s="519"/>
      <c r="AB78" s="520"/>
      <c r="AC78" s="519"/>
      <c r="AD78" s="521"/>
      <c r="AE78" s="377"/>
      <c r="AF78" s="194"/>
    </row>
    <row r="79" customFormat="false" ht="15.75" hidden="false" customHeight="true" outlineLevel="0" collapsed="false">
      <c r="B79" s="266"/>
      <c r="C79" s="267"/>
      <c r="D79" s="511"/>
      <c r="E79" s="462" t="s">
        <v>120</v>
      </c>
      <c r="F79" s="421"/>
      <c r="G79" s="573" t="n">
        <f aca="false">'2020'!G79</f>
        <v>0</v>
      </c>
      <c r="H79" s="574" t="n">
        <f aca="false">'2021'!G79</f>
        <v>14</v>
      </c>
      <c r="I79" s="575" t="n">
        <f aca="false">'2022'!G79</f>
        <v>0</v>
      </c>
      <c r="J79" s="576" t="n">
        <f aca="false">'2020'!H79</f>
        <v>0</v>
      </c>
      <c r="K79" s="574" t="n">
        <f aca="false">'2021'!H79</f>
        <v>14</v>
      </c>
      <c r="L79" s="575" t="n">
        <f aca="false">'2022'!H79</f>
        <v>0</v>
      </c>
      <c r="M79" s="302" t="n">
        <f aca="false">IF(G79=0,0,IF(P79=0,0,P79/G79))</f>
        <v>0</v>
      </c>
      <c r="N79" s="304" t="n">
        <f aca="false">IF(H79=0,0,IF(Q79=0,0,Q79/H79))</f>
        <v>1</v>
      </c>
      <c r="O79" s="577" t="n">
        <f aca="false">IF(I79=0,0,IF(R79=0,0,R79/I79))</f>
        <v>0</v>
      </c>
      <c r="P79" s="576" t="n">
        <f aca="false">'2020'!J79</f>
        <v>0</v>
      </c>
      <c r="Q79" s="574" t="n">
        <f aca="false">'2021'!J79</f>
        <v>14</v>
      </c>
      <c r="R79" s="575" t="n">
        <f aca="false">'2022'!J79</f>
        <v>0</v>
      </c>
      <c r="S79" s="302" t="e">
        <f aca="false">T79/G79</f>
        <v>#DIV/0!</v>
      </c>
      <c r="T79" s="424" t="n">
        <v>5</v>
      </c>
      <c r="U79" s="302" t="n">
        <f aca="false">IF(V79="-","-",V79/T79)</f>
        <v>1</v>
      </c>
      <c r="V79" s="425" t="n">
        <v>5</v>
      </c>
      <c r="W79" s="426" t="s">
        <v>75</v>
      </c>
      <c r="X79" s="427" t="s">
        <v>75</v>
      </c>
      <c r="Y79" s="426" t="s">
        <v>75</v>
      </c>
      <c r="Z79" s="427" t="s">
        <v>75</v>
      </c>
      <c r="AA79" s="522" t="n">
        <v>14</v>
      </c>
      <c r="AB79" s="523" t="n">
        <v>14</v>
      </c>
      <c r="AC79" s="522" t="n">
        <v>0</v>
      </c>
      <c r="AD79" s="524" t="n">
        <v>0</v>
      </c>
      <c r="AE79" s="377" t="s">
        <v>153</v>
      </c>
      <c r="AF79" s="194"/>
      <c r="AG79" s="1" t="n">
        <f aca="false">IF(G79="","",1)</f>
        <v>1</v>
      </c>
    </row>
    <row r="80" customFormat="false" ht="31.5" hidden="false" customHeight="false" outlineLevel="0" collapsed="false">
      <c r="B80" s="266"/>
      <c r="C80" s="267"/>
      <c r="D80" s="267" t="s">
        <v>76</v>
      </c>
      <c r="E80" s="282"/>
      <c r="F80" s="263"/>
      <c r="G80" s="579" t="n">
        <f aca="false">SUM(G70:G79)</f>
        <v>167</v>
      </c>
      <c r="H80" s="580" t="n">
        <f aca="false">SUM(H70:H79)</f>
        <v>245</v>
      </c>
      <c r="I80" s="581" t="n">
        <f aca="false">SUM(I70:I79)</f>
        <v>0</v>
      </c>
      <c r="J80" s="582" t="n">
        <f aca="false">SUM(J70:J79)</f>
        <v>167</v>
      </c>
      <c r="K80" s="580" t="n">
        <f aca="false">SUM(K70:K79)</f>
        <v>245</v>
      </c>
      <c r="L80" s="581" t="n">
        <f aca="false">SUM(L70:L79)</f>
        <v>0</v>
      </c>
      <c r="M80" s="317" t="n">
        <f aca="false">IF(G80=0,0,IF(P80=0,0,P80/G80))</f>
        <v>0.450359281437126</v>
      </c>
      <c r="N80" s="319" t="n">
        <f aca="false">IF(H80=0,0,IF(Q80=0,0,Q80/H80))</f>
        <v>0.559183673469388</v>
      </c>
      <c r="O80" s="562" t="n">
        <f aca="false">IF(I80=0,0,IF(R80=0,0,R80/I80))</f>
        <v>0</v>
      </c>
      <c r="P80" s="582" t="n">
        <f aca="false">SUM(P70:P79)</f>
        <v>75.21</v>
      </c>
      <c r="Q80" s="580" t="n">
        <f aca="false">SUM(Q70:Q79)</f>
        <v>137</v>
      </c>
      <c r="R80" s="581" t="n">
        <f aca="false">SUM(R70:R79)</f>
        <v>0</v>
      </c>
      <c r="S80" s="317" t="n">
        <f aca="false">T80/G80</f>
        <v>0.580838323353293</v>
      </c>
      <c r="T80" s="320" t="n">
        <f aca="false">SUM(T70:T79)</f>
        <v>97</v>
      </c>
      <c r="U80" s="218" t="n">
        <f aca="false">V80/T80</f>
        <v>0.690721649484536</v>
      </c>
      <c r="V80" s="320" t="n">
        <f aca="false">SUM(V70:V79)</f>
        <v>67</v>
      </c>
      <c r="W80" s="321" t="n">
        <f aca="false">SUM(W70:W79)</f>
        <v>0</v>
      </c>
      <c r="X80" s="316" t="n">
        <f aca="false">SUM(X70:X79)</f>
        <v>0</v>
      </c>
      <c r="Y80" s="321" t="n">
        <f aca="false">SUM(Y70:Y79)</f>
        <v>0</v>
      </c>
      <c r="Z80" s="316" t="n">
        <f aca="false">SUM(Z70:Z79)</f>
        <v>0</v>
      </c>
      <c r="AA80" s="321" t="n">
        <f aca="false">SUM(AA70:AA79)</f>
        <v>235</v>
      </c>
      <c r="AB80" s="316" t="n">
        <f aca="false">SUM(AB70:AB79)</f>
        <v>235</v>
      </c>
      <c r="AC80" s="321" t="n">
        <f aca="false">SUM(AC70:AC79)</f>
        <v>10</v>
      </c>
      <c r="AD80" s="322" t="n">
        <f aca="false">SUM(AD70:AD79)</f>
        <v>10</v>
      </c>
      <c r="AE80" s="377" t="s">
        <v>153</v>
      </c>
      <c r="AF80" s="194"/>
    </row>
    <row r="81" customFormat="false" ht="15" hidden="false" customHeight="true" outlineLevel="0" collapsed="false">
      <c r="B81" s="283" t="s">
        <v>159</v>
      </c>
      <c r="C81" s="213" t="s">
        <v>97</v>
      </c>
      <c r="D81" s="525" t="n">
        <v>17</v>
      </c>
      <c r="E81" s="455" t="s">
        <v>122</v>
      </c>
      <c r="F81" s="389"/>
      <c r="G81" s="563" t="n">
        <f aca="false">'2020'!G81</f>
        <v>0</v>
      </c>
      <c r="H81" s="564" t="n">
        <f aca="false">'2021'!G81</f>
        <v>0</v>
      </c>
      <c r="I81" s="565" t="n">
        <f aca="false">'2022'!G81</f>
        <v>0</v>
      </c>
      <c r="J81" s="566" t="n">
        <f aca="false">'2020'!H81</f>
        <v>0</v>
      </c>
      <c r="K81" s="564" t="n">
        <f aca="false">'2021'!H81</f>
        <v>0</v>
      </c>
      <c r="L81" s="565" t="n">
        <f aca="false">'2022'!H81</f>
        <v>0</v>
      </c>
      <c r="M81" s="394" t="n">
        <f aca="false">IF(G81=0,0,IF(P81=0,0,P81/G81))</f>
        <v>0</v>
      </c>
      <c r="N81" s="392" t="n">
        <f aca="false">IF(H81=0,0,IF(Q81=0,0,Q81/H81))</f>
        <v>0</v>
      </c>
      <c r="O81" s="597" t="n">
        <f aca="false">IF(I81=0,0,IF(R81=0,0,R81/I81))</f>
        <v>0</v>
      </c>
      <c r="P81" s="566" t="n">
        <f aca="false">'2020'!J81</f>
        <v>0</v>
      </c>
      <c r="Q81" s="564" t="n">
        <f aca="false">'2021'!J81</f>
        <v>0</v>
      </c>
      <c r="R81" s="565" t="n">
        <f aca="false">'2022'!J81</f>
        <v>0</v>
      </c>
      <c r="S81" s="394"/>
      <c r="T81" s="437"/>
      <c r="U81" s="272"/>
      <c r="V81" s="395"/>
      <c r="W81" s="396"/>
      <c r="X81" s="397"/>
      <c r="Y81" s="396"/>
      <c r="Z81" s="397"/>
      <c r="AA81" s="512"/>
      <c r="AB81" s="513"/>
      <c r="AC81" s="512"/>
      <c r="AD81" s="514"/>
      <c r="AE81" s="526"/>
      <c r="AF81" s="286"/>
    </row>
    <row r="82" customFormat="false" ht="15.75" hidden="false" customHeight="true" outlineLevel="0" collapsed="false">
      <c r="B82" s="283"/>
      <c r="C82" s="213"/>
      <c r="D82" s="525"/>
      <c r="E82" s="458" t="s">
        <v>123</v>
      </c>
      <c r="F82" s="402"/>
      <c r="G82" s="568" t="n">
        <f aca="false">'2020'!G82</f>
        <v>0</v>
      </c>
      <c r="H82" s="569" t="n">
        <f aca="false">'2021'!G82</f>
        <v>0</v>
      </c>
      <c r="I82" s="570" t="n">
        <f aca="false">'2022'!G82</f>
        <v>0</v>
      </c>
      <c r="J82" s="571" t="n">
        <f aca="false">'2020'!H82</f>
        <v>0</v>
      </c>
      <c r="K82" s="569" t="n">
        <f aca="false">'2021'!H82</f>
        <v>0</v>
      </c>
      <c r="L82" s="570" t="n">
        <f aca="false">'2022'!H82</f>
        <v>0</v>
      </c>
      <c r="M82" s="292" t="n">
        <f aca="false">IF(G82=0,0,IF(P82=0,0,P82/G82))</f>
        <v>0</v>
      </c>
      <c r="N82" s="294" t="n">
        <f aca="false">IF(H82=0,0,IF(Q82=0,0,Q82/H82))</f>
        <v>0</v>
      </c>
      <c r="O82" s="602" t="n">
        <f aca="false">IF(I82=0,0,IF(R82=0,0,R82/I82))</f>
        <v>0</v>
      </c>
      <c r="P82" s="571" t="n">
        <f aca="false">'2020'!J82</f>
        <v>0</v>
      </c>
      <c r="Q82" s="569" t="n">
        <f aca="false">'2021'!J82</f>
        <v>0</v>
      </c>
      <c r="R82" s="570" t="n">
        <f aca="false">'2022'!J82</f>
        <v>0</v>
      </c>
      <c r="S82" s="292"/>
      <c r="T82" s="440"/>
      <c r="U82" s="188"/>
      <c r="V82" s="406"/>
      <c r="W82" s="407"/>
      <c r="X82" s="408"/>
      <c r="Y82" s="407"/>
      <c r="Z82" s="408"/>
      <c r="AA82" s="515"/>
      <c r="AB82" s="516"/>
      <c r="AC82" s="515"/>
      <c r="AD82" s="517"/>
      <c r="AE82" s="527"/>
      <c r="AF82" s="288"/>
    </row>
    <row r="83" customFormat="false" ht="15.75" hidden="false" customHeight="true" outlineLevel="0" collapsed="false">
      <c r="B83" s="283"/>
      <c r="C83" s="213"/>
      <c r="D83" s="525"/>
      <c r="E83" s="458" t="s">
        <v>124</v>
      </c>
      <c r="F83" s="402"/>
      <c r="G83" s="568" t="n">
        <f aca="false">'2020'!G83</f>
        <v>0</v>
      </c>
      <c r="H83" s="569" t="n">
        <f aca="false">'2021'!G83</f>
        <v>0</v>
      </c>
      <c r="I83" s="570" t="n">
        <f aca="false">'2022'!G83</f>
        <v>0</v>
      </c>
      <c r="J83" s="571" t="n">
        <f aca="false">'2020'!H83</f>
        <v>0</v>
      </c>
      <c r="K83" s="569" t="n">
        <f aca="false">'2021'!H83</f>
        <v>0</v>
      </c>
      <c r="L83" s="570" t="n">
        <f aca="false">'2022'!H83</f>
        <v>0</v>
      </c>
      <c r="M83" s="292" t="n">
        <f aca="false">IF(G83=0,0,IF(P83=0,0,P83/G83))</f>
        <v>0</v>
      </c>
      <c r="N83" s="294" t="n">
        <f aca="false">IF(H83=0,0,IF(Q83=0,0,Q83/H83))</f>
        <v>0</v>
      </c>
      <c r="O83" s="602" t="n">
        <f aca="false">IF(I83=0,0,IF(R83=0,0,R83/I83))</f>
        <v>0</v>
      </c>
      <c r="P83" s="571" t="n">
        <f aca="false">'2020'!J83</f>
        <v>0</v>
      </c>
      <c r="Q83" s="569" t="n">
        <f aca="false">'2021'!J83</f>
        <v>0</v>
      </c>
      <c r="R83" s="570" t="n">
        <f aca="false">'2022'!J83</f>
        <v>0</v>
      </c>
      <c r="S83" s="292"/>
      <c r="T83" s="440"/>
      <c r="U83" s="188"/>
      <c r="V83" s="406"/>
      <c r="W83" s="407"/>
      <c r="X83" s="408"/>
      <c r="Y83" s="407"/>
      <c r="Z83" s="408"/>
      <c r="AA83" s="515"/>
      <c r="AB83" s="516"/>
      <c r="AC83" s="515"/>
      <c r="AD83" s="517"/>
      <c r="AE83" s="527"/>
      <c r="AF83" s="288"/>
    </row>
    <row r="84" customFormat="false" ht="15" hidden="false" customHeight="true" outlineLevel="0" collapsed="false">
      <c r="B84" s="283"/>
      <c r="C84" s="213"/>
      <c r="D84" s="525"/>
      <c r="E84" s="458" t="s">
        <v>125</v>
      </c>
      <c r="F84" s="459" t="s">
        <v>70</v>
      </c>
      <c r="G84" s="598" t="n">
        <f aca="false">'2020'!G84</f>
        <v>217</v>
      </c>
      <c r="H84" s="599" t="n">
        <f aca="false">'2021'!G84</f>
        <v>346</v>
      </c>
      <c r="I84" s="600" t="n">
        <f aca="false">'2022'!G84</f>
        <v>0</v>
      </c>
      <c r="J84" s="601" t="n">
        <f aca="false">'2020'!H84</f>
        <v>102</v>
      </c>
      <c r="K84" s="599" t="n">
        <f aca="false">'2021'!H84</f>
        <v>174</v>
      </c>
      <c r="L84" s="600" t="n">
        <f aca="false">'2022'!H84</f>
        <v>0</v>
      </c>
      <c r="M84" s="292" t="n">
        <f aca="false">IF(G84=0,0,IF(P84=0,0,P84/G84))</f>
        <v>0.29</v>
      </c>
      <c r="N84" s="294" t="n">
        <f aca="false">IF(H84=0,0,IF(Q84=0,0,Q84/H84))</f>
        <v>0.315028901734104</v>
      </c>
      <c r="O84" s="602" t="n">
        <f aca="false">IF(I84=0,0,IF(R84=0,0,R84/I84))</f>
        <v>0</v>
      </c>
      <c r="P84" s="601" t="n">
        <f aca="false">'2020'!J84</f>
        <v>62.93</v>
      </c>
      <c r="Q84" s="599" t="n">
        <f aca="false">'2021'!J84</f>
        <v>109</v>
      </c>
      <c r="R84" s="600" t="n">
        <f aca="false">'2022'!J84</f>
        <v>0</v>
      </c>
      <c r="S84" s="292" t="n">
        <f aca="false">T84/G84</f>
        <v>0.377880184331797</v>
      </c>
      <c r="T84" s="440" t="n">
        <v>82</v>
      </c>
      <c r="U84" s="292" t="n">
        <f aca="false">IF(V84="-","-",V84/T84)</f>
        <v>0.524390243902439</v>
      </c>
      <c r="V84" s="406" t="n">
        <v>43</v>
      </c>
      <c r="W84" s="407" t="n">
        <v>11</v>
      </c>
      <c r="X84" s="408" t="n">
        <v>7</v>
      </c>
      <c r="Y84" s="407" t="n">
        <v>50</v>
      </c>
      <c r="Z84" s="408" t="n">
        <v>36</v>
      </c>
      <c r="AA84" s="515" t="n">
        <v>374</v>
      </c>
      <c r="AB84" s="516" t="n">
        <v>195</v>
      </c>
      <c r="AC84" s="515" t="n">
        <v>22</v>
      </c>
      <c r="AD84" s="517" t="n">
        <v>15</v>
      </c>
      <c r="AE84" s="527" t="s">
        <v>153</v>
      </c>
      <c r="AF84" s="288"/>
      <c r="AG84" s="1" t="n">
        <f aca="false">IF(G84="","",1)</f>
        <v>1</v>
      </c>
    </row>
    <row r="85" customFormat="false" ht="15" hidden="false" customHeight="true" outlineLevel="0" collapsed="false">
      <c r="B85" s="283"/>
      <c r="C85" s="213"/>
      <c r="D85" s="525"/>
      <c r="E85" s="458" t="s">
        <v>126</v>
      </c>
      <c r="F85" s="459" t="s">
        <v>102</v>
      </c>
      <c r="G85" s="598" t="n">
        <f aca="false">'2020'!G85</f>
        <v>156</v>
      </c>
      <c r="H85" s="599" t="n">
        <f aca="false">'2021'!G85</f>
        <v>230</v>
      </c>
      <c r="I85" s="600" t="n">
        <f aca="false">'2022'!G85</f>
        <v>0</v>
      </c>
      <c r="J85" s="601" t="n">
        <f aca="false">'2020'!H85</f>
        <v>87</v>
      </c>
      <c r="K85" s="599" t="n">
        <f aca="false">'2021'!H85</f>
        <v>116</v>
      </c>
      <c r="L85" s="600" t="n">
        <f aca="false">'2022'!H85</f>
        <v>0</v>
      </c>
      <c r="M85" s="292" t="n">
        <f aca="false">IF(G85=0,0,IF(P85=0,0,P85/G85))</f>
        <v>0.4</v>
      </c>
      <c r="N85" s="294" t="n">
        <f aca="false">IF(H85=0,0,IF(Q85=0,0,Q85/H85))</f>
        <v>0.4</v>
      </c>
      <c r="O85" s="602" t="n">
        <f aca="false">IF(I85=0,0,IF(R85=0,0,R85/I85))</f>
        <v>0</v>
      </c>
      <c r="P85" s="601" t="n">
        <f aca="false">'2020'!J85</f>
        <v>62.4</v>
      </c>
      <c r="Q85" s="599" t="n">
        <f aca="false">'2021'!J85</f>
        <v>92</v>
      </c>
      <c r="R85" s="600" t="n">
        <f aca="false">'2022'!J85</f>
        <v>0</v>
      </c>
      <c r="S85" s="292" t="n">
        <f aca="false">T85/G85</f>
        <v>0.493589743589744</v>
      </c>
      <c r="T85" s="440" t="n">
        <v>77</v>
      </c>
      <c r="U85" s="292" t="n">
        <f aca="false">IF(V85="-","-",V85/T85)</f>
        <v>0.454545454545455</v>
      </c>
      <c r="V85" s="406" t="n">
        <v>35</v>
      </c>
      <c r="W85" s="407" t="n">
        <v>20</v>
      </c>
      <c r="X85" s="408" t="n">
        <v>9</v>
      </c>
      <c r="Y85" s="407" t="n">
        <v>4</v>
      </c>
      <c r="Z85" s="408" t="n">
        <v>3</v>
      </c>
      <c r="AA85" s="515" t="n">
        <v>216</v>
      </c>
      <c r="AB85" s="516" t="n">
        <v>106</v>
      </c>
      <c r="AC85" s="515" t="n">
        <v>18</v>
      </c>
      <c r="AD85" s="517" t="n">
        <v>10</v>
      </c>
      <c r="AE85" s="527" t="s">
        <v>153</v>
      </c>
      <c r="AF85" s="288"/>
      <c r="AG85" s="1" t="n">
        <f aca="false">IF(G85="","",1)</f>
        <v>1</v>
      </c>
    </row>
    <row r="86" customFormat="false" ht="15" hidden="false" customHeight="true" outlineLevel="0" collapsed="false">
      <c r="B86" s="283"/>
      <c r="C86" s="213"/>
      <c r="D86" s="525"/>
      <c r="E86" s="458" t="s">
        <v>127</v>
      </c>
      <c r="F86" s="459" t="s">
        <v>102</v>
      </c>
      <c r="G86" s="598" t="n">
        <f aca="false">'2020'!G86</f>
        <v>167</v>
      </c>
      <c r="H86" s="599" t="n">
        <f aca="false">'2021'!G86</f>
        <v>239</v>
      </c>
      <c r="I86" s="600" t="n">
        <f aca="false">'2022'!G86</f>
        <v>0</v>
      </c>
      <c r="J86" s="601" t="n">
        <f aca="false">'2020'!H86</f>
        <v>80</v>
      </c>
      <c r="K86" s="599" t="n">
        <f aca="false">'2021'!H86</f>
        <v>114</v>
      </c>
      <c r="L86" s="600" t="n">
        <f aca="false">'2022'!H86</f>
        <v>0</v>
      </c>
      <c r="M86" s="292" t="n">
        <f aca="false">IF(G86=0,0,IF(P86=0,0,P86/G86))</f>
        <v>0.26</v>
      </c>
      <c r="N86" s="294" t="n">
        <f aca="false">IF(H86=0,0,IF(Q86=0,0,Q86/H86))</f>
        <v>0.355648535564854</v>
      </c>
      <c r="O86" s="602" t="n">
        <f aca="false">IF(I86=0,0,IF(R86=0,0,R86/I86))</f>
        <v>0</v>
      </c>
      <c r="P86" s="601" t="n">
        <f aca="false">'2020'!J86</f>
        <v>43.42</v>
      </c>
      <c r="Q86" s="599" t="n">
        <f aca="false">'2021'!J86</f>
        <v>85</v>
      </c>
      <c r="R86" s="600" t="n">
        <f aca="false">'2022'!J86</f>
        <v>0</v>
      </c>
      <c r="S86" s="292" t="n">
        <f aca="false">T86/G86</f>
        <v>0.461077844311377</v>
      </c>
      <c r="T86" s="440" t="n">
        <v>77</v>
      </c>
      <c r="U86" s="292" t="n">
        <f aca="false">IF(V86="-","-",V86/T86)</f>
        <v>0.38961038961039</v>
      </c>
      <c r="V86" s="406" t="n">
        <v>30</v>
      </c>
      <c r="W86" s="407" t="n">
        <v>13</v>
      </c>
      <c r="X86" s="408" t="n">
        <v>5</v>
      </c>
      <c r="Y86" s="407" t="n">
        <v>36</v>
      </c>
      <c r="Z86" s="408" t="n">
        <v>17</v>
      </c>
      <c r="AA86" s="515" t="n">
        <v>228</v>
      </c>
      <c r="AB86" s="516" t="n">
        <v>105</v>
      </c>
      <c r="AC86" s="515" t="n">
        <v>47</v>
      </c>
      <c r="AD86" s="517" t="n">
        <v>26</v>
      </c>
      <c r="AE86" s="527" t="s">
        <v>153</v>
      </c>
      <c r="AF86" s="288"/>
      <c r="AG86" s="1" t="n">
        <f aca="false">IF(G86="","",1)</f>
        <v>1</v>
      </c>
    </row>
    <row r="87" customFormat="false" ht="15" hidden="false" customHeight="true" outlineLevel="0" collapsed="false">
      <c r="B87" s="283"/>
      <c r="C87" s="213"/>
      <c r="D87" s="525"/>
      <c r="E87" s="458" t="s">
        <v>128</v>
      </c>
      <c r="F87" s="459"/>
      <c r="G87" s="598" t="n">
        <f aca="false">'2020'!G87</f>
        <v>0</v>
      </c>
      <c r="H87" s="599" t="n">
        <f aca="false">'2021'!G87</f>
        <v>0</v>
      </c>
      <c r="I87" s="600" t="n">
        <f aca="false">'2022'!G87</f>
        <v>0</v>
      </c>
      <c r="J87" s="601" t="n">
        <f aca="false">'2020'!H87</f>
        <v>0</v>
      </c>
      <c r="K87" s="599" t="n">
        <f aca="false">'2021'!H87</f>
        <v>0</v>
      </c>
      <c r="L87" s="600" t="n">
        <f aca="false">'2022'!H87</f>
        <v>0</v>
      </c>
      <c r="M87" s="292" t="n">
        <f aca="false">IF(G87=0,0,IF(P87=0,0,P87/G87))</f>
        <v>0</v>
      </c>
      <c r="N87" s="294" t="n">
        <f aca="false">IF(H87=0,0,IF(Q87=0,0,Q87/H87))</f>
        <v>0</v>
      </c>
      <c r="O87" s="602" t="n">
        <f aca="false">IF(I87=0,0,IF(R87=0,0,R87/I87))</f>
        <v>0</v>
      </c>
      <c r="P87" s="601" t="n">
        <f aca="false">'2020'!J87</f>
        <v>0</v>
      </c>
      <c r="Q87" s="599" t="n">
        <f aca="false">'2021'!J87</f>
        <v>0</v>
      </c>
      <c r="R87" s="600" t="n">
        <f aca="false">'2022'!J87</f>
        <v>0</v>
      </c>
      <c r="S87" s="292"/>
      <c r="T87" s="440"/>
      <c r="U87" s="292"/>
      <c r="V87" s="406"/>
      <c r="W87" s="407"/>
      <c r="X87" s="408"/>
      <c r="Y87" s="407"/>
      <c r="Z87" s="408"/>
      <c r="AA87" s="515"/>
      <c r="AB87" s="516"/>
      <c r="AC87" s="515"/>
      <c r="AD87" s="517"/>
      <c r="AE87" s="527"/>
      <c r="AF87" s="288"/>
    </row>
    <row r="88" customFormat="false" ht="15" hidden="false" customHeight="true" outlineLevel="0" collapsed="false">
      <c r="B88" s="283"/>
      <c r="C88" s="213"/>
      <c r="D88" s="525"/>
      <c r="E88" s="458" t="s">
        <v>129</v>
      </c>
      <c r="F88" s="459"/>
      <c r="G88" s="598" t="n">
        <f aca="false">'2020'!G88</f>
        <v>0</v>
      </c>
      <c r="H88" s="599" t="n">
        <f aca="false">'2021'!G88</f>
        <v>40</v>
      </c>
      <c r="I88" s="600" t="n">
        <f aca="false">'2022'!G88</f>
        <v>0</v>
      </c>
      <c r="J88" s="601" t="n">
        <f aca="false">'2020'!H88</f>
        <v>0</v>
      </c>
      <c r="K88" s="599" t="n">
        <f aca="false">'2021'!H88</f>
        <v>20</v>
      </c>
      <c r="L88" s="600" t="n">
        <f aca="false">'2022'!H88</f>
        <v>0</v>
      </c>
      <c r="M88" s="292" t="n">
        <f aca="false">IF(G88=0,0,IF(P88=0,0,P88/G88))</f>
        <v>0</v>
      </c>
      <c r="N88" s="294" t="n">
        <f aca="false">IF(H88=0,0,IF(Q88=0,0,Q88/H88))</f>
        <v>0.375</v>
      </c>
      <c r="O88" s="602" t="n">
        <f aca="false">IF(I88=0,0,IF(R88=0,0,R88/I88))</f>
        <v>0</v>
      </c>
      <c r="P88" s="601" t="n">
        <f aca="false">'2020'!J88</f>
        <v>0</v>
      </c>
      <c r="Q88" s="599" t="n">
        <f aca="false">'2021'!J88</f>
        <v>15</v>
      </c>
      <c r="R88" s="600" t="n">
        <f aca="false">'2022'!J88</f>
        <v>0</v>
      </c>
      <c r="S88" s="292" t="e">
        <f aca="false">T88/G88</f>
        <v>#DIV/0!</v>
      </c>
      <c r="T88" s="440" t="n">
        <v>13</v>
      </c>
      <c r="U88" s="292" t="n">
        <f aca="false">IF(V88="-","-",V88/T88)</f>
        <v>0.538461538461538</v>
      </c>
      <c r="V88" s="406" t="n">
        <v>7</v>
      </c>
      <c r="W88" s="407" t="n">
        <v>0</v>
      </c>
      <c r="X88" s="408" t="n">
        <v>0</v>
      </c>
      <c r="Y88" s="407" t="n">
        <v>0</v>
      </c>
      <c r="Z88" s="408" t="n">
        <v>0</v>
      </c>
      <c r="AA88" s="515" t="n">
        <v>28</v>
      </c>
      <c r="AB88" s="516" t="n">
        <v>15</v>
      </c>
      <c r="AC88" s="515" t="n">
        <v>12</v>
      </c>
      <c r="AD88" s="517" t="n">
        <v>5</v>
      </c>
      <c r="AE88" s="527" t="s">
        <v>153</v>
      </c>
      <c r="AF88" s="288"/>
      <c r="AG88" s="1" t="n">
        <f aca="false">IF(G88="","",1)</f>
        <v>1</v>
      </c>
    </row>
    <row r="89" customFormat="false" ht="15" hidden="false" customHeight="true" outlineLevel="0" collapsed="false">
      <c r="B89" s="283"/>
      <c r="C89" s="213"/>
      <c r="D89" s="525"/>
      <c r="E89" s="458" t="s">
        <v>130</v>
      </c>
      <c r="F89" s="459"/>
      <c r="G89" s="598" t="n">
        <f aca="false">'2020'!G89</f>
        <v>0</v>
      </c>
      <c r="H89" s="599" t="n">
        <f aca="false">'2021'!G89</f>
        <v>24</v>
      </c>
      <c r="I89" s="600" t="n">
        <f aca="false">'2022'!G89</f>
        <v>0</v>
      </c>
      <c r="J89" s="601" t="n">
        <f aca="false">'2020'!H89</f>
        <v>0</v>
      </c>
      <c r="K89" s="599" t="n">
        <f aca="false">'2021'!H89</f>
        <v>18</v>
      </c>
      <c r="L89" s="600" t="n">
        <f aca="false">'2022'!H89</f>
        <v>0</v>
      </c>
      <c r="M89" s="292" t="n">
        <f aca="false">IF(G89=0,0,IF(P89=0,0,P89/G89))</f>
        <v>0</v>
      </c>
      <c r="N89" s="294" t="n">
        <f aca="false">IF(H89=0,0,IF(Q89=0,0,Q89/H89))</f>
        <v>0.458333333333333</v>
      </c>
      <c r="O89" s="602" t="n">
        <f aca="false">IF(I89=0,0,IF(R89=0,0,R89/I89))</f>
        <v>0</v>
      </c>
      <c r="P89" s="601" t="n">
        <f aca="false">'2020'!J89</f>
        <v>0</v>
      </c>
      <c r="Q89" s="599" t="n">
        <f aca="false">'2021'!J89</f>
        <v>11</v>
      </c>
      <c r="R89" s="600" t="n">
        <f aca="false">'2022'!J89</f>
        <v>0</v>
      </c>
      <c r="S89" s="292" t="e">
        <f aca="false">T89/G89</f>
        <v>#DIV/0!</v>
      </c>
      <c r="T89" s="440" t="n">
        <v>8</v>
      </c>
      <c r="U89" s="292" t="n">
        <f aca="false">IF(V89="-","-",V89/T89)</f>
        <v>0.5</v>
      </c>
      <c r="V89" s="406" t="n">
        <v>4</v>
      </c>
      <c r="W89" s="407" t="n">
        <v>1</v>
      </c>
      <c r="X89" s="408" t="n">
        <v>1</v>
      </c>
      <c r="Y89" s="407" t="n">
        <v>10</v>
      </c>
      <c r="Z89" s="408" t="n">
        <v>9</v>
      </c>
      <c r="AA89" s="515" t="n">
        <v>32</v>
      </c>
      <c r="AB89" s="516" t="n">
        <v>25</v>
      </c>
      <c r="AC89" s="515" t="n">
        <v>2</v>
      </c>
      <c r="AD89" s="517" t="n">
        <v>2</v>
      </c>
      <c r="AE89" s="527" t="s">
        <v>153</v>
      </c>
      <c r="AF89" s="288"/>
      <c r="AG89" s="1" t="n">
        <f aca="false">IF(G89="","",1)</f>
        <v>1</v>
      </c>
    </row>
    <row r="90" customFormat="false" ht="15" hidden="false" customHeight="true" outlineLevel="0" collapsed="false">
      <c r="B90" s="283"/>
      <c r="C90" s="213"/>
      <c r="D90" s="525"/>
      <c r="E90" s="458"/>
      <c r="F90" s="459"/>
      <c r="G90" s="598"/>
      <c r="H90" s="599"/>
      <c r="I90" s="600"/>
      <c r="J90" s="601"/>
      <c r="K90" s="599"/>
      <c r="L90" s="600"/>
      <c r="M90" s="292"/>
      <c r="N90" s="294"/>
      <c r="O90" s="602"/>
      <c r="P90" s="601"/>
      <c r="Q90" s="599"/>
      <c r="R90" s="600"/>
      <c r="S90" s="292"/>
      <c r="T90" s="440"/>
      <c r="U90" s="292"/>
      <c r="V90" s="406"/>
      <c r="W90" s="407"/>
      <c r="X90" s="408"/>
      <c r="Y90" s="407"/>
      <c r="Z90" s="408"/>
      <c r="AA90" s="515"/>
      <c r="AB90" s="516"/>
      <c r="AC90" s="515"/>
      <c r="AD90" s="517"/>
      <c r="AE90" s="527"/>
      <c r="AF90" s="288"/>
    </row>
    <row r="91" customFormat="false" ht="15" hidden="false" customHeight="true" outlineLevel="0" collapsed="false">
      <c r="B91" s="283"/>
      <c r="C91" s="213"/>
      <c r="D91" s="525"/>
      <c r="E91" s="458"/>
      <c r="F91" s="459"/>
      <c r="G91" s="598"/>
      <c r="H91" s="599"/>
      <c r="I91" s="600"/>
      <c r="J91" s="601"/>
      <c r="K91" s="599"/>
      <c r="L91" s="600"/>
      <c r="M91" s="292"/>
      <c r="N91" s="294"/>
      <c r="O91" s="602"/>
      <c r="P91" s="601"/>
      <c r="Q91" s="599"/>
      <c r="R91" s="600"/>
      <c r="S91" s="292"/>
      <c r="T91" s="440"/>
      <c r="U91" s="292"/>
      <c r="V91" s="406"/>
      <c r="W91" s="407"/>
      <c r="X91" s="408"/>
      <c r="Y91" s="407"/>
      <c r="Z91" s="408"/>
      <c r="AA91" s="515"/>
      <c r="AB91" s="516"/>
      <c r="AC91" s="515"/>
      <c r="AD91" s="517"/>
      <c r="AE91" s="527"/>
      <c r="AF91" s="288"/>
    </row>
    <row r="92" customFormat="false" ht="15" hidden="false" customHeight="true" outlineLevel="0" collapsed="false">
      <c r="B92" s="283"/>
      <c r="C92" s="213"/>
      <c r="D92" s="525"/>
      <c r="E92" s="458" t="s">
        <v>131</v>
      </c>
      <c r="F92" s="459"/>
      <c r="G92" s="598" t="n">
        <f aca="false">'2020'!G92</f>
        <v>0</v>
      </c>
      <c r="H92" s="599" t="n">
        <f aca="false">'2021'!G92</f>
        <v>3</v>
      </c>
      <c r="I92" s="600" t="n">
        <f aca="false">'2022'!G92</f>
        <v>0</v>
      </c>
      <c r="J92" s="601" t="n">
        <f aca="false">'2020'!H92</f>
        <v>0</v>
      </c>
      <c r="K92" s="599" t="n">
        <f aca="false">'2021'!H92</f>
        <v>3</v>
      </c>
      <c r="L92" s="600" t="n">
        <f aca="false">'2022'!H92</f>
        <v>0</v>
      </c>
      <c r="M92" s="292" t="n">
        <f aca="false">IF(G92=0,0,IF(P92=0,0,P92/G92))</f>
        <v>0</v>
      </c>
      <c r="N92" s="294" t="n">
        <f aca="false">IF(H92=0,0,IF(Q92=0,0,Q92/H92))</f>
        <v>0.666666666666667</v>
      </c>
      <c r="O92" s="602" t="n">
        <f aca="false">IF(I92=0,0,IF(R92=0,0,R92/I92))</f>
        <v>0</v>
      </c>
      <c r="P92" s="601" t="n">
        <f aca="false">'2020'!J92</f>
        <v>0</v>
      </c>
      <c r="Q92" s="599" t="n">
        <f aca="false">'2021'!J92</f>
        <v>2</v>
      </c>
      <c r="R92" s="600" t="n">
        <f aca="false">'2022'!J92</f>
        <v>0</v>
      </c>
      <c r="S92" s="292" t="e">
        <f aca="false">T92/G92</f>
        <v>#DIV/0!</v>
      </c>
      <c r="T92" s="440" t="n">
        <v>2</v>
      </c>
      <c r="U92" s="292" t="n">
        <f aca="false">IF(V92="-","-",V92/T92)</f>
        <v>0.5</v>
      </c>
      <c r="V92" s="406" t="n">
        <v>1</v>
      </c>
      <c r="W92" s="407" t="n">
        <v>0</v>
      </c>
      <c r="X92" s="408" t="n">
        <v>0</v>
      </c>
      <c r="Y92" s="407" t="n">
        <v>0</v>
      </c>
      <c r="Z92" s="408" t="n">
        <v>0</v>
      </c>
      <c r="AA92" s="515" t="n">
        <v>3</v>
      </c>
      <c r="AB92" s="516" t="n">
        <v>3</v>
      </c>
      <c r="AC92" s="515" t="n">
        <v>0</v>
      </c>
      <c r="AD92" s="517" t="n">
        <v>0</v>
      </c>
      <c r="AE92" s="527" t="s">
        <v>153</v>
      </c>
      <c r="AF92" s="288"/>
      <c r="AG92" s="1" t="n">
        <f aca="false">IF(G92="","",1)</f>
        <v>1</v>
      </c>
    </row>
    <row r="93" customFormat="false" ht="15.75" hidden="false" customHeight="false" outlineLevel="0" collapsed="false">
      <c r="B93" s="283"/>
      <c r="C93" s="213"/>
      <c r="D93" s="298" t="s">
        <v>76</v>
      </c>
      <c r="E93" s="281"/>
      <c r="F93" s="299"/>
      <c r="G93" s="615" t="n">
        <f aca="false">SUM(G81:G92)</f>
        <v>540</v>
      </c>
      <c r="H93" s="616" t="n">
        <f aca="false">SUM(H81:H92)</f>
        <v>882</v>
      </c>
      <c r="I93" s="617" t="n">
        <f aca="false">SUM(I81:I92)</f>
        <v>0</v>
      </c>
      <c r="J93" s="618" t="n">
        <f aca="false">SUM(J81:J92)</f>
        <v>269</v>
      </c>
      <c r="K93" s="616" t="n">
        <f aca="false">SUM(K81:K92)</f>
        <v>445</v>
      </c>
      <c r="L93" s="617" t="n">
        <f aca="false">SUM(L81:L92)</f>
        <v>0</v>
      </c>
      <c r="M93" s="302" t="n">
        <f aca="false">IF(G93=0,0,IF(P93=0,0,P93/G93))</f>
        <v>0.3125</v>
      </c>
      <c r="N93" s="304" t="n">
        <f aca="false">IF(H93=0,0,IF(Q93=0,0,Q93/H93))</f>
        <v>0.356009070294785</v>
      </c>
      <c r="O93" s="577" t="n">
        <f aca="false">IF(I93=0,0,IF(R93=0,0,R93/I93))</f>
        <v>0</v>
      </c>
      <c r="P93" s="618" t="n">
        <f aca="false">SUM(P81:P92)</f>
        <v>168.75</v>
      </c>
      <c r="Q93" s="616" t="n">
        <f aca="false">SUM(Q81:Q92)</f>
        <v>314</v>
      </c>
      <c r="R93" s="617" t="n">
        <f aca="false">SUM(R81:R92)</f>
        <v>0</v>
      </c>
      <c r="S93" s="302" t="n">
        <f aca="false">T93/G93</f>
        <v>0.47962962962963</v>
      </c>
      <c r="T93" s="305" t="n">
        <f aca="false">SUM(T84:T92)</f>
        <v>259</v>
      </c>
      <c r="U93" s="207" t="n">
        <f aca="false">V93/T93</f>
        <v>0.463320463320463</v>
      </c>
      <c r="V93" s="305" t="n">
        <f aca="false">SUM(V84:V92)</f>
        <v>120</v>
      </c>
      <c r="W93" s="306" t="n">
        <f aca="false">SUM(W84:W92)</f>
        <v>45</v>
      </c>
      <c r="X93" s="301" t="n">
        <f aca="false">SUM(X84:X92)</f>
        <v>22</v>
      </c>
      <c r="Y93" s="306" t="n">
        <f aca="false">SUM(Y84:Y92)</f>
        <v>100</v>
      </c>
      <c r="Z93" s="301" t="n">
        <f aca="false">SUM(Z84:Z92)</f>
        <v>65</v>
      </c>
      <c r="AA93" s="306" t="n">
        <f aca="false">SUM(AA84:AA92)</f>
        <v>881</v>
      </c>
      <c r="AB93" s="301" t="n">
        <f aca="false">SUM(AB84:AB92)</f>
        <v>449</v>
      </c>
      <c r="AC93" s="306" t="n">
        <f aca="false">SUM(AC84:AC92)</f>
        <v>101</v>
      </c>
      <c r="AD93" s="307" t="n">
        <f aca="false">SUM(AD84:AD92)</f>
        <v>58</v>
      </c>
      <c r="AE93" s="528" t="s">
        <v>153</v>
      </c>
      <c r="AF93" s="309"/>
    </row>
    <row r="94" customFormat="false" ht="15.75" hidden="false" customHeight="true" outlineLevel="0" collapsed="false">
      <c r="B94" s="529" t="s">
        <v>132</v>
      </c>
      <c r="C94" s="213" t="s">
        <v>97</v>
      </c>
      <c r="D94" s="530" t="n">
        <v>5</v>
      </c>
      <c r="E94" s="455" t="s">
        <v>133</v>
      </c>
      <c r="F94" s="456" t="s">
        <v>102</v>
      </c>
      <c r="G94" s="593" t="n">
        <f aca="false">'2020'!G94</f>
        <v>21</v>
      </c>
      <c r="H94" s="594" t="n">
        <f aca="false">'2021'!G94</f>
        <v>47</v>
      </c>
      <c r="I94" s="595" t="n">
        <f aca="false">'2022'!G94</f>
        <v>0</v>
      </c>
      <c r="J94" s="596" t="n">
        <f aca="false">'2020'!H94</f>
        <v>8</v>
      </c>
      <c r="K94" s="594" t="n">
        <f aca="false">'2021'!H94</f>
        <v>38</v>
      </c>
      <c r="L94" s="595" t="n">
        <f aca="false">'2022'!H94</f>
        <v>0</v>
      </c>
      <c r="M94" s="394" t="n">
        <f aca="false">IF(G94=0,0,IF(P94=0,0,P94/G94))</f>
        <v>0.29</v>
      </c>
      <c r="N94" s="392" t="n">
        <f aca="false">IF(H94=0,0,IF(Q94=0,0,Q94/H94))</f>
        <v>0.191489361702128</v>
      </c>
      <c r="O94" s="597" t="n">
        <f aca="false">IF(I94=0,0,IF(R94=0,0,R94/I94))</f>
        <v>0</v>
      </c>
      <c r="P94" s="596" t="n">
        <f aca="false">'2020'!J94</f>
        <v>6.09</v>
      </c>
      <c r="Q94" s="594" t="n">
        <f aca="false">'2021'!J94</f>
        <v>9</v>
      </c>
      <c r="R94" s="595" t="n">
        <f aca="false">'2022'!J94</f>
        <v>0</v>
      </c>
      <c r="S94" s="394" t="n">
        <f aca="false">T94/G94</f>
        <v>0.523809523809524</v>
      </c>
      <c r="T94" s="437" t="n">
        <v>11</v>
      </c>
      <c r="U94" s="394" t="n">
        <f aca="false">IF(V94="-","-",V94/T94)</f>
        <v>0.545454545454545</v>
      </c>
      <c r="V94" s="395" t="n">
        <v>6</v>
      </c>
      <c r="W94" s="396" t="n">
        <v>1</v>
      </c>
      <c r="X94" s="397" t="n">
        <v>0</v>
      </c>
      <c r="Y94" s="396" t="n">
        <v>1</v>
      </c>
      <c r="Z94" s="397" t="n">
        <v>1</v>
      </c>
      <c r="AA94" s="512" t="n">
        <v>45</v>
      </c>
      <c r="AB94" s="513" t="n">
        <v>38</v>
      </c>
      <c r="AC94" s="512" t="n">
        <v>3</v>
      </c>
      <c r="AD94" s="514" t="n">
        <v>1</v>
      </c>
      <c r="AE94" s="377" t="s">
        <v>153</v>
      </c>
      <c r="AF94" s="194"/>
      <c r="AG94" s="1" t="n">
        <f aca="false">IF(G94="","",1)</f>
        <v>1</v>
      </c>
    </row>
    <row r="95" customFormat="false" ht="15.75" hidden="false" customHeight="true" outlineLevel="0" collapsed="false">
      <c r="B95" s="529"/>
      <c r="C95" s="213"/>
      <c r="D95" s="530"/>
      <c r="E95" s="458" t="s">
        <v>134</v>
      </c>
      <c r="F95" s="459"/>
      <c r="G95" s="598" t="n">
        <f aca="false">'2020'!G95</f>
        <v>0</v>
      </c>
      <c r="H95" s="599" t="n">
        <f aca="false">'2021'!G95</f>
        <v>23</v>
      </c>
      <c r="I95" s="600" t="n">
        <f aca="false">'2022'!G95</f>
        <v>0</v>
      </c>
      <c r="J95" s="601" t="n">
        <f aca="false">'2020'!H95</f>
        <v>0</v>
      </c>
      <c r="K95" s="599" t="n">
        <f aca="false">'2021'!H95</f>
        <v>7</v>
      </c>
      <c r="L95" s="600" t="n">
        <f aca="false">'2022'!H95</f>
        <v>0</v>
      </c>
      <c r="M95" s="292" t="n">
        <f aca="false">IF(G95=0,0,IF(P95=0,0,P95/G95))</f>
        <v>0</v>
      </c>
      <c r="N95" s="294" t="n">
        <f aca="false">IF(H95=0,0,IF(Q95=0,0,Q95/H95))</f>
        <v>0.391304347826087</v>
      </c>
      <c r="O95" s="602" t="n">
        <f aca="false">IF(I95=0,0,IF(R95=0,0,R95/I95))</f>
        <v>0</v>
      </c>
      <c r="P95" s="601" t="n">
        <f aca="false">'2020'!J95</f>
        <v>0</v>
      </c>
      <c r="Q95" s="599" t="n">
        <f aca="false">'2021'!J95</f>
        <v>9</v>
      </c>
      <c r="R95" s="600" t="n">
        <f aca="false">'2022'!J95</f>
        <v>0</v>
      </c>
      <c r="S95" s="292" t="e">
        <f aca="false">T95/G95</f>
        <v>#DIV/0!</v>
      </c>
      <c r="T95" s="440" t="n">
        <v>9</v>
      </c>
      <c r="U95" s="292" t="n">
        <f aca="false">IF(V95="-","-",V95/T95)</f>
        <v>0.555555555555556</v>
      </c>
      <c r="V95" s="406" t="n">
        <v>5</v>
      </c>
      <c r="W95" s="407" t="n">
        <v>0</v>
      </c>
      <c r="X95" s="408" t="n">
        <v>0</v>
      </c>
      <c r="Y95" s="407" t="n">
        <v>8</v>
      </c>
      <c r="Z95" s="408" t="n">
        <v>7</v>
      </c>
      <c r="AA95" s="515" t="n">
        <v>22</v>
      </c>
      <c r="AB95" s="516" t="n">
        <v>10</v>
      </c>
      <c r="AC95" s="515" t="n">
        <v>9</v>
      </c>
      <c r="AD95" s="517" t="n">
        <v>4</v>
      </c>
      <c r="AE95" s="377" t="s">
        <v>153</v>
      </c>
      <c r="AF95" s="194"/>
      <c r="AG95" s="1" t="n">
        <f aca="false">IF(G95="","",1)</f>
        <v>1</v>
      </c>
    </row>
    <row r="96" customFormat="false" ht="15.75" hidden="false" customHeight="true" outlineLevel="0" collapsed="false">
      <c r="B96" s="529"/>
      <c r="C96" s="213"/>
      <c r="D96" s="530"/>
      <c r="E96" s="460"/>
      <c r="F96" s="461"/>
      <c r="G96" s="603"/>
      <c r="H96" s="604"/>
      <c r="I96" s="605"/>
      <c r="J96" s="606"/>
      <c r="K96" s="604"/>
      <c r="L96" s="605"/>
      <c r="M96" s="591"/>
      <c r="N96" s="607"/>
      <c r="O96" s="608"/>
      <c r="P96" s="606"/>
      <c r="Q96" s="604"/>
      <c r="R96" s="605"/>
      <c r="S96" s="591"/>
      <c r="T96" s="443"/>
      <c r="U96" s="591"/>
      <c r="V96" s="411"/>
      <c r="W96" s="412"/>
      <c r="X96" s="413"/>
      <c r="Y96" s="412"/>
      <c r="Z96" s="413"/>
      <c r="AA96" s="519"/>
      <c r="AB96" s="520"/>
      <c r="AC96" s="519"/>
      <c r="AD96" s="521"/>
      <c r="AE96" s="377"/>
      <c r="AF96" s="194"/>
    </row>
    <row r="97" customFormat="false" ht="15.75" hidden="false" customHeight="true" outlineLevel="0" collapsed="false">
      <c r="B97" s="529"/>
      <c r="C97" s="213"/>
      <c r="D97" s="530"/>
      <c r="E97" s="460"/>
      <c r="F97" s="461"/>
      <c r="G97" s="603"/>
      <c r="H97" s="604"/>
      <c r="I97" s="605"/>
      <c r="J97" s="606"/>
      <c r="K97" s="604"/>
      <c r="L97" s="605"/>
      <c r="M97" s="591"/>
      <c r="N97" s="607"/>
      <c r="O97" s="608"/>
      <c r="P97" s="606"/>
      <c r="Q97" s="604"/>
      <c r="R97" s="605"/>
      <c r="S97" s="591"/>
      <c r="T97" s="443"/>
      <c r="U97" s="591"/>
      <c r="V97" s="411"/>
      <c r="W97" s="412"/>
      <c r="X97" s="413"/>
      <c r="Y97" s="412"/>
      <c r="Z97" s="413"/>
      <c r="AA97" s="519"/>
      <c r="AB97" s="520"/>
      <c r="AC97" s="519"/>
      <c r="AD97" s="521"/>
      <c r="AE97" s="377"/>
      <c r="AF97" s="194"/>
    </row>
    <row r="98" customFormat="false" ht="15.75" hidden="false" customHeight="true" outlineLevel="0" collapsed="false">
      <c r="B98" s="529"/>
      <c r="C98" s="213"/>
      <c r="D98" s="530"/>
      <c r="E98" s="462" t="s">
        <v>135</v>
      </c>
      <c r="F98" s="463"/>
      <c r="G98" s="573" t="n">
        <f aca="false">'2020'!G98</f>
        <v>0</v>
      </c>
      <c r="H98" s="574" t="n">
        <f aca="false">'2021'!G98</f>
        <v>13</v>
      </c>
      <c r="I98" s="575" t="n">
        <f aca="false">'2022'!G98</f>
        <v>0</v>
      </c>
      <c r="J98" s="576" t="n">
        <f aca="false">'2020'!H98</f>
        <v>0</v>
      </c>
      <c r="K98" s="574" t="n">
        <f aca="false">'2021'!H98</f>
        <v>11</v>
      </c>
      <c r="L98" s="575" t="n">
        <f aca="false">'2022'!H98</f>
        <v>0</v>
      </c>
      <c r="M98" s="302" t="n">
        <f aca="false">IF(G98=0,0,IF(P98=0,0,P98/G98))</f>
        <v>0</v>
      </c>
      <c r="N98" s="304" t="n">
        <f aca="false">IF(H98=0,0,IF(Q98=0,0,Q98/H98))</f>
        <v>0.384615384615385</v>
      </c>
      <c r="O98" s="577" t="n">
        <f aca="false">IF(I98=0,0,IF(R98=0,0,R98/I98))</f>
        <v>0</v>
      </c>
      <c r="P98" s="576" t="n">
        <f aca="false">'2020'!J98</f>
        <v>0</v>
      </c>
      <c r="Q98" s="574" t="n">
        <f aca="false">'2021'!J98</f>
        <v>5</v>
      </c>
      <c r="R98" s="575" t="n">
        <f aca="false">'2022'!J98</f>
        <v>0</v>
      </c>
      <c r="S98" s="302" t="e">
        <f aca="false">T98/G98</f>
        <v>#DIV/0!</v>
      </c>
      <c r="T98" s="424" t="n">
        <v>3</v>
      </c>
      <c r="U98" s="302" t="n">
        <f aca="false">IF(V98="-","-",V98/T98)</f>
        <v>0.666666666666667</v>
      </c>
      <c r="V98" s="425" t="n">
        <v>2</v>
      </c>
      <c r="W98" s="426" t="n">
        <v>0</v>
      </c>
      <c r="X98" s="427" t="n">
        <v>0</v>
      </c>
      <c r="Y98" s="426" t="n">
        <v>2</v>
      </c>
      <c r="Z98" s="427" t="n">
        <v>1</v>
      </c>
      <c r="AA98" s="522" t="n">
        <v>11</v>
      </c>
      <c r="AB98" s="523" t="n">
        <v>8</v>
      </c>
      <c r="AC98" s="522" t="n">
        <v>4</v>
      </c>
      <c r="AD98" s="524" t="n">
        <v>4</v>
      </c>
      <c r="AE98" s="377" t="s">
        <v>153</v>
      </c>
      <c r="AF98" s="194"/>
      <c r="AG98" s="1" t="n">
        <f aca="false">IF(G98="","",1)</f>
        <v>1</v>
      </c>
    </row>
    <row r="99" customFormat="false" ht="15.75" hidden="false" customHeight="true" outlineLevel="0" collapsed="false">
      <c r="B99" s="529"/>
      <c r="C99" s="213"/>
      <c r="D99" s="531" t="s">
        <v>76</v>
      </c>
      <c r="E99" s="282"/>
      <c r="F99" s="532"/>
      <c r="G99" s="579" t="n">
        <f aca="false">SUM(G94:G98)</f>
        <v>21</v>
      </c>
      <c r="H99" s="580" t="n">
        <f aca="false">SUM(H94:H98)</f>
        <v>83</v>
      </c>
      <c r="I99" s="581" t="n">
        <f aca="false">SUM(I94:I98)</f>
        <v>0</v>
      </c>
      <c r="J99" s="582" t="n">
        <f aca="false">SUM(J94:J98)</f>
        <v>8</v>
      </c>
      <c r="K99" s="580" t="n">
        <f aca="false">SUM(K94:K98)</f>
        <v>56</v>
      </c>
      <c r="L99" s="581" t="n">
        <f aca="false">SUM(L94:L98)</f>
        <v>0</v>
      </c>
      <c r="M99" s="317" t="n">
        <f aca="false">IF(G99=0,0,IF(P99=0,0,P99/G99))</f>
        <v>0.29</v>
      </c>
      <c r="N99" s="319" t="n">
        <f aca="false">IF(H99=0,0,IF(Q99=0,0,Q99/H99))</f>
        <v>0.27710843373494</v>
      </c>
      <c r="O99" s="562" t="n">
        <f aca="false">IF(I99=0,0,IF(R99=0,0,R99/I99))</f>
        <v>0</v>
      </c>
      <c r="P99" s="582" t="n">
        <f aca="false">SUM(P94:P98)</f>
        <v>6.09</v>
      </c>
      <c r="Q99" s="580" t="n">
        <f aca="false">SUM(Q94:Q98)</f>
        <v>23</v>
      </c>
      <c r="R99" s="581" t="n">
        <f aca="false">SUM(R94:R98)</f>
        <v>0</v>
      </c>
      <c r="S99" s="317" t="n">
        <f aca="false">T99/G99</f>
        <v>1.0952380952381</v>
      </c>
      <c r="T99" s="320" t="n">
        <f aca="false">SUM(T94:T98)</f>
        <v>23</v>
      </c>
      <c r="U99" s="218" t="n">
        <f aca="false">V99/T99</f>
        <v>0.565217391304348</v>
      </c>
      <c r="V99" s="320" t="n">
        <f aca="false">SUM(V94:V98)</f>
        <v>13</v>
      </c>
      <c r="W99" s="321" t="n">
        <f aca="false">SUM(W94:W98)</f>
        <v>1</v>
      </c>
      <c r="X99" s="316" t="n">
        <f aca="false">SUM(X94:X98)</f>
        <v>0</v>
      </c>
      <c r="Y99" s="321" t="n">
        <f aca="false">SUM(Y94:Y98)</f>
        <v>11</v>
      </c>
      <c r="Z99" s="316" t="n">
        <f aca="false">SUM(Z94:Z98)</f>
        <v>9</v>
      </c>
      <c r="AA99" s="321" t="n">
        <f aca="false">SUM(AA94:AA98)</f>
        <v>78</v>
      </c>
      <c r="AB99" s="316" t="n">
        <f aca="false">SUM(AB94:AB98)</f>
        <v>56</v>
      </c>
      <c r="AC99" s="321" t="n">
        <f aca="false">SUM(AC94:AC98)</f>
        <v>16</v>
      </c>
      <c r="AD99" s="322" t="n">
        <f aca="false">SUM(AD94:AD98)</f>
        <v>9</v>
      </c>
      <c r="AE99" s="377" t="s">
        <v>153</v>
      </c>
      <c r="AF99" s="194"/>
    </row>
    <row r="100" customFormat="false" ht="15.75" hidden="false" customHeight="true" outlineLevel="0" collapsed="false">
      <c r="B100" s="325" t="s">
        <v>136</v>
      </c>
      <c r="C100" s="326" t="s">
        <v>97</v>
      </c>
      <c r="D100" s="378" t="n">
        <v>11</v>
      </c>
      <c r="E100" s="388" t="s">
        <v>137</v>
      </c>
      <c r="F100" s="389" t="s">
        <v>138</v>
      </c>
      <c r="G100" s="593" t="n">
        <f aca="false">'2020'!G100</f>
        <v>42</v>
      </c>
      <c r="H100" s="594" t="n">
        <f aca="false">'2021'!G100</f>
        <v>0</v>
      </c>
      <c r="I100" s="595" t="n">
        <f aca="false">'2022'!G100</f>
        <v>0</v>
      </c>
      <c r="J100" s="596" t="n">
        <f aca="false">'2020'!H100</f>
        <v>42</v>
      </c>
      <c r="K100" s="594" t="n">
        <f aca="false">'2021'!H100</f>
        <v>0</v>
      </c>
      <c r="L100" s="595" t="n">
        <f aca="false">'2022'!H100</f>
        <v>0</v>
      </c>
      <c r="M100" s="394" t="n">
        <f aca="false">IF(G100=0,0,IF(P100=0,0,P100/G100))</f>
        <v>0.404761904761905</v>
      </c>
      <c r="N100" s="392" t="n">
        <f aca="false">IF(H100=0,0,IF(Q100=0,0,Q100/H100))</f>
        <v>0</v>
      </c>
      <c r="O100" s="597" t="n">
        <f aca="false">IF(I100=0,0,IF(R100=0,0,R100/I100))</f>
        <v>0</v>
      </c>
      <c r="P100" s="596" t="n">
        <f aca="false">'2020'!J100</f>
        <v>17</v>
      </c>
      <c r="Q100" s="594" t="n">
        <f aca="false">'2021'!J100</f>
        <v>0</v>
      </c>
      <c r="R100" s="595" t="n">
        <f aca="false">'2022'!J100</f>
        <v>0</v>
      </c>
      <c r="S100" s="394"/>
      <c r="T100" s="437"/>
      <c r="U100" s="394"/>
      <c r="V100" s="395"/>
      <c r="W100" s="396" t="s">
        <v>75</v>
      </c>
      <c r="X100" s="397" t="s">
        <v>75</v>
      </c>
      <c r="Y100" s="396" t="s">
        <v>75</v>
      </c>
      <c r="Z100" s="397" t="s">
        <v>75</v>
      </c>
      <c r="AA100" s="398"/>
      <c r="AB100" s="399"/>
      <c r="AC100" s="398"/>
      <c r="AD100" s="400"/>
      <c r="AE100" s="377" t="s">
        <v>153</v>
      </c>
      <c r="AF100" s="194"/>
      <c r="AG100" s="1" t="n">
        <f aca="false">IF(G100="","",1)</f>
        <v>1</v>
      </c>
    </row>
    <row r="101" customFormat="false" ht="15.75" hidden="false" customHeight="true" outlineLevel="0" collapsed="false">
      <c r="B101" s="325"/>
      <c r="C101" s="326"/>
      <c r="D101" s="378"/>
      <c r="E101" s="401" t="s">
        <v>139</v>
      </c>
      <c r="F101" s="402" t="s">
        <v>138</v>
      </c>
      <c r="G101" s="598" t="n">
        <f aca="false">'2020'!G101</f>
        <v>283</v>
      </c>
      <c r="H101" s="599" t="n">
        <f aca="false">'2021'!G101</f>
        <v>0</v>
      </c>
      <c r="I101" s="600" t="n">
        <f aca="false">'2022'!G101</f>
        <v>0</v>
      </c>
      <c r="J101" s="601" t="n">
        <f aca="false">'2020'!H101</f>
        <v>283</v>
      </c>
      <c r="K101" s="599" t="n">
        <f aca="false">'2021'!H101</f>
        <v>0</v>
      </c>
      <c r="L101" s="600" t="n">
        <f aca="false">'2022'!H101</f>
        <v>0</v>
      </c>
      <c r="M101" s="292" t="n">
        <f aca="false">IF(G101=0,0,IF(P101=0,0,P101/G101))</f>
        <v>0.148409893992933</v>
      </c>
      <c r="N101" s="294" t="n">
        <f aca="false">IF(H101=0,0,IF(Q101=0,0,Q101/H101))</f>
        <v>0</v>
      </c>
      <c r="O101" s="602" t="n">
        <f aca="false">IF(I101=0,0,IF(R101=0,0,R101/I101))</f>
        <v>0</v>
      </c>
      <c r="P101" s="601" t="n">
        <f aca="false">'2020'!J101</f>
        <v>42</v>
      </c>
      <c r="Q101" s="599" t="n">
        <f aca="false">'2021'!J101</f>
        <v>0</v>
      </c>
      <c r="R101" s="600" t="n">
        <f aca="false">'2022'!J101</f>
        <v>0</v>
      </c>
      <c r="S101" s="292"/>
      <c r="T101" s="440"/>
      <c r="U101" s="292"/>
      <c r="V101" s="406"/>
      <c r="W101" s="407" t="s">
        <v>75</v>
      </c>
      <c r="X101" s="408" t="s">
        <v>75</v>
      </c>
      <c r="Y101" s="407" t="s">
        <v>75</v>
      </c>
      <c r="Z101" s="408" t="s">
        <v>75</v>
      </c>
      <c r="AA101" s="296"/>
      <c r="AB101" s="291"/>
      <c r="AC101" s="296"/>
      <c r="AD101" s="297"/>
      <c r="AE101" s="377" t="s">
        <v>153</v>
      </c>
      <c r="AF101" s="194"/>
      <c r="AG101" s="1" t="n">
        <f aca="false">IF(G101="","",1)</f>
        <v>1</v>
      </c>
    </row>
    <row r="102" customFormat="false" ht="15.75" hidden="false" customHeight="true" outlineLevel="0" collapsed="false">
      <c r="B102" s="325"/>
      <c r="C102" s="326"/>
      <c r="D102" s="378"/>
      <c r="E102" s="401" t="s">
        <v>140</v>
      </c>
      <c r="F102" s="402" t="s">
        <v>138</v>
      </c>
      <c r="G102" s="598" t="n">
        <f aca="false">'2020'!G102</f>
        <v>79</v>
      </c>
      <c r="H102" s="599" t="n">
        <f aca="false">'2021'!G102</f>
        <v>0</v>
      </c>
      <c r="I102" s="600" t="n">
        <f aca="false">'2022'!G102</f>
        <v>0</v>
      </c>
      <c r="J102" s="601" t="n">
        <f aca="false">'2020'!H102</f>
        <v>79</v>
      </c>
      <c r="K102" s="599" t="n">
        <f aca="false">'2021'!H102</f>
        <v>0</v>
      </c>
      <c r="L102" s="600" t="n">
        <f aca="false">'2022'!H102</f>
        <v>0</v>
      </c>
      <c r="M102" s="292" t="n">
        <f aca="false">IF(G102=0,0,IF(P102=0,0,P102/G102))</f>
        <v>0.367088607594937</v>
      </c>
      <c r="N102" s="294" t="n">
        <f aca="false">IF(H102=0,0,IF(Q102=0,0,Q102/H102))</f>
        <v>0</v>
      </c>
      <c r="O102" s="602" t="n">
        <f aca="false">IF(I102=0,0,IF(R102=0,0,R102/I102))</f>
        <v>0</v>
      </c>
      <c r="P102" s="601" t="n">
        <f aca="false">'2020'!J102</f>
        <v>29</v>
      </c>
      <c r="Q102" s="599" t="n">
        <f aca="false">'2021'!J102</f>
        <v>0</v>
      </c>
      <c r="R102" s="600" t="n">
        <f aca="false">'2022'!J102</f>
        <v>0</v>
      </c>
      <c r="S102" s="292"/>
      <c r="T102" s="440"/>
      <c r="U102" s="292"/>
      <c r="V102" s="406"/>
      <c r="W102" s="407" t="s">
        <v>75</v>
      </c>
      <c r="X102" s="408" t="s">
        <v>75</v>
      </c>
      <c r="Y102" s="407" t="s">
        <v>75</v>
      </c>
      <c r="Z102" s="408" t="s">
        <v>75</v>
      </c>
      <c r="AA102" s="296"/>
      <c r="AB102" s="291"/>
      <c r="AC102" s="296"/>
      <c r="AD102" s="297"/>
      <c r="AE102" s="377" t="s">
        <v>153</v>
      </c>
      <c r="AF102" s="194"/>
      <c r="AG102" s="1" t="n">
        <f aca="false">IF(G102="","",1)</f>
        <v>1</v>
      </c>
    </row>
    <row r="103" customFormat="false" ht="15.75" hidden="false" customHeight="true" outlineLevel="0" collapsed="false">
      <c r="B103" s="325"/>
      <c r="C103" s="326"/>
      <c r="D103" s="378"/>
      <c r="E103" s="401" t="s">
        <v>141</v>
      </c>
      <c r="F103" s="402" t="s">
        <v>138</v>
      </c>
      <c r="G103" s="598" t="n">
        <f aca="false">'2020'!G103</f>
        <v>108</v>
      </c>
      <c r="H103" s="599" t="n">
        <f aca="false">'2021'!G103</f>
        <v>0</v>
      </c>
      <c r="I103" s="600" t="n">
        <f aca="false">'2022'!G103</f>
        <v>0</v>
      </c>
      <c r="J103" s="601" t="n">
        <f aca="false">'2020'!H103</f>
        <v>108</v>
      </c>
      <c r="K103" s="599" t="n">
        <f aca="false">'2021'!H103</f>
        <v>0</v>
      </c>
      <c r="L103" s="600" t="n">
        <f aca="false">'2022'!H103</f>
        <v>0</v>
      </c>
      <c r="M103" s="292" t="n">
        <f aca="false">IF(G103=0,0,IF(P103=0,0,P103/G103))</f>
        <v>0.435185185185185</v>
      </c>
      <c r="N103" s="294" t="n">
        <f aca="false">IF(H103=0,0,IF(Q103=0,0,Q103/H103))</f>
        <v>0</v>
      </c>
      <c r="O103" s="602" t="n">
        <f aca="false">IF(I103=0,0,IF(R103=0,0,R103/I103))</f>
        <v>0</v>
      </c>
      <c r="P103" s="601" t="n">
        <f aca="false">'2020'!J103</f>
        <v>47</v>
      </c>
      <c r="Q103" s="599" t="n">
        <f aca="false">'2021'!J103</f>
        <v>0</v>
      </c>
      <c r="R103" s="600" t="n">
        <f aca="false">'2022'!J103</f>
        <v>0</v>
      </c>
      <c r="S103" s="292"/>
      <c r="T103" s="440"/>
      <c r="U103" s="292"/>
      <c r="V103" s="406"/>
      <c r="W103" s="407" t="s">
        <v>75</v>
      </c>
      <c r="X103" s="408" t="s">
        <v>75</v>
      </c>
      <c r="Y103" s="407" t="s">
        <v>75</v>
      </c>
      <c r="Z103" s="408" t="s">
        <v>75</v>
      </c>
      <c r="AA103" s="296"/>
      <c r="AB103" s="291"/>
      <c r="AC103" s="296"/>
      <c r="AD103" s="297"/>
      <c r="AE103" s="377" t="s">
        <v>153</v>
      </c>
      <c r="AF103" s="194"/>
      <c r="AG103" s="1" t="n">
        <f aca="false">IF(G103="","",1)</f>
        <v>1</v>
      </c>
    </row>
    <row r="104" customFormat="false" ht="15.75" hidden="false" customHeight="true" outlineLevel="0" collapsed="false">
      <c r="B104" s="325"/>
      <c r="C104" s="326"/>
      <c r="D104" s="378"/>
      <c r="E104" s="401" t="s">
        <v>142</v>
      </c>
      <c r="F104" s="402" t="s">
        <v>138</v>
      </c>
      <c r="G104" s="598" t="n">
        <f aca="false">'2020'!G104</f>
        <v>117</v>
      </c>
      <c r="H104" s="599" t="n">
        <f aca="false">'2021'!G104</f>
        <v>0</v>
      </c>
      <c r="I104" s="600" t="n">
        <f aca="false">'2022'!G104</f>
        <v>0</v>
      </c>
      <c r="J104" s="601" t="n">
        <f aca="false">'2020'!H104</f>
        <v>117</v>
      </c>
      <c r="K104" s="599" t="n">
        <f aca="false">'2021'!H104</f>
        <v>0</v>
      </c>
      <c r="L104" s="600" t="n">
        <f aca="false">'2022'!H104</f>
        <v>0</v>
      </c>
      <c r="M104" s="292" t="n">
        <f aca="false">IF(G104=0,0,IF(P104=0,0,P104/G104))</f>
        <v>0.358974358974359</v>
      </c>
      <c r="N104" s="294" t="n">
        <f aca="false">IF(H104=0,0,IF(Q104=0,0,Q104/H104))</f>
        <v>0</v>
      </c>
      <c r="O104" s="602" t="n">
        <f aca="false">IF(I104=0,0,IF(R104=0,0,R104/I104))</f>
        <v>0</v>
      </c>
      <c r="P104" s="601" t="n">
        <f aca="false">'2020'!J104</f>
        <v>42</v>
      </c>
      <c r="Q104" s="599" t="n">
        <f aca="false">'2021'!J104</f>
        <v>0</v>
      </c>
      <c r="R104" s="600" t="n">
        <f aca="false">'2022'!J104</f>
        <v>0</v>
      </c>
      <c r="S104" s="292"/>
      <c r="T104" s="440"/>
      <c r="U104" s="292"/>
      <c r="V104" s="406"/>
      <c r="W104" s="407" t="s">
        <v>75</v>
      </c>
      <c r="X104" s="408" t="s">
        <v>75</v>
      </c>
      <c r="Y104" s="407" t="s">
        <v>75</v>
      </c>
      <c r="Z104" s="408" t="s">
        <v>75</v>
      </c>
      <c r="AA104" s="296"/>
      <c r="AB104" s="291"/>
      <c r="AC104" s="296"/>
      <c r="AD104" s="297"/>
      <c r="AE104" s="377" t="s">
        <v>153</v>
      </c>
      <c r="AF104" s="194"/>
      <c r="AG104" s="1" t="n">
        <f aca="false">IF(G104="","",1)</f>
        <v>1</v>
      </c>
    </row>
    <row r="105" customFormat="false" ht="15.75" hidden="false" customHeight="true" outlineLevel="0" collapsed="false">
      <c r="B105" s="325"/>
      <c r="C105" s="326"/>
      <c r="D105" s="378"/>
      <c r="E105" s="401" t="s">
        <v>143</v>
      </c>
      <c r="F105" s="402"/>
      <c r="G105" s="598" t="n">
        <f aca="false">'2020'!G105</f>
        <v>0</v>
      </c>
      <c r="H105" s="599" t="n">
        <f aca="false">'2021'!G105</f>
        <v>159</v>
      </c>
      <c r="I105" s="600" t="n">
        <f aca="false">'2022'!G105</f>
        <v>0</v>
      </c>
      <c r="J105" s="601" t="n">
        <f aca="false">'2020'!H105</f>
        <v>0</v>
      </c>
      <c r="K105" s="599" t="n">
        <f aca="false">'2021'!H105</f>
        <v>159</v>
      </c>
      <c r="L105" s="600" t="n">
        <f aca="false">'2022'!H105</f>
        <v>0</v>
      </c>
      <c r="M105" s="292" t="n">
        <f aca="false">IF(G105=0,0,IF(P105=0,0,P105/G105))</f>
        <v>0</v>
      </c>
      <c r="N105" s="294" t="n">
        <f aca="false">IF(H105=0,0,IF(Q105=0,0,Q105/H105))</f>
        <v>0.345911949685535</v>
      </c>
      <c r="O105" s="602" t="n">
        <f aca="false">IF(I105=0,0,IF(R105=0,0,R105/I105))</f>
        <v>0</v>
      </c>
      <c r="P105" s="601" t="n">
        <f aca="false">'2020'!J105</f>
        <v>0</v>
      </c>
      <c r="Q105" s="599" t="n">
        <f aca="false">'2021'!J105</f>
        <v>55</v>
      </c>
      <c r="R105" s="600" t="n">
        <f aca="false">'2022'!J105</f>
        <v>0</v>
      </c>
      <c r="S105" s="292" t="e">
        <f aca="false">T105/G105</f>
        <v>#DIV/0!</v>
      </c>
      <c r="T105" s="440" t="n">
        <v>66</v>
      </c>
      <c r="U105" s="292" t="n">
        <f aca="false">IF(V105="-","-",V105/T105)</f>
        <v>0.46969696969697</v>
      </c>
      <c r="V105" s="406" t="n">
        <v>31</v>
      </c>
      <c r="W105" s="407" t="s">
        <v>75</v>
      </c>
      <c r="X105" s="408" t="s">
        <v>75</v>
      </c>
      <c r="Y105" s="407" t="s">
        <v>75</v>
      </c>
      <c r="Z105" s="408" t="s">
        <v>75</v>
      </c>
      <c r="AA105" s="296"/>
      <c r="AB105" s="291"/>
      <c r="AC105" s="296"/>
      <c r="AD105" s="297"/>
      <c r="AE105" s="377" t="s">
        <v>153</v>
      </c>
      <c r="AF105" s="194"/>
      <c r="AG105" s="1" t="n">
        <f aca="false">IF(G105="","",1)</f>
        <v>1</v>
      </c>
    </row>
    <row r="106" customFormat="false" ht="15.75" hidden="false" customHeight="true" outlineLevel="0" collapsed="false">
      <c r="B106" s="325"/>
      <c r="C106" s="326"/>
      <c r="D106" s="378"/>
      <c r="E106" s="401" t="s">
        <v>144</v>
      </c>
      <c r="F106" s="402"/>
      <c r="G106" s="598" t="n">
        <f aca="false">'2020'!G106</f>
        <v>0</v>
      </c>
      <c r="H106" s="599" t="n">
        <f aca="false">'2021'!G106</f>
        <v>165</v>
      </c>
      <c r="I106" s="600" t="n">
        <f aca="false">'2022'!G106</f>
        <v>0</v>
      </c>
      <c r="J106" s="601" t="n">
        <f aca="false">'2020'!H106</f>
        <v>0</v>
      </c>
      <c r="K106" s="599" t="n">
        <f aca="false">'2021'!H106</f>
        <v>165</v>
      </c>
      <c r="L106" s="600" t="n">
        <f aca="false">'2022'!H106</f>
        <v>0</v>
      </c>
      <c r="M106" s="292" t="n">
        <f aca="false">IF(G106=0,0,IF(P106=0,0,P106/G106))</f>
        <v>0</v>
      </c>
      <c r="N106" s="294" t="n">
        <f aca="false">IF(H106=0,0,IF(Q106=0,0,Q106/H106))</f>
        <v>0</v>
      </c>
      <c r="O106" s="602" t="n">
        <f aca="false">IF(I106=0,0,IF(R106=0,0,R106/I106))</f>
        <v>0</v>
      </c>
      <c r="P106" s="601" t="n">
        <f aca="false">'2020'!J106</f>
        <v>0</v>
      </c>
      <c r="Q106" s="599" t="n">
        <f aca="false">'2021'!J106</f>
        <v>0</v>
      </c>
      <c r="R106" s="600" t="n">
        <f aca="false">'2022'!J106</f>
        <v>0</v>
      </c>
      <c r="S106" s="292" t="e">
        <f aca="false">T106/G106</f>
        <v>#DIV/0!</v>
      </c>
      <c r="T106" s="440"/>
      <c r="U106" s="292"/>
      <c r="V106" s="406"/>
      <c r="W106" s="407" t="s">
        <v>75</v>
      </c>
      <c r="X106" s="408" t="s">
        <v>75</v>
      </c>
      <c r="Y106" s="407" t="s">
        <v>75</v>
      </c>
      <c r="Z106" s="408" t="s">
        <v>75</v>
      </c>
      <c r="AA106" s="296"/>
      <c r="AB106" s="291"/>
      <c r="AC106" s="296"/>
      <c r="AD106" s="297"/>
      <c r="AE106" s="377" t="s">
        <v>153</v>
      </c>
      <c r="AF106" s="194"/>
      <c r="AG106" s="1" t="n">
        <f aca="false">IF(G106="","",1)</f>
        <v>1</v>
      </c>
    </row>
    <row r="107" customFormat="false" ht="15.75" hidden="false" customHeight="true" outlineLevel="0" collapsed="false">
      <c r="B107" s="325"/>
      <c r="C107" s="326"/>
      <c r="D107" s="378"/>
      <c r="E107" s="401" t="s">
        <v>145</v>
      </c>
      <c r="F107" s="402" t="s">
        <v>138</v>
      </c>
      <c r="G107" s="598" t="n">
        <f aca="false">'2020'!G107</f>
        <v>651</v>
      </c>
      <c r="H107" s="599" t="n">
        <f aca="false">'2021'!G107</f>
        <v>773</v>
      </c>
      <c r="I107" s="600" t="n">
        <f aca="false">'2022'!G107</f>
        <v>0</v>
      </c>
      <c r="J107" s="601" t="n">
        <f aca="false">'2020'!H107</f>
        <v>651</v>
      </c>
      <c r="K107" s="599" t="n">
        <f aca="false">'2021'!H107</f>
        <v>773</v>
      </c>
      <c r="L107" s="600" t="n">
        <f aca="false">'2022'!H107</f>
        <v>0</v>
      </c>
      <c r="M107" s="292" t="n">
        <f aca="false">IF(G107=0,0,IF(P107=0,0,P107/G107))</f>
        <v>0</v>
      </c>
      <c r="N107" s="294" t="n">
        <f aca="false">IF(H107=0,0,IF(Q107=0,0,Q107/H107))</f>
        <v>0.393272962483829</v>
      </c>
      <c r="O107" s="602" t="n">
        <f aca="false">IF(I107=0,0,IF(R107=0,0,R107/I107))</f>
        <v>0</v>
      </c>
      <c r="P107" s="601" t="n">
        <f aca="false">'2020'!J107</f>
        <v>0</v>
      </c>
      <c r="Q107" s="599" t="n">
        <f aca="false">'2021'!J107</f>
        <v>304</v>
      </c>
      <c r="R107" s="600" t="n">
        <f aca="false">'2022'!J107</f>
        <v>0</v>
      </c>
      <c r="S107" s="292" t="n">
        <f aca="false">T107/G107</f>
        <v>0.511520737327189</v>
      </c>
      <c r="T107" s="440" t="n">
        <v>333</v>
      </c>
      <c r="U107" s="292" t="n">
        <f aca="false">IF(V107="-","-",V107/T107)</f>
        <v>0.576576576576577</v>
      </c>
      <c r="V107" s="406" t="n">
        <v>192</v>
      </c>
      <c r="W107" s="407" t="s">
        <v>75</v>
      </c>
      <c r="X107" s="408" t="s">
        <v>75</v>
      </c>
      <c r="Y107" s="407" t="s">
        <v>75</v>
      </c>
      <c r="Z107" s="408" t="s">
        <v>75</v>
      </c>
      <c r="AA107" s="296"/>
      <c r="AB107" s="291"/>
      <c r="AC107" s="296"/>
      <c r="AD107" s="297"/>
      <c r="AE107" s="377" t="s">
        <v>153</v>
      </c>
      <c r="AF107" s="194"/>
      <c r="AG107" s="1" t="n">
        <f aca="false">IF(G107="","",1)</f>
        <v>1</v>
      </c>
    </row>
    <row r="108" customFormat="false" ht="15.75" hidden="false" customHeight="true" outlineLevel="0" collapsed="false">
      <c r="B108" s="325"/>
      <c r="C108" s="326"/>
      <c r="D108" s="378"/>
      <c r="E108" s="401" t="s">
        <v>146</v>
      </c>
      <c r="F108" s="402" t="s">
        <v>138</v>
      </c>
      <c r="G108" s="598" t="n">
        <f aca="false">'2020'!G108</f>
        <v>615</v>
      </c>
      <c r="H108" s="599" t="n">
        <f aca="false">'2021'!G108</f>
        <v>629</v>
      </c>
      <c r="I108" s="600" t="n">
        <f aca="false">'2022'!G108</f>
        <v>0</v>
      </c>
      <c r="J108" s="601" t="n">
        <f aca="false">'2020'!H108</f>
        <v>615</v>
      </c>
      <c r="K108" s="599" t="n">
        <f aca="false">'2021'!H108</f>
        <v>629</v>
      </c>
      <c r="L108" s="600" t="n">
        <f aca="false">'2022'!H108</f>
        <v>0</v>
      </c>
      <c r="M108" s="292" t="n">
        <f aca="false">IF(G108=0,0,IF(P108=0,0,P108/G108))</f>
        <v>0</v>
      </c>
      <c r="N108" s="294" t="n">
        <f aca="false">IF(H108=0,0,IF(Q108=0,0,Q108/H108))</f>
        <v>0.470588235294118</v>
      </c>
      <c r="O108" s="602" t="n">
        <f aca="false">IF(I108=0,0,IF(R108=0,0,R108/I108))</f>
        <v>0</v>
      </c>
      <c r="P108" s="601" t="n">
        <f aca="false">'2020'!J108</f>
        <v>0</v>
      </c>
      <c r="Q108" s="599" t="n">
        <f aca="false">'2021'!J108</f>
        <v>296</v>
      </c>
      <c r="R108" s="600" t="n">
        <f aca="false">'2022'!J108</f>
        <v>0</v>
      </c>
      <c r="S108" s="292" t="n">
        <f aca="false">T108/G108</f>
        <v>0.505691056910569</v>
      </c>
      <c r="T108" s="440" t="n">
        <v>311</v>
      </c>
      <c r="U108" s="292" t="n">
        <f aca="false">IF(V108="-","-",V108/T108)</f>
        <v>0.585209003215434</v>
      </c>
      <c r="V108" s="406" t="n">
        <v>182</v>
      </c>
      <c r="W108" s="407" t="s">
        <v>75</v>
      </c>
      <c r="X108" s="408" t="s">
        <v>75</v>
      </c>
      <c r="Y108" s="407" t="s">
        <v>75</v>
      </c>
      <c r="Z108" s="408" t="s">
        <v>75</v>
      </c>
      <c r="AA108" s="296"/>
      <c r="AB108" s="291"/>
      <c r="AC108" s="296"/>
      <c r="AD108" s="297"/>
      <c r="AE108" s="377" t="s">
        <v>153</v>
      </c>
      <c r="AF108" s="194"/>
      <c r="AG108" s="1" t="n">
        <f aca="false">IF(G108="","",1)</f>
        <v>1</v>
      </c>
    </row>
    <row r="109" customFormat="false" ht="15.75" hidden="false" customHeight="true" outlineLevel="0" collapsed="false">
      <c r="B109" s="325"/>
      <c r="C109" s="326"/>
      <c r="D109" s="378"/>
      <c r="E109" s="409"/>
      <c r="F109" s="410"/>
      <c r="G109" s="603"/>
      <c r="H109" s="604"/>
      <c r="I109" s="605"/>
      <c r="J109" s="606"/>
      <c r="K109" s="604"/>
      <c r="L109" s="605"/>
      <c r="M109" s="591"/>
      <c r="N109" s="607"/>
      <c r="O109" s="608"/>
      <c r="P109" s="606"/>
      <c r="Q109" s="604"/>
      <c r="R109" s="605"/>
      <c r="S109" s="591"/>
      <c r="T109" s="443"/>
      <c r="U109" s="591"/>
      <c r="V109" s="411"/>
      <c r="W109" s="412"/>
      <c r="X109" s="413"/>
      <c r="Y109" s="412"/>
      <c r="Z109" s="413"/>
      <c r="AA109" s="414"/>
      <c r="AB109" s="415"/>
      <c r="AC109" s="414"/>
      <c r="AD109" s="416"/>
      <c r="AE109" s="377"/>
      <c r="AF109" s="194"/>
    </row>
    <row r="110" customFormat="false" ht="15.75" hidden="false" customHeight="true" outlineLevel="0" collapsed="false">
      <c r="B110" s="325"/>
      <c r="C110" s="326"/>
      <c r="D110" s="378"/>
      <c r="E110" s="409"/>
      <c r="F110" s="410"/>
      <c r="G110" s="603"/>
      <c r="H110" s="604"/>
      <c r="I110" s="605"/>
      <c r="J110" s="606"/>
      <c r="K110" s="604"/>
      <c r="L110" s="605"/>
      <c r="M110" s="591"/>
      <c r="N110" s="607"/>
      <c r="O110" s="608"/>
      <c r="P110" s="606"/>
      <c r="Q110" s="604"/>
      <c r="R110" s="605"/>
      <c r="S110" s="591"/>
      <c r="T110" s="443"/>
      <c r="U110" s="591"/>
      <c r="V110" s="411"/>
      <c r="W110" s="412"/>
      <c r="X110" s="413"/>
      <c r="Y110" s="412"/>
      <c r="Z110" s="413"/>
      <c r="AA110" s="414"/>
      <c r="AB110" s="415"/>
      <c r="AC110" s="414"/>
      <c r="AD110" s="416"/>
      <c r="AE110" s="377"/>
      <c r="AF110" s="194"/>
    </row>
    <row r="111" customFormat="false" ht="15.75" hidden="false" customHeight="true" outlineLevel="0" collapsed="false">
      <c r="B111" s="325"/>
      <c r="C111" s="326"/>
      <c r="D111" s="378"/>
      <c r="E111" s="420" t="s">
        <v>147</v>
      </c>
      <c r="F111" s="421" t="s">
        <v>138</v>
      </c>
      <c r="G111" s="573" t="n">
        <f aca="false">'2020'!G111</f>
        <v>316</v>
      </c>
      <c r="H111" s="574" t="n">
        <f aca="false">'2021'!G111</f>
        <v>0</v>
      </c>
      <c r="I111" s="575" t="n">
        <f aca="false">'2022'!G111</f>
        <v>0</v>
      </c>
      <c r="J111" s="576" t="n">
        <f aca="false">'2020'!H111</f>
        <v>316</v>
      </c>
      <c r="K111" s="574" t="n">
        <f aca="false">'2021'!H111</f>
        <v>0</v>
      </c>
      <c r="L111" s="575" t="n">
        <f aca="false">'2022'!H111</f>
        <v>0</v>
      </c>
      <c r="M111" s="302" t="n">
        <f aca="false">IF(G111=0,0,IF(P111=0,0,P111/G111))</f>
        <v>0.284810126582278</v>
      </c>
      <c r="N111" s="304" t="n">
        <f aca="false">IF(H111=0,0,IF(Q111=0,0,Q111/H111))</f>
        <v>0</v>
      </c>
      <c r="O111" s="577" t="n">
        <f aca="false">IF(I111=0,0,IF(R111=0,0,R111/I111))</f>
        <v>0</v>
      </c>
      <c r="P111" s="576" t="n">
        <f aca="false">'2020'!J111</f>
        <v>90</v>
      </c>
      <c r="Q111" s="574" t="n">
        <f aca="false">'2021'!J111</f>
        <v>0</v>
      </c>
      <c r="R111" s="575" t="n">
        <f aca="false">'2022'!J111</f>
        <v>0</v>
      </c>
      <c r="S111" s="302"/>
      <c r="T111" s="424"/>
      <c r="U111" s="302"/>
      <c r="V111" s="425"/>
      <c r="W111" s="426" t="s">
        <v>75</v>
      </c>
      <c r="X111" s="427" t="s">
        <v>75</v>
      </c>
      <c r="Y111" s="426" t="s">
        <v>75</v>
      </c>
      <c r="Z111" s="427" t="s">
        <v>75</v>
      </c>
      <c r="AA111" s="306"/>
      <c r="AB111" s="301"/>
      <c r="AC111" s="306"/>
      <c r="AD111" s="307"/>
      <c r="AE111" s="377" t="s">
        <v>153</v>
      </c>
      <c r="AF111" s="194"/>
      <c r="AG111" s="1" t="n">
        <f aca="false">IF(G111="","",1)</f>
        <v>1</v>
      </c>
    </row>
    <row r="112" customFormat="false" ht="16.5" hidden="false" customHeight="false" outlineLevel="0" collapsed="false">
      <c r="B112" s="325"/>
      <c r="C112" s="326"/>
      <c r="D112" s="326" t="s">
        <v>76</v>
      </c>
      <c r="E112" s="330"/>
      <c r="F112" s="331"/>
      <c r="G112" s="619" t="n">
        <f aca="false">SUM(G100:G111)</f>
        <v>2211</v>
      </c>
      <c r="H112" s="620" t="n">
        <f aca="false">SUM(H100:H111)</f>
        <v>1726</v>
      </c>
      <c r="I112" s="621" t="n">
        <f aca="false">SUM(I100:I111)</f>
        <v>0</v>
      </c>
      <c r="J112" s="622" t="n">
        <f aca="false">SUM(J100:J111)</f>
        <v>2211</v>
      </c>
      <c r="K112" s="620" t="n">
        <f aca="false">SUM(K100:K111)</f>
        <v>1726</v>
      </c>
      <c r="L112" s="621" t="n">
        <f aca="false">SUM(L100:L111)</f>
        <v>0</v>
      </c>
      <c r="M112" s="623" t="n">
        <f aca="false">IF(G112=0,0,IF(P112=0,0,P112/G112))</f>
        <v>0.120759837177748</v>
      </c>
      <c r="N112" s="624" t="n">
        <f aca="false">IF(H112=0,0,IF(Q112=0,0,Q112/H112))</f>
        <v>0.379490150637312</v>
      </c>
      <c r="O112" s="625" t="n">
        <f aca="false">IF(I112=0,0,IF(R112=0,0,R112/I112))</f>
        <v>0</v>
      </c>
      <c r="P112" s="622" t="n">
        <f aca="false">SUM(P100:P111)</f>
        <v>267</v>
      </c>
      <c r="Q112" s="620" t="n">
        <f aca="false">SUM(Q100:Q111)</f>
        <v>655</v>
      </c>
      <c r="R112" s="621" t="n">
        <f aca="false">SUM(R100:R111)</f>
        <v>0</v>
      </c>
      <c r="S112" s="317" t="n">
        <f aca="false">T112/G112</f>
        <v>0.321121664405246</v>
      </c>
      <c r="T112" s="533" t="n">
        <f aca="false">SUM(T100:T111)</f>
        <v>710</v>
      </c>
      <c r="U112" s="218" t="n">
        <f aca="false">V112/T112</f>
        <v>0.570422535211268</v>
      </c>
      <c r="V112" s="533" t="n">
        <f aca="false">SUM(V100:V111)</f>
        <v>405</v>
      </c>
      <c r="W112" s="534"/>
      <c r="X112" s="535"/>
      <c r="Y112" s="534"/>
      <c r="Z112" s="535"/>
      <c r="AA112" s="534"/>
      <c r="AB112" s="535"/>
      <c r="AC112" s="534"/>
      <c r="AD112" s="536"/>
      <c r="AE112" s="377" t="s">
        <v>153</v>
      </c>
      <c r="AF112" s="194"/>
      <c r="AG112" s="194"/>
    </row>
    <row r="113" s="171" customFormat="true" ht="21" hidden="false" customHeight="true" outlineLevel="0" collapsed="false">
      <c r="A113" s="22"/>
      <c r="B113" s="340" t="s">
        <v>148</v>
      </c>
      <c r="C113" s="341"/>
      <c r="D113" s="341" t="n">
        <f aca="false">SUM(D45:D111)</f>
        <v>78</v>
      </c>
      <c r="E113" s="445" t="n">
        <f aca="false">COUNT(G45:G52,G62:G68,G70:G79,G84:G92,G94:G98,G100:G111)</f>
        <v>39</v>
      </c>
      <c r="F113" s="343" t="n">
        <f aca="false">COUNT(P45:P111)</f>
        <v>55</v>
      </c>
      <c r="G113" s="626" t="n">
        <f aca="false">G53+G69+G80+G93+G99+G112</f>
        <v>4797</v>
      </c>
      <c r="H113" s="627" t="n">
        <f aca="false">H53+H69+H80+H93+H99+H112</f>
        <v>3981</v>
      </c>
      <c r="I113" s="628" t="n">
        <f aca="false">I53+I69+I80+I93+I99+I112</f>
        <v>1614</v>
      </c>
      <c r="J113" s="629" t="n">
        <f aca="false">J53+J69+J80+J93+J99+J112</f>
        <v>3358</v>
      </c>
      <c r="K113" s="627" t="n">
        <f aca="false">K53+K69+K80+K93+K99+K112</f>
        <v>3107</v>
      </c>
      <c r="L113" s="628" t="n">
        <f aca="false">L53+L69+L80+L93+L99+L112</f>
        <v>920</v>
      </c>
      <c r="M113" s="540" t="n">
        <f aca="false">IF(G113=0,0,IF(P113=0,0,P113/G113))</f>
        <v>0.27893475088597</v>
      </c>
      <c r="N113" s="630" t="n">
        <f aca="false">IF(H113=0,0,IF(Q113=0,0,Q113/H113))</f>
        <v>0.404672192916353</v>
      </c>
      <c r="O113" s="631" t="n">
        <f aca="false">IF(I113=0,0,IF(R113=0,0,R113/I113))</f>
        <v>0.444237918215613</v>
      </c>
      <c r="P113" s="629" t="n">
        <f aca="false">P53+P69+P80+P93+P99+P112</f>
        <v>1338.05</v>
      </c>
      <c r="Q113" s="627" t="n">
        <f aca="false">Q53+Q69+Q80+Q93+Q99+Q112</f>
        <v>1611</v>
      </c>
      <c r="R113" s="628" t="n">
        <f aca="false">R53+R69+R80+R93+R99+R112</f>
        <v>717</v>
      </c>
      <c r="S113" s="538" t="n">
        <f aca="false">T113/G113</f>
        <v>0.314780070877632</v>
      </c>
      <c r="T113" s="539" t="n">
        <f aca="false">T53+T69+T80+T93+T99+T112</f>
        <v>1510</v>
      </c>
      <c r="U113" s="540" t="n">
        <f aca="false">V113/T113</f>
        <v>0.456291390728477</v>
      </c>
      <c r="V113" s="539" t="n">
        <f aca="false">V53+V69+V80+V93+V99+V112</f>
        <v>689</v>
      </c>
      <c r="W113" s="451"/>
      <c r="X113" s="452"/>
      <c r="Y113" s="451"/>
      <c r="Z113" s="452"/>
      <c r="AA113" s="451" t="n">
        <f aca="false">AA53+AA69+AA80+AA93+AA99</f>
        <v>1465</v>
      </c>
      <c r="AB113" s="452" t="n">
        <f aca="false">AB53+AB69+AB80+AB93+AB99</f>
        <v>949</v>
      </c>
      <c r="AC113" s="451" t="n">
        <f aca="false">AC53+AC69+AC80+AC93+AC99</f>
        <v>141</v>
      </c>
      <c r="AD113" s="453" t="n">
        <f aca="false">AD53+AD69+AD80+AD93+AD99</f>
        <v>89</v>
      </c>
      <c r="AE113" s="541"/>
      <c r="AF113" s="353"/>
      <c r="AG113" s="353"/>
    </row>
    <row r="114" s="171" customFormat="true" ht="21" hidden="false" customHeight="true" outlineLevel="0" collapsed="false">
      <c r="A114" s="22"/>
      <c r="B114" s="340" t="s">
        <v>149</v>
      </c>
      <c r="C114" s="341"/>
      <c r="D114" s="341" t="n">
        <f aca="false">D113+D44</f>
        <v>109</v>
      </c>
      <c r="E114" s="445" t="n">
        <f aca="false">E44+E113</f>
        <v>72</v>
      </c>
      <c r="F114" s="343" t="n">
        <f aca="false">F113+F44</f>
        <v>89</v>
      </c>
      <c r="G114" s="626" t="n">
        <f aca="false">G44+G113</f>
        <v>5191</v>
      </c>
      <c r="H114" s="627" t="n">
        <f aca="false">H44+H113</f>
        <v>4576</v>
      </c>
      <c r="I114" s="628" t="n">
        <f aca="false">I44+I113</f>
        <v>1614</v>
      </c>
      <c r="J114" s="629" t="n">
        <f aca="false">J44+J113</f>
        <v>3593</v>
      </c>
      <c r="K114" s="627" t="n">
        <f aca="false">K44+K113</f>
        <v>3522</v>
      </c>
      <c r="L114" s="628" t="n">
        <f aca="false">L44+L113</f>
        <v>920</v>
      </c>
      <c r="M114" s="540" t="n">
        <f aca="false">IF(G114=0,0,IF(P114=0,0,P114/G114))</f>
        <v>0.274902716239645</v>
      </c>
      <c r="N114" s="630" t="n">
        <f aca="false">IF(H114=0,0,IF(Q114=0,0,Q114/H114))</f>
        <v>0.389204545454545</v>
      </c>
      <c r="O114" s="631" t="n">
        <f aca="false">IF(I114=0,0,IF(R114=0,0,R114/I114))</f>
        <v>0.444237918215613</v>
      </c>
      <c r="P114" s="629" t="n">
        <f aca="false">P44+P113</f>
        <v>1427.02</v>
      </c>
      <c r="Q114" s="627" t="n">
        <f aca="false">Q44+Q113</f>
        <v>1781</v>
      </c>
      <c r="R114" s="628" t="n">
        <f aca="false">R44+R113</f>
        <v>717</v>
      </c>
      <c r="S114" s="538" t="n">
        <f aca="false">T114/G114</f>
        <v>0.319976883066846</v>
      </c>
      <c r="T114" s="539" t="n">
        <f aca="false">T44+T113</f>
        <v>1661</v>
      </c>
      <c r="U114" s="540" t="n">
        <f aca="false">V114/T114</f>
        <v>0.433473810957255</v>
      </c>
      <c r="V114" s="539" t="n">
        <f aca="false">V44+V113</f>
        <v>720</v>
      </c>
      <c r="W114" s="451"/>
      <c r="X114" s="452"/>
      <c r="Y114" s="451"/>
      <c r="Z114" s="452"/>
      <c r="AA114" s="451" t="n">
        <f aca="false">AA113</f>
        <v>1465</v>
      </c>
      <c r="AB114" s="452" t="n">
        <f aca="false">AB113</f>
        <v>949</v>
      </c>
      <c r="AC114" s="451" t="n">
        <f aca="false">AC113</f>
        <v>141</v>
      </c>
      <c r="AD114" s="453" t="n">
        <f aca="false">AD113</f>
        <v>89</v>
      </c>
      <c r="AE114" s="541"/>
      <c r="AG114" s="171" t="n">
        <f aca="false">SUM(AG1:AG113)</f>
        <v>71</v>
      </c>
    </row>
    <row r="115" customFormat="false" ht="15" hidden="false" customHeight="false" outlineLevel="0" collapsed="false">
      <c r="B115" s="354"/>
      <c r="C115" s="355"/>
      <c r="D115" s="355"/>
      <c r="E115" s="354"/>
      <c r="F115" s="355"/>
      <c r="G115" s="542"/>
      <c r="H115" s="542"/>
      <c r="I115" s="542"/>
      <c r="J115" s="542"/>
      <c r="K115" s="542"/>
      <c r="L115" s="542"/>
      <c r="M115" s="543"/>
      <c r="N115" s="543"/>
      <c r="O115" s="543"/>
      <c r="P115" s="542"/>
      <c r="Q115" s="542"/>
      <c r="R115" s="542"/>
      <c r="S115" s="543"/>
      <c r="T115" s="543"/>
      <c r="U115" s="544" t="s">
        <v>150</v>
      </c>
      <c r="V115" s="544"/>
      <c r="W115" s="542"/>
      <c r="X115" s="542"/>
      <c r="Y115" s="542"/>
      <c r="Z115" s="542"/>
      <c r="AA115" s="542"/>
      <c r="AB115" s="542"/>
      <c r="AC115" s="542"/>
      <c r="AD115" s="542"/>
    </row>
    <row r="116" customFormat="false" ht="15" hidden="false" customHeight="false" outlineLevel="0" collapsed="false">
      <c r="E116" s="359" t="s">
        <v>151</v>
      </c>
      <c r="F116" s="360"/>
    </row>
    <row r="117" customFormat="false" ht="15" hidden="false" customHeight="false" outlineLevel="0" collapsed="false">
      <c r="E117" s="1" t="s">
        <v>70</v>
      </c>
      <c r="F117" s="2" t="n">
        <f aca="false">COUNTIF(F$5:F$111,E117)</f>
        <v>33</v>
      </c>
    </row>
    <row r="118" customFormat="false" ht="15" hidden="false" customHeight="false" outlineLevel="0" collapsed="false">
      <c r="E118" s="1" t="s">
        <v>138</v>
      </c>
      <c r="F118" s="2" t="n">
        <f aca="false">COUNTIF(F$5:F$111,E118)</f>
        <v>8</v>
      </c>
    </row>
    <row r="119" customFormat="false" ht="15" hidden="false" customHeight="false" outlineLevel="0" collapsed="false">
      <c r="E119" s="1" t="s">
        <v>102</v>
      </c>
      <c r="F119" s="2" t="n">
        <f aca="false">COUNTIF(F$5:F$111,E119)</f>
        <v>21</v>
      </c>
    </row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</sheetData>
  <mergeCells count="50">
    <mergeCell ref="B2:B4"/>
    <mergeCell ref="C2:C4"/>
    <mergeCell ref="D2:D4"/>
    <mergeCell ref="E2:E4"/>
    <mergeCell ref="F2:F4"/>
    <mergeCell ref="G2:L2"/>
    <mergeCell ref="M2:R2"/>
    <mergeCell ref="S2:S4"/>
    <mergeCell ref="T2:T4"/>
    <mergeCell ref="U2:U4"/>
    <mergeCell ref="V2:V4"/>
    <mergeCell ref="W2:X2"/>
    <mergeCell ref="Y2:Z2"/>
    <mergeCell ref="AA2:AB2"/>
    <mergeCell ref="AC2:AD2"/>
    <mergeCell ref="G3:I3"/>
    <mergeCell ref="J3:L3"/>
    <mergeCell ref="M3:O3"/>
    <mergeCell ref="P3:R3"/>
    <mergeCell ref="B7:B20"/>
    <mergeCell ref="C7:C20"/>
    <mergeCell ref="D7:D19"/>
    <mergeCell ref="B21:B32"/>
    <mergeCell ref="C21:C32"/>
    <mergeCell ref="D21:D31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B62:B69"/>
    <mergeCell ref="C62:C69"/>
    <mergeCell ref="D62:D68"/>
    <mergeCell ref="B70:B80"/>
    <mergeCell ref="C70:C80"/>
    <mergeCell ref="D70:D79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U115:V115"/>
  </mergeCells>
  <conditionalFormatting sqref="N31">
    <cfRule type="cellIs" priority="2" operator="equal" aboveAverage="0" equalAverage="0" bottom="0" percent="0" rank="0" text="" dxfId="0">
      <formula>0</formula>
    </cfRule>
  </conditionalFormatting>
  <conditionalFormatting sqref="M5:O5 M33:O42 M45:O52 M62:O68 M70:O79 M81:O92 M94:O98 M100:O111 M21:O31">
    <cfRule type="cellIs" priority="3" operator="equal" aboveAverage="0" equalAverage="0" bottom="0" percent="0" rank="0" text="" dxfId="1">
      <formula>0</formula>
    </cfRule>
  </conditionalFormatting>
  <conditionalFormatting sqref="M5:O5 M21:O53 M62:O114">
    <cfRule type="cellIs" priority="4" operator="equal" aboveAverage="0" equalAverage="0" bottom="0" percent="0" rank="0" text="" dxfId="2">
      <formula>0</formula>
    </cfRule>
  </conditionalFormatting>
  <conditionalFormatting sqref="M6:O6">
    <cfRule type="cellIs" priority="5" operator="equal" aboveAverage="0" equalAverage="0" bottom="0" percent="0" rank="0" text="" dxfId="3">
      <formula>0</formula>
    </cfRule>
  </conditionalFormatting>
  <conditionalFormatting sqref="M6:O6">
    <cfRule type="cellIs" priority="6" operator="equal" aboveAverage="0" equalAverage="0" bottom="0" percent="0" rank="0" text="" dxfId="4">
      <formula>0</formula>
    </cfRule>
  </conditionalFormatting>
  <conditionalFormatting sqref="N19">
    <cfRule type="cellIs" priority="7" operator="equal" aboveAverage="0" equalAverage="0" bottom="0" percent="0" rank="0" text="" dxfId="5">
      <formula>0</formula>
    </cfRule>
  </conditionalFormatting>
  <conditionalFormatting sqref="M7:O19">
    <cfRule type="cellIs" priority="8" operator="equal" aboveAverage="0" equalAverage="0" bottom="0" percent="0" rank="0" text="" dxfId="6">
      <formula>0</formula>
    </cfRule>
  </conditionalFormatting>
  <conditionalFormatting sqref="M7:O20">
    <cfRule type="cellIs" priority="9" operator="equal" aboveAverage="0" equalAverage="0" bottom="0" percent="0" rank="0" text="" dxfId="7">
      <formula>0</formula>
    </cfRule>
  </conditionalFormatting>
  <conditionalFormatting sqref="M54:O60">
    <cfRule type="cellIs" priority="10" operator="equal" aboveAverage="0" equalAverage="0" bottom="0" percent="0" rank="0" text="" dxfId="8">
      <formula>0</formula>
    </cfRule>
  </conditionalFormatting>
  <conditionalFormatting sqref="M54:O61">
    <cfRule type="cellIs" priority="11" operator="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99CC"/>
    <pageSetUpPr fitToPage="true"/>
  </sheetPr>
  <dimension ref="A1:Y1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4" topLeftCell="A44" activePane="bottomLeft" state="frozen"/>
      <selection pane="topLeft" activeCell="A1" activeCellId="0" sqref="A1"/>
      <selection pane="bottomLeft" activeCell="C2" activeCellId="0" sqref="C2"/>
    </sheetView>
  </sheetViews>
  <sheetFormatPr defaultColWidth="11.43359375" defaultRowHeight="15" zeroHeight="false" outlineLevelRow="0" outlineLevelCol="0"/>
  <cols>
    <col collapsed="false" customWidth="true" hidden="true" outlineLevel="0" max="1" min="1" style="24" width="1.85"/>
    <col collapsed="false" customWidth="true" hidden="false" outlineLevel="0" max="2" min="2" style="1" width="38.86"/>
    <col collapsed="false" customWidth="true" hidden="false" outlineLevel="0" max="3" min="3" style="2" width="11.57"/>
    <col collapsed="false" customWidth="true" hidden="false" outlineLevel="0" max="4" min="4" style="2" width="15.29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false" hidden="false" outlineLevel="0" max="7" min="7" style="2" width="11.42"/>
    <col collapsed="false" customWidth="true" hidden="false" outlineLevel="0" max="8" min="8" style="2" width="8.42"/>
    <col collapsed="false" customWidth="false" hidden="false" outlineLevel="0" max="9" min="9" style="2" width="11.42"/>
    <col collapsed="false" customWidth="true" hidden="false" outlineLevel="0" max="10" min="10" style="2" width="8.42"/>
    <col collapsed="false" customWidth="false" hidden="false" outlineLevel="0" max="11" min="11" style="47" width="11.42"/>
    <col collapsed="false" customWidth="true" hidden="false" outlineLevel="0" max="12" min="12" style="47" width="8.42"/>
    <col collapsed="false" customWidth="false" hidden="false" outlineLevel="0" max="13" min="13" style="47" width="11.42"/>
    <col collapsed="false" customWidth="true" hidden="false" outlineLevel="0" max="14" min="14" style="46" width="8.42"/>
    <col collapsed="false" customWidth="false" hidden="false" outlineLevel="0" max="16" min="15" style="47" width="11.42"/>
    <col collapsed="false" customWidth="true" hidden="false" outlineLevel="0" max="24" min="17" style="2" width="7.57"/>
    <col collapsed="false" customWidth="false" hidden="false" outlineLevel="0" max="1024" min="25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23"/>
      <c r="J1" s="23"/>
      <c r="K1" s="49"/>
      <c r="L1" s="49"/>
      <c r="M1" s="49"/>
      <c r="N1" s="48"/>
      <c r="O1" s="49"/>
      <c r="P1" s="49"/>
      <c r="Q1" s="23"/>
      <c r="R1" s="23"/>
      <c r="S1" s="23"/>
      <c r="T1" s="23"/>
      <c r="U1" s="23"/>
      <c r="V1" s="23"/>
      <c r="W1" s="23"/>
      <c r="X1" s="23"/>
    </row>
    <row r="2" s="63" customFormat="true" ht="30" hidden="false" customHeight="true" outlineLevel="0" collapsed="false">
      <c r="A2" s="50"/>
      <c r="B2" s="51" t="s">
        <v>49</v>
      </c>
      <c r="C2" s="52" t="s">
        <v>50</v>
      </c>
      <c r="D2" s="52" t="s">
        <v>51</v>
      </c>
      <c r="E2" s="53" t="s">
        <v>52</v>
      </c>
      <c r="F2" s="54" t="s">
        <v>53</v>
      </c>
      <c r="G2" s="55" t="s">
        <v>165</v>
      </c>
      <c r="H2" s="55"/>
      <c r="I2" s="55"/>
      <c r="J2" s="55"/>
      <c r="K2" s="545" t="s">
        <v>166</v>
      </c>
      <c r="L2" s="545"/>
      <c r="M2" s="545" t="s">
        <v>167</v>
      </c>
      <c r="N2" s="545"/>
      <c r="O2" s="545" t="s">
        <v>168</v>
      </c>
      <c r="P2" s="545"/>
      <c r="Q2" s="60" t="s">
        <v>61</v>
      </c>
      <c r="R2" s="60"/>
      <c r="S2" s="60" t="s">
        <v>62</v>
      </c>
      <c r="T2" s="60"/>
      <c r="U2" s="60" t="s">
        <v>63</v>
      </c>
      <c r="V2" s="60"/>
      <c r="W2" s="61" t="s">
        <v>64</v>
      </c>
      <c r="X2" s="61"/>
      <c r="Y2" s="62"/>
    </row>
    <row r="3" s="63" customFormat="true" ht="30" hidden="false" customHeight="true" outlineLevel="0" collapsed="false">
      <c r="A3" s="50"/>
      <c r="B3" s="51"/>
      <c r="C3" s="52"/>
      <c r="D3" s="52"/>
      <c r="E3" s="53"/>
      <c r="F3" s="54"/>
      <c r="G3" s="632" t="s">
        <v>149</v>
      </c>
      <c r="H3" s="632"/>
      <c r="I3" s="633" t="s">
        <v>66</v>
      </c>
      <c r="J3" s="633"/>
      <c r="K3" s="545"/>
      <c r="L3" s="545"/>
      <c r="M3" s="545"/>
      <c r="N3" s="545"/>
      <c r="O3" s="545"/>
      <c r="P3" s="545"/>
      <c r="Q3" s="634"/>
      <c r="R3" s="633"/>
      <c r="S3" s="634"/>
      <c r="T3" s="633"/>
      <c r="U3" s="547" t="s">
        <v>169</v>
      </c>
      <c r="V3" s="547"/>
      <c r="W3" s="635" t="s">
        <v>169</v>
      </c>
      <c r="X3" s="635"/>
      <c r="Y3" s="62"/>
    </row>
    <row r="4" s="63" customFormat="true" ht="30" hidden="false" customHeight="true" outlineLevel="0" collapsed="false">
      <c r="A4" s="50"/>
      <c r="B4" s="51"/>
      <c r="C4" s="52"/>
      <c r="D4" s="52"/>
      <c r="E4" s="53"/>
      <c r="F4" s="54"/>
      <c r="G4" s="636" t="s">
        <v>170</v>
      </c>
      <c r="H4" s="637" t="s">
        <v>171</v>
      </c>
      <c r="I4" s="637" t="s">
        <v>170</v>
      </c>
      <c r="J4" s="638" t="s">
        <v>171</v>
      </c>
      <c r="K4" s="639" t="s">
        <v>170</v>
      </c>
      <c r="L4" s="640" t="s">
        <v>171</v>
      </c>
      <c r="M4" s="639" t="s">
        <v>170</v>
      </c>
      <c r="N4" s="640" t="s">
        <v>171</v>
      </c>
      <c r="O4" s="639" t="s">
        <v>170</v>
      </c>
      <c r="P4" s="640" t="s">
        <v>171</v>
      </c>
      <c r="Q4" s="641" t="s">
        <v>65</v>
      </c>
      <c r="R4" s="638" t="s">
        <v>66</v>
      </c>
      <c r="S4" s="641" t="s">
        <v>65</v>
      </c>
      <c r="T4" s="638" t="s">
        <v>66</v>
      </c>
      <c r="U4" s="641" t="s">
        <v>170</v>
      </c>
      <c r="V4" s="638" t="s">
        <v>171</v>
      </c>
      <c r="W4" s="641" t="s">
        <v>170</v>
      </c>
      <c r="X4" s="642" t="s">
        <v>171</v>
      </c>
      <c r="Y4" s="62"/>
    </row>
    <row r="5" customFormat="false" ht="15.75" hidden="false" customHeight="false" outlineLevel="0" collapsed="false">
      <c r="A5" s="24" t="n">
        <v>1</v>
      </c>
      <c r="B5" s="172" t="s">
        <v>152</v>
      </c>
      <c r="C5" s="173" t="s">
        <v>68</v>
      </c>
      <c r="D5" s="643" t="n">
        <f aca="false">'2021'!D5-'2020'!D5</f>
        <v>0</v>
      </c>
      <c r="E5" s="644" t="s">
        <v>69</v>
      </c>
      <c r="F5" s="645" t="s">
        <v>70</v>
      </c>
      <c r="G5" s="646" t="n">
        <f aca="false">'2021'!G5-'2020'!G5</f>
        <v>39</v>
      </c>
      <c r="H5" s="647" t="n">
        <f aca="false">IF('2021'!G5=0,0,IF('2020'!G5=0,0,'2021'!G5/'2020'!G5-1))</f>
        <v>0.619047619047619</v>
      </c>
      <c r="I5" s="648" t="n">
        <f aca="false">'2021'!H5-'2020'!H5</f>
        <v>65</v>
      </c>
      <c r="J5" s="649" t="n">
        <f aca="false">IF('2021'!H5=0,0,IF('2020'!H5=0,0,'2021'!H5/'2020'!H5-1))</f>
        <v>2.24137931034483</v>
      </c>
      <c r="K5" s="650" t="n">
        <f aca="false">'2021'!J5-'2020'!J5</f>
        <v>0</v>
      </c>
      <c r="L5" s="649" t="n">
        <f aca="false">'2021'!I5-'2020'!I5</f>
        <v>-0.0121381886087768</v>
      </c>
      <c r="M5" s="650" t="n">
        <f aca="false">'2021'!L5-'2020'!L5</f>
        <v>1</v>
      </c>
      <c r="N5" s="649" t="n">
        <f aca="false">'2021'!K5-'2020'!K5</f>
        <v>-0.0933706816059757</v>
      </c>
      <c r="O5" s="650" t="n">
        <f aca="false">IF('2020'!N5="-",0,'2021'!N5-'2020'!N5)</f>
        <v>0</v>
      </c>
      <c r="P5" s="649" t="n">
        <f aca="false">'2021'!M5-'2020'!M5</f>
        <v>-0.00653594771241831</v>
      </c>
      <c r="Q5" s="372"/>
      <c r="R5" s="373"/>
      <c r="S5" s="372"/>
      <c r="T5" s="373"/>
      <c r="U5" s="374" t="s">
        <v>75</v>
      </c>
      <c r="V5" s="375" t="s">
        <v>75</v>
      </c>
      <c r="W5" s="374" t="s">
        <v>75</v>
      </c>
      <c r="X5" s="376" t="s">
        <v>75</v>
      </c>
      <c r="Y5" s="85"/>
    </row>
    <row r="6" customFormat="false" ht="15.75" hidden="false" customHeight="false" outlineLevel="0" collapsed="false">
      <c r="A6" s="24" t="n">
        <v>1</v>
      </c>
      <c r="B6" s="266" t="s">
        <v>71</v>
      </c>
      <c r="C6" s="213" t="s">
        <v>68</v>
      </c>
      <c r="D6" s="651" t="n">
        <f aca="false">'2021'!D21-'2020'!D21</f>
        <v>1</v>
      </c>
      <c r="E6" s="652" t="s">
        <v>72</v>
      </c>
      <c r="F6" s="653" t="s">
        <v>70</v>
      </c>
      <c r="G6" s="654" t="n">
        <f aca="false">'2021'!G21-'2020'!G21</f>
        <v>45</v>
      </c>
      <c r="H6" s="655" t="n">
        <f aca="false">IF('2021'!G21=0,0,IF('2020'!G21=0,0,'2021'!G21/'2020'!G21-1))</f>
        <v>1.45161290322581</v>
      </c>
      <c r="I6" s="656" t="n">
        <f aca="false">'2021'!H21-'2020'!H21</f>
        <v>27</v>
      </c>
      <c r="J6" s="657" t="n">
        <f aca="false">IF('2021'!H21=0,0,IF('2020'!H21=0,0,'2021'!H21/'2020'!H21-1))</f>
        <v>1.17391304347826</v>
      </c>
      <c r="K6" s="658" t="n">
        <f aca="false">'2021'!J21-'2020'!J21</f>
        <v>7</v>
      </c>
      <c r="L6" s="657" t="n">
        <f aca="false">'2021'!I21-'2020'!I21</f>
        <v>-0.0988964346349745</v>
      </c>
      <c r="M6" s="658" t="n">
        <f aca="false">'2021'!L21-'2020'!L21</f>
        <v>18</v>
      </c>
      <c r="N6" s="657" t="n">
        <f aca="false">'2021'!K21-'2020'!K21</f>
        <v>0.0458404074702886</v>
      </c>
      <c r="O6" s="658" t="n">
        <f aca="false">IF('2020'!N21="-",0,'2021'!N21-'2020'!N21)</f>
        <v>0</v>
      </c>
      <c r="P6" s="657" t="e">
        <f aca="false">'2021'!M21-'2020'!M21</f>
        <v>#VALUE!</v>
      </c>
      <c r="Q6" s="385"/>
      <c r="R6" s="386"/>
      <c r="S6" s="385"/>
      <c r="T6" s="386"/>
      <c r="U6" s="321" t="s">
        <v>75</v>
      </c>
      <c r="V6" s="316" t="s">
        <v>75</v>
      </c>
      <c r="W6" s="321" t="s">
        <v>75</v>
      </c>
      <c r="X6" s="322" t="s">
        <v>75</v>
      </c>
      <c r="Y6" s="85"/>
    </row>
    <row r="7" customFormat="false" ht="15" hidden="false" customHeight="true" outlineLevel="0" collapsed="false">
      <c r="A7" s="24" t="n">
        <v>2</v>
      </c>
      <c r="B7" s="283" t="s">
        <v>73</v>
      </c>
      <c r="C7" s="267" t="s">
        <v>68</v>
      </c>
      <c r="D7" s="659" t="n">
        <v>9</v>
      </c>
      <c r="E7" s="660" t="s">
        <v>74</v>
      </c>
      <c r="F7" s="661" t="s">
        <v>70</v>
      </c>
      <c r="G7" s="662" t="n">
        <f aca="false">'2021'!G7-'2020'!G7</f>
        <v>0</v>
      </c>
      <c r="H7" s="663" t="n">
        <f aca="false">IF('2021'!G7=0,0,IF('2020'!G7=0,0,'2021'!G7/'2020'!G7-1))</f>
        <v>0</v>
      </c>
      <c r="I7" s="664" t="n">
        <f aca="false">'2021'!H7-'2020'!H7</f>
        <v>0</v>
      </c>
      <c r="J7" s="665" t="n">
        <f aca="false">IF('2021'!H7=0,0,IF('2020'!H7=0,0,'2021'!H7/'2020'!H7-1))</f>
        <v>0</v>
      </c>
      <c r="K7" s="666" t="n">
        <f aca="false">'2021'!J7-'2020'!J7</f>
        <v>0</v>
      </c>
      <c r="L7" s="665" t="e">
        <f aca="false">'2021'!I7-'2020'!I7</f>
        <v>#DIV/0!</v>
      </c>
      <c r="M7" s="666" t="n">
        <f aca="false">'2021'!L7-'2020'!L7</f>
        <v>0</v>
      </c>
      <c r="N7" s="665" t="e">
        <f aca="false">'2021'!K7-'2020'!K7</f>
        <v>#DIV/0!</v>
      </c>
      <c r="O7" s="666"/>
      <c r="P7" s="665"/>
      <c r="Q7" s="396"/>
      <c r="R7" s="397"/>
      <c r="S7" s="396"/>
      <c r="T7" s="397"/>
      <c r="U7" s="398" t="s">
        <v>75</v>
      </c>
      <c r="V7" s="399" t="s">
        <v>75</v>
      </c>
      <c r="W7" s="398" t="s">
        <v>75</v>
      </c>
      <c r="X7" s="400" t="s">
        <v>75</v>
      </c>
      <c r="Y7" s="85"/>
    </row>
    <row r="8" customFormat="false" ht="15" hidden="false" customHeight="true" outlineLevel="0" collapsed="false">
      <c r="A8" s="24" t="n">
        <v>3</v>
      </c>
      <c r="B8" s="283"/>
      <c r="C8" s="267"/>
      <c r="D8" s="659"/>
      <c r="E8" s="667" t="s">
        <v>74</v>
      </c>
      <c r="F8" s="668" t="s">
        <v>70</v>
      </c>
      <c r="G8" s="669" t="n">
        <f aca="false">'2021'!G8-'2020'!G8</f>
        <v>0</v>
      </c>
      <c r="H8" s="670" t="n">
        <f aca="false">IF('2021'!G8=0,0,IF('2020'!G8=0,0,'2021'!G8/'2020'!G8-1))</f>
        <v>0</v>
      </c>
      <c r="I8" s="671" t="n">
        <f aca="false">'2021'!H8-'2020'!H8</f>
        <v>0</v>
      </c>
      <c r="J8" s="672" t="n">
        <f aca="false">IF(I8=0,0,'2021'!H8/'2020'!H8-1)</f>
        <v>0</v>
      </c>
      <c r="K8" s="673" t="n">
        <f aca="false">'2021'!J8-'2020'!J8</f>
        <v>0</v>
      </c>
      <c r="L8" s="672" t="e">
        <f aca="false">'2021'!I8-'2020'!I8</f>
        <v>#DIV/0!</v>
      </c>
      <c r="M8" s="673" t="n">
        <f aca="false">'2021'!L8-'2020'!L8</f>
        <v>0</v>
      </c>
      <c r="N8" s="672" t="e">
        <f aca="false">'2021'!K8-'2020'!K8</f>
        <v>#DIV/0!</v>
      </c>
      <c r="O8" s="673"/>
      <c r="P8" s="672"/>
      <c r="Q8" s="407"/>
      <c r="R8" s="408"/>
      <c r="S8" s="407"/>
      <c r="T8" s="408"/>
      <c r="U8" s="296" t="s">
        <v>75</v>
      </c>
      <c r="V8" s="291" t="s">
        <v>75</v>
      </c>
      <c r="W8" s="296" t="s">
        <v>75</v>
      </c>
      <c r="X8" s="297" t="s">
        <v>75</v>
      </c>
      <c r="Y8" s="85"/>
    </row>
    <row r="9" customFormat="false" ht="15" hidden="false" customHeight="true" outlineLevel="0" collapsed="false">
      <c r="A9" s="24" t="n">
        <v>4</v>
      </c>
      <c r="B9" s="283"/>
      <c r="C9" s="267"/>
      <c r="D9" s="659"/>
      <c r="E9" s="667" t="s">
        <v>74</v>
      </c>
      <c r="F9" s="668" t="s">
        <v>70</v>
      </c>
      <c r="G9" s="669" t="n">
        <f aca="false">'2021'!G9-'2020'!G9</f>
        <v>0</v>
      </c>
      <c r="H9" s="670" t="n">
        <f aca="false">IF('2021'!G9=0,0,IF('2020'!G9=0,0,'2021'!G9/'2020'!G9-1))</f>
        <v>0</v>
      </c>
      <c r="I9" s="671" t="n">
        <f aca="false">'2021'!H9-'2020'!H9</f>
        <v>0</v>
      </c>
      <c r="J9" s="672" t="n">
        <f aca="false">IF(I9=0,0,'2021'!H9/'2020'!H9-1)</f>
        <v>0</v>
      </c>
      <c r="K9" s="673" t="n">
        <f aca="false">'2021'!J9-'2020'!J9</f>
        <v>0</v>
      </c>
      <c r="L9" s="672" t="e">
        <f aca="false">'2021'!I9-'2020'!I9</f>
        <v>#DIV/0!</v>
      </c>
      <c r="M9" s="673" t="n">
        <f aca="false">'2021'!L9-'2020'!L9</f>
        <v>0</v>
      </c>
      <c r="N9" s="672" t="e">
        <f aca="false">'2021'!K9-'2020'!K9</f>
        <v>#DIV/0!</v>
      </c>
      <c r="O9" s="673"/>
      <c r="P9" s="672"/>
      <c r="Q9" s="407"/>
      <c r="R9" s="408"/>
      <c r="S9" s="407"/>
      <c r="T9" s="408"/>
      <c r="U9" s="296" t="s">
        <v>75</v>
      </c>
      <c r="V9" s="291" t="s">
        <v>75</v>
      </c>
      <c r="W9" s="296" t="s">
        <v>75</v>
      </c>
      <c r="X9" s="297" t="s">
        <v>75</v>
      </c>
      <c r="Y9" s="85"/>
    </row>
    <row r="10" customFormat="false" ht="15" hidden="false" customHeight="true" outlineLevel="0" collapsed="false">
      <c r="A10" s="24" t="n">
        <v>5</v>
      </c>
      <c r="B10" s="283"/>
      <c r="C10" s="267"/>
      <c r="D10" s="659"/>
      <c r="E10" s="667" t="s">
        <v>74</v>
      </c>
      <c r="F10" s="668"/>
      <c r="G10" s="669" t="n">
        <f aca="false">'2021'!G10-'2020'!G10</f>
        <v>0</v>
      </c>
      <c r="H10" s="670" t="n">
        <f aca="false">IF('2021'!G10=0,0,IF('2020'!G10=0,0,'2021'!G10/'2020'!G10-1))</f>
        <v>0</v>
      </c>
      <c r="I10" s="671" t="n">
        <f aca="false">'2021'!H10-'2020'!H10</f>
        <v>0</v>
      </c>
      <c r="J10" s="672" t="n">
        <f aca="false">IF(I10=0,0,'2021'!H10/'2020'!H10-1)</f>
        <v>0</v>
      </c>
      <c r="K10" s="673" t="n">
        <f aca="false">'2021'!J10-'2020'!J10</f>
        <v>0</v>
      </c>
      <c r="L10" s="672" t="e">
        <f aca="false">'2021'!I10-'2020'!I10</f>
        <v>#DIV/0!</v>
      </c>
      <c r="M10" s="673" t="n">
        <f aca="false">'2021'!L10-'2020'!L10</f>
        <v>0</v>
      </c>
      <c r="N10" s="672" t="e">
        <f aca="false">'2021'!K10-'2020'!K10</f>
        <v>#DIV/0!</v>
      </c>
      <c r="O10" s="673"/>
      <c r="P10" s="672"/>
      <c r="Q10" s="407"/>
      <c r="R10" s="408"/>
      <c r="S10" s="407"/>
      <c r="T10" s="408"/>
      <c r="U10" s="296"/>
      <c r="V10" s="291"/>
      <c r="W10" s="296"/>
      <c r="X10" s="297"/>
      <c r="Y10" s="85"/>
    </row>
    <row r="11" customFormat="false" ht="15" hidden="false" customHeight="true" outlineLevel="0" collapsed="false">
      <c r="A11" s="24" t="n">
        <v>6</v>
      </c>
      <c r="B11" s="283"/>
      <c r="C11" s="267"/>
      <c r="D11" s="659"/>
      <c r="E11" s="667" t="s">
        <v>74</v>
      </c>
      <c r="F11" s="668" t="s">
        <v>70</v>
      </c>
      <c r="G11" s="669" t="n">
        <f aca="false">'2021'!G11-'2020'!G11</f>
        <v>0</v>
      </c>
      <c r="H11" s="670" t="n">
        <f aca="false">IF('2021'!G11=0,0,IF('2020'!G11=0,0,'2021'!G11/'2020'!G11-1))</f>
        <v>0</v>
      </c>
      <c r="I11" s="671" t="n">
        <f aca="false">'2021'!H11-'2020'!H11</f>
        <v>0</v>
      </c>
      <c r="J11" s="672" t="n">
        <f aca="false">IF(I11=0,0,'2021'!H11/'2020'!H11-1)</f>
        <v>0</v>
      </c>
      <c r="K11" s="673" t="n">
        <f aca="false">'2021'!J11-'2020'!J11</f>
        <v>0</v>
      </c>
      <c r="L11" s="672" t="e">
        <f aca="false">'2021'!I11-'2020'!I11</f>
        <v>#DIV/0!</v>
      </c>
      <c r="M11" s="673" t="n">
        <f aca="false">'2021'!L11-'2020'!L11</f>
        <v>0</v>
      </c>
      <c r="N11" s="672" t="e">
        <f aca="false">'2021'!K11-'2020'!K11</f>
        <v>#DIV/0!</v>
      </c>
      <c r="O11" s="673"/>
      <c r="P11" s="672"/>
      <c r="Q11" s="407"/>
      <c r="R11" s="408"/>
      <c r="S11" s="407"/>
      <c r="T11" s="408"/>
      <c r="U11" s="296" t="s">
        <v>75</v>
      </c>
      <c r="V11" s="291" t="s">
        <v>75</v>
      </c>
      <c r="W11" s="296" t="s">
        <v>75</v>
      </c>
      <c r="X11" s="297" t="s">
        <v>75</v>
      </c>
      <c r="Y11" s="85"/>
    </row>
    <row r="12" customFormat="false" ht="15" hidden="false" customHeight="true" outlineLevel="0" collapsed="false">
      <c r="A12" s="24" t="n">
        <v>7</v>
      </c>
      <c r="B12" s="283"/>
      <c r="C12" s="267"/>
      <c r="D12" s="659"/>
      <c r="E12" s="667" t="s">
        <v>74</v>
      </c>
      <c r="F12" s="668" t="s">
        <v>70</v>
      </c>
      <c r="G12" s="669" t="n">
        <f aca="false">'2021'!G12-'2020'!G12</f>
        <v>0</v>
      </c>
      <c r="H12" s="670" t="n">
        <f aca="false">IF('2021'!G12=0,0,IF('2020'!G12=0,0,'2021'!G12/'2020'!G12-1))</f>
        <v>0</v>
      </c>
      <c r="I12" s="671" t="n">
        <f aca="false">'2021'!H12-'2020'!H12</f>
        <v>0</v>
      </c>
      <c r="J12" s="672" t="n">
        <f aca="false">IF(I12=0,0,'2021'!H12/'2020'!H12-1)</f>
        <v>0</v>
      </c>
      <c r="K12" s="673" t="n">
        <f aca="false">'2021'!J12-'2020'!J12</f>
        <v>0</v>
      </c>
      <c r="L12" s="672" t="e">
        <f aca="false">'2021'!I12-'2020'!I12</f>
        <v>#DIV/0!</v>
      </c>
      <c r="M12" s="673" t="n">
        <f aca="false">'2021'!L12-'2020'!L12</f>
        <v>0</v>
      </c>
      <c r="N12" s="672" t="e">
        <f aca="false">'2021'!K12-'2020'!K12</f>
        <v>#DIV/0!</v>
      </c>
      <c r="O12" s="673"/>
      <c r="P12" s="672"/>
      <c r="Q12" s="407"/>
      <c r="R12" s="408"/>
      <c r="S12" s="407"/>
      <c r="T12" s="408"/>
      <c r="U12" s="296" t="s">
        <v>75</v>
      </c>
      <c r="V12" s="291" t="s">
        <v>75</v>
      </c>
      <c r="W12" s="296" t="s">
        <v>75</v>
      </c>
      <c r="X12" s="297" t="s">
        <v>75</v>
      </c>
      <c r="Y12" s="85"/>
    </row>
    <row r="13" customFormat="false" ht="15" hidden="false" customHeight="true" outlineLevel="0" collapsed="false">
      <c r="A13" s="24" t="n">
        <v>8</v>
      </c>
      <c r="B13" s="283"/>
      <c r="C13" s="267"/>
      <c r="D13" s="659"/>
      <c r="E13" s="667" t="s">
        <v>74</v>
      </c>
      <c r="F13" s="668" t="s">
        <v>70</v>
      </c>
      <c r="G13" s="669" t="n">
        <f aca="false">'2021'!G13-'2020'!G13</f>
        <v>0</v>
      </c>
      <c r="H13" s="670" t="n">
        <f aca="false">IF('2021'!G13=0,0,IF('2020'!G13=0,0,'2021'!G13/'2020'!G13-1))</f>
        <v>0</v>
      </c>
      <c r="I13" s="671" t="n">
        <f aca="false">'2021'!H13-'2020'!H13</f>
        <v>0</v>
      </c>
      <c r="J13" s="672" t="n">
        <f aca="false">IF(I13=0,0,'2021'!H13/'2020'!H13-1)</f>
        <v>0</v>
      </c>
      <c r="K13" s="673" t="n">
        <f aca="false">'2021'!J13-'2020'!J13</f>
        <v>0</v>
      </c>
      <c r="L13" s="672" t="e">
        <f aca="false">'2021'!I13-'2020'!I13</f>
        <v>#DIV/0!</v>
      </c>
      <c r="M13" s="673" t="n">
        <f aca="false">'2021'!L13-'2020'!L13</f>
        <v>0</v>
      </c>
      <c r="N13" s="672" t="e">
        <f aca="false">'2021'!K13-'2020'!K13</f>
        <v>#DIV/0!</v>
      </c>
      <c r="O13" s="673"/>
      <c r="P13" s="672"/>
      <c r="Q13" s="407"/>
      <c r="R13" s="408"/>
      <c r="S13" s="407"/>
      <c r="T13" s="408"/>
      <c r="U13" s="296" t="s">
        <v>75</v>
      </c>
      <c r="V13" s="291" t="s">
        <v>75</v>
      </c>
      <c r="W13" s="296" t="s">
        <v>75</v>
      </c>
      <c r="X13" s="297" t="s">
        <v>75</v>
      </c>
      <c r="Y13" s="85"/>
    </row>
    <row r="14" customFormat="false" ht="15" hidden="false" customHeight="true" outlineLevel="0" collapsed="false">
      <c r="A14" s="24" t="n">
        <v>9</v>
      </c>
      <c r="B14" s="283"/>
      <c r="C14" s="267"/>
      <c r="D14" s="659"/>
      <c r="E14" s="667" t="s">
        <v>74</v>
      </c>
      <c r="F14" s="668" t="s">
        <v>70</v>
      </c>
      <c r="G14" s="669" t="n">
        <f aca="false">'2021'!G14-'2020'!G14</f>
        <v>0</v>
      </c>
      <c r="H14" s="670" t="n">
        <f aca="false">IF('2021'!G14=0,0,IF('2020'!G14=0,0,'2021'!G14/'2020'!G14-1))</f>
        <v>0</v>
      </c>
      <c r="I14" s="671" t="n">
        <f aca="false">'2021'!H14-'2020'!H14</f>
        <v>0</v>
      </c>
      <c r="J14" s="672" t="n">
        <f aca="false">IF(I14=0,0,'2021'!H14/'2020'!H14-1)</f>
        <v>0</v>
      </c>
      <c r="K14" s="673" t="n">
        <f aca="false">'2021'!J14-'2020'!J14</f>
        <v>0</v>
      </c>
      <c r="L14" s="672" t="e">
        <f aca="false">'2021'!I14-'2020'!I14</f>
        <v>#DIV/0!</v>
      </c>
      <c r="M14" s="673" t="n">
        <f aca="false">'2021'!L14-'2020'!L14</f>
        <v>0</v>
      </c>
      <c r="N14" s="672" t="e">
        <f aca="false">'2021'!K14-'2020'!K14</f>
        <v>#DIV/0!</v>
      </c>
      <c r="O14" s="673"/>
      <c r="P14" s="672"/>
      <c r="Q14" s="407"/>
      <c r="R14" s="408"/>
      <c r="S14" s="407"/>
      <c r="T14" s="408"/>
      <c r="U14" s="296" t="s">
        <v>75</v>
      </c>
      <c r="V14" s="291" t="s">
        <v>75</v>
      </c>
      <c r="W14" s="296" t="s">
        <v>75</v>
      </c>
      <c r="X14" s="297" t="s">
        <v>75</v>
      </c>
      <c r="Y14" s="85"/>
    </row>
    <row r="15" customFormat="false" ht="15" hidden="false" customHeight="true" outlineLevel="0" collapsed="false">
      <c r="B15" s="283"/>
      <c r="C15" s="267"/>
      <c r="D15" s="659"/>
      <c r="E15" s="674" t="s">
        <v>74</v>
      </c>
      <c r="F15" s="675"/>
      <c r="G15" s="676" t="n">
        <f aca="false">'2021'!G15-'2020'!G15</f>
        <v>0</v>
      </c>
      <c r="H15" s="677" t="n">
        <f aca="false">IF('2021'!G15=0,0,IF('2020'!G15=0,0,'2021'!G15/'2020'!G15-1))</f>
        <v>0</v>
      </c>
      <c r="I15" s="678" t="n">
        <f aca="false">'2021'!H15-'2020'!H15</f>
        <v>0</v>
      </c>
      <c r="J15" s="679" t="n">
        <f aca="false">IF(I15=0,0,'2021'!H15/'2020'!H15-1)</f>
        <v>0</v>
      </c>
      <c r="K15" s="680" t="n">
        <f aca="false">'2021'!J15-'2020'!J15</f>
        <v>0</v>
      </c>
      <c r="L15" s="679" t="e">
        <f aca="false">'2021'!I15-'2020'!I15</f>
        <v>#DIV/0!</v>
      </c>
      <c r="M15" s="680" t="n">
        <f aca="false">'2021'!L15-'2020'!L15</f>
        <v>0</v>
      </c>
      <c r="N15" s="679" t="e">
        <f aca="false">'2021'!K15-'2020'!K15</f>
        <v>#DIV/0!</v>
      </c>
      <c r="O15" s="680"/>
      <c r="P15" s="679"/>
      <c r="Q15" s="412"/>
      <c r="R15" s="413"/>
      <c r="S15" s="412"/>
      <c r="T15" s="413"/>
      <c r="U15" s="414"/>
      <c r="V15" s="415"/>
      <c r="W15" s="414"/>
      <c r="X15" s="416"/>
      <c r="Y15" s="85"/>
    </row>
    <row r="16" customFormat="false" ht="15" hidden="false" customHeight="true" outlineLevel="0" collapsed="false">
      <c r="B16" s="283"/>
      <c r="C16" s="267"/>
      <c r="D16" s="659"/>
      <c r="E16" s="674" t="s">
        <v>74</v>
      </c>
      <c r="F16" s="675"/>
      <c r="G16" s="676" t="n">
        <f aca="false">'2021'!G16-'2020'!G16</f>
        <v>0</v>
      </c>
      <c r="H16" s="677" t="n">
        <f aca="false">IF('2021'!G16=0,0,IF('2020'!G16=0,0,'2021'!G16/'2020'!G16-1))</f>
        <v>0</v>
      </c>
      <c r="I16" s="678" t="n">
        <f aca="false">'2021'!H16-'2020'!H16</f>
        <v>0</v>
      </c>
      <c r="J16" s="679" t="n">
        <f aca="false">IF(I16=0,0,'2021'!H16/'2020'!H16-1)</f>
        <v>0</v>
      </c>
      <c r="K16" s="680" t="n">
        <f aca="false">'2021'!J16-'2020'!J16</f>
        <v>0</v>
      </c>
      <c r="L16" s="679" t="e">
        <f aca="false">'2021'!I16-'2020'!I16</f>
        <v>#DIV/0!</v>
      </c>
      <c r="M16" s="680" t="n">
        <f aca="false">'2021'!L16-'2020'!L16</f>
        <v>0</v>
      </c>
      <c r="N16" s="679" t="e">
        <f aca="false">'2021'!K16-'2020'!K16</f>
        <v>#DIV/0!</v>
      </c>
      <c r="O16" s="680"/>
      <c r="P16" s="679"/>
      <c r="Q16" s="412"/>
      <c r="R16" s="413"/>
      <c r="S16" s="412"/>
      <c r="T16" s="413"/>
      <c r="U16" s="414"/>
      <c r="V16" s="415"/>
      <c r="W16" s="414"/>
      <c r="X16" s="416"/>
      <c r="Y16" s="85"/>
    </row>
    <row r="17" customFormat="false" ht="15" hidden="false" customHeight="true" outlineLevel="0" collapsed="false">
      <c r="B17" s="283"/>
      <c r="C17" s="267"/>
      <c r="D17" s="659"/>
      <c r="E17" s="674"/>
      <c r="F17" s="675"/>
      <c r="G17" s="676"/>
      <c r="H17" s="677"/>
      <c r="I17" s="678"/>
      <c r="J17" s="679"/>
      <c r="K17" s="680"/>
      <c r="L17" s="679"/>
      <c r="M17" s="680"/>
      <c r="N17" s="679"/>
      <c r="O17" s="680"/>
      <c r="P17" s="679"/>
      <c r="Q17" s="412"/>
      <c r="R17" s="413"/>
      <c r="S17" s="412"/>
      <c r="T17" s="413"/>
      <c r="U17" s="414"/>
      <c r="V17" s="415"/>
      <c r="W17" s="414"/>
      <c r="X17" s="416"/>
      <c r="Y17" s="85"/>
    </row>
    <row r="18" customFormat="false" ht="15" hidden="false" customHeight="true" outlineLevel="0" collapsed="false">
      <c r="B18" s="283"/>
      <c r="C18" s="267"/>
      <c r="D18" s="659"/>
      <c r="E18" s="674"/>
      <c r="F18" s="675"/>
      <c r="G18" s="676"/>
      <c r="H18" s="677"/>
      <c r="I18" s="678"/>
      <c r="J18" s="679"/>
      <c r="K18" s="680"/>
      <c r="L18" s="679"/>
      <c r="M18" s="680"/>
      <c r="N18" s="679"/>
      <c r="O18" s="680"/>
      <c r="P18" s="679"/>
      <c r="Q18" s="412"/>
      <c r="R18" s="413"/>
      <c r="S18" s="412"/>
      <c r="T18" s="413"/>
      <c r="U18" s="414"/>
      <c r="V18" s="415"/>
      <c r="W18" s="414"/>
      <c r="X18" s="416"/>
      <c r="Y18" s="85"/>
    </row>
    <row r="19" customFormat="false" ht="15" hidden="false" customHeight="true" outlineLevel="0" collapsed="false">
      <c r="A19" s="24" t="n">
        <v>10</v>
      </c>
      <c r="B19" s="283"/>
      <c r="C19" s="267"/>
      <c r="D19" s="659"/>
      <c r="E19" s="681" t="s">
        <v>74</v>
      </c>
      <c r="F19" s="682" t="s">
        <v>70</v>
      </c>
      <c r="G19" s="683" t="n">
        <f aca="false">'2021'!G19-'2020'!G19</f>
        <v>0</v>
      </c>
      <c r="H19" s="684" t="n">
        <f aca="false">IF('2021'!G19=0,0,IF('2020'!G19=0,0,'2021'!G19/'2020'!G19-1))</f>
        <v>0</v>
      </c>
      <c r="I19" s="685" t="n">
        <f aca="false">'2021'!H19-'2020'!H19</f>
        <v>0</v>
      </c>
      <c r="J19" s="686" t="n">
        <f aca="false">IF(I19=0,0,'2021'!H19/'2020'!H19-1)</f>
        <v>0</v>
      </c>
      <c r="K19" s="687" t="n">
        <f aca="false">'2021'!J19-'2020'!J19</f>
        <v>0</v>
      </c>
      <c r="L19" s="686" t="e">
        <f aca="false">'2021'!I19-'2020'!I19</f>
        <v>#DIV/0!</v>
      </c>
      <c r="M19" s="687" t="n">
        <f aca="false">'2021'!L19-'2020'!L19</f>
        <v>0</v>
      </c>
      <c r="N19" s="686" t="e">
        <f aca="false">'2021'!K19-'2020'!K19</f>
        <v>#DIV/0!</v>
      </c>
      <c r="O19" s="687"/>
      <c r="P19" s="686"/>
      <c r="Q19" s="426"/>
      <c r="R19" s="427"/>
      <c r="S19" s="426"/>
      <c r="T19" s="427"/>
      <c r="U19" s="306"/>
      <c r="V19" s="301"/>
      <c r="W19" s="306"/>
      <c r="X19" s="307"/>
      <c r="Y19" s="85"/>
    </row>
    <row r="20" customFormat="false" ht="15.75" hidden="false" customHeight="false" outlineLevel="0" collapsed="false">
      <c r="B20" s="283"/>
      <c r="C20" s="267"/>
      <c r="D20" s="659" t="s">
        <v>76</v>
      </c>
      <c r="E20" s="652"/>
      <c r="F20" s="653"/>
      <c r="G20" s="654" t="n">
        <f aca="false">SUM(G7:G19)</f>
        <v>0</v>
      </c>
      <c r="H20" s="655" t="e">
        <f aca="false">G20/SUM('2020'!G7:G9,'2020'!G11:G14)</f>
        <v>#DIV/0!</v>
      </c>
      <c r="I20" s="656" t="n">
        <f aca="false">SUM(I7:I19)</f>
        <v>0</v>
      </c>
      <c r="J20" s="657" t="e">
        <f aca="false">I20/SUM('2020'!H7:H9,'2020'!H11:H14)</f>
        <v>#DIV/0!</v>
      </c>
      <c r="K20" s="658" t="n">
        <f aca="false">SUM(K7:K19)</f>
        <v>0</v>
      </c>
      <c r="L20" s="657" t="e">
        <f aca="false">K20/SUM('2020'!J7:J9,'2020'!J11:J14)</f>
        <v>#DIV/0!</v>
      </c>
      <c r="M20" s="658" t="n">
        <f aca="false">SUM(M7:M19)</f>
        <v>0</v>
      </c>
      <c r="N20" s="657" t="e">
        <f aca="false">M20/SUM('2020'!L7:L9,'2020'!L11:L14)</f>
        <v>#DIV/0!</v>
      </c>
      <c r="O20" s="658"/>
      <c r="P20" s="657"/>
      <c r="Q20" s="385"/>
      <c r="R20" s="386"/>
      <c r="S20" s="385"/>
      <c r="T20" s="386"/>
      <c r="U20" s="321"/>
      <c r="V20" s="316"/>
      <c r="W20" s="321"/>
      <c r="X20" s="322"/>
      <c r="Y20" s="85"/>
    </row>
    <row r="21" customFormat="false" ht="15" hidden="false" customHeight="true" outlineLevel="0" collapsed="false">
      <c r="A21" s="24" t="n">
        <v>2</v>
      </c>
      <c r="B21" s="283" t="s">
        <v>154</v>
      </c>
      <c r="C21" s="267" t="s">
        <v>68</v>
      </c>
      <c r="D21" s="688" t="n">
        <f aca="false">'2021'!D21-'2020'!D21</f>
        <v>1</v>
      </c>
      <c r="E21" s="660" t="s">
        <v>78</v>
      </c>
      <c r="F21" s="661" t="s">
        <v>70</v>
      </c>
      <c r="G21" s="662" t="n">
        <f aca="false">'2021'!G21-'2020'!G21</f>
        <v>45</v>
      </c>
      <c r="H21" s="663" t="n">
        <f aca="false">IF('2021'!G21=0,0,IF('2020'!G21=0,0,'2021'!G21/'2020'!G21-1))</f>
        <v>1.45161290322581</v>
      </c>
      <c r="I21" s="664" t="n">
        <f aca="false">'2021'!H21-'2020'!H21</f>
        <v>27</v>
      </c>
      <c r="J21" s="665" t="n">
        <f aca="false">IF('2021'!H21=0,0,IF('2020'!H21=0,0,'2021'!H21/'2020'!H21-1))</f>
        <v>1.17391304347826</v>
      </c>
      <c r="K21" s="666" t="n">
        <f aca="false">'2021'!J21-'2020'!J21</f>
        <v>7</v>
      </c>
      <c r="L21" s="665" t="n">
        <f aca="false">'2021'!I21-'2020'!I21</f>
        <v>-0.0988964346349745</v>
      </c>
      <c r="M21" s="666" t="n">
        <f aca="false">'2021'!L21-'2020'!L21</f>
        <v>18</v>
      </c>
      <c r="N21" s="665" t="n">
        <f aca="false">'2021'!K21-'2020'!K21</f>
        <v>0.0458404074702886</v>
      </c>
      <c r="O21" s="666"/>
      <c r="P21" s="665"/>
      <c r="Q21" s="396"/>
      <c r="R21" s="397"/>
      <c r="S21" s="396"/>
      <c r="T21" s="397"/>
      <c r="U21" s="398" t="s">
        <v>75</v>
      </c>
      <c r="V21" s="399" t="s">
        <v>75</v>
      </c>
      <c r="W21" s="398" t="s">
        <v>75</v>
      </c>
      <c r="X21" s="400" t="s">
        <v>75</v>
      </c>
      <c r="Y21" s="85"/>
    </row>
    <row r="22" customFormat="false" ht="15" hidden="false" customHeight="true" outlineLevel="0" collapsed="false">
      <c r="A22" s="24" t="n">
        <v>3</v>
      </c>
      <c r="B22" s="283"/>
      <c r="C22" s="267"/>
      <c r="D22" s="688"/>
      <c r="E22" s="667" t="s">
        <v>79</v>
      </c>
      <c r="F22" s="668" t="s">
        <v>70</v>
      </c>
      <c r="G22" s="669" t="n">
        <f aca="false">'2021'!G22-'2020'!G22</f>
        <v>20</v>
      </c>
      <c r="H22" s="670" t="n">
        <f aca="false">IF('2021'!G22=0,0,IF('2020'!G22=0,0,'2021'!G22/'2020'!G22-1))</f>
        <v>0.8</v>
      </c>
      <c r="I22" s="671" t="n">
        <f aca="false">'2021'!H22-'2020'!H22</f>
        <v>14</v>
      </c>
      <c r="J22" s="672" t="n">
        <f aca="false">IF(I22=0,0,'2021'!H22/'2020'!H22-1)</f>
        <v>1.07692307692308</v>
      </c>
      <c r="K22" s="673" t="n">
        <f aca="false">'2021'!J22-'2020'!J22</f>
        <v>9</v>
      </c>
      <c r="L22" s="672" t="n">
        <f aca="false">'2021'!I22-'2020'!I22</f>
        <v>-0.0133333333333333</v>
      </c>
      <c r="M22" s="673" t="n">
        <f aca="false">'2021'!L22-'2020'!L22</f>
        <v>5</v>
      </c>
      <c r="N22" s="672" t="n">
        <f aca="false">'2021'!K22-'2020'!K22</f>
        <v>-0.0488888888888889</v>
      </c>
      <c r="O22" s="673"/>
      <c r="P22" s="672"/>
      <c r="Q22" s="407"/>
      <c r="R22" s="408"/>
      <c r="S22" s="407"/>
      <c r="T22" s="408"/>
      <c r="U22" s="296" t="s">
        <v>75</v>
      </c>
      <c r="V22" s="291" t="s">
        <v>75</v>
      </c>
      <c r="W22" s="296" t="s">
        <v>75</v>
      </c>
      <c r="X22" s="297" t="s">
        <v>75</v>
      </c>
      <c r="Y22" s="85"/>
    </row>
    <row r="23" customFormat="false" ht="15" hidden="false" customHeight="true" outlineLevel="0" collapsed="false">
      <c r="A23" s="24" t="n">
        <v>4</v>
      </c>
      <c r="B23" s="283"/>
      <c r="C23" s="267"/>
      <c r="D23" s="688"/>
      <c r="E23" s="667" t="s">
        <v>80</v>
      </c>
      <c r="F23" s="668" t="s">
        <v>70</v>
      </c>
      <c r="G23" s="669" t="n">
        <f aca="false">'2021'!G23-'2020'!G23</f>
        <v>-2</v>
      </c>
      <c r="H23" s="670" t="n">
        <f aca="false">IF('2021'!G23=0,0,IF('2020'!G23=0,0,'2021'!G23/'2020'!G23-1))</f>
        <v>-0.111111111111111</v>
      </c>
      <c r="I23" s="671" t="n">
        <f aca="false">'2021'!H23-'2020'!H23</f>
        <v>0</v>
      </c>
      <c r="J23" s="672" t="n">
        <f aca="false">IF(I23=0,0,'2021'!H23/'2020'!H23-1)</f>
        <v>0</v>
      </c>
      <c r="K23" s="673" t="n">
        <f aca="false">'2021'!J23-'2020'!J23</f>
        <v>-4</v>
      </c>
      <c r="L23" s="672" t="n">
        <f aca="false">'2021'!I23-'2020'!I23</f>
        <v>-0.1875</v>
      </c>
      <c r="M23" s="673" t="n">
        <f aca="false">'2021'!L23-'2020'!L23</f>
        <v>0</v>
      </c>
      <c r="N23" s="672" t="n">
        <f aca="false">'2021'!K23-'2020'!K23</f>
        <v>0.0208333333333333</v>
      </c>
      <c r="O23" s="673"/>
      <c r="P23" s="672"/>
      <c r="Q23" s="407"/>
      <c r="R23" s="408"/>
      <c r="S23" s="407"/>
      <c r="T23" s="408"/>
      <c r="U23" s="296" t="s">
        <v>75</v>
      </c>
      <c r="V23" s="291" t="s">
        <v>75</v>
      </c>
      <c r="W23" s="296" t="s">
        <v>75</v>
      </c>
      <c r="X23" s="297" t="s">
        <v>75</v>
      </c>
      <c r="Y23" s="85"/>
    </row>
    <row r="24" customFormat="false" ht="15" hidden="false" customHeight="true" outlineLevel="0" collapsed="false">
      <c r="A24" s="24" t="n">
        <v>5</v>
      </c>
      <c r="B24" s="283"/>
      <c r="C24" s="267"/>
      <c r="D24" s="688"/>
      <c r="E24" s="667" t="s">
        <v>172</v>
      </c>
      <c r="F24" s="668"/>
      <c r="G24" s="669"/>
      <c r="H24" s="670"/>
      <c r="I24" s="671"/>
      <c r="J24" s="672"/>
      <c r="K24" s="673"/>
      <c r="L24" s="672" t="n">
        <f aca="false">'2021'!I24-'2020'!I24</f>
        <v>-0.285714285714286</v>
      </c>
      <c r="M24" s="673"/>
      <c r="N24" s="672" t="n">
        <f aca="false">'2021'!K24-'2020'!K24</f>
        <v>0.0119047619047619</v>
      </c>
      <c r="O24" s="673"/>
      <c r="P24" s="672"/>
      <c r="Q24" s="407"/>
      <c r="R24" s="408"/>
      <c r="S24" s="407"/>
      <c r="T24" s="408"/>
      <c r="U24" s="296"/>
      <c r="V24" s="291"/>
      <c r="W24" s="296"/>
      <c r="X24" s="297"/>
      <c r="Y24" s="85"/>
    </row>
    <row r="25" customFormat="false" ht="15" hidden="false" customHeight="true" outlineLevel="0" collapsed="false">
      <c r="A25" s="24" t="n">
        <v>6</v>
      </c>
      <c r="B25" s="283"/>
      <c r="C25" s="267"/>
      <c r="D25" s="688"/>
      <c r="E25" s="667" t="s">
        <v>81</v>
      </c>
      <c r="F25" s="668" t="s">
        <v>70</v>
      </c>
      <c r="G25" s="669" t="n">
        <f aca="false">'2021'!G25-'2020'!G25</f>
        <v>-1</v>
      </c>
      <c r="H25" s="670" t="n">
        <f aca="false">IF('2021'!G25=0,0,IF('2020'!G25=0,0,'2021'!G25/'2020'!G25-1))</f>
        <v>-0.0714285714285714</v>
      </c>
      <c r="I25" s="671" t="n">
        <f aca="false">'2021'!H25-'2020'!H25</f>
        <v>-1</v>
      </c>
      <c r="J25" s="672" t="n">
        <f aca="false">IF(I25=0,0,'2021'!H25/'2020'!H25-1)</f>
        <v>-0.111111111111111</v>
      </c>
      <c r="K25" s="673" t="n">
        <f aca="false">'2021'!J25-'2020'!J25</f>
        <v>6</v>
      </c>
      <c r="L25" s="672" t="n">
        <f aca="false">'2021'!I25-'2020'!I25</f>
        <v>0.467032967032967</v>
      </c>
      <c r="M25" s="673" t="n">
        <f aca="false">'2021'!L25-'2020'!L25</f>
        <v>5</v>
      </c>
      <c r="N25" s="672" t="n">
        <f aca="false">'2021'!K25-'2020'!K25</f>
        <v>0.39010989010989</v>
      </c>
      <c r="O25" s="673"/>
      <c r="P25" s="672"/>
      <c r="Q25" s="407"/>
      <c r="R25" s="408"/>
      <c r="S25" s="407"/>
      <c r="T25" s="408"/>
      <c r="U25" s="296" t="s">
        <v>75</v>
      </c>
      <c r="V25" s="291" t="s">
        <v>75</v>
      </c>
      <c r="W25" s="296" t="s">
        <v>75</v>
      </c>
      <c r="X25" s="297" t="s">
        <v>75</v>
      </c>
      <c r="Y25" s="85"/>
    </row>
    <row r="26" customFormat="false" ht="15" hidden="false" customHeight="true" outlineLevel="0" collapsed="false">
      <c r="A26" s="24" t="n">
        <v>7</v>
      </c>
      <c r="B26" s="283"/>
      <c r="C26" s="267"/>
      <c r="D26" s="688"/>
      <c r="E26" s="667" t="s">
        <v>82</v>
      </c>
      <c r="F26" s="668" t="s">
        <v>70</v>
      </c>
      <c r="G26" s="669" t="n">
        <f aca="false">'2021'!G26-'2020'!G26</f>
        <v>0</v>
      </c>
      <c r="H26" s="670" t="n">
        <f aca="false">IF('2021'!G26=0,0,IF('2020'!G26=0,0,'2021'!G26/'2020'!G26-1))</f>
        <v>0</v>
      </c>
      <c r="I26" s="671" t="n">
        <f aca="false">'2021'!H26-'2020'!H26</f>
        <v>4</v>
      </c>
      <c r="J26" s="672" t="n">
        <f aca="false">IF(I26=0,0,'2021'!H26/'2020'!H26-1)</f>
        <v>0.25</v>
      </c>
      <c r="K26" s="673" t="n">
        <f aca="false">'2021'!J26-'2020'!J26</f>
        <v>6</v>
      </c>
      <c r="L26" s="672" t="n">
        <f aca="false">'2021'!I26-'2020'!I26</f>
        <v>0.25</v>
      </c>
      <c r="M26" s="673" t="n">
        <f aca="false">'2021'!L26-'2020'!L26</f>
        <v>2</v>
      </c>
      <c r="N26" s="672" t="n">
        <f aca="false">'2021'!K26-'2020'!K26</f>
        <v>0.0833333333333333</v>
      </c>
      <c r="O26" s="673"/>
      <c r="P26" s="672"/>
      <c r="Q26" s="407"/>
      <c r="R26" s="408"/>
      <c r="S26" s="407"/>
      <c r="T26" s="408"/>
      <c r="U26" s="296" t="s">
        <v>75</v>
      </c>
      <c r="V26" s="291" t="s">
        <v>75</v>
      </c>
      <c r="W26" s="296" t="s">
        <v>75</v>
      </c>
      <c r="X26" s="297" t="s">
        <v>75</v>
      </c>
      <c r="Y26" s="85"/>
    </row>
    <row r="27" customFormat="false" ht="15" hidden="false" customHeight="true" outlineLevel="0" collapsed="false">
      <c r="A27" s="24" t="n">
        <v>8</v>
      </c>
      <c r="B27" s="283"/>
      <c r="C27" s="267"/>
      <c r="D27" s="688"/>
      <c r="E27" s="667" t="s">
        <v>83</v>
      </c>
      <c r="F27" s="668" t="s">
        <v>70</v>
      </c>
      <c r="G27" s="669" t="n">
        <f aca="false">'2021'!G27-'2020'!G27</f>
        <v>4</v>
      </c>
      <c r="H27" s="670" t="n">
        <f aca="false">IF('2021'!G27=0,0,IF('2020'!G27=0,0,'2021'!G27/'2020'!G27-1))</f>
        <v>0.137931034482759</v>
      </c>
      <c r="I27" s="671" t="n">
        <f aca="false">'2021'!H27-'2020'!H27</f>
        <v>4</v>
      </c>
      <c r="J27" s="672" t="n">
        <f aca="false">IF(I27=0,0,'2021'!H27/'2020'!H27-1)</f>
        <v>0.19047619047619</v>
      </c>
      <c r="K27" s="673" t="n">
        <f aca="false">'2021'!J27-'2020'!J27</f>
        <v>0</v>
      </c>
      <c r="L27" s="672" t="n">
        <f aca="false">'2021'!I27-'2020'!I27</f>
        <v>0</v>
      </c>
      <c r="M27" s="673" t="n">
        <f aca="false">'2021'!L27-'2020'!L27</f>
        <v>-5</v>
      </c>
      <c r="N27" s="672" t="n">
        <f aca="false">'2021'!K27-'2020'!K27</f>
        <v>-0.201671891327064</v>
      </c>
      <c r="O27" s="673"/>
      <c r="P27" s="672"/>
      <c r="Q27" s="407"/>
      <c r="R27" s="408"/>
      <c r="S27" s="407"/>
      <c r="T27" s="408"/>
      <c r="U27" s="296" t="s">
        <v>75</v>
      </c>
      <c r="V27" s="291" t="s">
        <v>75</v>
      </c>
      <c r="W27" s="296" t="s">
        <v>75</v>
      </c>
      <c r="X27" s="297" t="s">
        <v>75</v>
      </c>
      <c r="Y27" s="85"/>
    </row>
    <row r="28" customFormat="false" ht="15" hidden="false" customHeight="true" outlineLevel="0" collapsed="false">
      <c r="A28" s="24" t="n">
        <v>9</v>
      </c>
      <c r="B28" s="283"/>
      <c r="C28" s="267"/>
      <c r="D28" s="688"/>
      <c r="E28" s="667" t="s">
        <v>84</v>
      </c>
      <c r="F28" s="668" t="s">
        <v>70</v>
      </c>
      <c r="G28" s="669" t="n">
        <f aca="false">'2021'!G28-'2020'!G28</f>
        <v>5</v>
      </c>
      <c r="H28" s="670" t="n">
        <f aca="false">IF('2021'!G28=0,0,IF('2020'!G28=0,0,'2021'!G28/'2020'!G28-1))</f>
        <v>0.185185185185185</v>
      </c>
      <c r="I28" s="671" t="n">
        <f aca="false">'2021'!H28-'2020'!H28</f>
        <v>0</v>
      </c>
      <c r="J28" s="672" t="n">
        <f aca="false">IF(I28=0,0,'2021'!H28/'2020'!H28-1)</f>
        <v>0</v>
      </c>
      <c r="K28" s="673" t="n">
        <f aca="false">'2021'!J28-'2020'!J28</f>
        <v>-2</v>
      </c>
      <c r="L28" s="672" t="n">
        <f aca="false">'2021'!I28-'2020'!I28</f>
        <v>-0.103009259259259</v>
      </c>
      <c r="M28" s="673" t="n">
        <f aca="false">'2021'!L28-'2020'!L28</f>
        <v>-1</v>
      </c>
      <c r="N28" s="672" t="n">
        <f aca="false">'2021'!K28-'2020'!K28</f>
        <v>-0.106481481481481</v>
      </c>
      <c r="O28" s="673"/>
      <c r="P28" s="672"/>
      <c r="Q28" s="407"/>
      <c r="R28" s="408"/>
      <c r="S28" s="407"/>
      <c r="T28" s="408"/>
      <c r="U28" s="296" t="s">
        <v>75</v>
      </c>
      <c r="V28" s="291" t="s">
        <v>75</v>
      </c>
      <c r="W28" s="296" t="s">
        <v>75</v>
      </c>
      <c r="X28" s="297" t="s">
        <v>75</v>
      </c>
      <c r="Y28" s="85"/>
    </row>
    <row r="29" customFormat="false" ht="15" hidden="false" customHeight="true" outlineLevel="0" collapsed="false">
      <c r="B29" s="283"/>
      <c r="C29" s="267"/>
      <c r="D29" s="688"/>
      <c r="E29" s="674"/>
      <c r="F29" s="675"/>
      <c r="G29" s="676"/>
      <c r="H29" s="677"/>
      <c r="I29" s="678"/>
      <c r="J29" s="679"/>
      <c r="K29" s="680"/>
      <c r="L29" s="679"/>
      <c r="M29" s="680"/>
      <c r="N29" s="679"/>
      <c r="O29" s="680"/>
      <c r="P29" s="679"/>
      <c r="Q29" s="412"/>
      <c r="R29" s="413"/>
      <c r="S29" s="412"/>
      <c r="T29" s="413"/>
      <c r="U29" s="414"/>
      <c r="V29" s="415"/>
      <c r="W29" s="414"/>
      <c r="X29" s="416"/>
      <c r="Y29" s="85"/>
    </row>
    <row r="30" customFormat="false" ht="15" hidden="false" customHeight="true" outlineLevel="0" collapsed="false">
      <c r="B30" s="283"/>
      <c r="C30" s="267"/>
      <c r="D30" s="688"/>
      <c r="E30" s="674"/>
      <c r="F30" s="675"/>
      <c r="G30" s="676"/>
      <c r="H30" s="677"/>
      <c r="I30" s="678"/>
      <c r="J30" s="679"/>
      <c r="K30" s="680"/>
      <c r="L30" s="679"/>
      <c r="M30" s="680"/>
      <c r="N30" s="679"/>
      <c r="O30" s="680"/>
      <c r="P30" s="679"/>
      <c r="Q30" s="412"/>
      <c r="R30" s="413"/>
      <c r="S30" s="412"/>
      <c r="T30" s="413"/>
      <c r="U30" s="414"/>
      <c r="V30" s="415"/>
      <c r="W30" s="414"/>
      <c r="X30" s="416"/>
      <c r="Y30" s="85"/>
    </row>
    <row r="31" customFormat="false" ht="15" hidden="false" customHeight="true" outlineLevel="0" collapsed="false">
      <c r="A31" s="24" t="n">
        <v>10</v>
      </c>
      <c r="B31" s="283"/>
      <c r="C31" s="267"/>
      <c r="D31" s="688"/>
      <c r="E31" s="681" t="s">
        <v>85</v>
      </c>
      <c r="F31" s="682" t="s">
        <v>70</v>
      </c>
      <c r="G31" s="683"/>
      <c r="H31" s="684"/>
      <c r="I31" s="685"/>
      <c r="J31" s="686"/>
      <c r="K31" s="687"/>
      <c r="L31" s="686"/>
      <c r="M31" s="687"/>
      <c r="N31" s="686"/>
      <c r="O31" s="687"/>
      <c r="P31" s="686"/>
      <c r="Q31" s="426"/>
      <c r="R31" s="427"/>
      <c r="S31" s="426"/>
      <c r="T31" s="427"/>
      <c r="U31" s="306"/>
      <c r="V31" s="301"/>
      <c r="W31" s="306"/>
      <c r="X31" s="307"/>
      <c r="Y31" s="85"/>
    </row>
    <row r="32" customFormat="false" ht="15.75" hidden="false" customHeight="false" outlineLevel="0" collapsed="false">
      <c r="B32" s="283"/>
      <c r="C32" s="267"/>
      <c r="D32" s="659" t="s">
        <v>76</v>
      </c>
      <c r="E32" s="652"/>
      <c r="F32" s="653"/>
      <c r="G32" s="654" t="n">
        <f aca="false">SUM(G21:G31)</f>
        <v>71</v>
      </c>
      <c r="H32" s="655" t="n">
        <f aca="false">G32/SUM('2020'!G21:G23,'2020'!G25:G28)</f>
        <v>0.422619047619048</v>
      </c>
      <c r="I32" s="656" t="n">
        <f aca="false">SUM(I21:I31)</f>
        <v>48</v>
      </c>
      <c r="J32" s="657" t="n">
        <f aca="false">I32/SUM('2020'!H21:H23,'2020'!H25:H28)</f>
        <v>0.440366972477064</v>
      </c>
      <c r="K32" s="658" t="n">
        <f aca="false">SUM(K21:K31)</f>
        <v>22</v>
      </c>
      <c r="L32" s="657" t="n">
        <f aca="false">K32/SUM('2020'!J21:J23,'2020'!J25:J28)</f>
        <v>0.55</v>
      </c>
      <c r="M32" s="658" t="n">
        <f aca="false">SUM(M21:M31)</f>
        <v>24</v>
      </c>
      <c r="N32" s="657" t="n">
        <f aca="false">M32/SUM('2020'!L21:L23,'2020'!L25:L28)</f>
        <v>0.452830188679245</v>
      </c>
      <c r="O32" s="658"/>
      <c r="P32" s="657"/>
      <c r="Q32" s="385"/>
      <c r="R32" s="386"/>
      <c r="S32" s="385"/>
      <c r="T32" s="386"/>
      <c r="U32" s="321"/>
      <c r="V32" s="316"/>
      <c r="W32" s="321"/>
      <c r="X32" s="322"/>
      <c r="Y32" s="85"/>
    </row>
    <row r="33" customFormat="false" ht="15" hidden="false" customHeight="true" outlineLevel="0" collapsed="false">
      <c r="A33" s="24" t="n">
        <v>11</v>
      </c>
      <c r="B33" s="433" t="s">
        <v>156</v>
      </c>
      <c r="C33" s="434" t="s">
        <v>68</v>
      </c>
      <c r="D33" s="651" t="n">
        <f aca="false">'2021'!D33-'2020'!D33</f>
        <v>0</v>
      </c>
      <c r="E33" s="660" t="s">
        <v>87</v>
      </c>
      <c r="F33" s="661" t="s">
        <v>70</v>
      </c>
      <c r="G33" s="662" t="n">
        <f aca="false">'2021'!G33-'2020'!G33</f>
        <v>9</v>
      </c>
      <c r="H33" s="663" t="n">
        <f aca="false">IF('2021'!G33=0,0,IF('2020'!G33=0,0,'2021'!G33/'2020'!G33-1))</f>
        <v>0.243243243243243</v>
      </c>
      <c r="I33" s="664" t="n">
        <f aca="false">'2021'!H33-'2020'!H33</f>
        <v>9</v>
      </c>
      <c r="J33" s="665" t="n">
        <f aca="false">IF('2021'!H33=0,0,IF('2020'!H33=0,0,'2021'!H33/'2020'!H33-1))</f>
        <v>0.391304347826087</v>
      </c>
      <c r="K33" s="666" t="n">
        <f aca="false">'2021'!J33-'2020'!J33</f>
        <v>15.94</v>
      </c>
      <c r="L33" s="665" t="n">
        <f aca="false">'2021'!I33-'2020'!I33</f>
        <v>0.272173913043478</v>
      </c>
      <c r="M33" s="666" t="n">
        <f aca="false">'2021'!L33-'2020'!L33</f>
        <v>3.08</v>
      </c>
      <c r="N33" s="665" t="n">
        <f aca="false">'2021'!K33-'2020'!K33</f>
        <v>0.0356521739130435</v>
      </c>
      <c r="O33" s="666" t="n">
        <f aca="false">IF('2020'!N33="-",0,'2021'!N33-'2020'!N33)</f>
        <v>3.08</v>
      </c>
      <c r="P33" s="665" t="n">
        <f aca="false">'2021'!M33-'2020'!M33</f>
        <v>0</v>
      </c>
      <c r="Q33" s="396"/>
      <c r="R33" s="397"/>
      <c r="S33" s="396"/>
      <c r="T33" s="397"/>
      <c r="U33" s="398" t="s">
        <v>75</v>
      </c>
      <c r="V33" s="399" t="s">
        <v>75</v>
      </c>
      <c r="W33" s="398" t="s">
        <v>75</v>
      </c>
      <c r="X33" s="400" t="s">
        <v>75</v>
      </c>
      <c r="Y33" s="85"/>
    </row>
    <row r="34" customFormat="false" ht="15" hidden="false" customHeight="false" outlineLevel="0" collapsed="false">
      <c r="A34" s="24" t="n">
        <v>12</v>
      </c>
      <c r="B34" s="433"/>
      <c r="C34" s="434"/>
      <c r="D34" s="651"/>
      <c r="E34" s="667" t="s">
        <v>88</v>
      </c>
      <c r="F34" s="668" t="s">
        <v>70</v>
      </c>
      <c r="G34" s="669" t="n">
        <f aca="false">'2021'!G34-'2020'!G34</f>
        <v>-5</v>
      </c>
      <c r="H34" s="670" t="n">
        <f aca="false">IF('2021'!G34=0,0,IF('2020'!G34=0,0,'2021'!G34/'2020'!G34-1))</f>
        <v>-0.151515151515152</v>
      </c>
      <c r="I34" s="671" t="n">
        <f aca="false">'2021'!H34-'2020'!H34</f>
        <v>2</v>
      </c>
      <c r="J34" s="672" t="n">
        <f aca="false">IF(I34=0,0,'2021'!H34/'2020'!H34-1)</f>
        <v>0.133333333333333</v>
      </c>
      <c r="K34" s="673" t="n">
        <f aca="false">'2021'!J34-'2020'!J34</f>
        <v>8.1</v>
      </c>
      <c r="L34" s="672" t="n">
        <f aca="false">'2021'!I34-'2020'!I34</f>
        <v>0.342857142857143</v>
      </c>
      <c r="M34" s="673" t="n">
        <f aca="false">'2021'!L34-'2020'!L34</f>
        <v>6.03</v>
      </c>
      <c r="N34" s="672" t="n">
        <f aca="false">'2021'!K34-'2020'!K34</f>
        <v>0.231428571428571</v>
      </c>
      <c r="O34" s="673" t="n">
        <f aca="false">IF('2020'!N34="-",0,'2021'!N34-'2020'!N34)</f>
        <v>4.03</v>
      </c>
      <c r="P34" s="672" t="n">
        <f aca="false">'2021'!M34-'2020'!M34</f>
        <v>-0.222222222222222</v>
      </c>
      <c r="Q34" s="407"/>
      <c r="R34" s="408"/>
      <c r="S34" s="407"/>
      <c r="T34" s="408"/>
      <c r="U34" s="296" t="s">
        <v>75</v>
      </c>
      <c r="V34" s="291" t="s">
        <v>75</v>
      </c>
      <c r="W34" s="296" t="s">
        <v>75</v>
      </c>
      <c r="X34" s="297" t="s">
        <v>75</v>
      </c>
      <c r="Y34" s="85"/>
    </row>
    <row r="35" customFormat="false" ht="15" hidden="false" customHeight="false" outlineLevel="0" collapsed="false">
      <c r="A35" s="24" t="n">
        <v>13</v>
      </c>
      <c r="B35" s="433"/>
      <c r="C35" s="434"/>
      <c r="D35" s="651"/>
      <c r="E35" s="667" t="s">
        <v>89</v>
      </c>
      <c r="F35" s="668" t="s">
        <v>70</v>
      </c>
      <c r="G35" s="669" t="n">
        <f aca="false">'2021'!G35-'2020'!G35</f>
        <v>-1</v>
      </c>
      <c r="H35" s="670" t="n">
        <f aca="false">IF('2021'!G35=0,0,IF('2020'!G35=0,0,'2021'!G35/'2020'!G35-1))</f>
        <v>-0.166666666666667</v>
      </c>
      <c r="I35" s="671" t="n">
        <f aca="false">'2021'!H35-'2020'!H35</f>
        <v>0</v>
      </c>
      <c r="J35" s="672" t="n">
        <f aca="false">IF(I35=0,0,'2021'!H35/'2020'!H35-1)</f>
        <v>0</v>
      </c>
      <c r="K35" s="673" t="n">
        <f aca="false">'2021'!J35-'2020'!J35</f>
        <v>3</v>
      </c>
      <c r="L35" s="672" t="n">
        <f aca="false">'2021'!I35-'2020'!I35</f>
        <v>0.6</v>
      </c>
      <c r="M35" s="673" t="n">
        <f aca="false">'2021'!L35-'2020'!L35</f>
        <v>1</v>
      </c>
      <c r="N35" s="672" t="n">
        <f aca="false">'2021'!K35-'2020'!K35</f>
        <v>0.2</v>
      </c>
      <c r="O35" s="673" t="n">
        <f aca="false">IF('2020'!N35="-",0,'2021'!N35-'2020'!N35)</f>
        <v>1</v>
      </c>
      <c r="P35" s="672" t="n">
        <f aca="false">'2021'!M35-'2020'!M35</f>
        <v>1</v>
      </c>
      <c r="Q35" s="407"/>
      <c r="R35" s="408"/>
      <c r="S35" s="407"/>
      <c r="T35" s="408"/>
      <c r="U35" s="296" t="s">
        <v>75</v>
      </c>
      <c r="V35" s="291" t="s">
        <v>75</v>
      </c>
      <c r="W35" s="296" t="s">
        <v>75</v>
      </c>
      <c r="X35" s="297" t="s">
        <v>75</v>
      </c>
      <c r="Y35" s="85"/>
    </row>
    <row r="36" customFormat="false" ht="15" hidden="false" customHeight="false" outlineLevel="0" collapsed="false">
      <c r="A36" s="24" t="n">
        <v>14</v>
      </c>
      <c r="B36" s="433"/>
      <c r="C36" s="434"/>
      <c r="D36" s="651"/>
      <c r="E36" s="667" t="s">
        <v>90</v>
      </c>
      <c r="F36" s="668" t="s">
        <v>70</v>
      </c>
      <c r="G36" s="669" t="n">
        <f aca="false">'2021'!G36-'2020'!G36</f>
        <v>20</v>
      </c>
      <c r="H36" s="670" t="n">
        <f aca="false">IF('2021'!G36=0,0,IF('2020'!G36=0,0,'2021'!G36/'2020'!G36-1))</f>
        <v>0.8</v>
      </c>
      <c r="I36" s="671" t="n">
        <f aca="false">'2021'!H36-'2020'!H36</f>
        <v>11</v>
      </c>
      <c r="J36" s="672" t="n">
        <f aca="false">IF(I36=0,0,'2021'!H36/'2020'!H36-1)</f>
        <v>0.733333333333333</v>
      </c>
      <c r="K36" s="673" t="n">
        <f aca="false">'2021'!J36-'2020'!J36</f>
        <v>5</v>
      </c>
      <c r="L36" s="672" t="n">
        <f aca="false">'2021'!I36-'2020'!I36</f>
        <v>-0.0133333333333334</v>
      </c>
      <c r="M36" s="673" t="n">
        <f aca="false">'2021'!L36-'2020'!L36</f>
        <v>8</v>
      </c>
      <c r="N36" s="672" t="n">
        <f aca="false">'2021'!K36-'2020'!K36</f>
        <v>0.106666666666667</v>
      </c>
      <c r="O36" s="673" t="n">
        <f aca="false">IF('2020'!N36="-",0,'2021'!N36-'2020'!N36)</f>
        <v>2</v>
      </c>
      <c r="P36" s="672" t="n">
        <f aca="false">'2021'!M36-'2020'!M36</f>
        <v>0</v>
      </c>
      <c r="Q36" s="407"/>
      <c r="R36" s="408"/>
      <c r="S36" s="407"/>
      <c r="T36" s="408"/>
      <c r="U36" s="296" t="s">
        <v>75</v>
      </c>
      <c r="V36" s="291" t="s">
        <v>75</v>
      </c>
      <c r="W36" s="296" t="s">
        <v>75</v>
      </c>
      <c r="X36" s="297" t="s">
        <v>75</v>
      </c>
      <c r="Y36" s="85"/>
    </row>
    <row r="37" customFormat="false" ht="15" hidden="false" customHeight="false" outlineLevel="0" collapsed="false">
      <c r="A37" s="24" t="n">
        <v>15</v>
      </c>
      <c r="B37" s="433"/>
      <c r="C37" s="434"/>
      <c r="D37" s="651"/>
      <c r="E37" s="667" t="s">
        <v>91</v>
      </c>
      <c r="F37" s="668" t="s">
        <v>70</v>
      </c>
      <c r="G37" s="669" t="n">
        <f aca="false">'2021'!G37-'2020'!G37</f>
        <v>-1</v>
      </c>
      <c r="H37" s="670" t="n">
        <f aca="false">IF('2021'!G37=0,0,IF('2020'!G37=0,0,'2021'!G37/'2020'!G37-1))</f>
        <v>-0.0666666666666667</v>
      </c>
      <c r="I37" s="671" t="n">
        <f aca="false">'2021'!H37-'2020'!H37</f>
        <v>0</v>
      </c>
      <c r="J37" s="672" t="n">
        <f aca="false">IF(I37=0,0,'2021'!H37/'2020'!H37-1)</f>
        <v>0</v>
      </c>
      <c r="K37" s="673" t="n">
        <f aca="false">'2021'!J37-'2020'!J37</f>
        <v>1.05</v>
      </c>
      <c r="L37" s="672" t="n">
        <f aca="false">'2021'!I37-'2020'!I37</f>
        <v>0.0842857142857143</v>
      </c>
      <c r="M37" s="673" t="n">
        <f aca="false">'2021'!L37-'2020'!L37</f>
        <v>0.95</v>
      </c>
      <c r="N37" s="672" t="n">
        <f aca="false">'2021'!K37-'2020'!K37</f>
        <v>0.0728571428571428</v>
      </c>
      <c r="O37" s="673" t="n">
        <f aca="false">IF('2020'!N37="-",0,'2021'!N37-'2020'!N37)</f>
        <v>1</v>
      </c>
      <c r="P37" s="672" t="n">
        <f aca="false">'2021'!M37-'2020'!M37</f>
        <v>0.5</v>
      </c>
      <c r="Q37" s="407"/>
      <c r="R37" s="408"/>
      <c r="S37" s="407"/>
      <c r="T37" s="408"/>
      <c r="U37" s="296" t="s">
        <v>75</v>
      </c>
      <c r="V37" s="291" t="s">
        <v>75</v>
      </c>
      <c r="W37" s="296" t="s">
        <v>75</v>
      </c>
      <c r="X37" s="297" t="s">
        <v>75</v>
      </c>
      <c r="Y37" s="85"/>
    </row>
    <row r="38" customFormat="false" ht="15" hidden="false" customHeight="false" outlineLevel="0" collapsed="false">
      <c r="A38" s="24" t="n">
        <v>16</v>
      </c>
      <c r="B38" s="433"/>
      <c r="C38" s="434"/>
      <c r="D38" s="651"/>
      <c r="E38" s="667" t="s">
        <v>92</v>
      </c>
      <c r="F38" s="668" t="s">
        <v>70</v>
      </c>
      <c r="G38" s="669" t="n">
        <f aca="false">'2021'!G38-'2020'!G38</f>
        <v>15</v>
      </c>
      <c r="H38" s="670" t="n">
        <f aca="false">IF('2021'!G38=0,0,IF('2020'!G38=0,0,'2021'!G38/'2020'!G38-1))</f>
        <v>0.9375</v>
      </c>
      <c r="I38" s="671" t="n">
        <f aca="false">'2021'!H38-'2020'!H38</f>
        <v>9</v>
      </c>
      <c r="J38" s="672" t="n">
        <f aca="false">IF(I38=0,0,'2021'!H38/'2020'!H38-1)</f>
        <v>0.642857142857143</v>
      </c>
      <c r="K38" s="673" t="n">
        <f aca="false">'2021'!J38-'2020'!J38</f>
        <v>10.92</v>
      </c>
      <c r="L38" s="672" t="n">
        <f aca="false">'2021'!I38-'2020'!I38</f>
        <v>0.168387096774194</v>
      </c>
      <c r="M38" s="673" t="n">
        <f aca="false">'2021'!L38-'2020'!L38</f>
        <v>2.92</v>
      </c>
      <c r="N38" s="672" t="n">
        <f aca="false">'2021'!K38-'2020'!K38</f>
        <v>0.0312903225806452</v>
      </c>
      <c r="O38" s="673" t="n">
        <f aca="false">IF('2020'!N38="-",0,'2021'!N38-'2020'!N38)</f>
        <v>2.92</v>
      </c>
      <c r="P38" s="672" t="n">
        <f aca="false">'2021'!M38-'2020'!M38</f>
        <v>0</v>
      </c>
      <c r="Q38" s="407"/>
      <c r="R38" s="408"/>
      <c r="S38" s="407"/>
      <c r="T38" s="408"/>
      <c r="U38" s="296" t="s">
        <v>75</v>
      </c>
      <c r="V38" s="291" t="s">
        <v>75</v>
      </c>
      <c r="W38" s="296" t="s">
        <v>75</v>
      </c>
      <c r="X38" s="297" t="s">
        <v>75</v>
      </c>
      <c r="Y38" s="85"/>
    </row>
    <row r="39" customFormat="false" ht="15" hidden="false" customHeight="false" outlineLevel="0" collapsed="false">
      <c r="A39" s="24" t="n">
        <v>17</v>
      </c>
      <c r="B39" s="433"/>
      <c r="C39" s="434"/>
      <c r="D39" s="651"/>
      <c r="E39" s="667" t="s">
        <v>93</v>
      </c>
      <c r="F39" s="668" t="s">
        <v>70</v>
      </c>
      <c r="G39" s="669" t="n">
        <f aca="false">'2021'!G39-'2020'!G39</f>
        <v>5</v>
      </c>
      <c r="H39" s="670" t="n">
        <f aca="false">IF('2021'!G39=0,0,IF('2020'!G39=0,0,'2021'!G39/'2020'!G39-1))</f>
        <v>0.714285714285714</v>
      </c>
      <c r="I39" s="671" t="n">
        <f aca="false">'2021'!H39-'2020'!H39</f>
        <v>2</v>
      </c>
      <c r="J39" s="672" t="n">
        <f aca="false">IF(I39=0,0,'2021'!H39/'2020'!H39-1)</f>
        <v>0.4</v>
      </c>
      <c r="K39" s="673" t="n">
        <f aca="false">'2021'!J39-'2020'!J39</f>
        <v>3.02</v>
      </c>
      <c r="L39" s="672" t="n">
        <f aca="false">'2021'!I39-'2020'!I39</f>
        <v>0.193333333333333</v>
      </c>
      <c r="M39" s="673" t="n">
        <f aca="false">'2021'!L39-'2020'!L39</f>
        <v>4</v>
      </c>
      <c r="N39" s="672" t="n">
        <f aca="false">'2021'!K39-'2020'!K39</f>
        <v>0.333333333333333</v>
      </c>
      <c r="O39" s="673" t="n">
        <f aca="false">IF('2020'!N39="-",0,'2021'!N39-'2020'!N39)</f>
        <v>2</v>
      </c>
      <c r="P39" s="672" t="n">
        <f aca="false">'2021'!M39-'2020'!M39</f>
        <v>0.5</v>
      </c>
      <c r="Q39" s="407"/>
      <c r="R39" s="408"/>
      <c r="S39" s="407"/>
      <c r="T39" s="408"/>
      <c r="U39" s="296" t="s">
        <v>75</v>
      </c>
      <c r="V39" s="291" t="s">
        <v>75</v>
      </c>
      <c r="W39" s="296" t="s">
        <v>75</v>
      </c>
      <c r="X39" s="297" t="s">
        <v>75</v>
      </c>
      <c r="Y39" s="85"/>
    </row>
    <row r="40" customFormat="false" ht="15" hidden="false" customHeight="false" outlineLevel="0" collapsed="false">
      <c r="B40" s="433"/>
      <c r="C40" s="434"/>
      <c r="D40" s="651"/>
      <c r="E40" s="674"/>
      <c r="F40" s="675"/>
      <c r="G40" s="676"/>
      <c r="H40" s="677"/>
      <c r="I40" s="678"/>
      <c r="J40" s="679"/>
      <c r="K40" s="680"/>
      <c r="L40" s="679"/>
      <c r="M40" s="680"/>
      <c r="N40" s="679"/>
      <c r="O40" s="680"/>
      <c r="P40" s="679"/>
      <c r="Q40" s="412"/>
      <c r="R40" s="413"/>
      <c r="S40" s="412"/>
      <c r="T40" s="413"/>
      <c r="U40" s="414"/>
      <c r="V40" s="415"/>
      <c r="W40" s="414"/>
      <c r="X40" s="416"/>
      <c r="Y40" s="85"/>
    </row>
    <row r="41" customFormat="false" ht="15" hidden="false" customHeight="false" outlineLevel="0" collapsed="false">
      <c r="B41" s="433"/>
      <c r="C41" s="434"/>
      <c r="D41" s="651"/>
      <c r="E41" s="674"/>
      <c r="F41" s="675"/>
      <c r="G41" s="676"/>
      <c r="H41" s="677"/>
      <c r="I41" s="678"/>
      <c r="J41" s="679"/>
      <c r="K41" s="680"/>
      <c r="L41" s="679"/>
      <c r="M41" s="680"/>
      <c r="N41" s="679"/>
      <c r="O41" s="680"/>
      <c r="P41" s="679"/>
      <c r="Q41" s="412"/>
      <c r="R41" s="413"/>
      <c r="S41" s="412"/>
      <c r="T41" s="413"/>
      <c r="U41" s="414"/>
      <c r="V41" s="415"/>
      <c r="W41" s="414"/>
      <c r="X41" s="416"/>
      <c r="Y41" s="85"/>
    </row>
    <row r="42" customFormat="false" ht="15" hidden="false" customHeight="false" outlineLevel="0" collapsed="false">
      <c r="A42" s="24" t="n">
        <v>18</v>
      </c>
      <c r="B42" s="433"/>
      <c r="C42" s="434"/>
      <c r="D42" s="651"/>
      <c r="E42" s="681" t="s">
        <v>94</v>
      </c>
      <c r="F42" s="682" t="s">
        <v>70</v>
      </c>
      <c r="G42" s="683" t="n">
        <f aca="false">'2021'!G42-'2020'!G42</f>
        <v>-3</v>
      </c>
      <c r="H42" s="684" t="n">
        <f aca="false">IF('2021'!G42=0,0,IF('2020'!G42=0,0,'2021'!G42/'2020'!G42-1))</f>
        <v>-0.15</v>
      </c>
      <c r="I42" s="685" t="n">
        <f aca="false">'2021'!H42-'2020'!H42</f>
        <v>0</v>
      </c>
      <c r="J42" s="686" t="n">
        <f aca="false">IF(I42=0,0,'2021'!H42/'2020'!H42-1)</f>
        <v>0</v>
      </c>
      <c r="K42" s="687" t="n">
        <f aca="false">'2021'!J42-'2020'!J42</f>
        <v>2</v>
      </c>
      <c r="L42" s="686" t="n">
        <f aca="false">'2021'!I42-'2020'!I42</f>
        <v>0.161764705882353</v>
      </c>
      <c r="M42" s="687" t="n">
        <f aca="false">'2021'!L42-'2020'!L42</f>
        <v>1</v>
      </c>
      <c r="N42" s="686" t="n">
        <f aca="false">'2021'!K42-'2020'!K42</f>
        <v>0.0852941176470588</v>
      </c>
      <c r="O42" s="687" t="n">
        <f aca="false">IF('2020'!N42="-",0,'2021'!N42-'2020'!N42)</f>
        <v>0.01</v>
      </c>
      <c r="P42" s="686" t="n">
        <f aca="false">'2021'!M42-'2020'!M42</f>
        <v>-0.08</v>
      </c>
      <c r="Q42" s="426"/>
      <c r="R42" s="427"/>
      <c r="S42" s="426"/>
      <c r="T42" s="427"/>
      <c r="U42" s="306" t="s">
        <v>75</v>
      </c>
      <c r="V42" s="301" t="s">
        <v>75</v>
      </c>
      <c r="W42" s="306" t="s">
        <v>75</v>
      </c>
      <c r="X42" s="307" t="s">
        <v>75</v>
      </c>
      <c r="Y42" s="85"/>
    </row>
    <row r="43" customFormat="false" ht="16.5" hidden="false" customHeight="false" outlineLevel="0" collapsed="false">
      <c r="B43" s="433"/>
      <c r="C43" s="434"/>
      <c r="D43" s="689" t="s">
        <v>76</v>
      </c>
      <c r="E43" s="690"/>
      <c r="F43" s="691"/>
      <c r="G43" s="654" t="n">
        <f aca="false">SUM(G33:G42)</f>
        <v>39</v>
      </c>
      <c r="H43" s="655" t="n">
        <f aca="false">G43/SUM('2020'!G33:G42)</f>
        <v>0.245283018867925</v>
      </c>
      <c r="I43" s="656" t="n">
        <f aca="false">SUM(I33:I42)</f>
        <v>33</v>
      </c>
      <c r="J43" s="657" t="n">
        <f aca="false">I43/SUM('2020'!H33:H42)</f>
        <v>0.347368421052632</v>
      </c>
      <c r="K43" s="658" t="n">
        <f aca="false">SUM(K33:K42)</f>
        <v>49.03</v>
      </c>
      <c r="L43" s="657" t="n">
        <f aca="false">K43/SUM('2020'!J33:J42)</f>
        <v>1.09028241049589</v>
      </c>
      <c r="M43" s="658" t="n">
        <f aca="false">SUM(M33:M42)</f>
        <v>26.98</v>
      </c>
      <c r="N43" s="657" t="n">
        <f aca="false">M43/SUM('2020'!L33:L42)</f>
        <v>1.41850683491062</v>
      </c>
      <c r="O43" s="658" t="n">
        <f aca="false">SUM(O33:O42)</f>
        <v>16.04</v>
      </c>
      <c r="P43" s="657" t="n">
        <f aca="false">O43/SUM('2020'!N33:N42)</f>
        <v>1.23765432098765</v>
      </c>
      <c r="Q43" s="692"/>
      <c r="R43" s="693"/>
      <c r="S43" s="692"/>
      <c r="T43" s="693"/>
      <c r="U43" s="534"/>
      <c r="V43" s="535"/>
      <c r="W43" s="534"/>
      <c r="X43" s="536"/>
      <c r="Y43" s="85"/>
    </row>
    <row r="44" s="171" customFormat="true" ht="21" hidden="false" customHeight="true" outlineLevel="0" collapsed="false">
      <c r="A44" s="22"/>
      <c r="B44" s="340" t="s">
        <v>95</v>
      </c>
      <c r="C44" s="341"/>
      <c r="D44" s="694" t="n">
        <f aca="false">SUM(D5:D42)</f>
        <v>11</v>
      </c>
      <c r="E44" s="695" t="n">
        <f aca="false">COUNT(A5:A43)</f>
        <v>28</v>
      </c>
      <c r="F44" s="696" t="n">
        <f aca="false">COUNT(K5:K42)</f>
        <v>30</v>
      </c>
      <c r="G44" s="697" t="n">
        <f aca="false">G5+G32+G43</f>
        <v>149</v>
      </c>
      <c r="H44" s="698" t="n">
        <f aca="false">G44/'2020'!G44</f>
        <v>0.378172588832487</v>
      </c>
      <c r="I44" s="699" t="n">
        <f aca="false">I5+I32+I43</f>
        <v>146</v>
      </c>
      <c r="J44" s="700" t="n">
        <f aca="false">I44/'2020'!H44</f>
        <v>0.621276595744681</v>
      </c>
      <c r="K44" s="701" t="n">
        <f aca="false">K5+K32+K43</f>
        <v>71.03</v>
      </c>
      <c r="L44" s="702" t="n">
        <f aca="false">K44/'2020'!J44</f>
        <v>0.798358997414859</v>
      </c>
      <c r="M44" s="701" t="n">
        <f aca="false">M5+M32+M43</f>
        <v>51.98</v>
      </c>
      <c r="N44" s="702" t="n">
        <f aca="false">M44/'2020'!L44</f>
        <v>0.583913727252303</v>
      </c>
      <c r="O44" s="701" t="n">
        <f aca="false">O5+O32+O43</f>
        <v>16.04</v>
      </c>
      <c r="P44" s="700" t="n">
        <f aca="false">O44/'2020'!N44</f>
        <v>1.07219251336898</v>
      </c>
      <c r="Q44" s="703"/>
      <c r="R44" s="704"/>
      <c r="S44" s="703"/>
      <c r="T44" s="704"/>
      <c r="U44" s="705"/>
      <c r="V44" s="706"/>
      <c r="W44" s="705"/>
      <c r="X44" s="707"/>
      <c r="Y44" s="170"/>
    </row>
    <row r="45" customFormat="false" ht="15" hidden="false" customHeight="true" outlineLevel="0" collapsed="false">
      <c r="A45" s="24" t="n">
        <v>19</v>
      </c>
      <c r="B45" s="172" t="s">
        <v>157</v>
      </c>
      <c r="C45" s="173" t="s">
        <v>97</v>
      </c>
      <c r="D45" s="643" t="n">
        <f aca="false">'2021'!D45-'2020'!D45</f>
        <v>-25</v>
      </c>
      <c r="E45" s="660" t="s">
        <v>98</v>
      </c>
      <c r="F45" s="661" t="s">
        <v>70</v>
      </c>
      <c r="G45" s="662"/>
      <c r="H45" s="663"/>
      <c r="I45" s="664"/>
      <c r="J45" s="665"/>
      <c r="K45" s="666"/>
      <c r="L45" s="665"/>
      <c r="M45" s="666"/>
      <c r="N45" s="665"/>
      <c r="O45" s="666"/>
      <c r="P45" s="665"/>
      <c r="Q45" s="708"/>
      <c r="R45" s="709"/>
      <c r="S45" s="708"/>
      <c r="T45" s="709"/>
      <c r="U45" s="710"/>
      <c r="V45" s="711"/>
      <c r="W45" s="710"/>
      <c r="X45" s="712"/>
      <c r="Y45" s="85"/>
    </row>
    <row r="46" customFormat="false" ht="15" hidden="false" customHeight="true" outlineLevel="0" collapsed="false">
      <c r="A46" s="24" t="n">
        <v>20</v>
      </c>
      <c r="B46" s="172"/>
      <c r="C46" s="173"/>
      <c r="D46" s="643"/>
      <c r="E46" s="667" t="s">
        <v>99</v>
      </c>
      <c r="F46" s="668" t="s">
        <v>70</v>
      </c>
      <c r="G46" s="669"/>
      <c r="H46" s="670"/>
      <c r="I46" s="671"/>
      <c r="J46" s="672"/>
      <c r="K46" s="673"/>
      <c r="L46" s="672"/>
      <c r="M46" s="673"/>
      <c r="N46" s="672"/>
      <c r="O46" s="673"/>
      <c r="P46" s="672"/>
      <c r="Q46" s="407"/>
      <c r="R46" s="408"/>
      <c r="S46" s="407"/>
      <c r="T46" s="408"/>
      <c r="U46" s="713"/>
      <c r="V46" s="439"/>
      <c r="W46" s="713"/>
      <c r="X46" s="714"/>
      <c r="Y46" s="85"/>
    </row>
    <row r="47" customFormat="false" ht="15" hidden="false" customHeight="true" outlineLevel="0" collapsed="false">
      <c r="A47" s="24" t="n">
        <v>21</v>
      </c>
      <c r="B47" s="172"/>
      <c r="C47" s="173"/>
      <c r="D47" s="643"/>
      <c r="E47" s="667" t="s">
        <v>100</v>
      </c>
      <c r="F47" s="668" t="s">
        <v>70</v>
      </c>
      <c r="G47" s="669" t="n">
        <f aca="false">'2021'!G47-'2020'!G47</f>
        <v>6</v>
      </c>
      <c r="H47" s="670" t="n">
        <f aca="false">IF('2021'!G47=0,0,IF('2020'!G47=0,0,'2021'!G47/'2020'!G47-1))</f>
        <v>0.027027027027027</v>
      </c>
      <c r="I47" s="671" t="n">
        <f aca="false">'2021'!H47-'2020'!H47</f>
        <v>59</v>
      </c>
      <c r="J47" s="672" t="n">
        <f aca="false">IF(I47=0,0,'2021'!H47/'2020'!H47-1)</f>
        <v>0.893939393939394</v>
      </c>
      <c r="K47" s="673" t="n">
        <f aca="false">'2021'!J47-'2020'!J47</f>
        <v>-47</v>
      </c>
      <c r="L47" s="672" t="n">
        <f aca="false">IF('2021'!J47=0,0,IF('2020'!J47=0,0,'2021'!J47/'2020'!J47-1))</f>
        <v>-0.343065693430657</v>
      </c>
      <c r="M47" s="673" t="n">
        <f aca="false">'2021'!L47-'2020'!L47</f>
        <v>3</v>
      </c>
      <c r="N47" s="672" t="n">
        <f aca="false">IF('2021'!L47=0,0,IF('2020'!L47=0,0,'2021'!L47/'2020'!L47-1))</f>
        <v>0.0340909090909092</v>
      </c>
      <c r="O47" s="673" t="n">
        <f aca="false">IF('2020'!N47="-",0,'2021'!N47-'2020'!N47)</f>
        <v>0</v>
      </c>
      <c r="P47" s="672" t="n">
        <f aca="false">IF('2021'!N47=0,0,IF('2020'!N47="-",0,'2021'!N47/'2020'!N47-1))</f>
        <v>0</v>
      </c>
      <c r="Q47" s="407"/>
      <c r="R47" s="408"/>
      <c r="S47" s="407"/>
      <c r="T47" s="408"/>
      <c r="U47" s="296" t="s">
        <v>75</v>
      </c>
      <c r="V47" s="291" t="s">
        <v>75</v>
      </c>
      <c r="W47" s="296" t="s">
        <v>75</v>
      </c>
      <c r="X47" s="297" t="s">
        <v>75</v>
      </c>
      <c r="Y47" s="85"/>
    </row>
    <row r="48" customFormat="false" ht="15" hidden="false" customHeight="true" outlineLevel="0" collapsed="false">
      <c r="A48" s="24" t="n">
        <v>22</v>
      </c>
      <c r="B48" s="172"/>
      <c r="C48" s="173"/>
      <c r="D48" s="643"/>
      <c r="E48" s="667" t="s">
        <v>101</v>
      </c>
      <c r="F48" s="668" t="s">
        <v>102</v>
      </c>
      <c r="G48" s="669" t="n">
        <f aca="false">'2021'!G48-'2020'!G48</f>
        <v>35</v>
      </c>
      <c r="H48" s="670" t="n">
        <f aca="false">IF('2021'!G48=0,0,IF('2020'!G48=0,0,'2021'!G48/'2020'!G48-1))</f>
        <v>0.330188679245283</v>
      </c>
      <c r="I48" s="671" t="n">
        <f aca="false">'2021'!H48-'2020'!H48</f>
        <v>45</v>
      </c>
      <c r="J48" s="672" t="n">
        <f aca="false">IF(I48=0,0,'2021'!H48/'2020'!H48-1)</f>
        <v>1.28571428571429</v>
      </c>
      <c r="K48" s="673" t="n">
        <f aca="false">'2021'!J48-'2020'!J48</f>
        <v>26</v>
      </c>
      <c r="L48" s="672" t="n">
        <f aca="false">IF('2021'!J48=0,0,IF('2020'!J48=0,0,'2021'!J48/'2020'!J48-1))</f>
        <v>0.666666666666667</v>
      </c>
      <c r="M48" s="673" t="n">
        <f aca="false">'2021'!L48-'2020'!L48</f>
        <v>14</v>
      </c>
      <c r="N48" s="672" t="n">
        <f aca="false">IF('2021'!L48=0,0,IF('2020'!L48=0,0,'2021'!L48/'2020'!L48-1))</f>
        <v>0.291666666666667</v>
      </c>
      <c r="O48" s="673" t="n">
        <f aca="false">IF('2020'!N48="-",0,'2021'!N48-'2020'!N48)</f>
        <v>0</v>
      </c>
      <c r="P48" s="672" t="n">
        <f aca="false">IF('2021'!N48=0,0,IF('2020'!N48="-",0,'2021'!N48/'2020'!N48-1))</f>
        <v>0</v>
      </c>
      <c r="Q48" s="407"/>
      <c r="R48" s="408"/>
      <c r="S48" s="407"/>
      <c r="T48" s="408"/>
      <c r="U48" s="713"/>
      <c r="V48" s="439"/>
      <c r="W48" s="713"/>
      <c r="X48" s="714"/>
      <c r="Y48" s="85"/>
    </row>
    <row r="49" customFormat="false" ht="15" hidden="false" customHeight="true" outlineLevel="0" collapsed="false">
      <c r="A49" s="24" t="n">
        <v>23</v>
      </c>
      <c r="B49" s="172"/>
      <c r="C49" s="173"/>
      <c r="D49" s="643"/>
      <c r="E49" s="667" t="s">
        <v>103</v>
      </c>
      <c r="F49" s="668" t="s">
        <v>70</v>
      </c>
      <c r="G49" s="669" t="n">
        <f aca="false">'2021'!G49-'2020'!G49</f>
        <v>28</v>
      </c>
      <c r="H49" s="670" t="n">
        <f aca="false">IF('2021'!G49=0,0,IF('2020'!G49=0,0,'2021'!G49/'2020'!G49-1))</f>
        <v>0.135922330097087</v>
      </c>
      <c r="I49" s="671" t="n">
        <f aca="false">'2021'!H49-'2020'!H49</f>
        <v>57</v>
      </c>
      <c r="J49" s="672" t="n">
        <f aca="false">IF(I49=0,0,'2021'!H49/'2020'!H49-1)</f>
        <v>0.814285714285714</v>
      </c>
      <c r="K49" s="673" t="n">
        <f aca="false">'2021'!J49-'2020'!J49</f>
        <v>12</v>
      </c>
      <c r="L49" s="672" t="n">
        <f aca="false">IF('2021'!J49=0,0,IF('2020'!J49=0,0,'2021'!J49/'2020'!J49-1))</f>
        <v>0.137931034482759</v>
      </c>
      <c r="M49" s="673" t="n">
        <f aca="false">'2021'!L49-'2020'!L49</f>
        <v>29</v>
      </c>
      <c r="N49" s="672" t="n">
        <f aca="false">IF('2021'!L49=0,0,IF('2020'!L49=0,0,'2021'!L49/'2020'!L49-1))</f>
        <v>0.349397590361446</v>
      </c>
      <c r="O49" s="673" t="n">
        <f aca="false">IF('2020'!N49="-",0,'2021'!N49-'2020'!N49)</f>
        <v>0</v>
      </c>
      <c r="P49" s="672" t="n">
        <f aca="false">IF('2021'!N49=0,0,IF('2020'!N49="-",0,'2021'!N49/'2020'!N49-1))</f>
        <v>0</v>
      </c>
      <c r="Q49" s="407"/>
      <c r="R49" s="408"/>
      <c r="S49" s="407"/>
      <c r="T49" s="408"/>
      <c r="U49" s="296" t="s">
        <v>75</v>
      </c>
      <c r="V49" s="291" t="s">
        <v>75</v>
      </c>
      <c r="W49" s="296" t="s">
        <v>75</v>
      </c>
      <c r="X49" s="297" t="s">
        <v>75</v>
      </c>
      <c r="Y49" s="85"/>
    </row>
    <row r="50" customFormat="false" ht="15" hidden="false" customHeight="true" outlineLevel="0" collapsed="false">
      <c r="B50" s="172"/>
      <c r="C50" s="173"/>
      <c r="D50" s="643"/>
      <c r="E50" s="674"/>
      <c r="F50" s="675"/>
      <c r="G50" s="676"/>
      <c r="H50" s="677"/>
      <c r="I50" s="678"/>
      <c r="J50" s="679"/>
      <c r="K50" s="680"/>
      <c r="L50" s="679"/>
      <c r="M50" s="680"/>
      <c r="N50" s="679"/>
      <c r="O50" s="680"/>
      <c r="P50" s="679"/>
      <c r="Q50" s="412"/>
      <c r="R50" s="413"/>
      <c r="S50" s="412"/>
      <c r="T50" s="413"/>
      <c r="U50" s="414"/>
      <c r="V50" s="415"/>
      <c r="W50" s="414"/>
      <c r="X50" s="416"/>
      <c r="Y50" s="85"/>
    </row>
    <row r="51" customFormat="false" ht="15" hidden="false" customHeight="true" outlineLevel="0" collapsed="false">
      <c r="B51" s="172"/>
      <c r="C51" s="173"/>
      <c r="D51" s="643"/>
      <c r="E51" s="674"/>
      <c r="F51" s="675"/>
      <c r="G51" s="676"/>
      <c r="H51" s="677"/>
      <c r="I51" s="678"/>
      <c r="J51" s="679"/>
      <c r="K51" s="680"/>
      <c r="L51" s="679"/>
      <c r="M51" s="680"/>
      <c r="N51" s="679"/>
      <c r="O51" s="680"/>
      <c r="P51" s="679"/>
      <c r="Q51" s="412"/>
      <c r="R51" s="413"/>
      <c r="S51" s="412"/>
      <c r="T51" s="413"/>
      <c r="U51" s="414"/>
      <c r="V51" s="415"/>
      <c r="W51" s="414"/>
      <c r="X51" s="416"/>
      <c r="Y51" s="85"/>
    </row>
    <row r="52" customFormat="false" ht="15" hidden="false" customHeight="true" outlineLevel="0" collapsed="false">
      <c r="A52" s="24" t="n">
        <v>24</v>
      </c>
      <c r="B52" s="172"/>
      <c r="C52" s="173"/>
      <c r="D52" s="643"/>
      <c r="E52" s="681" t="s">
        <v>104</v>
      </c>
      <c r="F52" s="682" t="s">
        <v>102</v>
      </c>
      <c r="G52" s="683" t="n">
        <f aca="false">'2021'!G52-'2020'!G52</f>
        <v>-16</v>
      </c>
      <c r="H52" s="684" t="n">
        <f aca="false">IF('2021'!G52=0,0,IF('2020'!G52=0,0,'2021'!G52/'2020'!G52-1))</f>
        <v>-0.0924855491329479</v>
      </c>
      <c r="I52" s="685" t="n">
        <f aca="false">'2021'!H52-'2020'!H52</f>
        <v>20</v>
      </c>
      <c r="J52" s="686" t="n">
        <f aca="false">IF(I52=0,0,'2021'!H52/'2020'!H52-1)</f>
        <v>0.32258064516129</v>
      </c>
      <c r="K52" s="687" t="n">
        <f aca="false">'2021'!J52-'2020'!J52</f>
        <v>-3</v>
      </c>
      <c r="L52" s="686" t="n">
        <f aca="false">IF('2021'!J52=0,0,IF('2020'!J52=0,0,'2021'!J52/'2020'!J52-1))</f>
        <v>-0.0769230769230769</v>
      </c>
      <c r="M52" s="687" t="n">
        <f aca="false">'2021'!L52-'2020'!L52</f>
        <v>-26</v>
      </c>
      <c r="N52" s="686" t="n">
        <f aca="false">IF('2021'!L52=0,0,IF('2020'!L52=0,0,'2021'!L52/'2020'!L52-1))</f>
        <v>-0.346666666666667</v>
      </c>
      <c r="O52" s="687" t="n">
        <f aca="false">IF('2020'!N52="-",0,'2021'!N52-'2020'!N52)</f>
        <v>0</v>
      </c>
      <c r="P52" s="686" t="n">
        <f aca="false">IF('2021'!N52=0,0,IF('2020'!N52="-",0,'2021'!N52/'2020'!N52-1))</f>
        <v>0</v>
      </c>
      <c r="Q52" s="426"/>
      <c r="R52" s="427"/>
      <c r="S52" s="426"/>
      <c r="T52" s="427"/>
      <c r="U52" s="715"/>
      <c r="V52" s="423"/>
      <c r="W52" s="715"/>
      <c r="X52" s="716"/>
      <c r="Y52" s="85"/>
    </row>
    <row r="53" customFormat="false" ht="15.75" hidden="false" customHeight="false" outlineLevel="0" collapsed="false">
      <c r="B53" s="172"/>
      <c r="C53" s="173"/>
      <c r="D53" s="651" t="s">
        <v>76</v>
      </c>
      <c r="E53" s="652"/>
      <c r="F53" s="653"/>
      <c r="G53" s="654" t="n">
        <f aca="false">SUM(G45:G52)</f>
        <v>53</v>
      </c>
      <c r="H53" s="655" t="n">
        <f aca="false">G53/SUM('2020'!G47:G52)</f>
        <v>0.074964639321075</v>
      </c>
      <c r="I53" s="656" t="n">
        <f aca="false">SUM(I45:I52)</f>
        <v>181</v>
      </c>
      <c r="J53" s="657" t="n">
        <f aca="false">I53/SUM('2020'!H47:H52)</f>
        <v>0.776824034334764</v>
      </c>
      <c r="K53" s="658" t="n">
        <f aca="false">SUM(K45:K52)</f>
        <v>-12</v>
      </c>
      <c r="L53" s="657" t="n">
        <f aca="false">K53/SUM('2020'!J47:J52)</f>
        <v>-0.0397350993377483</v>
      </c>
      <c r="M53" s="658" t="n">
        <f aca="false">SUM(M45:M52)</f>
        <v>20</v>
      </c>
      <c r="N53" s="657" t="n">
        <f aca="false">M53/SUM('2020'!L47:L52)</f>
        <v>0.0680272108843537</v>
      </c>
      <c r="O53" s="658" t="n">
        <f aca="false">SUM(O45:O52)</f>
        <v>0</v>
      </c>
      <c r="P53" s="657" t="e">
        <f aca="false">O53/SUM('2020'!N47:N52)</f>
        <v>#DIV/0!</v>
      </c>
      <c r="Q53" s="385"/>
      <c r="R53" s="386"/>
      <c r="S53" s="385"/>
      <c r="T53" s="386"/>
      <c r="U53" s="717"/>
      <c r="V53" s="382"/>
      <c r="W53" s="717"/>
      <c r="X53" s="718"/>
      <c r="Y53" s="85"/>
    </row>
    <row r="54" customFormat="false" ht="15" hidden="false" customHeight="false" outlineLevel="0" collapsed="false">
      <c r="A54" s="24" t="n">
        <v>25</v>
      </c>
      <c r="B54" s="224" t="s">
        <v>105</v>
      </c>
      <c r="C54" s="225" t="s">
        <v>97</v>
      </c>
      <c r="D54" s="651" t="n">
        <f aca="false">'2021'!D46-'2020'!D54</f>
        <v>-12</v>
      </c>
      <c r="E54" s="660" t="s">
        <v>74</v>
      </c>
      <c r="F54" s="661" t="s">
        <v>102</v>
      </c>
      <c r="G54" s="662" t="n">
        <f aca="false">'2021'!G46-'2020'!G54</f>
        <v>0</v>
      </c>
      <c r="H54" s="663" t="n">
        <f aca="false">IF('2021'!G46=0,0,IF('2020'!G54=0,0,'2021'!G46/'2020'!G54-1))</f>
        <v>0</v>
      </c>
      <c r="I54" s="664" t="n">
        <f aca="false">'2021'!H46-'2020'!H54</f>
        <v>0</v>
      </c>
      <c r="J54" s="665" t="n">
        <f aca="false">IF(I54=0,0,'2021'!H46/'2020'!H54-1)</f>
        <v>0</v>
      </c>
      <c r="K54" s="666" t="n">
        <f aca="false">'2021'!J46-'2020'!J54</f>
        <v>0</v>
      </c>
      <c r="L54" s="665" t="n">
        <f aca="false">IF('2021'!J46=0,0,IF('2020'!J54=0,0,'2021'!J46/'2020'!J54-1))</f>
        <v>0</v>
      </c>
      <c r="M54" s="666" t="n">
        <f aca="false">'2021'!L46-'2020'!L54</f>
        <v>0</v>
      </c>
      <c r="N54" s="665" t="n">
        <f aca="false">IF('2021'!L46=0,0,IF('2020'!L54=0,0,'2021'!L46/'2020'!L54-1))</f>
        <v>0</v>
      </c>
      <c r="O54" s="666" t="e">
        <f aca="false">IF('2020'!N54="-",0,'2021'!N46-'2020'!N54)</f>
        <v>#VALUE!</v>
      </c>
      <c r="P54" s="665" t="e">
        <f aca="false">IF('2021'!N46=0,0,IF('2020'!N54="-",0,'2021'!N46/'2020'!N54-1))</f>
        <v>#VALUE!</v>
      </c>
      <c r="Q54" s="396"/>
      <c r="R54" s="397"/>
      <c r="S54" s="396"/>
      <c r="T54" s="397"/>
      <c r="U54" s="719" t="n">
        <f aca="false">'2021'!S46-'2020'!S54</f>
        <v>0</v>
      </c>
      <c r="V54" s="720" t="n">
        <f aca="false">IF('2021'!S46=0,0,IF('2020'!S54=0,0,'2021'!S46/'2020'!S54-1))</f>
        <v>0</v>
      </c>
      <c r="W54" s="719" t="n">
        <f aca="false">'2021'!U46-'2020'!U54</f>
        <v>0</v>
      </c>
      <c r="X54" s="721" t="n">
        <f aca="false">IF('2021'!U46=0,0,IF('2020'!U54=0,0,'2021'!U46/'2020'!U54-1))</f>
        <v>0</v>
      </c>
      <c r="Y54" s="85"/>
    </row>
    <row r="55" customFormat="false" ht="15" hidden="false" customHeight="false" outlineLevel="0" collapsed="false">
      <c r="A55" s="24" t="n">
        <v>26</v>
      </c>
      <c r="B55" s="224"/>
      <c r="C55" s="225"/>
      <c r="D55" s="651"/>
      <c r="E55" s="667" t="s">
        <v>74</v>
      </c>
      <c r="F55" s="668" t="s">
        <v>102</v>
      </c>
      <c r="G55" s="669" t="n">
        <f aca="false">'2021'!G47-'2020'!G55</f>
        <v>228</v>
      </c>
      <c r="H55" s="670" t="n">
        <f aca="false">IF('2021'!G47=0,0,IF('2020'!G55=0,0,'2021'!G47/'2020'!G55-1))</f>
        <v>0</v>
      </c>
      <c r="I55" s="671" t="n">
        <f aca="false">'2021'!H47-'2020'!H55</f>
        <v>125</v>
      </c>
      <c r="J55" s="672" t="e">
        <f aca="false">IF(I55=0,0,'2021'!H47/'2020'!H55-1)</f>
        <v>#DIV/0!</v>
      </c>
      <c r="K55" s="673" t="n">
        <f aca="false">'2021'!J47-'2020'!J55</f>
        <v>90</v>
      </c>
      <c r="L55" s="672" t="n">
        <f aca="false">IF('2021'!J47=0,0,IF('2020'!J55=0,0,'2021'!J47/'2020'!J55-1))</f>
        <v>0</v>
      </c>
      <c r="M55" s="673" t="n">
        <f aca="false">'2021'!L47-'2020'!L55</f>
        <v>91</v>
      </c>
      <c r="N55" s="672" t="n">
        <f aca="false">IF('2021'!L47=0,0,IF('2020'!L55=0,0,'2021'!L47/'2020'!L55-1))</f>
        <v>0</v>
      </c>
      <c r="O55" s="673" t="e">
        <f aca="false">IF('2020'!N55="-",0,'2021'!N47-'2020'!N55)</f>
        <v>#VALUE!</v>
      </c>
      <c r="P55" s="672" t="e">
        <f aca="false">IF('2021'!N47=0,0,IF('2020'!N55="-",0,'2021'!N47/'2020'!N55-1))</f>
        <v>#VALUE!</v>
      </c>
      <c r="Q55" s="407"/>
      <c r="R55" s="408"/>
      <c r="S55" s="407"/>
      <c r="T55" s="408"/>
      <c r="U55" s="713" t="e">
        <f aca="false">'2021'!S47-'2020'!S55</f>
        <v>#VALUE!</v>
      </c>
      <c r="V55" s="722" t="n">
        <f aca="false">IF('2021'!S47=0,0,IF('2020'!S55=0,0,'2021'!S47/'2020'!S55-1))</f>
        <v>0</v>
      </c>
      <c r="W55" s="713" t="e">
        <f aca="false">'2021'!U47-'2020'!U55</f>
        <v>#VALUE!</v>
      </c>
      <c r="X55" s="723" t="n">
        <f aca="false">IF('2021'!U47=0,0,IF('2020'!U55=0,0,'2021'!U47/'2020'!U55-1))</f>
        <v>0</v>
      </c>
      <c r="Y55" s="85"/>
    </row>
    <row r="56" customFormat="false" ht="15" hidden="false" customHeight="false" outlineLevel="0" collapsed="false">
      <c r="A56" s="24" t="n">
        <v>27</v>
      </c>
      <c r="B56" s="224"/>
      <c r="C56" s="225"/>
      <c r="D56" s="651"/>
      <c r="E56" s="667" t="s">
        <v>74</v>
      </c>
      <c r="F56" s="668" t="s">
        <v>102</v>
      </c>
      <c r="G56" s="669" t="n">
        <f aca="false">'2021'!G48-'2020'!G56</f>
        <v>141</v>
      </c>
      <c r="H56" s="670" t="n">
        <f aca="false">IF('2021'!G48=0,0,IF('2020'!G56=0,0,'2021'!G48/'2020'!G56-1))</f>
        <v>0</v>
      </c>
      <c r="I56" s="671" t="n">
        <f aca="false">'2021'!H48-'2020'!H56</f>
        <v>80</v>
      </c>
      <c r="J56" s="672" t="e">
        <f aca="false">IF(I56=0,0,'2021'!H48/'2020'!H56-1)</f>
        <v>#DIV/0!</v>
      </c>
      <c r="K56" s="673" t="n">
        <f aca="false">'2021'!J48-'2020'!J56</f>
        <v>65</v>
      </c>
      <c r="L56" s="672" t="n">
        <f aca="false">IF('2021'!J48=0,0,IF('2020'!J56=0,0,'2021'!J48/'2020'!J56-1))</f>
        <v>0</v>
      </c>
      <c r="M56" s="673" t="n">
        <f aca="false">'2021'!L48-'2020'!L56</f>
        <v>62</v>
      </c>
      <c r="N56" s="672" t="n">
        <f aca="false">IF('2021'!L48=0,0,IF('2020'!L56=0,0,'2021'!L48/'2020'!L56-1))</f>
        <v>0</v>
      </c>
      <c r="O56" s="673" t="e">
        <f aca="false">IF('2020'!N56="-",0,'2021'!N48-'2020'!N56)</f>
        <v>#VALUE!</v>
      </c>
      <c r="P56" s="672" t="e">
        <f aca="false">IF('2021'!N48=0,0,IF('2020'!N56="-",0,'2021'!N48/'2020'!N56-1))</f>
        <v>#VALUE!</v>
      </c>
      <c r="Q56" s="407"/>
      <c r="R56" s="408"/>
      <c r="S56" s="407"/>
      <c r="T56" s="408"/>
      <c r="U56" s="713" t="n">
        <f aca="false">'2021'!S48-'2020'!S56</f>
        <v>0</v>
      </c>
      <c r="V56" s="722" t="n">
        <f aca="false">IF('2021'!S48=0,0,IF('2020'!S56=0,0,'2021'!S48/'2020'!S56-1))</f>
        <v>0</v>
      </c>
      <c r="W56" s="713" t="n">
        <f aca="false">'2021'!U48-'2020'!U56</f>
        <v>0</v>
      </c>
      <c r="X56" s="723" t="n">
        <f aca="false">IF('2021'!U48=0,0,IF('2020'!U56=0,0,'2021'!U48/'2020'!U56-1))</f>
        <v>0</v>
      </c>
      <c r="Y56" s="85"/>
    </row>
    <row r="57" customFormat="false" ht="15" hidden="false" customHeight="false" outlineLevel="0" collapsed="false">
      <c r="A57" s="24" t="n">
        <v>28</v>
      </c>
      <c r="B57" s="224"/>
      <c r="C57" s="225"/>
      <c r="D57" s="651"/>
      <c r="E57" s="667" t="s">
        <v>74</v>
      </c>
      <c r="F57" s="668" t="s">
        <v>102</v>
      </c>
      <c r="G57" s="669" t="n">
        <f aca="false">'2021'!G49-'2020'!G57</f>
        <v>234</v>
      </c>
      <c r="H57" s="670" t="n">
        <f aca="false">IF('2021'!G49=0,0,IF('2020'!G57=0,0,'2021'!G49/'2020'!G57-1))</f>
        <v>0</v>
      </c>
      <c r="I57" s="671" t="n">
        <f aca="false">'2021'!H49-'2020'!H57</f>
        <v>127</v>
      </c>
      <c r="J57" s="672" t="e">
        <f aca="false">IF(I57=0,0,'2021'!H49/'2020'!H57-1)</f>
        <v>#DIV/0!</v>
      </c>
      <c r="K57" s="673" t="n">
        <f aca="false">'2021'!J49-'2020'!J57</f>
        <v>99</v>
      </c>
      <c r="L57" s="672" t="n">
        <f aca="false">IF('2021'!J49=0,0,IF('2020'!J57=0,0,'2021'!J49/'2020'!J57-1))</f>
        <v>0</v>
      </c>
      <c r="M57" s="673" t="n">
        <f aca="false">'2021'!L49-'2020'!L57</f>
        <v>112</v>
      </c>
      <c r="N57" s="672" t="n">
        <f aca="false">IF('2021'!L49=0,0,IF('2020'!L57=0,0,'2021'!L49/'2020'!L57-1))</f>
        <v>0</v>
      </c>
      <c r="O57" s="673" t="e">
        <f aca="false">IF('2020'!N57="-",0,'2021'!N49-'2020'!N57)</f>
        <v>#VALUE!</v>
      </c>
      <c r="P57" s="672" t="e">
        <f aca="false">IF('2021'!N49=0,0,IF('2020'!N57="-",0,'2021'!N49/'2020'!N57-1))</f>
        <v>#VALUE!</v>
      </c>
      <c r="Q57" s="407"/>
      <c r="R57" s="408"/>
      <c r="S57" s="407"/>
      <c r="T57" s="408"/>
      <c r="U57" s="713" t="e">
        <f aca="false">'2021'!S49-'2020'!S57</f>
        <v>#VALUE!</v>
      </c>
      <c r="V57" s="722" t="n">
        <f aca="false">IF('2021'!S49=0,0,IF('2020'!S57=0,0,'2021'!S49/'2020'!S57-1))</f>
        <v>0</v>
      </c>
      <c r="W57" s="713" t="e">
        <f aca="false">'2021'!U49-'2020'!U57</f>
        <v>#VALUE!</v>
      </c>
      <c r="X57" s="723" t="n">
        <f aca="false">IF('2021'!U49=0,0,IF('2020'!U57=0,0,'2021'!U49/'2020'!U57-1))</f>
        <v>0</v>
      </c>
      <c r="Y57" s="85"/>
    </row>
    <row r="58" customFormat="false" ht="15" hidden="false" customHeight="false" outlineLevel="0" collapsed="false">
      <c r="B58" s="224"/>
      <c r="C58" s="225"/>
      <c r="D58" s="651"/>
      <c r="E58" s="674" t="s">
        <v>74</v>
      </c>
      <c r="F58" s="675"/>
      <c r="G58" s="669" t="n">
        <f aca="false">'2021'!G50-'2020'!G58</f>
        <v>0</v>
      </c>
      <c r="H58" s="670" t="n">
        <f aca="false">IF('2021'!G50=0,0,IF('2020'!G58=0,0,'2021'!G50/'2020'!G58-1))</f>
        <v>0</v>
      </c>
      <c r="I58" s="671" t="n">
        <f aca="false">'2021'!H50-'2020'!H58</f>
        <v>0</v>
      </c>
      <c r="J58" s="672" t="n">
        <f aca="false">IF(I58=0,0,'2021'!H50/'2020'!H58-1)</f>
        <v>0</v>
      </c>
      <c r="K58" s="673" t="n">
        <f aca="false">'2021'!J50-'2020'!J58</f>
        <v>0</v>
      </c>
      <c r="L58" s="672" t="n">
        <f aca="false">IF('2021'!J50=0,0,IF('2020'!J58=0,0,'2021'!J50/'2020'!J58-1))</f>
        <v>0</v>
      </c>
      <c r="M58" s="673" t="n">
        <f aca="false">'2021'!L50-'2020'!L58</f>
        <v>0</v>
      </c>
      <c r="N58" s="672" t="n">
        <f aca="false">IF('2021'!L50=0,0,IF('2020'!L58=0,0,'2021'!L50/'2020'!L58-1))</f>
        <v>0</v>
      </c>
      <c r="O58" s="673" t="n">
        <f aca="false">IF('2020'!N58="-",0,'2021'!N50-'2020'!N58)</f>
        <v>0</v>
      </c>
      <c r="P58" s="672" t="n">
        <f aca="false">IF('2021'!N50=0,0,IF('2020'!N58="-",0,'2021'!N50/'2020'!N58-1))</f>
        <v>0</v>
      </c>
      <c r="Q58" s="407"/>
      <c r="R58" s="408"/>
      <c r="S58" s="407"/>
      <c r="T58" s="408"/>
      <c r="U58" s="713" t="n">
        <f aca="false">'2021'!S50-'2020'!S58</f>
        <v>0</v>
      </c>
      <c r="V58" s="722" t="n">
        <f aca="false">IF('2021'!S50=0,0,IF('2020'!S58=0,0,'2021'!S50/'2020'!S58-1))</f>
        <v>0</v>
      </c>
      <c r="W58" s="713" t="n">
        <f aca="false">'2021'!U50-'2020'!U58</f>
        <v>0</v>
      </c>
      <c r="X58" s="723" t="n">
        <f aca="false">IF('2021'!U50=0,0,IF('2020'!U58=0,0,'2021'!U50/'2020'!U58-1))</f>
        <v>0</v>
      </c>
      <c r="Y58" s="194"/>
    </row>
    <row r="59" customFormat="false" ht="15" hidden="false" customHeight="false" outlineLevel="0" collapsed="false">
      <c r="B59" s="224"/>
      <c r="C59" s="225"/>
      <c r="D59" s="651"/>
      <c r="E59" s="674" t="s">
        <v>74</v>
      </c>
      <c r="F59" s="675"/>
      <c r="G59" s="669" t="n">
        <f aca="false">'2021'!G51-'2020'!G59</f>
        <v>0</v>
      </c>
      <c r="H59" s="670" t="n">
        <f aca="false">IF('2021'!G51=0,0,IF('2020'!G59=0,0,'2021'!G51/'2020'!G59-1))</f>
        <v>0</v>
      </c>
      <c r="I59" s="671" t="n">
        <f aca="false">'2021'!H51-'2020'!H59</f>
        <v>0</v>
      </c>
      <c r="J59" s="672" t="n">
        <f aca="false">IF(I59=0,0,'2021'!H51/'2020'!H59-1)</f>
        <v>0</v>
      </c>
      <c r="K59" s="673" t="n">
        <f aca="false">'2021'!J51-'2020'!J59</f>
        <v>0</v>
      </c>
      <c r="L59" s="672" t="n">
        <f aca="false">IF('2021'!J51=0,0,IF('2020'!J59=0,0,'2021'!J51/'2020'!J59-1))</f>
        <v>0</v>
      </c>
      <c r="M59" s="673" t="n">
        <f aca="false">'2021'!L51-'2020'!L59</f>
        <v>0</v>
      </c>
      <c r="N59" s="672" t="n">
        <f aca="false">IF('2021'!L51=0,0,IF('2020'!L59=0,0,'2021'!L51/'2020'!L59-1))</f>
        <v>0</v>
      </c>
      <c r="O59" s="673" t="n">
        <f aca="false">IF('2020'!N59="-",0,'2021'!N51-'2020'!N59)</f>
        <v>0</v>
      </c>
      <c r="P59" s="672" t="n">
        <f aca="false">IF('2021'!N51=0,0,IF('2020'!N59="-",0,'2021'!N51/'2020'!N59-1))</f>
        <v>0</v>
      </c>
      <c r="Q59" s="407"/>
      <c r="R59" s="408"/>
      <c r="S59" s="407"/>
      <c r="T59" s="408"/>
      <c r="U59" s="713" t="n">
        <f aca="false">'2021'!S51-'2020'!S59</f>
        <v>0</v>
      </c>
      <c r="V59" s="722" t="n">
        <f aca="false">IF('2021'!S51=0,0,IF('2020'!S59=0,0,'2021'!S51/'2020'!S59-1))</f>
        <v>0</v>
      </c>
      <c r="W59" s="713" t="n">
        <f aca="false">'2021'!U51-'2020'!U59</f>
        <v>0</v>
      </c>
      <c r="X59" s="723" t="n">
        <f aca="false">IF('2021'!U51=0,0,IF('2020'!U59=0,0,'2021'!U51/'2020'!U59-1))</f>
        <v>0</v>
      </c>
      <c r="Y59" s="194"/>
    </row>
    <row r="60" customFormat="false" ht="15" hidden="false" customHeight="false" outlineLevel="0" collapsed="false">
      <c r="A60" s="24" t="n">
        <v>29</v>
      </c>
      <c r="B60" s="224"/>
      <c r="C60" s="225"/>
      <c r="D60" s="651"/>
      <c r="E60" s="681" t="s">
        <v>74</v>
      </c>
      <c r="F60" s="682" t="s">
        <v>102</v>
      </c>
      <c r="G60" s="683" t="n">
        <f aca="false">'2021'!G52-'2020'!G60</f>
        <v>157</v>
      </c>
      <c r="H60" s="684" t="n">
        <f aca="false">IF('2021'!G52=0,0,IF('2020'!G60=0,0,'2021'!G52/'2020'!G60-1))</f>
        <v>0</v>
      </c>
      <c r="I60" s="685" t="n">
        <f aca="false">'2021'!H52-'2020'!H60</f>
        <v>82</v>
      </c>
      <c r="J60" s="686" t="e">
        <f aca="false">IF(I60=0,0,'2021'!H52/'2020'!H60-1)</f>
        <v>#DIV/0!</v>
      </c>
      <c r="K60" s="687" t="n">
        <f aca="false">'2021'!J52-'2020'!J60</f>
        <v>36</v>
      </c>
      <c r="L60" s="686" t="n">
        <f aca="false">IF('2021'!J52=0,0,IF('2020'!J60=0,0,'2021'!J52/'2020'!J60-1))</f>
        <v>0</v>
      </c>
      <c r="M60" s="687" t="n">
        <f aca="false">'2021'!L52-'2020'!L60</f>
        <v>49</v>
      </c>
      <c r="N60" s="686" t="n">
        <f aca="false">IF('2021'!L52=0,0,IF('2020'!L60=0,0,'2021'!L52/'2020'!L60-1))</f>
        <v>0</v>
      </c>
      <c r="O60" s="687" t="e">
        <f aca="false">IF('2020'!N60="-",0,'2021'!N52-'2020'!N60)</f>
        <v>#VALUE!</v>
      </c>
      <c r="P60" s="686" t="e">
        <f aca="false">IF('2021'!N52=0,0,IF('2020'!N60="-",0,'2021'!N52/'2020'!N60-1))</f>
        <v>#VALUE!</v>
      </c>
      <c r="Q60" s="426"/>
      <c r="R60" s="427"/>
      <c r="S60" s="426"/>
      <c r="T60" s="427"/>
      <c r="U60" s="715" t="n">
        <f aca="false">'2021'!S52-'2020'!S60</f>
        <v>0</v>
      </c>
      <c r="V60" s="724" t="n">
        <f aca="false">IF('2021'!S52=0,0,IF('2020'!S60=0,0,'2021'!S52/'2020'!S60-1))</f>
        <v>0</v>
      </c>
      <c r="W60" s="715" t="n">
        <f aca="false">'2021'!U52-'2020'!U60</f>
        <v>0</v>
      </c>
      <c r="X60" s="725" t="n">
        <f aca="false">IF('2021'!U52=0,0,IF('2020'!U60=0,0,'2021'!U52/'2020'!U60-1))</f>
        <v>0</v>
      </c>
      <c r="Y60" s="194" t="s">
        <v>158</v>
      </c>
    </row>
    <row r="61" customFormat="false" ht="15.75" hidden="false" customHeight="false" outlineLevel="0" collapsed="false">
      <c r="B61" s="224"/>
      <c r="C61" s="225"/>
      <c r="D61" s="651" t="s">
        <v>76</v>
      </c>
      <c r="E61" s="652"/>
      <c r="F61" s="653"/>
      <c r="G61" s="654" t="n">
        <f aca="false">SUM(G54:G60)</f>
        <v>760</v>
      </c>
      <c r="H61" s="655" t="e">
        <f aca="false">G61/SUM('2020'!G54:G60)</f>
        <v>#DIV/0!</v>
      </c>
      <c r="I61" s="656" t="n">
        <f aca="false">SUM(I54:I60)</f>
        <v>414</v>
      </c>
      <c r="J61" s="657" t="e">
        <f aca="false">I61/SUM('2020'!H54:H60)</f>
        <v>#DIV/0!</v>
      </c>
      <c r="K61" s="658" t="n">
        <f aca="false">SUM(K54:K60)</f>
        <v>290</v>
      </c>
      <c r="L61" s="657" t="e">
        <f aca="false">K61/SUM('2020'!J54:J60)</f>
        <v>#DIV/0!</v>
      </c>
      <c r="M61" s="658" t="n">
        <f aca="false">SUM(M54:M60)</f>
        <v>314</v>
      </c>
      <c r="N61" s="657" t="e">
        <f aca="false">M61/SUM('2020'!L54:L60)</f>
        <v>#DIV/0!</v>
      </c>
      <c r="O61" s="658" t="e">
        <f aca="false">SUM(O54:O60)</f>
        <v>#VALUE!</v>
      </c>
      <c r="P61" s="657" t="e">
        <f aca="false">O61/SUM('2020'!N54:N60)</f>
        <v>#VALUE!</v>
      </c>
      <c r="Q61" s="385"/>
      <c r="R61" s="386"/>
      <c r="S61" s="385"/>
      <c r="T61" s="386"/>
      <c r="U61" s="717" t="e">
        <f aca="false">SUM(U54:U60)</f>
        <v>#VALUE!</v>
      </c>
      <c r="V61" s="726" t="n">
        <f aca="false">IF('2021'!S53=0,0,IF('2020'!S61=0,0,'2021'!S53/'2020'!S61-1))</f>
        <v>0</v>
      </c>
      <c r="W61" s="717" t="e">
        <f aca="false">SUM(W54:W60)</f>
        <v>#VALUE!</v>
      </c>
      <c r="X61" s="727" t="n">
        <f aca="false">IF('2021'!U53=0,0,IF('2020'!U61=0,0,'2021'!U53/'2020'!U61-1))</f>
        <v>0</v>
      </c>
      <c r="Y61" s="85"/>
    </row>
    <row r="62" customFormat="false" ht="15" hidden="false" customHeight="false" outlineLevel="0" collapsed="false">
      <c r="A62" s="24" t="n">
        <v>25</v>
      </c>
      <c r="B62" s="224" t="s">
        <v>106</v>
      </c>
      <c r="C62" s="225" t="s">
        <v>97</v>
      </c>
      <c r="D62" s="651" t="n">
        <f aca="false">'2021'!D62-'2020'!D62</f>
        <v>-1</v>
      </c>
      <c r="E62" s="660" t="s">
        <v>107</v>
      </c>
      <c r="F62" s="661" t="s">
        <v>102</v>
      </c>
      <c r="G62" s="662" t="n">
        <f aca="false">'2021'!G62-'2020'!G62</f>
        <v>20</v>
      </c>
      <c r="H62" s="663" t="n">
        <f aca="false">IF('2021'!G62=0,0,IF('2020'!G62=0,0,'2021'!G62/'2020'!G62-1))</f>
        <v>0.606060606060606</v>
      </c>
      <c r="I62" s="664" t="n">
        <f aca="false">'2021'!H62-'2020'!H62</f>
        <v>5</v>
      </c>
      <c r="J62" s="665" t="n">
        <f aca="false">IF(I62=0,0,'2021'!H62/'2020'!H62-1)</f>
        <v>0.151515151515152</v>
      </c>
      <c r="K62" s="666" t="n">
        <f aca="false">'2021'!J62-'2020'!J62</f>
        <v>11</v>
      </c>
      <c r="L62" s="665" t="n">
        <f aca="false">IF('2021'!J62=0,0,IF('2020'!J62=0,0,'2021'!J62/'2020'!J62-1))</f>
        <v>0.523809523809524</v>
      </c>
      <c r="M62" s="666" t="n">
        <f aca="false">'2021'!L62-'2020'!L62</f>
        <v>4</v>
      </c>
      <c r="N62" s="665" t="n">
        <f aca="false">IF('2021'!L62=0,0,IF('2020'!L62=0,0,'2021'!L62/'2020'!L62-1))</f>
        <v>0.5</v>
      </c>
      <c r="O62" s="666" t="n">
        <f aca="false">IF('2020'!N62="-",0,'2021'!N62-'2020'!N62)</f>
        <v>3</v>
      </c>
      <c r="P62" s="665" t="n">
        <f aca="false">IF('2021'!N62=0,0,IF('2020'!N62="-",0,'2021'!N62/'2020'!N62-1))</f>
        <v>0.428571428571429</v>
      </c>
      <c r="Q62" s="396"/>
      <c r="R62" s="397"/>
      <c r="S62" s="396"/>
      <c r="T62" s="397"/>
      <c r="U62" s="719" t="n">
        <f aca="false">'2021'!S62-'2020'!S62</f>
        <v>18</v>
      </c>
      <c r="V62" s="720" t="n">
        <f aca="false">IF('2021'!S62=0,0,IF('2020'!S62=0,0,'2021'!S62/'2020'!S62-1))</f>
        <v>0.545454545454545</v>
      </c>
      <c r="W62" s="719" t="n">
        <f aca="false">'2021'!U62-'2020'!U62</f>
        <v>2</v>
      </c>
      <c r="X62" s="721" t="n">
        <f aca="false">IF('2021'!U62=0,0,IF('2020'!U62=0,0,'2021'!U62/'2020'!U62-1))</f>
        <v>0</v>
      </c>
      <c r="Y62" s="85"/>
    </row>
    <row r="63" customFormat="false" ht="15" hidden="false" customHeight="false" outlineLevel="0" collapsed="false">
      <c r="A63" s="24" t="n">
        <v>26</v>
      </c>
      <c r="B63" s="224"/>
      <c r="C63" s="225"/>
      <c r="D63" s="651"/>
      <c r="E63" s="667" t="s">
        <v>108</v>
      </c>
      <c r="F63" s="668" t="s">
        <v>102</v>
      </c>
      <c r="G63" s="669" t="n">
        <f aca="false">'2021'!G63-'2020'!G63</f>
        <v>29</v>
      </c>
      <c r="H63" s="670" t="n">
        <f aca="false">IF('2021'!G63=0,0,IF('2020'!G63=0,0,'2021'!G63/'2020'!G63-1))</f>
        <v>0.329545454545455</v>
      </c>
      <c r="I63" s="671" t="n">
        <f aca="false">'2021'!H63-'2020'!H63</f>
        <v>-2</v>
      </c>
      <c r="J63" s="672" t="n">
        <f aca="false">IF(I63=0,0,'2021'!H63/'2020'!H63-1)</f>
        <v>-0.0227272727272727</v>
      </c>
      <c r="K63" s="673" t="n">
        <f aca="false">'2021'!J63-'2020'!J63</f>
        <v>28</v>
      </c>
      <c r="L63" s="672" t="n">
        <f aca="false">IF('2021'!J63=0,0,IF('2020'!J63=0,0,'2021'!J63/'2020'!J63-1))</f>
        <v>0.528301886792453</v>
      </c>
      <c r="M63" s="673" t="n">
        <f aca="false">'2021'!L63-'2020'!L63</f>
        <v>15</v>
      </c>
      <c r="N63" s="672" t="n">
        <f aca="false">IF('2021'!L63=0,0,IF('2020'!L63=0,0,'2021'!L63/'2020'!L63-1))</f>
        <v>0.46875</v>
      </c>
      <c r="O63" s="673" t="n">
        <f aca="false">IF('2020'!N63="-",0,'2021'!N63-'2020'!N63)</f>
        <v>6</v>
      </c>
      <c r="P63" s="672" t="n">
        <f aca="false">IF('2021'!N63=0,0,IF('2020'!N63="-",0,'2021'!N63/'2020'!N63-1))</f>
        <v>0.222222222222222</v>
      </c>
      <c r="Q63" s="407"/>
      <c r="R63" s="408"/>
      <c r="S63" s="407"/>
      <c r="T63" s="408"/>
      <c r="U63" s="713" t="n">
        <f aca="false">'2021'!S63-'2020'!S63</f>
        <v>34</v>
      </c>
      <c r="V63" s="722" t="n">
        <f aca="false">IF('2021'!S63=0,0,IF('2020'!S63=0,0,'2021'!S63/'2020'!S63-1))</f>
        <v>0.435897435897436</v>
      </c>
      <c r="W63" s="713" t="n">
        <f aca="false">'2021'!U63-'2020'!U63</f>
        <v>-5</v>
      </c>
      <c r="X63" s="723" t="n">
        <f aca="false">IF('2021'!U63=0,0,IF('2020'!U63=0,0,'2021'!U63/'2020'!U63-1))</f>
        <v>-0.5</v>
      </c>
      <c r="Y63" s="85"/>
    </row>
    <row r="64" customFormat="false" ht="15" hidden="false" customHeight="false" outlineLevel="0" collapsed="false">
      <c r="A64" s="24" t="n">
        <v>27</v>
      </c>
      <c r="B64" s="224"/>
      <c r="C64" s="225"/>
      <c r="D64" s="651"/>
      <c r="E64" s="667" t="s">
        <v>109</v>
      </c>
      <c r="F64" s="668" t="s">
        <v>102</v>
      </c>
      <c r="G64" s="669" t="n">
        <f aca="false">'2021'!G64-'2020'!G64</f>
        <v>8</v>
      </c>
      <c r="H64" s="670" t="n">
        <f aca="false">IF('2021'!G64=0,0,IF('2020'!G64=0,0,'2021'!G64/'2020'!G64-1))</f>
        <v>0.571428571428571</v>
      </c>
      <c r="I64" s="671" t="n">
        <f aca="false">'2021'!H64-'2020'!H64</f>
        <v>6</v>
      </c>
      <c r="J64" s="672" t="n">
        <f aca="false">IF(I64=0,0,'2021'!H64/'2020'!H64-1)</f>
        <v>0.428571428571429</v>
      </c>
      <c r="K64" s="673" t="n">
        <f aca="false">'2021'!J64-'2020'!J64</f>
        <v>7</v>
      </c>
      <c r="L64" s="672" t="n">
        <f aca="false">IF('2021'!J64=0,0,IF('2020'!J64=0,0,'2021'!J64/'2020'!J64-1))</f>
        <v>0.777777777777778</v>
      </c>
      <c r="M64" s="673" t="n">
        <f aca="false">'2021'!L64-'2020'!L64</f>
        <v>5</v>
      </c>
      <c r="N64" s="672" t="n">
        <f aca="false">IF('2021'!L64=0,0,IF('2020'!L64=0,0,'2021'!L64/'2020'!L64-1))</f>
        <v>0.714285714285714</v>
      </c>
      <c r="O64" s="673" t="n">
        <f aca="false">IF('2020'!N64="-",0,'2021'!N64-'2020'!N64)</f>
        <v>5</v>
      </c>
      <c r="P64" s="672" t="n">
        <f aca="false">IF('2021'!N64=0,0,IF('2020'!N64="-",0,'2021'!N64/'2020'!N64-1))</f>
        <v>1.25</v>
      </c>
      <c r="Q64" s="407"/>
      <c r="R64" s="408"/>
      <c r="S64" s="407"/>
      <c r="T64" s="408"/>
      <c r="U64" s="713" t="n">
        <f aca="false">'2021'!S64-'2020'!S64</f>
        <v>8</v>
      </c>
      <c r="V64" s="722" t="n">
        <f aca="false">IF('2021'!S64=0,0,IF('2020'!S64=0,0,'2021'!S64/'2020'!S64-1))</f>
        <v>0.571428571428571</v>
      </c>
      <c r="W64" s="713" t="n">
        <f aca="false">'2021'!U64-'2020'!U64</f>
        <v>0</v>
      </c>
      <c r="X64" s="723" t="n">
        <f aca="false">IF('2021'!U64=0,0,IF('2020'!U64=0,0,'2021'!U64/'2020'!U64-1))</f>
        <v>0</v>
      </c>
      <c r="Y64" s="85"/>
    </row>
    <row r="65" customFormat="false" ht="15" hidden="false" customHeight="false" outlineLevel="0" collapsed="false">
      <c r="A65" s="24" t="n">
        <v>28</v>
      </c>
      <c r="B65" s="224"/>
      <c r="C65" s="225"/>
      <c r="D65" s="651"/>
      <c r="E65" s="667" t="s">
        <v>110</v>
      </c>
      <c r="F65" s="668" t="s">
        <v>102</v>
      </c>
      <c r="G65" s="669" t="n">
        <f aca="false">'2021'!G65-'2020'!G65</f>
        <v>26</v>
      </c>
      <c r="H65" s="670" t="n">
        <f aca="false">IF('2021'!G65=0,0,IF('2020'!G65=0,0,'2021'!G65/'2020'!G65-1))</f>
        <v>1.1304347826087</v>
      </c>
      <c r="I65" s="671" t="n">
        <f aca="false">'2021'!H65-'2020'!H65</f>
        <v>10</v>
      </c>
      <c r="J65" s="672" t="n">
        <f aca="false">IF(I65=0,0,'2021'!H65/'2020'!H65-1)</f>
        <v>0.434782608695652</v>
      </c>
      <c r="K65" s="673" t="n">
        <f aca="false">'2021'!J65-'2020'!J65</f>
        <v>20</v>
      </c>
      <c r="L65" s="672" t="n">
        <f aca="false">IF('2021'!J65=0,0,IF('2020'!J65=0,0,'2021'!J65/'2020'!J65-1))</f>
        <v>1.33333333333333</v>
      </c>
      <c r="M65" s="673" t="n">
        <f aca="false">'2021'!L65-'2020'!L65</f>
        <v>9</v>
      </c>
      <c r="N65" s="672" t="n">
        <f aca="false">IF('2021'!L65=0,0,IF('2020'!L65=0,0,'2021'!L65/'2020'!L65-1))</f>
        <v>0.818181818181818</v>
      </c>
      <c r="O65" s="673" t="n">
        <f aca="false">IF('2020'!N65="-",0,'2021'!N65-'2020'!N65)</f>
        <v>9</v>
      </c>
      <c r="P65" s="672" t="n">
        <f aca="false">IF('2021'!N65=0,0,IF('2020'!N65="-",0,'2021'!N65/'2020'!N65-1))</f>
        <v>1.125</v>
      </c>
      <c r="Q65" s="407"/>
      <c r="R65" s="408"/>
      <c r="S65" s="407"/>
      <c r="T65" s="408"/>
      <c r="U65" s="713" t="n">
        <f aca="false">'2021'!S65-'2020'!S65</f>
        <v>26</v>
      </c>
      <c r="V65" s="722" t="n">
        <f aca="false">IF('2021'!S65=0,0,IF('2020'!S65=0,0,'2021'!S65/'2020'!S65-1))</f>
        <v>1.3</v>
      </c>
      <c r="W65" s="713" t="n">
        <f aca="false">'2021'!U65-'2020'!U65</f>
        <v>0</v>
      </c>
      <c r="X65" s="723" t="n">
        <f aca="false">IF('2021'!U65=0,0,IF('2020'!U65=0,0,'2021'!U65/'2020'!U65-1))</f>
        <v>0</v>
      </c>
      <c r="Y65" s="85"/>
    </row>
    <row r="66" customFormat="false" ht="15" hidden="false" customHeight="false" outlineLevel="0" collapsed="false">
      <c r="B66" s="224"/>
      <c r="C66" s="225"/>
      <c r="D66" s="651"/>
      <c r="E66" s="674"/>
      <c r="F66" s="675"/>
      <c r="G66" s="676"/>
      <c r="H66" s="677"/>
      <c r="I66" s="678"/>
      <c r="J66" s="679"/>
      <c r="K66" s="680"/>
      <c r="L66" s="679"/>
      <c r="M66" s="680"/>
      <c r="N66" s="679"/>
      <c r="O66" s="680"/>
      <c r="P66" s="679"/>
      <c r="Q66" s="412"/>
      <c r="R66" s="413"/>
      <c r="S66" s="412"/>
      <c r="T66" s="413"/>
      <c r="U66" s="728"/>
      <c r="V66" s="729"/>
      <c r="W66" s="728"/>
      <c r="X66" s="730"/>
      <c r="Y66" s="194"/>
    </row>
    <row r="67" customFormat="false" ht="15" hidden="false" customHeight="false" outlineLevel="0" collapsed="false">
      <c r="B67" s="224"/>
      <c r="C67" s="225"/>
      <c r="D67" s="651"/>
      <c r="E67" s="674"/>
      <c r="F67" s="675"/>
      <c r="G67" s="676"/>
      <c r="H67" s="677"/>
      <c r="I67" s="678"/>
      <c r="J67" s="679"/>
      <c r="K67" s="680"/>
      <c r="L67" s="679"/>
      <c r="M67" s="680"/>
      <c r="N67" s="679"/>
      <c r="O67" s="680"/>
      <c r="P67" s="679"/>
      <c r="Q67" s="412"/>
      <c r="R67" s="413"/>
      <c r="S67" s="412"/>
      <c r="T67" s="413"/>
      <c r="U67" s="728"/>
      <c r="V67" s="729"/>
      <c r="W67" s="728"/>
      <c r="X67" s="730"/>
      <c r="Y67" s="194"/>
    </row>
    <row r="68" customFormat="false" ht="15" hidden="false" customHeight="false" outlineLevel="0" collapsed="false">
      <c r="A68" s="24" t="n">
        <v>29</v>
      </c>
      <c r="B68" s="224"/>
      <c r="C68" s="225"/>
      <c r="D68" s="651"/>
      <c r="E68" s="681" t="s">
        <v>111</v>
      </c>
      <c r="F68" s="682" t="s">
        <v>102</v>
      </c>
      <c r="G68" s="683" t="n">
        <f aca="false">'2021'!G68-'2020'!G68</f>
        <v>8</v>
      </c>
      <c r="H68" s="684" t="n">
        <f aca="false">IF('2021'!G68=0,0,IF('2020'!G68=0,0,'2021'!G68/'2020'!G68-1))</f>
        <v>0.222222222222222</v>
      </c>
      <c r="I68" s="685" t="n">
        <f aca="false">'2021'!H68-'2020'!H68</f>
        <v>8</v>
      </c>
      <c r="J68" s="686" t="n">
        <f aca="false">IF(I68=0,0,'2021'!H68/'2020'!H68-1)</f>
        <v>0.222222222222222</v>
      </c>
      <c r="K68" s="687" t="n">
        <f aca="false">'2021'!J68-'2020'!J68</f>
        <v>10</v>
      </c>
      <c r="L68" s="686" t="n">
        <f aca="false">IF('2021'!J68=0,0,IF('2020'!J68=0,0,'2021'!J68/'2020'!J68-1))</f>
        <v>0.555555555555556</v>
      </c>
      <c r="M68" s="687" t="n">
        <f aca="false">'2021'!L68-'2020'!L68</f>
        <v>-1</v>
      </c>
      <c r="N68" s="686" t="n">
        <f aca="false">IF('2021'!L68=0,0,IF('2020'!L68=0,0,'2021'!L68/'2020'!L68-1))</f>
        <v>-0.0588235294117647</v>
      </c>
      <c r="O68" s="687" t="n">
        <f aca="false">IF('2020'!N68="-",0,'2021'!N68-'2020'!N68)</f>
        <v>2</v>
      </c>
      <c r="P68" s="686" t="n">
        <f aca="false">IF('2021'!N68=0,0,IF('2020'!N68="-",0,'2021'!N68/'2020'!N68-1))</f>
        <v>0.153846153846154</v>
      </c>
      <c r="Q68" s="426"/>
      <c r="R68" s="427"/>
      <c r="S68" s="426"/>
      <c r="T68" s="427"/>
      <c r="U68" s="715" t="n">
        <f aca="false">'2021'!S68-'2020'!S68</f>
        <v>4</v>
      </c>
      <c r="V68" s="724" t="n">
        <f aca="false">IF('2021'!S68=0,0,IF('2020'!S68=0,0,'2021'!S68/'2020'!S68-1))</f>
        <v>0.111111111111111</v>
      </c>
      <c r="W68" s="715" t="n">
        <f aca="false">'2021'!U68-'2020'!U68</f>
        <v>4</v>
      </c>
      <c r="X68" s="725" t="n">
        <f aca="false">IF('2021'!U68=0,0,IF('2020'!U68=0,0,'2021'!U68/'2020'!U68-1))</f>
        <v>0</v>
      </c>
      <c r="Y68" s="194" t="s">
        <v>158</v>
      </c>
    </row>
    <row r="69" customFormat="false" ht="15.75" hidden="false" customHeight="false" outlineLevel="0" collapsed="false">
      <c r="B69" s="224"/>
      <c r="C69" s="225"/>
      <c r="D69" s="651" t="s">
        <v>76</v>
      </c>
      <c r="E69" s="652"/>
      <c r="F69" s="653"/>
      <c r="G69" s="654" t="n">
        <f aca="false">SUM(G62:G68)</f>
        <v>91</v>
      </c>
      <c r="H69" s="655" t="n">
        <f aca="false">G69/SUM('2020'!G62:G68)</f>
        <v>0.469072164948454</v>
      </c>
      <c r="I69" s="656" t="n">
        <f aca="false">SUM(I62:I68)</f>
        <v>27</v>
      </c>
      <c r="J69" s="657" t="n">
        <f aca="false">I69/SUM('2020'!H62:H68)</f>
        <v>0.139175257731959</v>
      </c>
      <c r="K69" s="658" t="n">
        <f aca="false">SUM(K62:K68)</f>
        <v>76</v>
      </c>
      <c r="L69" s="657" t="n">
        <f aca="false">K69/SUM('2020'!J62:J68)</f>
        <v>0.655172413793103</v>
      </c>
      <c r="M69" s="658" t="n">
        <f aca="false">SUM(M62:M68)</f>
        <v>32</v>
      </c>
      <c r="N69" s="657" t="n">
        <f aca="false">M69/SUM('2020'!L62:L68)</f>
        <v>0.426666666666667</v>
      </c>
      <c r="O69" s="658" t="n">
        <f aca="false">SUM(O62:O68)</f>
        <v>25</v>
      </c>
      <c r="P69" s="657" t="n">
        <f aca="false">O69/SUM('2020'!N62:N68)</f>
        <v>0.423728813559322</v>
      </c>
      <c r="Q69" s="385"/>
      <c r="R69" s="386"/>
      <c r="S69" s="385"/>
      <c r="T69" s="386"/>
      <c r="U69" s="717" t="n">
        <f aca="false">SUM(U62:U68)</f>
        <v>90</v>
      </c>
      <c r="V69" s="726" t="n">
        <f aca="false">IF('2021'!S69=0,0,IF('2020'!S69=0,0,'2021'!S69/'2020'!S69-1))</f>
        <v>0.497237569060774</v>
      </c>
      <c r="W69" s="717" t="n">
        <f aca="false">SUM(W62:W68)</f>
        <v>1</v>
      </c>
      <c r="X69" s="727" t="n">
        <f aca="false">IF('2021'!U69=0,0,IF('2020'!U69=0,0,'2021'!U69/'2020'!U69-1))</f>
        <v>0.0769230769230769</v>
      </c>
      <c r="Y69" s="85"/>
    </row>
    <row r="70" customFormat="false" ht="15" hidden="false" customHeight="true" outlineLevel="0" collapsed="false">
      <c r="A70" s="24" t="n">
        <v>30</v>
      </c>
      <c r="B70" s="266" t="s">
        <v>112</v>
      </c>
      <c r="C70" s="267" t="s">
        <v>97</v>
      </c>
      <c r="D70" s="688" t="n">
        <f aca="false">'2021'!D70-'2020'!D70</f>
        <v>7</v>
      </c>
      <c r="E70" s="731" t="s">
        <v>113</v>
      </c>
      <c r="F70" s="661" t="s">
        <v>102</v>
      </c>
      <c r="G70" s="662" t="n">
        <f aca="false">'2021'!G70-'2020'!G70</f>
        <v>17</v>
      </c>
      <c r="H70" s="663" t="n">
        <f aca="false">IF('2021'!G70=0,0,IF('2020'!G70=0,0,'2021'!G70/'2020'!G70-1))</f>
        <v>0.288135593220339</v>
      </c>
      <c r="I70" s="664" t="n">
        <f aca="false">'2021'!H70-'2020'!H70</f>
        <v>17</v>
      </c>
      <c r="J70" s="665" t="n">
        <f aca="false">IF(I70=0,0,'2021'!H70/'2020'!H70-1)</f>
        <v>0.288135593220339</v>
      </c>
      <c r="K70" s="666" t="n">
        <f aca="false">'2021'!J70-'2020'!J70</f>
        <v>7.91</v>
      </c>
      <c r="L70" s="665" t="n">
        <f aca="false">IF('2021'!J70=0,0,IF('2020'!J70=0,0,'2021'!J70/'2020'!J70-1))</f>
        <v>0.26287803256896</v>
      </c>
      <c r="M70" s="666" t="n">
        <f aca="false">'2021'!L70-'2020'!L70</f>
        <v>3.04</v>
      </c>
      <c r="N70" s="665" t="n">
        <f aca="false">IF('2021'!L70=0,0,IF('2020'!L70=0,0,'2021'!L70/'2020'!L70-1))</f>
        <v>0.117103235747303</v>
      </c>
      <c r="O70" s="666" t="n">
        <f aca="false">IF('2020'!N70="-",0,'2021'!N70-'2020'!N70)</f>
        <v>4.9048</v>
      </c>
      <c r="P70" s="665" t="n">
        <f aca="false">IF('2021'!N70=0,0,IF('2020'!N70="-",0,'2021'!N70/'2020'!N70-1))</f>
        <v>0.304736815945126</v>
      </c>
      <c r="Q70" s="396"/>
      <c r="R70" s="397"/>
      <c r="S70" s="396"/>
      <c r="T70" s="397"/>
      <c r="U70" s="719" t="n">
        <f aca="false">'2021'!S70-'2020'!S70</f>
        <v>75</v>
      </c>
      <c r="V70" s="720" t="n">
        <f aca="false">IF('2021'!S70=0,0,IF('2020'!S70=0,0,'2021'!S70/'2020'!S70-1))</f>
        <v>0</v>
      </c>
      <c r="W70" s="719" t="n">
        <f aca="false">'2021'!U70-'2020'!U70</f>
        <v>1</v>
      </c>
      <c r="X70" s="721" t="n">
        <f aca="false">IF('2021'!U70=0,0,IF('2020'!U70=0,0,'2021'!U70/'2020'!U70-1))</f>
        <v>0</v>
      </c>
      <c r="Y70" s="85"/>
    </row>
    <row r="71" customFormat="false" ht="15" hidden="false" customHeight="true" outlineLevel="0" collapsed="false">
      <c r="A71" s="24" t="n">
        <v>31</v>
      </c>
      <c r="B71" s="266"/>
      <c r="C71" s="267"/>
      <c r="D71" s="688"/>
      <c r="E71" s="732" t="s">
        <v>114</v>
      </c>
      <c r="F71" s="668" t="s">
        <v>102</v>
      </c>
      <c r="G71" s="669" t="n">
        <f aca="false">'2021'!G71-'2020'!G71</f>
        <v>35</v>
      </c>
      <c r="H71" s="670" t="n">
        <f aca="false">IF('2021'!G71=0,0,IF('2020'!G71=0,0,'2021'!G71/'2020'!G71-1))</f>
        <v>0.777777777777778</v>
      </c>
      <c r="I71" s="671" t="n">
        <f aca="false">'2021'!H71-'2020'!H71</f>
        <v>35</v>
      </c>
      <c r="J71" s="672" t="n">
        <f aca="false">IF(I71=0,0,'2021'!H71/'2020'!H71-1)</f>
        <v>0.777777777777778</v>
      </c>
      <c r="K71" s="673" t="n">
        <f aca="false">'2021'!J71-'2020'!J71</f>
        <v>24.9</v>
      </c>
      <c r="L71" s="672" t="n">
        <f aca="false">IF('2021'!J71=0,0,IF('2020'!J71=0,0,'2021'!J71/'2020'!J71-1))</f>
        <v>0.954022988505747</v>
      </c>
      <c r="M71" s="673" t="n">
        <f aca="false">'2021'!L71-'2020'!L71</f>
        <v>20.2</v>
      </c>
      <c r="N71" s="672" t="n">
        <f aca="false">IF('2021'!L71=0,0,IF('2020'!L71=0,0,'2021'!L71/'2020'!L71-1))</f>
        <v>1.02020202020202</v>
      </c>
      <c r="O71" s="673" t="n">
        <f aca="false">IF('2020'!N71="-",0,'2021'!N71-'2020'!N71)</f>
        <v>13.13</v>
      </c>
      <c r="P71" s="672" t="n">
        <f aca="false">IF('2021'!N71=0,0,IF('2020'!N71="-",0,'2021'!N71/'2020'!N71-1))</f>
        <v>1.02020202020202</v>
      </c>
      <c r="Q71" s="407"/>
      <c r="R71" s="408"/>
      <c r="S71" s="407"/>
      <c r="T71" s="408"/>
      <c r="U71" s="713" t="n">
        <f aca="false">'2021'!S71-'2020'!S71</f>
        <v>74</v>
      </c>
      <c r="V71" s="722" t="n">
        <f aca="false">IF('2021'!S71=0,0,IF('2020'!S71=0,0,'2021'!S71/'2020'!S71-1))</f>
        <v>0</v>
      </c>
      <c r="W71" s="713" t="n">
        <f aca="false">'2021'!U71-'2020'!U71</f>
        <v>6</v>
      </c>
      <c r="X71" s="723" t="n">
        <f aca="false">IF('2021'!U71=0,0,IF('2020'!U71=0,0,'2021'!U71/'2020'!U71-1))</f>
        <v>0</v>
      </c>
      <c r="Y71" s="85"/>
    </row>
    <row r="72" customFormat="false" ht="15" hidden="false" customHeight="true" outlineLevel="0" collapsed="false">
      <c r="A72" s="24" t="n">
        <v>32</v>
      </c>
      <c r="B72" s="266"/>
      <c r="C72" s="267"/>
      <c r="D72" s="688"/>
      <c r="E72" s="732" t="s">
        <v>115</v>
      </c>
      <c r="F72" s="668" t="s">
        <v>102</v>
      </c>
      <c r="G72" s="669" t="n">
        <f aca="false">'2021'!G72-'2020'!G72</f>
        <v>15</v>
      </c>
      <c r="H72" s="670" t="n">
        <f aca="false">IF('2021'!G72=0,0,IF('2020'!G72=0,0,'2021'!G72/'2020'!G72-1))</f>
        <v>0.9375</v>
      </c>
      <c r="I72" s="671" t="n">
        <f aca="false">'2021'!H72-'2020'!H72</f>
        <v>15</v>
      </c>
      <c r="J72" s="672" t="n">
        <f aca="false">IF(I72=0,0,'2021'!H72/'2020'!H72-1)</f>
        <v>0.9375</v>
      </c>
      <c r="K72" s="673" t="n">
        <f aca="false">'2021'!J72-'2020'!J72</f>
        <v>2.96</v>
      </c>
      <c r="L72" s="672" t="n">
        <f aca="false">IF('2021'!J72=0,0,IF('2020'!J72=0,0,'2021'!J72/'2020'!J72-1))</f>
        <v>0.420454545454545</v>
      </c>
      <c r="M72" s="673" t="n">
        <f aca="false">'2021'!L72-'2020'!L72</f>
        <v>6.04</v>
      </c>
      <c r="N72" s="672" t="n">
        <f aca="false">IF('2021'!L72=0,0,IF('2020'!L72=0,0,'2021'!L72/'2020'!L72-1))</f>
        <v>1.21774193548387</v>
      </c>
      <c r="O72" s="673" t="n">
        <f aca="false">IF('2020'!N72="-",0,'2021'!N72-'2020'!N72)</f>
        <v>3.016</v>
      </c>
      <c r="P72" s="672" t="n">
        <f aca="false">IF('2021'!N72=0,0,IF('2020'!N72="-",0,'2021'!N72/'2020'!N72-1))</f>
        <v>1.52016129032258</v>
      </c>
      <c r="Q72" s="407"/>
      <c r="R72" s="408"/>
      <c r="S72" s="407"/>
      <c r="T72" s="408"/>
      <c r="U72" s="713" t="n">
        <f aca="false">'2021'!S72-'2020'!S72</f>
        <v>31</v>
      </c>
      <c r="V72" s="722" t="n">
        <f aca="false">IF('2021'!S72=0,0,IF('2020'!S72=0,0,'2021'!S72/'2020'!S72-1))</f>
        <v>0</v>
      </c>
      <c r="W72" s="713" t="n">
        <f aca="false">'2021'!U72-'2020'!U72</f>
        <v>0</v>
      </c>
      <c r="X72" s="723" t="n">
        <f aca="false">IF('2021'!U72=0,0,IF('2020'!U72=0,0,'2021'!U72/'2020'!U72-1))</f>
        <v>0</v>
      </c>
      <c r="Y72" s="85"/>
    </row>
    <row r="73" customFormat="false" ht="15" hidden="false" customHeight="true" outlineLevel="0" collapsed="false">
      <c r="A73" s="24" t="n">
        <v>33</v>
      </c>
      <c r="B73" s="266"/>
      <c r="C73" s="267"/>
      <c r="D73" s="688"/>
      <c r="E73" s="732" t="s">
        <v>116</v>
      </c>
      <c r="F73" s="668" t="s">
        <v>102</v>
      </c>
      <c r="G73" s="669" t="n">
        <f aca="false">'2021'!G73-'2020'!G73</f>
        <v>-16</v>
      </c>
      <c r="H73" s="670" t="n">
        <f aca="false">IF('2021'!G73=0,0,IF('2020'!G73=0,0,'2021'!G73/'2020'!G73-1))</f>
        <v>-0.516129032258065</v>
      </c>
      <c r="I73" s="671" t="n">
        <f aca="false">'2021'!H73-'2020'!H73</f>
        <v>-16</v>
      </c>
      <c r="J73" s="672" t="n">
        <f aca="false">IF(I73=0,0,'2021'!H73/'2020'!H73-1)</f>
        <v>-0.516129032258065</v>
      </c>
      <c r="K73" s="673" t="n">
        <f aca="false">'2021'!J73-'2020'!J73</f>
        <v>-3.99</v>
      </c>
      <c r="L73" s="672" t="n">
        <f aca="false">IF('2021'!J73=0,0,IF('2020'!J73=0,0,'2021'!J73/'2020'!J73-1))</f>
        <v>-0.443826473859844</v>
      </c>
      <c r="M73" s="673" t="n">
        <f aca="false">'2021'!L73-'2020'!L73</f>
        <v>-9.92</v>
      </c>
      <c r="N73" s="672" t="n">
        <f aca="false">IF('2021'!L73=0,0,IF('2020'!L73=0,0,'2021'!L73/'2020'!L73-1))</f>
        <v>0</v>
      </c>
      <c r="O73" s="673" t="n">
        <f aca="false">IF('2020'!N73="-",0,'2021'!N73-'2020'!N73)</f>
        <v>-2.976</v>
      </c>
      <c r="P73" s="672" t="n">
        <f aca="false">IF('2021'!N73=0,0,IF('2020'!N73="-",0,'2021'!N73/'2020'!N73-1))</f>
        <v>0</v>
      </c>
      <c r="Q73" s="407"/>
      <c r="R73" s="408"/>
      <c r="S73" s="407"/>
      <c r="T73" s="408"/>
      <c r="U73" s="713" t="n">
        <f aca="false">'2021'!S73-'2020'!S73</f>
        <v>15</v>
      </c>
      <c r="V73" s="722" t="n">
        <f aca="false">IF('2021'!S73=0,0,IF('2020'!S73=0,0,'2021'!S73/'2020'!S73-1))</f>
        <v>0</v>
      </c>
      <c r="W73" s="713" t="n">
        <f aca="false">'2021'!U73-'2020'!U73</f>
        <v>0</v>
      </c>
      <c r="X73" s="723" t="n">
        <f aca="false">IF('2021'!U73=0,0,IF('2020'!U73=0,0,'2021'!U73/'2020'!U73-1))</f>
        <v>0</v>
      </c>
      <c r="Y73" s="85"/>
    </row>
    <row r="74" customFormat="false" ht="15" hidden="false" customHeight="true" outlineLevel="0" collapsed="false">
      <c r="A74" s="24" t="n">
        <v>34</v>
      </c>
      <c r="B74" s="266"/>
      <c r="C74" s="267"/>
      <c r="D74" s="688"/>
      <c r="E74" s="732" t="s">
        <v>117</v>
      </c>
      <c r="F74" s="668" t="s">
        <v>102</v>
      </c>
      <c r="G74" s="669" t="n">
        <f aca="false">'2021'!G74-'2020'!G74</f>
        <v>-1</v>
      </c>
      <c r="H74" s="670" t="n">
        <f aca="false">IF('2021'!G74=0,0,IF('2020'!G74=0,0,'2021'!G74/'2020'!G74-1))</f>
        <v>-0.333333333333333</v>
      </c>
      <c r="I74" s="671" t="n">
        <f aca="false">'2021'!H74-'2020'!H74</f>
        <v>-1</v>
      </c>
      <c r="J74" s="672" t="n">
        <f aca="false">IF(I74=0,0,'2021'!H74/'2020'!H74-1)</f>
        <v>-0.333333333333333</v>
      </c>
      <c r="K74" s="673" t="n">
        <f aca="false">'2021'!J74-'2020'!J74</f>
        <v>1</v>
      </c>
      <c r="L74" s="672" t="n">
        <f aca="false">IF('2021'!J74=0,0,IF('2020'!J74=0,0,'2021'!J74/'2020'!J74-1))</f>
        <v>0</v>
      </c>
      <c r="M74" s="673" t="n">
        <f aca="false">'2021'!L74-'2020'!L74</f>
        <v>1</v>
      </c>
      <c r="N74" s="672" t="n">
        <f aca="false">IF('2021'!L74=0,0,IF('2020'!L74=0,0,'2021'!L74/'2020'!L74-1))</f>
        <v>0</v>
      </c>
      <c r="O74" s="673" t="n">
        <f aca="false">IF('2020'!N74="-",0,'2021'!N74-'2020'!N74)</f>
        <v>0</v>
      </c>
      <c r="P74" s="672" t="n">
        <f aca="false">IF('2021'!N74=0,0,IF('2020'!N74="-",0,'2021'!N74/'2020'!N74-1))</f>
        <v>0</v>
      </c>
      <c r="Q74" s="407"/>
      <c r="R74" s="408"/>
      <c r="S74" s="407"/>
      <c r="T74" s="408"/>
      <c r="U74" s="713" t="n">
        <f aca="false">'2021'!S74-'2020'!S74</f>
        <v>1</v>
      </c>
      <c r="V74" s="722" t="n">
        <f aca="false">IF('2021'!S74=0,0,IF('2020'!S74=0,0,'2021'!S74/'2020'!S74-1))</f>
        <v>0</v>
      </c>
      <c r="W74" s="713" t="n">
        <f aca="false">'2021'!U74-'2020'!U74</f>
        <v>1</v>
      </c>
      <c r="X74" s="723" t="n">
        <f aca="false">IF('2021'!U74=0,0,IF('2020'!U74=0,0,'2021'!U74/'2020'!U74-1))</f>
        <v>0</v>
      </c>
      <c r="Y74" s="85"/>
    </row>
    <row r="75" customFormat="false" ht="15" hidden="false" customHeight="true" outlineLevel="0" collapsed="false">
      <c r="A75" s="24" t="n">
        <v>35</v>
      </c>
      <c r="B75" s="266"/>
      <c r="C75" s="267"/>
      <c r="D75" s="688"/>
      <c r="E75" s="732" t="s">
        <v>118</v>
      </c>
      <c r="F75" s="668" t="s">
        <v>102</v>
      </c>
      <c r="G75" s="669" t="n">
        <f aca="false">'2021'!G75-'2020'!G75</f>
        <v>2</v>
      </c>
      <c r="H75" s="670" t="n">
        <f aca="false">IF('2021'!G75=0,0,IF('2020'!G75=0,0,'2021'!G75/'2020'!G75-1))</f>
        <v>0.153846153846154</v>
      </c>
      <c r="I75" s="671" t="n">
        <f aca="false">'2021'!H75-'2020'!H75</f>
        <v>2</v>
      </c>
      <c r="J75" s="672" t="n">
        <f aca="false">IF(I75=0,0,'2021'!H75/'2020'!H75-1)</f>
        <v>0.153846153846154</v>
      </c>
      <c r="K75" s="673" t="n">
        <f aca="false">'2021'!J75-'2020'!J75</f>
        <v>5.01</v>
      </c>
      <c r="L75" s="672" t="n">
        <f aca="false">IF('2021'!J75=0,0,IF('2020'!J75=0,0,'2021'!J75/'2020'!J75-1))</f>
        <v>1.67558528428094</v>
      </c>
      <c r="M75" s="673" t="n">
        <f aca="false">'2021'!L75-'2020'!L75</f>
        <v>2.05</v>
      </c>
      <c r="N75" s="672" t="n">
        <f aca="false">IF('2021'!L75=0,0,IF('2020'!L75=0,0,'2021'!L75/'2020'!L75-1))</f>
        <v>1.05128205128205</v>
      </c>
      <c r="O75" s="673" t="n">
        <f aca="false">IF('2020'!N75="-",0,'2021'!N75-'2020'!N75)</f>
        <v>1.025</v>
      </c>
      <c r="P75" s="672" t="n">
        <f aca="false">IF('2021'!N75=0,0,IF('2020'!N75="-",0,'2021'!N75/'2020'!N75-1))</f>
        <v>1.05128205128205</v>
      </c>
      <c r="Q75" s="407"/>
      <c r="R75" s="408"/>
      <c r="S75" s="407"/>
      <c r="T75" s="408"/>
      <c r="U75" s="713" t="n">
        <f aca="false">'2021'!S75-'2020'!S75</f>
        <v>13</v>
      </c>
      <c r="V75" s="722" t="n">
        <f aca="false">IF('2021'!S75=0,0,IF('2020'!S75=0,0,'2021'!S75/'2020'!S75-1))</f>
        <v>0</v>
      </c>
      <c r="W75" s="713" t="n">
        <f aca="false">'2021'!U75-'2020'!U75</f>
        <v>2</v>
      </c>
      <c r="X75" s="723" t="n">
        <f aca="false">IF('2021'!U75=0,0,IF('2020'!U75=0,0,'2021'!U75/'2020'!U75-1))</f>
        <v>0</v>
      </c>
      <c r="Y75" s="85"/>
    </row>
    <row r="76" customFormat="false" ht="15.75" hidden="false" customHeight="true" outlineLevel="0" collapsed="false">
      <c r="A76" s="24" t="n">
        <v>36</v>
      </c>
      <c r="B76" s="266"/>
      <c r="C76" s="267"/>
      <c r="D76" s="688"/>
      <c r="E76" s="732" t="s">
        <v>119</v>
      </c>
      <c r="F76" s="668"/>
      <c r="G76" s="669"/>
      <c r="H76" s="670"/>
      <c r="I76" s="671"/>
      <c r="J76" s="672"/>
      <c r="K76" s="673"/>
      <c r="L76" s="672"/>
      <c r="M76" s="673"/>
      <c r="N76" s="672"/>
      <c r="O76" s="673"/>
      <c r="P76" s="672"/>
      <c r="Q76" s="407"/>
      <c r="R76" s="408"/>
      <c r="S76" s="407"/>
      <c r="T76" s="408"/>
      <c r="U76" s="713"/>
      <c r="V76" s="722"/>
      <c r="W76" s="713"/>
      <c r="X76" s="723"/>
      <c r="Y76" s="85"/>
    </row>
    <row r="77" customFormat="false" ht="15.75" hidden="false" customHeight="true" outlineLevel="0" collapsed="false">
      <c r="B77" s="266"/>
      <c r="C77" s="267"/>
      <c r="D77" s="688"/>
      <c r="E77" s="733"/>
      <c r="F77" s="734"/>
      <c r="G77" s="676"/>
      <c r="H77" s="677"/>
      <c r="I77" s="678"/>
      <c r="J77" s="679"/>
      <c r="K77" s="680"/>
      <c r="L77" s="679"/>
      <c r="M77" s="680"/>
      <c r="N77" s="679"/>
      <c r="O77" s="680"/>
      <c r="P77" s="679"/>
      <c r="Q77" s="412"/>
      <c r="R77" s="413"/>
      <c r="S77" s="412"/>
      <c r="T77" s="413"/>
      <c r="U77" s="728"/>
      <c r="V77" s="729"/>
      <c r="W77" s="728"/>
      <c r="X77" s="730"/>
      <c r="Y77" s="85"/>
    </row>
    <row r="78" customFormat="false" ht="15.75" hidden="false" customHeight="true" outlineLevel="0" collapsed="false">
      <c r="B78" s="266"/>
      <c r="C78" s="267"/>
      <c r="D78" s="688"/>
      <c r="E78" s="733"/>
      <c r="F78" s="734"/>
      <c r="G78" s="676"/>
      <c r="H78" s="677"/>
      <c r="I78" s="678"/>
      <c r="J78" s="679"/>
      <c r="K78" s="680"/>
      <c r="L78" s="679"/>
      <c r="M78" s="680"/>
      <c r="N78" s="679"/>
      <c r="O78" s="680"/>
      <c r="P78" s="679"/>
      <c r="Q78" s="412"/>
      <c r="R78" s="413"/>
      <c r="S78" s="412"/>
      <c r="T78" s="413"/>
      <c r="U78" s="728"/>
      <c r="V78" s="729"/>
      <c r="W78" s="728"/>
      <c r="X78" s="730"/>
      <c r="Y78" s="85"/>
    </row>
    <row r="79" customFormat="false" ht="15.75" hidden="false" customHeight="true" outlineLevel="0" collapsed="false">
      <c r="A79" s="24" t="n">
        <v>37</v>
      </c>
      <c r="B79" s="266"/>
      <c r="C79" s="267"/>
      <c r="D79" s="688"/>
      <c r="E79" s="735" t="s">
        <v>120</v>
      </c>
      <c r="F79" s="682"/>
      <c r="G79" s="683"/>
      <c r="H79" s="684"/>
      <c r="I79" s="685"/>
      <c r="J79" s="686"/>
      <c r="K79" s="687"/>
      <c r="L79" s="686"/>
      <c r="M79" s="687"/>
      <c r="N79" s="686"/>
      <c r="O79" s="687"/>
      <c r="P79" s="686"/>
      <c r="Q79" s="426"/>
      <c r="R79" s="427"/>
      <c r="S79" s="426"/>
      <c r="T79" s="427"/>
      <c r="U79" s="715"/>
      <c r="V79" s="724"/>
      <c r="W79" s="715"/>
      <c r="X79" s="725"/>
      <c r="Y79" s="85"/>
    </row>
    <row r="80" customFormat="false" ht="15.75" hidden="false" customHeight="false" outlineLevel="0" collapsed="false">
      <c r="B80" s="266"/>
      <c r="C80" s="267"/>
      <c r="D80" s="659" t="s">
        <v>76</v>
      </c>
      <c r="E80" s="736"/>
      <c r="F80" s="653"/>
      <c r="G80" s="654" t="n">
        <f aca="false">SUM(G70:G79)</f>
        <v>52</v>
      </c>
      <c r="H80" s="655" t="n">
        <f aca="false">G80/SUM('2020'!G70:G75)</f>
        <v>0.311377245508982</v>
      </c>
      <c r="I80" s="656" t="n">
        <f aca="false">SUM(I70:I79)</f>
        <v>52</v>
      </c>
      <c r="J80" s="657" t="n">
        <f aca="false">I80/SUM('2020'!H70:H75)</f>
        <v>0.311377245508982</v>
      </c>
      <c r="K80" s="658" t="n">
        <f aca="false">SUM(K70:K79)</f>
        <v>37.79</v>
      </c>
      <c r="L80" s="657" t="n">
        <f aca="false">K80/SUM('2020'!J70:J75)</f>
        <v>0.50245977928467</v>
      </c>
      <c r="M80" s="658" t="n">
        <f aca="false">SUM(M70:M79)</f>
        <v>22.41</v>
      </c>
      <c r="N80" s="657" t="n">
        <f aca="false">M80/SUM('2020'!L70:L75)</f>
        <v>0.358044416040901</v>
      </c>
      <c r="O80" s="658" t="n">
        <f aca="false">SUM(O70:O79)</f>
        <v>19.0998</v>
      </c>
      <c r="P80" s="657" t="n">
        <f aca="false">O80/SUM('2020'!N70:N75)</f>
        <v>0.547269070091289</v>
      </c>
      <c r="Q80" s="385"/>
      <c r="R80" s="386"/>
      <c r="S80" s="385"/>
      <c r="T80" s="386"/>
      <c r="U80" s="717" t="n">
        <f aca="false">SUM(U70:U79)</f>
        <v>209</v>
      </c>
      <c r="V80" s="726" t="n">
        <f aca="false">IF('2021'!S80=0,0,IF('2020'!S80=0,0,'2021'!S80/'2020'!S80-1))</f>
        <v>0</v>
      </c>
      <c r="W80" s="717" t="n">
        <f aca="false">SUM(W70:W79)</f>
        <v>10</v>
      </c>
      <c r="X80" s="727" t="n">
        <f aca="false">IF('2021'!U80=0,0,IF('2020'!U80=0,0,'2021'!U80/'2020'!U80-1))</f>
        <v>0</v>
      </c>
      <c r="Y80" s="85"/>
    </row>
    <row r="81" customFormat="false" ht="15" hidden="false" customHeight="true" outlineLevel="0" collapsed="false">
      <c r="B81" s="283" t="s">
        <v>173</v>
      </c>
      <c r="C81" s="213" t="s">
        <v>97</v>
      </c>
      <c r="D81" s="737" t="n">
        <f aca="false">'2021'!D81-'2020'!D81</f>
        <v>3</v>
      </c>
      <c r="E81" s="731" t="s">
        <v>122</v>
      </c>
      <c r="F81" s="661"/>
      <c r="G81" s="662"/>
      <c r="H81" s="663"/>
      <c r="I81" s="664"/>
      <c r="J81" s="665"/>
      <c r="K81" s="666"/>
      <c r="L81" s="665"/>
      <c r="M81" s="666"/>
      <c r="N81" s="665"/>
      <c r="O81" s="666"/>
      <c r="P81" s="665"/>
      <c r="Q81" s="396"/>
      <c r="R81" s="397"/>
      <c r="S81" s="396"/>
      <c r="T81" s="397"/>
      <c r="U81" s="719"/>
      <c r="V81" s="720"/>
      <c r="W81" s="719"/>
      <c r="X81" s="721"/>
      <c r="Y81" s="85"/>
    </row>
    <row r="82" customFormat="false" ht="15.75" hidden="false" customHeight="true" outlineLevel="0" collapsed="false">
      <c r="B82" s="283"/>
      <c r="C82" s="213"/>
      <c r="D82" s="737"/>
      <c r="E82" s="732" t="s">
        <v>123</v>
      </c>
      <c r="F82" s="668"/>
      <c r="G82" s="669"/>
      <c r="H82" s="670"/>
      <c r="I82" s="671"/>
      <c r="J82" s="672"/>
      <c r="K82" s="673"/>
      <c r="L82" s="672"/>
      <c r="M82" s="673"/>
      <c r="N82" s="672"/>
      <c r="O82" s="673"/>
      <c r="P82" s="672"/>
      <c r="Q82" s="407"/>
      <c r="R82" s="408"/>
      <c r="S82" s="407"/>
      <c r="T82" s="408"/>
      <c r="U82" s="713"/>
      <c r="V82" s="722"/>
      <c r="W82" s="713"/>
      <c r="X82" s="723"/>
      <c r="Y82" s="85"/>
    </row>
    <row r="83" customFormat="false" ht="15.75" hidden="false" customHeight="true" outlineLevel="0" collapsed="false">
      <c r="B83" s="283"/>
      <c r="C83" s="213"/>
      <c r="D83" s="737"/>
      <c r="E83" s="732" t="s">
        <v>124</v>
      </c>
      <c r="F83" s="668"/>
      <c r="G83" s="669"/>
      <c r="H83" s="670"/>
      <c r="I83" s="671"/>
      <c r="J83" s="672"/>
      <c r="K83" s="673"/>
      <c r="L83" s="672"/>
      <c r="M83" s="673"/>
      <c r="N83" s="672"/>
      <c r="O83" s="673"/>
      <c r="P83" s="672"/>
      <c r="Q83" s="407"/>
      <c r="R83" s="408"/>
      <c r="S83" s="407"/>
      <c r="T83" s="408"/>
      <c r="U83" s="713"/>
      <c r="V83" s="722"/>
      <c r="W83" s="713"/>
      <c r="X83" s="723"/>
      <c r="Y83" s="85"/>
    </row>
    <row r="84" customFormat="false" ht="15" hidden="false" customHeight="true" outlineLevel="0" collapsed="false">
      <c r="A84" s="24" t="n">
        <v>38</v>
      </c>
      <c r="B84" s="283"/>
      <c r="C84" s="213"/>
      <c r="D84" s="737"/>
      <c r="E84" s="732" t="s">
        <v>125</v>
      </c>
      <c r="F84" s="738" t="s">
        <v>70</v>
      </c>
      <c r="G84" s="669" t="n">
        <f aca="false">'2021'!G84-'2020'!G84</f>
        <v>129</v>
      </c>
      <c r="H84" s="670" t="n">
        <f aca="false">IF('2021'!G84=0,0,IF('2020'!G84=0,0,'2021'!G84/'2020'!G84-1))</f>
        <v>0.594470046082949</v>
      </c>
      <c r="I84" s="671" t="n">
        <f aca="false">'2021'!H84-'2020'!H84</f>
        <v>72</v>
      </c>
      <c r="J84" s="672" t="n">
        <f aca="false">IF(I84=0,0,'2021'!H84/'2020'!H84-1)</f>
        <v>0.705882352941176</v>
      </c>
      <c r="K84" s="673" t="n">
        <f aca="false">'2021'!J84-'2020'!J84</f>
        <v>46.07</v>
      </c>
      <c r="L84" s="672" t="n">
        <f aca="false">IF('2021'!J84=0,0,IF('2020'!J84=0,0,'2021'!J84/'2020'!J84-1))</f>
        <v>0.732083267122199</v>
      </c>
      <c r="M84" s="673" t="n">
        <f aca="false">'2021'!L84-'2020'!L84</f>
        <v>13</v>
      </c>
      <c r="N84" s="672" t="n">
        <f aca="false">IF('2021'!L84=0,0,IF('2020'!L84=0,0,'2021'!L84/'2020'!L84-1))</f>
        <v>0.188405797101449</v>
      </c>
      <c r="O84" s="673" t="n">
        <f aca="false">IF('2020'!N84="-",0,'2021'!N84-'2020'!N84)</f>
        <v>0</v>
      </c>
      <c r="P84" s="672" t="n">
        <f aca="false">IF('2021'!N84=0,0,IF('2020'!N84="-",0,'2021'!N84/'2020'!N84-1))</f>
        <v>0</v>
      </c>
      <c r="Q84" s="407" t="n">
        <v>27</v>
      </c>
      <c r="R84" s="408" t="n">
        <v>8</v>
      </c>
      <c r="S84" s="407" t="n">
        <v>33</v>
      </c>
      <c r="T84" s="408" t="n">
        <v>14</v>
      </c>
      <c r="U84" s="713" t="n">
        <f aca="false">'2021'!S84-'2020'!S84</f>
        <v>133</v>
      </c>
      <c r="V84" s="722" t="n">
        <f aca="false">IF('2021'!S84=0,0,IF('2020'!S84=0,0,'2021'!S84/'2020'!S84-1))</f>
        <v>0.551867219917012</v>
      </c>
      <c r="W84" s="713" t="n">
        <f aca="false">'2021'!U84-'2020'!U84</f>
        <v>13</v>
      </c>
      <c r="X84" s="723" t="n">
        <f aca="false">IF('2021'!U84=0,0,IF('2020'!U84=0,0,'2021'!U84/'2020'!U84-1))</f>
        <v>1.44444444444444</v>
      </c>
      <c r="Y84" s="85"/>
    </row>
    <row r="85" customFormat="false" ht="15" hidden="false" customHeight="true" outlineLevel="0" collapsed="false">
      <c r="A85" s="24" t="n">
        <v>39</v>
      </c>
      <c r="B85" s="283"/>
      <c r="C85" s="213"/>
      <c r="D85" s="737"/>
      <c r="E85" s="732" t="s">
        <v>126</v>
      </c>
      <c r="F85" s="738" t="s">
        <v>102</v>
      </c>
      <c r="G85" s="669" t="n">
        <f aca="false">'2021'!G85-'2020'!G85</f>
        <v>74</v>
      </c>
      <c r="H85" s="670" t="n">
        <f aca="false">IF('2021'!G85=0,0,IF('2020'!G85=0,0,'2021'!G85/'2020'!G85-1))</f>
        <v>0.474358974358974</v>
      </c>
      <c r="I85" s="671" t="n">
        <f aca="false">'2021'!H85-'2020'!H85</f>
        <v>29</v>
      </c>
      <c r="J85" s="672" t="n">
        <f aca="false">IF(I85=0,0,'2021'!H85/'2020'!H85-1)</f>
        <v>0.333333333333333</v>
      </c>
      <c r="K85" s="673" t="n">
        <f aca="false">'2021'!J85-'2020'!J85</f>
        <v>29.6</v>
      </c>
      <c r="L85" s="672" t="n">
        <f aca="false">IF('2021'!J85=0,0,IF('2020'!J85=0,0,'2021'!J85/'2020'!J85-1))</f>
        <v>0.474358974358974</v>
      </c>
      <c r="M85" s="673" t="n">
        <f aca="false">'2021'!L85-'2020'!L85</f>
        <v>16</v>
      </c>
      <c r="N85" s="672" t="n">
        <f aca="false">IF('2021'!L85=0,0,IF('2020'!L85=0,0,'2021'!L85/'2020'!L85-1))</f>
        <v>0.262295081967213</v>
      </c>
      <c r="O85" s="673" t="n">
        <f aca="false">IF('2020'!N85="-",0,'2021'!N85-'2020'!N85)</f>
        <v>0</v>
      </c>
      <c r="P85" s="672" t="n">
        <f aca="false">IF('2021'!N85=0,0,IF('2020'!N85="-",0,'2021'!N85/'2020'!N85-1))</f>
        <v>0</v>
      </c>
      <c r="Q85" s="407" t="n">
        <v>7</v>
      </c>
      <c r="R85" s="408" t="n">
        <v>5</v>
      </c>
      <c r="S85" s="407" t="n">
        <v>4</v>
      </c>
      <c r="T85" s="408" t="n">
        <v>1</v>
      </c>
      <c r="U85" s="713" t="n">
        <f aca="false">'2021'!S85-'2020'!S85</f>
        <v>70</v>
      </c>
      <c r="V85" s="722" t="n">
        <f aca="false">IF('2021'!S85=0,0,IF('2020'!S85=0,0,'2021'!S85/'2020'!S85-1))</f>
        <v>0.47945205479452</v>
      </c>
      <c r="W85" s="713" t="n">
        <f aca="false">'2021'!U85-'2020'!U85</f>
        <v>4</v>
      </c>
      <c r="X85" s="723" t="n">
        <f aca="false">IF('2021'!U85=0,0,IF('2020'!U85=0,0,'2021'!U85/'2020'!U85-1))</f>
        <v>0.285714285714286</v>
      </c>
      <c r="Y85" s="85"/>
    </row>
    <row r="86" customFormat="false" ht="15" hidden="false" customHeight="true" outlineLevel="0" collapsed="false">
      <c r="A86" s="24" t="n">
        <v>40</v>
      </c>
      <c r="B86" s="283"/>
      <c r="C86" s="213"/>
      <c r="D86" s="737"/>
      <c r="E86" s="732" t="s">
        <v>127</v>
      </c>
      <c r="F86" s="738" t="s">
        <v>102</v>
      </c>
      <c r="G86" s="669" t="n">
        <f aca="false">'2021'!G86-'2020'!G86</f>
        <v>72</v>
      </c>
      <c r="H86" s="670" t="n">
        <f aca="false">IF('2021'!G86=0,0,IF('2020'!G86=0,0,'2021'!G86/'2020'!G86-1))</f>
        <v>0.431137724550898</v>
      </c>
      <c r="I86" s="671" t="n">
        <f aca="false">'2021'!H86-'2020'!H86</f>
        <v>34</v>
      </c>
      <c r="J86" s="672" t="n">
        <f aca="false">IF(I86=0,0,'2021'!H86/'2020'!H86-1)</f>
        <v>0.425</v>
      </c>
      <c r="K86" s="673" t="n">
        <f aca="false">'2021'!J86-'2020'!J86</f>
        <v>41.58</v>
      </c>
      <c r="L86" s="672" t="n">
        <f aca="false">IF('2021'!J86=0,0,IF('2020'!J86=0,0,'2021'!J86/'2020'!J86-1))</f>
        <v>0.957623215108245</v>
      </c>
      <c r="M86" s="673" t="n">
        <f aca="false">'2021'!L86-'2020'!L86</f>
        <v>15</v>
      </c>
      <c r="N86" s="672" t="n">
        <f aca="false">IF('2021'!L86=0,0,IF('2020'!L86=0,0,'2021'!L86/'2020'!L86-1))</f>
        <v>0.241935483870968</v>
      </c>
      <c r="O86" s="673" t="n">
        <f aca="false">IF('2020'!N86="-",0,'2021'!N86-'2020'!N86)</f>
        <v>0</v>
      </c>
      <c r="P86" s="672" t="n">
        <f aca="false">IF('2021'!N86=0,0,IF('2020'!N86="-",0,'2021'!N86/'2020'!N86-1))</f>
        <v>0</v>
      </c>
      <c r="Q86" s="407" t="n">
        <v>7</v>
      </c>
      <c r="R86" s="408" t="n">
        <v>3</v>
      </c>
      <c r="S86" s="407" t="n">
        <v>33</v>
      </c>
      <c r="T86" s="408" t="n">
        <v>14</v>
      </c>
      <c r="U86" s="713" t="n">
        <f aca="false">'2021'!S86-'2020'!S86</f>
        <v>75</v>
      </c>
      <c r="V86" s="722" t="n">
        <f aca="false">IF('2021'!S86=0,0,IF('2020'!S86=0,0,'2021'!S86/'2020'!S86-1))</f>
        <v>0.490196078431373</v>
      </c>
      <c r="W86" s="713" t="n">
        <f aca="false">'2021'!U86-'2020'!U86</f>
        <v>0</v>
      </c>
      <c r="X86" s="723" t="n">
        <f aca="false">IF('2021'!U86=0,0,IF('2020'!U86=0,0,'2021'!U86/'2020'!U86-1))</f>
        <v>0</v>
      </c>
      <c r="Y86" s="85"/>
    </row>
    <row r="87" customFormat="false" ht="15" hidden="false" customHeight="true" outlineLevel="0" collapsed="false">
      <c r="B87" s="283"/>
      <c r="C87" s="213"/>
      <c r="D87" s="737"/>
      <c r="E87" s="732" t="s">
        <v>128</v>
      </c>
      <c r="F87" s="738"/>
      <c r="G87" s="669"/>
      <c r="H87" s="670"/>
      <c r="I87" s="671"/>
      <c r="J87" s="672"/>
      <c r="K87" s="673"/>
      <c r="L87" s="672"/>
      <c r="M87" s="673"/>
      <c r="N87" s="672"/>
      <c r="O87" s="673"/>
      <c r="P87" s="672"/>
      <c r="Q87" s="407"/>
      <c r="R87" s="408"/>
      <c r="S87" s="407"/>
      <c r="T87" s="408"/>
      <c r="U87" s="713"/>
      <c r="V87" s="722"/>
      <c r="W87" s="713"/>
      <c r="X87" s="723"/>
      <c r="Y87" s="85"/>
    </row>
    <row r="88" customFormat="false" ht="15" hidden="false" customHeight="true" outlineLevel="0" collapsed="false">
      <c r="A88" s="24" t="n">
        <v>41</v>
      </c>
      <c r="B88" s="283"/>
      <c r="C88" s="213"/>
      <c r="D88" s="737"/>
      <c r="E88" s="732" t="s">
        <v>129</v>
      </c>
      <c r="F88" s="738"/>
      <c r="G88" s="669"/>
      <c r="H88" s="670"/>
      <c r="I88" s="671"/>
      <c r="J88" s="672"/>
      <c r="K88" s="673"/>
      <c r="L88" s="672"/>
      <c r="M88" s="673"/>
      <c r="N88" s="672"/>
      <c r="O88" s="673"/>
      <c r="P88" s="672"/>
      <c r="Q88" s="407"/>
      <c r="R88" s="408"/>
      <c r="S88" s="407"/>
      <c r="T88" s="408"/>
      <c r="U88" s="713"/>
      <c r="V88" s="722"/>
      <c r="W88" s="713"/>
      <c r="X88" s="723"/>
      <c r="Y88" s="85"/>
    </row>
    <row r="89" customFormat="false" ht="15" hidden="false" customHeight="true" outlineLevel="0" collapsed="false">
      <c r="A89" s="24" t="n">
        <v>42</v>
      </c>
      <c r="B89" s="283"/>
      <c r="C89" s="213"/>
      <c r="D89" s="737"/>
      <c r="E89" s="732" t="s">
        <v>130</v>
      </c>
      <c r="F89" s="738"/>
      <c r="G89" s="669"/>
      <c r="H89" s="670"/>
      <c r="I89" s="671"/>
      <c r="J89" s="672"/>
      <c r="K89" s="673"/>
      <c r="L89" s="672"/>
      <c r="M89" s="673"/>
      <c r="N89" s="672"/>
      <c r="O89" s="673"/>
      <c r="P89" s="672"/>
      <c r="Q89" s="407"/>
      <c r="R89" s="408"/>
      <c r="S89" s="407"/>
      <c r="T89" s="408"/>
      <c r="U89" s="713"/>
      <c r="V89" s="722"/>
      <c r="W89" s="713"/>
      <c r="X89" s="723"/>
      <c r="Y89" s="85"/>
    </row>
    <row r="90" customFormat="false" ht="15" hidden="false" customHeight="true" outlineLevel="0" collapsed="false">
      <c r="B90" s="283"/>
      <c r="C90" s="213"/>
      <c r="D90" s="737"/>
      <c r="E90" s="732"/>
      <c r="F90" s="738"/>
      <c r="G90" s="669"/>
      <c r="H90" s="670"/>
      <c r="I90" s="671"/>
      <c r="J90" s="672"/>
      <c r="K90" s="673"/>
      <c r="L90" s="672"/>
      <c r="M90" s="673"/>
      <c r="N90" s="672"/>
      <c r="O90" s="673"/>
      <c r="P90" s="672"/>
      <c r="Q90" s="407"/>
      <c r="R90" s="408"/>
      <c r="S90" s="407"/>
      <c r="T90" s="408"/>
      <c r="U90" s="713"/>
      <c r="V90" s="722"/>
      <c r="W90" s="713"/>
      <c r="X90" s="723"/>
      <c r="Y90" s="85"/>
    </row>
    <row r="91" customFormat="false" ht="15" hidden="false" customHeight="true" outlineLevel="0" collapsed="false">
      <c r="B91" s="283"/>
      <c r="C91" s="213"/>
      <c r="D91" s="737"/>
      <c r="E91" s="732"/>
      <c r="F91" s="738"/>
      <c r="G91" s="669"/>
      <c r="H91" s="670"/>
      <c r="I91" s="671"/>
      <c r="J91" s="672"/>
      <c r="K91" s="673"/>
      <c r="L91" s="672"/>
      <c r="M91" s="673"/>
      <c r="N91" s="672"/>
      <c r="O91" s="673"/>
      <c r="P91" s="672"/>
      <c r="Q91" s="407"/>
      <c r="R91" s="408"/>
      <c r="S91" s="407"/>
      <c r="T91" s="408"/>
      <c r="U91" s="713"/>
      <c r="V91" s="722"/>
      <c r="W91" s="713"/>
      <c r="X91" s="723"/>
      <c r="Y91" s="85"/>
    </row>
    <row r="92" customFormat="false" ht="15" hidden="false" customHeight="true" outlineLevel="0" collapsed="false">
      <c r="A92" s="24" t="n">
        <v>43</v>
      </c>
      <c r="B92" s="283"/>
      <c r="C92" s="213"/>
      <c r="D92" s="737"/>
      <c r="E92" s="732" t="s">
        <v>131</v>
      </c>
      <c r="F92" s="738"/>
      <c r="G92" s="669"/>
      <c r="H92" s="670"/>
      <c r="I92" s="671"/>
      <c r="J92" s="672"/>
      <c r="K92" s="673"/>
      <c r="L92" s="672"/>
      <c r="M92" s="673"/>
      <c r="N92" s="672"/>
      <c r="O92" s="673"/>
      <c r="P92" s="672"/>
      <c r="Q92" s="407"/>
      <c r="R92" s="408"/>
      <c r="S92" s="407"/>
      <c r="T92" s="408"/>
      <c r="U92" s="713"/>
      <c r="V92" s="722"/>
      <c r="W92" s="713"/>
      <c r="X92" s="723"/>
      <c r="Y92" s="85"/>
    </row>
    <row r="93" customFormat="false" ht="15.75" hidden="false" customHeight="false" outlineLevel="0" collapsed="false">
      <c r="B93" s="283"/>
      <c r="C93" s="213"/>
      <c r="D93" s="739" t="s">
        <v>76</v>
      </c>
      <c r="E93" s="735"/>
      <c r="F93" s="740"/>
      <c r="G93" s="683" t="n">
        <f aca="false">SUM(G84:G92)</f>
        <v>275</v>
      </c>
      <c r="H93" s="684" t="n">
        <f aca="false">G93/SUM('2020'!G84:G86)</f>
        <v>0.509259259259259</v>
      </c>
      <c r="I93" s="685" t="n">
        <f aca="false">SUM(I84:I92)</f>
        <v>135</v>
      </c>
      <c r="J93" s="686" t="n">
        <f aca="false">I93/SUM('2020'!H84:H86)</f>
        <v>0.50185873605948</v>
      </c>
      <c r="K93" s="687" t="n">
        <f aca="false">SUM(K84:K92)</f>
        <v>117.25</v>
      </c>
      <c r="L93" s="686" t="n">
        <f aca="false">K93/SUM('2020'!J84:J86)</f>
        <v>0.694814814814815</v>
      </c>
      <c r="M93" s="687" t="n">
        <f aca="false">SUM(M84:M92)</f>
        <v>44</v>
      </c>
      <c r="N93" s="686" t="n">
        <f aca="false">M93/SUM('2020'!L84:L86)</f>
        <v>0.229166666666667</v>
      </c>
      <c r="O93" s="687" t="n">
        <f aca="false">SUM(O84:O92)</f>
        <v>0</v>
      </c>
      <c r="P93" s="686" t="e">
        <f aca="false">O93/SUM('2020'!N84:N86)</f>
        <v>#DIV/0!</v>
      </c>
      <c r="Q93" s="426" t="n">
        <f aca="false">SUM(Q84:Q92)</f>
        <v>41</v>
      </c>
      <c r="R93" s="427" t="n">
        <f aca="false">SUM(R84:R92)</f>
        <v>16</v>
      </c>
      <c r="S93" s="426" t="n">
        <f aca="false">SUM(S84:S92)</f>
        <v>70</v>
      </c>
      <c r="T93" s="427" t="n">
        <f aca="false">SUM(T84:T92)</f>
        <v>29</v>
      </c>
      <c r="U93" s="715" t="n">
        <f aca="false">SUM(U79:U92)</f>
        <v>487</v>
      </c>
      <c r="V93" s="724" t="n">
        <f aca="false">IF('2021'!S93=0,0,IF('2020'!S93=0,0,'2021'!S93/'2020'!S93-1))</f>
        <v>0.631481481481482</v>
      </c>
      <c r="W93" s="715" t="n">
        <f aca="false">SUM(W79:W92)</f>
        <v>27</v>
      </c>
      <c r="X93" s="725" t="n">
        <f aca="false">IF('2021'!U93=0,0,IF('2020'!U93=0,0,'2021'!U93/'2020'!U93-1))</f>
        <v>0.442857142857143</v>
      </c>
      <c r="Y93" s="85"/>
    </row>
    <row r="94" customFormat="false" ht="15.75" hidden="false" customHeight="true" outlineLevel="0" collapsed="false">
      <c r="A94" s="24" t="n">
        <v>44</v>
      </c>
      <c r="B94" s="266" t="s">
        <v>132</v>
      </c>
      <c r="C94" s="213" t="s">
        <v>97</v>
      </c>
      <c r="D94" s="651" t="n">
        <f aca="false">'2021'!D94-'2020'!D94</f>
        <v>3</v>
      </c>
      <c r="E94" s="660" t="s">
        <v>133</v>
      </c>
      <c r="F94" s="653" t="s">
        <v>102</v>
      </c>
      <c r="G94" s="662" t="n">
        <f aca="false">'2021'!G94-'2020'!G94</f>
        <v>26</v>
      </c>
      <c r="H94" s="663" t="n">
        <f aca="false">IF('2021'!G94=0,0,IF('2020'!G94=0,0,'2021'!G94/'2020'!G94-1))</f>
        <v>1.23809523809524</v>
      </c>
      <c r="I94" s="664" t="n">
        <f aca="false">'2021'!H94-'2020'!H94</f>
        <v>30</v>
      </c>
      <c r="J94" s="665" t="n">
        <f aca="false">IF(I94=0,0,'2021'!H94/'2020'!H94-1)</f>
        <v>3.75</v>
      </c>
      <c r="K94" s="666" t="n">
        <f aca="false">'2021'!J94-'2020'!J94</f>
        <v>2.91</v>
      </c>
      <c r="L94" s="665" t="n">
        <f aca="false">IF('2021'!J94=0,0,IF('2020'!J94=0,0,'2021'!J94/'2020'!J94-1))</f>
        <v>0.477832512315271</v>
      </c>
      <c r="M94" s="666" t="n">
        <f aca="false">'2021'!L94-'2020'!L94</f>
        <v>4.28</v>
      </c>
      <c r="N94" s="665" t="n">
        <f aca="false">IF('2021'!L94=0,0,IF('2020'!L94=0,0,'2021'!L94/'2020'!L94-1))</f>
        <v>0.636904761904762</v>
      </c>
      <c r="O94" s="666" t="n">
        <f aca="false">IF('2020'!N94="-",0,'2021'!N94-'2020'!N94)</f>
        <v>6</v>
      </c>
      <c r="P94" s="665" t="e">
        <f aca="false">IF('2021'!N94=0,0,IF('2020'!N94="-",0,'2021'!N94/'2020'!N94-1))</f>
        <v>#DIV/0!</v>
      </c>
      <c r="Q94" s="396" t="n">
        <v>1</v>
      </c>
      <c r="R94" s="397" t="n">
        <v>0</v>
      </c>
      <c r="S94" s="396" t="n">
        <v>7</v>
      </c>
      <c r="T94" s="397" t="n">
        <v>5</v>
      </c>
      <c r="U94" s="719" t="n">
        <f aca="false">'2021'!S94-'2020'!S94</f>
        <v>26</v>
      </c>
      <c r="V94" s="720" t="n">
        <f aca="false">IF('2021'!S94=0,0,IF('2020'!S94=0,0,'2021'!S94/'2020'!S94-1))</f>
        <v>1.36842105263158</v>
      </c>
      <c r="W94" s="719" t="n">
        <f aca="false">'2021'!U94-'2020'!U94</f>
        <v>-6</v>
      </c>
      <c r="X94" s="721" t="n">
        <f aca="false">IF('2021'!U94=0,0,IF('2020'!U94=0,0,'2021'!U94/'2020'!U94-1))</f>
        <v>-0.666666666666667</v>
      </c>
      <c r="Y94" s="85"/>
    </row>
    <row r="95" customFormat="false" ht="15.75" hidden="false" customHeight="true" outlineLevel="0" collapsed="false">
      <c r="A95" s="24" t="n">
        <v>45</v>
      </c>
      <c r="B95" s="266"/>
      <c r="C95" s="213"/>
      <c r="D95" s="651"/>
      <c r="E95" s="741" t="s">
        <v>134</v>
      </c>
      <c r="F95" s="691"/>
      <c r="G95" s="669"/>
      <c r="H95" s="670"/>
      <c r="I95" s="671"/>
      <c r="J95" s="672"/>
      <c r="K95" s="673"/>
      <c r="L95" s="672"/>
      <c r="M95" s="673"/>
      <c r="N95" s="672"/>
      <c r="O95" s="673"/>
      <c r="P95" s="672"/>
      <c r="Q95" s="407"/>
      <c r="R95" s="408"/>
      <c r="S95" s="407"/>
      <c r="T95" s="408"/>
      <c r="U95" s="713"/>
      <c r="V95" s="722"/>
      <c r="W95" s="713"/>
      <c r="X95" s="723"/>
      <c r="Y95" s="85"/>
    </row>
    <row r="96" customFormat="false" ht="15.75" hidden="false" customHeight="true" outlineLevel="0" collapsed="false">
      <c r="B96" s="266"/>
      <c r="C96" s="213"/>
      <c r="D96" s="651"/>
      <c r="E96" s="742"/>
      <c r="F96" s="691"/>
      <c r="G96" s="676"/>
      <c r="H96" s="677"/>
      <c r="I96" s="678"/>
      <c r="J96" s="679"/>
      <c r="K96" s="680"/>
      <c r="L96" s="679"/>
      <c r="M96" s="680"/>
      <c r="N96" s="679"/>
      <c r="O96" s="680"/>
      <c r="P96" s="679"/>
      <c r="Q96" s="412"/>
      <c r="R96" s="413"/>
      <c r="S96" s="412"/>
      <c r="T96" s="413"/>
      <c r="U96" s="728"/>
      <c r="V96" s="729"/>
      <c r="W96" s="728"/>
      <c r="X96" s="730"/>
      <c r="Y96" s="85"/>
    </row>
    <row r="97" customFormat="false" ht="15.75" hidden="false" customHeight="true" outlineLevel="0" collapsed="false">
      <c r="B97" s="266"/>
      <c r="C97" s="213"/>
      <c r="D97" s="651"/>
      <c r="E97" s="742"/>
      <c r="F97" s="691"/>
      <c r="G97" s="676"/>
      <c r="H97" s="677"/>
      <c r="I97" s="678"/>
      <c r="J97" s="679"/>
      <c r="K97" s="680"/>
      <c r="L97" s="679"/>
      <c r="M97" s="680"/>
      <c r="N97" s="679"/>
      <c r="O97" s="680"/>
      <c r="P97" s="679"/>
      <c r="Q97" s="412"/>
      <c r="R97" s="413"/>
      <c r="S97" s="412"/>
      <c r="T97" s="413"/>
      <c r="U97" s="728"/>
      <c r="V97" s="729"/>
      <c r="W97" s="728"/>
      <c r="X97" s="730"/>
      <c r="Y97" s="85"/>
    </row>
    <row r="98" customFormat="false" ht="15.75" hidden="false" customHeight="true" outlineLevel="0" collapsed="false">
      <c r="A98" s="24" t="n">
        <v>46</v>
      </c>
      <c r="B98" s="266"/>
      <c r="C98" s="213"/>
      <c r="D98" s="651"/>
      <c r="E98" s="743" t="s">
        <v>135</v>
      </c>
      <c r="F98" s="653"/>
      <c r="G98" s="683"/>
      <c r="H98" s="684"/>
      <c r="I98" s="685"/>
      <c r="J98" s="686"/>
      <c r="K98" s="687"/>
      <c r="L98" s="686"/>
      <c r="M98" s="687"/>
      <c r="N98" s="686"/>
      <c r="O98" s="687"/>
      <c r="P98" s="686"/>
      <c r="Q98" s="426"/>
      <c r="R98" s="427"/>
      <c r="S98" s="426"/>
      <c r="T98" s="427"/>
      <c r="U98" s="715"/>
      <c r="V98" s="724"/>
      <c r="W98" s="728"/>
      <c r="X98" s="730"/>
      <c r="Y98" s="85"/>
    </row>
    <row r="99" customFormat="false" ht="15.75" hidden="false" customHeight="true" outlineLevel="0" collapsed="false">
      <c r="B99" s="266"/>
      <c r="C99" s="213"/>
      <c r="D99" s="744" t="s">
        <v>76</v>
      </c>
      <c r="E99" s="652"/>
      <c r="F99" s="653"/>
      <c r="G99" s="654" t="n">
        <f aca="false">SUM(G94:G98)</f>
        <v>26</v>
      </c>
      <c r="H99" s="655" t="n">
        <f aca="false">G99/'2020'!G94</f>
        <v>1.23809523809524</v>
      </c>
      <c r="I99" s="656" t="n">
        <f aca="false">SUM(I94:I98)</f>
        <v>30</v>
      </c>
      <c r="J99" s="657" t="n">
        <f aca="false">I99/'2020'!H94</f>
        <v>3.75</v>
      </c>
      <c r="K99" s="656" t="n">
        <f aca="false">SUM(K94:K98)</f>
        <v>2.91</v>
      </c>
      <c r="L99" s="657" t="n">
        <f aca="false">K99/'2020'!J94</f>
        <v>0.477832512315271</v>
      </c>
      <c r="M99" s="656" t="n">
        <f aca="false">SUM(M94:M98)</f>
        <v>4.28</v>
      </c>
      <c r="N99" s="657" t="n">
        <f aca="false">M99/'2020'!L94</f>
        <v>0.636904761904762</v>
      </c>
      <c r="O99" s="656" t="n">
        <f aca="false">SUM(O94:O98)</f>
        <v>6</v>
      </c>
      <c r="P99" s="657" t="e">
        <f aca="false">O99/'2020'!N94</f>
        <v>#DIV/0!</v>
      </c>
      <c r="Q99" s="385" t="n">
        <f aca="false">SUM(Q94:Q98)</f>
        <v>1</v>
      </c>
      <c r="R99" s="386" t="n">
        <f aca="false">SUM(R94:R98)</f>
        <v>0</v>
      </c>
      <c r="S99" s="385" t="n">
        <f aca="false">SUM(S94:S98)</f>
        <v>7</v>
      </c>
      <c r="T99" s="386" t="n">
        <f aca="false">SUM(T94:T98)</f>
        <v>5</v>
      </c>
      <c r="U99" s="717" t="n">
        <f aca="false">SUM(U86:U98)</f>
        <v>588</v>
      </c>
      <c r="V99" s="726" t="n">
        <f aca="false">IF('2021'!S99=0,0,IF('2020'!S99=0,0,'2021'!S99/'2020'!S99-1))</f>
        <v>3.10526315789474</v>
      </c>
      <c r="W99" s="717" t="n">
        <f aca="false">SUM(W86:W98)</f>
        <v>21</v>
      </c>
      <c r="X99" s="727" t="n">
        <f aca="false">IF('2021'!U99=0,0,IF('2020'!U99=0,0,'2021'!U99/'2020'!U99-1))</f>
        <v>0.777777777777778</v>
      </c>
      <c r="Y99" s="85"/>
    </row>
    <row r="100" customFormat="false" ht="15.75" hidden="false" customHeight="true" outlineLevel="0" collapsed="false">
      <c r="A100" s="24" t="n">
        <v>47</v>
      </c>
      <c r="B100" s="325" t="s">
        <v>136</v>
      </c>
      <c r="C100" s="326" t="s">
        <v>97</v>
      </c>
      <c r="D100" s="651" t="n">
        <f aca="false">'2021'!D100-'2020'!D100</f>
        <v>-3</v>
      </c>
      <c r="E100" s="660" t="s">
        <v>137</v>
      </c>
      <c r="F100" s="661" t="s">
        <v>138</v>
      </c>
      <c r="G100" s="662"/>
      <c r="H100" s="663"/>
      <c r="I100" s="664"/>
      <c r="J100" s="665"/>
      <c r="K100" s="666"/>
      <c r="L100" s="665"/>
      <c r="M100" s="666"/>
      <c r="N100" s="665"/>
      <c r="O100" s="666"/>
      <c r="P100" s="665"/>
      <c r="Q100" s="396"/>
      <c r="R100" s="397"/>
      <c r="S100" s="396"/>
      <c r="T100" s="397"/>
      <c r="U100" s="398"/>
      <c r="V100" s="399"/>
      <c r="W100" s="398"/>
      <c r="X100" s="400"/>
      <c r="Y100" s="85"/>
    </row>
    <row r="101" customFormat="false" ht="15.75" hidden="false" customHeight="true" outlineLevel="0" collapsed="false">
      <c r="A101" s="24" t="n">
        <v>48</v>
      </c>
      <c r="B101" s="325"/>
      <c r="C101" s="326"/>
      <c r="D101" s="651"/>
      <c r="E101" s="667" t="s">
        <v>139</v>
      </c>
      <c r="F101" s="668" t="s">
        <v>138</v>
      </c>
      <c r="G101" s="669"/>
      <c r="H101" s="670"/>
      <c r="I101" s="671"/>
      <c r="J101" s="672"/>
      <c r="K101" s="673"/>
      <c r="L101" s="672"/>
      <c r="M101" s="673"/>
      <c r="N101" s="672"/>
      <c r="O101" s="673"/>
      <c r="P101" s="672"/>
      <c r="Q101" s="407"/>
      <c r="R101" s="408"/>
      <c r="S101" s="407"/>
      <c r="T101" s="408"/>
      <c r="U101" s="296"/>
      <c r="V101" s="291"/>
      <c r="W101" s="296"/>
      <c r="X101" s="297"/>
      <c r="Y101" s="85"/>
    </row>
    <row r="102" customFormat="false" ht="15.75" hidden="false" customHeight="true" outlineLevel="0" collapsed="false">
      <c r="A102" s="24" t="n">
        <v>49</v>
      </c>
      <c r="B102" s="325"/>
      <c r="C102" s="326"/>
      <c r="D102" s="651"/>
      <c r="E102" s="667" t="s">
        <v>140</v>
      </c>
      <c r="F102" s="668" t="s">
        <v>138</v>
      </c>
      <c r="G102" s="669"/>
      <c r="H102" s="670"/>
      <c r="I102" s="671"/>
      <c r="J102" s="672"/>
      <c r="K102" s="673"/>
      <c r="L102" s="672"/>
      <c r="M102" s="673"/>
      <c r="N102" s="672"/>
      <c r="O102" s="673"/>
      <c r="P102" s="672"/>
      <c r="Q102" s="407"/>
      <c r="R102" s="408"/>
      <c r="S102" s="407"/>
      <c r="T102" s="408"/>
      <c r="U102" s="296"/>
      <c r="V102" s="291"/>
      <c r="W102" s="296"/>
      <c r="X102" s="297"/>
      <c r="Y102" s="85"/>
    </row>
    <row r="103" customFormat="false" ht="15.75" hidden="false" customHeight="true" outlineLevel="0" collapsed="false">
      <c r="A103" s="24" t="n">
        <v>50</v>
      </c>
      <c r="B103" s="325"/>
      <c r="C103" s="326"/>
      <c r="D103" s="651"/>
      <c r="E103" s="667" t="s">
        <v>141</v>
      </c>
      <c r="F103" s="668" t="s">
        <v>138</v>
      </c>
      <c r="G103" s="669"/>
      <c r="H103" s="670"/>
      <c r="I103" s="671"/>
      <c r="J103" s="672"/>
      <c r="K103" s="673"/>
      <c r="L103" s="672"/>
      <c r="M103" s="673"/>
      <c r="N103" s="672"/>
      <c r="O103" s="673"/>
      <c r="P103" s="672"/>
      <c r="Q103" s="407"/>
      <c r="R103" s="408"/>
      <c r="S103" s="407"/>
      <c r="T103" s="408"/>
      <c r="U103" s="296"/>
      <c r="V103" s="291"/>
      <c r="W103" s="296"/>
      <c r="X103" s="297"/>
      <c r="Y103" s="85"/>
    </row>
    <row r="104" customFormat="false" ht="15.75" hidden="false" customHeight="true" outlineLevel="0" collapsed="false">
      <c r="A104" s="24" t="n">
        <v>51</v>
      </c>
      <c r="B104" s="325"/>
      <c r="C104" s="326"/>
      <c r="D104" s="651"/>
      <c r="E104" s="667" t="s">
        <v>142</v>
      </c>
      <c r="F104" s="668" t="s">
        <v>138</v>
      </c>
      <c r="G104" s="669"/>
      <c r="H104" s="670"/>
      <c r="I104" s="671"/>
      <c r="J104" s="672"/>
      <c r="K104" s="673"/>
      <c r="L104" s="672"/>
      <c r="M104" s="673"/>
      <c r="N104" s="672"/>
      <c r="O104" s="673"/>
      <c r="P104" s="672"/>
      <c r="Q104" s="407"/>
      <c r="R104" s="408"/>
      <c r="S104" s="407"/>
      <c r="T104" s="408"/>
      <c r="U104" s="296"/>
      <c r="V104" s="291"/>
      <c r="W104" s="296"/>
      <c r="X104" s="297"/>
      <c r="Y104" s="85"/>
    </row>
    <row r="105" customFormat="false" ht="15.75" hidden="false" customHeight="true" outlineLevel="0" collapsed="false">
      <c r="A105" s="24" t="n">
        <v>52</v>
      </c>
      <c r="B105" s="325"/>
      <c r="C105" s="326"/>
      <c r="D105" s="651"/>
      <c r="E105" s="667" t="s">
        <v>143</v>
      </c>
      <c r="F105" s="668"/>
      <c r="G105" s="669"/>
      <c r="H105" s="670"/>
      <c r="I105" s="671"/>
      <c r="J105" s="670"/>
      <c r="K105" s="673"/>
      <c r="L105" s="672"/>
      <c r="M105" s="673"/>
      <c r="N105" s="672"/>
      <c r="O105" s="673"/>
      <c r="P105" s="672"/>
      <c r="Q105" s="407"/>
      <c r="R105" s="408"/>
      <c r="S105" s="407"/>
      <c r="T105" s="408"/>
      <c r="U105" s="296"/>
      <c r="V105" s="291"/>
      <c r="W105" s="296"/>
      <c r="X105" s="297"/>
      <c r="Y105" s="85"/>
    </row>
    <row r="106" customFormat="false" ht="15.75" hidden="false" customHeight="true" outlineLevel="0" collapsed="false">
      <c r="A106" s="24" t="n">
        <v>53</v>
      </c>
      <c r="B106" s="325"/>
      <c r="C106" s="326"/>
      <c r="D106" s="651"/>
      <c r="E106" s="667" t="s">
        <v>144</v>
      </c>
      <c r="F106" s="668"/>
      <c r="G106" s="669"/>
      <c r="H106" s="670"/>
      <c r="I106" s="671"/>
      <c r="J106" s="670"/>
      <c r="K106" s="673"/>
      <c r="L106" s="672"/>
      <c r="M106" s="673"/>
      <c r="N106" s="672"/>
      <c r="O106" s="673"/>
      <c r="P106" s="672"/>
      <c r="Q106" s="407"/>
      <c r="R106" s="408"/>
      <c r="S106" s="407"/>
      <c r="T106" s="408"/>
      <c r="U106" s="296"/>
      <c r="V106" s="291"/>
      <c r="W106" s="296"/>
      <c r="X106" s="297"/>
      <c r="Y106" s="85"/>
    </row>
    <row r="107" customFormat="false" ht="15.75" hidden="false" customHeight="true" outlineLevel="0" collapsed="false">
      <c r="A107" s="24" t="n">
        <v>54</v>
      </c>
      <c r="B107" s="325"/>
      <c r="C107" s="326"/>
      <c r="D107" s="651"/>
      <c r="E107" s="667" t="s">
        <v>145</v>
      </c>
      <c r="F107" s="668" t="s">
        <v>138</v>
      </c>
      <c r="G107" s="669" t="n">
        <f aca="false">'2021'!G107-'2020'!G107</f>
        <v>122</v>
      </c>
      <c r="H107" s="670" t="n">
        <f aca="false">IF('2021'!G107=0,0,IF('2020'!G107=0,0,'2021'!G107/'2020'!G107-1))</f>
        <v>0.187403993855607</v>
      </c>
      <c r="I107" s="671" t="n">
        <f aca="false">'2021'!H107-'2020'!H107</f>
        <v>122</v>
      </c>
      <c r="J107" s="672" t="n">
        <f aca="false">IF(I107=0,0,'2021'!H107/'2020'!H107-1)</f>
        <v>0.187403993855607</v>
      </c>
      <c r="K107" s="673" t="n">
        <f aca="false">'2021'!J107-'2020'!J107</f>
        <v>304</v>
      </c>
      <c r="L107" s="672" t="n">
        <f aca="false">IF('2021'!J107=0,0,IF('2020'!J107=0,0,'2021'!J107/'2020'!J107-1))</f>
        <v>0</v>
      </c>
      <c r="M107" s="673" t="n">
        <f aca="false">'2021'!L107-'2020'!L107</f>
        <v>83</v>
      </c>
      <c r="N107" s="672" t="n">
        <f aca="false">IF('2021'!L107=0,0,IF('2020'!L107=0,0,'2021'!L107/'2020'!L107-1))</f>
        <v>0.332</v>
      </c>
      <c r="O107" s="673" t="n">
        <f aca="false">IF('2020'!N107="-",0,'2021'!N107-'2020'!N107)</f>
        <v>192</v>
      </c>
      <c r="P107" s="672" t="n">
        <f aca="false">IF('2021'!N107=0,0,IF('2020'!N107="",0,'2021'!N107/'2020'!N107-1))</f>
        <v>0</v>
      </c>
      <c r="Q107" s="407"/>
      <c r="R107" s="408"/>
      <c r="S107" s="407"/>
      <c r="T107" s="408"/>
      <c r="U107" s="296"/>
      <c r="V107" s="291"/>
      <c r="W107" s="296"/>
      <c r="X107" s="297"/>
      <c r="Y107" s="85"/>
    </row>
    <row r="108" customFormat="false" ht="15.75" hidden="false" customHeight="true" outlineLevel="0" collapsed="false">
      <c r="A108" s="24" t="n">
        <v>55</v>
      </c>
      <c r="B108" s="325"/>
      <c r="C108" s="326"/>
      <c r="D108" s="651"/>
      <c r="E108" s="667" t="s">
        <v>146</v>
      </c>
      <c r="F108" s="668" t="s">
        <v>138</v>
      </c>
      <c r="G108" s="669" t="n">
        <f aca="false">'2021'!G108-'2020'!G108</f>
        <v>14</v>
      </c>
      <c r="H108" s="670" t="n">
        <f aca="false">IF('2021'!G108=0,0,IF('2020'!G108=0,0,'2021'!G108/'2020'!G108-1))</f>
        <v>0.0227642276422764</v>
      </c>
      <c r="I108" s="671" t="n">
        <f aca="false">'2021'!H108-'2020'!H108</f>
        <v>14</v>
      </c>
      <c r="J108" s="672" t="n">
        <f aca="false">IF(I108=0,0,'2021'!H108/'2020'!H108-1)</f>
        <v>0.0227642276422764</v>
      </c>
      <c r="K108" s="673" t="n">
        <f aca="false">'2021'!J108-'2020'!J108</f>
        <v>296</v>
      </c>
      <c r="L108" s="672" t="n">
        <f aca="false">IF('2021'!J108=0,0,IF('2020'!J108=0,0,'2021'!J108/'2020'!J108-1))</f>
        <v>0</v>
      </c>
      <c r="M108" s="673" t="n">
        <f aca="false">'2021'!L108-'2020'!L108</f>
        <v>70</v>
      </c>
      <c r="N108" s="672" t="n">
        <f aca="false">IF('2021'!L108=0,0,IF('2020'!L108=0,0,'2021'!L108/'2020'!L108-1))</f>
        <v>0.29045643153527</v>
      </c>
      <c r="O108" s="673" t="n">
        <f aca="false">IF('2020'!N108="-",0,'2021'!N108-'2020'!N108)</f>
        <v>182</v>
      </c>
      <c r="P108" s="672" t="n">
        <f aca="false">IF('2021'!N108=0,0,IF('2020'!N108="",0,'2021'!N108/'2020'!N108-1))</f>
        <v>0</v>
      </c>
      <c r="Q108" s="407"/>
      <c r="R108" s="408"/>
      <c r="S108" s="407"/>
      <c r="T108" s="408"/>
      <c r="U108" s="296"/>
      <c r="V108" s="291"/>
      <c r="W108" s="296"/>
      <c r="X108" s="297"/>
      <c r="Y108" s="85"/>
    </row>
    <row r="109" customFormat="false" ht="15.75" hidden="false" customHeight="true" outlineLevel="0" collapsed="false">
      <c r="B109" s="325"/>
      <c r="C109" s="326"/>
      <c r="D109" s="651"/>
      <c r="E109" s="674"/>
      <c r="F109" s="675"/>
      <c r="G109" s="676"/>
      <c r="H109" s="677"/>
      <c r="I109" s="678"/>
      <c r="J109" s="679"/>
      <c r="K109" s="680"/>
      <c r="L109" s="679"/>
      <c r="M109" s="680"/>
      <c r="N109" s="679"/>
      <c r="O109" s="680"/>
      <c r="P109" s="679"/>
      <c r="Q109" s="412"/>
      <c r="R109" s="413"/>
      <c r="S109" s="412"/>
      <c r="T109" s="413"/>
      <c r="U109" s="414"/>
      <c r="V109" s="415"/>
      <c r="W109" s="414"/>
      <c r="X109" s="416"/>
      <c r="Y109" s="85"/>
    </row>
    <row r="110" customFormat="false" ht="15.75" hidden="false" customHeight="true" outlineLevel="0" collapsed="false">
      <c r="B110" s="325"/>
      <c r="C110" s="326"/>
      <c r="D110" s="651"/>
      <c r="E110" s="674"/>
      <c r="F110" s="675"/>
      <c r="G110" s="676"/>
      <c r="H110" s="677"/>
      <c r="I110" s="678"/>
      <c r="J110" s="679"/>
      <c r="K110" s="680"/>
      <c r="L110" s="679"/>
      <c r="M110" s="680"/>
      <c r="N110" s="679"/>
      <c r="O110" s="680"/>
      <c r="P110" s="679"/>
      <c r="Q110" s="412"/>
      <c r="R110" s="413"/>
      <c r="S110" s="412"/>
      <c r="T110" s="413"/>
      <c r="U110" s="414"/>
      <c r="V110" s="415"/>
      <c r="W110" s="414"/>
      <c r="X110" s="416"/>
      <c r="Y110" s="85"/>
    </row>
    <row r="111" customFormat="false" ht="15.75" hidden="false" customHeight="true" outlineLevel="0" collapsed="false">
      <c r="A111" s="24" t="n">
        <v>56</v>
      </c>
      <c r="B111" s="325"/>
      <c r="C111" s="326"/>
      <c r="D111" s="651"/>
      <c r="E111" s="681" t="s">
        <v>147</v>
      </c>
      <c r="F111" s="682" t="s">
        <v>138</v>
      </c>
      <c r="G111" s="683"/>
      <c r="H111" s="684"/>
      <c r="I111" s="685"/>
      <c r="J111" s="686"/>
      <c r="K111" s="687"/>
      <c r="L111" s="686"/>
      <c r="M111" s="687"/>
      <c r="N111" s="686"/>
      <c r="O111" s="687"/>
      <c r="P111" s="686"/>
      <c r="Q111" s="426"/>
      <c r="R111" s="427"/>
      <c r="S111" s="426"/>
      <c r="T111" s="427"/>
      <c r="U111" s="306"/>
      <c r="V111" s="301"/>
      <c r="W111" s="306"/>
      <c r="X111" s="307"/>
      <c r="Y111" s="85"/>
    </row>
    <row r="112" customFormat="false" ht="16.5" hidden="false" customHeight="false" outlineLevel="0" collapsed="false">
      <c r="B112" s="325"/>
      <c r="C112" s="326"/>
      <c r="D112" s="745" t="s">
        <v>76</v>
      </c>
      <c r="E112" s="746"/>
      <c r="F112" s="747"/>
      <c r="G112" s="748" t="n">
        <f aca="false">SUM(G100:G111)</f>
        <v>136</v>
      </c>
      <c r="H112" s="749" t="n">
        <f aca="false">G112/SUM('2020'!G107:G108)</f>
        <v>0.107424960505529</v>
      </c>
      <c r="I112" s="750" t="n">
        <f aca="false">SUM(I100:I111)</f>
        <v>136</v>
      </c>
      <c r="J112" s="751" t="n">
        <f aca="false">I112/SUM('2020'!H107:H108)</f>
        <v>0.107424960505529</v>
      </c>
      <c r="K112" s="752" t="n">
        <f aca="false">SUM(K100:K111)</f>
        <v>600</v>
      </c>
      <c r="L112" s="751" t="e">
        <f aca="false">K112/SUM('2020'!J107:J108)</f>
        <v>#DIV/0!</v>
      </c>
      <c r="M112" s="752" t="n">
        <f aca="false">SUM(M100:M111)</f>
        <v>153</v>
      </c>
      <c r="N112" s="751" t="n">
        <f aca="false">M112/SUM('2020'!L107:L108)</f>
        <v>0.311608961303462</v>
      </c>
      <c r="O112" s="752" t="n">
        <f aca="false">SUM(O100:O111)</f>
        <v>374</v>
      </c>
      <c r="P112" s="751" t="e">
        <f aca="false">O112/SUM('2020'!N107:N108)</f>
        <v>#DIV/0!</v>
      </c>
      <c r="Q112" s="692"/>
      <c r="R112" s="693"/>
      <c r="S112" s="692"/>
      <c r="T112" s="693"/>
      <c r="U112" s="534"/>
      <c r="V112" s="535"/>
      <c r="W112" s="534"/>
      <c r="X112" s="536"/>
      <c r="Y112" s="85"/>
    </row>
    <row r="113" s="171" customFormat="true" ht="21" hidden="false" customHeight="true" outlineLevel="0" collapsed="false">
      <c r="A113" s="24"/>
      <c r="B113" s="340" t="s">
        <v>148</v>
      </c>
      <c r="C113" s="341"/>
      <c r="D113" s="694" t="n">
        <f aca="false">SUM(D45:D111)</f>
        <v>-28</v>
      </c>
      <c r="E113" s="695" t="n">
        <f aca="false">COUNT(A45:A112)</f>
        <v>43</v>
      </c>
      <c r="F113" s="696" t="n">
        <f aca="false">COUNT(K45:K111)</f>
        <v>34</v>
      </c>
      <c r="G113" s="753" t="n">
        <f aca="false">G53+G69+G80+G93+G94+G112</f>
        <v>633</v>
      </c>
      <c r="H113" s="754" t="n">
        <f aca="false">G113/'2020'!G113</f>
        <v>0.131957473420888</v>
      </c>
      <c r="I113" s="755" t="n">
        <f aca="false">I53+I69+I80+I93+I94+I112</f>
        <v>561</v>
      </c>
      <c r="J113" s="756" t="n">
        <f aca="false">I113/'2020'!H113</f>
        <v>0.167063728409768</v>
      </c>
      <c r="K113" s="757" t="n">
        <f aca="false">K53+K69+K80+K93+K94+K112</f>
        <v>821.95</v>
      </c>
      <c r="L113" s="756" t="n">
        <f aca="false">K113/'2020'!J113</f>
        <v>0.614289451066851</v>
      </c>
      <c r="M113" s="757" t="n">
        <f aca="false">M53+M69+M80+M93+M94+M112</f>
        <v>275.69</v>
      </c>
      <c r="N113" s="756" t="n">
        <f aca="false">M113/'2020'!L113</f>
        <v>0.143789997444336</v>
      </c>
      <c r="O113" s="758" t="n">
        <f aca="false">O53+O69+O80+O93+O99+O112</f>
        <v>424.0998</v>
      </c>
      <c r="P113" s="759" t="n">
        <f aca="false">IF('2021'!N113=0,0,IF('2020'!N113="-",0,'2021'!N113/'2020'!N113-1))</f>
        <v>6.33757755574535</v>
      </c>
      <c r="Q113" s="451"/>
      <c r="R113" s="452"/>
      <c r="S113" s="451"/>
      <c r="T113" s="452"/>
      <c r="U113" s="451"/>
      <c r="V113" s="452"/>
      <c r="W113" s="451"/>
      <c r="X113" s="453"/>
      <c r="Y113" s="170"/>
    </row>
    <row r="114" s="171" customFormat="true" ht="21" hidden="false" customHeight="true" outlineLevel="0" collapsed="false">
      <c r="A114" s="24"/>
      <c r="B114" s="340" t="s">
        <v>149</v>
      </c>
      <c r="C114" s="341"/>
      <c r="D114" s="694" t="n">
        <f aca="false">D113+D44</f>
        <v>-17</v>
      </c>
      <c r="E114" s="695" t="n">
        <f aca="false">E44+E113</f>
        <v>71</v>
      </c>
      <c r="F114" s="696" t="n">
        <f aca="false">F113+F44</f>
        <v>64</v>
      </c>
      <c r="G114" s="753" t="n">
        <f aca="false">G44+G113</f>
        <v>782</v>
      </c>
      <c r="H114" s="754" t="n">
        <f aca="false">G114/'2020'!G114</f>
        <v>0.150645347717203</v>
      </c>
      <c r="I114" s="755" t="n">
        <f aca="false">I44+I113</f>
        <v>707</v>
      </c>
      <c r="J114" s="756" t="n">
        <f aca="false">I114/'2020'!H114</f>
        <v>0.196771500139159</v>
      </c>
      <c r="K114" s="757" t="n">
        <f aca="false">K44+K113</f>
        <v>892.98</v>
      </c>
      <c r="L114" s="756" t="n">
        <f aca="false">K114/'2020'!J114</f>
        <v>0.625765581421424</v>
      </c>
      <c r="M114" s="757" t="n">
        <f aca="false">M44+M113</f>
        <v>327.67</v>
      </c>
      <c r="N114" s="756" t="n">
        <f aca="false">M114/'2020'!L114</f>
        <v>0.163318098219136</v>
      </c>
      <c r="O114" s="758" t="n">
        <f aca="false">O44+O113</f>
        <v>440.1398</v>
      </c>
      <c r="P114" s="759" t="n">
        <f aca="false">IF('2021'!N114=0,0,IF('2020'!N114="-",0,'2021'!N114/'2020'!N114-1))</f>
        <v>3.28928358240965</v>
      </c>
      <c r="Q114" s="451"/>
      <c r="R114" s="452"/>
      <c r="S114" s="451"/>
      <c r="T114" s="452"/>
      <c r="U114" s="451"/>
      <c r="V114" s="452"/>
      <c r="W114" s="451"/>
      <c r="X114" s="453"/>
      <c r="Y114" s="170"/>
    </row>
    <row r="115" customFormat="false" ht="15" hidden="false" customHeight="false" outlineLevel="0" collapsed="false">
      <c r="B115" s="354"/>
      <c r="C115" s="355"/>
      <c r="D115" s="355"/>
      <c r="E115" s="354"/>
      <c r="F115" s="355"/>
      <c r="G115" s="542"/>
      <c r="H115" s="542"/>
      <c r="I115" s="542"/>
      <c r="J115" s="542"/>
      <c r="K115" s="543"/>
      <c r="L115" s="543"/>
      <c r="M115" s="543"/>
      <c r="O115" s="544" t="s">
        <v>150</v>
      </c>
      <c r="P115" s="544"/>
      <c r="Q115" s="542"/>
      <c r="R115" s="542"/>
      <c r="S115" s="542"/>
      <c r="T115" s="542"/>
      <c r="U115" s="542"/>
      <c r="V115" s="542"/>
      <c r="W115" s="542"/>
      <c r="X115" s="542"/>
    </row>
    <row r="116" customFormat="false" ht="15" hidden="false" customHeight="false" outlineLevel="0" collapsed="false">
      <c r="E116" s="359" t="s">
        <v>151</v>
      </c>
      <c r="F116" s="360"/>
      <c r="G116" s="2" t="n">
        <f aca="false">SUM('2021'!G107:G108)-SUM('2020'!G107:G108)</f>
        <v>136</v>
      </c>
    </row>
    <row r="117" customFormat="false" ht="15" hidden="false" customHeight="false" outlineLevel="0" collapsed="false">
      <c r="E117" s="1" t="s">
        <v>70</v>
      </c>
      <c r="F117" s="2" t="n">
        <f aca="false">COUNTIF(F$5:F$111,E117)</f>
        <v>31</v>
      </c>
    </row>
    <row r="118" customFormat="false" ht="15.75" hidden="false" customHeight="false" outlineLevel="0" collapsed="false">
      <c r="A118" s="22"/>
      <c r="E118" s="1" t="s">
        <v>138</v>
      </c>
      <c r="F118" s="2" t="n">
        <f aca="false">COUNTIF(F$5:F$111,E118)</f>
        <v>8</v>
      </c>
    </row>
    <row r="119" customFormat="false" ht="15.75" hidden="false" customHeight="false" outlineLevel="0" collapsed="false">
      <c r="A119" s="22"/>
      <c r="E119" s="1" t="s">
        <v>102</v>
      </c>
      <c r="F119" s="2" t="n">
        <f aca="false">COUNTIF(F$5:F$111,E119)</f>
        <v>21</v>
      </c>
      <c r="I119" s="1"/>
    </row>
    <row r="120" customFormat="false" ht="15" hidden="false" customHeight="false" outlineLevel="0" collapsed="false">
      <c r="I120" s="1"/>
    </row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>
      <c r="I138" s="1"/>
    </row>
    <row r="139" customFormat="false" ht="15" hidden="false" customHeight="true" outlineLevel="0" collapsed="false">
      <c r="I139" s="1"/>
    </row>
    <row r="140" customFormat="false" ht="15" hidden="false" customHeight="true" outlineLevel="0" collapsed="false">
      <c r="I140" s="1"/>
    </row>
    <row r="141" customFormat="false" ht="15" hidden="false" customHeight="true" outlineLevel="0" collapsed="false">
      <c r="I141" s="1"/>
    </row>
    <row r="142" customFormat="false" ht="15" hidden="false" customHeight="true" outlineLevel="0" collapsed="false">
      <c r="I142" s="1"/>
    </row>
  </sheetData>
  <autoFilter ref="G4:X4"/>
  <mergeCells count="48">
    <mergeCell ref="B2:B4"/>
    <mergeCell ref="C2:C4"/>
    <mergeCell ref="D2:D4"/>
    <mergeCell ref="E2:E4"/>
    <mergeCell ref="F2:F4"/>
    <mergeCell ref="G2:J2"/>
    <mergeCell ref="K2:L3"/>
    <mergeCell ref="M2:N3"/>
    <mergeCell ref="O2:P3"/>
    <mergeCell ref="Q2:R2"/>
    <mergeCell ref="S2:T2"/>
    <mergeCell ref="U2:V2"/>
    <mergeCell ref="W2:X2"/>
    <mergeCell ref="G3:H3"/>
    <mergeCell ref="I3:J3"/>
    <mergeCell ref="U3:V3"/>
    <mergeCell ref="W3:X3"/>
    <mergeCell ref="B7:B20"/>
    <mergeCell ref="C7:C20"/>
    <mergeCell ref="D7:D19"/>
    <mergeCell ref="B21:B32"/>
    <mergeCell ref="C21:C32"/>
    <mergeCell ref="D21:D31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B62:B69"/>
    <mergeCell ref="C62:C69"/>
    <mergeCell ref="D62:D68"/>
    <mergeCell ref="B70:B80"/>
    <mergeCell ref="C70:C80"/>
    <mergeCell ref="D70:D79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O115:P115"/>
  </mergeCells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2020-06-23T06:39:08Z</dcterms:created>
  <dc:creator>Yannick ROGUET</dc:creator>
  <dc:description/>
  <dc:language>fr-FR</dc:language>
  <cp:lastModifiedBy/>
  <cp:lastPrinted>2020-06-24T07:16:41Z</cp:lastPrinted>
  <dcterms:modified xsi:type="dcterms:W3CDTF">2022-06-06T18:33:51Z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