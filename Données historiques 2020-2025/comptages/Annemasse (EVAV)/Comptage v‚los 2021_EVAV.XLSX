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ex" sheetId="1" state="visible" r:id="rId2"/>
    <sheet name="2020" sheetId="2" state="visible" r:id="rId3"/>
    <sheet name="2021" sheetId="3" state="visible" r:id="rId4"/>
    <sheet name="2021-2020" sheetId="4" state="visible" r:id="rId5"/>
  </sheets>
  <definedNames>
    <definedName function="false" hidden="false" localSheetId="1" name="_xlnm._FilterDatabase" vbProcedure="false">'2020'!$B$2:$V$74</definedName>
    <definedName function="false" hidden="false" localSheetId="2" name="_xlnm._FilterDatabase" vbProcedure="false">'2021'!$B$2:$V$74</definedName>
    <definedName function="false" hidden="false" localSheetId="3" name="_xlnm._FilterDatabase" vbProcedure="false">'2021-2020'!$B$2:$X$74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6" authorId="0">
      <text>
        <r>
          <rPr>
            <sz val="11"/>
            <color rgb="FF000000"/>
            <rFont val="Calibri"/>
            <family val="2"/>
            <charset val="1"/>
          </rPr>
          <t xml:space="preserve">Chiffres modifiés pour être comparable horaire 2021 : 7h00-9h00</t>
        </r>
      </text>
    </comment>
    <comment ref="G27" authorId="0">
      <text>
        <r>
          <rPr>
            <sz val="11"/>
            <color rgb="FF000000"/>
            <rFont val="Calibri"/>
            <family val="2"/>
          </rPr>
          <t xml:space="preserve">Chiffres modifiés pour être comparable horaire 2021 : 7h00-9h00*</t>
        </r>
      </text>
    </comment>
    <comment ref="G28" authorId="0">
      <text>
        <r>
          <rPr>
            <sz val="11"/>
            <color rgb="FF000000"/>
            <rFont val="Calibri"/>
            <family val="2"/>
          </rPr>
          <t xml:space="preserve">Chiffres modifiés pour être comparable horaire 2021 : 7h00-9h00
</t>
        </r>
      </text>
    </comment>
    <comment ref="G29" authorId="0">
      <text>
        <r>
          <rPr>
            <sz val="11"/>
            <color rgb="FF000000"/>
            <rFont val="Calibri"/>
            <family val="2"/>
          </rPr>
          <t xml:space="preserve">Chiffres modifiés pour être comparable horaire 2021 : 7h00-9h00
</t>
        </r>
      </text>
    </comment>
    <comment ref="G30" authorId="0">
      <text>
        <r>
          <rPr>
            <sz val="11"/>
            <color rgb="FF000000"/>
            <rFont val="Calibri"/>
            <family val="2"/>
          </rPr>
          <t xml:space="preserve">Chiffres modifiés pour être comparable horaire 2021 : 7h00-9h00</t>
        </r>
      </text>
    </comment>
    <comment ref="G31" authorId="0">
      <text>
        <r>
          <rPr>
            <sz val="11"/>
            <color rgb="FF000000"/>
            <rFont val="Calibri"/>
            <family val="2"/>
          </rPr>
          <t xml:space="preserve">Chiffres modifiés pour être comparable horaire 2021 : 7h00-9h00</t>
        </r>
      </text>
    </comment>
    <comment ref="H26" authorId="0">
      <text>
        <r>
          <rPr>
            <sz val="11"/>
            <color rgb="FF000000"/>
            <rFont val="Calibri"/>
            <family val="2"/>
          </rPr>
          <t xml:space="preserve">Chiffres modifiés pour être comparable horaire 2021 : 7h00-9h00</t>
        </r>
      </text>
    </comment>
  </commentList>
</comments>
</file>

<file path=xl/sharedStrings.xml><?xml version="1.0" encoding="utf-8"?>
<sst xmlns="http://schemas.openxmlformats.org/spreadsheetml/2006/main" count="817" uniqueCount="159">
  <si>
    <t xml:space="preserve">Eléments à renseigner par chaque association dans l'onglet "2021"</t>
  </si>
  <si>
    <t xml:space="preserve">Colonne</t>
  </si>
  <si>
    <t xml:space="preserve">Ce qu'il faut renseigner</t>
  </si>
  <si>
    <t xml:space="preserve">Toutes les cellules blanches ne sont pas à renseigner (formule de calcul ou NC)</t>
  </si>
  <si>
    <t xml:space="preserve">Eléments obligatoires &gt;&gt; cellules en vert dans l'onglet "2021"</t>
  </si>
  <si>
    <t xml:space="preserve">DONNEES GENERALES</t>
  </si>
  <si>
    <t xml:space="preserve">D</t>
  </si>
  <si>
    <t xml:space="preserve">nombre de bénévoles par poste de comptage</t>
  </si>
  <si>
    <t xml:space="preserve">E</t>
  </si>
  <si>
    <t xml:space="preserve">nom/localisation du poste de comptage</t>
  </si>
  <si>
    <t xml:space="preserve">F</t>
  </si>
  <si>
    <t xml:space="preserve">implantation : France / Suisse / Frontière</t>
  </si>
  <si>
    <t xml:space="preserve">G</t>
  </si>
  <si>
    <t xml:space="preserve">nombre total de cyclistes comptés sur toute la période</t>
  </si>
  <si>
    <t xml:space="preserve">H</t>
  </si>
  <si>
    <t xml:space="preserve">nombre de cyclistes comptés sur l'heure de pointe (7h30 - 8h30) uniquement</t>
  </si>
  <si>
    <t xml:space="preserve">I</t>
  </si>
  <si>
    <t xml:space="preserve">calcul automatique (du nombre de VAE dans le total)</t>
  </si>
  <si>
    <t xml:space="preserve">J</t>
  </si>
  <si>
    <t xml:space="preserve">nombre de VAE dans le total (référence à la colonne G)</t>
  </si>
  <si>
    <t xml:space="preserve">K</t>
  </si>
  <si>
    <t xml:space="preserve">calcul automatique (du nombre de femmes dans le total)</t>
  </si>
  <si>
    <t xml:space="preserve">L</t>
  </si>
  <si>
    <t xml:space="preserve">nombre de femmes dans le total (référence à la colonne G)</t>
  </si>
  <si>
    <t xml:space="preserve">Eléments obligatoires pour les postes frontières et carrefours proches frontière               </t>
  </si>
  <si>
    <t xml:space="preserve">&gt;&gt; cellules en vert dans l'onglet "2021"</t>
  </si>
  <si>
    <t xml:space="preserve">FRONTIERE</t>
  </si>
  <si>
    <t xml:space="preserve">S</t>
  </si>
  <si>
    <t xml:space="preserve">nombre total de cyclistes comptés sur toute la période - Direction Suisse</t>
  </si>
  <si>
    <t xml:space="preserve">T</t>
  </si>
  <si>
    <t xml:space="preserve">nombre de cyclistes comptés sur l'heure de pointe (7h30 - 8h30) uniquement - Direction Suisse</t>
  </si>
  <si>
    <t xml:space="preserve">U</t>
  </si>
  <si>
    <t xml:space="preserve">nombre total de cyclistes comptés sur toute la période - Direction France</t>
  </si>
  <si>
    <t xml:space="preserve">V</t>
  </si>
  <si>
    <t xml:space="preserve">nombre de cyclistes comptés sur l'heure de pointe (7h30 - 8h30) uniquement - Direction France</t>
  </si>
  <si>
    <t xml:space="preserve">Eléments facultatifs &gt;&gt; cellules en rose dans l'onglet "2021"</t>
  </si>
  <si>
    <t xml:space="preserve">AUTRES DONNEES</t>
  </si>
  <si>
    <t xml:space="preserve">M</t>
  </si>
  <si>
    <t xml:space="preserve">calcul automatique (du nombre total de VAE chez les femmes)</t>
  </si>
  <si>
    <t xml:space="preserve">N</t>
  </si>
  <si>
    <t xml:space="preserve">nombre total de VAE chez les femmes (valeur spécifique à relever)</t>
  </si>
  <si>
    <t xml:space="preserve">O</t>
  </si>
  <si>
    <t xml:space="preserve">nombre total de personnes comptées sur toute la période en "autre mode" (trottinette, gyropode…)</t>
  </si>
  <si>
    <t xml:space="preserve">P</t>
  </si>
  <si>
    <t xml:space="preserve">nombre total de personnes comptées en HPM (7h30 - 8h30) en "autre mode" (trottinette, gyropode…)</t>
  </si>
  <si>
    <t xml:space="preserve">Q</t>
  </si>
  <si>
    <t xml:space="preserve">nombre total de piétons comptés sur toute la période</t>
  </si>
  <si>
    <t xml:space="preserve">R</t>
  </si>
  <si>
    <t xml:space="preserve">nombre total de piétons comptés en HPM (7h30 - 8h30)</t>
  </si>
  <si>
    <t xml:space="preserve">Association(s)</t>
  </si>
  <si>
    <t xml:space="preserve">Arrière-pays</t>
  </si>
  <si>
    <t xml:space="preserve">Nombre de bénévoles</t>
  </si>
  <si>
    <t xml:space="preserve">Postes de comptage</t>
  </si>
  <si>
    <t xml:space="preserve">France / Suisse / Frontière</t>
  </si>
  <si>
    <t xml:space="preserve">Nombre de vélos</t>
  </si>
  <si>
    <t xml:space="preserve">% VAE dans le total</t>
  </si>
  <si>
    <t xml:space="preserve">NB VAE dans le total</t>
  </si>
  <si>
    <t xml:space="preserve">% femmes dans le total</t>
  </si>
  <si>
    <t xml:space="preserve">NB de femmes dans le total</t>
  </si>
  <si>
    <t xml:space="preserve">% de VAE chez les femmes</t>
  </si>
  <si>
    <t xml:space="preserve">NB de VAE chez les femmes</t>
  </si>
  <si>
    <t xml:space="preserve">Autres modes</t>
  </si>
  <si>
    <t xml:space="preserve">Piétons</t>
  </si>
  <si>
    <t xml:space="preserve">&gt; Suisse</t>
  </si>
  <si>
    <t xml:space="preserve">&gt; France</t>
  </si>
  <si>
    <t xml:space="preserve">total</t>
  </si>
  <si>
    <t xml:space="preserve">HP</t>
  </si>
  <si>
    <t xml:space="preserve">UP Cluses</t>
  </si>
  <si>
    <t xml:space="preserve">OUI</t>
  </si>
  <si>
    <t xml:space="preserve">CLUSES_Passerelle de Messy</t>
  </si>
  <si>
    <t xml:space="preserve">France</t>
  </si>
  <si>
    <t xml:space="preserve">NatEnv &amp; Fabrique à Biclou</t>
  </si>
  <si>
    <t xml:space="preserve">LA ROCHE_Carrefour Biocoop</t>
  </si>
  <si>
    <t xml:space="preserve">-</t>
  </si>
  <si>
    <t xml:space="preserve">LA ROCHE_Giratoire La Poste</t>
  </si>
  <si>
    <t xml:space="preserve">LA ROCHE_Giratoire ENILV</t>
  </si>
  <si>
    <t xml:space="preserve">ARENTHON_La Papeterie</t>
  </si>
  <si>
    <t xml:space="preserve">ST-PIERRE_Franchissement Borne-Dessy</t>
  </si>
  <si>
    <t xml:space="preserve">BONNEVILLE_Franchissement Borne-Tucinge</t>
  </si>
  <si>
    <t xml:space="preserve">ST-PIERRE_Pont principal sur le Borne</t>
  </si>
  <si>
    <t xml:space="preserve">AMANCY_Giratoire Coriandre</t>
  </si>
  <si>
    <t xml:space="preserve">Sous-total</t>
  </si>
  <si>
    <t xml:space="preserve">AERE</t>
  </si>
  <si>
    <t xml:space="preserve">ETREMBIERES_Giratoire ex PN93</t>
  </si>
  <si>
    <t xml:space="preserve">ETREMBIERES_Carrefour sous Château</t>
  </si>
  <si>
    <t xml:space="preserve">SCIENTRIER_Carrefour Tour de Bellecombe</t>
  </si>
  <si>
    <t xml:space="preserve">REIGNIER_Giratoire église</t>
  </si>
  <si>
    <t xml:space="preserve">REIGNIER_Giratoire Foron</t>
  </si>
  <si>
    <t xml:space="preserve">REIGNIER_Giratoire La Forge</t>
  </si>
  <si>
    <t xml:space="preserve">PERS-JUSSY_Giratoire Casino</t>
  </si>
  <si>
    <t xml:space="preserve">ARTHAZ_Giratoire lavage auto</t>
  </si>
  <si>
    <t xml:space="preserve">Sous-total périmètre "arrière-pays"</t>
  </si>
  <si>
    <t xml:space="preserve">EVAV</t>
  </si>
  <si>
    <t xml:space="preserve">NON</t>
  </si>
  <si>
    <t xml:space="preserve">AMBILLY_Voie verte Pont Noir</t>
  </si>
  <si>
    <t xml:space="preserve">ANNEMASSE_Voie verte Jura</t>
  </si>
  <si>
    <t xml:space="preserve">ANNEMASSE_Devant l'agglo</t>
  </si>
  <si>
    <t xml:space="preserve">GAILLARD_Douane de Fossard</t>
  </si>
  <si>
    <t xml:space="preserve">Frontière</t>
  </si>
  <si>
    <t xml:space="preserve">ANNEMASSE_Clos Fleury</t>
  </si>
  <si>
    <t xml:space="preserve">GAILLARD_Douane de Moïllesullaz</t>
  </si>
  <si>
    <t xml:space="preserve">Salève Vivant</t>
  </si>
  <si>
    <t xml:space="preserve">COLLONGES_Douane de Croix de Rozon</t>
  </si>
  <si>
    <t xml:space="preserve">ARCHAMPS_Douane de Landecy</t>
  </si>
  <si>
    <t xml:space="preserve">BOSSEY_Douane de Pierre-Grand</t>
  </si>
  <si>
    <t xml:space="preserve">BOSSEY_Douane de Troinex/Bossey</t>
  </si>
  <si>
    <t xml:space="preserve">VEYRIER_Douane du Pas de l'Echelle</t>
  </si>
  <si>
    <t xml:space="preserve">ST-JULIEN_Douane de Charrot</t>
  </si>
  <si>
    <t xml:space="preserve">Groupe St-Julien</t>
  </si>
  <si>
    <t xml:space="preserve">ST-JULIEN_Douane de Perly</t>
  </si>
  <si>
    <t xml:space="preserve">ST-JULIEN_Passage douanier des Crottes</t>
  </si>
  <si>
    <t xml:space="preserve">ST-JULIEN_Paguette (chemin de l'Aire)</t>
  </si>
  <si>
    <t xml:space="preserve">ST-JULIEN_Douane de Certoux (rte Thérens)</t>
  </si>
  <si>
    <t xml:space="preserve">ST-JULIEN_Douane de Soral 1</t>
  </si>
  <si>
    <t xml:space="preserve">VIRY_Douane de Soral 2</t>
  </si>
  <si>
    <t xml:space="preserve">VIRY_Malagny</t>
  </si>
  <si>
    <t xml:space="preserve">VALLEIRY_La Joux</t>
  </si>
  <si>
    <t xml:space="preserve">APICY</t>
  </si>
  <si>
    <t xml:space="preserve">ST-GENIS_Giratoire Porte de France</t>
  </si>
  <si>
    <t xml:space="preserve">FERNEY_Douane</t>
  </si>
  <si>
    <t xml:space="preserve">FERNEY_Douane de Mategnin</t>
  </si>
  <si>
    <t xml:space="preserve">ATE Vaud / ProVélo La Côte</t>
  </si>
  <si>
    <t xml:space="preserve">DIVONNE_Douane de Crassy / Crassier</t>
  </si>
  <si>
    <t xml:space="preserve">DIVONNE_Douane de Chavanne</t>
  </si>
  <si>
    <t xml:space="preserve">VERSONNEX_Douane de Collex-Bossy</t>
  </si>
  <si>
    <t xml:space="preserve">SAUVERNY_Douane de Sauverny</t>
  </si>
  <si>
    <t xml:space="preserve">ProVélo GE</t>
  </si>
  <si>
    <t xml:space="preserve">GENEVE_Rue du XXXI Décembre</t>
  </si>
  <si>
    <t xml:space="preserve">Suisse</t>
  </si>
  <si>
    <t xml:space="preserve">GENEVE_Bd Georges Favon</t>
  </si>
  <si>
    <t xml:space="preserve">GENEVE_Arquebuse</t>
  </si>
  <si>
    <t xml:space="preserve">GENEVE_Rue Ferdinand Hodler</t>
  </si>
  <si>
    <t xml:space="preserve">GENEVE_Av. Pictet de Rochemont</t>
  </si>
  <si>
    <t xml:space="preserve">CHÊNE-BOURG_Ecole de Haller</t>
  </si>
  <si>
    <t xml:space="preserve">THÔNEX_Ch. de la Mousse/Rte de Jussy</t>
  </si>
  <si>
    <t xml:space="preserve">GENEVE_Voie Verte / Av. Bel-Air</t>
  </si>
  <si>
    <t xml:space="preserve">GENEVE_Voie Verte / Av. Frank Thomas</t>
  </si>
  <si>
    <t xml:space="preserve">GENEVE_Bd des Tranchées</t>
  </si>
  <si>
    <t xml:space="preserve">Sous-total périmètre urbain</t>
  </si>
  <si>
    <t xml:space="preserve">TOTAL</t>
  </si>
  <si>
    <t xml:space="preserve">données partielles</t>
  </si>
  <si>
    <t xml:space="preserve">Localisation des postes de comptage :</t>
  </si>
  <si>
    <t xml:space="preserve">Université Populaire de Cluses</t>
  </si>
  <si>
    <t xml:space="preserve">OK</t>
  </si>
  <si>
    <t xml:space="preserve">NatEnv (Nature Environnement en Pays rochois)
Fabrique à Biclou
Pays rochois en Transition</t>
  </si>
  <si>
    <t xml:space="preserve">LA ROCHE_Gare Passage à niveau (new 2021)</t>
  </si>
  <si>
    <t xml:space="preserve">AERE (Association Environnement Reignier-Esery)</t>
  </si>
  <si>
    <t xml:space="preserve">EVAV (En Ville A Vélo)</t>
  </si>
  <si>
    <t xml:space="preserve">KO</t>
  </si>
  <si>
    <t xml:space="preserve">Compté par ProVélo en 2021 (Salève Vivant en 2020)</t>
  </si>
  <si>
    <t xml:space="preserve">APiCy (Association des Piétons et Cyclistes du Pays de Gex)</t>
  </si>
  <si>
    <t xml:space="preserve">Evolution des vélos 2020-2021</t>
  </si>
  <si>
    <t xml:space="preserve">Evolution des VAE 2020-2021</t>
  </si>
  <si>
    <t xml:space="preserve">Evolution des femmes  2020-2021</t>
  </si>
  <si>
    <t xml:space="preserve">Evolution des VAE chez les femmes 2020-2021</t>
  </si>
  <si>
    <t xml:space="preserve">en HP</t>
  </si>
  <si>
    <t xml:space="preserve">#</t>
  </si>
  <si>
    <t xml:space="preserve">%</t>
  </si>
  <si>
    <t xml:space="preserve">LA ROCHE_Gare Passage à niveau (new2021)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</si>
</sst>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 %"/>
    <numFmt numFmtId="166" formatCode="General"/>
    <numFmt numFmtId="167" formatCode="#,##0"/>
    <numFmt numFmtId="168" formatCode="0&quot; postes de comptages&quot;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b val="true"/>
      <sz val="11"/>
      <name val="Calibri"/>
      <family val="2"/>
      <charset val="1"/>
    </font>
    <font>
      <b val="true"/>
      <sz val="12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2DFF8C"/>
        <bgColor rgb="FF00FFFF"/>
      </patternFill>
    </fill>
    <fill>
      <patternFill patternType="solid">
        <fgColor rgb="FFFF99CC"/>
        <bgColor rgb="FFFF8080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729FCF"/>
        <bgColor rgb="FF969696"/>
      </patternFill>
    </fill>
    <fill>
      <patternFill patternType="solid">
        <fgColor rgb="FFFFCCCC"/>
        <bgColor rgb="FFD9D9D9"/>
      </patternFill>
    </fill>
  </fills>
  <borders count="131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7030A0"/>
      </bottom>
      <diagonal/>
    </border>
    <border diagonalUp="false" diagonalDown="false">
      <left/>
      <right style="thick">
        <color rgb="FF7030A0"/>
      </right>
      <top/>
      <bottom/>
      <diagonal/>
    </border>
    <border diagonalUp="false" diagonalDown="false">
      <left style="thick">
        <color rgb="FF7030A0"/>
      </left>
      <right/>
      <top style="thick">
        <color rgb="FF7030A0"/>
      </top>
      <bottom/>
      <diagonal/>
    </border>
    <border diagonalUp="false" diagonalDown="false">
      <left/>
      <right/>
      <top style="thick">
        <color rgb="FF7030A0"/>
      </top>
      <bottom/>
      <diagonal/>
    </border>
    <border diagonalUp="false" diagonalDown="false">
      <left/>
      <right style="thick">
        <color rgb="FF7030A0"/>
      </right>
      <top style="thick">
        <color rgb="FF7030A0"/>
      </top>
      <bottom/>
      <diagonal/>
    </border>
    <border diagonalUp="false" diagonalDown="false">
      <left style="thick">
        <color rgb="FF7030A0"/>
      </left>
      <right/>
      <top/>
      <bottom/>
      <diagonal/>
    </border>
    <border diagonalUp="false" diagonalDown="false">
      <left style="thick">
        <color rgb="FF7030A0"/>
      </left>
      <right/>
      <top/>
      <bottom style="thick">
        <color rgb="FF7030A0"/>
      </bottom>
      <diagonal/>
    </border>
    <border diagonalUp="false" diagonalDown="false">
      <left/>
      <right style="thick">
        <color rgb="FF7030A0"/>
      </right>
      <top/>
      <bottom style="thick">
        <color rgb="FF7030A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dotted">
        <color rgb="FF7F7F7F"/>
      </right>
      <top/>
      <bottom/>
      <diagonal/>
    </border>
    <border diagonalUp="false" diagonalDown="false">
      <left style="dotted">
        <color rgb="FF7F7F7F"/>
      </left>
      <right style="thin"/>
      <top/>
      <bottom/>
      <diagonal/>
    </border>
    <border diagonalUp="false" diagonalDown="false">
      <left style="thin"/>
      <right style="dotted">
        <color rgb="FF7F7F7F"/>
      </right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dotted">
        <color rgb="FF7F7F7F"/>
      </right>
      <top/>
      <bottom style="medium"/>
      <diagonal/>
    </border>
    <border diagonalUp="false" diagonalDown="false">
      <left style="dotted">
        <color rgb="FF7F7F7F"/>
      </left>
      <right style="thin"/>
      <top/>
      <bottom style="medium"/>
      <diagonal/>
    </border>
    <border diagonalUp="false" diagonalDown="false">
      <left style="thin"/>
      <right style="dotted">
        <color rgb="FF7F7F7F"/>
      </right>
      <top/>
      <bottom style="medium"/>
      <diagonal/>
    </border>
    <border diagonalUp="false" diagonalDown="false">
      <left style="dotted">
        <color rgb="FF7F7F7F"/>
      </left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thin"/>
      <top style="medium"/>
      <bottom style="thin"/>
      <diagonal/>
    </border>
    <border diagonalUp="false" diagonalDown="false">
      <left style="thin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dotted">
        <color rgb="FF7F7F7F"/>
      </bottom>
      <diagonal/>
    </border>
    <border diagonalUp="false" diagonalDown="false">
      <left style="thin"/>
      <right style="medium"/>
      <top style="thin"/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thin"/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thin"/>
      <bottom style="dotted">
        <color rgb="FF7F7F7F"/>
      </bottom>
      <diagonal/>
    </border>
    <border diagonalUp="false" diagonalDown="false">
      <left/>
      <right style="thin"/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medium"/>
      <top style="dotted">
        <color rgb="FF7F7F7F"/>
      </top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dotted">
        <color rgb="FF7F7F7F"/>
      </top>
      <bottom style="dotted">
        <color rgb="FF7F7F7F"/>
      </bottom>
      <diagonal/>
    </border>
    <border diagonalUp="false" diagonalDown="false">
      <left/>
      <right style="thin"/>
      <top style="dotted">
        <color rgb="FF7F7F7F"/>
      </top>
      <bottom style="thin"/>
      <diagonal/>
    </border>
    <border diagonalUp="false" diagonalDown="false">
      <left style="thin"/>
      <right style="medium"/>
      <top style="dotted">
        <color rgb="FF7F7F7F"/>
      </top>
      <bottom style="thin"/>
      <diagonal/>
    </border>
    <border diagonalUp="false" diagonalDown="false">
      <left style="medium"/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thin"/>
      <top style="dotted">
        <color rgb="FF7F7F7F"/>
      </top>
      <bottom style="thin"/>
      <diagonal/>
    </border>
    <border diagonalUp="false" diagonalDown="false">
      <left style="thin"/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medium"/>
      <top style="dotted">
        <color rgb="FF7F7F7F"/>
      </top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thin"/>
      <top style="thin"/>
      <bottom style="thin"/>
      <diagonal/>
    </border>
    <border diagonalUp="false" diagonalDown="false">
      <left style="thin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thin"/>
      <top style="thin"/>
      <bottom style="medium"/>
      <diagonal/>
    </border>
    <border diagonalUp="false" diagonalDown="false">
      <left style="thin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medium"/>
      <top style="thin"/>
      <bottom style="medium"/>
      <diagonal/>
    </border>
    <border diagonalUp="false" diagonalDown="false">
      <left style="medium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medium"/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medium"/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medium"/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medium"/>
      <bottom style="dotted">
        <color rgb="FF7F7F7F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dotted">
        <color rgb="FF7F7F7F"/>
      </left>
      <right style="medium"/>
      <top style="thin"/>
      <bottom style="thin"/>
      <diagonal/>
    </border>
    <border diagonalUp="false" diagonalDown="false">
      <left style="medium"/>
      <right/>
      <top/>
      <bottom style="dotted">
        <color rgb="FF7F7F7F"/>
      </bottom>
      <diagonal/>
    </border>
    <border diagonalUp="false" diagonalDown="false">
      <left/>
      <right/>
      <top/>
      <bottom style="dotted">
        <color rgb="FF7F7F7F"/>
      </bottom>
      <diagonal/>
    </border>
    <border diagonalUp="false" diagonalDown="false">
      <left/>
      <right style="thin"/>
      <top/>
      <bottom style="dotted">
        <color rgb="FF7F7F7F"/>
      </bottom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dotted">
        <color rgb="FF7F7F7F"/>
      </top>
      <bottom style="dotted">
        <color rgb="FF7F7F7F"/>
      </bottom>
      <diagonal/>
    </border>
    <border diagonalUp="false" diagonalDown="false">
      <left/>
      <right/>
      <top style="dotted">
        <color rgb="FF7F7F7F"/>
      </top>
      <bottom style="dotted">
        <color rgb="FF7F7F7F"/>
      </bottom>
      <diagonal/>
    </border>
    <border diagonalUp="false" diagonalDown="false">
      <left style="medium"/>
      <right/>
      <top style="dotted">
        <color rgb="FF7F7F7F"/>
      </top>
      <bottom style="thin"/>
      <diagonal/>
    </border>
    <border diagonalUp="false" diagonalDown="false">
      <left/>
      <right/>
      <top style="dotted">
        <color rgb="FF7F7F7F"/>
      </top>
      <bottom style="thin"/>
      <diagonal/>
    </border>
    <border diagonalUp="false" diagonalDown="false">
      <left style="medium"/>
      <right/>
      <top style="thin"/>
      <bottom style="dotted">
        <color rgb="FF7F7F7F"/>
      </bottom>
      <diagonal/>
    </border>
    <border diagonalUp="false" diagonalDown="false">
      <left/>
      <right/>
      <top style="thin"/>
      <bottom style="dotted">
        <color rgb="FF7F7F7F"/>
      </bottom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/>
      <bottom style="dotted">
        <color rgb="FF7F7F7F"/>
      </bottom>
      <diagonal/>
    </border>
    <border diagonalUp="false" diagonalDown="false">
      <left style="dotted">
        <color rgb="FF7F7F7F"/>
      </left>
      <right style="thin"/>
      <top/>
      <bottom style="dotted">
        <color rgb="FF7F7F7F"/>
      </bottom>
      <diagonal/>
    </border>
    <border diagonalUp="false" diagonalDown="false">
      <left style="thin"/>
      <right style="dotted">
        <color rgb="FF7F7F7F"/>
      </right>
      <top/>
      <bottom style="dotted">
        <color rgb="FF7F7F7F"/>
      </bottom>
      <diagonal/>
    </border>
    <border diagonalUp="false" diagonalDown="false">
      <left style="dotted">
        <color rgb="FF7F7F7F"/>
      </left>
      <right style="medium"/>
      <top/>
      <bottom style="dotted">
        <color rgb="FF7F7F7F"/>
      </bottom>
      <diagonal/>
    </border>
    <border diagonalUp="false" diagonalDown="false">
      <left style="medium"/>
      <right style="dotted"/>
      <top/>
      <bottom/>
      <diagonal/>
    </border>
    <border diagonalUp="false" diagonalDown="false">
      <left style="dotted"/>
      <right style="thin"/>
      <top/>
      <bottom/>
      <diagonal/>
    </border>
    <border diagonalUp="false" diagonalDown="false">
      <left style="thin"/>
      <right style="dotted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dotted"/>
      <top/>
      <bottom style="medium"/>
      <diagonal/>
    </border>
    <border diagonalUp="false" diagonalDown="false">
      <left style="dotted"/>
      <right style="dotted"/>
      <top/>
      <bottom style="medium"/>
      <diagonal/>
    </border>
    <border diagonalUp="false" diagonalDown="false">
      <left style="dotted"/>
      <right style="thin"/>
      <top/>
      <bottom style="medium"/>
      <diagonal/>
    </border>
    <border diagonalUp="false" diagonalDown="false">
      <left style="thin"/>
      <right style="dotted"/>
      <top/>
      <bottom style="medium"/>
      <diagonal/>
    </border>
    <border diagonalUp="false" diagonalDown="false">
      <left style="dotted"/>
      <right style="medium"/>
      <top/>
      <bottom style="medium"/>
      <diagonal/>
    </border>
    <border diagonalUp="false" diagonalDown="false">
      <left style="dotted">
        <color rgb="FF7F7F7F"/>
      </left>
      <right style="dotted"/>
      <top style="medium"/>
      <bottom style="thin"/>
      <diagonal/>
    </border>
    <border diagonalUp="false" diagonalDown="false">
      <left style="dotted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dotted"/>
      <top style="thin"/>
      <bottom style="dotted">
        <color rgb="FF7F7F7F"/>
      </bottom>
      <diagonal/>
    </border>
    <border diagonalUp="false" diagonalDown="false">
      <left style="dotted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dotted"/>
      <top style="dotted">
        <color rgb="FF7F7F7F"/>
      </top>
      <bottom style="dotted">
        <color rgb="FF7F7F7F"/>
      </bottom>
      <diagonal/>
    </border>
    <border diagonalUp="false" diagonalDown="false">
      <left style="dotted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dotted"/>
      <top style="dotted">
        <color rgb="FF7F7F7F"/>
      </top>
      <bottom style="thin"/>
      <diagonal/>
    </border>
    <border diagonalUp="false" diagonalDown="false">
      <left style="dotted"/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dotted"/>
      <top style="thin"/>
      <bottom style="thin"/>
      <diagonal/>
    </border>
    <border diagonalUp="false" diagonalDown="false">
      <left style="dotted"/>
      <right style="dotted">
        <color rgb="FF7F7F7F"/>
      </right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dotted">
        <color rgb="FF7F7F7F"/>
      </left>
      <right style="dotted"/>
      <top style="thin"/>
      <bottom style="medium"/>
      <diagonal/>
    </border>
    <border diagonalUp="false" diagonalDown="false">
      <left style="dotted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dotted"/>
      <top style="medium"/>
      <bottom style="medium"/>
      <diagonal/>
    </border>
    <border diagonalUp="false" diagonalDown="false">
      <left style="dotted"/>
      <right style="dotted">
        <color rgb="FF7F7F7F"/>
      </right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4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7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7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7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6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6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7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7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7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8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8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9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9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8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8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8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8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6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9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9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7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7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4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9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9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0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0" borderId="4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0" borderId="5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5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10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4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6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4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0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0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10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4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4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9" borderId="10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7" borderId="17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10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0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0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1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7" borderId="11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1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2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8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8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2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9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12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1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6" borderId="7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2" borderId="12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6" borderId="1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6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6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5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6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6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10" borderId="8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9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9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7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6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9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9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Percent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729FC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2DFF8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30A0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9" activeCellId="0" sqref="K29"/>
    </sheetView>
  </sheetViews>
  <sheetFormatPr defaultColWidth="11.43359375" defaultRowHeight="15" zeroHeight="false" outlineLevelRow="0" outlineLevelCol="0"/>
  <cols>
    <col collapsed="false" customWidth="true" hidden="false" outlineLevel="0" max="2" min="1" style="1" width="1.14"/>
    <col collapsed="false" customWidth="true" hidden="false" outlineLevel="0" max="4" min="3" style="1" width="2.14"/>
    <col collapsed="false" customWidth="true" hidden="false" outlineLevel="0" max="5" min="5" style="2" width="6.57"/>
    <col collapsed="false" customWidth="true" hidden="false" outlineLevel="0" max="6" min="6" style="1" width="91.71"/>
    <col collapsed="false" customWidth="true" hidden="false" outlineLevel="0" max="8" min="7" style="1" width="1.14"/>
    <col collapsed="false" customWidth="false" hidden="false" outlineLevel="0" max="1024" min="9" style="1" width="11.42"/>
  </cols>
  <sheetData>
    <row r="1" customFormat="false" ht="7.5" hidden="false" customHeight="true" outlineLevel="0" collapsed="false">
      <c r="A1" s="3"/>
      <c r="B1" s="4"/>
      <c r="C1" s="4"/>
      <c r="D1" s="4"/>
      <c r="E1" s="5"/>
      <c r="F1" s="4"/>
      <c r="G1" s="4"/>
      <c r="H1" s="3"/>
    </row>
    <row r="2" customFormat="false" ht="7.5" hidden="false" customHeight="true" outlineLevel="0" collapsed="false">
      <c r="A2" s="6"/>
      <c r="B2" s="7"/>
      <c r="C2" s="8"/>
      <c r="D2" s="8"/>
      <c r="E2" s="9"/>
      <c r="F2" s="8"/>
      <c r="G2" s="10"/>
      <c r="H2" s="11"/>
    </row>
    <row r="3" customFormat="false" ht="24.75" hidden="false" customHeight="true" outlineLevel="0" collapsed="false">
      <c r="A3" s="6"/>
      <c r="B3" s="11"/>
      <c r="C3" s="12" t="s">
        <v>0</v>
      </c>
      <c r="D3" s="12"/>
      <c r="E3" s="12"/>
      <c r="F3" s="12"/>
      <c r="G3" s="6"/>
      <c r="H3" s="11"/>
    </row>
    <row r="4" s="14" customFormat="true" ht="6.75" hidden="false" customHeight="true" outlineLevel="0" collapsed="false">
      <c r="A4" s="6"/>
      <c r="B4" s="11"/>
      <c r="C4" s="13"/>
      <c r="D4" s="13"/>
      <c r="E4" s="13"/>
      <c r="F4" s="13"/>
      <c r="G4" s="6"/>
      <c r="H4" s="11"/>
    </row>
    <row r="5" s="20" customFormat="true" ht="17.25" hidden="false" customHeight="true" outlineLevel="0" collapsed="false">
      <c r="A5" s="15"/>
      <c r="B5" s="16"/>
      <c r="C5" s="17"/>
      <c r="D5" s="18" t="s">
        <v>1</v>
      </c>
      <c r="E5" s="18"/>
      <c r="F5" s="19" t="s">
        <v>2</v>
      </c>
      <c r="G5" s="15"/>
      <c r="H5" s="16"/>
    </row>
    <row r="6" s="14" customFormat="true" ht="6.75" hidden="false" customHeight="true" outlineLevel="0" collapsed="false">
      <c r="A6" s="6"/>
      <c r="B6" s="11"/>
      <c r="C6" s="13"/>
      <c r="D6" s="13"/>
      <c r="E6" s="13"/>
      <c r="F6" s="13"/>
      <c r="G6" s="6"/>
      <c r="H6" s="11"/>
    </row>
    <row r="7" customFormat="false" ht="18.75" hidden="false" customHeight="false" outlineLevel="0" collapsed="false">
      <c r="A7" s="6"/>
      <c r="B7" s="11"/>
      <c r="C7" s="21"/>
      <c r="D7" s="22" t="s">
        <v>3</v>
      </c>
      <c r="E7" s="23"/>
      <c r="F7" s="24"/>
      <c r="G7" s="6"/>
      <c r="H7" s="11"/>
    </row>
    <row r="8" s="14" customFormat="true" ht="6.75" hidden="false" customHeight="true" outlineLevel="0" collapsed="false">
      <c r="A8" s="6"/>
      <c r="B8" s="11"/>
      <c r="C8" s="13"/>
      <c r="D8" s="13"/>
      <c r="E8" s="13"/>
      <c r="F8" s="13"/>
      <c r="G8" s="6"/>
      <c r="H8" s="11"/>
    </row>
    <row r="9" customFormat="false" ht="18.75" hidden="false" customHeight="false" outlineLevel="0" collapsed="false">
      <c r="A9" s="6"/>
      <c r="B9" s="11"/>
      <c r="C9" s="21"/>
      <c r="D9" s="25" t="s">
        <v>4</v>
      </c>
      <c r="E9" s="26"/>
      <c r="F9" s="27"/>
      <c r="G9" s="6"/>
      <c r="H9" s="11"/>
    </row>
    <row r="10" customFormat="false" ht="15" hidden="false" customHeight="false" outlineLevel="0" collapsed="false">
      <c r="A10" s="6"/>
      <c r="B10" s="11"/>
      <c r="C10" s="3"/>
      <c r="D10" s="28" t="s">
        <v>5</v>
      </c>
      <c r="E10" s="29" t="s">
        <v>6</v>
      </c>
      <c r="F10" s="3" t="s">
        <v>7</v>
      </c>
      <c r="G10" s="6"/>
      <c r="H10" s="11"/>
    </row>
    <row r="11" customFormat="false" ht="15" hidden="false" customHeight="false" outlineLevel="0" collapsed="false">
      <c r="A11" s="6"/>
      <c r="B11" s="11"/>
      <c r="C11" s="3"/>
      <c r="D11" s="28"/>
      <c r="E11" s="29" t="s">
        <v>8</v>
      </c>
      <c r="F11" s="3" t="s">
        <v>9</v>
      </c>
      <c r="G11" s="6"/>
      <c r="H11" s="11"/>
    </row>
    <row r="12" customFormat="false" ht="15" hidden="false" customHeight="false" outlineLevel="0" collapsed="false">
      <c r="A12" s="6"/>
      <c r="B12" s="11"/>
      <c r="C12" s="3"/>
      <c r="D12" s="28"/>
      <c r="E12" s="29" t="s">
        <v>10</v>
      </c>
      <c r="F12" s="3" t="s">
        <v>11</v>
      </c>
      <c r="G12" s="6"/>
      <c r="H12" s="11"/>
    </row>
    <row r="13" customFormat="false" ht="15" hidden="false" customHeight="false" outlineLevel="0" collapsed="false">
      <c r="A13" s="6"/>
      <c r="B13" s="11"/>
      <c r="C13" s="3"/>
      <c r="D13" s="28"/>
      <c r="E13" s="29" t="s">
        <v>12</v>
      </c>
      <c r="F13" s="3" t="s">
        <v>13</v>
      </c>
      <c r="G13" s="6"/>
      <c r="H13" s="11"/>
    </row>
    <row r="14" customFormat="false" ht="15" hidden="false" customHeight="false" outlineLevel="0" collapsed="false">
      <c r="A14" s="6"/>
      <c r="B14" s="11"/>
      <c r="C14" s="3"/>
      <c r="D14" s="28"/>
      <c r="E14" s="29" t="s">
        <v>14</v>
      </c>
      <c r="F14" s="3" t="s">
        <v>15</v>
      </c>
      <c r="G14" s="6"/>
      <c r="H14" s="11"/>
    </row>
    <row r="15" s="35" customFormat="true" ht="15" hidden="false" customHeight="false" outlineLevel="0" collapsed="false">
      <c r="A15" s="30"/>
      <c r="B15" s="31"/>
      <c r="C15" s="32"/>
      <c r="D15" s="28"/>
      <c r="E15" s="33" t="s">
        <v>16</v>
      </c>
      <c r="F15" s="34" t="s">
        <v>17</v>
      </c>
      <c r="G15" s="30"/>
      <c r="H15" s="31"/>
    </row>
    <row r="16" customFormat="false" ht="15" hidden="false" customHeight="false" outlineLevel="0" collapsed="false">
      <c r="A16" s="6"/>
      <c r="B16" s="11"/>
      <c r="C16" s="3"/>
      <c r="D16" s="28"/>
      <c r="E16" s="29" t="s">
        <v>18</v>
      </c>
      <c r="F16" s="3" t="s">
        <v>19</v>
      </c>
      <c r="G16" s="6"/>
      <c r="H16" s="11"/>
    </row>
    <row r="17" s="35" customFormat="true" ht="15" hidden="false" customHeight="false" outlineLevel="0" collapsed="false">
      <c r="A17" s="30"/>
      <c r="B17" s="31"/>
      <c r="C17" s="32"/>
      <c r="D17" s="28"/>
      <c r="E17" s="33" t="s">
        <v>20</v>
      </c>
      <c r="F17" s="34" t="s">
        <v>21</v>
      </c>
      <c r="G17" s="30"/>
      <c r="H17" s="31"/>
    </row>
    <row r="18" customFormat="false" ht="15" hidden="false" customHeight="false" outlineLevel="0" collapsed="false">
      <c r="A18" s="6"/>
      <c r="B18" s="11"/>
      <c r="C18" s="3"/>
      <c r="D18" s="28"/>
      <c r="E18" s="29" t="s">
        <v>22</v>
      </c>
      <c r="F18" s="3" t="s">
        <v>23</v>
      </c>
      <c r="G18" s="6"/>
      <c r="H18" s="11"/>
    </row>
    <row r="19" customFormat="false" ht="6.75" hidden="false" customHeight="true" outlineLevel="0" collapsed="false">
      <c r="A19" s="6"/>
      <c r="B19" s="11"/>
      <c r="C19" s="3"/>
      <c r="D19" s="3"/>
      <c r="E19" s="29"/>
      <c r="F19" s="3"/>
      <c r="G19" s="6"/>
      <c r="H19" s="11"/>
    </row>
    <row r="20" customFormat="false" ht="15.75" hidden="false" customHeight="true" outlineLevel="0" collapsed="false">
      <c r="A20" s="6"/>
      <c r="B20" s="11"/>
      <c r="C20" s="3"/>
      <c r="D20" s="25" t="s">
        <v>24</v>
      </c>
      <c r="E20" s="25"/>
      <c r="F20" s="25"/>
      <c r="G20" s="6"/>
      <c r="H20" s="11"/>
    </row>
    <row r="21" customFormat="false" ht="15.75" hidden="false" customHeight="false" outlineLevel="0" collapsed="false">
      <c r="A21" s="6"/>
      <c r="B21" s="11"/>
      <c r="C21" s="3"/>
      <c r="D21" s="36" t="s">
        <v>25</v>
      </c>
      <c r="E21" s="26"/>
      <c r="F21" s="27"/>
      <c r="G21" s="6"/>
      <c r="H21" s="11"/>
    </row>
    <row r="22" customFormat="false" ht="15" hidden="false" customHeight="false" outlineLevel="0" collapsed="false">
      <c r="A22" s="6"/>
      <c r="B22" s="11"/>
      <c r="C22" s="3"/>
      <c r="D22" s="28" t="s">
        <v>26</v>
      </c>
      <c r="E22" s="29" t="s">
        <v>27</v>
      </c>
      <c r="F22" s="37" t="s">
        <v>28</v>
      </c>
      <c r="G22" s="6"/>
      <c r="H22" s="11"/>
    </row>
    <row r="23" customFormat="false" ht="15" hidden="false" customHeight="false" outlineLevel="0" collapsed="false">
      <c r="A23" s="6"/>
      <c r="B23" s="11"/>
      <c r="C23" s="3"/>
      <c r="D23" s="28"/>
      <c r="E23" s="29" t="s">
        <v>29</v>
      </c>
      <c r="F23" s="3" t="s">
        <v>30</v>
      </c>
      <c r="G23" s="6"/>
      <c r="H23" s="11"/>
    </row>
    <row r="24" customFormat="false" ht="15" hidden="false" customHeight="false" outlineLevel="0" collapsed="false">
      <c r="A24" s="6"/>
      <c r="B24" s="11"/>
      <c r="C24" s="3"/>
      <c r="D24" s="28"/>
      <c r="E24" s="29" t="s">
        <v>31</v>
      </c>
      <c r="F24" s="37" t="s">
        <v>32</v>
      </c>
      <c r="G24" s="6"/>
      <c r="H24" s="11"/>
    </row>
    <row r="25" customFormat="false" ht="15" hidden="false" customHeight="false" outlineLevel="0" collapsed="false">
      <c r="A25" s="6"/>
      <c r="B25" s="11"/>
      <c r="C25" s="3"/>
      <c r="D25" s="28"/>
      <c r="E25" s="29" t="s">
        <v>33</v>
      </c>
      <c r="F25" s="3" t="s">
        <v>34</v>
      </c>
      <c r="G25" s="6"/>
      <c r="H25" s="11"/>
    </row>
    <row r="26" s="14" customFormat="true" ht="6.75" hidden="false" customHeight="true" outlineLevel="0" collapsed="false">
      <c r="A26" s="6"/>
      <c r="B26" s="11"/>
      <c r="C26" s="13"/>
      <c r="D26" s="13"/>
      <c r="E26" s="13"/>
      <c r="F26" s="13"/>
      <c r="G26" s="6"/>
      <c r="H26" s="11"/>
    </row>
    <row r="27" customFormat="false" ht="18.75" hidden="false" customHeight="false" outlineLevel="0" collapsed="false">
      <c r="A27" s="6"/>
      <c r="B27" s="11"/>
      <c r="C27" s="21"/>
      <c r="D27" s="38" t="s">
        <v>35</v>
      </c>
      <c r="E27" s="39"/>
      <c r="F27" s="40"/>
      <c r="G27" s="6"/>
      <c r="H27" s="11"/>
    </row>
    <row r="28" s="35" customFormat="true" ht="15" hidden="false" customHeight="true" outlineLevel="0" collapsed="false">
      <c r="A28" s="30"/>
      <c r="B28" s="31"/>
      <c r="C28" s="32"/>
      <c r="D28" s="28" t="s">
        <v>36</v>
      </c>
      <c r="E28" s="33" t="s">
        <v>37</v>
      </c>
      <c r="F28" s="34" t="s">
        <v>38</v>
      </c>
      <c r="G28" s="30"/>
      <c r="H28" s="31"/>
    </row>
    <row r="29" customFormat="false" ht="15" hidden="false" customHeight="false" outlineLevel="0" collapsed="false">
      <c r="A29" s="6"/>
      <c r="B29" s="11"/>
      <c r="C29" s="3"/>
      <c r="D29" s="28"/>
      <c r="E29" s="29" t="s">
        <v>39</v>
      </c>
      <c r="F29" s="3" t="s">
        <v>40</v>
      </c>
      <c r="G29" s="6"/>
      <c r="H29" s="11"/>
    </row>
    <row r="30" customFormat="false" ht="15" hidden="false" customHeight="false" outlineLevel="0" collapsed="false">
      <c r="A30" s="6"/>
      <c r="B30" s="11"/>
      <c r="C30" s="3"/>
      <c r="D30" s="28"/>
      <c r="E30" s="29" t="s">
        <v>41</v>
      </c>
      <c r="F30" s="3" t="s">
        <v>42</v>
      </c>
      <c r="G30" s="6"/>
      <c r="H30" s="11"/>
    </row>
    <row r="31" customFormat="false" ht="15" hidden="false" customHeight="false" outlineLevel="0" collapsed="false">
      <c r="A31" s="6"/>
      <c r="B31" s="11"/>
      <c r="C31" s="3"/>
      <c r="D31" s="28"/>
      <c r="E31" s="29" t="s">
        <v>43</v>
      </c>
      <c r="F31" s="3" t="s">
        <v>44</v>
      </c>
      <c r="G31" s="6"/>
      <c r="H31" s="11"/>
    </row>
    <row r="32" customFormat="false" ht="15" hidden="false" customHeight="false" outlineLevel="0" collapsed="false">
      <c r="A32" s="6"/>
      <c r="B32" s="11"/>
      <c r="C32" s="3"/>
      <c r="D32" s="28"/>
      <c r="E32" s="29" t="s">
        <v>45</v>
      </c>
      <c r="F32" s="3" t="s">
        <v>46</v>
      </c>
      <c r="G32" s="6"/>
      <c r="H32" s="11"/>
    </row>
    <row r="33" customFormat="false" ht="15" hidden="false" customHeight="false" outlineLevel="0" collapsed="false">
      <c r="A33" s="6"/>
      <c r="B33" s="11"/>
      <c r="C33" s="3"/>
      <c r="D33" s="28"/>
      <c r="E33" s="29" t="s">
        <v>47</v>
      </c>
      <c r="F33" s="3" t="s">
        <v>48</v>
      </c>
      <c r="G33" s="6"/>
      <c r="H33" s="11"/>
    </row>
    <row r="34" customFormat="false" ht="7.5" hidden="false" customHeight="true" outlineLevel="0" collapsed="false">
      <c r="A34" s="6"/>
      <c r="B34" s="41"/>
      <c r="C34" s="4"/>
      <c r="D34" s="4"/>
      <c r="E34" s="5"/>
      <c r="F34" s="4"/>
      <c r="G34" s="42"/>
      <c r="H34" s="11"/>
    </row>
    <row r="35" customFormat="false" ht="7.5" hidden="false" customHeight="true" outlineLevel="0" collapsed="false">
      <c r="A35" s="3"/>
      <c r="B35" s="8"/>
      <c r="C35" s="8"/>
      <c r="D35" s="8"/>
      <c r="E35" s="9"/>
      <c r="F35" s="8"/>
      <c r="G35" s="8"/>
      <c r="H35" s="3"/>
    </row>
  </sheetData>
  <mergeCells count="5">
    <mergeCell ref="C3:F3"/>
    <mergeCell ref="D5:E5"/>
    <mergeCell ref="D10:D18"/>
    <mergeCell ref="D22:D25"/>
    <mergeCell ref="D28:D3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true"/>
  </sheetPr>
  <dimension ref="A1:Y7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Q17" activePane="bottomRight" state="frozen"/>
      <selection pane="topLeft" activeCell="A1" activeCellId="0" sqref="A1"/>
      <selection pane="topRight" activeCell="Q1" activeCellId="0" sqref="Q1"/>
      <selection pane="bottomLeft" activeCell="A17" activeCellId="0" sqref="A17"/>
      <selection pane="bottomRight" activeCell="J27" activeCellId="0" sqref="J27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8" min="7" style="2" width="11.42"/>
    <col collapsed="false" customWidth="false" hidden="false" outlineLevel="0" max="9" min="9" style="43" width="11.42"/>
    <col collapsed="false" customWidth="false" hidden="false" outlineLevel="0" max="10" min="10" style="44" width="11.42"/>
    <col collapsed="false" customWidth="false" hidden="false" outlineLevel="0" max="11" min="11" style="43" width="11.42"/>
    <col collapsed="false" customWidth="false" hidden="false" outlineLevel="0" max="12" min="12" style="44" width="11.42"/>
    <col collapsed="false" customWidth="false" hidden="false" outlineLevel="0" max="13" min="13" style="43" width="11.42"/>
    <col collapsed="false" customWidth="false" hidden="false" outlineLevel="0" max="14" min="14" style="44" width="11.42"/>
    <col collapsed="false" customWidth="true" hidden="false" outlineLevel="0" max="22" min="15" style="2" width="7.57"/>
    <col collapsed="false" customWidth="false" hidden="false" outlineLevel="0" max="1024" min="23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45"/>
      <c r="J1" s="46"/>
      <c r="K1" s="45"/>
      <c r="L1" s="46"/>
      <c r="M1" s="45"/>
      <c r="N1" s="46"/>
      <c r="O1" s="23"/>
      <c r="P1" s="23"/>
      <c r="Q1" s="23"/>
      <c r="R1" s="23"/>
      <c r="S1" s="23"/>
      <c r="T1" s="23"/>
      <c r="U1" s="23"/>
      <c r="V1" s="23"/>
    </row>
    <row r="2" s="60" customFormat="true" ht="30" hidden="false" customHeight="true" outlineLevel="0" collapsed="false">
      <c r="A2" s="47"/>
      <c r="B2" s="48" t="s">
        <v>49</v>
      </c>
      <c r="C2" s="49" t="s">
        <v>50</v>
      </c>
      <c r="D2" s="49" t="s">
        <v>51</v>
      </c>
      <c r="E2" s="50" t="s">
        <v>52</v>
      </c>
      <c r="F2" s="51" t="s">
        <v>53</v>
      </c>
      <c r="G2" s="52" t="s">
        <v>54</v>
      </c>
      <c r="H2" s="52"/>
      <c r="I2" s="53" t="s">
        <v>55</v>
      </c>
      <c r="J2" s="54" t="s">
        <v>56</v>
      </c>
      <c r="K2" s="55" t="s">
        <v>57</v>
      </c>
      <c r="L2" s="54" t="s">
        <v>58</v>
      </c>
      <c r="M2" s="55" t="s">
        <v>59</v>
      </c>
      <c r="N2" s="56" t="s">
        <v>60</v>
      </c>
      <c r="O2" s="57" t="s">
        <v>61</v>
      </c>
      <c r="P2" s="57"/>
      <c r="Q2" s="57" t="s">
        <v>62</v>
      </c>
      <c r="R2" s="57"/>
      <c r="S2" s="57" t="s">
        <v>63</v>
      </c>
      <c r="T2" s="57"/>
      <c r="U2" s="58" t="s">
        <v>64</v>
      </c>
      <c r="V2" s="58"/>
      <c r="W2" s="59"/>
    </row>
    <row r="3" s="60" customFormat="true" ht="30" hidden="false" customHeight="true" outlineLevel="0" collapsed="false">
      <c r="A3" s="47"/>
      <c r="B3" s="48"/>
      <c r="C3" s="49"/>
      <c r="D3" s="49"/>
      <c r="E3" s="50"/>
      <c r="F3" s="51"/>
      <c r="G3" s="61"/>
      <c r="H3" s="62"/>
      <c r="I3" s="53"/>
      <c r="J3" s="54"/>
      <c r="K3" s="55"/>
      <c r="L3" s="54"/>
      <c r="M3" s="55"/>
      <c r="N3" s="56"/>
      <c r="O3" s="63"/>
      <c r="P3" s="62"/>
      <c r="Q3" s="63"/>
      <c r="R3" s="62"/>
      <c r="S3" s="63"/>
      <c r="T3" s="62"/>
      <c r="U3" s="64"/>
      <c r="V3" s="65"/>
      <c r="W3" s="59"/>
    </row>
    <row r="4" s="60" customFormat="true" ht="30" hidden="false" customHeight="true" outlineLevel="0" collapsed="false">
      <c r="A4" s="47"/>
      <c r="B4" s="48"/>
      <c r="C4" s="49"/>
      <c r="D4" s="49"/>
      <c r="E4" s="50"/>
      <c r="F4" s="51"/>
      <c r="G4" s="66" t="s">
        <v>65</v>
      </c>
      <c r="H4" s="67" t="s">
        <v>66</v>
      </c>
      <c r="I4" s="53"/>
      <c r="J4" s="54"/>
      <c r="K4" s="55"/>
      <c r="L4" s="54"/>
      <c r="M4" s="55"/>
      <c r="N4" s="56"/>
      <c r="O4" s="68" t="s">
        <v>65</v>
      </c>
      <c r="P4" s="67" t="s">
        <v>66</v>
      </c>
      <c r="Q4" s="68" t="s">
        <v>65</v>
      </c>
      <c r="R4" s="67" t="s">
        <v>66</v>
      </c>
      <c r="S4" s="68" t="s">
        <v>65</v>
      </c>
      <c r="T4" s="67" t="s">
        <v>66</v>
      </c>
      <c r="U4" s="68" t="s">
        <v>65</v>
      </c>
      <c r="V4" s="69" t="s">
        <v>66</v>
      </c>
      <c r="W4" s="59"/>
    </row>
    <row r="5" customFormat="false" ht="15.75" hidden="false" customHeight="false" outlineLevel="0" collapsed="false">
      <c r="B5" s="70" t="s">
        <v>67</v>
      </c>
      <c r="C5" s="71" t="s">
        <v>68</v>
      </c>
      <c r="D5" s="71" t="n">
        <v>2</v>
      </c>
      <c r="E5" s="72" t="s">
        <v>69</v>
      </c>
      <c r="F5" s="73" t="s">
        <v>70</v>
      </c>
      <c r="G5" s="74" t="n">
        <f aca="false">27+11+2+15+8</f>
        <v>63</v>
      </c>
      <c r="H5" s="75" t="n">
        <v>29</v>
      </c>
      <c r="I5" s="76" t="n">
        <f aca="false">2/G5</f>
        <v>0.0317460317460317</v>
      </c>
      <c r="J5" s="77" t="n">
        <f aca="false">I5*G5</f>
        <v>2</v>
      </c>
      <c r="K5" s="78" t="n">
        <f aca="false">(2+15)/G5</f>
        <v>0.26984126984127</v>
      </c>
      <c r="L5" s="77" t="n">
        <f aca="false">K5*G5</f>
        <v>17</v>
      </c>
      <c r="M5" s="78" t="n">
        <f aca="false">2/17</f>
        <v>0.117647058823529</v>
      </c>
      <c r="N5" s="79" t="n">
        <f aca="false">IF(M5="-","-",M5*L5)</f>
        <v>2</v>
      </c>
      <c r="O5" s="80"/>
      <c r="P5" s="75"/>
      <c r="Q5" s="80"/>
      <c r="R5" s="75"/>
      <c r="S5" s="80"/>
      <c r="T5" s="75"/>
      <c r="U5" s="80"/>
      <c r="V5" s="81"/>
      <c r="W5" s="82"/>
    </row>
    <row r="6" customFormat="false" ht="15" hidden="false" customHeight="true" outlineLevel="0" collapsed="false">
      <c r="B6" s="83" t="s">
        <v>71</v>
      </c>
      <c r="C6" s="84" t="s">
        <v>68</v>
      </c>
      <c r="D6" s="84" t="n">
        <v>8</v>
      </c>
      <c r="E6" s="85" t="s">
        <v>72</v>
      </c>
      <c r="F6" s="86" t="s">
        <v>70</v>
      </c>
      <c r="G6" s="87" t="n">
        <v>31</v>
      </c>
      <c r="H6" s="88" t="n">
        <v>23</v>
      </c>
      <c r="I6" s="89" t="n">
        <v>0.32258064516129</v>
      </c>
      <c r="J6" s="90" t="n">
        <f aca="false">I6*G6</f>
        <v>10</v>
      </c>
      <c r="K6" s="91" t="n">
        <v>0.32258064516129</v>
      </c>
      <c r="L6" s="90" t="n">
        <f aca="false">K6*G6</f>
        <v>10</v>
      </c>
      <c r="M6" s="91" t="s">
        <v>73</v>
      </c>
      <c r="N6" s="92" t="str">
        <f aca="false">IF(M6="-","-",M6*L6)</f>
        <v>-</v>
      </c>
      <c r="O6" s="93"/>
      <c r="P6" s="88"/>
      <c r="Q6" s="93"/>
      <c r="R6" s="88"/>
      <c r="S6" s="93"/>
      <c r="T6" s="88"/>
      <c r="U6" s="93"/>
      <c r="V6" s="94"/>
      <c r="W6" s="82"/>
    </row>
    <row r="7" customFormat="false" ht="15" hidden="false" customHeight="true" outlineLevel="0" collapsed="false">
      <c r="B7" s="83"/>
      <c r="C7" s="84"/>
      <c r="D7" s="84"/>
      <c r="E7" s="95" t="s">
        <v>74</v>
      </c>
      <c r="F7" s="96" t="s">
        <v>70</v>
      </c>
      <c r="G7" s="97" t="n">
        <v>25</v>
      </c>
      <c r="H7" s="98" t="n">
        <v>13</v>
      </c>
      <c r="I7" s="99" t="n">
        <v>0.48</v>
      </c>
      <c r="J7" s="100" t="n">
        <f aca="false">I7*G7</f>
        <v>12</v>
      </c>
      <c r="K7" s="101" t="n">
        <v>0.36</v>
      </c>
      <c r="L7" s="100" t="n">
        <f aca="false">K7*G7</f>
        <v>9</v>
      </c>
      <c r="M7" s="101" t="s">
        <v>73</v>
      </c>
      <c r="N7" s="102" t="str">
        <f aca="false">IF(M7="-","-",M7*L7)</f>
        <v>-</v>
      </c>
      <c r="O7" s="103"/>
      <c r="P7" s="98"/>
      <c r="Q7" s="103"/>
      <c r="R7" s="98"/>
      <c r="S7" s="103"/>
      <c r="T7" s="98"/>
      <c r="U7" s="103"/>
      <c r="V7" s="104"/>
      <c r="W7" s="82"/>
    </row>
    <row r="8" customFormat="false" ht="15" hidden="false" customHeight="true" outlineLevel="0" collapsed="false">
      <c r="B8" s="83"/>
      <c r="C8" s="84"/>
      <c r="D8" s="84"/>
      <c r="E8" s="95" t="s">
        <v>75</v>
      </c>
      <c r="F8" s="96" t="s">
        <v>70</v>
      </c>
      <c r="G8" s="97" t="n">
        <v>18</v>
      </c>
      <c r="H8" s="98" t="n">
        <v>10</v>
      </c>
      <c r="I8" s="99" t="n">
        <v>0.5</v>
      </c>
      <c r="J8" s="100" t="n">
        <f aca="false">I8*G8</f>
        <v>9</v>
      </c>
      <c r="K8" s="101" t="n">
        <v>0.166666666666667</v>
      </c>
      <c r="L8" s="100" t="n">
        <f aca="false">K8*G8</f>
        <v>3</v>
      </c>
      <c r="M8" s="101" t="s">
        <v>73</v>
      </c>
      <c r="N8" s="102" t="str">
        <f aca="false">IF(M8="-","-",M8*L8)</f>
        <v>-</v>
      </c>
      <c r="O8" s="103"/>
      <c r="P8" s="98"/>
      <c r="Q8" s="103"/>
      <c r="R8" s="98"/>
      <c r="S8" s="103"/>
      <c r="T8" s="98"/>
      <c r="U8" s="103"/>
      <c r="V8" s="104"/>
      <c r="W8" s="82"/>
    </row>
    <row r="9" customFormat="false" ht="15" hidden="false" customHeight="true" outlineLevel="0" collapsed="false">
      <c r="B9" s="83"/>
      <c r="C9" s="84"/>
      <c r="D9" s="84"/>
      <c r="E9" s="95"/>
      <c r="F9" s="96"/>
      <c r="G9" s="97"/>
      <c r="H9" s="98"/>
      <c r="I9" s="99"/>
      <c r="J9" s="100"/>
      <c r="K9" s="101"/>
      <c r="L9" s="100"/>
      <c r="M9" s="101"/>
      <c r="N9" s="102"/>
      <c r="O9" s="103"/>
      <c r="P9" s="98"/>
      <c r="Q9" s="103"/>
      <c r="R9" s="98"/>
      <c r="S9" s="103"/>
      <c r="T9" s="98"/>
      <c r="U9" s="103"/>
      <c r="V9" s="104"/>
      <c r="W9" s="82"/>
    </row>
    <row r="10" customFormat="false" ht="15" hidden="false" customHeight="true" outlineLevel="0" collapsed="false">
      <c r="B10" s="83"/>
      <c r="C10" s="84"/>
      <c r="D10" s="84"/>
      <c r="E10" s="95" t="s">
        <v>76</v>
      </c>
      <c r="F10" s="96" t="s">
        <v>70</v>
      </c>
      <c r="G10" s="97" t="n">
        <v>14</v>
      </c>
      <c r="H10" s="98" t="n">
        <v>9</v>
      </c>
      <c r="I10" s="99" t="n">
        <v>0.0714285714285714</v>
      </c>
      <c r="J10" s="100" t="n">
        <f aca="false">I10*G10</f>
        <v>1</v>
      </c>
      <c r="K10" s="101" t="n">
        <v>0.0714285714285714</v>
      </c>
      <c r="L10" s="100" t="n">
        <f aca="false">K10*G10</f>
        <v>1</v>
      </c>
      <c r="M10" s="101" t="s">
        <v>73</v>
      </c>
      <c r="N10" s="102" t="str">
        <f aca="false">IF(M10="-","-",M10*L10)</f>
        <v>-</v>
      </c>
      <c r="O10" s="103"/>
      <c r="P10" s="98"/>
      <c r="Q10" s="103"/>
      <c r="R10" s="98"/>
      <c r="S10" s="103"/>
      <c r="T10" s="98"/>
      <c r="U10" s="103"/>
      <c r="V10" s="104"/>
      <c r="W10" s="82"/>
    </row>
    <row r="11" customFormat="false" ht="15" hidden="false" customHeight="true" outlineLevel="0" collapsed="false">
      <c r="B11" s="83"/>
      <c r="C11" s="84"/>
      <c r="D11" s="84"/>
      <c r="E11" s="95" t="s">
        <v>77</v>
      </c>
      <c r="F11" s="96" t="s">
        <v>70</v>
      </c>
      <c r="G11" s="97" t="n">
        <v>24</v>
      </c>
      <c r="H11" s="98" t="n">
        <v>16</v>
      </c>
      <c r="I11" s="99" t="n">
        <v>0.0416666666666667</v>
      </c>
      <c r="J11" s="100" t="n">
        <f aca="false">I11*G11</f>
        <v>1</v>
      </c>
      <c r="K11" s="101" t="n">
        <v>0.208333333333333</v>
      </c>
      <c r="L11" s="100" t="n">
        <f aca="false">K11*G11</f>
        <v>5</v>
      </c>
      <c r="M11" s="101" t="s">
        <v>73</v>
      </c>
      <c r="N11" s="102" t="str">
        <f aca="false">IF(M11="-","-",M11*L11)</f>
        <v>-</v>
      </c>
      <c r="O11" s="103"/>
      <c r="P11" s="98"/>
      <c r="Q11" s="103"/>
      <c r="R11" s="98"/>
      <c r="S11" s="103"/>
      <c r="T11" s="98"/>
      <c r="U11" s="103"/>
      <c r="V11" s="104"/>
      <c r="W11" s="82"/>
    </row>
    <row r="12" customFormat="false" ht="15" hidden="false" customHeight="true" outlineLevel="0" collapsed="false">
      <c r="B12" s="83"/>
      <c r="C12" s="84"/>
      <c r="D12" s="84"/>
      <c r="E12" s="95" t="s">
        <v>78</v>
      </c>
      <c r="F12" s="96" t="s">
        <v>70</v>
      </c>
      <c r="G12" s="97" t="n">
        <v>29</v>
      </c>
      <c r="H12" s="98" t="n">
        <v>21</v>
      </c>
      <c r="I12" s="99" t="n">
        <v>0</v>
      </c>
      <c r="J12" s="100" t="n">
        <f aca="false">I12*G12</f>
        <v>0</v>
      </c>
      <c r="K12" s="101" t="n">
        <v>0.413793103448276</v>
      </c>
      <c r="L12" s="100" t="n">
        <f aca="false">K12*G12</f>
        <v>12</v>
      </c>
      <c r="M12" s="101" t="s">
        <v>73</v>
      </c>
      <c r="N12" s="102" t="str">
        <f aca="false">IF(M12="-","-",M12*L12)</f>
        <v>-</v>
      </c>
      <c r="O12" s="103"/>
      <c r="P12" s="98"/>
      <c r="Q12" s="103"/>
      <c r="R12" s="98"/>
      <c r="S12" s="103"/>
      <c r="T12" s="98"/>
      <c r="U12" s="103"/>
      <c r="V12" s="104"/>
      <c r="W12" s="82"/>
    </row>
    <row r="13" customFormat="false" ht="15" hidden="false" customHeight="true" outlineLevel="0" collapsed="false">
      <c r="B13" s="83"/>
      <c r="C13" s="84"/>
      <c r="D13" s="84"/>
      <c r="E13" s="95" t="s">
        <v>79</v>
      </c>
      <c r="F13" s="96" t="s">
        <v>70</v>
      </c>
      <c r="G13" s="97" t="n">
        <v>27</v>
      </c>
      <c r="H13" s="98" t="n">
        <v>17</v>
      </c>
      <c r="I13" s="99" t="n">
        <v>0.259259259259259</v>
      </c>
      <c r="J13" s="100" t="n">
        <f aca="false">I13*G13</f>
        <v>7</v>
      </c>
      <c r="K13" s="101" t="n">
        <v>0.481481481481481</v>
      </c>
      <c r="L13" s="100" t="n">
        <f aca="false">K13*G13</f>
        <v>13</v>
      </c>
      <c r="M13" s="101" t="s">
        <v>73</v>
      </c>
      <c r="N13" s="102" t="str">
        <f aca="false">IF(M13="-","-",M13*L13)</f>
        <v>-</v>
      </c>
      <c r="O13" s="103"/>
      <c r="P13" s="98"/>
      <c r="Q13" s="103"/>
      <c r="R13" s="98"/>
      <c r="S13" s="103"/>
      <c r="T13" s="98"/>
      <c r="U13" s="103"/>
      <c r="V13" s="104"/>
      <c r="W13" s="82"/>
    </row>
    <row r="14" customFormat="false" ht="15" hidden="false" customHeight="true" outlineLevel="0" collapsed="false">
      <c r="B14" s="83"/>
      <c r="C14" s="84"/>
      <c r="D14" s="84"/>
      <c r="E14" s="105" t="s">
        <v>80</v>
      </c>
      <c r="F14" s="106" t="s">
        <v>70</v>
      </c>
      <c r="G14" s="107" t="n">
        <v>4</v>
      </c>
      <c r="H14" s="108" t="n">
        <v>2</v>
      </c>
      <c r="I14" s="109" t="n">
        <v>0.5</v>
      </c>
      <c r="J14" s="110" t="n">
        <f aca="false">I14*G14</f>
        <v>2</v>
      </c>
      <c r="K14" s="111" t="n">
        <v>0</v>
      </c>
      <c r="L14" s="110" t="n">
        <f aca="false">K14*G14</f>
        <v>0</v>
      </c>
      <c r="M14" s="111" t="s">
        <v>73</v>
      </c>
      <c r="N14" s="112" t="str">
        <f aca="false">IF(M14="-","-",M14*L14)</f>
        <v>-</v>
      </c>
      <c r="O14" s="113"/>
      <c r="P14" s="108"/>
      <c r="Q14" s="113"/>
      <c r="R14" s="108"/>
      <c r="S14" s="113"/>
      <c r="T14" s="108"/>
      <c r="U14" s="113"/>
      <c r="V14" s="114"/>
      <c r="W14" s="82"/>
    </row>
    <row r="15" customFormat="false" ht="15.75" hidden="false" customHeight="false" outlineLevel="0" collapsed="false">
      <c r="B15" s="83"/>
      <c r="C15" s="84"/>
      <c r="D15" s="115" t="s">
        <v>81</v>
      </c>
      <c r="E15" s="116"/>
      <c r="F15" s="117"/>
      <c r="G15" s="118" t="n">
        <f aca="false">SUM(G6:G14)</f>
        <v>172</v>
      </c>
      <c r="H15" s="119" t="n">
        <f aca="false">SUM(H6:H14)</f>
        <v>111</v>
      </c>
      <c r="I15" s="120" t="n">
        <f aca="false">J15/G15</f>
        <v>0.244186046511628</v>
      </c>
      <c r="J15" s="121" t="n">
        <f aca="false">SUM(J6:J14)</f>
        <v>42</v>
      </c>
      <c r="K15" s="122" t="n">
        <f aca="false">L15/G15</f>
        <v>0.308139534883721</v>
      </c>
      <c r="L15" s="121" t="n">
        <f aca="false">SUM(L6:L14)</f>
        <v>53</v>
      </c>
      <c r="M15" s="122" t="n">
        <f aca="false">N15/L15</f>
        <v>0</v>
      </c>
      <c r="N15" s="123" t="n">
        <f aca="false">SUM(N6:N14)</f>
        <v>0</v>
      </c>
      <c r="O15" s="124"/>
      <c r="P15" s="125"/>
      <c r="Q15" s="124"/>
      <c r="R15" s="125"/>
      <c r="S15" s="124"/>
      <c r="T15" s="125"/>
      <c r="U15" s="124"/>
      <c r="V15" s="126"/>
      <c r="W15" s="82"/>
    </row>
    <row r="16" customFormat="false" ht="15" hidden="false" customHeight="true" outlineLevel="0" collapsed="false">
      <c r="B16" s="127" t="s">
        <v>82</v>
      </c>
      <c r="C16" s="128" t="s">
        <v>68</v>
      </c>
      <c r="D16" s="129" t="n">
        <v>9</v>
      </c>
      <c r="E16" s="85" t="s">
        <v>83</v>
      </c>
      <c r="F16" s="86" t="s">
        <v>70</v>
      </c>
      <c r="G16" s="87" t="n">
        <v>37</v>
      </c>
      <c r="H16" s="88" t="n">
        <v>23</v>
      </c>
      <c r="I16" s="89" t="n">
        <v>0.38</v>
      </c>
      <c r="J16" s="90" t="n">
        <f aca="false">I16*G16</f>
        <v>14.06</v>
      </c>
      <c r="K16" s="91" t="n">
        <v>0.16</v>
      </c>
      <c r="L16" s="90" t="n">
        <f aca="false">K16*G16</f>
        <v>5.92</v>
      </c>
      <c r="M16" s="91" t="n">
        <v>1</v>
      </c>
      <c r="N16" s="92" t="n">
        <f aca="false">IF(M16="-","-",M16*L16)</f>
        <v>5.92</v>
      </c>
      <c r="O16" s="93"/>
      <c r="P16" s="88"/>
      <c r="Q16" s="93"/>
      <c r="R16" s="88"/>
      <c r="S16" s="93"/>
      <c r="T16" s="88"/>
      <c r="U16" s="93"/>
      <c r="V16" s="94"/>
      <c r="W16" s="82"/>
    </row>
    <row r="17" customFormat="false" ht="15" hidden="false" customHeight="false" outlineLevel="0" collapsed="false">
      <c r="B17" s="127"/>
      <c r="C17" s="128"/>
      <c r="D17" s="129"/>
      <c r="E17" s="95" t="s">
        <v>84</v>
      </c>
      <c r="F17" s="96" t="s">
        <v>70</v>
      </c>
      <c r="G17" s="97" t="n">
        <v>33</v>
      </c>
      <c r="H17" s="98" t="n">
        <v>15</v>
      </c>
      <c r="I17" s="99" t="n">
        <v>0.3</v>
      </c>
      <c r="J17" s="100" t="n">
        <f aca="false">I17*G17</f>
        <v>9.9</v>
      </c>
      <c r="K17" s="101" t="n">
        <v>0.09</v>
      </c>
      <c r="L17" s="100" t="n">
        <f aca="false">K17*G17</f>
        <v>2.97</v>
      </c>
      <c r="M17" s="101" t="n">
        <v>1</v>
      </c>
      <c r="N17" s="102" t="n">
        <f aca="false">IF(M17="-","-",M17*L17)</f>
        <v>2.97</v>
      </c>
      <c r="O17" s="103"/>
      <c r="P17" s="98"/>
      <c r="Q17" s="103"/>
      <c r="R17" s="98"/>
      <c r="S17" s="103"/>
      <c r="T17" s="98"/>
      <c r="U17" s="103"/>
      <c r="V17" s="104"/>
      <c r="W17" s="82"/>
    </row>
    <row r="18" customFormat="false" ht="15" hidden="false" customHeight="false" outlineLevel="0" collapsed="false">
      <c r="B18" s="127"/>
      <c r="C18" s="128"/>
      <c r="D18" s="129"/>
      <c r="E18" s="95" t="s">
        <v>85</v>
      </c>
      <c r="F18" s="96" t="s">
        <v>70</v>
      </c>
      <c r="G18" s="97" t="n">
        <v>6</v>
      </c>
      <c r="H18" s="98" t="n">
        <v>5</v>
      </c>
      <c r="I18" s="99" t="n">
        <v>0</v>
      </c>
      <c r="J18" s="100" t="n">
        <f aca="false">I18*G18</f>
        <v>0</v>
      </c>
      <c r="K18" s="101" t="n">
        <v>0</v>
      </c>
      <c r="L18" s="100" t="n">
        <f aca="false">K18*G18</f>
        <v>0</v>
      </c>
      <c r="M18" s="101" t="s">
        <v>73</v>
      </c>
      <c r="N18" s="102" t="str">
        <f aca="false">IF(M18="-","-",M18*L18)</f>
        <v>-</v>
      </c>
      <c r="O18" s="103"/>
      <c r="P18" s="98"/>
      <c r="Q18" s="103"/>
      <c r="R18" s="98"/>
      <c r="S18" s="103"/>
      <c r="T18" s="98"/>
      <c r="U18" s="103"/>
      <c r="V18" s="104"/>
      <c r="W18" s="82"/>
    </row>
    <row r="19" customFormat="false" ht="15" hidden="false" customHeight="false" outlineLevel="0" collapsed="false">
      <c r="B19" s="127"/>
      <c r="C19" s="128"/>
      <c r="D19" s="129"/>
      <c r="E19" s="95" t="s">
        <v>86</v>
      </c>
      <c r="F19" s="96" t="s">
        <v>70</v>
      </c>
      <c r="G19" s="97" t="n">
        <v>25</v>
      </c>
      <c r="H19" s="98" t="n">
        <v>15</v>
      </c>
      <c r="I19" s="99" t="n">
        <v>0.28</v>
      </c>
      <c r="J19" s="100" t="n">
        <f aca="false">I19*G19</f>
        <v>7</v>
      </c>
      <c r="K19" s="101" t="n">
        <v>0.16</v>
      </c>
      <c r="L19" s="100" t="n">
        <f aca="false">K19*G19</f>
        <v>4</v>
      </c>
      <c r="M19" s="101" t="n">
        <v>0.25</v>
      </c>
      <c r="N19" s="102" t="n">
        <f aca="false">IF(M19="-","-",M19*L19)</f>
        <v>1</v>
      </c>
      <c r="O19" s="103"/>
      <c r="P19" s="98"/>
      <c r="Q19" s="103"/>
      <c r="R19" s="98"/>
      <c r="S19" s="103"/>
      <c r="T19" s="98"/>
      <c r="U19" s="103"/>
      <c r="V19" s="104"/>
      <c r="W19" s="82"/>
    </row>
    <row r="20" customFormat="false" ht="15" hidden="false" customHeight="false" outlineLevel="0" collapsed="false">
      <c r="B20" s="127"/>
      <c r="C20" s="128"/>
      <c r="D20" s="129"/>
      <c r="E20" s="95" t="s">
        <v>87</v>
      </c>
      <c r="F20" s="96" t="s">
        <v>70</v>
      </c>
      <c r="G20" s="97" t="n">
        <v>15</v>
      </c>
      <c r="H20" s="98" t="n">
        <v>9</v>
      </c>
      <c r="I20" s="99" t="n">
        <v>0.13</v>
      </c>
      <c r="J20" s="100" t="n">
        <f aca="false">I20*G20</f>
        <v>1.95</v>
      </c>
      <c r="K20" s="101" t="n">
        <v>0.07</v>
      </c>
      <c r="L20" s="100" t="n">
        <f aca="false">K20*G20</f>
        <v>1.05</v>
      </c>
      <c r="M20" s="101" t="s">
        <v>73</v>
      </c>
      <c r="N20" s="102" t="str">
        <f aca="false">IF(M20="-","-",M20*L20)</f>
        <v>-</v>
      </c>
      <c r="O20" s="103"/>
      <c r="P20" s="98"/>
      <c r="Q20" s="103"/>
      <c r="R20" s="98"/>
      <c r="S20" s="103"/>
      <c r="T20" s="98"/>
      <c r="U20" s="103"/>
      <c r="V20" s="104"/>
      <c r="W20" s="82"/>
    </row>
    <row r="21" customFormat="false" ht="15" hidden="false" customHeight="false" outlineLevel="0" collapsed="false">
      <c r="B21" s="127"/>
      <c r="C21" s="128"/>
      <c r="D21" s="129"/>
      <c r="E21" s="95" t="s">
        <v>88</v>
      </c>
      <c r="F21" s="96" t="s">
        <v>70</v>
      </c>
      <c r="G21" s="97" t="n">
        <v>16</v>
      </c>
      <c r="H21" s="98" t="n">
        <v>14</v>
      </c>
      <c r="I21" s="99" t="n">
        <v>0.38</v>
      </c>
      <c r="J21" s="100" t="n">
        <f aca="false">I21*G21</f>
        <v>6.08</v>
      </c>
      <c r="K21" s="101" t="n">
        <v>0.13</v>
      </c>
      <c r="L21" s="100" t="n">
        <f aca="false">K21*G21</f>
        <v>2.08</v>
      </c>
      <c r="M21" s="101" t="n">
        <v>1</v>
      </c>
      <c r="N21" s="102" t="n">
        <f aca="false">IF(M21="-","-",M21*L21)</f>
        <v>2.08</v>
      </c>
      <c r="O21" s="103"/>
      <c r="P21" s="98"/>
      <c r="Q21" s="103"/>
      <c r="R21" s="98"/>
      <c r="S21" s="103"/>
      <c r="T21" s="98"/>
      <c r="U21" s="103"/>
      <c r="V21" s="104"/>
      <c r="W21" s="82"/>
    </row>
    <row r="22" customFormat="false" ht="15" hidden="false" customHeight="false" outlineLevel="0" collapsed="false">
      <c r="B22" s="127"/>
      <c r="C22" s="128"/>
      <c r="D22" s="129"/>
      <c r="E22" s="95" t="s">
        <v>89</v>
      </c>
      <c r="F22" s="96" t="s">
        <v>70</v>
      </c>
      <c r="G22" s="97" t="n">
        <v>7</v>
      </c>
      <c r="H22" s="98" t="n">
        <v>5</v>
      </c>
      <c r="I22" s="99" t="n">
        <v>0.14</v>
      </c>
      <c r="J22" s="100" t="n">
        <f aca="false">I22*G22</f>
        <v>0.98</v>
      </c>
      <c r="K22" s="101" t="n">
        <v>0</v>
      </c>
      <c r="L22" s="100" t="n">
        <f aca="false">K22*G22</f>
        <v>0</v>
      </c>
      <c r="M22" s="101" t="s">
        <v>73</v>
      </c>
      <c r="N22" s="102" t="str">
        <f aca="false">IF(M22="-","-",M22*L22)</f>
        <v>-</v>
      </c>
      <c r="O22" s="103"/>
      <c r="P22" s="98"/>
      <c r="Q22" s="103"/>
      <c r="R22" s="98"/>
      <c r="S22" s="103"/>
      <c r="T22" s="98"/>
      <c r="U22" s="103"/>
      <c r="V22" s="104"/>
      <c r="W22" s="82"/>
    </row>
    <row r="23" customFormat="false" ht="15" hidden="false" customHeight="false" outlineLevel="0" collapsed="false">
      <c r="B23" s="127"/>
      <c r="C23" s="128"/>
      <c r="D23" s="129"/>
      <c r="E23" s="105" t="s">
        <v>90</v>
      </c>
      <c r="F23" s="106" t="s">
        <v>70</v>
      </c>
      <c r="G23" s="107" t="n">
        <v>20</v>
      </c>
      <c r="H23" s="108" t="n">
        <v>9</v>
      </c>
      <c r="I23" s="109" t="n">
        <v>0.25</v>
      </c>
      <c r="J23" s="110" t="n">
        <f aca="false">I23*G23</f>
        <v>5</v>
      </c>
      <c r="K23" s="111" t="n">
        <v>0.15</v>
      </c>
      <c r="L23" s="110" t="n">
        <f aca="false">K23*G23</f>
        <v>3</v>
      </c>
      <c r="M23" s="111" t="n">
        <v>0.33</v>
      </c>
      <c r="N23" s="112" t="n">
        <f aca="false">IF(M23="-","-",M23*L23)</f>
        <v>0.99</v>
      </c>
      <c r="O23" s="113"/>
      <c r="P23" s="108"/>
      <c r="Q23" s="113"/>
      <c r="R23" s="108"/>
      <c r="S23" s="113"/>
      <c r="T23" s="108"/>
      <c r="U23" s="113"/>
      <c r="V23" s="114"/>
      <c r="W23" s="82"/>
    </row>
    <row r="24" customFormat="false" ht="16.5" hidden="false" customHeight="false" outlineLevel="0" collapsed="false">
      <c r="B24" s="127"/>
      <c r="C24" s="128"/>
      <c r="D24" s="130" t="s">
        <v>81</v>
      </c>
      <c r="E24" s="116"/>
      <c r="F24" s="131"/>
      <c r="G24" s="132" t="n">
        <f aca="false">SUM(G16:G23)</f>
        <v>159</v>
      </c>
      <c r="H24" s="133" t="n">
        <f aca="false">SUM(H16:H23)</f>
        <v>95</v>
      </c>
      <c r="I24" s="134" t="n">
        <f aca="false">J24/G24</f>
        <v>0.282830188679245</v>
      </c>
      <c r="J24" s="135" t="n">
        <f aca="false">SUM(J16:J23)</f>
        <v>44.97</v>
      </c>
      <c r="K24" s="136" t="n">
        <f aca="false">L24/G24</f>
        <v>0.119622641509434</v>
      </c>
      <c r="L24" s="135" t="n">
        <f aca="false">SUM(L16:L23)</f>
        <v>19.02</v>
      </c>
      <c r="M24" s="136" t="n">
        <f aca="false">N24/L24</f>
        <v>0.681388012618297</v>
      </c>
      <c r="N24" s="137" t="n">
        <f aca="false">SUM(N16:N23)</f>
        <v>12.96</v>
      </c>
      <c r="O24" s="138"/>
      <c r="P24" s="133"/>
      <c r="Q24" s="138"/>
      <c r="R24" s="133"/>
      <c r="S24" s="138"/>
      <c r="T24" s="133"/>
      <c r="U24" s="138"/>
      <c r="V24" s="139"/>
      <c r="W24" s="82"/>
    </row>
    <row r="25" s="155" customFormat="true" ht="21" hidden="false" customHeight="true" outlineLevel="0" collapsed="false">
      <c r="A25" s="22"/>
      <c r="B25" s="140" t="s">
        <v>91</v>
      </c>
      <c r="C25" s="141"/>
      <c r="D25" s="141" t="n">
        <f aca="false">SUM(D5:D23)</f>
        <v>19</v>
      </c>
      <c r="E25" s="142" t="n">
        <f aca="false">COUNT(G5:G23)</f>
        <v>18</v>
      </c>
      <c r="F25" s="143" t="n">
        <f aca="false">COUNT(J5:J23)</f>
        <v>18</v>
      </c>
      <c r="G25" s="144" t="n">
        <f aca="false">G5+G15+G24</f>
        <v>394</v>
      </c>
      <c r="H25" s="145" t="n">
        <f aca="false">H5+H15+H24</f>
        <v>235</v>
      </c>
      <c r="I25" s="146" t="n">
        <f aca="false">J25/G25</f>
        <v>0.225812182741117</v>
      </c>
      <c r="J25" s="147" t="n">
        <f aca="false">J5+J15+J24</f>
        <v>88.97</v>
      </c>
      <c r="K25" s="148" t="n">
        <f aca="false">L25/G25</f>
        <v>0.225939086294416</v>
      </c>
      <c r="L25" s="147" t="n">
        <f aca="false">L5+L15+L24</f>
        <v>89.02</v>
      </c>
      <c r="M25" s="149" t="n">
        <f aca="false">N25/(L5+L16+L17+L19+L21+L23)</f>
        <v>0.427795253074063</v>
      </c>
      <c r="N25" s="150" t="n">
        <f aca="false">N5+N15+N24</f>
        <v>14.96</v>
      </c>
      <c r="O25" s="151"/>
      <c r="P25" s="152"/>
      <c r="Q25" s="151"/>
      <c r="R25" s="152"/>
      <c r="S25" s="151"/>
      <c r="T25" s="152"/>
      <c r="U25" s="151"/>
      <c r="V25" s="153"/>
      <c r="W25" s="154"/>
    </row>
    <row r="26" customFormat="false" ht="15" hidden="false" customHeight="true" outlineLevel="0" collapsed="false">
      <c r="B26" s="156" t="s">
        <v>92</v>
      </c>
      <c r="C26" s="157" t="s">
        <v>93</v>
      </c>
      <c r="D26" s="157" t="n">
        <v>31</v>
      </c>
      <c r="E26" s="158" t="s">
        <v>94</v>
      </c>
      <c r="F26" s="159" t="s">
        <v>70</v>
      </c>
      <c r="G26" s="160" t="n">
        <v>603</v>
      </c>
      <c r="H26" s="161" t="n">
        <v>173</v>
      </c>
      <c r="I26" s="162"/>
      <c r="J26" s="163" t="n">
        <v>261</v>
      </c>
      <c r="K26" s="164"/>
      <c r="L26" s="163" t="n">
        <v>242</v>
      </c>
      <c r="M26" s="164" t="s">
        <v>73</v>
      </c>
      <c r="N26" s="165" t="str">
        <f aca="false">IF(M26="-","-",M26*L26)</f>
        <v>-</v>
      </c>
      <c r="O26" s="166"/>
      <c r="P26" s="161"/>
      <c r="Q26" s="166"/>
      <c r="R26" s="161"/>
      <c r="S26" s="166"/>
      <c r="T26" s="161"/>
      <c r="U26" s="166"/>
      <c r="V26" s="167"/>
      <c r="W26" s="82"/>
    </row>
    <row r="27" customFormat="false" ht="15" hidden="false" customHeight="true" outlineLevel="0" collapsed="false">
      <c r="B27" s="156"/>
      <c r="C27" s="157"/>
      <c r="D27" s="157"/>
      <c r="E27" s="168" t="s">
        <v>95</v>
      </c>
      <c r="F27" s="169" t="s">
        <v>70</v>
      </c>
      <c r="G27" s="170" t="n">
        <v>354</v>
      </c>
      <c r="H27" s="171" t="n">
        <v>103</v>
      </c>
      <c r="I27" s="172"/>
      <c r="J27" s="173" t="n">
        <v>142</v>
      </c>
      <c r="K27" s="174"/>
      <c r="L27" s="173" t="n">
        <v>161</v>
      </c>
      <c r="M27" s="174" t="s">
        <v>73</v>
      </c>
      <c r="N27" s="175" t="str">
        <f aca="false">IF(M27="-","-",M27*L27)</f>
        <v>-</v>
      </c>
      <c r="O27" s="176"/>
      <c r="P27" s="171"/>
      <c r="Q27" s="176"/>
      <c r="R27" s="171"/>
      <c r="S27" s="176"/>
      <c r="T27" s="171"/>
      <c r="U27" s="176"/>
      <c r="V27" s="177"/>
      <c r="W27" s="82"/>
    </row>
    <row r="28" customFormat="false" ht="15" hidden="false" customHeight="true" outlineLevel="0" collapsed="false">
      <c r="B28" s="156"/>
      <c r="C28" s="157"/>
      <c r="D28" s="157"/>
      <c r="E28" s="168" t="s">
        <v>96</v>
      </c>
      <c r="F28" s="169" t="s">
        <v>70</v>
      </c>
      <c r="G28" s="170" t="n">
        <v>222</v>
      </c>
      <c r="H28" s="171" t="n">
        <v>66</v>
      </c>
      <c r="I28" s="172"/>
      <c r="J28" s="173" t="n">
        <v>137</v>
      </c>
      <c r="K28" s="174"/>
      <c r="L28" s="173" t="n">
        <v>88</v>
      </c>
      <c r="M28" s="174" t="s">
        <v>73</v>
      </c>
      <c r="N28" s="175" t="str">
        <f aca="false">IF(M28="-","-",M28*L28)</f>
        <v>-</v>
      </c>
      <c r="O28" s="176"/>
      <c r="P28" s="171"/>
      <c r="Q28" s="176"/>
      <c r="R28" s="171"/>
      <c r="S28" s="176"/>
      <c r="T28" s="171"/>
      <c r="U28" s="176"/>
      <c r="V28" s="177"/>
      <c r="W28" s="82"/>
    </row>
    <row r="29" customFormat="false" ht="15" hidden="false" customHeight="true" outlineLevel="0" collapsed="false">
      <c r="B29" s="156"/>
      <c r="C29" s="157"/>
      <c r="D29" s="157"/>
      <c r="E29" s="168" t="s">
        <v>97</v>
      </c>
      <c r="F29" s="169" t="s">
        <v>98</v>
      </c>
      <c r="G29" s="170" t="n">
        <v>106</v>
      </c>
      <c r="H29" s="171" t="n">
        <v>35</v>
      </c>
      <c r="I29" s="172"/>
      <c r="J29" s="173" t="n">
        <v>39</v>
      </c>
      <c r="K29" s="174"/>
      <c r="L29" s="173" t="n">
        <v>48</v>
      </c>
      <c r="M29" s="174" t="s">
        <v>73</v>
      </c>
      <c r="N29" s="175" t="str">
        <f aca="false">IF(M29="-","-",M29*L29)</f>
        <v>-</v>
      </c>
      <c r="O29" s="176"/>
      <c r="P29" s="171"/>
      <c r="Q29" s="176"/>
      <c r="R29" s="171"/>
      <c r="S29" s="176"/>
      <c r="T29" s="171"/>
      <c r="U29" s="176"/>
      <c r="V29" s="177"/>
      <c r="W29" s="82"/>
    </row>
    <row r="30" customFormat="false" ht="15" hidden="false" customHeight="true" outlineLevel="0" collapsed="false">
      <c r="B30" s="156"/>
      <c r="C30" s="157"/>
      <c r="D30" s="157"/>
      <c r="E30" s="168" t="s">
        <v>99</v>
      </c>
      <c r="F30" s="169" t="s">
        <v>70</v>
      </c>
      <c r="G30" s="170" t="n">
        <v>206</v>
      </c>
      <c r="H30" s="171" t="n">
        <v>70</v>
      </c>
      <c r="I30" s="172"/>
      <c r="J30" s="173" t="n">
        <v>87</v>
      </c>
      <c r="K30" s="174"/>
      <c r="L30" s="173" t="n">
        <v>83</v>
      </c>
      <c r="M30" s="174" t="s">
        <v>73</v>
      </c>
      <c r="N30" s="175" t="str">
        <f aca="false">IF(M30="-","-",M30*L30)</f>
        <v>-</v>
      </c>
      <c r="O30" s="176"/>
      <c r="P30" s="171"/>
      <c r="Q30" s="176"/>
      <c r="R30" s="171"/>
      <c r="S30" s="176"/>
      <c r="T30" s="171"/>
      <c r="U30" s="176"/>
      <c r="V30" s="177"/>
      <c r="W30" s="82"/>
      <c r="X30" s="178"/>
      <c r="Y30" s="178"/>
    </row>
    <row r="31" customFormat="false" ht="15" hidden="false" customHeight="true" outlineLevel="0" collapsed="false">
      <c r="B31" s="156"/>
      <c r="C31" s="157"/>
      <c r="D31" s="157"/>
      <c r="E31" s="179" t="s">
        <v>100</v>
      </c>
      <c r="F31" s="180" t="s">
        <v>98</v>
      </c>
      <c r="G31" s="181" t="n">
        <v>173</v>
      </c>
      <c r="H31" s="182" t="n">
        <v>62</v>
      </c>
      <c r="I31" s="183"/>
      <c r="J31" s="184" t="n">
        <v>39</v>
      </c>
      <c r="K31" s="185"/>
      <c r="L31" s="184" t="n">
        <v>75</v>
      </c>
      <c r="M31" s="185" t="s">
        <v>73</v>
      </c>
      <c r="N31" s="186" t="str">
        <f aca="false">IF(M31="-","-",M31*L31)</f>
        <v>-</v>
      </c>
      <c r="O31" s="187"/>
      <c r="P31" s="182"/>
      <c r="Q31" s="187"/>
      <c r="R31" s="182"/>
      <c r="S31" s="187"/>
      <c r="T31" s="182"/>
      <c r="U31" s="187"/>
      <c r="V31" s="188"/>
      <c r="W31" s="82"/>
      <c r="X31" s="178"/>
      <c r="Y31" s="178"/>
    </row>
    <row r="32" customFormat="false" ht="15.75" hidden="false" customHeight="false" outlineLevel="0" collapsed="false">
      <c r="B32" s="156"/>
      <c r="C32" s="157"/>
      <c r="D32" s="189" t="s">
        <v>81</v>
      </c>
      <c r="E32" s="190"/>
      <c r="F32" s="191"/>
      <c r="G32" s="192" t="n">
        <f aca="false">SUM(G26:G31)</f>
        <v>1664</v>
      </c>
      <c r="H32" s="193" t="n">
        <f aca="false">SUM(H26:H31)</f>
        <v>509</v>
      </c>
      <c r="I32" s="194" t="n">
        <f aca="false">J32/G32</f>
        <v>0.423677884615385</v>
      </c>
      <c r="J32" s="195" t="n">
        <f aca="false">SUM(J26:J31)</f>
        <v>705</v>
      </c>
      <c r="K32" s="196" t="n">
        <f aca="false">L32/G32</f>
        <v>0.418870192307692</v>
      </c>
      <c r="L32" s="195" t="n">
        <f aca="false">SUM(L26:L31)</f>
        <v>697</v>
      </c>
      <c r="M32" s="196" t="n">
        <f aca="false">N32/L32</f>
        <v>0</v>
      </c>
      <c r="N32" s="197" t="n">
        <f aca="false">SUM(N26:N31)</f>
        <v>0</v>
      </c>
      <c r="O32" s="198"/>
      <c r="P32" s="193"/>
      <c r="Q32" s="198"/>
      <c r="R32" s="193"/>
      <c r="S32" s="198"/>
      <c r="T32" s="193"/>
      <c r="U32" s="198"/>
      <c r="V32" s="199"/>
      <c r="W32" s="82"/>
      <c r="X32" s="178"/>
      <c r="Y32" s="178"/>
    </row>
    <row r="33" customFormat="false" ht="15" hidden="false" customHeight="false" outlineLevel="0" collapsed="false">
      <c r="B33" s="200" t="s">
        <v>101</v>
      </c>
      <c r="C33" s="189" t="s">
        <v>93</v>
      </c>
      <c r="D33" s="189" t="n">
        <v>12</v>
      </c>
      <c r="E33" s="158" t="s">
        <v>102</v>
      </c>
      <c r="F33" s="201" t="s">
        <v>98</v>
      </c>
      <c r="G33" s="202" t="n">
        <v>88</v>
      </c>
      <c r="H33" s="203" t="n">
        <v>88</v>
      </c>
      <c r="I33" s="204" t="n">
        <v>0.602272727272727</v>
      </c>
      <c r="J33" s="205" t="n">
        <f aca="false">I33*G33</f>
        <v>53</v>
      </c>
      <c r="K33" s="206" t="n">
        <v>0.363636363636364</v>
      </c>
      <c r="L33" s="205" t="n">
        <f aca="false">K33*G33</f>
        <v>32</v>
      </c>
      <c r="M33" s="206" t="n">
        <v>0.84375</v>
      </c>
      <c r="N33" s="207" t="n">
        <f aca="false">IF(M33="-","-",M33*L33)</f>
        <v>27</v>
      </c>
      <c r="O33" s="208"/>
      <c r="P33" s="203"/>
      <c r="Q33" s="208"/>
      <c r="R33" s="203"/>
      <c r="S33" s="208" t="n">
        <v>78</v>
      </c>
      <c r="T33" s="203" t="n">
        <v>78</v>
      </c>
      <c r="U33" s="208" t="n">
        <v>10</v>
      </c>
      <c r="V33" s="209" t="n">
        <v>10</v>
      </c>
      <c r="W33" s="82"/>
      <c r="X33" s="178"/>
      <c r="Y33" s="178"/>
    </row>
    <row r="34" customFormat="false" ht="15" hidden="false" customHeight="false" outlineLevel="0" collapsed="false">
      <c r="B34" s="200"/>
      <c r="C34" s="189"/>
      <c r="D34" s="189"/>
      <c r="E34" s="168" t="s">
        <v>103</v>
      </c>
      <c r="F34" s="169" t="s">
        <v>98</v>
      </c>
      <c r="G34" s="170" t="n">
        <v>33</v>
      </c>
      <c r="H34" s="171" t="n">
        <v>33</v>
      </c>
      <c r="I34" s="172" t="n">
        <v>0.636363636363636</v>
      </c>
      <c r="J34" s="173" t="n">
        <f aca="false">I34*G34</f>
        <v>21</v>
      </c>
      <c r="K34" s="174" t="n">
        <v>0.242424242424242</v>
      </c>
      <c r="L34" s="173" t="n">
        <f aca="false">K34*G34</f>
        <v>8</v>
      </c>
      <c r="M34" s="174" t="n">
        <v>0.875</v>
      </c>
      <c r="N34" s="175" t="n">
        <f aca="false">IF(M34="-","-",M34*L34)</f>
        <v>7</v>
      </c>
      <c r="O34" s="176"/>
      <c r="P34" s="171"/>
      <c r="Q34" s="176"/>
      <c r="R34" s="171"/>
      <c r="S34" s="176" t="n">
        <v>33</v>
      </c>
      <c r="T34" s="171" t="n">
        <v>33</v>
      </c>
      <c r="U34" s="176" t="n">
        <v>0</v>
      </c>
      <c r="V34" s="177" t="n">
        <v>0</v>
      </c>
      <c r="W34" s="82"/>
      <c r="X34" s="178"/>
      <c r="Y34" s="178"/>
    </row>
    <row r="35" customFormat="false" ht="15" hidden="false" customHeight="false" outlineLevel="0" collapsed="false">
      <c r="B35" s="200"/>
      <c r="C35" s="189"/>
      <c r="D35" s="189"/>
      <c r="E35" s="168" t="s">
        <v>104</v>
      </c>
      <c r="F35" s="169" t="s">
        <v>98</v>
      </c>
      <c r="G35" s="170" t="n">
        <v>14</v>
      </c>
      <c r="H35" s="171" t="n">
        <v>14</v>
      </c>
      <c r="I35" s="172" t="n">
        <v>0.642857142857143</v>
      </c>
      <c r="J35" s="173" t="n">
        <f aca="false">I35*G35</f>
        <v>9</v>
      </c>
      <c r="K35" s="174" t="n">
        <v>0.5</v>
      </c>
      <c r="L35" s="173" t="n">
        <f aca="false">K35*G35</f>
        <v>7</v>
      </c>
      <c r="M35" s="174" t="n">
        <v>0.571428571428571</v>
      </c>
      <c r="N35" s="175" t="n">
        <f aca="false">IF(M35="-","-",M35*L35)</f>
        <v>4</v>
      </c>
      <c r="O35" s="176"/>
      <c r="P35" s="171"/>
      <c r="Q35" s="176"/>
      <c r="R35" s="171"/>
      <c r="S35" s="176" t="n">
        <v>14</v>
      </c>
      <c r="T35" s="171" t="n">
        <v>14</v>
      </c>
      <c r="U35" s="176" t="n">
        <v>0</v>
      </c>
      <c r="V35" s="177" t="n">
        <v>0</v>
      </c>
      <c r="W35" s="82"/>
      <c r="X35" s="178"/>
      <c r="Y35" s="178"/>
    </row>
    <row r="36" customFormat="false" ht="15" hidden="false" customHeight="false" outlineLevel="0" collapsed="false">
      <c r="B36" s="200"/>
      <c r="C36" s="189"/>
      <c r="D36" s="189"/>
      <c r="E36" s="168" t="s">
        <v>105</v>
      </c>
      <c r="F36" s="169" t="s">
        <v>98</v>
      </c>
      <c r="G36" s="170" t="n">
        <v>23</v>
      </c>
      <c r="H36" s="171" t="n">
        <v>23</v>
      </c>
      <c r="I36" s="172" t="n">
        <v>0.652173913043478</v>
      </c>
      <c r="J36" s="173" t="n">
        <f aca="false">I36*G36</f>
        <v>15</v>
      </c>
      <c r="K36" s="174" t="n">
        <v>0.478260869565217</v>
      </c>
      <c r="L36" s="173" t="n">
        <f aca="false">K36*G36</f>
        <v>11</v>
      </c>
      <c r="M36" s="174" t="n">
        <v>0.727272727272727</v>
      </c>
      <c r="N36" s="175" t="n">
        <f aca="false">IF(M36="-","-",M36*L36)</f>
        <v>8</v>
      </c>
      <c r="O36" s="176"/>
      <c r="P36" s="171"/>
      <c r="Q36" s="176"/>
      <c r="R36" s="171"/>
      <c r="S36" s="176" t="n">
        <v>20</v>
      </c>
      <c r="T36" s="171" t="n">
        <v>20</v>
      </c>
      <c r="U36" s="176" t="n">
        <v>3</v>
      </c>
      <c r="V36" s="177" t="n">
        <v>3</v>
      </c>
      <c r="W36" s="82"/>
      <c r="X36" s="178"/>
      <c r="Y36" s="178"/>
    </row>
    <row r="37" customFormat="false" ht="15" hidden="false" customHeight="false" outlineLevel="0" collapsed="false">
      <c r="B37" s="200"/>
      <c r="C37" s="189"/>
      <c r="D37" s="189"/>
      <c r="E37" s="168" t="s">
        <v>106</v>
      </c>
      <c r="F37" s="169" t="s">
        <v>98</v>
      </c>
      <c r="G37" s="170" t="n">
        <v>36</v>
      </c>
      <c r="H37" s="171" t="n">
        <v>36</v>
      </c>
      <c r="I37" s="172" t="n">
        <v>0.5</v>
      </c>
      <c r="J37" s="173" t="n">
        <f aca="false">I37*G37</f>
        <v>18</v>
      </c>
      <c r="K37" s="174" t="n">
        <v>0.472222222222222</v>
      </c>
      <c r="L37" s="173" t="n">
        <f aca="false">K37*G37</f>
        <v>17</v>
      </c>
      <c r="M37" s="174" t="n">
        <v>0.764705882352941</v>
      </c>
      <c r="N37" s="175" t="n">
        <f aca="false">IF(M37="-","-",M37*L37)</f>
        <v>13</v>
      </c>
      <c r="O37" s="176"/>
      <c r="P37" s="171"/>
      <c r="Q37" s="176"/>
      <c r="R37" s="171"/>
      <c r="S37" s="176" t="n">
        <v>36</v>
      </c>
      <c r="T37" s="171" t="n">
        <v>36</v>
      </c>
      <c r="U37" s="176" t="n">
        <v>0</v>
      </c>
      <c r="V37" s="177" t="n">
        <v>0</v>
      </c>
      <c r="W37" s="82"/>
      <c r="X37" s="178"/>
      <c r="Y37" s="178"/>
    </row>
    <row r="38" customFormat="false" ht="15" hidden="false" customHeight="false" outlineLevel="0" collapsed="false">
      <c r="B38" s="200"/>
      <c r="C38" s="189"/>
      <c r="D38" s="189"/>
      <c r="E38" s="179" t="s">
        <v>107</v>
      </c>
      <c r="F38" s="180" t="s">
        <v>98</v>
      </c>
      <c r="G38" s="181" t="n">
        <v>45</v>
      </c>
      <c r="H38" s="182" t="n">
        <v>45</v>
      </c>
      <c r="I38" s="183" t="n">
        <v>0.577777777777778</v>
      </c>
      <c r="J38" s="184" t="n">
        <f aca="false">I38*G38</f>
        <v>26</v>
      </c>
      <c r="K38" s="185" t="n">
        <v>0.422222222222222</v>
      </c>
      <c r="L38" s="184" t="n">
        <f aca="false">K38*G38</f>
        <v>19</v>
      </c>
      <c r="M38" s="185" t="n">
        <v>0.736842105263158</v>
      </c>
      <c r="N38" s="186" t="n">
        <f aca="false">IF(M38="-","-",M38*L38)</f>
        <v>14</v>
      </c>
      <c r="O38" s="187"/>
      <c r="P38" s="182"/>
      <c r="Q38" s="187"/>
      <c r="R38" s="182"/>
      <c r="S38" s="187" t="n">
        <v>39</v>
      </c>
      <c r="T38" s="182" t="n">
        <v>39</v>
      </c>
      <c r="U38" s="187" t="n">
        <v>6</v>
      </c>
      <c r="V38" s="188" t="n">
        <v>6</v>
      </c>
      <c r="W38" s="82"/>
      <c r="X38" s="178"/>
      <c r="Y38" s="178"/>
    </row>
    <row r="39" customFormat="false" ht="15.75" hidden="false" customHeight="false" outlineLevel="0" collapsed="false">
      <c r="B39" s="200"/>
      <c r="C39" s="189"/>
      <c r="D39" s="189" t="s">
        <v>81</v>
      </c>
      <c r="E39" s="210"/>
      <c r="F39" s="211"/>
      <c r="G39" s="192" t="n">
        <f aca="false">SUM(G33:G38)</f>
        <v>239</v>
      </c>
      <c r="H39" s="193" t="n">
        <f aca="false">SUM(H33:H38)</f>
        <v>239</v>
      </c>
      <c r="I39" s="194" t="n">
        <f aca="false">J39/G39</f>
        <v>0.594142259414226</v>
      </c>
      <c r="J39" s="195" t="n">
        <f aca="false">SUM(J33:J38)</f>
        <v>142</v>
      </c>
      <c r="K39" s="196" t="n">
        <f aca="false">L39/G39</f>
        <v>0.393305439330544</v>
      </c>
      <c r="L39" s="195" t="n">
        <f aca="false">SUM(L33:L38)</f>
        <v>94</v>
      </c>
      <c r="M39" s="196" t="n">
        <f aca="false">N39/L39</f>
        <v>0.776595744680851</v>
      </c>
      <c r="N39" s="197" t="n">
        <f aca="false">SUM(N33:N38)</f>
        <v>73</v>
      </c>
      <c r="O39" s="198"/>
      <c r="P39" s="193"/>
      <c r="Q39" s="198"/>
      <c r="R39" s="193"/>
      <c r="S39" s="198" t="n">
        <f aca="false">SUM(S33:S38)</f>
        <v>220</v>
      </c>
      <c r="T39" s="193" t="n">
        <f aca="false">SUM(T33:T38)</f>
        <v>220</v>
      </c>
      <c r="U39" s="198" t="n">
        <f aca="false">SUM(U33:U38)</f>
        <v>19</v>
      </c>
      <c r="V39" s="199" t="n">
        <f aca="false">SUM(V33:V38)</f>
        <v>19</v>
      </c>
      <c r="W39" s="82"/>
      <c r="X39" s="178"/>
      <c r="Y39" s="178"/>
    </row>
    <row r="40" customFormat="false" ht="15" hidden="false" customHeight="true" outlineLevel="0" collapsed="false">
      <c r="B40" s="200" t="s">
        <v>108</v>
      </c>
      <c r="C40" s="212" t="s">
        <v>93</v>
      </c>
      <c r="D40" s="212" t="n">
        <v>10</v>
      </c>
      <c r="E40" s="213" t="s">
        <v>109</v>
      </c>
      <c r="F40" s="201" t="s">
        <v>98</v>
      </c>
      <c r="G40" s="202" t="n">
        <v>59</v>
      </c>
      <c r="H40" s="203" t="n">
        <f aca="false">G40</f>
        <v>59</v>
      </c>
      <c r="I40" s="204" t="n">
        <v>0.51</v>
      </c>
      <c r="J40" s="205" t="n">
        <f aca="false">I40*G40</f>
        <v>30.09</v>
      </c>
      <c r="K40" s="206" t="n">
        <v>0.44</v>
      </c>
      <c r="L40" s="205" t="n">
        <f aca="false">K40*G40</f>
        <v>25.96</v>
      </c>
      <c r="M40" s="206" t="n">
        <v>0.62</v>
      </c>
      <c r="N40" s="207" t="n">
        <f aca="false">IF(M40="-","-",M40*L40)</f>
        <v>16.0952</v>
      </c>
      <c r="O40" s="208"/>
      <c r="P40" s="203"/>
      <c r="Q40" s="208"/>
      <c r="R40" s="203"/>
      <c r="S40" s="208"/>
      <c r="T40" s="203"/>
      <c r="U40" s="208"/>
      <c r="V40" s="209"/>
      <c r="W40" s="82"/>
      <c r="X40" s="178"/>
      <c r="Y40" s="178"/>
    </row>
    <row r="41" customFormat="false" ht="15" hidden="false" customHeight="true" outlineLevel="0" collapsed="false">
      <c r="B41" s="200"/>
      <c r="C41" s="212"/>
      <c r="D41" s="212"/>
      <c r="E41" s="214" t="s">
        <v>110</v>
      </c>
      <c r="F41" s="169" t="s">
        <v>98</v>
      </c>
      <c r="G41" s="170" t="n">
        <v>45</v>
      </c>
      <c r="H41" s="171" t="n">
        <f aca="false">G41</f>
        <v>45</v>
      </c>
      <c r="I41" s="172" t="n">
        <v>0.58</v>
      </c>
      <c r="J41" s="173" t="n">
        <f aca="false">I41*G41</f>
        <v>26.1</v>
      </c>
      <c r="K41" s="174" t="n">
        <v>0.44</v>
      </c>
      <c r="L41" s="173" t="n">
        <f aca="false">K41*G41</f>
        <v>19.8</v>
      </c>
      <c r="M41" s="174" t="n">
        <v>0.65</v>
      </c>
      <c r="N41" s="175" t="n">
        <f aca="false">IF(M41="-","-",M41*L41)</f>
        <v>12.87</v>
      </c>
      <c r="O41" s="176"/>
      <c r="P41" s="171"/>
      <c r="Q41" s="176"/>
      <c r="R41" s="171"/>
      <c r="S41" s="176"/>
      <c r="T41" s="171"/>
      <c r="U41" s="176"/>
      <c r="V41" s="177"/>
      <c r="W41" s="82"/>
      <c r="X41" s="178"/>
      <c r="Y41" s="178"/>
    </row>
    <row r="42" customFormat="false" ht="15" hidden="false" customHeight="true" outlineLevel="0" collapsed="false">
      <c r="B42" s="200"/>
      <c r="C42" s="212"/>
      <c r="D42" s="212"/>
      <c r="E42" s="214" t="s">
        <v>111</v>
      </c>
      <c r="F42" s="169" t="s">
        <v>98</v>
      </c>
      <c r="G42" s="170" t="n">
        <v>16</v>
      </c>
      <c r="H42" s="171" t="n">
        <f aca="false">G42</f>
        <v>16</v>
      </c>
      <c r="I42" s="172" t="n">
        <v>0.44</v>
      </c>
      <c r="J42" s="173" t="n">
        <f aca="false">I42*G42</f>
        <v>7.04</v>
      </c>
      <c r="K42" s="174" t="n">
        <v>0.31</v>
      </c>
      <c r="L42" s="173" t="n">
        <f aca="false">K42*G42</f>
        <v>4.96</v>
      </c>
      <c r="M42" s="174" t="n">
        <v>0.4</v>
      </c>
      <c r="N42" s="175" t="n">
        <f aca="false">IF(M42="-","-",M42*L42)</f>
        <v>1.984</v>
      </c>
      <c r="O42" s="176"/>
      <c r="P42" s="171"/>
      <c r="Q42" s="176"/>
      <c r="R42" s="171"/>
      <c r="S42" s="176"/>
      <c r="T42" s="171"/>
      <c r="U42" s="176"/>
      <c r="V42" s="177"/>
      <c r="W42" s="82"/>
      <c r="X42" s="178"/>
      <c r="Y42" s="178"/>
    </row>
    <row r="43" customFormat="false" ht="15" hidden="false" customHeight="true" outlineLevel="0" collapsed="false">
      <c r="B43" s="200"/>
      <c r="C43" s="212"/>
      <c r="D43" s="212"/>
      <c r="E43" s="214" t="s">
        <v>112</v>
      </c>
      <c r="F43" s="169" t="s">
        <v>98</v>
      </c>
      <c r="G43" s="170" t="n">
        <v>31</v>
      </c>
      <c r="H43" s="171" t="n">
        <f aca="false">G43</f>
        <v>31</v>
      </c>
      <c r="I43" s="172" t="n">
        <v>0.29</v>
      </c>
      <c r="J43" s="173" t="n">
        <f aca="false">I43*G43</f>
        <v>8.99</v>
      </c>
      <c r="K43" s="174" t="n">
        <v>0.32</v>
      </c>
      <c r="L43" s="173" t="n">
        <f aca="false">K43*G43</f>
        <v>9.92</v>
      </c>
      <c r="M43" s="174" t="n">
        <v>0.3</v>
      </c>
      <c r="N43" s="175" t="n">
        <f aca="false">IF(M43="-","-",M43*L43)</f>
        <v>2.976</v>
      </c>
      <c r="O43" s="176"/>
      <c r="P43" s="171"/>
      <c r="Q43" s="176"/>
      <c r="R43" s="171"/>
      <c r="S43" s="176"/>
      <c r="T43" s="171"/>
      <c r="U43" s="176"/>
      <c r="V43" s="177"/>
      <c r="W43" s="82"/>
      <c r="X43" s="178"/>
      <c r="Y43" s="178"/>
    </row>
    <row r="44" customFormat="false" ht="15" hidden="false" customHeight="true" outlineLevel="0" collapsed="false">
      <c r="B44" s="200"/>
      <c r="C44" s="212"/>
      <c r="D44" s="212"/>
      <c r="E44" s="214" t="s">
        <v>113</v>
      </c>
      <c r="F44" s="169" t="s">
        <v>98</v>
      </c>
      <c r="G44" s="170" t="n">
        <v>3</v>
      </c>
      <c r="H44" s="171" t="n">
        <f aca="false">G44</f>
        <v>3</v>
      </c>
      <c r="I44" s="172" t="n">
        <v>0</v>
      </c>
      <c r="J44" s="173" t="n">
        <f aca="false">I44*G44</f>
        <v>0</v>
      </c>
      <c r="K44" s="174" t="n">
        <v>0</v>
      </c>
      <c r="L44" s="173" t="n">
        <f aca="false">K44*G44</f>
        <v>0</v>
      </c>
      <c r="M44" s="174" t="s">
        <v>73</v>
      </c>
      <c r="N44" s="175" t="str">
        <f aca="false">IF(M44="-","-",M44*L44)</f>
        <v>-</v>
      </c>
      <c r="O44" s="176"/>
      <c r="P44" s="171"/>
      <c r="Q44" s="176"/>
      <c r="R44" s="171"/>
      <c r="S44" s="176"/>
      <c r="T44" s="171"/>
      <c r="U44" s="176"/>
      <c r="V44" s="177"/>
      <c r="W44" s="82"/>
      <c r="X44" s="178"/>
      <c r="Y44" s="178"/>
    </row>
    <row r="45" customFormat="false" ht="15" hidden="false" customHeight="true" outlineLevel="0" collapsed="false">
      <c r="B45" s="200"/>
      <c r="C45" s="212"/>
      <c r="D45" s="212"/>
      <c r="E45" s="214" t="s">
        <v>114</v>
      </c>
      <c r="F45" s="169" t="s">
        <v>98</v>
      </c>
      <c r="G45" s="170" t="n">
        <v>13</v>
      </c>
      <c r="H45" s="171" t="n">
        <f aca="false">G45</f>
        <v>13</v>
      </c>
      <c r="I45" s="172" t="n">
        <v>0.23</v>
      </c>
      <c r="J45" s="173" t="n">
        <f aca="false">I45*G45</f>
        <v>2.99</v>
      </c>
      <c r="K45" s="174" t="n">
        <v>0.15</v>
      </c>
      <c r="L45" s="173" t="n">
        <f aca="false">K45*G45</f>
        <v>1.95</v>
      </c>
      <c r="M45" s="174" t="n">
        <v>0.5</v>
      </c>
      <c r="N45" s="175" t="n">
        <f aca="false">IF(M45="-","-",M45*L45)</f>
        <v>0.975</v>
      </c>
      <c r="O45" s="176"/>
      <c r="P45" s="171"/>
      <c r="Q45" s="176"/>
      <c r="R45" s="171"/>
      <c r="S45" s="176"/>
      <c r="T45" s="171"/>
      <c r="U45" s="176"/>
      <c r="V45" s="177"/>
      <c r="W45" s="82"/>
      <c r="X45" s="178"/>
      <c r="Y45" s="178"/>
    </row>
    <row r="46" customFormat="false" ht="15.75" hidden="false" customHeight="true" outlineLevel="0" collapsed="false">
      <c r="B46" s="200"/>
      <c r="C46" s="212"/>
      <c r="D46" s="212"/>
      <c r="E46" s="214" t="s">
        <v>115</v>
      </c>
      <c r="F46" s="169"/>
      <c r="G46" s="170"/>
      <c r="H46" s="171"/>
      <c r="I46" s="172"/>
      <c r="J46" s="173"/>
      <c r="K46" s="174"/>
      <c r="L46" s="173"/>
      <c r="M46" s="174"/>
      <c r="N46" s="175"/>
      <c r="O46" s="176"/>
      <c r="P46" s="171"/>
      <c r="Q46" s="176"/>
      <c r="R46" s="171"/>
      <c r="S46" s="176"/>
      <c r="T46" s="171"/>
      <c r="U46" s="176"/>
      <c r="V46" s="177"/>
      <c r="W46" s="82"/>
      <c r="X46" s="178"/>
      <c r="Y46" s="178"/>
    </row>
    <row r="47" customFormat="false" ht="15.75" hidden="false" customHeight="true" outlineLevel="0" collapsed="false">
      <c r="B47" s="200"/>
      <c r="C47" s="212"/>
      <c r="D47" s="212"/>
      <c r="E47" s="215" t="s">
        <v>116</v>
      </c>
      <c r="F47" s="180"/>
      <c r="G47" s="181"/>
      <c r="H47" s="182"/>
      <c r="I47" s="183"/>
      <c r="J47" s="184"/>
      <c r="K47" s="185"/>
      <c r="L47" s="184"/>
      <c r="M47" s="185"/>
      <c r="N47" s="186"/>
      <c r="O47" s="187"/>
      <c r="P47" s="182"/>
      <c r="Q47" s="187"/>
      <c r="R47" s="182"/>
      <c r="S47" s="187"/>
      <c r="T47" s="182"/>
      <c r="U47" s="187"/>
      <c r="V47" s="188"/>
      <c r="W47" s="82"/>
      <c r="X47" s="178"/>
      <c r="Y47" s="178"/>
    </row>
    <row r="48" customFormat="false" ht="15.75" hidden="false" customHeight="false" outlineLevel="0" collapsed="false">
      <c r="B48" s="200"/>
      <c r="C48" s="212"/>
      <c r="D48" s="212" t="s">
        <v>81</v>
      </c>
      <c r="E48" s="216"/>
      <c r="F48" s="211"/>
      <c r="G48" s="192" t="n">
        <f aca="false">SUM(G40:G45)</f>
        <v>167</v>
      </c>
      <c r="H48" s="193" t="n">
        <f aca="false">SUM(H40:H45)</f>
        <v>167</v>
      </c>
      <c r="I48" s="194" t="n">
        <f aca="false">J48/G48</f>
        <v>0.450359281437126</v>
      </c>
      <c r="J48" s="195" t="n">
        <f aca="false">SUM(J40:J45)</f>
        <v>75.21</v>
      </c>
      <c r="K48" s="196" t="n">
        <f aca="false">L48/G48</f>
        <v>0.374790419161677</v>
      </c>
      <c r="L48" s="195" t="n">
        <f aca="false">SUM(L40:L45)</f>
        <v>62.59</v>
      </c>
      <c r="M48" s="196" t="n">
        <f aca="false">N48/L48</f>
        <v>0.55760025563189</v>
      </c>
      <c r="N48" s="197" t="n">
        <f aca="false">SUM(N40:N45)</f>
        <v>34.9002</v>
      </c>
      <c r="O48" s="198"/>
      <c r="P48" s="193"/>
      <c r="Q48" s="198"/>
      <c r="R48" s="193"/>
      <c r="S48" s="198"/>
      <c r="T48" s="193"/>
      <c r="U48" s="198"/>
      <c r="V48" s="199"/>
      <c r="W48" s="82"/>
      <c r="X48" s="178"/>
      <c r="Y48" s="178"/>
    </row>
    <row r="49" customFormat="false" ht="15" hidden="false" customHeight="true" outlineLevel="0" collapsed="false">
      <c r="B49" s="200" t="s">
        <v>117</v>
      </c>
      <c r="C49" s="189" t="s">
        <v>93</v>
      </c>
      <c r="D49" s="189" t="n">
        <v>14</v>
      </c>
      <c r="E49" s="158" t="s">
        <v>118</v>
      </c>
      <c r="F49" s="201" t="s">
        <v>70</v>
      </c>
      <c r="G49" s="202" t="n">
        <v>217</v>
      </c>
      <c r="H49" s="203" t="n">
        <v>102</v>
      </c>
      <c r="I49" s="204" t="n">
        <v>0.29</v>
      </c>
      <c r="J49" s="205" t="n">
        <f aca="false">I49*G49</f>
        <v>62.93</v>
      </c>
      <c r="K49" s="206" t="n">
        <v>0.32</v>
      </c>
      <c r="L49" s="205" t="n">
        <v>69</v>
      </c>
      <c r="M49" s="206" t="s">
        <v>73</v>
      </c>
      <c r="N49" s="207" t="str">
        <f aca="false">IF(M49="-","-",M49*L49)</f>
        <v>-</v>
      </c>
      <c r="O49" s="208" t="n">
        <v>27</v>
      </c>
      <c r="P49" s="203" t="n">
        <v>8</v>
      </c>
      <c r="Q49" s="208" t="n">
        <v>33</v>
      </c>
      <c r="R49" s="203" t="n">
        <v>14</v>
      </c>
      <c r="S49" s="208" t="n">
        <v>241</v>
      </c>
      <c r="T49" s="203" t="n">
        <v>112</v>
      </c>
      <c r="U49" s="208" t="n">
        <v>9</v>
      </c>
      <c r="V49" s="209" t="n">
        <v>4</v>
      </c>
      <c r="W49" s="82"/>
      <c r="X49" s="178"/>
      <c r="Y49" s="178"/>
    </row>
    <row r="50" customFormat="false" ht="15" hidden="false" customHeight="true" outlineLevel="0" collapsed="false">
      <c r="B50" s="200"/>
      <c r="C50" s="189"/>
      <c r="D50" s="189"/>
      <c r="E50" s="168" t="s">
        <v>119</v>
      </c>
      <c r="F50" s="169" t="s">
        <v>98</v>
      </c>
      <c r="G50" s="170" t="n">
        <v>156</v>
      </c>
      <c r="H50" s="171" t="n">
        <v>87</v>
      </c>
      <c r="I50" s="172" t="n">
        <v>0.4</v>
      </c>
      <c r="J50" s="173" t="n">
        <f aca="false">I50*G50</f>
        <v>62.4</v>
      </c>
      <c r="K50" s="174" t="n">
        <v>0.39</v>
      </c>
      <c r="L50" s="173" t="n">
        <v>61</v>
      </c>
      <c r="M50" s="174" t="s">
        <v>73</v>
      </c>
      <c r="N50" s="175" t="str">
        <f aca="false">IF(M50="-","-",M50*L50)</f>
        <v>-</v>
      </c>
      <c r="O50" s="176" t="n">
        <v>7</v>
      </c>
      <c r="P50" s="171" t="n">
        <v>5</v>
      </c>
      <c r="Q50" s="176" t="n">
        <v>4</v>
      </c>
      <c r="R50" s="171" t="n">
        <v>1</v>
      </c>
      <c r="S50" s="176" t="n">
        <v>146</v>
      </c>
      <c r="T50" s="171" t="n">
        <v>81</v>
      </c>
      <c r="U50" s="176" t="n">
        <v>14</v>
      </c>
      <c r="V50" s="177" t="n">
        <v>7</v>
      </c>
      <c r="W50" s="82"/>
      <c r="X50" s="178"/>
      <c r="Y50" s="178"/>
    </row>
    <row r="51" customFormat="false" ht="15" hidden="false" customHeight="true" outlineLevel="0" collapsed="false">
      <c r="B51" s="200"/>
      <c r="C51" s="189"/>
      <c r="D51" s="189"/>
      <c r="E51" s="179" t="s">
        <v>120</v>
      </c>
      <c r="F51" s="180" t="s">
        <v>98</v>
      </c>
      <c r="G51" s="181" t="n">
        <v>167</v>
      </c>
      <c r="H51" s="182" t="n">
        <v>80</v>
      </c>
      <c r="I51" s="183" t="n">
        <v>0.26</v>
      </c>
      <c r="J51" s="184" t="n">
        <f aca="false">I51*G51</f>
        <v>43.42</v>
      </c>
      <c r="K51" s="185" t="n">
        <v>0.37</v>
      </c>
      <c r="L51" s="184" t="n">
        <v>62</v>
      </c>
      <c r="M51" s="185" t="s">
        <v>73</v>
      </c>
      <c r="N51" s="186" t="str">
        <f aca="false">IF(M51="-","-",M51*L51)</f>
        <v>-</v>
      </c>
      <c r="O51" s="187" t="n">
        <v>7</v>
      </c>
      <c r="P51" s="182" t="n">
        <v>3</v>
      </c>
      <c r="Q51" s="187" t="n">
        <v>33</v>
      </c>
      <c r="R51" s="182" t="n">
        <v>14</v>
      </c>
      <c r="S51" s="187" t="n">
        <v>153</v>
      </c>
      <c r="T51" s="182" t="n">
        <v>74</v>
      </c>
      <c r="U51" s="187" t="n">
        <v>47</v>
      </c>
      <c r="V51" s="188" t="n">
        <v>20</v>
      </c>
      <c r="W51" s="82"/>
      <c r="X51" s="178"/>
      <c r="Y51" s="178"/>
    </row>
    <row r="52" customFormat="false" ht="15.75" hidden="false" customHeight="false" outlineLevel="0" collapsed="false">
      <c r="B52" s="200"/>
      <c r="C52" s="189"/>
      <c r="D52" s="189" t="s">
        <v>81</v>
      </c>
      <c r="E52" s="190"/>
      <c r="F52" s="191"/>
      <c r="G52" s="192" t="n">
        <f aca="false">SUM(G49:G51)</f>
        <v>540</v>
      </c>
      <c r="H52" s="193" t="n">
        <f aca="false">SUM(H49:H51)</f>
        <v>269</v>
      </c>
      <c r="I52" s="194" t="n">
        <f aca="false">J52/G52</f>
        <v>0.3125</v>
      </c>
      <c r="J52" s="195" t="n">
        <f aca="false">SUM(J49:J51)</f>
        <v>168.75</v>
      </c>
      <c r="K52" s="196" t="n">
        <v>0.32</v>
      </c>
      <c r="L52" s="195" t="n">
        <f aca="false">SUM(L49:L51)</f>
        <v>192</v>
      </c>
      <c r="M52" s="196" t="n">
        <f aca="false">N52/L52</f>
        <v>0</v>
      </c>
      <c r="N52" s="197" t="n">
        <f aca="false">SUM(N49:N51)</f>
        <v>0</v>
      </c>
      <c r="O52" s="198" t="n">
        <f aca="false">SUM(O49:O51)</f>
        <v>41</v>
      </c>
      <c r="P52" s="193" t="n">
        <f aca="false">SUM(P49:P51)</f>
        <v>16</v>
      </c>
      <c r="Q52" s="198" t="n">
        <f aca="false">SUM(Q49:Q51)</f>
        <v>70</v>
      </c>
      <c r="R52" s="193" t="n">
        <f aca="false">SUM(R49:R51)</f>
        <v>29</v>
      </c>
      <c r="S52" s="198" t="n">
        <f aca="false">SUM(S49:S51)</f>
        <v>540</v>
      </c>
      <c r="T52" s="193" t="n">
        <f aca="false">SUM(T49:T51)</f>
        <v>267</v>
      </c>
      <c r="U52" s="198" t="n">
        <f aca="false">SUM(U49:U51)</f>
        <v>70</v>
      </c>
      <c r="V52" s="199" t="n">
        <f aca="false">SUM(V49:V51)</f>
        <v>31</v>
      </c>
      <c r="W52" s="82"/>
      <c r="X52" s="178"/>
      <c r="Y52" s="178"/>
    </row>
    <row r="53" customFormat="false" ht="15.75" hidden="false" customHeight="true" outlineLevel="0" collapsed="false">
      <c r="B53" s="200" t="s">
        <v>121</v>
      </c>
      <c r="C53" s="189" t="s">
        <v>93</v>
      </c>
      <c r="D53" s="189" t="n">
        <v>2</v>
      </c>
      <c r="E53" s="158" t="s">
        <v>122</v>
      </c>
      <c r="F53" s="191" t="s">
        <v>98</v>
      </c>
      <c r="G53" s="202" t="n">
        <v>21</v>
      </c>
      <c r="H53" s="203" t="n">
        <v>8</v>
      </c>
      <c r="I53" s="204" t="n">
        <v>0.29</v>
      </c>
      <c r="J53" s="205" t="n">
        <f aca="false">I53*G53</f>
        <v>6.09</v>
      </c>
      <c r="K53" s="206" t="n">
        <v>0.32</v>
      </c>
      <c r="L53" s="205" t="n">
        <f aca="false">K53*G53</f>
        <v>6.72</v>
      </c>
      <c r="M53" s="206" t="s">
        <v>73</v>
      </c>
      <c r="N53" s="207" t="n">
        <v>0</v>
      </c>
      <c r="O53" s="208" t="n">
        <v>1</v>
      </c>
      <c r="P53" s="203" t="n">
        <v>0</v>
      </c>
      <c r="Q53" s="208" t="n">
        <v>7</v>
      </c>
      <c r="R53" s="203" t="n">
        <v>5</v>
      </c>
      <c r="S53" s="208" t="n">
        <v>19</v>
      </c>
      <c r="T53" s="203" t="n">
        <v>8</v>
      </c>
      <c r="U53" s="208" t="n">
        <v>9</v>
      </c>
      <c r="V53" s="209" t="n">
        <v>5</v>
      </c>
      <c r="W53" s="217"/>
      <c r="X53" s="218"/>
      <c r="Y53" s="178"/>
    </row>
    <row r="54" customFormat="false" ht="15.75" hidden="false" customHeight="true" outlineLevel="0" collapsed="false">
      <c r="B54" s="200"/>
      <c r="C54" s="189"/>
      <c r="D54" s="189"/>
      <c r="E54" s="219" t="s">
        <v>123</v>
      </c>
      <c r="F54" s="220"/>
      <c r="G54" s="170"/>
      <c r="H54" s="171"/>
      <c r="I54" s="172"/>
      <c r="J54" s="173"/>
      <c r="K54" s="174"/>
      <c r="L54" s="173"/>
      <c r="M54" s="174"/>
      <c r="N54" s="175"/>
      <c r="O54" s="176"/>
      <c r="P54" s="171"/>
      <c r="Q54" s="176"/>
      <c r="R54" s="171"/>
      <c r="S54" s="176"/>
      <c r="T54" s="171"/>
      <c r="U54" s="176"/>
      <c r="V54" s="177"/>
      <c r="W54" s="221"/>
      <c r="X54" s="222"/>
      <c r="Y54" s="178"/>
    </row>
    <row r="55" customFormat="false" ht="15.75" hidden="false" customHeight="true" outlineLevel="0" collapsed="false">
      <c r="B55" s="200"/>
      <c r="C55" s="189"/>
      <c r="D55" s="189"/>
      <c r="E55" s="168" t="s">
        <v>124</v>
      </c>
      <c r="F55" s="220"/>
      <c r="G55" s="170"/>
      <c r="H55" s="171"/>
      <c r="I55" s="172"/>
      <c r="J55" s="173"/>
      <c r="K55" s="174"/>
      <c r="L55" s="173"/>
      <c r="M55" s="174"/>
      <c r="N55" s="175"/>
      <c r="O55" s="176"/>
      <c r="P55" s="171"/>
      <c r="Q55" s="176"/>
      <c r="R55" s="171"/>
      <c r="S55" s="176"/>
      <c r="T55" s="171"/>
      <c r="U55" s="176"/>
      <c r="V55" s="177"/>
      <c r="W55" s="221"/>
      <c r="X55" s="222"/>
      <c r="Y55" s="178"/>
    </row>
    <row r="56" customFormat="false" ht="15.75" hidden="false" customHeight="true" outlineLevel="0" collapsed="false">
      <c r="B56" s="200"/>
      <c r="C56" s="189"/>
      <c r="D56" s="189"/>
      <c r="E56" s="179" t="s">
        <v>125</v>
      </c>
      <c r="F56" s="220"/>
      <c r="G56" s="181"/>
      <c r="H56" s="182"/>
      <c r="I56" s="183"/>
      <c r="J56" s="184"/>
      <c r="K56" s="185"/>
      <c r="L56" s="184"/>
      <c r="M56" s="185"/>
      <c r="N56" s="186"/>
      <c r="O56" s="187"/>
      <c r="P56" s="182"/>
      <c r="Q56" s="187"/>
      <c r="R56" s="182"/>
      <c r="S56" s="187"/>
      <c r="T56" s="182"/>
      <c r="U56" s="187"/>
      <c r="V56" s="188"/>
      <c r="W56" s="223"/>
      <c r="X56" s="224"/>
      <c r="Y56" s="178"/>
    </row>
    <row r="57" customFormat="false" ht="15.75" hidden="false" customHeight="true" outlineLevel="0" collapsed="false">
      <c r="B57" s="225" t="s">
        <v>126</v>
      </c>
      <c r="C57" s="226" t="s">
        <v>93</v>
      </c>
      <c r="D57" s="189" t="n">
        <v>14</v>
      </c>
      <c r="E57" s="158" t="s">
        <v>127</v>
      </c>
      <c r="F57" s="201" t="s">
        <v>128</v>
      </c>
      <c r="G57" s="202" t="n">
        <f aca="false">17+25</f>
        <v>42</v>
      </c>
      <c r="H57" s="203" t="n">
        <f aca="false">G57</f>
        <v>42</v>
      </c>
      <c r="I57" s="204" t="n">
        <f aca="false">17/G57</f>
        <v>0.404761904761905</v>
      </c>
      <c r="J57" s="205" t="n">
        <f aca="false">I57*G57</f>
        <v>17</v>
      </c>
      <c r="K57" s="206" t="n">
        <f aca="false">21/G57</f>
        <v>0.5</v>
      </c>
      <c r="L57" s="205" t="n">
        <f aca="false">K57*G57</f>
        <v>21</v>
      </c>
      <c r="M57" s="206"/>
      <c r="N57" s="207"/>
      <c r="O57" s="208"/>
      <c r="P57" s="203"/>
      <c r="Q57" s="208"/>
      <c r="R57" s="203"/>
      <c r="S57" s="208"/>
      <c r="T57" s="203"/>
      <c r="U57" s="208"/>
      <c r="V57" s="209"/>
      <c r="W57" s="227"/>
      <c r="X57" s="228"/>
      <c r="Y57" s="178"/>
    </row>
    <row r="58" customFormat="false" ht="15.75" hidden="false" customHeight="true" outlineLevel="0" collapsed="false">
      <c r="B58" s="225"/>
      <c r="C58" s="226"/>
      <c r="D58" s="189"/>
      <c r="E58" s="168" t="s">
        <v>129</v>
      </c>
      <c r="F58" s="169" t="s">
        <v>128</v>
      </c>
      <c r="G58" s="170" t="n">
        <f aca="false">122+29+119+13</f>
        <v>283</v>
      </c>
      <c r="H58" s="171" t="n">
        <f aca="false">G58</f>
        <v>283</v>
      </c>
      <c r="I58" s="172" t="n">
        <f aca="false">(29+13)/G58</f>
        <v>0.148409893992933</v>
      </c>
      <c r="J58" s="173" t="n">
        <f aca="false">I58*G58</f>
        <v>42</v>
      </c>
      <c r="K58" s="174" t="n">
        <f aca="false">(65+47)/G58</f>
        <v>0.395759717314488</v>
      </c>
      <c r="L58" s="173" t="n">
        <f aca="false">K58*G58</f>
        <v>112</v>
      </c>
      <c r="M58" s="174"/>
      <c r="N58" s="175"/>
      <c r="O58" s="176"/>
      <c r="P58" s="171"/>
      <c r="Q58" s="176"/>
      <c r="R58" s="171"/>
      <c r="S58" s="176"/>
      <c r="T58" s="171"/>
      <c r="U58" s="176"/>
      <c r="V58" s="177"/>
      <c r="W58" s="221"/>
      <c r="X58" s="222"/>
      <c r="Y58" s="178"/>
    </row>
    <row r="59" customFormat="false" ht="15.75" hidden="false" customHeight="true" outlineLevel="0" collapsed="false">
      <c r="B59" s="225"/>
      <c r="C59" s="226"/>
      <c r="D59" s="189"/>
      <c r="E59" s="168" t="s">
        <v>130</v>
      </c>
      <c r="F59" s="169" t="s">
        <v>128</v>
      </c>
      <c r="G59" s="170" t="n">
        <f aca="false">(19+11+31+18)</f>
        <v>79</v>
      </c>
      <c r="H59" s="171" t="n">
        <f aca="false">G59</f>
        <v>79</v>
      </c>
      <c r="I59" s="172" t="n">
        <f aca="false">(11+18)/G59</f>
        <v>0.367088607594937</v>
      </c>
      <c r="J59" s="173" t="n">
        <f aca="false">I59*G59</f>
        <v>29</v>
      </c>
      <c r="K59" s="174" t="n">
        <f aca="false">(5+28)/G59</f>
        <v>0.417721518987342</v>
      </c>
      <c r="L59" s="173" t="n">
        <f aca="false">K59*G59</f>
        <v>33</v>
      </c>
      <c r="M59" s="174"/>
      <c r="N59" s="175"/>
      <c r="O59" s="176"/>
      <c r="P59" s="171"/>
      <c r="Q59" s="176"/>
      <c r="R59" s="171"/>
      <c r="S59" s="176"/>
      <c r="T59" s="171"/>
      <c r="U59" s="176"/>
      <c r="V59" s="177"/>
      <c r="W59" s="221"/>
      <c r="X59" s="222"/>
      <c r="Y59" s="178"/>
    </row>
    <row r="60" customFormat="false" ht="15.75" hidden="false" customHeight="true" outlineLevel="0" collapsed="false">
      <c r="B60" s="225"/>
      <c r="C60" s="226"/>
      <c r="D60" s="189"/>
      <c r="E60" s="168" t="s">
        <v>131</v>
      </c>
      <c r="F60" s="169" t="s">
        <v>128</v>
      </c>
      <c r="G60" s="170" t="n">
        <f aca="false">15+8+12+6+33+34</f>
        <v>108</v>
      </c>
      <c r="H60" s="171" t="n">
        <f aca="false">G60</f>
        <v>108</v>
      </c>
      <c r="I60" s="172" t="n">
        <f aca="false">(8+6+33)/G60</f>
        <v>0.435185185185185</v>
      </c>
      <c r="J60" s="173" t="n">
        <f aca="false">I60*G60</f>
        <v>47</v>
      </c>
      <c r="K60" s="174" t="n">
        <f aca="false">(12+6+33)/G60</f>
        <v>0.472222222222222</v>
      </c>
      <c r="L60" s="173" t="n">
        <f aca="false">K60*G60</f>
        <v>51</v>
      </c>
      <c r="M60" s="174"/>
      <c r="N60" s="175"/>
      <c r="O60" s="176"/>
      <c r="P60" s="171"/>
      <c r="Q60" s="176"/>
      <c r="R60" s="171"/>
      <c r="S60" s="176"/>
      <c r="T60" s="171"/>
      <c r="U60" s="176"/>
      <c r="V60" s="177"/>
      <c r="W60" s="221"/>
      <c r="X60" s="222"/>
      <c r="Y60" s="178"/>
    </row>
    <row r="61" customFormat="false" ht="15.75" hidden="false" customHeight="true" outlineLevel="0" collapsed="false">
      <c r="B61" s="225"/>
      <c r="C61" s="226"/>
      <c r="D61" s="189"/>
      <c r="E61" s="168" t="s">
        <v>132</v>
      </c>
      <c r="F61" s="169" t="s">
        <v>128</v>
      </c>
      <c r="G61" s="170" t="n">
        <f aca="false">56+28+19+14</f>
        <v>117</v>
      </c>
      <c r="H61" s="171" t="n">
        <f aca="false">G61</f>
        <v>117</v>
      </c>
      <c r="I61" s="172" t="n">
        <f aca="false">(28+14)/G61</f>
        <v>0.358974358974359</v>
      </c>
      <c r="J61" s="173" t="n">
        <f aca="false">I61*G61</f>
        <v>42</v>
      </c>
      <c r="K61" s="174" t="n">
        <f aca="false">(31+21)/G61</f>
        <v>0.444444444444444</v>
      </c>
      <c r="L61" s="173" t="n">
        <f aca="false">K61*G61</f>
        <v>52</v>
      </c>
      <c r="M61" s="174"/>
      <c r="N61" s="175"/>
      <c r="O61" s="176"/>
      <c r="P61" s="171"/>
      <c r="Q61" s="176"/>
      <c r="R61" s="171"/>
      <c r="S61" s="176"/>
      <c r="T61" s="171"/>
      <c r="U61" s="176"/>
      <c r="V61" s="177"/>
      <c r="W61" s="221"/>
      <c r="X61" s="222"/>
      <c r="Y61" s="178"/>
    </row>
    <row r="62" customFormat="false" ht="15.75" hidden="false" customHeight="true" outlineLevel="0" collapsed="false">
      <c r="B62" s="225"/>
      <c r="C62" s="226"/>
      <c r="D62" s="189"/>
      <c r="E62" s="168" t="s">
        <v>133</v>
      </c>
      <c r="F62" s="169"/>
      <c r="G62" s="170"/>
      <c r="H62" s="171"/>
      <c r="I62" s="172"/>
      <c r="J62" s="173"/>
      <c r="K62" s="174"/>
      <c r="L62" s="173"/>
      <c r="M62" s="174"/>
      <c r="N62" s="229"/>
      <c r="O62" s="176"/>
      <c r="P62" s="171"/>
      <c r="Q62" s="176"/>
      <c r="R62" s="171"/>
      <c r="S62" s="176"/>
      <c r="T62" s="171"/>
      <c r="U62" s="176"/>
      <c r="V62" s="177"/>
      <c r="W62" s="221"/>
      <c r="X62" s="222"/>
      <c r="Y62" s="178"/>
    </row>
    <row r="63" customFormat="false" ht="15.75" hidden="false" customHeight="true" outlineLevel="0" collapsed="false">
      <c r="B63" s="225"/>
      <c r="C63" s="226"/>
      <c r="D63" s="189"/>
      <c r="E63" s="168" t="s">
        <v>134</v>
      </c>
      <c r="F63" s="169"/>
      <c r="G63" s="170"/>
      <c r="H63" s="171"/>
      <c r="I63" s="172"/>
      <c r="J63" s="173"/>
      <c r="K63" s="174"/>
      <c r="L63" s="173"/>
      <c r="M63" s="174"/>
      <c r="N63" s="229"/>
      <c r="O63" s="176"/>
      <c r="P63" s="171"/>
      <c r="Q63" s="176"/>
      <c r="R63" s="171"/>
      <c r="S63" s="176"/>
      <c r="T63" s="171"/>
      <c r="U63" s="176"/>
      <c r="V63" s="177"/>
      <c r="W63" s="221"/>
      <c r="X63" s="222"/>
      <c r="Y63" s="178"/>
    </row>
    <row r="64" customFormat="false" ht="15.75" hidden="false" customHeight="true" outlineLevel="0" collapsed="false">
      <c r="B64" s="225"/>
      <c r="C64" s="226"/>
      <c r="D64" s="189"/>
      <c r="E64" s="168" t="s">
        <v>135</v>
      </c>
      <c r="F64" s="169" t="s">
        <v>128</v>
      </c>
      <c r="G64" s="170" t="n">
        <f aca="false">(388+263)</f>
        <v>651</v>
      </c>
      <c r="H64" s="171" t="n">
        <f aca="false">G64</f>
        <v>651</v>
      </c>
      <c r="I64" s="172" t="n">
        <f aca="false">263/G64</f>
        <v>0.403993855606759</v>
      </c>
      <c r="J64" s="173" t="n">
        <f aca="false">I64*G64</f>
        <v>263</v>
      </c>
      <c r="K64" s="174" t="n">
        <f aca="false">250/G64</f>
        <v>0.384024577572965</v>
      </c>
      <c r="L64" s="173" t="n">
        <f aca="false">K64*G64</f>
        <v>250</v>
      </c>
      <c r="M64" s="174"/>
      <c r="N64" s="229"/>
      <c r="O64" s="176"/>
      <c r="P64" s="171"/>
      <c r="Q64" s="176"/>
      <c r="R64" s="171"/>
      <c r="S64" s="176"/>
      <c r="T64" s="171"/>
      <c r="U64" s="176"/>
      <c r="V64" s="177"/>
      <c r="W64" s="221"/>
      <c r="X64" s="222"/>
      <c r="Y64" s="178"/>
    </row>
    <row r="65" customFormat="false" ht="15.75" hidden="false" customHeight="true" outlineLevel="0" collapsed="false">
      <c r="B65" s="225"/>
      <c r="C65" s="226"/>
      <c r="D65" s="189"/>
      <c r="E65" s="168" t="s">
        <v>136</v>
      </c>
      <c r="F65" s="169" t="s">
        <v>128</v>
      </c>
      <c r="G65" s="170" t="n">
        <f aca="false">284+220+60+51</f>
        <v>615</v>
      </c>
      <c r="H65" s="171" t="n">
        <f aca="false">G65</f>
        <v>615</v>
      </c>
      <c r="I65" s="172" t="n">
        <f aca="false">(220+51)/G65</f>
        <v>0.440650406504065</v>
      </c>
      <c r="J65" s="173" t="n">
        <f aca="false">I65*G65</f>
        <v>271</v>
      </c>
      <c r="K65" s="174" t="n">
        <f aca="false">(195+46)/G65</f>
        <v>0.391869918699187</v>
      </c>
      <c r="L65" s="173" t="n">
        <f aca="false">K65*G65</f>
        <v>241</v>
      </c>
      <c r="M65" s="174"/>
      <c r="N65" s="175"/>
      <c r="O65" s="176"/>
      <c r="P65" s="171"/>
      <c r="Q65" s="176"/>
      <c r="R65" s="171"/>
      <c r="S65" s="176"/>
      <c r="T65" s="171"/>
      <c r="U65" s="176"/>
      <c r="V65" s="177"/>
      <c r="W65" s="221"/>
      <c r="X65" s="222"/>
      <c r="Y65" s="178"/>
    </row>
    <row r="66" customFormat="false" ht="15.75" hidden="false" customHeight="true" outlineLevel="0" collapsed="false">
      <c r="B66" s="225"/>
      <c r="C66" s="226"/>
      <c r="D66" s="189"/>
      <c r="E66" s="179" t="s">
        <v>137</v>
      </c>
      <c r="F66" s="180" t="s">
        <v>128</v>
      </c>
      <c r="G66" s="181" t="n">
        <f aca="false">215+82+11+8</f>
        <v>316</v>
      </c>
      <c r="H66" s="182" t="n">
        <f aca="false">G66</f>
        <v>316</v>
      </c>
      <c r="I66" s="183" t="n">
        <f aca="false">(82+8)/G66</f>
        <v>0.284810126582278</v>
      </c>
      <c r="J66" s="184" t="n">
        <f aca="false">I66*G66</f>
        <v>90</v>
      </c>
      <c r="K66" s="185" t="n">
        <f aca="false">(116+8)/G66</f>
        <v>0.392405063291139</v>
      </c>
      <c r="L66" s="184" t="n">
        <f aca="false">K66*G66</f>
        <v>124</v>
      </c>
      <c r="M66" s="185"/>
      <c r="N66" s="186"/>
      <c r="O66" s="187"/>
      <c r="P66" s="182"/>
      <c r="Q66" s="187"/>
      <c r="R66" s="182"/>
      <c r="S66" s="187"/>
      <c r="T66" s="182"/>
      <c r="U66" s="187"/>
      <c r="V66" s="188"/>
      <c r="W66" s="223"/>
      <c r="X66" s="224"/>
      <c r="Y66" s="178"/>
    </row>
    <row r="67" customFormat="false" ht="16.5" hidden="false" customHeight="false" outlineLevel="0" collapsed="false">
      <c r="B67" s="225"/>
      <c r="C67" s="226"/>
      <c r="D67" s="226" t="s">
        <v>81</v>
      </c>
      <c r="E67" s="230"/>
      <c r="F67" s="231"/>
      <c r="G67" s="232" t="n">
        <f aca="false">SUM(G57:G66)</f>
        <v>2211</v>
      </c>
      <c r="H67" s="233" t="n">
        <f aca="false">SUM(H57:H66)</f>
        <v>2211</v>
      </c>
      <c r="I67" s="194" t="n">
        <f aca="false">J67/G67</f>
        <v>0.362279511533243</v>
      </c>
      <c r="J67" s="234" t="n">
        <f aca="false">SUM(J57:J66)</f>
        <v>801</v>
      </c>
      <c r="K67" s="196" t="n">
        <f aca="false">L67/G67</f>
        <v>0.399819086386251</v>
      </c>
      <c r="L67" s="234" t="n">
        <f aca="false">SUM(L57:L66)</f>
        <v>884</v>
      </c>
      <c r="M67" s="196" t="n">
        <f aca="false">N67/L67</f>
        <v>0</v>
      </c>
      <c r="N67" s="235" t="n">
        <f aca="false">SUM(N57:N66)</f>
        <v>0</v>
      </c>
      <c r="O67" s="236"/>
      <c r="P67" s="233"/>
      <c r="Q67" s="236"/>
      <c r="R67" s="233"/>
      <c r="S67" s="236"/>
      <c r="T67" s="233"/>
      <c r="U67" s="236"/>
      <c r="V67" s="237"/>
      <c r="W67" s="238"/>
      <c r="X67" s="239"/>
      <c r="Y67" s="178"/>
    </row>
    <row r="68" s="155" customFormat="true" ht="21" hidden="false" customHeight="true" outlineLevel="0" collapsed="false">
      <c r="A68" s="22"/>
      <c r="B68" s="140" t="s">
        <v>138</v>
      </c>
      <c r="C68" s="141"/>
      <c r="D68" s="141" t="n">
        <f aca="false">SUM(D26:D66)</f>
        <v>83</v>
      </c>
      <c r="E68" s="240"/>
      <c r="F68" s="143" t="n">
        <f aca="false">COUNT(J26:J66)</f>
        <v>34</v>
      </c>
      <c r="G68" s="241" t="n">
        <f aca="false">G32+G39+G48+G52+G53+G67</f>
        <v>4842</v>
      </c>
      <c r="H68" s="152" t="n">
        <f aca="false">H32+H39+H48+H52+H53+H67</f>
        <v>3403</v>
      </c>
      <c r="I68" s="242" t="n">
        <f aca="false">J68/G68</f>
        <v>0.391997108632796</v>
      </c>
      <c r="J68" s="243" t="n">
        <f aca="false">J32+J39+J48+J52+J53+J67</f>
        <v>1898.05</v>
      </c>
      <c r="K68" s="244" t="n">
        <f aca="false">L68/G68</f>
        <v>0.399898802147873</v>
      </c>
      <c r="L68" s="243" t="n">
        <f aca="false">L32+L39+L48+L52+L53+L67</f>
        <v>1936.31</v>
      </c>
      <c r="M68" s="245" t="n">
        <f aca="false">N68/(SUM(L33:L45))</f>
        <v>0.430584620296101</v>
      </c>
      <c r="N68" s="246" t="n">
        <f aca="false">N32+N39+N48+N52+N53+N67</f>
        <v>107.9002</v>
      </c>
      <c r="O68" s="151"/>
      <c r="P68" s="152"/>
      <c r="Q68" s="151"/>
      <c r="R68" s="152"/>
      <c r="S68" s="151"/>
      <c r="T68" s="152"/>
      <c r="U68" s="151"/>
      <c r="V68" s="153"/>
      <c r="W68" s="154"/>
      <c r="X68" s="247"/>
      <c r="Y68" s="247"/>
    </row>
    <row r="69" s="155" customFormat="true" ht="21" hidden="false" customHeight="true" outlineLevel="0" collapsed="false">
      <c r="A69" s="22"/>
      <c r="B69" s="140" t="s">
        <v>139</v>
      </c>
      <c r="C69" s="141"/>
      <c r="D69" s="141" t="n">
        <f aca="false">D68+D25</f>
        <v>102</v>
      </c>
      <c r="E69" s="240"/>
      <c r="F69" s="143" t="n">
        <f aca="false">F68+F25</f>
        <v>52</v>
      </c>
      <c r="G69" s="241" t="n">
        <f aca="false">G25+G68</f>
        <v>5236</v>
      </c>
      <c r="H69" s="152" t="n">
        <f aca="false">H25+H68</f>
        <v>3638</v>
      </c>
      <c r="I69" s="242" t="n">
        <f aca="false">J69/G69</f>
        <v>0.379491978609626</v>
      </c>
      <c r="J69" s="243" t="n">
        <f aca="false">J25+J68</f>
        <v>1987.02</v>
      </c>
      <c r="K69" s="244" t="n">
        <f aca="false">L69/G69</f>
        <v>0.386808632543927</v>
      </c>
      <c r="L69" s="243" t="n">
        <f aca="false">L25+L68</f>
        <v>2025.33</v>
      </c>
      <c r="M69" s="245" t="n">
        <f aca="false">N69/(L5+L16+L17+L19+L21+L23+SUM(L33:L45))</f>
        <v>0.685881075780922</v>
      </c>
      <c r="N69" s="246" t="n">
        <f aca="false">N5+N16+N17+N19+N21+N23+SUM(N33:N45)</f>
        <v>195.8602</v>
      </c>
      <c r="O69" s="151"/>
      <c r="P69" s="152"/>
      <c r="Q69" s="151"/>
      <c r="R69" s="152"/>
      <c r="S69" s="151"/>
      <c r="T69" s="152"/>
      <c r="U69" s="151"/>
      <c r="V69" s="153"/>
      <c r="W69" s="154"/>
      <c r="X69" s="247"/>
      <c r="Y69" s="247"/>
    </row>
    <row r="70" customFormat="false" ht="15" hidden="false" customHeight="false" outlineLevel="0" collapsed="false">
      <c r="B70" s="248"/>
      <c r="C70" s="249"/>
      <c r="D70" s="249"/>
      <c r="E70" s="248"/>
      <c r="F70" s="249"/>
      <c r="G70" s="249"/>
      <c r="H70" s="249"/>
      <c r="I70" s="250"/>
      <c r="J70" s="251"/>
      <c r="K70" s="250"/>
      <c r="L70" s="251"/>
      <c r="M70" s="252" t="s">
        <v>140</v>
      </c>
      <c r="N70" s="252"/>
      <c r="O70" s="249"/>
      <c r="P70" s="249"/>
      <c r="Q70" s="249"/>
      <c r="R70" s="249"/>
      <c r="S70" s="249"/>
      <c r="T70" s="249"/>
      <c r="U70" s="249"/>
      <c r="V70" s="249"/>
    </row>
    <row r="71" customFormat="false" ht="15" hidden="false" customHeight="false" outlineLevel="0" collapsed="false">
      <c r="E71" s="253" t="s">
        <v>141</v>
      </c>
      <c r="F71" s="254"/>
    </row>
    <row r="72" customFormat="false" ht="15" hidden="false" customHeight="false" outlineLevel="0" collapsed="false">
      <c r="E72" s="1" t="s">
        <v>70</v>
      </c>
      <c r="F72" s="2" t="n">
        <f aca="false">COUNTIF(F$5:F$66,E72)</f>
        <v>22</v>
      </c>
    </row>
    <row r="73" customFormat="false" ht="15" hidden="false" customHeight="false" outlineLevel="0" collapsed="false">
      <c r="E73" s="1" t="s">
        <v>128</v>
      </c>
      <c r="F73" s="2" t="n">
        <f aca="false">COUNTIF(F$5:F$66,E73)</f>
        <v>8</v>
      </c>
    </row>
    <row r="74" customFormat="false" ht="15" hidden="false" customHeight="false" outlineLevel="0" collapsed="false">
      <c r="E74" s="1" t="s">
        <v>98</v>
      </c>
      <c r="F74" s="2" t="n">
        <f aca="false">COUNTIF(F$5:F$66,E74)</f>
        <v>17</v>
      </c>
    </row>
  </sheetData>
  <mergeCells count="41">
    <mergeCell ref="B2:B4"/>
    <mergeCell ref="C2:C4"/>
    <mergeCell ref="D2:D4"/>
    <mergeCell ref="E2:E4"/>
    <mergeCell ref="F2:F4"/>
    <mergeCell ref="G2:H2"/>
    <mergeCell ref="I2:I4"/>
    <mergeCell ref="J2:J4"/>
    <mergeCell ref="K2:K4"/>
    <mergeCell ref="L2:L4"/>
    <mergeCell ref="M2:M4"/>
    <mergeCell ref="N2:N4"/>
    <mergeCell ref="O2:P2"/>
    <mergeCell ref="Q2:R2"/>
    <mergeCell ref="S2:T2"/>
    <mergeCell ref="U2:V2"/>
    <mergeCell ref="B6:B15"/>
    <mergeCell ref="C6:C15"/>
    <mergeCell ref="D6:D14"/>
    <mergeCell ref="B16:B24"/>
    <mergeCell ref="C16:C24"/>
    <mergeCell ref="D16:D23"/>
    <mergeCell ref="B26:B32"/>
    <mergeCell ref="C26:C32"/>
    <mergeCell ref="D26:D31"/>
    <mergeCell ref="B33:B39"/>
    <mergeCell ref="C33:C39"/>
    <mergeCell ref="D33:D38"/>
    <mergeCell ref="B40:B48"/>
    <mergeCell ref="C40:C48"/>
    <mergeCell ref="D40:D47"/>
    <mergeCell ref="B49:B52"/>
    <mergeCell ref="C49:C52"/>
    <mergeCell ref="D49:D51"/>
    <mergeCell ref="B53:B56"/>
    <mergeCell ref="C53:C56"/>
    <mergeCell ref="D53:D56"/>
    <mergeCell ref="B57:B67"/>
    <mergeCell ref="C57:C67"/>
    <mergeCell ref="D57:D66"/>
    <mergeCell ref="M70:N70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true"/>
  </sheetPr>
  <dimension ref="A1:Y7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S27" activeCellId="0" sqref="S27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8" min="7" style="2" width="11.42"/>
    <col collapsed="false" customWidth="false" hidden="false" outlineLevel="0" max="9" min="9" style="43" width="11.42"/>
    <col collapsed="false" customWidth="false" hidden="false" outlineLevel="0" max="10" min="10" style="44" width="11.42"/>
    <col collapsed="false" customWidth="false" hidden="false" outlineLevel="0" max="11" min="11" style="43" width="11.42"/>
    <col collapsed="false" customWidth="false" hidden="false" outlineLevel="0" max="12" min="12" style="44" width="11.42"/>
    <col collapsed="false" customWidth="false" hidden="false" outlineLevel="0" max="13" min="13" style="43" width="11.42"/>
    <col collapsed="false" customWidth="false" hidden="false" outlineLevel="0" max="14" min="14" style="44" width="11.42"/>
    <col collapsed="false" customWidth="true" hidden="false" outlineLevel="0" max="22" min="15" style="2" width="7.57"/>
    <col collapsed="false" customWidth="true" hidden="false" outlineLevel="0" max="23" min="23" style="2" width="5.28"/>
    <col collapsed="false" customWidth="false" hidden="false" outlineLevel="0" max="1024" min="24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45"/>
      <c r="J1" s="46"/>
      <c r="K1" s="45"/>
      <c r="L1" s="46"/>
      <c r="M1" s="45"/>
      <c r="N1" s="46"/>
      <c r="O1" s="23"/>
      <c r="P1" s="23"/>
      <c r="Q1" s="23"/>
      <c r="R1" s="23"/>
      <c r="S1" s="23"/>
      <c r="T1" s="23"/>
      <c r="U1" s="23"/>
      <c r="V1" s="23"/>
      <c r="W1" s="23"/>
    </row>
    <row r="2" s="60" customFormat="true" ht="30" hidden="false" customHeight="true" outlineLevel="0" collapsed="false">
      <c r="A2" s="47"/>
      <c r="B2" s="48" t="s">
        <v>49</v>
      </c>
      <c r="C2" s="49" t="s">
        <v>50</v>
      </c>
      <c r="D2" s="49" t="s">
        <v>51</v>
      </c>
      <c r="E2" s="50" t="s">
        <v>52</v>
      </c>
      <c r="F2" s="51" t="s">
        <v>53</v>
      </c>
      <c r="G2" s="52" t="s">
        <v>54</v>
      </c>
      <c r="H2" s="52"/>
      <c r="I2" s="53" t="s">
        <v>55</v>
      </c>
      <c r="J2" s="255" t="s">
        <v>56</v>
      </c>
      <c r="K2" s="53" t="s">
        <v>57</v>
      </c>
      <c r="L2" s="255" t="s">
        <v>58</v>
      </c>
      <c r="M2" s="53" t="s">
        <v>59</v>
      </c>
      <c r="N2" s="255" t="s">
        <v>60</v>
      </c>
      <c r="O2" s="57" t="s">
        <v>61</v>
      </c>
      <c r="P2" s="57"/>
      <c r="Q2" s="57" t="s">
        <v>62</v>
      </c>
      <c r="R2" s="57"/>
      <c r="S2" s="57" t="s">
        <v>63</v>
      </c>
      <c r="T2" s="57"/>
      <c r="U2" s="58" t="s">
        <v>64</v>
      </c>
      <c r="V2" s="58"/>
      <c r="W2" s="256"/>
    </row>
    <row r="3" s="60" customFormat="true" ht="30" hidden="false" customHeight="true" outlineLevel="0" collapsed="false">
      <c r="A3" s="47"/>
      <c r="B3" s="48"/>
      <c r="C3" s="49"/>
      <c r="D3" s="49"/>
      <c r="E3" s="50"/>
      <c r="F3" s="51"/>
      <c r="G3" s="61"/>
      <c r="H3" s="62"/>
      <c r="I3" s="53"/>
      <c r="J3" s="255"/>
      <c r="K3" s="53"/>
      <c r="L3" s="255"/>
      <c r="M3" s="53"/>
      <c r="N3" s="255"/>
      <c r="O3" s="63"/>
      <c r="P3" s="62"/>
      <c r="Q3" s="63"/>
      <c r="R3" s="62"/>
      <c r="S3" s="63"/>
      <c r="T3" s="62"/>
      <c r="U3" s="64"/>
      <c r="V3" s="65"/>
      <c r="W3" s="256"/>
    </row>
    <row r="4" s="60" customFormat="true" ht="30" hidden="false" customHeight="true" outlineLevel="0" collapsed="false">
      <c r="A4" s="47"/>
      <c r="B4" s="48"/>
      <c r="C4" s="49"/>
      <c r="D4" s="49"/>
      <c r="E4" s="50"/>
      <c r="F4" s="51"/>
      <c r="G4" s="66" t="s">
        <v>65</v>
      </c>
      <c r="H4" s="67" t="s">
        <v>66</v>
      </c>
      <c r="I4" s="53"/>
      <c r="J4" s="255"/>
      <c r="K4" s="53"/>
      <c r="L4" s="255"/>
      <c r="M4" s="53"/>
      <c r="N4" s="255"/>
      <c r="O4" s="68" t="s">
        <v>65</v>
      </c>
      <c r="P4" s="67" t="s">
        <v>66</v>
      </c>
      <c r="Q4" s="68" t="s">
        <v>65</v>
      </c>
      <c r="R4" s="67" t="s">
        <v>66</v>
      </c>
      <c r="S4" s="68" t="s">
        <v>65</v>
      </c>
      <c r="T4" s="67" t="s">
        <v>66</v>
      </c>
      <c r="U4" s="68" t="s">
        <v>65</v>
      </c>
      <c r="V4" s="69" t="s">
        <v>66</v>
      </c>
      <c r="W4" s="256"/>
    </row>
    <row r="5" customFormat="false" ht="15.75" hidden="false" customHeight="false" outlineLevel="0" collapsed="false">
      <c r="B5" s="156" t="s">
        <v>142</v>
      </c>
      <c r="C5" s="157" t="s">
        <v>68</v>
      </c>
      <c r="D5" s="257" t="n">
        <v>2</v>
      </c>
      <c r="E5" s="258" t="s">
        <v>69</v>
      </c>
      <c r="F5" s="259" t="s">
        <v>70</v>
      </c>
      <c r="G5" s="260" t="n">
        <v>102</v>
      </c>
      <c r="H5" s="261" t="n">
        <v>94</v>
      </c>
      <c r="I5" s="262" t="n">
        <f aca="false">J5/G5</f>
        <v>0.0196078431372549</v>
      </c>
      <c r="J5" s="263" t="n">
        <v>2</v>
      </c>
      <c r="K5" s="264" t="n">
        <f aca="false">L5/G5</f>
        <v>0.176470588235294</v>
      </c>
      <c r="L5" s="263" t="n">
        <v>18</v>
      </c>
      <c r="M5" s="264" t="n">
        <f aca="false">IF(N5="-","-",N5/L5)</f>
        <v>0.111111111111111</v>
      </c>
      <c r="N5" s="265" t="n">
        <v>2</v>
      </c>
      <c r="O5" s="266"/>
      <c r="P5" s="267"/>
      <c r="Q5" s="266"/>
      <c r="R5" s="267"/>
      <c r="S5" s="268" t="s">
        <v>73</v>
      </c>
      <c r="T5" s="269" t="s">
        <v>73</v>
      </c>
      <c r="U5" s="268" t="s">
        <v>73</v>
      </c>
      <c r="V5" s="270" t="s">
        <v>73</v>
      </c>
      <c r="W5" s="271" t="s">
        <v>143</v>
      </c>
    </row>
    <row r="6" customFormat="false" ht="15" hidden="false" customHeight="true" outlineLevel="0" collapsed="false">
      <c r="B6" s="272" t="s">
        <v>144</v>
      </c>
      <c r="C6" s="212" t="s">
        <v>68</v>
      </c>
      <c r="D6" s="273" t="n">
        <v>9</v>
      </c>
      <c r="E6" s="274" t="s">
        <v>72</v>
      </c>
      <c r="F6" s="275" t="s">
        <v>70</v>
      </c>
      <c r="G6" s="276" t="n">
        <v>76</v>
      </c>
      <c r="H6" s="277" t="n">
        <v>50</v>
      </c>
      <c r="I6" s="278" t="n">
        <f aca="false">J6/G6</f>
        <v>0.223684210526316</v>
      </c>
      <c r="J6" s="279" t="n">
        <v>17</v>
      </c>
      <c r="K6" s="280" t="n">
        <f aca="false">L6/G6</f>
        <v>0.368421052631579</v>
      </c>
      <c r="L6" s="279" t="n">
        <v>28</v>
      </c>
      <c r="M6" s="280" t="str">
        <f aca="false">IF(N6="-","-",N6/L6)</f>
        <v>-</v>
      </c>
      <c r="N6" s="281" t="s">
        <v>73</v>
      </c>
      <c r="O6" s="282"/>
      <c r="P6" s="283"/>
      <c r="Q6" s="282"/>
      <c r="R6" s="283"/>
      <c r="S6" s="284" t="s">
        <v>73</v>
      </c>
      <c r="T6" s="285" t="s">
        <v>73</v>
      </c>
      <c r="U6" s="284" t="s">
        <v>73</v>
      </c>
      <c r="V6" s="286" t="s">
        <v>73</v>
      </c>
      <c r="W6" s="271" t="s">
        <v>143</v>
      </c>
    </row>
    <row r="7" customFormat="false" ht="15" hidden="false" customHeight="true" outlineLevel="0" collapsed="false">
      <c r="B7" s="272"/>
      <c r="C7" s="212"/>
      <c r="D7" s="273"/>
      <c r="E7" s="287" t="s">
        <v>74</v>
      </c>
      <c r="F7" s="288" t="s">
        <v>70</v>
      </c>
      <c r="G7" s="289" t="n">
        <v>45</v>
      </c>
      <c r="H7" s="290" t="n">
        <v>27</v>
      </c>
      <c r="I7" s="291" t="n">
        <f aca="false">J7/G7</f>
        <v>0.466666666666667</v>
      </c>
      <c r="J7" s="292" t="n">
        <v>21</v>
      </c>
      <c r="K7" s="293" t="n">
        <f aca="false">L7/G7</f>
        <v>0.311111111111111</v>
      </c>
      <c r="L7" s="292" t="n">
        <v>14</v>
      </c>
      <c r="M7" s="293" t="str">
        <f aca="false">IF(N7="-","-",N7/L7)</f>
        <v>-</v>
      </c>
      <c r="N7" s="294" t="s">
        <v>73</v>
      </c>
      <c r="O7" s="295"/>
      <c r="P7" s="296"/>
      <c r="Q7" s="295"/>
      <c r="R7" s="296"/>
      <c r="S7" s="297" t="s">
        <v>73</v>
      </c>
      <c r="T7" s="298" t="s">
        <v>73</v>
      </c>
      <c r="U7" s="297" t="s">
        <v>73</v>
      </c>
      <c r="V7" s="299" t="s">
        <v>73</v>
      </c>
      <c r="W7" s="271" t="s">
        <v>143</v>
      </c>
    </row>
    <row r="8" customFormat="false" ht="15" hidden="false" customHeight="true" outlineLevel="0" collapsed="false">
      <c r="B8" s="272"/>
      <c r="C8" s="212"/>
      <c r="D8" s="273"/>
      <c r="E8" s="287" t="s">
        <v>75</v>
      </c>
      <c r="F8" s="288" t="s">
        <v>70</v>
      </c>
      <c r="G8" s="289" t="n">
        <v>16</v>
      </c>
      <c r="H8" s="290" t="n">
        <v>10</v>
      </c>
      <c r="I8" s="291" t="n">
        <f aca="false">J8/G8</f>
        <v>0.3125</v>
      </c>
      <c r="J8" s="292" t="n">
        <v>5</v>
      </c>
      <c r="K8" s="293" t="n">
        <f aca="false">L8/G8</f>
        <v>0.1875</v>
      </c>
      <c r="L8" s="292" t="n">
        <v>3</v>
      </c>
      <c r="M8" s="293" t="str">
        <f aca="false">IF(N8="-","-",N8/L8)</f>
        <v>-</v>
      </c>
      <c r="N8" s="294" t="s">
        <v>73</v>
      </c>
      <c r="O8" s="295"/>
      <c r="P8" s="296"/>
      <c r="Q8" s="295"/>
      <c r="R8" s="296"/>
      <c r="S8" s="297" t="s">
        <v>73</v>
      </c>
      <c r="T8" s="298" t="s">
        <v>73</v>
      </c>
      <c r="U8" s="297" t="s">
        <v>73</v>
      </c>
      <c r="V8" s="299" t="s">
        <v>73</v>
      </c>
      <c r="W8" s="271" t="s">
        <v>143</v>
      </c>
    </row>
    <row r="9" customFormat="false" ht="15" hidden="false" customHeight="true" outlineLevel="0" collapsed="false">
      <c r="B9" s="272"/>
      <c r="C9" s="212"/>
      <c r="D9" s="273"/>
      <c r="E9" s="287" t="s">
        <v>145</v>
      </c>
      <c r="F9" s="288" t="s">
        <v>70</v>
      </c>
      <c r="G9" s="289" t="n">
        <v>56</v>
      </c>
      <c r="H9" s="290" t="n">
        <v>36</v>
      </c>
      <c r="I9" s="291"/>
      <c r="J9" s="292" t="n">
        <v>12</v>
      </c>
      <c r="K9" s="293"/>
      <c r="L9" s="292" t="n">
        <v>10</v>
      </c>
      <c r="M9" s="293"/>
      <c r="N9" s="294"/>
      <c r="O9" s="295"/>
      <c r="P9" s="296"/>
      <c r="Q9" s="295"/>
      <c r="R9" s="296"/>
      <c r="S9" s="297"/>
      <c r="T9" s="298"/>
      <c r="U9" s="297"/>
      <c r="V9" s="299"/>
      <c r="W9" s="271" t="s">
        <v>143</v>
      </c>
    </row>
    <row r="10" customFormat="false" ht="15" hidden="false" customHeight="true" outlineLevel="0" collapsed="false">
      <c r="B10" s="272"/>
      <c r="C10" s="212"/>
      <c r="D10" s="273"/>
      <c r="E10" s="287" t="s">
        <v>76</v>
      </c>
      <c r="F10" s="288" t="s">
        <v>70</v>
      </c>
      <c r="G10" s="289" t="n">
        <v>13</v>
      </c>
      <c r="H10" s="290" t="n">
        <v>8</v>
      </c>
      <c r="I10" s="291" t="n">
        <f aca="false">J10/G10</f>
        <v>0.538461538461538</v>
      </c>
      <c r="J10" s="292" t="n">
        <v>7</v>
      </c>
      <c r="K10" s="293" t="n">
        <f aca="false">L10/G10</f>
        <v>0.461538461538462</v>
      </c>
      <c r="L10" s="292" t="n">
        <v>6</v>
      </c>
      <c r="M10" s="293" t="str">
        <f aca="false">IF(N10="-","-",N10/L10)</f>
        <v>-</v>
      </c>
      <c r="N10" s="294" t="s">
        <v>73</v>
      </c>
      <c r="O10" s="295"/>
      <c r="P10" s="296"/>
      <c r="Q10" s="295"/>
      <c r="R10" s="296"/>
      <c r="S10" s="297" t="s">
        <v>73</v>
      </c>
      <c r="T10" s="298" t="s">
        <v>73</v>
      </c>
      <c r="U10" s="297" t="s">
        <v>73</v>
      </c>
      <c r="V10" s="299" t="s">
        <v>73</v>
      </c>
      <c r="W10" s="271" t="s">
        <v>143</v>
      </c>
    </row>
    <row r="11" customFormat="false" ht="15" hidden="false" customHeight="true" outlineLevel="0" collapsed="false">
      <c r="B11" s="272"/>
      <c r="C11" s="212"/>
      <c r="D11" s="273"/>
      <c r="E11" s="287" t="s">
        <v>77</v>
      </c>
      <c r="F11" s="288" t="s">
        <v>70</v>
      </c>
      <c r="G11" s="289" t="n">
        <v>24</v>
      </c>
      <c r="H11" s="290" t="n">
        <v>20</v>
      </c>
      <c r="I11" s="291" t="n">
        <f aca="false">J11/G11</f>
        <v>0.291666666666667</v>
      </c>
      <c r="J11" s="292" t="n">
        <v>7</v>
      </c>
      <c r="K11" s="293" t="n">
        <f aca="false">L11/G11</f>
        <v>0.291666666666667</v>
      </c>
      <c r="L11" s="292" t="n">
        <v>7</v>
      </c>
      <c r="M11" s="293" t="str">
        <f aca="false">IF(N11="-","-",N11/L11)</f>
        <v>-</v>
      </c>
      <c r="N11" s="294" t="s">
        <v>73</v>
      </c>
      <c r="O11" s="295"/>
      <c r="P11" s="296"/>
      <c r="Q11" s="295"/>
      <c r="R11" s="296"/>
      <c r="S11" s="297" t="s">
        <v>73</v>
      </c>
      <c r="T11" s="298" t="s">
        <v>73</v>
      </c>
      <c r="U11" s="297" t="s">
        <v>73</v>
      </c>
      <c r="V11" s="299" t="s">
        <v>73</v>
      </c>
      <c r="W11" s="271" t="s">
        <v>143</v>
      </c>
    </row>
    <row r="12" customFormat="false" ht="15" hidden="false" customHeight="true" outlineLevel="0" collapsed="false">
      <c r="B12" s="272"/>
      <c r="C12" s="212"/>
      <c r="D12" s="273"/>
      <c r="E12" s="287" t="s">
        <v>78</v>
      </c>
      <c r="F12" s="288" t="s">
        <v>70</v>
      </c>
      <c r="G12" s="289" t="n">
        <v>33</v>
      </c>
      <c r="H12" s="290" t="n">
        <v>25</v>
      </c>
      <c r="I12" s="291" t="n">
        <f aca="false">J12/G12</f>
        <v>0</v>
      </c>
      <c r="J12" s="292" t="n">
        <v>0</v>
      </c>
      <c r="K12" s="293" t="n">
        <f aca="false">L12/G12</f>
        <v>0.212121212121212</v>
      </c>
      <c r="L12" s="292" t="n">
        <v>7</v>
      </c>
      <c r="M12" s="293" t="str">
        <f aca="false">IF(N12="-","-",N12/L12)</f>
        <v>-</v>
      </c>
      <c r="N12" s="294" t="s">
        <v>73</v>
      </c>
      <c r="O12" s="295"/>
      <c r="P12" s="296"/>
      <c r="Q12" s="295"/>
      <c r="R12" s="296"/>
      <c r="S12" s="297" t="s">
        <v>73</v>
      </c>
      <c r="T12" s="298" t="s">
        <v>73</v>
      </c>
      <c r="U12" s="297" t="s">
        <v>73</v>
      </c>
      <c r="V12" s="299" t="s">
        <v>73</v>
      </c>
      <c r="W12" s="271" t="s">
        <v>143</v>
      </c>
    </row>
    <row r="13" customFormat="false" ht="15" hidden="false" customHeight="true" outlineLevel="0" collapsed="false">
      <c r="B13" s="272"/>
      <c r="C13" s="212"/>
      <c r="D13" s="273"/>
      <c r="E13" s="287" t="s">
        <v>79</v>
      </c>
      <c r="F13" s="288" t="s">
        <v>70</v>
      </c>
      <c r="G13" s="289" t="n">
        <v>32</v>
      </c>
      <c r="H13" s="290" t="n">
        <v>17</v>
      </c>
      <c r="I13" s="291" t="n">
        <f aca="false">J13/G13</f>
        <v>0.15625</v>
      </c>
      <c r="J13" s="292" t="n">
        <v>5</v>
      </c>
      <c r="K13" s="293" t="n">
        <f aca="false">L13/G13</f>
        <v>0.375</v>
      </c>
      <c r="L13" s="292" t="n">
        <v>12</v>
      </c>
      <c r="M13" s="293" t="str">
        <f aca="false">IF(N13="-","-",N13/L13)</f>
        <v>-</v>
      </c>
      <c r="N13" s="294" t="s">
        <v>73</v>
      </c>
      <c r="O13" s="295"/>
      <c r="P13" s="296"/>
      <c r="Q13" s="295"/>
      <c r="R13" s="296"/>
      <c r="S13" s="297" t="s">
        <v>73</v>
      </c>
      <c r="T13" s="298" t="s">
        <v>73</v>
      </c>
      <c r="U13" s="297" t="s">
        <v>73</v>
      </c>
      <c r="V13" s="299" t="s">
        <v>73</v>
      </c>
      <c r="W13" s="271" t="s">
        <v>143</v>
      </c>
    </row>
    <row r="14" customFormat="false" ht="15" hidden="false" customHeight="true" outlineLevel="0" collapsed="false">
      <c r="B14" s="272"/>
      <c r="C14" s="212"/>
      <c r="D14" s="273"/>
      <c r="E14" s="300" t="s">
        <v>80</v>
      </c>
      <c r="F14" s="301" t="s">
        <v>70</v>
      </c>
      <c r="G14" s="302"/>
      <c r="H14" s="303"/>
      <c r="I14" s="304" t="e">
        <f aca="false">J14/G14</f>
        <v>#DIV/0!</v>
      </c>
      <c r="J14" s="305"/>
      <c r="K14" s="306" t="e">
        <f aca="false">L14/G14</f>
        <v>#DIV/0!</v>
      </c>
      <c r="L14" s="305"/>
      <c r="M14" s="306" t="str">
        <f aca="false">IF(N14="-","-",N14/L14)</f>
        <v>-</v>
      </c>
      <c r="N14" s="307" t="s">
        <v>73</v>
      </c>
      <c r="O14" s="308"/>
      <c r="P14" s="309"/>
      <c r="Q14" s="308"/>
      <c r="R14" s="309"/>
      <c r="S14" s="310" t="s">
        <v>73</v>
      </c>
      <c r="T14" s="311" t="s">
        <v>73</v>
      </c>
      <c r="U14" s="310" t="s">
        <v>73</v>
      </c>
      <c r="V14" s="312" t="s">
        <v>73</v>
      </c>
      <c r="W14" s="271" t="s">
        <v>143</v>
      </c>
    </row>
    <row r="15" customFormat="false" ht="15.75" hidden="false" customHeight="false" outlineLevel="0" collapsed="false">
      <c r="B15" s="272"/>
      <c r="C15" s="212"/>
      <c r="D15" s="313" t="s">
        <v>81</v>
      </c>
      <c r="E15" s="314"/>
      <c r="F15" s="315"/>
      <c r="G15" s="192" t="n">
        <f aca="false">SUM(G6:G14)</f>
        <v>295</v>
      </c>
      <c r="H15" s="193" t="n">
        <f aca="false">SUM(H6:H14)</f>
        <v>193</v>
      </c>
      <c r="I15" s="194" t="n">
        <f aca="false">J15/G15</f>
        <v>0.250847457627119</v>
      </c>
      <c r="J15" s="316" t="n">
        <f aca="false">SUM(J6:J14)</f>
        <v>74</v>
      </c>
      <c r="K15" s="194" t="n">
        <f aca="false">L15/G15</f>
        <v>0.294915254237288</v>
      </c>
      <c r="L15" s="316" t="n">
        <f aca="false">SUM(L6:L14)</f>
        <v>87</v>
      </c>
      <c r="M15" s="194" t="n">
        <f aca="false">N15/L15</f>
        <v>0</v>
      </c>
      <c r="N15" s="316" t="n">
        <f aca="false">SUM(N6:N14)</f>
        <v>0</v>
      </c>
      <c r="O15" s="317"/>
      <c r="P15" s="318"/>
      <c r="Q15" s="317"/>
      <c r="R15" s="318"/>
      <c r="S15" s="317"/>
      <c r="T15" s="318"/>
      <c r="U15" s="317"/>
      <c r="V15" s="319"/>
      <c r="W15" s="271" t="s">
        <v>143</v>
      </c>
    </row>
    <row r="16" customFormat="false" ht="15" hidden="false" customHeight="true" outlineLevel="0" collapsed="false">
      <c r="B16" s="320" t="s">
        <v>146</v>
      </c>
      <c r="C16" s="321" t="s">
        <v>68</v>
      </c>
      <c r="D16" s="322" t="n">
        <v>9</v>
      </c>
      <c r="E16" s="274" t="s">
        <v>83</v>
      </c>
      <c r="F16" s="275" t="s">
        <v>70</v>
      </c>
      <c r="G16" s="323" t="n">
        <v>46</v>
      </c>
      <c r="H16" s="324" t="n">
        <v>32</v>
      </c>
      <c r="I16" s="278" t="n">
        <f aca="false">J16/G16</f>
        <v>0.652173913043478</v>
      </c>
      <c r="J16" s="325" t="n">
        <v>30</v>
      </c>
      <c r="K16" s="280" t="n">
        <f aca="false">L16/G16</f>
        <v>0.195652173913043</v>
      </c>
      <c r="L16" s="325" t="n">
        <v>9</v>
      </c>
      <c r="M16" s="280" t="n">
        <f aca="false">IF(N16="-","-",N16/L16)</f>
        <v>1</v>
      </c>
      <c r="N16" s="281" t="n">
        <v>9</v>
      </c>
      <c r="O16" s="282"/>
      <c r="P16" s="283"/>
      <c r="Q16" s="282"/>
      <c r="R16" s="283"/>
      <c r="S16" s="284" t="s">
        <v>73</v>
      </c>
      <c r="T16" s="285" t="s">
        <v>73</v>
      </c>
      <c r="U16" s="284" t="s">
        <v>73</v>
      </c>
      <c r="V16" s="286" t="s">
        <v>73</v>
      </c>
      <c r="W16" s="271" t="s">
        <v>143</v>
      </c>
    </row>
    <row r="17" customFormat="false" ht="15" hidden="false" customHeight="false" outlineLevel="0" collapsed="false">
      <c r="B17" s="320"/>
      <c r="C17" s="321"/>
      <c r="D17" s="322"/>
      <c r="E17" s="287" t="s">
        <v>84</v>
      </c>
      <c r="F17" s="288" t="s">
        <v>70</v>
      </c>
      <c r="G17" s="326" t="n">
        <v>28</v>
      </c>
      <c r="H17" s="327" t="n">
        <v>17</v>
      </c>
      <c r="I17" s="291" t="n">
        <f aca="false">J17/G17</f>
        <v>0.642857142857143</v>
      </c>
      <c r="J17" s="328" t="n">
        <v>18</v>
      </c>
      <c r="K17" s="293" t="n">
        <f aca="false">L17/G17</f>
        <v>0.321428571428571</v>
      </c>
      <c r="L17" s="328" t="n">
        <v>9</v>
      </c>
      <c r="M17" s="293" t="n">
        <f aca="false">IF(N17="-","-",N17/L17)</f>
        <v>0.777777777777778</v>
      </c>
      <c r="N17" s="294" t="n">
        <v>7</v>
      </c>
      <c r="O17" s="295"/>
      <c r="P17" s="296"/>
      <c r="Q17" s="295"/>
      <c r="R17" s="296"/>
      <c r="S17" s="297" t="s">
        <v>73</v>
      </c>
      <c r="T17" s="298" t="s">
        <v>73</v>
      </c>
      <c r="U17" s="297" t="s">
        <v>73</v>
      </c>
      <c r="V17" s="299" t="s">
        <v>73</v>
      </c>
      <c r="W17" s="271" t="s">
        <v>143</v>
      </c>
    </row>
    <row r="18" customFormat="false" ht="15" hidden="false" customHeight="false" outlineLevel="0" collapsed="false">
      <c r="B18" s="320"/>
      <c r="C18" s="321"/>
      <c r="D18" s="322"/>
      <c r="E18" s="287" t="s">
        <v>85</v>
      </c>
      <c r="F18" s="288" t="s">
        <v>70</v>
      </c>
      <c r="G18" s="326" t="n">
        <v>5</v>
      </c>
      <c r="H18" s="327" t="n">
        <v>5</v>
      </c>
      <c r="I18" s="291" t="n">
        <f aca="false">J18/G18</f>
        <v>0.6</v>
      </c>
      <c r="J18" s="328" t="n">
        <v>3</v>
      </c>
      <c r="K18" s="293" t="n">
        <f aca="false">L18/G18</f>
        <v>0.2</v>
      </c>
      <c r="L18" s="328" t="n">
        <v>1</v>
      </c>
      <c r="M18" s="293" t="n">
        <f aca="false">IF(N18="-","-",N18/L18)</f>
        <v>1</v>
      </c>
      <c r="N18" s="294" t="n">
        <v>1</v>
      </c>
      <c r="O18" s="295"/>
      <c r="P18" s="296"/>
      <c r="Q18" s="295"/>
      <c r="R18" s="296"/>
      <c r="S18" s="297" t="s">
        <v>73</v>
      </c>
      <c r="T18" s="298" t="s">
        <v>73</v>
      </c>
      <c r="U18" s="297" t="s">
        <v>73</v>
      </c>
      <c r="V18" s="299" t="s">
        <v>73</v>
      </c>
      <c r="W18" s="271" t="s">
        <v>143</v>
      </c>
    </row>
    <row r="19" customFormat="false" ht="15" hidden="false" customHeight="false" outlineLevel="0" collapsed="false">
      <c r="B19" s="320"/>
      <c r="C19" s="321"/>
      <c r="D19" s="322"/>
      <c r="E19" s="287" t="s">
        <v>86</v>
      </c>
      <c r="F19" s="288" t="s">
        <v>70</v>
      </c>
      <c r="G19" s="326" t="n">
        <v>45</v>
      </c>
      <c r="H19" s="327" t="n">
        <v>26</v>
      </c>
      <c r="I19" s="291" t="n">
        <f aca="false">J19/G19</f>
        <v>0.266666666666667</v>
      </c>
      <c r="J19" s="328" t="n">
        <v>12</v>
      </c>
      <c r="K19" s="293" t="n">
        <f aca="false">L19/G19</f>
        <v>0.266666666666667</v>
      </c>
      <c r="L19" s="328" t="n">
        <v>12</v>
      </c>
      <c r="M19" s="293" t="n">
        <f aca="false">IF(N19="-","-",N19/L19)</f>
        <v>0.25</v>
      </c>
      <c r="N19" s="294" t="n">
        <v>3</v>
      </c>
      <c r="O19" s="295"/>
      <c r="P19" s="296"/>
      <c r="Q19" s="295"/>
      <c r="R19" s="296"/>
      <c r="S19" s="297" t="s">
        <v>73</v>
      </c>
      <c r="T19" s="298" t="s">
        <v>73</v>
      </c>
      <c r="U19" s="297" t="s">
        <v>73</v>
      </c>
      <c r="V19" s="299" t="s">
        <v>73</v>
      </c>
      <c r="W19" s="271" t="s">
        <v>143</v>
      </c>
    </row>
    <row r="20" customFormat="false" ht="15" hidden="false" customHeight="false" outlineLevel="0" collapsed="false">
      <c r="B20" s="320"/>
      <c r="C20" s="321"/>
      <c r="D20" s="322"/>
      <c r="E20" s="287" t="s">
        <v>87</v>
      </c>
      <c r="F20" s="288" t="s">
        <v>70</v>
      </c>
      <c r="G20" s="326" t="n">
        <v>14</v>
      </c>
      <c r="H20" s="327" t="n">
        <v>9</v>
      </c>
      <c r="I20" s="291" t="n">
        <f aca="false">J20/G20</f>
        <v>0.214285714285714</v>
      </c>
      <c r="J20" s="328" t="n">
        <v>3</v>
      </c>
      <c r="K20" s="293" t="n">
        <f aca="false">L20/G20</f>
        <v>0.142857142857143</v>
      </c>
      <c r="L20" s="328" t="n">
        <v>2</v>
      </c>
      <c r="M20" s="293" t="n">
        <f aca="false">IF(N20="-","-",N20/L20)</f>
        <v>0.5</v>
      </c>
      <c r="N20" s="294" t="n">
        <v>1</v>
      </c>
      <c r="O20" s="295"/>
      <c r="P20" s="296"/>
      <c r="Q20" s="295"/>
      <c r="R20" s="296"/>
      <c r="S20" s="297" t="s">
        <v>73</v>
      </c>
      <c r="T20" s="298" t="s">
        <v>73</v>
      </c>
      <c r="U20" s="297" t="s">
        <v>73</v>
      </c>
      <c r="V20" s="299" t="s">
        <v>73</v>
      </c>
      <c r="W20" s="271" t="s">
        <v>143</v>
      </c>
    </row>
    <row r="21" customFormat="false" ht="15" hidden="false" customHeight="false" outlineLevel="0" collapsed="false">
      <c r="B21" s="320"/>
      <c r="C21" s="321"/>
      <c r="D21" s="322"/>
      <c r="E21" s="287" t="s">
        <v>88</v>
      </c>
      <c r="F21" s="288" t="s">
        <v>70</v>
      </c>
      <c r="G21" s="326" t="n">
        <v>31</v>
      </c>
      <c r="H21" s="327" t="n">
        <v>23</v>
      </c>
      <c r="I21" s="291" t="n">
        <f aca="false">J21/G21</f>
        <v>0.548387096774194</v>
      </c>
      <c r="J21" s="328" t="n">
        <v>17</v>
      </c>
      <c r="K21" s="293" t="n">
        <f aca="false">L21/G21</f>
        <v>0.161290322580645</v>
      </c>
      <c r="L21" s="328" t="n">
        <v>5</v>
      </c>
      <c r="M21" s="293" t="n">
        <f aca="false">IF(N21="-","-",N21/L21)</f>
        <v>1</v>
      </c>
      <c r="N21" s="294" t="n">
        <v>5</v>
      </c>
      <c r="O21" s="295"/>
      <c r="P21" s="296"/>
      <c r="Q21" s="295"/>
      <c r="R21" s="296"/>
      <c r="S21" s="297" t="s">
        <v>73</v>
      </c>
      <c r="T21" s="298" t="s">
        <v>73</v>
      </c>
      <c r="U21" s="297" t="s">
        <v>73</v>
      </c>
      <c r="V21" s="299" t="s">
        <v>73</v>
      </c>
      <c r="W21" s="271" t="s">
        <v>143</v>
      </c>
    </row>
    <row r="22" customFormat="false" ht="15" hidden="false" customHeight="false" outlineLevel="0" collapsed="false">
      <c r="B22" s="320"/>
      <c r="C22" s="321"/>
      <c r="D22" s="322"/>
      <c r="E22" s="287" t="s">
        <v>89</v>
      </c>
      <c r="F22" s="288" t="s">
        <v>70</v>
      </c>
      <c r="G22" s="326" t="n">
        <v>12</v>
      </c>
      <c r="H22" s="327" t="n">
        <v>7</v>
      </c>
      <c r="I22" s="291" t="n">
        <f aca="false">J22/G22</f>
        <v>0.333333333333333</v>
      </c>
      <c r="J22" s="328" t="n">
        <v>4</v>
      </c>
      <c r="K22" s="293" t="n">
        <f aca="false">L22/G22</f>
        <v>0.333333333333333</v>
      </c>
      <c r="L22" s="328" t="n">
        <v>4</v>
      </c>
      <c r="M22" s="293" t="n">
        <f aca="false">IF(N22="-","-",N22/L22)</f>
        <v>0.5</v>
      </c>
      <c r="N22" s="294" t="n">
        <v>2</v>
      </c>
      <c r="O22" s="295"/>
      <c r="P22" s="296"/>
      <c r="Q22" s="295"/>
      <c r="R22" s="296"/>
      <c r="S22" s="297" t="s">
        <v>73</v>
      </c>
      <c r="T22" s="298" t="s">
        <v>73</v>
      </c>
      <c r="U22" s="297" t="s">
        <v>73</v>
      </c>
      <c r="V22" s="299" t="s">
        <v>73</v>
      </c>
      <c r="W22" s="271" t="s">
        <v>143</v>
      </c>
    </row>
    <row r="23" customFormat="false" ht="15" hidden="false" customHeight="false" outlineLevel="0" collapsed="false">
      <c r="B23" s="320"/>
      <c r="C23" s="321"/>
      <c r="D23" s="322"/>
      <c r="E23" s="300" t="s">
        <v>90</v>
      </c>
      <c r="F23" s="301" t="s">
        <v>70</v>
      </c>
      <c r="G23" s="302" t="n">
        <v>17</v>
      </c>
      <c r="H23" s="303" t="n">
        <v>9</v>
      </c>
      <c r="I23" s="304" t="n">
        <f aca="false">J23/G23</f>
        <v>0.411764705882353</v>
      </c>
      <c r="J23" s="305" t="n">
        <v>7</v>
      </c>
      <c r="K23" s="306" t="n">
        <f aca="false">L23/G23</f>
        <v>0.235294117647059</v>
      </c>
      <c r="L23" s="305" t="n">
        <v>4</v>
      </c>
      <c r="M23" s="306" t="n">
        <f aca="false">IF(N23="-","-",N23/L23)</f>
        <v>0.25</v>
      </c>
      <c r="N23" s="307" t="n">
        <v>1</v>
      </c>
      <c r="O23" s="308"/>
      <c r="P23" s="309"/>
      <c r="Q23" s="308"/>
      <c r="R23" s="309"/>
      <c r="S23" s="310" t="s">
        <v>73</v>
      </c>
      <c r="T23" s="311" t="s">
        <v>73</v>
      </c>
      <c r="U23" s="310" t="s">
        <v>73</v>
      </c>
      <c r="V23" s="312" t="s">
        <v>73</v>
      </c>
      <c r="W23" s="271" t="s">
        <v>143</v>
      </c>
    </row>
    <row r="24" customFormat="false" ht="16.5" hidden="false" customHeight="false" outlineLevel="0" collapsed="false">
      <c r="B24" s="320"/>
      <c r="C24" s="321"/>
      <c r="D24" s="329" t="s">
        <v>81</v>
      </c>
      <c r="E24" s="314"/>
      <c r="F24" s="315"/>
      <c r="G24" s="192" t="n">
        <f aca="false">SUM(G16:G23)</f>
        <v>198</v>
      </c>
      <c r="H24" s="193" t="n">
        <f aca="false">SUM(H16:H23)</f>
        <v>128</v>
      </c>
      <c r="I24" s="194" t="n">
        <f aca="false">J24/G24</f>
        <v>0.474747474747475</v>
      </c>
      <c r="J24" s="316" t="n">
        <f aca="false">SUM(J16:J23)</f>
        <v>94</v>
      </c>
      <c r="K24" s="194" t="n">
        <f aca="false">L24/G24</f>
        <v>0.232323232323232</v>
      </c>
      <c r="L24" s="316" t="n">
        <f aca="false">SUM(L16:L23)</f>
        <v>46</v>
      </c>
      <c r="M24" s="194" t="n">
        <f aca="false">N24/L24</f>
        <v>0.630434782608696</v>
      </c>
      <c r="N24" s="316" t="n">
        <f aca="false">SUM(N16:N23)</f>
        <v>29</v>
      </c>
      <c r="O24" s="317"/>
      <c r="P24" s="318"/>
      <c r="Q24" s="317"/>
      <c r="R24" s="318"/>
      <c r="S24" s="317"/>
      <c r="T24" s="318"/>
      <c r="U24" s="317"/>
      <c r="V24" s="319"/>
      <c r="W24" s="271" t="s">
        <v>143</v>
      </c>
    </row>
    <row r="25" s="155" customFormat="true" ht="21" hidden="false" customHeight="true" outlineLevel="0" collapsed="false">
      <c r="A25" s="22"/>
      <c r="B25" s="140" t="s">
        <v>91</v>
      </c>
      <c r="C25" s="141"/>
      <c r="D25" s="141" t="n">
        <f aca="false">SUM(D5:D23)</f>
        <v>20</v>
      </c>
      <c r="E25" s="142" t="n">
        <f aca="false">COUNT(G5:G23)</f>
        <v>18</v>
      </c>
      <c r="F25" s="143" t="n">
        <f aca="false">COUNT(J5:J23)</f>
        <v>18</v>
      </c>
      <c r="G25" s="330" t="n">
        <f aca="false">G5+G15+G24</f>
        <v>595</v>
      </c>
      <c r="H25" s="331" t="n">
        <f aca="false">H5+H15+H24</f>
        <v>415</v>
      </c>
      <c r="I25" s="332" t="n">
        <f aca="false">J25/G25</f>
        <v>0.285714285714286</v>
      </c>
      <c r="J25" s="333" t="n">
        <f aca="false">J5+J15+J24</f>
        <v>170</v>
      </c>
      <c r="K25" s="334" t="n">
        <f aca="false">L25/G25</f>
        <v>0.253781512605042</v>
      </c>
      <c r="L25" s="333" t="n">
        <f aca="false">L5+L15+L24</f>
        <v>151</v>
      </c>
      <c r="M25" s="332" t="n">
        <f aca="false">N25/(L5+SUM(L16:L23))</f>
        <v>0.484375</v>
      </c>
      <c r="N25" s="333" t="n">
        <f aca="false">N5+N15+N24</f>
        <v>31</v>
      </c>
      <c r="O25" s="335"/>
      <c r="P25" s="336"/>
      <c r="Q25" s="335"/>
      <c r="R25" s="336"/>
      <c r="S25" s="335"/>
      <c r="T25" s="336"/>
      <c r="U25" s="335"/>
      <c r="V25" s="337"/>
      <c r="W25" s="271" t="s">
        <v>143</v>
      </c>
    </row>
    <row r="26" customFormat="false" ht="15" hidden="false" customHeight="true" outlineLevel="0" collapsed="false">
      <c r="B26" s="156" t="s">
        <v>147</v>
      </c>
      <c r="C26" s="157" t="s">
        <v>93</v>
      </c>
      <c r="D26" s="338" t="n">
        <v>6</v>
      </c>
      <c r="E26" s="274" t="s">
        <v>94</v>
      </c>
      <c r="F26" s="275" t="s">
        <v>70</v>
      </c>
      <c r="G26" s="339"/>
      <c r="H26" s="340"/>
      <c r="I26" s="280" t="e">
        <f aca="false">J26/G26</f>
        <v>#DIV/0!</v>
      </c>
      <c r="J26" s="341"/>
      <c r="K26" s="280" t="e">
        <f aca="false">L26/G26</f>
        <v>#DIV/0!</v>
      </c>
      <c r="L26" s="341"/>
      <c r="M26" s="280" t="str">
        <f aca="false">IF(N26="-","-",N26/L26)</f>
        <v>-</v>
      </c>
      <c r="N26" s="281" t="s">
        <v>73</v>
      </c>
      <c r="O26" s="282"/>
      <c r="P26" s="283"/>
      <c r="Q26" s="282"/>
      <c r="R26" s="283"/>
      <c r="S26" s="342"/>
      <c r="T26" s="343"/>
      <c r="U26" s="342"/>
      <c r="V26" s="344"/>
      <c r="W26" s="345" t="s">
        <v>148</v>
      </c>
    </row>
    <row r="27" customFormat="false" ht="15" hidden="false" customHeight="true" outlineLevel="0" collapsed="false">
      <c r="B27" s="156"/>
      <c r="C27" s="157"/>
      <c r="D27" s="338"/>
      <c r="E27" s="287" t="s">
        <v>95</v>
      </c>
      <c r="F27" s="288" t="s">
        <v>70</v>
      </c>
      <c r="G27" s="346"/>
      <c r="H27" s="347"/>
      <c r="I27" s="293" t="e">
        <f aca="false">J27/G27</f>
        <v>#DIV/0!</v>
      </c>
      <c r="J27" s="348"/>
      <c r="K27" s="293" t="e">
        <f aca="false">L27/G27</f>
        <v>#DIV/0!</v>
      </c>
      <c r="L27" s="348"/>
      <c r="M27" s="293" t="str">
        <f aca="false">IF(N27="-","-",N27/L27)</f>
        <v>-</v>
      </c>
      <c r="N27" s="294" t="s">
        <v>73</v>
      </c>
      <c r="O27" s="295"/>
      <c r="P27" s="296"/>
      <c r="Q27" s="295"/>
      <c r="R27" s="296"/>
      <c r="S27" s="297" t="s">
        <v>73</v>
      </c>
      <c r="T27" s="298" t="s">
        <v>73</v>
      </c>
      <c r="U27" s="297" t="s">
        <v>73</v>
      </c>
      <c r="V27" s="299" t="s">
        <v>73</v>
      </c>
      <c r="W27" s="345" t="s">
        <v>148</v>
      </c>
    </row>
    <row r="28" customFormat="false" ht="15" hidden="false" customHeight="true" outlineLevel="0" collapsed="false">
      <c r="B28" s="156"/>
      <c r="C28" s="157"/>
      <c r="D28" s="338"/>
      <c r="E28" s="287" t="s">
        <v>96</v>
      </c>
      <c r="F28" s="288" t="s">
        <v>70</v>
      </c>
      <c r="G28" s="346" t="n">
        <v>228</v>
      </c>
      <c r="H28" s="347" t="n">
        <v>125</v>
      </c>
      <c r="I28" s="293" t="n">
        <f aca="false">J28/G28</f>
        <v>0.394736842105263</v>
      </c>
      <c r="J28" s="348" t="n">
        <v>90</v>
      </c>
      <c r="K28" s="293" t="n">
        <f aca="false">L28/G28</f>
        <v>0.399122807017544</v>
      </c>
      <c r="L28" s="348" t="n">
        <v>91</v>
      </c>
      <c r="M28" s="293" t="str">
        <f aca="false">IF(N28="-","-",N28/L28)</f>
        <v>-</v>
      </c>
      <c r="N28" s="294" t="s">
        <v>73</v>
      </c>
      <c r="O28" s="295"/>
      <c r="P28" s="296"/>
      <c r="Q28" s="295"/>
      <c r="R28" s="296"/>
      <c r="S28" s="297" t="s">
        <v>73</v>
      </c>
      <c r="T28" s="298" t="s">
        <v>73</v>
      </c>
      <c r="U28" s="297" t="s">
        <v>73</v>
      </c>
      <c r="V28" s="299" t="s">
        <v>73</v>
      </c>
      <c r="W28" s="345" t="s">
        <v>148</v>
      </c>
    </row>
    <row r="29" customFormat="false" ht="15" hidden="false" customHeight="true" outlineLevel="0" collapsed="false">
      <c r="B29" s="156"/>
      <c r="C29" s="157"/>
      <c r="D29" s="338"/>
      <c r="E29" s="287" t="s">
        <v>97</v>
      </c>
      <c r="F29" s="288" t="s">
        <v>98</v>
      </c>
      <c r="G29" s="346" t="n">
        <v>141</v>
      </c>
      <c r="H29" s="347" t="n">
        <v>80</v>
      </c>
      <c r="I29" s="293" t="n">
        <f aca="false">J29/G29</f>
        <v>0.460992907801418</v>
      </c>
      <c r="J29" s="348" t="n">
        <v>65</v>
      </c>
      <c r="K29" s="293" t="n">
        <f aca="false">L29/G29</f>
        <v>0.439716312056738</v>
      </c>
      <c r="L29" s="348" t="n">
        <v>62</v>
      </c>
      <c r="M29" s="293" t="str">
        <f aca="false">IF(N29="-","-",N29/L29)</f>
        <v>-</v>
      </c>
      <c r="N29" s="294" t="s">
        <v>73</v>
      </c>
      <c r="O29" s="295"/>
      <c r="P29" s="296"/>
      <c r="Q29" s="295"/>
      <c r="R29" s="296"/>
      <c r="S29" s="349"/>
      <c r="T29" s="350"/>
      <c r="U29" s="349"/>
      <c r="V29" s="351"/>
      <c r="W29" s="345" t="s">
        <v>148</v>
      </c>
    </row>
    <row r="30" customFormat="false" ht="15" hidden="false" customHeight="true" outlineLevel="0" collapsed="false">
      <c r="B30" s="156"/>
      <c r="C30" s="157"/>
      <c r="D30" s="338"/>
      <c r="E30" s="287" t="s">
        <v>99</v>
      </c>
      <c r="F30" s="288" t="s">
        <v>70</v>
      </c>
      <c r="G30" s="346" t="n">
        <v>234</v>
      </c>
      <c r="H30" s="347" t="n">
        <v>127</v>
      </c>
      <c r="I30" s="293" t="n">
        <f aca="false">J30/G30</f>
        <v>0.423076923076923</v>
      </c>
      <c r="J30" s="348" t="n">
        <v>99</v>
      </c>
      <c r="K30" s="293" t="n">
        <f aca="false">L30/G30</f>
        <v>0.478632478632479</v>
      </c>
      <c r="L30" s="348" t="n">
        <v>112</v>
      </c>
      <c r="M30" s="293" t="str">
        <f aca="false">IF(N30="-","-",N30/L30)</f>
        <v>-</v>
      </c>
      <c r="N30" s="294" t="s">
        <v>73</v>
      </c>
      <c r="O30" s="295"/>
      <c r="P30" s="296"/>
      <c r="Q30" s="295"/>
      <c r="R30" s="296"/>
      <c r="S30" s="297" t="s">
        <v>73</v>
      </c>
      <c r="T30" s="298" t="s">
        <v>73</v>
      </c>
      <c r="U30" s="297" t="s">
        <v>73</v>
      </c>
      <c r="V30" s="299" t="s">
        <v>73</v>
      </c>
      <c r="W30" s="345" t="s">
        <v>148</v>
      </c>
      <c r="X30" s="178"/>
      <c r="Y30" s="178"/>
    </row>
    <row r="31" customFormat="false" ht="15" hidden="false" customHeight="true" outlineLevel="0" collapsed="false">
      <c r="B31" s="156"/>
      <c r="C31" s="157"/>
      <c r="D31" s="338"/>
      <c r="E31" s="300" t="s">
        <v>100</v>
      </c>
      <c r="F31" s="301" t="s">
        <v>98</v>
      </c>
      <c r="G31" s="352" t="n">
        <v>157</v>
      </c>
      <c r="H31" s="353" t="n">
        <v>82</v>
      </c>
      <c r="I31" s="306" t="n">
        <f aca="false">J31/G31</f>
        <v>0.229299363057325</v>
      </c>
      <c r="J31" s="354" t="n">
        <v>36</v>
      </c>
      <c r="K31" s="306" t="n">
        <f aca="false">L31/G31</f>
        <v>0.312101910828025</v>
      </c>
      <c r="L31" s="354" t="n">
        <v>49</v>
      </c>
      <c r="M31" s="306" t="str">
        <f aca="false">IF(N31="-","-",N31/L31)</f>
        <v>-</v>
      </c>
      <c r="N31" s="307" t="s">
        <v>73</v>
      </c>
      <c r="O31" s="308"/>
      <c r="P31" s="309"/>
      <c r="Q31" s="308"/>
      <c r="R31" s="309"/>
      <c r="S31" s="355"/>
      <c r="T31" s="356"/>
      <c r="U31" s="355"/>
      <c r="V31" s="357"/>
      <c r="W31" s="345" t="s">
        <v>148</v>
      </c>
      <c r="X31" s="178"/>
      <c r="Y31" s="178"/>
    </row>
    <row r="32" customFormat="false" ht="15.75" hidden="false" customHeight="false" outlineLevel="0" collapsed="false">
      <c r="B32" s="156"/>
      <c r="C32" s="157"/>
      <c r="D32" s="189" t="s">
        <v>81</v>
      </c>
      <c r="E32" s="190"/>
      <c r="F32" s="191"/>
      <c r="G32" s="192" t="n">
        <f aca="false">SUM(G26:G31)</f>
        <v>760</v>
      </c>
      <c r="H32" s="193" t="n">
        <f aca="false">SUM(H26:H31)</f>
        <v>414</v>
      </c>
      <c r="I32" s="194" t="n">
        <f aca="false">J32/G32</f>
        <v>0.381578947368421</v>
      </c>
      <c r="J32" s="316" t="n">
        <f aca="false">SUM(J26:J31)</f>
        <v>290</v>
      </c>
      <c r="K32" s="358" t="n">
        <f aca="false">L32/G32</f>
        <v>0.413157894736842</v>
      </c>
      <c r="L32" s="316" t="n">
        <f aca="false">SUM(L26:L31)</f>
        <v>314</v>
      </c>
      <c r="M32" s="194" t="n">
        <f aca="false">N32/L32</f>
        <v>0</v>
      </c>
      <c r="N32" s="316" t="n">
        <f aca="false">SUM(N26:N31)</f>
        <v>0</v>
      </c>
      <c r="O32" s="359"/>
      <c r="P32" s="360"/>
      <c r="Q32" s="359"/>
      <c r="R32" s="360"/>
      <c r="S32" s="359" t="n">
        <f aca="false">SUM(S26:S31)</f>
        <v>0</v>
      </c>
      <c r="T32" s="360" t="n">
        <f aca="false">SUM(T26:T31)</f>
        <v>0</v>
      </c>
      <c r="U32" s="359" t="n">
        <f aca="false">SUM(U26:U31)</f>
        <v>0</v>
      </c>
      <c r="V32" s="361" t="n">
        <f aca="false">SUM(V26:V31)</f>
        <v>0</v>
      </c>
      <c r="W32" s="271"/>
      <c r="X32" s="178"/>
      <c r="Y32" s="178"/>
    </row>
    <row r="33" customFormat="false" ht="15" hidden="false" customHeight="false" outlineLevel="0" collapsed="false">
      <c r="B33" s="200" t="s">
        <v>101</v>
      </c>
      <c r="C33" s="189" t="s">
        <v>93</v>
      </c>
      <c r="D33" s="322" t="n">
        <v>11</v>
      </c>
      <c r="E33" s="274" t="s">
        <v>102</v>
      </c>
      <c r="F33" s="275" t="s">
        <v>98</v>
      </c>
      <c r="G33" s="323" t="n">
        <v>117</v>
      </c>
      <c r="H33" s="324" t="n">
        <v>86</v>
      </c>
      <c r="I33" s="280" t="n">
        <f aca="false">J33/G33</f>
        <v>0.692307692307692</v>
      </c>
      <c r="J33" s="325" t="n">
        <v>81</v>
      </c>
      <c r="K33" s="280" t="n">
        <f aca="false">L33/G33</f>
        <v>0.401709401709402</v>
      </c>
      <c r="L33" s="325" t="n">
        <v>47</v>
      </c>
      <c r="M33" s="280" t="n">
        <f aca="false">IF(N33="-","-",N33/L33)</f>
        <v>0.702127659574468</v>
      </c>
      <c r="N33" s="281" t="n">
        <v>33</v>
      </c>
      <c r="O33" s="282" t="s">
        <v>73</v>
      </c>
      <c r="P33" s="283" t="s">
        <v>73</v>
      </c>
      <c r="Q33" s="282" t="s">
        <v>73</v>
      </c>
      <c r="R33" s="283" t="s">
        <v>73</v>
      </c>
      <c r="S33" s="362" t="n">
        <v>112</v>
      </c>
      <c r="T33" s="324" t="n">
        <v>82</v>
      </c>
      <c r="U33" s="362" t="n">
        <v>5</v>
      </c>
      <c r="V33" s="363" t="n">
        <v>4</v>
      </c>
      <c r="W33" s="271" t="s">
        <v>143</v>
      </c>
      <c r="X33" s="178"/>
      <c r="Y33" s="178"/>
    </row>
    <row r="34" customFormat="false" ht="15" hidden="false" customHeight="false" outlineLevel="0" collapsed="false">
      <c r="B34" s="200"/>
      <c r="C34" s="189"/>
      <c r="D34" s="322"/>
      <c r="E34" s="287" t="s">
        <v>103</v>
      </c>
      <c r="F34" s="288" t="s">
        <v>98</v>
      </c>
      <c r="G34" s="326" t="n">
        <v>53</v>
      </c>
      <c r="H34" s="327" t="n">
        <v>38</v>
      </c>
      <c r="I34" s="293" t="n">
        <f aca="false">J34/G34</f>
        <v>0.60377358490566</v>
      </c>
      <c r="J34" s="328" t="n">
        <v>32</v>
      </c>
      <c r="K34" s="293" t="n">
        <f aca="false">L34/G34</f>
        <v>0.226415094339623</v>
      </c>
      <c r="L34" s="328" t="n">
        <v>12</v>
      </c>
      <c r="M34" s="293" t="n">
        <f aca="false">IF(N34="-","-",N34/L34)</f>
        <v>0.833333333333333</v>
      </c>
      <c r="N34" s="294" t="n">
        <v>10</v>
      </c>
      <c r="O34" s="295" t="s">
        <v>73</v>
      </c>
      <c r="P34" s="296" t="s">
        <v>73</v>
      </c>
      <c r="Q34" s="295" t="s">
        <v>73</v>
      </c>
      <c r="R34" s="296" t="s">
        <v>73</v>
      </c>
      <c r="S34" s="364" t="n">
        <v>51</v>
      </c>
      <c r="T34" s="327" t="n">
        <v>36</v>
      </c>
      <c r="U34" s="364" t="n">
        <v>2</v>
      </c>
      <c r="V34" s="365" t="n">
        <v>2</v>
      </c>
      <c r="W34" s="271" t="s">
        <v>143</v>
      </c>
      <c r="X34" s="178"/>
      <c r="Y34" s="178"/>
    </row>
    <row r="35" customFormat="false" ht="15" hidden="false" customHeight="false" outlineLevel="0" collapsed="false">
      <c r="B35" s="200"/>
      <c r="C35" s="189"/>
      <c r="D35" s="322"/>
      <c r="E35" s="287" t="s">
        <v>104</v>
      </c>
      <c r="F35" s="288" t="s">
        <v>98</v>
      </c>
      <c r="G35" s="326" t="n">
        <v>22</v>
      </c>
      <c r="H35" s="327" t="n">
        <v>20</v>
      </c>
      <c r="I35" s="293" t="n">
        <f aca="false">J35/G35</f>
        <v>0.727272727272727</v>
      </c>
      <c r="J35" s="328" t="n">
        <v>16</v>
      </c>
      <c r="K35" s="293" t="n">
        <f aca="false">L35/G35</f>
        <v>0.545454545454545</v>
      </c>
      <c r="L35" s="328" t="n">
        <v>12</v>
      </c>
      <c r="M35" s="293" t="n">
        <f aca="false">IF(N35="-","-",N35/L35)</f>
        <v>0.75</v>
      </c>
      <c r="N35" s="294" t="n">
        <v>9</v>
      </c>
      <c r="O35" s="295" t="s">
        <v>73</v>
      </c>
      <c r="P35" s="296" t="s">
        <v>73</v>
      </c>
      <c r="Q35" s="295" t="s">
        <v>73</v>
      </c>
      <c r="R35" s="296" t="s">
        <v>73</v>
      </c>
      <c r="S35" s="364" t="n">
        <v>22</v>
      </c>
      <c r="T35" s="327" t="n">
        <v>20</v>
      </c>
      <c r="U35" s="364" t="n">
        <v>0</v>
      </c>
      <c r="V35" s="365" t="n">
        <v>0</v>
      </c>
      <c r="W35" s="271" t="s">
        <v>143</v>
      </c>
      <c r="X35" s="178"/>
      <c r="Y35" s="178"/>
    </row>
    <row r="36" customFormat="false" ht="15" hidden="false" customHeight="false" outlineLevel="0" collapsed="false">
      <c r="B36" s="200"/>
      <c r="C36" s="189"/>
      <c r="D36" s="322"/>
      <c r="E36" s="287" t="s">
        <v>105</v>
      </c>
      <c r="F36" s="288" t="s">
        <v>98</v>
      </c>
      <c r="G36" s="326" t="n">
        <v>49</v>
      </c>
      <c r="H36" s="327" t="n">
        <v>33</v>
      </c>
      <c r="I36" s="293" t="n">
        <f aca="false">J36/G36</f>
        <v>0.714285714285714</v>
      </c>
      <c r="J36" s="328" t="n">
        <v>35</v>
      </c>
      <c r="K36" s="293" t="n">
        <f aca="false">L36/G36</f>
        <v>0.408163265306122</v>
      </c>
      <c r="L36" s="328" t="n">
        <v>20</v>
      </c>
      <c r="M36" s="293" t="n">
        <f aca="false">IF(N36="-","-",N36/L36)</f>
        <v>0.85</v>
      </c>
      <c r="N36" s="294" t="n">
        <v>17</v>
      </c>
      <c r="O36" s="295" t="s">
        <v>73</v>
      </c>
      <c r="P36" s="296" t="s">
        <v>73</v>
      </c>
      <c r="Q36" s="295" t="s">
        <v>73</v>
      </c>
      <c r="R36" s="296" t="s">
        <v>73</v>
      </c>
      <c r="S36" s="364" t="n">
        <v>46</v>
      </c>
      <c r="T36" s="327" t="n">
        <v>31</v>
      </c>
      <c r="U36" s="364" t="n">
        <v>3</v>
      </c>
      <c r="V36" s="365" t="n">
        <v>2</v>
      </c>
      <c r="W36" s="271" t="s">
        <v>143</v>
      </c>
      <c r="X36" s="178"/>
      <c r="Y36" s="178"/>
    </row>
    <row r="37" customFormat="false" ht="15" hidden="false" customHeight="false" outlineLevel="0" collapsed="false">
      <c r="B37" s="200"/>
      <c r="C37" s="189"/>
      <c r="D37" s="322"/>
      <c r="E37" s="287" t="s">
        <v>106</v>
      </c>
      <c r="F37" s="288" t="s">
        <v>98</v>
      </c>
      <c r="G37" s="326" t="n">
        <v>44</v>
      </c>
      <c r="H37" s="327" t="n">
        <v>44</v>
      </c>
      <c r="I37" s="293" t="n">
        <f aca="false">J37/G37</f>
        <v>0.636363636363636</v>
      </c>
      <c r="J37" s="328" t="n">
        <v>28</v>
      </c>
      <c r="K37" s="293" t="n">
        <f aca="false">L37/G37</f>
        <v>0.363636363636364</v>
      </c>
      <c r="L37" s="328" t="n">
        <v>16</v>
      </c>
      <c r="M37" s="293" t="n">
        <f aca="false">IF(N37="-","-",N37/L37)</f>
        <v>0.9375</v>
      </c>
      <c r="N37" s="294" t="n">
        <v>15</v>
      </c>
      <c r="O37" s="295" t="s">
        <v>73</v>
      </c>
      <c r="P37" s="296" t="s">
        <v>73</v>
      </c>
      <c r="Q37" s="295" t="s">
        <v>73</v>
      </c>
      <c r="R37" s="296" t="s">
        <v>73</v>
      </c>
      <c r="S37" s="364" t="n">
        <v>40</v>
      </c>
      <c r="T37" s="327" t="n">
        <v>40</v>
      </c>
      <c r="U37" s="364" t="n">
        <v>4</v>
      </c>
      <c r="V37" s="365" t="n">
        <v>4</v>
      </c>
      <c r="W37" s="271" t="s">
        <v>143</v>
      </c>
      <c r="X37" s="178" t="s">
        <v>149</v>
      </c>
      <c r="Y37" s="178"/>
    </row>
    <row r="38" customFormat="false" ht="15" hidden="false" customHeight="false" outlineLevel="0" collapsed="false">
      <c r="B38" s="200"/>
      <c r="C38" s="189"/>
      <c r="D38" s="322"/>
      <c r="E38" s="300" t="s">
        <v>107</v>
      </c>
      <c r="F38" s="301" t="s">
        <v>98</v>
      </c>
      <c r="G38" s="366" t="n">
        <v>5</v>
      </c>
      <c r="H38" s="367" t="n">
        <v>4</v>
      </c>
      <c r="I38" s="306" t="n">
        <f aca="false">J38/G38</f>
        <v>0.4</v>
      </c>
      <c r="J38" s="305" t="n">
        <v>2</v>
      </c>
      <c r="K38" s="306" t="n">
        <f aca="false">L38/G38</f>
        <v>0.2</v>
      </c>
      <c r="L38" s="305" t="n">
        <v>1</v>
      </c>
      <c r="M38" s="306" t="n">
        <f aca="false">IF(N38="-","-",N38/L38)</f>
        <v>0</v>
      </c>
      <c r="N38" s="307" t="n">
        <v>0</v>
      </c>
      <c r="O38" s="308" t="s">
        <v>73</v>
      </c>
      <c r="P38" s="309" t="s">
        <v>73</v>
      </c>
      <c r="Q38" s="308" t="s">
        <v>73</v>
      </c>
      <c r="R38" s="309" t="s">
        <v>73</v>
      </c>
      <c r="S38" s="368" t="n">
        <v>5</v>
      </c>
      <c r="T38" s="303" t="n">
        <v>4</v>
      </c>
      <c r="U38" s="368" t="n">
        <v>0</v>
      </c>
      <c r="V38" s="369" t="n">
        <v>0</v>
      </c>
      <c r="W38" s="271" t="s">
        <v>143</v>
      </c>
      <c r="X38" s="178"/>
      <c r="Y38" s="178"/>
    </row>
    <row r="39" customFormat="false" ht="15.75" hidden="false" customHeight="false" outlineLevel="0" collapsed="false">
      <c r="B39" s="200"/>
      <c r="C39" s="189"/>
      <c r="D39" s="189" t="s">
        <v>81</v>
      </c>
      <c r="E39" s="210"/>
      <c r="F39" s="211"/>
      <c r="G39" s="192" t="n">
        <f aca="false">SUM(G33:G38)</f>
        <v>290</v>
      </c>
      <c r="H39" s="193" t="n">
        <f aca="false">SUM(H33:H38)</f>
        <v>225</v>
      </c>
      <c r="I39" s="194" t="n">
        <f aca="false">J39/G39</f>
        <v>0.668965517241379</v>
      </c>
      <c r="J39" s="316" t="n">
        <f aca="false">SUM(J33:J38)</f>
        <v>194</v>
      </c>
      <c r="K39" s="358" t="n">
        <f aca="false">L39/G39</f>
        <v>0.372413793103448</v>
      </c>
      <c r="L39" s="316" t="n">
        <f aca="false">SUM(L33:L38)</f>
        <v>108</v>
      </c>
      <c r="M39" s="194" t="n">
        <f aca="false">N39/L39</f>
        <v>0.777777777777778</v>
      </c>
      <c r="N39" s="316" t="n">
        <f aca="false">SUM(N33:N38)</f>
        <v>84</v>
      </c>
      <c r="O39" s="359"/>
      <c r="P39" s="360"/>
      <c r="Q39" s="359"/>
      <c r="R39" s="360"/>
      <c r="S39" s="359" t="n">
        <f aca="false">SUM(S33:S38)</f>
        <v>276</v>
      </c>
      <c r="T39" s="360" t="n">
        <f aca="false">SUM(T33:T38)</f>
        <v>213</v>
      </c>
      <c r="U39" s="359" t="n">
        <f aca="false">SUM(U33:U38)</f>
        <v>14</v>
      </c>
      <c r="V39" s="361" t="n">
        <f aca="false">SUM(V33:V38)</f>
        <v>12</v>
      </c>
      <c r="W39" s="271" t="s">
        <v>143</v>
      </c>
      <c r="X39" s="178"/>
      <c r="Y39" s="178"/>
    </row>
    <row r="40" customFormat="false" ht="15" hidden="false" customHeight="true" outlineLevel="0" collapsed="false">
      <c r="B40" s="200" t="s">
        <v>108</v>
      </c>
      <c r="C40" s="212" t="s">
        <v>93</v>
      </c>
      <c r="D40" s="370" t="n">
        <v>10</v>
      </c>
      <c r="E40" s="371" t="s">
        <v>109</v>
      </c>
      <c r="F40" s="275" t="s">
        <v>98</v>
      </c>
      <c r="G40" s="323" t="n">
        <v>76</v>
      </c>
      <c r="H40" s="324" t="n">
        <f aca="false">G40</f>
        <v>76</v>
      </c>
      <c r="I40" s="280" t="n">
        <f aca="false">J40/G40</f>
        <v>0.5</v>
      </c>
      <c r="J40" s="325" t="n">
        <f aca="false">17+21</f>
        <v>38</v>
      </c>
      <c r="K40" s="280" t="n">
        <f aca="false">L40/G40</f>
        <v>0.381578947368421</v>
      </c>
      <c r="L40" s="325" t="n">
        <v>29</v>
      </c>
      <c r="M40" s="280" t="n">
        <f aca="false">IF(N40="-","-",N40/L40)</f>
        <v>0.724137931034483</v>
      </c>
      <c r="N40" s="281" t="n">
        <v>21</v>
      </c>
      <c r="O40" s="282"/>
      <c r="P40" s="283"/>
      <c r="Q40" s="282"/>
      <c r="R40" s="283"/>
      <c r="S40" s="362" t="n">
        <v>75</v>
      </c>
      <c r="T40" s="324" t="n">
        <v>75</v>
      </c>
      <c r="U40" s="362" t="n">
        <v>1</v>
      </c>
      <c r="V40" s="363" t="n">
        <v>1</v>
      </c>
      <c r="W40" s="271" t="s">
        <v>143</v>
      </c>
      <c r="X40" s="178"/>
      <c r="Y40" s="178"/>
    </row>
    <row r="41" customFormat="false" ht="15" hidden="false" customHeight="true" outlineLevel="0" collapsed="false">
      <c r="B41" s="200"/>
      <c r="C41" s="212"/>
      <c r="D41" s="370"/>
      <c r="E41" s="372" t="s">
        <v>110</v>
      </c>
      <c r="F41" s="288" t="s">
        <v>98</v>
      </c>
      <c r="G41" s="326" t="n">
        <v>80</v>
      </c>
      <c r="H41" s="327" t="n">
        <f aca="false">G41</f>
        <v>80</v>
      </c>
      <c r="I41" s="293" t="n">
        <f aca="false">J41/G41</f>
        <v>0.6375</v>
      </c>
      <c r="J41" s="328" t="n">
        <f aca="false">25+26</f>
        <v>51</v>
      </c>
      <c r="K41" s="293" t="n">
        <f aca="false">L41/G41</f>
        <v>0.5</v>
      </c>
      <c r="L41" s="328" t="n">
        <v>40</v>
      </c>
      <c r="M41" s="293" t="n">
        <f aca="false">IF(N41="-","-",N41/L41)</f>
        <v>0.65</v>
      </c>
      <c r="N41" s="294" t="n">
        <v>26</v>
      </c>
      <c r="O41" s="295"/>
      <c r="P41" s="296"/>
      <c r="Q41" s="295"/>
      <c r="R41" s="296"/>
      <c r="S41" s="364" t="n">
        <v>74</v>
      </c>
      <c r="T41" s="327" t="n">
        <v>74</v>
      </c>
      <c r="U41" s="364" t="n">
        <v>6</v>
      </c>
      <c r="V41" s="365" t="n">
        <v>6</v>
      </c>
      <c r="W41" s="271" t="s">
        <v>143</v>
      </c>
      <c r="X41" s="178"/>
      <c r="Y41" s="178"/>
    </row>
    <row r="42" customFormat="false" ht="15" hidden="false" customHeight="true" outlineLevel="0" collapsed="false">
      <c r="B42" s="200"/>
      <c r="C42" s="212"/>
      <c r="D42" s="370"/>
      <c r="E42" s="372" t="s">
        <v>111</v>
      </c>
      <c r="F42" s="288" t="s">
        <v>98</v>
      </c>
      <c r="G42" s="326" t="n">
        <v>31</v>
      </c>
      <c r="H42" s="327" t="n">
        <f aca="false">G42</f>
        <v>31</v>
      </c>
      <c r="I42" s="293" t="n">
        <f aca="false">J42/G42</f>
        <v>0.32258064516129</v>
      </c>
      <c r="J42" s="328" t="n">
        <f aca="false">5+5</f>
        <v>10</v>
      </c>
      <c r="K42" s="293" t="n">
        <f aca="false">L42/G42</f>
        <v>0.354838709677419</v>
      </c>
      <c r="L42" s="328" t="n">
        <v>11</v>
      </c>
      <c r="M42" s="293" t="n">
        <f aca="false">IF(N42="-","-",N42/L42)</f>
        <v>0.454545454545455</v>
      </c>
      <c r="N42" s="294" t="n">
        <v>5</v>
      </c>
      <c r="O42" s="295"/>
      <c r="P42" s="296"/>
      <c r="Q42" s="295"/>
      <c r="R42" s="296"/>
      <c r="S42" s="364" t="n">
        <v>31</v>
      </c>
      <c r="T42" s="327" t="n">
        <v>31</v>
      </c>
      <c r="U42" s="364" t="n">
        <v>0</v>
      </c>
      <c r="V42" s="365" t="n">
        <v>0</v>
      </c>
      <c r="W42" s="271" t="s">
        <v>143</v>
      </c>
      <c r="X42" s="178"/>
      <c r="Y42" s="178"/>
    </row>
    <row r="43" customFormat="false" ht="15" hidden="false" customHeight="true" outlineLevel="0" collapsed="false">
      <c r="B43" s="200"/>
      <c r="C43" s="212"/>
      <c r="D43" s="370"/>
      <c r="E43" s="372" t="s">
        <v>112</v>
      </c>
      <c r="F43" s="288" t="s">
        <v>98</v>
      </c>
      <c r="G43" s="326" t="n">
        <v>15</v>
      </c>
      <c r="H43" s="327" t="n">
        <f aca="false">G43</f>
        <v>15</v>
      </c>
      <c r="I43" s="293" t="n">
        <f aca="false">J43/G43</f>
        <v>0.333333333333333</v>
      </c>
      <c r="J43" s="328" t="n">
        <f aca="false">5+0</f>
        <v>5</v>
      </c>
      <c r="K43" s="293" t="n">
        <f aca="false">L43/G43</f>
        <v>0</v>
      </c>
      <c r="L43" s="328" t="n">
        <v>0</v>
      </c>
      <c r="M43" s="293" t="str">
        <f aca="false">IF(N43=0,"-",N43/L43)</f>
        <v>-</v>
      </c>
      <c r="N43" s="294" t="n">
        <v>0</v>
      </c>
      <c r="O43" s="295"/>
      <c r="P43" s="296"/>
      <c r="Q43" s="295"/>
      <c r="R43" s="296"/>
      <c r="S43" s="364" t="n">
        <v>15</v>
      </c>
      <c r="T43" s="327" t="n">
        <v>15</v>
      </c>
      <c r="U43" s="364" t="n">
        <v>0</v>
      </c>
      <c r="V43" s="365" t="n">
        <v>0</v>
      </c>
      <c r="W43" s="271" t="s">
        <v>143</v>
      </c>
      <c r="X43" s="178"/>
      <c r="Y43" s="178"/>
    </row>
    <row r="44" customFormat="false" ht="15" hidden="false" customHeight="true" outlineLevel="0" collapsed="false">
      <c r="B44" s="200"/>
      <c r="C44" s="212"/>
      <c r="D44" s="370"/>
      <c r="E44" s="372" t="s">
        <v>113</v>
      </c>
      <c r="F44" s="288" t="s">
        <v>98</v>
      </c>
      <c r="G44" s="326" t="n">
        <v>2</v>
      </c>
      <c r="H44" s="327" t="n">
        <f aca="false">G44</f>
        <v>2</v>
      </c>
      <c r="I44" s="293" t="n">
        <f aca="false">J44/G44</f>
        <v>0.5</v>
      </c>
      <c r="J44" s="328" t="n">
        <f aca="false">0+1</f>
        <v>1</v>
      </c>
      <c r="K44" s="293" t="n">
        <f aca="false">L44/G44</f>
        <v>0.5</v>
      </c>
      <c r="L44" s="328" t="n">
        <v>1</v>
      </c>
      <c r="M44" s="293" t="n">
        <f aca="false">IF(N44="-","-",N44/L44)</f>
        <v>1</v>
      </c>
      <c r="N44" s="294" t="n">
        <v>1</v>
      </c>
      <c r="O44" s="295"/>
      <c r="P44" s="296"/>
      <c r="Q44" s="295"/>
      <c r="R44" s="296"/>
      <c r="S44" s="364" t="n">
        <v>1</v>
      </c>
      <c r="T44" s="327" t="n">
        <v>1</v>
      </c>
      <c r="U44" s="364" t="n">
        <v>1</v>
      </c>
      <c r="V44" s="365" t="n">
        <v>1</v>
      </c>
      <c r="W44" s="271" t="s">
        <v>143</v>
      </c>
      <c r="X44" s="178"/>
      <c r="Y44" s="178"/>
    </row>
    <row r="45" customFormat="false" ht="15" hidden="false" customHeight="true" outlineLevel="0" collapsed="false">
      <c r="B45" s="200"/>
      <c r="C45" s="212"/>
      <c r="D45" s="370"/>
      <c r="E45" s="372" t="s">
        <v>114</v>
      </c>
      <c r="F45" s="288" t="s">
        <v>98</v>
      </c>
      <c r="G45" s="326" t="n">
        <v>15</v>
      </c>
      <c r="H45" s="327" t="n">
        <f aca="false">G45</f>
        <v>15</v>
      </c>
      <c r="I45" s="293" t="n">
        <f aca="false">J45/G45</f>
        <v>0.533333333333333</v>
      </c>
      <c r="J45" s="328" t="n">
        <f aca="false">6+2</f>
        <v>8</v>
      </c>
      <c r="K45" s="293" t="n">
        <f aca="false">L45/G45</f>
        <v>0.266666666666667</v>
      </c>
      <c r="L45" s="328" t="n">
        <v>4</v>
      </c>
      <c r="M45" s="293" t="n">
        <f aca="false">IF(N45="-","-",N45/L45)</f>
        <v>0.5</v>
      </c>
      <c r="N45" s="294" t="n">
        <v>2</v>
      </c>
      <c r="O45" s="295"/>
      <c r="P45" s="296"/>
      <c r="Q45" s="295"/>
      <c r="R45" s="296"/>
      <c r="S45" s="364" t="n">
        <v>13</v>
      </c>
      <c r="T45" s="327" t="n">
        <v>13</v>
      </c>
      <c r="U45" s="364" t="n">
        <v>2</v>
      </c>
      <c r="V45" s="365" t="n">
        <v>2</v>
      </c>
      <c r="W45" s="271" t="s">
        <v>143</v>
      </c>
      <c r="X45" s="178"/>
      <c r="Y45" s="178"/>
    </row>
    <row r="46" customFormat="false" ht="15.75" hidden="false" customHeight="true" outlineLevel="0" collapsed="false">
      <c r="B46" s="200"/>
      <c r="C46" s="212"/>
      <c r="D46" s="370"/>
      <c r="E46" s="372" t="s">
        <v>115</v>
      </c>
      <c r="F46" s="288"/>
      <c r="G46" s="326" t="n">
        <v>12</v>
      </c>
      <c r="H46" s="327" t="n">
        <f aca="false">G46</f>
        <v>12</v>
      </c>
      <c r="I46" s="293" t="n">
        <f aca="false">J46/G46</f>
        <v>0.833333333333333</v>
      </c>
      <c r="J46" s="328" t="n">
        <f aca="false">3+7</f>
        <v>10</v>
      </c>
      <c r="K46" s="293" t="n">
        <f aca="false">L46/G46</f>
        <v>0.583333333333333</v>
      </c>
      <c r="L46" s="328" t="n">
        <v>7</v>
      </c>
      <c r="M46" s="293" t="n">
        <f aca="false">IF(N46="-","-",N46/L46)</f>
        <v>1</v>
      </c>
      <c r="N46" s="294" t="n">
        <v>7</v>
      </c>
      <c r="O46" s="295"/>
      <c r="P46" s="296"/>
      <c r="Q46" s="295"/>
      <c r="R46" s="296"/>
      <c r="S46" s="364" t="n">
        <v>12</v>
      </c>
      <c r="T46" s="327" t="n">
        <v>12</v>
      </c>
      <c r="U46" s="364" t="n">
        <v>0</v>
      </c>
      <c r="V46" s="365" t="n">
        <v>0</v>
      </c>
      <c r="W46" s="271" t="s">
        <v>143</v>
      </c>
      <c r="X46" s="178"/>
      <c r="Y46" s="178"/>
    </row>
    <row r="47" customFormat="false" ht="15.75" hidden="false" customHeight="true" outlineLevel="0" collapsed="false">
      <c r="B47" s="200"/>
      <c r="C47" s="212"/>
      <c r="D47" s="370"/>
      <c r="E47" s="373" t="s">
        <v>116</v>
      </c>
      <c r="F47" s="301"/>
      <c r="G47" s="302" t="n">
        <v>14</v>
      </c>
      <c r="H47" s="303" t="n">
        <f aca="false">G47</f>
        <v>14</v>
      </c>
      <c r="I47" s="306" t="n">
        <f aca="false">J47/G47</f>
        <v>1</v>
      </c>
      <c r="J47" s="305" t="n">
        <f aca="false">9+5</f>
        <v>14</v>
      </c>
      <c r="K47" s="306" t="n">
        <f aca="false">L47/G47</f>
        <v>0.357142857142857</v>
      </c>
      <c r="L47" s="305" t="n">
        <v>5</v>
      </c>
      <c r="M47" s="306" t="n">
        <f aca="false">IF(N47="-","-",N47/L47)</f>
        <v>1</v>
      </c>
      <c r="N47" s="307" t="n">
        <v>5</v>
      </c>
      <c r="O47" s="308"/>
      <c r="P47" s="309"/>
      <c r="Q47" s="308"/>
      <c r="R47" s="309"/>
      <c r="S47" s="368" t="n">
        <v>14</v>
      </c>
      <c r="T47" s="303" t="n">
        <v>14</v>
      </c>
      <c r="U47" s="368" t="n">
        <v>0</v>
      </c>
      <c r="V47" s="369" t="n">
        <v>0</v>
      </c>
      <c r="W47" s="271" t="s">
        <v>143</v>
      </c>
      <c r="X47" s="178"/>
      <c r="Y47" s="178"/>
    </row>
    <row r="48" customFormat="false" ht="15.75" hidden="false" customHeight="false" outlineLevel="0" collapsed="false">
      <c r="B48" s="200"/>
      <c r="C48" s="212"/>
      <c r="D48" s="212" t="s">
        <v>81</v>
      </c>
      <c r="E48" s="216"/>
      <c r="F48" s="211"/>
      <c r="G48" s="192" t="n">
        <f aca="false">SUM(G40:G47)</f>
        <v>245</v>
      </c>
      <c r="H48" s="193" t="n">
        <f aca="false">SUM(H40:H47)</f>
        <v>245</v>
      </c>
      <c r="I48" s="194" t="n">
        <f aca="false">J48/G48</f>
        <v>0.559183673469388</v>
      </c>
      <c r="J48" s="316" t="n">
        <f aca="false">SUM(J40:J47)</f>
        <v>137</v>
      </c>
      <c r="K48" s="358" t="n">
        <f aca="false">L48/G48</f>
        <v>0.395918367346939</v>
      </c>
      <c r="L48" s="316" t="n">
        <f aca="false">SUM(L40:L47)</f>
        <v>97</v>
      </c>
      <c r="M48" s="194" t="n">
        <f aca="false">N48/L48</f>
        <v>0.690721649484536</v>
      </c>
      <c r="N48" s="316" t="n">
        <f aca="false">SUM(N40:N47)</f>
        <v>67</v>
      </c>
      <c r="O48" s="359"/>
      <c r="P48" s="360"/>
      <c r="Q48" s="359"/>
      <c r="R48" s="360"/>
      <c r="S48" s="359" t="n">
        <f aca="false">SUM(S40:S47)</f>
        <v>235</v>
      </c>
      <c r="T48" s="360" t="n">
        <f aca="false">SUM(T40:T47)</f>
        <v>235</v>
      </c>
      <c r="U48" s="359" t="n">
        <f aca="false">SUM(U40:U47)</f>
        <v>10</v>
      </c>
      <c r="V48" s="361" t="n">
        <f aca="false">SUM(V40:V47)</f>
        <v>10</v>
      </c>
      <c r="W48" s="271" t="s">
        <v>143</v>
      </c>
      <c r="X48" s="178"/>
      <c r="Y48" s="178"/>
    </row>
    <row r="49" customFormat="false" ht="15" hidden="false" customHeight="true" outlineLevel="0" collapsed="false">
      <c r="B49" s="200" t="s">
        <v>150</v>
      </c>
      <c r="C49" s="189" t="s">
        <v>93</v>
      </c>
      <c r="D49" s="374" t="n">
        <v>14</v>
      </c>
      <c r="E49" s="274" t="s">
        <v>118</v>
      </c>
      <c r="F49" s="275" t="s">
        <v>70</v>
      </c>
      <c r="G49" s="323" t="n">
        <f aca="false">306+90</f>
        <v>396</v>
      </c>
      <c r="H49" s="324" t="n">
        <f aca="false">164+46</f>
        <v>210</v>
      </c>
      <c r="I49" s="280" t="n">
        <v>0.32</v>
      </c>
      <c r="J49" s="325" t="n">
        <v>109</v>
      </c>
      <c r="K49" s="280" t="n">
        <f aca="false">L49/G49</f>
        <v>0.227272727272727</v>
      </c>
      <c r="L49" s="325" t="n">
        <v>90</v>
      </c>
      <c r="M49" s="280" t="n">
        <f aca="false">IF(N49="-","-",N49/L49)</f>
        <v>0</v>
      </c>
      <c r="N49" s="281"/>
      <c r="O49" s="282" t="n">
        <v>11</v>
      </c>
      <c r="P49" s="283" t="n">
        <v>7</v>
      </c>
      <c r="Q49" s="282" t="n">
        <v>50</v>
      </c>
      <c r="R49" s="283" t="n">
        <v>36</v>
      </c>
      <c r="S49" s="362" t="n">
        <v>374</v>
      </c>
      <c r="T49" s="324" t="n">
        <v>195</v>
      </c>
      <c r="U49" s="362" t="n">
        <v>22</v>
      </c>
      <c r="V49" s="363" t="n">
        <v>15</v>
      </c>
      <c r="W49" s="271" t="s">
        <v>143</v>
      </c>
      <c r="X49" s="178"/>
      <c r="Y49" s="178"/>
    </row>
    <row r="50" customFormat="false" ht="15" hidden="false" customHeight="true" outlineLevel="0" collapsed="false">
      <c r="B50" s="200"/>
      <c r="C50" s="189"/>
      <c r="D50" s="374"/>
      <c r="E50" s="287" t="s">
        <v>119</v>
      </c>
      <c r="F50" s="288" t="s">
        <v>98</v>
      </c>
      <c r="G50" s="326" t="n">
        <f aca="false">140+71</f>
        <v>211</v>
      </c>
      <c r="H50" s="327" t="n">
        <f aca="false">66+36</f>
        <v>102</v>
      </c>
      <c r="I50" s="293" t="n">
        <v>0.36</v>
      </c>
      <c r="J50" s="328" t="n">
        <v>85</v>
      </c>
      <c r="K50" s="293" t="n">
        <f aca="false">L50/G50</f>
        <v>0.336492890995261</v>
      </c>
      <c r="L50" s="328" t="n">
        <v>71</v>
      </c>
      <c r="M50" s="293" t="n">
        <f aca="false">IF(N50="-","-",N50/L50)</f>
        <v>0</v>
      </c>
      <c r="N50" s="294"/>
      <c r="O50" s="295" t="n">
        <v>20</v>
      </c>
      <c r="P50" s="296" t="n">
        <v>9</v>
      </c>
      <c r="Q50" s="295" t="n">
        <v>4</v>
      </c>
      <c r="R50" s="296" t="n">
        <v>3</v>
      </c>
      <c r="S50" s="364" t="n">
        <v>203</v>
      </c>
      <c r="T50" s="327" t="n">
        <v>97</v>
      </c>
      <c r="U50" s="364" t="n">
        <v>8</v>
      </c>
      <c r="V50" s="365" t="n">
        <v>5</v>
      </c>
      <c r="W50" s="271" t="s">
        <v>143</v>
      </c>
      <c r="X50" s="178"/>
      <c r="Y50" s="178"/>
    </row>
    <row r="51" customFormat="false" ht="15" hidden="false" customHeight="true" outlineLevel="0" collapsed="false">
      <c r="B51" s="200"/>
      <c r="C51" s="189"/>
      <c r="D51" s="374"/>
      <c r="E51" s="300" t="s">
        <v>120</v>
      </c>
      <c r="F51" s="301" t="s">
        <v>98</v>
      </c>
      <c r="G51" s="302" t="n">
        <f aca="false">181+94</f>
        <v>275</v>
      </c>
      <c r="H51" s="303" t="n">
        <f aca="false">88+43</f>
        <v>131</v>
      </c>
      <c r="I51" s="306" t="n">
        <v>0.41</v>
      </c>
      <c r="J51" s="305" t="n">
        <v>85</v>
      </c>
      <c r="K51" s="306" t="n">
        <f aca="false">L51/G51</f>
        <v>0.341818181818182</v>
      </c>
      <c r="L51" s="305" t="n">
        <v>94</v>
      </c>
      <c r="M51" s="306" t="n">
        <f aca="false">IF(N51="-","-",N51/L51)</f>
        <v>0</v>
      </c>
      <c r="N51" s="307"/>
      <c r="O51" s="308" t="n">
        <v>13</v>
      </c>
      <c r="P51" s="309" t="n">
        <v>5</v>
      </c>
      <c r="Q51" s="308" t="n">
        <v>36</v>
      </c>
      <c r="R51" s="309" t="n">
        <v>17</v>
      </c>
      <c r="S51" s="368" t="n">
        <v>228</v>
      </c>
      <c r="T51" s="303" t="n">
        <v>105</v>
      </c>
      <c r="U51" s="368" t="n">
        <v>47</v>
      </c>
      <c r="V51" s="369" t="n">
        <v>26</v>
      </c>
      <c r="W51" s="271" t="s">
        <v>143</v>
      </c>
      <c r="X51" s="178"/>
      <c r="Y51" s="178"/>
    </row>
    <row r="52" customFormat="false" ht="15.75" hidden="false" customHeight="false" outlineLevel="0" collapsed="false">
      <c r="B52" s="200"/>
      <c r="C52" s="189"/>
      <c r="D52" s="189" t="s">
        <v>81</v>
      </c>
      <c r="E52" s="190"/>
      <c r="F52" s="191"/>
      <c r="G52" s="192" t="n">
        <f aca="false">SUM(G49:G51)</f>
        <v>882</v>
      </c>
      <c r="H52" s="193" t="n">
        <f aca="false">SUM(H49:H51)</f>
        <v>443</v>
      </c>
      <c r="I52" s="194" t="n">
        <v>0.36</v>
      </c>
      <c r="J52" s="316" t="n">
        <f aca="false">SUM(J49:J51)</f>
        <v>279</v>
      </c>
      <c r="K52" s="358" t="n">
        <f aca="false">L52/G52</f>
        <v>0.289115646258503</v>
      </c>
      <c r="L52" s="316" t="n">
        <f aca="false">SUM(L49:L51)</f>
        <v>255</v>
      </c>
      <c r="M52" s="194" t="n">
        <f aca="false">N52/L52</f>
        <v>0</v>
      </c>
      <c r="N52" s="316" t="n">
        <f aca="false">SUM(N49:N51)</f>
        <v>0</v>
      </c>
      <c r="O52" s="359" t="n">
        <f aca="false">SUM(O49:O51)</f>
        <v>44</v>
      </c>
      <c r="P52" s="360" t="n">
        <f aca="false">SUM(P49:P51)</f>
        <v>21</v>
      </c>
      <c r="Q52" s="359" t="n">
        <f aca="false">SUM(Q49:Q51)</f>
        <v>90</v>
      </c>
      <c r="R52" s="360" t="n">
        <f aca="false">SUM(R49:R51)</f>
        <v>56</v>
      </c>
      <c r="S52" s="359" t="n">
        <f aca="false">SUM(S49:S51)</f>
        <v>805</v>
      </c>
      <c r="T52" s="360" t="n">
        <f aca="false">SUM(T49:T51)</f>
        <v>397</v>
      </c>
      <c r="U52" s="359" t="n">
        <f aca="false">SUM(U49:U51)</f>
        <v>77</v>
      </c>
      <c r="V52" s="361" t="n">
        <f aca="false">SUM(V49:V51)</f>
        <v>46</v>
      </c>
      <c r="W52" s="271" t="s">
        <v>143</v>
      </c>
      <c r="X52" s="178"/>
      <c r="Y52" s="178"/>
    </row>
    <row r="53" customFormat="false" ht="15.75" hidden="false" customHeight="true" outlineLevel="0" collapsed="false">
      <c r="B53" s="200" t="s">
        <v>121</v>
      </c>
      <c r="C53" s="189" t="s">
        <v>93</v>
      </c>
      <c r="D53" s="374" t="n">
        <v>2</v>
      </c>
      <c r="E53" s="274" t="s">
        <v>122</v>
      </c>
      <c r="F53" s="275" t="s">
        <v>98</v>
      </c>
      <c r="G53" s="375"/>
      <c r="H53" s="376"/>
      <c r="I53" s="280" t="e">
        <f aca="false">J53/G53</f>
        <v>#DIV/0!</v>
      </c>
      <c r="J53" s="377"/>
      <c r="K53" s="280" t="e">
        <f aca="false">L53/G53</f>
        <v>#DIV/0!</v>
      </c>
      <c r="L53" s="377"/>
      <c r="M53" s="280" t="e">
        <f aca="false">IF(N53="-","-",N53/L53)</f>
        <v>#DIV/0!</v>
      </c>
      <c r="N53" s="281"/>
      <c r="O53" s="378"/>
      <c r="P53" s="376"/>
      <c r="Q53" s="378"/>
      <c r="R53" s="376"/>
      <c r="S53" s="378"/>
      <c r="T53" s="376"/>
      <c r="U53" s="378"/>
      <c r="V53" s="379"/>
      <c r="W53" s="345" t="s">
        <v>148</v>
      </c>
      <c r="X53" s="178"/>
      <c r="Y53" s="178"/>
    </row>
    <row r="54" customFormat="false" ht="15.75" hidden="false" customHeight="true" outlineLevel="0" collapsed="false">
      <c r="B54" s="200"/>
      <c r="C54" s="189"/>
      <c r="D54" s="374"/>
      <c r="E54" s="380" t="s">
        <v>123</v>
      </c>
      <c r="F54" s="381"/>
      <c r="G54" s="382"/>
      <c r="H54" s="383"/>
      <c r="I54" s="293" t="e">
        <f aca="false">J54/G54</f>
        <v>#DIV/0!</v>
      </c>
      <c r="J54" s="384"/>
      <c r="K54" s="293" t="e">
        <f aca="false">L54/G54</f>
        <v>#DIV/0!</v>
      </c>
      <c r="L54" s="384"/>
      <c r="M54" s="293" t="e">
        <f aca="false">IF(N54="-","-",N54/L54)</f>
        <v>#DIV/0!</v>
      </c>
      <c r="N54" s="385"/>
      <c r="O54" s="386"/>
      <c r="P54" s="383"/>
      <c r="Q54" s="386"/>
      <c r="R54" s="383"/>
      <c r="S54" s="386"/>
      <c r="T54" s="383"/>
      <c r="U54" s="386"/>
      <c r="V54" s="387"/>
      <c r="W54" s="345" t="s">
        <v>148</v>
      </c>
      <c r="X54" s="178"/>
      <c r="Y54" s="178"/>
    </row>
    <row r="55" customFormat="false" ht="15.75" hidden="false" customHeight="true" outlineLevel="0" collapsed="false">
      <c r="B55" s="200"/>
      <c r="C55" s="189"/>
      <c r="D55" s="374"/>
      <c r="E55" s="287" t="s">
        <v>124</v>
      </c>
      <c r="F55" s="288"/>
      <c r="G55" s="326" t="n">
        <v>40</v>
      </c>
      <c r="H55" s="327" t="n">
        <v>20</v>
      </c>
      <c r="I55" s="293" t="n">
        <f aca="false">J55/G55</f>
        <v>0.375</v>
      </c>
      <c r="J55" s="328" t="n">
        <v>15</v>
      </c>
      <c r="K55" s="293" t="n">
        <f aca="false">L55/G55</f>
        <v>0.325</v>
      </c>
      <c r="L55" s="328" t="n">
        <v>13</v>
      </c>
      <c r="M55" s="293" t="n">
        <f aca="false">IF(N55="-","-",N55/L55)</f>
        <v>0</v>
      </c>
      <c r="N55" s="294"/>
      <c r="O55" s="295" t="n">
        <v>0</v>
      </c>
      <c r="P55" s="296" t="n">
        <v>0</v>
      </c>
      <c r="Q55" s="295" t="n">
        <v>0</v>
      </c>
      <c r="R55" s="296" t="n">
        <v>0</v>
      </c>
      <c r="S55" s="364" t="n">
        <v>28</v>
      </c>
      <c r="T55" s="327" t="n">
        <v>15</v>
      </c>
      <c r="U55" s="364" t="n">
        <v>12</v>
      </c>
      <c r="V55" s="365" t="n">
        <v>5</v>
      </c>
      <c r="W55" s="271" t="s">
        <v>143</v>
      </c>
      <c r="X55" s="178"/>
      <c r="Y55" s="178"/>
    </row>
    <row r="56" customFormat="false" ht="15.75" hidden="false" customHeight="true" outlineLevel="0" collapsed="false">
      <c r="B56" s="200"/>
      <c r="C56" s="189"/>
      <c r="D56" s="374"/>
      <c r="E56" s="300" t="s">
        <v>125</v>
      </c>
      <c r="F56" s="301"/>
      <c r="G56" s="302" t="n">
        <v>34</v>
      </c>
      <c r="H56" s="303" t="n">
        <v>27</v>
      </c>
      <c r="I56" s="306" t="n">
        <f aca="false">J56/G56</f>
        <v>0.323529411764706</v>
      </c>
      <c r="J56" s="305" t="n">
        <v>11</v>
      </c>
      <c r="K56" s="306" t="n">
        <f aca="false">L56/G56</f>
        <v>0.352941176470588</v>
      </c>
      <c r="L56" s="305" t="n">
        <v>12</v>
      </c>
      <c r="M56" s="306" t="n">
        <f aca="false">IF(N56="-","-",N56/L56)</f>
        <v>0</v>
      </c>
      <c r="N56" s="307"/>
      <c r="O56" s="308" t="n">
        <v>1</v>
      </c>
      <c r="P56" s="309" t="n">
        <v>1</v>
      </c>
      <c r="Q56" s="308" t="n">
        <v>10</v>
      </c>
      <c r="R56" s="309" t="n">
        <v>9</v>
      </c>
      <c r="S56" s="368" t="n">
        <v>32</v>
      </c>
      <c r="T56" s="303" t="n">
        <v>25</v>
      </c>
      <c r="U56" s="368" t="n">
        <v>2</v>
      </c>
      <c r="V56" s="369" t="n">
        <v>2</v>
      </c>
      <c r="W56" s="271" t="s">
        <v>143</v>
      </c>
      <c r="X56" s="178"/>
      <c r="Y56" s="178"/>
    </row>
    <row r="57" customFormat="false" ht="15.75" hidden="false" customHeight="true" outlineLevel="0" collapsed="false">
      <c r="B57" s="225" t="s">
        <v>126</v>
      </c>
      <c r="C57" s="226" t="s">
        <v>93</v>
      </c>
      <c r="D57" s="322" t="n">
        <v>11</v>
      </c>
      <c r="E57" s="274" t="s">
        <v>127</v>
      </c>
      <c r="F57" s="275" t="s">
        <v>128</v>
      </c>
      <c r="G57" s="323"/>
      <c r="H57" s="324"/>
      <c r="I57" s="280"/>
      <c r="J57" s="325"/>
      <c r="K57" s="280"/>
      <c r="L57" s="325"/>
      <c r="M57" s="280"/>
      <c r="N57" s="281"/>
      <c r="O57" s="282"/>
      <c r="P57" s="283"/>
      <c r="Q57" s="282"/>
      <c r="R57" s="283"/>
      <c r="S57" s="284"/>
      <c r="T57" s="285"/>
      <c r="U57" s="284"/>
      <c r="V57" s="286"/>
      <c r="W57" s="271" t="s">
        <v>143</v>
      </c>
      <c r="X57" s="178"/>
      <c r="Y57" s="178"/>
    </row>
    <row r="58" customFormat="false" ht="15.75" hidden="false" customHeight="true" outlineLevel="0" collapsed="false">
      <c r="B58" s="225"/>
      <c r="C58" s="226"/>
      <c r="D58" s="322"/>
      <c r="E58" s="287" t="s">
        <v>129</v>
      </c>
      <c r="F58" s="288" t="s">
        <v>128</v>
      </c>
      <c r="G58" s="326"/>
      <c r="H58" s="327"/>
      <c r="I58" s="293"/>
      <c r="J58" s="328"/>
      <c r="K58" s="293"/>
      <c r="L58" s="328"/>
      <c r="M58" s="293"/>
      <c r="N58" s="294"/>
      <c r="O58" s="295"/>
      <c r="P58" s="296"/>
      <c r="Q58" s="295"/>
      <c r="R58" s="296"/>
      <c r="S58" s="297"/>
      <c r="T58" s="298"/>
      <c r="U58" s="297"/>
      <c r="V58" s="299"/>
      <c r="W58" s="271" t="s">
        <v>143</v>
      </c>
      <c r="X58" s="178"/>
      <c r="Y58" s="178"/>
    </row>
    <row r="59" customFormat="false" ht="15.75" hidden="false" customHeight="true" outlineLevel="0" collapsed="false">
      <c r="B59" s="225"/>
      <c r="C59" s="226"/>
      <c r="D59" s="322"/>
      <c r="E59" s="287" t="s">
        <v>130</v>
      </c>
      <c r="F59" s="288" t="s">
        <v>128</v>
      </c>
      <c r="G59" s="326"/>
      <c r="H59" s="327"/>
      <c r="I59" s="293"/>
      <c r="J59" s="328"/>
      <c r="K59" s="293"/>
      <c r="L59" s="328"/>
      <c r="M59" s="293"/>
      <c r="N59" s="294"/>
      <c r="O59" s="295"/>
      <c r="P59" s="296"/>
      <c r="Q59" s="295"/>
      <c r="R59" s="296"/>
      <c r="S59" s="297"/>
      <c r="T59" s="298"/>
      <c r="U59" s="297"/>
      <c r="V59" s="299"/>
      <c r="W59" s="271" t="s">
        <v>143</v>
      </c>
      <c r="X59" s="178"/>
      <c r="Y59" s="178"/>
    </row>
    <row r="60" customFormat="false" ht="15.75" hidden="false" customHeight="true" outlineLevel="0" collapsed="false">
      <c r="B60" s="225"/>
      <c r="C60" s="226"/>
      <c r="D60" s="322"/>
      <c r="E60" s="287" t="s">
        <v>131</v>
      </c>
      <c r="F60" s="288" t="s">
        <v>128</v>
      </c>
      <c r="G60" s="326"/>
      <c r="H60" s="327"/>
      <c r="I60" s="293"/>
      <c r="J60" s="328"/>
      <c r="K60" s="293"/>
      <c r="L60" s="328"/>
      <c r="M60" s="293"/>
      <c r="N60" s="294"/>
      <c r="O60" s="295"/>
      <c r="P60" s="296"/>
      <c r="Q60" s="295"/>
      <c r="R60" s="296"/>
      <c r="S60" s="297"/>
      <c r="T60" s="298"/>
      <c r="U60" s="297"/>
      <c r="V60" s="299"/>
      <c r="W60" s="271" t="s">
        <v>143</v>
      </c>
      <c r="X60" s="178"/>
      <c r="Y60" s="178"/>
    </row>
    <row r="61" customFormat="false" ht="15.75" hidden="false" customHeight="true" outlineLevel="0" collapsed="false">
      <c r="B61" s="225"/>
      <c r="C61" s="226"/>
      <c r="D61" s="322"/>
      <c r="E61" s="287" t="s">
        <v>132</v>
      </c>
      <c r="F61" s="288" t="s">
        <v>128</v>
      </c>
      <c r="G61" s="326"/>
      <c r="H61" s="327"/>
      <c r="I61" s="293"/>
      <c r="J61" s="328"/>
      <c r="K61" s="293"/>
      <c r="L61" s="328"/>
      <c r="M61" s="293"/>
      <c r="N61" s="294"/>
      <c r="O61" s="295"/>
      <c r="P61" s="296"/>
      <c r="Q61" s="295"/>
      <c r="R61" s="296"/>
      <c r="S61" s="297"/>
      <c r="T61" s="298"/>
      <c r="U61" s="297"/>
      <c r="V61" s="299"/>
      <c r="W61" s="271" t="s">
        <v>143</v>
      </c>
      <c r="X61" s="178"/>
      <c r="Y61" s="178"/>
    </row>
    <row r="62" customFormat="false" ht="15.75" hidden="false" customHeight="true" outlineLevel="0" collapsed="false">
      <c r="B62" s="225"/>
      <c r="C62" s="226"/>
      <c r="D62" s="322"/>
      <c r="E62" s="287" t="s">
        <v>133</v>
      </c>
      <c r="F62" s="288"/>
      <c r="G62" s="326" t="n">
        <v>159</v>
      </c>
      <c r="H62" s="327" t="n">
        <v>159</v>
      </c>
      <c r="I62" s="293" t="n">
        <f aca="false">J62/G62</f>
        <v>0.345911949685535</v>
      </c>
      <c r="J62" s="328" t="n">
        <v>55</v>
      </c>
      <c r="K62" s="293" t="n">
        <f aca="false">L62/G62</f>
        <v>0.415094339622642</v>
      </c>
      <c r="L62" s="328" t="n">
        <v>66</v>
      </c>
      <c r="M62" s="293" t="n">
        <f aca="false">IF(N62="-","-",N62/L62)</f>
        <v>0.46969696969697</v>
      </c>
      <c r="N62" s="294" t="n">
        <v>31</v>
      </c>
      <c r="O62" s="295"/>
      <c r="P62" s="296"/>
      <c r="Q62" s="295"/>
      <c r="R62" s="296"/>
      <c r="S62" s="297"/>
      <c r="T62" s="298"/>
      <c r="U62" s="297"/>
      <c r="V62" s="299"/>
      <c r="W62" s="271" t="s">
        <v>143</v>
      </c>
      <c r="X62" s="178"/>
      <c r="Y62" s="178"/>
    </row>
    <row r="63" customFormat="false" ht="15.75" hidden="false" customHeight="true" outlineLevel="0" collapsed="false">
      <c r="B63" s="225"/>
      <c r="C63" s="226"/>
      <c r="D63" s="322"/>
      <c r="E63" s="287" t="s">
        <v>134</v>
      </c>
      <c r="F63" s="288"/>
      <c r="G63" s="326" t="n">
        <v>165</v>
      </c>
      <c r="H63" s="327" t="n">
        <v>165</v>
      </c>
      <c r="I63" s="293"/>
      <c r="J63" s="328"/>
      <c r="K63" s="293" t="n">
        <f aca="false">L63/G63</f>
        <v>0</v>
      </c>
      <c r="L63" s="328"/>
      <c r="M63" s="293"/>
      <c r="N63" s="294"/>
      <c r="O63" s="295"/>
      <c r="P63" s="296"/>
      <c r="Q63" s="295"/>
      <c r="R63" s="296"/>
      <c r="S63" s="297"/>
      <c r="T63" s="298"/>
      <c r="U63" s="297"/>
      <c r="V63" s="299"/>
      <c r="W63" s="271" t="s">
        <v>143</v>
      </c>
      <c r="X63" s="178"/>
      <c r="Y63" s="178"/>
    </row>
    <row r="64" customFormat="false" ht="15.75" hidden="false" customHeight="true" outlineLevel="0" collapsed="false">
      <c r="B64" s="225"/>
      <c r="C64" s="226"/>
      <c r="D64" s="322"/>
      <c r="E64" s="287" t="s">
        <v>135</v>
      </c>
      <c r="F64" s="288" t="s">
        <v>128</v>
      </c>
      <c r="G64" s="326" t="n">
        <v>773</v>
      </c>
      <c r="H64" s="327" t="n">
        <f aca="false">G64</f>
        <v>773</v>
      </c>
      <c r="I64" s="293" t="n">
        <f aca="false">J64/G64</f>
        <v>0.393272962483829</v>
      </c>
      <c r="J64" s="328" t="n">
        <v>304</v>
      </c>
      <c r="K64" s="293" t="n">
        <f aca="false">L64/G64</f>
        <v>0.430789133247089</v>
      </c>
      <c r="L64" s="328" t="n">
        <v>333</v>
      </c>
      <c r="M64" s="293" t="n">
        <f aca="false">IF(N64="-","-",N64/L64)</f>
        <v>0.576576576576577</v>
      </c>
      <c r="N64" s="294" t="n">
        <v>192</v>
      </c>
      <c r="O64" s="295"/>
      <c r="P64" s="296"/>
      <c r="Q64" s="295"/>
      <c r="R64" s="296"/>
      <c r="S64" s="297"/>
      <c r="T64" s="298"/>
      <c r="U64" s="297"/>
      <c r="V64" s="299"/>
      <c r="W64" s="271" t="s">
        <v>143</v>
      </c>
      <c r="X64" s="178"/>
      <c r="Y64" s="178"/>
    </row>
    <row r="65" customFormat="false" ht="15.75" hidden="false" customHeight="true" outlineLevel="0" collapsed="false">
      <c r="B65" s="225"/>
      <c r="C65" s="226"/>
      <c r="D65" s="322"/>
      <c r="E65" s="287" t="s">
        <v>136</v>
      </c>
      <c r="F65" s="288" t="s">
        <v>128</v>
      </c>
      <c r="G65" s="326" t="n">
        <v>629</v>
      </c>
      <c r="H65" s="327" t="n">
        <f aca="false">G65</f>
        <v>629</v>
      </c>
      <c r="I65" s="293" t="n">
        <f aca="false">J65/G65</f>
        <v>0.470588235294118</v>
      </c>
      <c r="J65" s="328" t="n">
        <v>296</v>
      </c>
      <c r="K65" s="293" t="n">
        <f aca="false">L65/G65</f>
        <v>0.494435612082671</v>
      </c>
      <c r="L65" s="328" t="n">
        <v>311</v>
      </c>
      <c r="M65" s="293" t="n">
        <f aca="false">IF(N65="-","-",N65/L65)</f>
        <v>0.585209003215434</v>
      </c>
      <c r="N65" s="294" t="n">
        <v>182</v>
      </c>
      <c r="O65" s="295"/>
      <c r="P65" s="296"/>
      <c r="Q65" s="295"/>
      <c r="R65" s="296"/>
      <c r="S65" s="297"/>
      <c r="T65" s="298"/>
      <c r="U65" s="297"/>
      <c r="V65" s="299"/>
      <c r="W65" s="271" t="s">
        <v>143</v>
      </c>
      <c r="X65" s="178"/>
      <c r="Y65" s="178"/>
    </row>
    <row r="66" customFormat="false" ht="15.75" hidden="false" customHeight="true" outlineLevel="0" collapsed="false">
      <c r="B66" s="225"/>
      <c r="C66" s="226"/>
      <c r="D66" s="322"/>
      <c r="E66" s="300" t="s">
        <v>137</v>
      </c>
      <c r="F66" s="301" t="s">
        <v>128</v>
      </c>
      <c r="G66" s="302"/>
      <c r="H66" s="303"/>
      <c r="I66" s="306"/>
      <c r="J66" s="305"/>
      <c r="K66" s="306"/>
      <c r="L66" s="305"/>
      <c r="M66" s="306"/>
      <c r="N66" s="307"/>
      <c r="O66" s="308"/>
      <c r="P66" s="309"/>
      <c r="Q66" s="308"/>
      <c r="R66" s="309"/>
      <c r="S66" s="310"/>
      <c r="T66" s="311"/>
      <c r="U66" s="310"/>
      <c r="V66" s="312"/>
      <c r="W66" s="271" t="s">
        <v>143</v>
      </c>
      <c r="X66" s="178"/>
      <c r="Y66" s="178"/>
    </row>
    <row r="67" customFormat="false" ht="16.5" hidden="false" customHeight="false" outlineLevel="0" collapsed="false">
      <c r="B67" s="225"/>
      <c r="C67" s="226"/>
      <c r="D67" s="226" t="s">
        <v>81</v>
      </c>
      <c r="E67" s="230"/>
      <c r="F67" s="231"/>
      <c r="G67" s="232" t="n">
        <f aca="false">SUM(G57:G66)</f>
        <v>1726</v>
      </c>
      <c r="H67" s="233" t="n">
        <f aca="false">SUM(H57:H66)</f>
        <v>1726</v>
      </c>
      <c r="I67" s="194" t="n">
        <f aca="false">J67/G67</f>
        <v>0.379490150637312</v>
      </c>
      <c r="J67" s="388" t="n">
        <f aca="false">SUM(J57:J66)</f>
        <v>655</v>
      </c>
      <c r="K67" s="358" t="n">
        <f aca="false">L67/G67</f>
        <v>0.41135573580533</v>
      </c>
      <c r="L67" s="388" t="n">
        <f aca="false">SUM(L57:L66)</f>
        <v>710</v>
      </c>
      <c r="M67" s="194" t="n">
        <f aca="false">N67/L67</f>
        <v>0.570422535211268</v>
      </c>
      <c r="N67" s="388" t="n">
        <f aca="false">SUM(N57:N66)</f>
        <v>405</v>
      </c>
      <c r="O67" s="389"/>
      <c r="P67" s="390"/>
      <c r="Q67" s="389"/>
      <c r="R67" s="390"/>
      <c r="S67" s="389"/>
      <c r="T67" s="390"/>
      <c r="U67" s="389"/>
      <c r="V67" s="391"/>
      <c r="W67" s="271" t="s">
        <v>143</v>
      </c>
      <c r="X67" s="178"/>
      <c r="Y67" s="178"/>
    </row>
    <row r="68" s="155" customFormat="true" ht="21" hidden="false" customHeight="true" outlineLevel="0" collapsed="false">
      <c r="A68" s="22"/>
      <c r="B68" s="140" t="s">
        <v>138</v>
      </c>
      <c r="C68" s="141"/>
      <c r="D68" s="141" t="n">
        <f aca="false">SUM(D26:D66)</f>
        <v>54</v>
      </c>
      <c r="E68" s="240"/>
      <c r="F68" s="143" t="n">
        <f aca="false">COUNT(J26:J66)</f>
        <v>30</v>
      </c>
      <c r="G68" s="392" t="n">
        <f aca="false">G32+G39+G48+G52+G53+G67</f>
        <v>3903</v>
      </c>
      <c r="H68" s="336" t="n">
        <f aca="false">H32+H39+H48+H52+H53+H67</f>
        <v>3053</v>
      </c>
      <c r="I68" s="393" t="n">
        <f aca="false">J68/G68</f>
        <v>0.398411478349987</v>
      </c>
      <c r="J68" s="394" t="n">
        <f aca="false">J32+J39+J48+J52+J53+J67</f>
        <v>1555</v>
      </c>
      <c r="K68" s="393" t="n">
        <f aca="false">L68/G68</f>
        <v>0.380220343325647</v>
      </c>
      <c r="L68" s="394" t="n">
        <f aca="false">L32+L39+L48+L52+L53+L67</f>
        <v>1484</v>
      </c>
      <c r="M68" s="395" t="n">
        <f aca="false">N68/(SUM(L33:L45))</f>
        <v>1.84717607973422</v>
      </c>
      <c r="N68" s="394" t="n">
        <f aca="false">N32+N39+N48+N52+N53+N67</f>
        <v>556</v>
      </c>
      <c r="O68" s="335"/>
      <c r="P68" s="336"/>
      <c r="Q68" s="335"/>
      <c r="R68" s="336"/>
      <c r="S68" s="335" t="n">
        <f aca="false">S32+S39+S48+S52+S53</f>
        <v>1316</v>
      </c>
      <c r="T68" s="336" t="n">
        <f aca="false">T32+T39+T48+T52+T53</f>
        <v>845</v>
      </c>
      <c r="U68" s="335" t="n">
        <f aca="false">U32+U39+U48+U52+U53</f>
        <v>101</v>
      </c>
      <c r="V68" s="337" t="n">
        <f aca="false">V32+V39+V48+V52+V53</f>
        <v>68</v>
      </c>
      <c r="W68" s="396"/>
      <c r="X68" s="247"/>
      <c r="Y68" s="247"/>
    </row>
    <row r="69" s="155" customFormat="true" ht="21" hidden="false" customHeight="true" outlineLevel="0" collapsed="false">
      <c r="A69" s="22"/>
      <c r="B69" s="140" t="s">
        <v>139</v>
      </c>
      <c r="C69" s="141"/>
      <c r="D69" s="141" t="n">
        <f aca="false">D68+D25</f>
        <v>74</v>
      </c>
      <c r="E69" s="240"/>
      <c r="F69" s="143" t="n">
        <f aca="false">F68+F25</f>
        <v>48</v>
      </c>
      <c r="G69" s="392" t="n">
        <f aca="false">G25+G68</f>
        <v>4498</v>
      </c>
      <c r="H69" s="336" t="n">
        <f aca="false">H25+H68</f>
        <v>3468</v>
      </c>
      <c r="I69" s="393" t="n">
        <f aca="false">J69/G69</f>
        <v>0.383503779457537</v>
      </c>
      <c r="J69" s="394" t="n">
        <f aca="false">J25+J68</f>
        <v>1725</v>
      </c>
      <c r="K69" s="393" t="n">
        <f aca="false">L69/G69</f>
        <v>0.363494886616274</v>
      </c>
      <c r="L69" s="394" t="n">
        <f aca="false">L25+L68</f>
        <v>1635</v>
      </c>
      <c r="M69" s="395" t="n">
        <f aca="false">N69/(L5+L16+L17+L19+L21+L23+SUM(L33:L45))</f>
        <v>0.698324022346369</v>
      </c>
      <c r="N69" s="394" t="n">
        <f aca="false">N5+N16+N17+N19+N21+N23+SUM(N33:N45)</f>
        <v>250</v>
      </c>
      <c r="O69" s="335"/>
      <c r="P69" s="336"/>
      <c r="Q69" s="335"/>
      <c r="R69" s="336"/>
      <c r="S69" s="335" t="n">
        <f aca="false">S68</f>
        <v>1316</v>
      </c>
      <c r="T69" s="336" t="n">
        <f aca="false">T68</f>
        <v>845</v>
      </c>
      <c r="U69" s="335" t="n">
        <f aca="false">U68</f>
        <v>101</v>
      </c>
      <c r="V69" s="337" t="n">
        <f aca="false">V68</f>
        <v>68</v>
      </c>
      <c r="W69" s="396"/>
    </row>
    <row r="70" customFormat="false" ht="15" hidden="false" customHeight="false" outlineLevel="0" collapsed="false">
      <c r="B70" s="248"/>
      <c r="C70" s="249"/>
      <c r="D70" s="249"/>
      <c r="E70" s="248"/>
      <c r="F70" s="249"/>
      <c r="G70" s="397"/>
      <c r="H70" s="397"/>
      <c r="I70" s="398"/>
      <c r="J70" s="398"/>
      <c r="K70" s="398"/>
      <c r="L70" s="398"/>
      <c r="M70" s="399" t="s">
        <v>140</v>
      </c>
      <c r="N70" s="399"/>
      <c r="O70" s="397"/>
      <c r="P70" s="397"/>
      <c r="Q70" s="397"/>
      <c r="R70" s="397"/>
      <c r="S70" s="397"/>
      <c r="T70" s="397"/>
      <c r="U70" s="397"/>
      <c r="V70" s="397"/>
    </row>
    <row r="71" customFormat="false" ht="15" hidden="false" customHeight="false" outlineLevel="0" collapsed="false">
      <c r="E71" s="253" t="s">
        <v>141</v>
      </c>
      <c r="F71" s="254"/>
    </row>
    <row r="72" customFormat="false" ht="15" hidden="false" customHeight="false" outlineLevel="0" collapsed="false">
      <c r="E72" s="1" t="s">
        <v>70</v>
      </c>
      <c r="F72" s="2" t="n">
        <f aca="false">COUNTIF(F$5:F$66,E72)</f>
        <v>23</v>
      </c>
    </row>
    <row r="73" customFormat="false" ht="15" hidden="false" customHeight="false" outlineLevel="0" collapsed="false">
      <c r="E73" s="1" t="s">
        <v>128</v>
      </c>
      <c r="F73" s="2" t="n">
        <f aca="false">COUNTIF(F$5:F$66,E73)</f>
        <v>8</v>
      </c>
    </row>
    <row r="74" customFormat="false" ht="15" hidden="false" customHeight="false" outlineLevel="0" collapsed="false">
      <c r="E74" s="1" t="s">
        <v>98</v>
      </c>
      <c r="F74" s="2" t="n">
        <f aca="false">COUNTIF(F$5:F$66,E74)</f>
        <v>17</v>
      </c>
    </row>
  </sheetData>
  <mergeCells count="41">
    <mergeCell ref="B2:B4"/>
    <mergeCell ref="C2:C4"/>
    <mergeCell ref="D2:D4"/>
    <mergeCell ref="E2:E4"/>
    <mergeCell ref="F2:F4"/>
    <mergeCell ref="G2:H2"/>
    <mergeCell ref="I2:I4"/>
    <mergeCell ref="J2:J4"/>
    <mergeCell ref="K2:K4"/>
    <mergeCell ref="L2:L4"/>
    <mergeCell ref="M2:M4"/>
    <mergeCell ref="N2:N4"/>
    <mergeCell ref="O2:P2"/>
    <mergeCell ref="Q2:R2"/>
    <mergeCell ref="S2:T2"/>
    <mergeCell ref="U2:V2"/>
    <mergeCell ref="B6:B15"/>
    <mergeCell ref="C6:C15"/>
    <mergeCell ref="D6:D14"/>
    <mergeCell ref="B16:B24"/>
    <mergeCell ref="C16:C24"/>
    <mergeCell ref="D16:D23"/>
    <mergeCell ref="B26:B32"/>
    <mergeCell ref="C26:C32"/>
    <mergeCell ref="D26:D31"/>
    <mergeCell ref="B33:B39"/>
    <mergeCell ref="C33:C39"/>
    <mergeCell ref="D33:D38"/>
    <mergeCell ref="B40:B48"/>
    <mergeCell ref="C40:C48"/>
    <mergeCell ref="D40:D47"/>
    <mergeCell ref="B49:B52"/>
    <mergeCell ref="C49:C52"/>
    <mergeCell ref="D49:D51"/>
    <mergeCell ref="B53:B56"/>
    <mergeCell ref="C53:C56"/>
    <mergeCell ref="D53:D56"/>
    <mergeCell ref="B57:B67"/>
    <mergeCell ref="C57:C67"/>
    <mergeCell ref="D57:D66"/>
    <mergeCell ref="M70:N70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99CC"/>
    <pageSetUpPr fitToPage="true"/>
  </sheetPr>
  <dimension ref="A1:Y7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4" topLeftCell="A17" activePane="bottomLeft" state="frozen"/>
      <selection pane="topLeft" activeCell="A1" activeCellId="0" sqref="A1"/>
      <selection pane="bottomLeft" activeCell="J39" activeCellId="0" sqref="J39"/>
    </sheetView>
  </sheetViews>
  <sheetFormatPr defaultColWidth="11.43359375" defaultRowHeight="15" zeroHeight="false" outlineLevelRow="0" outlineLevelCol="0"/>
  <cols>
    <col collapsed="false" customWidth="true" hidden="false" outlineLevel="0" max="1" min="1" style="24" width="0.42"/>
    <col collapsed="false" customWidth="true" hidden="false" outlineLevel="0" max="2" min="2" style="1" width="38.86"/>
    <col collapsed="false" customWidth="true" hidden="false" outlineLevel="0" max="3" min="3" style="2" width="11.57"/>
    <col collapsed="false" customWidth="true" hidden="false" outlineLevel="0" max="4" min="4" style="2" width="15.29"/>
    <col collapsed="false" customWidth="true" hidden="false" outlineLevel="0" max="5" min="5" style="1" width="42.86"/>
    <col collapsed="false" customWidth="true" hidden="true" outlineLevel="0" max="6" min="6" style="2" width="11.14"/>
    <col collapsed="false" customWidth="false" hidden="false" outlineLevel="0" max="7" min="7" style="2" width="11.42"/>
    <col collapsed="false" customWidth="true" hidden="false" outlineLevel="0" max="8" min="8" style="2" width="8.42"/>
    <col collapsed="false" customWidth="false" hidden="false" outlineLevel="0" max="9" min="9" style="2" width="11.42"/>
    <col collapsed="false" customWidth="true" hidden="false" outlineLevel="0" max="10" min="10" style="2" width="8.42"/>
    <col collapsed="false" customWidth="false" hidden="false" outlineLevel="0" max="11" min="11" style="44" width="11.42"/>
    <col collapsed="false" customWidth="true" hidden="false" outlineLevel="0" max="12" min="12" style="44" width="8.42"/>
    <col collapsed="false" customWidth="false" hidden="false" outlineLevel="0" max="13" min="13" style="44" width="11.42"/>
    <col collapsed="false" customWidth="true" hidden="false" outlineLevel="0" max="14" min="14" style="43" width="8.42"/>
    <col collapsed="false" customWidth="false" hidden="false" outlineLevel="0" max="16" min="15" style="44" width="11.42"/>
    <col collapsed="false" customWidth="true" hidden="false" outlineLevel="0" max="24" min="17" style="2" width="7.57"/>
    <col collapsed="false" customWidth="false" hidden="false" outlineLevel="0" max="1024" min="25" style="1" width="11.42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23"/>
      <c r="J1" s="23"/>
      <c r="K1" s="46"/>
      <c r="L1" s="46"/>
      <c r="M1" s="46"/>
      <c r="N1" s="45"/>
      <c r="O1" s="46"/>
      <c r="P1" s="46"/>
      <c r="Q1" s="23"/>
      <c r="R1" s="23"/>
      <c r="S1" s="23"/>
      <c r="T1" s="23"/>
      <c r="U1" s="23"/>
      <c r="V1" s="23"/>
      <c r="W1" s="23"/>
      <c r="X1" s="23"/>
    </row>
    <row r="2" s="60" customFormat="true" ht="30" hidden="false" customHeight="true" outlineLevel="0" collapsed="false">
      <c r="A2" s="47"/>
      <c r="B2" s="48" t="s">
        <v>49</v>
      </c>
      <c r="C2" s="49" t="s">
        <v>50</v>
      </c>
      <c r="D2" s="49" t="s">
        <v>51</v>
      </c>
      <c r="E2" s="50" t="s">
        <v>52</v>
      </c>
      <c r="F2" s="51" t="s">
        <v>53</v>
      </c>
      <c r="G2" s="52" t="s">
        <v>151</v>
      </c>
      <c r="H2" s="52"/>
      <c r="I2" s="52"/>
      <c r="J2" s="52"/>
      <c r="K2" s="400" t="s">
        <v>152</v>
      </c>
      <c r="L2" s="400"/>
      <c r="M2" s="400" t="s">
        <v>153</v>
      </c>
      <c r="N2" s="400"/>
      <c r="O2" s="400" t="s">
        <v>154</v>
      </c>
      <c r="P2" s="400"/>
      <c r="Q2" s="57" t="s">
        <v>61</v>
      </c>
      <c r="R2" s="57"/>
      <c r="S2" s="57" t="s">
        <v>62</v>
      </c>
      <c r="T2" s="57"/>
      <c r="U2" s="57" t="s">
        <v>63</v>
      </c>
      <c r="V2" s="57"/>
      <c r="W2" s="58" t="s">
        <v>64</v>
      </c>
      <c r="X2" s="58"/>
      <c r="Y2" s="59"/>
    </row>
    <row r="3" s="60" customFormat="true" ht="30" hidden="false" customHeight="true" outlineLevel="0" collapsed="false">
      <c r="A3" s="47"/>
      <c r="B3" s="48"/>
      <c r="C3" s="49"/>
      <c r="D3" s="49"/>
      <c r="E3" s="50"/>
      <c r="F3" s="51"/>
      <c r="G3" s="401" t="s">
        <v>139</v>
      </c>
      <c r="H3" s="401"/>
      <c r="I3" s="402" t="s">
        <v>66</v>
      </c>
      <c r="J3" s="402"/>
      <c r="K3" s="400"/>
      <c r="L3" s="400"/>
      <c r="M3" s="400"/>
      <c r="N3" s="400"/>
      <c r="O3" s="400"/>
      <c r="P3" s="400"/>
      <c r="Q3" s="403"/>
      <c r="R3" s="402"/>
      <c r="S3" s="403"/>
      <c r="T3" s="402"/>
      <c r="U3" s="404" t="s">
        <v>155</v>
      </c>
      <c r="V3" s="404"/>
      <c r="W3" s="405" t="s">
        <v>155</v>
      </c>
      <c r="X3" s="405"/>
      <c r="Y3" s="59"/>
    </row>
    <row r="4" s="60" customFormat="true" ht="30" hidden="false" customHeight="true" outlineLevel="0" collapsed="false">
      <c r="A4" s="47"/>
      <c r="B4" s="48"/>
      <c r="C4" s="49"/>
      <c r="D4" s="49"/>
      <c r="E4" s="50"/>
      <c r="F4" s="51"/>
      <c r="G4" s="406" t="s">
        <v>156</v>
      </c>
      <c r="H4" s="407" t="s">
        <v>157</v>
      </c>
      <c r="I4" s="407" t="s">
        <v>156</v>
      </c>
      <c r="J4" s="408" t="s">
        <v>157</v>
      </c>
      <c r="K4" s="409" t="s">
        <v>156</v>
      </c>
      <c r="L4" s="410" t="s">
        <v>157</v>
      </c>
      <c r="M4" s="409" t="s">
        <v>156</v>
      </c>
      <c r="N4" s="410" t="s">
        <v>157</v>
      </c>
      <c r="O4" s="409" t="s">
        <v>156</v>
      </c>
      <c r="P4" s="410" t="s">
        <v>157</v>
      </c>
      <c r="Q4" s="411" t="s">
        <v>65</v>
      </c>
      <c r="R4" s="408" t="s">
        <v>66</v>
      </c>
      <c r="S4" s="411" t="s">
        <v>65</v>
      </c>
      <c r="T4" s="408" t="s">
        <v>66</v>
      </c>
      <c r="U4" s="411" t="s">
        <v>156</v>
      </c>
      <c r="V4" s="408" t="s">
        <v>157</v>
      </c>
      <c r="W4" s="411" t="s">
        <v>156</v>
      </c>
      <c r="X4" s="412" t="s">
        <v>157</v>
      </c>
      <c r="Y4" s="59"/>
    </row>
    <row r="5" customFormat="false" ht="15.75" hidden="false" customHeight="false" outlineLevel="0" collapsed="false">
      <c r="B5" s="156" t="s">
        <v>142</v>
      </c>
      <c r="C5" s="157" t="s">
        <v>68</v>
      </c>
      <c r="D5" s="413" t="n">
        <v>2</v>
      </c>
      <c r="E5" s="414" t="s">
        <v>69</v>
      </c>
      <c r="F5" s="415" t="s">
        <v>70</v>
      </c>
      <c r="G5" s="416" t="n">
        <f aca="false">'2021'!G5-'2020'!G5</f>
        <v>39</v>
      </c>
      <c r="H5" s="417" t="n">
        <f aca="false">IF('2021'!G5=0,0,IF('2020'!G5=0,0,'2021'!G5/'2020'!G5-1))</f>
        <v>0.619047619047619</v>
      </c>
      <c r="I5" s="418" t="n">
        <f aca="false">'2021'!H5-'2020'!H5</f>
        <v>65</v>
      </c>
      <c r="J5" s="419" t="n">
        <f aca="false">IF('2021'!H5=0,0,IF('2020'!H5=0,0,'2021'!H5/'2020'!H5-1))</f>
        <v>2.24137931034483</v>
      </c>
      <c r="K5" s="420" t="n">
        <f aca="false">'2021'!J5-'2020'!J5</f>
        <v>0</v>
      </c>
      <c r="L5" s="419" t="n">
        <f aca="false">IF('2021'!J5=0,0,IF('2020'!J5=0,0,'2021'!J5/'2020'!J5-1))</f>
        <v>0</v>
      </c>
      <c r="M5" s="420" t="n">
        <f aca="false">'2021'!L5-'2020'!L5</f>
        <v>1</v>
      </c>
      <c r="N5" s="419" t="n">
        <f aca="false">IF('2021'!L5=0,0,IF('2020'!L5=0,0,'2021'!L5/'2020'!L5-1))</f>
        <v>0.0588235294117647</v>
      </c>
      <c r="O5" s="420" t="n">
        <f aca="false">IF('2020'!N5="-",0,'2021'!N5-'2020'!N5)</f>
        <v>0</v>
      </c>
      <c r="P5" s="421" t="n">
        <f aca="false">IF('2021'!N5=0,0,IF('2020'!N5="-",0,'2021'!N5/'2020'!N5-1))</f>
        <v>0</v>
      </c>
      <c r="Q5" s="266"/>
      <c r="R5" s="267"/>
      <c r="S5" s="266"/>
      <c r="T5" s="267"/>
      <c r="U5" s="268" t="s">
        <v>73</v>
      </c>
      <c r="V5" s="269" t="s">
        <v>73</v>
      </c>
      <c r="W5" s="268" t="s">
        <v>73</v>
      </c>
      <c r="X5" s="270" t="s">
        <v>73</v>
      </c>
      <c r="Y5" s="82"/>
    </row>
    <row r="6" customFormat="false" ht="15" hidden="false" customHeight="true" outlineLevel="0" collapsed="false">
      <c r="B6" s="272" t="s">
        <v>144</v>
      </c>
      <c r="C6" s="212" t="s">
        <v>68</v>
      </c>
      <c r="D6" s="422" t="n">
        <v>8</v>
      </c>
      <c r="E6" s="423" t="s">
        <v>72</v>
      </c>
      <c r="F6" s="424" t="s">
        <v>70</v>
      </c>
      <c r="G6" s="425" t="n">
        <f aca="false">'2021'!G6-'2020'!G6</f>
        <v>45</v>
      </c>
      <c r="H6" s="426" t="n">
        <f aca="false">IF('2021'!G6=0,0,IF('2020'!G6=0,0,'2021'!G6/'2020'!G6-1))</f>
        <v>1.45161290322581</v>
      </c>
      <c r="I6" s="427" t="n">
        <f aca="false">'2021'!H6-'2020'!H6</f>
        <v>27</v>
      </c>
      <c r="J6" s="428" t="n">
        <f aca="false">IF('2021'!H6=0,0,IF('2020'!H6=0,0,'2021'!H6/'2020'!H6-1))</f>
        <v>1.17391304347826</v>
      </c>
      <c r="K6" s="429" t="n">
        <f aca="false">'2021'!J6-'2020'!J6</f>
        <v>7</v>
      </c>
      <c r="L6" s="428" t="n">
        <f aca="false">IF('2021'!J6=0,0,IF('2020'!J6=0,0,'2021'!J6/'2020'!J6-1))</f>
        <v>0.7</v>
      </c>
      <c r="M6" s="429" t="n">
        <f aca="false">'2021'!L6-'2020'!L6</f>
        <v>18</v>
      </c>
      <c r="N6" s="428" t="n">
        <f aca="false">IF('2021'!L6=0,0,IF('2020'!L6=0,0,'2021'!L6/'2020'!L6-1))</f>
        <v>1.8</v>
      </c>
      <c r="O6" s="429" t="n">
        <f aca="false">IF('2020'!N6="-",0,'2021'!N6-'2020'!N6)</f>
        <v>0</v>
      </c>
      <c r="P6" s="430" t="n">
        <f aca="false">IF('2021'!N6=0,0,IF('2020'!N6="-",0,'2021'!N6/'2020'!N6-1))</f>
        <v>0</v>
      </c>
      <c r="Q6" s="282"/>
      <c r="R6" s="283"/>
      <c r="S6" s="282"/>
      <c r="T6" s="283"/>
      <c r="U6" s="284" t="s">
        <v>73</v>
      </c>
      <c r="V6" s="285" t="s">
        <v>73</v>
      </c>
      <c r="W6" s="284" t="s">
        <v>73</v>
      </c>
      <c r="X6" s="286" t="s">
        <v>73</v>
      </c>
      <c r="Y6" s="82"/>
    </row>
    <row r="7" customFormat="false" ht="15" hidden="false" customHeight="true" outlineLevel="0" collapsed="false">
      <c r="B7" s="272"/>
      <c r="C7" s="212"/>
      <c r="D7" s="422"/>
      <c r="E7" s="431" t="s">
        <v>74</v>
      </c>
      <c r="F7" s="432" t="s">
        <v>70</v>
      </c>
      <c r="G7" s="433" t="n">
        <f aca="false">'2021'!G7-'2020'!G7</f>
        <v>20</v>
      </c>
      <c r="H7" s="434" t="n">
        <f aca="false">IF('2021'!G7=0,0,IF('2020'!G7=0,0,'2021'!G7/'2020'!G7-1))</f>
        <v>0.8</v>
      </c>
      <c r="I7" s="435" t="n">
        <f aca="false">'2021'!H7-'2020'!H7</f>
        <v>14</v>
      </c>
      <c r="J7" s="436" t="n">
        <f aca="false">IF(I7=0,0,'2021'!H7/'2020'!H7-1)</f>
        <v>1.07692307692308</v>
      </c>
      <c r="K7" s="437" t="n">
        <f aca="false">'2021'!J7-'2020'!J7</f>
        <v>9</v>
      </c>
      <c r="L7" s="436" t="n">
        <f aca="false">IF('2021'!J7=0,0,IF('2020'!J7=0,0,'2021'!J7/'2020'!J7-1))</f>
        <v>0.75</v>
      </c>
      <c r="M7" s="437" t="n">
        <f aca="false">'2021'!L7-'2020'!L7</f>
        <v>5</v>
      </c>
      <c r="N7" s="436" t="n">
        <f aca="false">IF('2021'!L7=0,0,IF('2020'!L7=0,0,'2021'!L7/'2020'!L7-1))</f>
        <v>0.555555555555556</v>
      </c>
      <c r="O7" s="437" t="n">
        <f aca="false">IF('2020'!N7="-",0,'2021'!N7-'2020'!N7)</f>
        <v>0</v>
      </c>
      <c r="P7" s="438" t="n">
        <f aca="false">IF('2021'!N7=0,0,IF('2020'!N7="-",0,'2021'!N7/'2020'!N7-1))</f>
        <v>0</v>
      </c>
      <c r="Q7" s="295"/>
      <c r="R7" s="296"/>
      <c r="S7" s="295"/>
      <c r="T7" s="296"/>
      <c r="U7" s="297" t="s">
        <v>73</v>
      </c>
      <c r="V7" s="298" t="s">
        <v>73</v>
      </c>
      <c r="W7" s="297" t="s">
        <v>73</v>
      </c>
      <c r="X7" s="299" t="s">
        <v>73</v>
      </c>
      <c r="Y7" s="82"/>
    </row>
    <row r="8" customFormat="false" ht="15" hidden="false" customHeight="true" outlineLevel="0" collapsed="false">
      <c r="B8" s="272"/>
      <c r="C8" s="212"/>
      <c r="D8" s="422"/>
      <c r="E8" s="431" t="s">
        <v>75</v>
      </c>
      <c r="F8" s="432" t="s">
        <v>70</v>
      </c>
      <c r="G8" s="433" t="n">
        <f aca="false">'2021'!G8-'2020'!G8</f>
        <v>-2</v>
      </c>
      <c r="H8" s="434" t="n">
        <f aca="false">IF('2021'!G8=0,0,IF('2020'!G8=0,0,'2021'!G8/'2020'!G8-1))</f>
        <v>-0.111111111111111</v>
      </c>
      <c r="I8" s="435" t="n">
        <f aca="false">'2021'!H8-'2020'!H8</f>
        <v>0</v>
      </c>
      <c r="J8" s="436" t="n">
        <f aca="false">IF(I8=0,0,'2021'!H8/'2020'!H8-1)</f>
        <v>0</v>
      </c>
      <c r="K8" s="437" t="n">
        <f aca="false">'2021'!J8-'2020'!J8</f>
        <v>-4</v>
      </c>
      <c r="L8" s="436" t="n">
        <f aca="false">IF('2021'!J8=0,0,IF('2020'!J8=0,0,'2021'!J8/'2020'!J8-1))</f>
        <v>-0.444444444444444</v>
      </c>
      <c r="M8" s="437" t="n">
        <f aca="false">'2021'!L8-'2020'!L8</f>
        <v>0</v>
      </c>
      <c r="N8" s="436" t="n">
        <f aca="false">IF('2021'!L8=0,0,IF('2020'!L8=0,0,'2021'!L8/'2020'!L8-1))</f>
        <v>0</v>
      </c>
      <c r="O8" s="437" t="n">
        <f aca="false">IF('2020'!N8="-",0,'2021'!N8-'2020'!N8)</f>
        <v>0</v>
      </c>
      <c r="P8" s="438" t="n">
        <f aca="false">IF('2021'!N8=0,0,IF('2020'!N8="-",0,'2021'!N8/'2020'!N8-1))</f>
        <v>0</v>
      </c>
      <c r="Q8" s="295"/>
      <c r="R8" s="296"/>
      <c r="S8" s="295"/>
      <c r="T8" s="296"/>
      <c r="U8" s="297" t="s">
        <v>73</v>
      </c>
      <c r="V8" s="298" t="s">
        <v>73</v>
      </c>
      <c r="W8" s="297" t="s">
        <v>73</v>
      </c>
      <c r="X8" s="299" t="s">
        <v>73</v>
      </c>
      <c r="Y8" s="82"/>
    </row>
    <row r="9" customFormat="false" ht="15" hidden="false" customHeight="true" outlineLevel="0" collapsed="false">
      <c r="B9" s="272"/>
      <c r="C9" s="212"/>
      <c r="D9" s="422"/>
      <c r="E9" s="431" t="s">
        <v>158</v>
      </c>
      <c r="F9" s="432"/>
      <c r="G9" s="433"/>
      <c r="H9" s="434"/>
      <c r="I9" s="435"/>
      <c r="J9" s="436"/>
      <c r="K9" s="437"/>
      <c r="L9" s="436"/>
      <c r="M9" s="437"/>
      <c r="N9" s="436"/>
      <c r="O9" s="437"/>
      <c r="P9" s="438"/>
      <c r="Q9" s="295"/>
      <c r="R9" s="296"/>
      <c r="S9" s="295"/>
      <c r="T9" s="296"/>
      <c r="U9" s="297"/>
      <c r="V9" s="298"/>
      <c r="W9" s="297"/>
      <c r="X9" s="299"/>
      <c r="Y9" s="82"/>
    </row>
    <row r="10" customFormat="false" ht="15" hidden="false" customHeight="true" outlineLevel="0" collapsed="false">
      <c r="B10" s="272"/>
      <c r="C10" s="212"/>
      <c r="D10" s="422"/>
      <c r="E10" s="431" t="s">
        <v>76</v>
      </c>
      <c r="F10" s="432" t="s">
        <v>70</v>
      </c>
      <c r="G10" s="433" t="n">
        <f aca="false">'2021'!G10-'2020'!G10</f>
        <v>-1</v>
      </c>
      <c r="H10" s="434" t="n">
        <f aca="false">IF('2021'!G10=0,0,IF('2020'!G10=0,0,'2021'!G10/'2020'!G10-1))</f>
        <v>-0.0714285714285714</v>
      </c>
      <c r="I10" s="435" t="n">
        <f aca="false">'2021'!H10-'2020'!H10</f>
        <v>-1</v>
      </c>
      <c r="J10" s="436" t="n">
        <f aca="false">IF(I10=0,0,'2021'!H10/'2020'!H10-1)</f>
        <v>-0.111111111111111</v>
      </c>
      <c r="K10" s="437" t="n">
        <f aca="false">'2021'!J10-'2020'!J10</f>
        <v>6</v>
      </c>
      <c r="L10" s="436" t="n">
        <f aca="false">IF('2021'!J10=0,0,IF('2020'!J10=0,0,'2021'!J10/'2020'!J10-1))</f>
        <v>6</v>
      </c>
      <c r="M10" s="437" t="n">
        <f aca="false">'2021'!L10-'2020'!L10</f>
        <v>5</v>
      </c>
      <c r="N10" s="436" t="n">
        <f aca="false">IF('2021'!L10=0,0,IF('2020'!L10=0,0,'2021'!L10/'2020'!L10-1))</f>
        <v>5</v>
      </c>
      <c r="O10" s="437" t="n">
        <f aca="false">IF('2020'!N10="-",0,'2021'!N10-'2020'!N10)</f>
        <v>0</v>
      </c>
      <c r="P10" s="438" t="n">
        <f aca="false">IF('2021'!N10=0,0,IF('2020'!N10="-",0,'2021'!N10/'2020'!N10-1))</f>
        <v>0</v>
      </c>
      <c r="Q10" s="295"/>
      <c r="R10" s="296"/>
      <c r="S10" s="295"/>
      <c r="T10" s="296"/>
      <c r="U10" s="297" t="s">
        <v>73</v>
      </c>
      <c r="V10" s="298" t="s">
        <v>73</v>
      </c>
      <c r="W10" s="297" t="s">
        <v>73</v>
      </c>
      <c r="X10" s="299" t="s">
        <v>73</v>
      </c>
      <c r="Y10" s="82"/>
    </row>
    <row r="11" customFormat="false" ht="15" hidden="false" customHeight="true" outlineLevel="0" collapsed="false">
      <c r="B11" s="272"/>
      <c r="C11" s="212"/>
      <c r="D11" s="422"/>
      <c r="E11" s="431" t="s">
        <v>77</v>
      </c>
      <c r="F11" s="432" t="s">
        <v>70</v>
      </c>
      <c r="G11" s="433" t="n">
        <f aca="false">'2021'!G11-'2020'!G11</f>
        <v>0</v>
      </c>
      <c r="H11" s="434" t="n">
        <f aca="false">IF('2021'!G11=0,0,IF('2020'!G11=0,0,'2021'!G11/'2020'!G11-1))</f>
        <v>0</v>
      </c>
      <c r="I11" s="435" t="n">
        <f aca="false">'2021'!H11-'2020'!H11</f>
        <v>4</v>
      </c>
      <c r="J11" s="436" t="n">
        <f aca="false">IF(I11=0,0,'2021'!H11/'2020'!H11-1)</f>
        <v>0.25</v>
      </c>
      <c r="K11" s="437" t="n">
        <f aca="false">'2021'!J11-'2020'!J11</f>
        <v>6</v>
      </c>
      <c r="L11" s="436" t="n">
        <f aca="false">IF('2021'!J11=0,0,IF('2020'!J11=0,0,'2021'!J11/'2020'!J11-1))</f>
        <v>6</v>
      </c>
      <c r="M11" s="437" t="n">
        <f aca="false">'2021'!L11-'2020'!L11</f>
        <v>2</v>
      </c>
      <c r="N11" s="436" t="n">
        <f aca="false">IF('2021'!L11=0,0,IF('2020'!L11=0,0,'2021'!L11/'2020'!L11-1))</f>
        <v>0.4</v>
      </c>
      <c r="O11" s="437" t="n">
        <f aca="false">IF('2020'!N11="-",0,'2021'!N11-'2020'!N11)</f>
        <v>0</v>
      </c>
      <c r="P11" s="438" t="n">
        <f aca="false">IF('2021'!N11=0,0,IF('2020'!N11="-",0,'2021'!N11/'2020'!N11-1))</f>
        <v>0</v>
      </c>
      <c r="Q11" s="295"/>
      <c r="R11" s="296"/>
      <c r="S11" s="295"/>
      <c r="T11" s="296"/>
      <c r="U11" s="297" t="s">
        <v>73</v>
      </c>
      <c r="V11" s="298" t="s">
        <v>73</v>
      </c>
      <c r="W11" s="297" t="s">
        <v>73</v>
      </c>
      <c r="X11" s="299" t="s">
        <v>73</v>
      </c>
      <c r="Y11" s="82"/>
    </row>
    <row r="12" customFormat="false" ht="15" hidden="false" customHeight="true" outlineLevel="0" collapsed="false">
      <c r="B12" s="272"/>
      <c r="C12" s="212"/>
      <c r="D12" s="422"/>
      <c r="E12" s="431" t="s">
        <v>78</v>
      </c>
      <c r="F12" s="432" t="s">
        <v>70</v>
      </c>
      <c r="G12" s="433" t="n">
        <f aca="false">'2021'!G12-'2020'!G12</f>
        <v>4</v>
      </c>
      <c r="H12" s="434" t="n">
        <f aca="false">IF('2021'!G12=0,0,IF('2020'!G12=0,0,'2021'!G12/'2020'!G12-1))</f>
        <v>0.137931034482759</v>
      </c>
      <c r="I12" s="435" t="n">
        <f aca="false">'2021'!H12-'2020'!H12</f>
        <v>4</v>
      </c>
      <c r="J12" s="436" t="n">
        <f aca="false">IF(I12=0,0,'2021'!H12/'2020'!H12-1)</f>
        <v>0.19047619047619</v>
      </c>
      <c r="K12" s="437" t="n">
        <f aca="false">'2021'!J12-'2020'!J12</f>
        <v>0</v>
      </c>
      <c r="L12" s="436" t="n">
        <f aca="false">IF('2021'!J12=0,0,IF('2020'!J12=0,0,'2021'!J12/'2020'!J12-1))</f>
        <v>0</v>
      </c>
      <c r="M12" s="437" t="n">
        <f aca="false">'2021'!L12-'2020'!L12</f>
        <v>-5</v>
      </c>
      <c r="N12" s="436" t="n">
        <f aca="false">IF('2021'!L12=0,0,IF('2020'!L12=0,0,'2021'!L12/'2020'!L12-1))</f>
        <v>-0.416666666666667</v>
      </c>
      <c r="O12" s="437" t="n">
        <f aca="false">IF('2020'!N12="-",0,'2021'!N12-'2020'!N12)</f>
        <v>0</v>
      </c>
      <c r="P12" s="438" t="n">
        <f aca="false">IF('2021'!N12=0,0,IF('2020'!N12="-",0,'2021'!N12/'2020'!N12-1))</f>
        <v>0</v>
      </c>
      <c r="Q12" s="295"/>
      <c r="R12" s="296"/>
      <c r="S12" s="295"/>
      <c r="T12" s="296"/>
      <c r="U12" s="297" t="s">
        <v>73</v>
      </c>
      <c r="V12" s="298" t="s">
        <v>73</v>
      </c>
      <c r="W12" s="297" t="s">
        <v>73</v>
      </c>
      <c r="X12" s="299" t="s">
        <v>73</v>
      </c>
      <c r="Y12" s="82"/>
    </row>
    <row r="13" customFormat="false" ht="15" hidden="false" customHeight="true" outlineLevel="0" collapsed="false">
      <c r="B13" s="272"/>
      <c r="C13" s="212"/>
      <c r="D13" s="422"/>
      <c r="E13" s="431" t="s">
        <v>79</v>
      </c>
      <c r="F13" s="432" t="s">
        <v>70</v>
      </c>
      <c r="G13" s="433" t="n">
        <f aca="false">'2021'!G13-'2020'!G13</f>
        <v>5</v>
      </c>
      <c r="H13" s="434" t="n">
        <f aca="false">IF('2021'!G13=0,0,IF('2020'!G13=0,0,'2021'!G13/'2020'!G13-1))</f>
        <v>0.185185185185185</v>
      </c>
      <c r="I13" s="435" t="n">
        <f aca="false">'2021'!H13-'2020'!H13</f>
        <v>0</v>
      </c>
      <c r="J13" s="436" t="n">
        <f aca="false">IF(I13=0,0,'2021'!H13/'2020'!H13-1)</f>
        <v>0</v>
      </c>
      <c r="K13" s="437" t="n">
        <f aca="false">'2021'!J13-'2020'!J13</f>
        <v>-2</v>
      </c>
      <c r="L13" s="436" t="n">
        <f aca="false">IF('2021'!J13=0,0,IF('2020'!J13=0,0,'2021'!J13/'2020'!J13-1))</f>
        <v>-0.285714285714286</v>
      </c>
      <c r="M13" s="437" t="n">
        <f aca="false">'2021'!L13-'2020'!L13</f>
        <v>-1</v>
      </c>
      <c r="N13" s="436" t="n">
        <f aca="false">IF('2021'!L13=0,0,IF('2020'!L13=0,0,'2021'!L13/'2020'!L13-1))</f>
        <v>-0.0769230769230769</v>
      </c>
      <c r="O13" s="437" t="n">
        <f aca="false">IF('2020'!N13="-",0,'2021'!N13-'2020'!N13)</f>
        <v>0</v>
      </c>
      <c r="P13" s="438" t="n">
        <f aca="false">IF('2021'!N13=0,0,IF('2020'!N13="-",0,'2021'!N13/'2020'!N13-1))</f>
        <v>0</v>
      </c>
      <c r="Q13" s="295"/>
      <c r="R13" s="296"/>
      <c r="S13" s="295"/>
      <c r="T13" s="296"/>
      <c r="U13" s="297" t="s">
        <v>73</v>
      </c>
      <c r="V13" s="298" t="s">
        <v>73</v>
      </c>
      <c r="W13" s="297" t="s">
        <v>73</v>
      </c>
      <c r="X13" s="299" t="s">
        <v>73</v>
      </c>
      <c r="Y13" s="82"/>
    </row>
    <row r="14" customFormat="false" ht="15" hidden="false" customHeight="true" outlineLevel="0" collapsed="false">
      <c r="B14" s="272"/>
      <c r="C14" s="212"/>
      <c r="D14" s="422"/>
      <c r="E14" s="439" t="s">
        <v>80</v>
      </c>
      <c r="F14" s="440" t="s">
        <v>70</v>
      </c>
      <c r="G14" s="441"/>
      <c r="H14" s="442"/>
      <c r="I14" s="443"/>
      <c r="J14" s="444"/>
      <c r="K14" s="445"/>
      <c r="L14" s="444"/>
      <c r="M14" s="445"/>
      <c r="N14" s="444"/>
      <c r="O14" s="445"/>
      <c r="P14" s="446"/>
      <c r="Q14" s="308"/>
      <c r="R14" s="309"/>
      <c r="S14" s="308"/>
      <c r="T14" s="309"/>
      <c r="U14" s="310"/>
      <c r="V14" s="311"/>
      <c r="W14" s="310"/>
      <c r="X14" s="312"/>
      <c r="Y14" s="82"/>
    </row>
    <row r="15" customFormat="false" ht="15.75" hidden="false" customHeight="false" outlineLevel="0" collapsed="false">
      <c r="B15" s="272"/>
      <c r="C15" s="212"/>
      <c r="D15" s="422" t="s">
        <v>81</v>
      </c>
      <c r="E15" s="447"/>
      <c r="F15" s="448"/>
      <c r="G15" s="449" t="n">
        <f aca="false">'2021'!G15-'2020'!G15</f>
        <v>123</v>
      </c>
      <c r="H15" s="450" t="n">
        <f aca="false">IF('2021'!G15=0,0,IF('2020'!G15=0,0,'2021'!G15/'2020'!G15-1))</f>
        <v>0.715116279069767</v>
      </c>
      <c r="I15" s="451" t="n">
        <f aca="false">'2021'!H15-'2020'!H15</f>
        <v>82</v>
      </c>
      <c r="J15" s="452" t="n">
        <f aca="false">IF(I15=0,0,'2021'!H15/'2020'!H15-1)</f>
        <v>0.738738738738739</v>
      </c>
      <c r="K15" s="453" t="n">
        <f aca="false">'2021'!J15-'2020'!J15</f>
        <v>32</v>
      </c>
      <c r="L15" s="452" t="n">
        <f aca="false">IF('2021'!J15=0,0,IF('2020'!J15=0,0,'2021'!J15/'2020'!J15-1))</f>
        <v>0.761904761904762</v>
      </c>
      <c r="M15" s="453" t="n">
        <f aca="false">'2021'!L15-'2020'!L15</f>
        <v>34</v>
      </c>
      <c r="N15" s="452" t="n">
        <f aca="false">IF('2021'!L15=0,0,IF('2020'!L15=0,0,'2021'!L15/'2020'!L15-1))</f>
        <v>0.641509433962264</v>
      </c>
      <c r="O15" s="453" t="n">
        <f aca="false">IF('2020'!N15="-",0,'2021'!N15-'2020'!N15)</f>
        <v>0</v>
      </c>
      <c r="P15" s="454" t="n">
        <f aca="false">IF('2021'!N15=0,0,IF('2020'!N15="-",0,'2021'!N15/'2020'!N15-1))</f>
        <v>0</v>
      </c>
      <c r="Q15" s="455"/>
      <c r="R15" s="456"/>
      <c r="S15" s="455"/>
      <c r="T15" s="456"/>
      <c r="U15" s="359"/>
      <c r="V15" s="360"/>
      <c r="W15" s="359"/>
      <c r="X15" s="361"/>
      <c r="Y15" s="82"/>
    </row>
    <row r="16" customFormat="false" ht="15" hidden="false" customHeight="true" outlineLevel="0" collapsed="false">
      <c r="B16" s="320" t="s">
        <v>146</v>
      </c>
      <c r="C16" s="321" t="s">
        <v>68</v>
      </c>
      <c r="D16" s="457" t="n">
        <v>8</v>
      </c>
      <c r="E16" s="423" t="s">
        <v>83</v>
      </c>
      <c r="F16" s="424" t="s">
        <v>70</v>
      </c>
      <c r="G16" s="425" t="n">
        <f aca="false">'2021'!G16-'2020'!G16</f>
        <v>9</v>
      </c>
      <c r="H16" s="426" t="n">
        <f aca="false">IF('2021'!G16=0,0,IF('2020'!G16=0,0,'2021'!G16/'2020'!G16-1))</f>
        <v>0.243243243243243</v>
      </c>
      <c r="I16" s="427" t="n">
        <f aca="false">'2021'!H16-'2020'!H16</f>
        <v>9</v>
      </c>
      <c r="J16" s="428" t="n">
        <f aca="false">IF('2021'!H16=0,0,IF('2020'!H16=0,0,'2021'!H16/'2020'!H16-1))</f>
        <v>0.391304347826087</v>
      </c>
      <c r="K16" s="429" t="n">
        <f aca="false">'2021'!J16-'2020'!J16</f>
        <v>15.94</v>
      </c>
      <c r="L16" s="428" t="n">
        <f aca="false">IF('2021'!J16=0,0,IF('2020'!J16=0,0,'2021'!J16/'2020'!J16-1))</f>
        <v>1.13371266002845</v>
      </c>
      <c r="M16" s="429" t="n">
        <f aca="false">'2021'!L16-'2020'!L16</f>
        <v>3.08</v>
      </c>
      <c r="N16" s="428" t="n">
        <f aca="false">IF('2021'!L16=0,0,IF('2020'!L16=0,0,'2021'!L16/'2020'!L16-1))</f>
        <v>0.52027027027027</v>
      </c>
      <c r="O16" s="429" t="n">
        <f aca="false">IF('2020'!N16="-",0,'2021'!N16-'2020'!N16)</f>
        <v>3.08</v>
      </c>
      <c r="P16" s="430" t="n">
        <f aca="false">IF('2021'!N16=0,0,IF('2020'!N16="-",0,'2021'!N16/'2020'!N16-1))</f>
        <v>0.52027027027027</v>
      </c>
      <c r="Q16" s="282"/>
      <c r="R16" s="283"/>
      <c r="S16" s="282"/>
      <c r="T16" s="283"/>
      <c r="U16" s="284" t="s">
        <v>73</v>
      </c>
      <c r="V16" s="285" t="s">
        <v>73</v>
      </c>
      <c r="W16" s="284" t="s">
        <v>73</v>
      </c>
      <c r="X16" s="286" t="s">
        <v>73</v>
      </c>
      <c r="Y16" s="82"/>
    </row>
    <row r="17" customFormat="false" ht="15" hidden="false" customHeight="false" outlineLevel="0" collapsed="false">
      <c r="B17" s="320"/>
      <c r="C17" s="321"/>
      <c r="D17" s="457"/>
      <c r="E17" s="431" t="s">
        <v>84</v>
      </c>
      <c r="F17" s="432" t="s">
        <v>70</v>
      </c>
      <c r="G17" s="433" t="n">
        <f aca="false">'2021'!G17-'2020'!G17</f>
        <v>-5</v>
      </c>
      <c r="H17" s="434" t="n">
        <f aca="false">IF('2021'!G17=0,0,IF('2020'!G17=0,0,'2021'!G17/'2020'!G17-1))</f>
        <v>-0.151515151515152</v>
      </c>
      <c r="I17" s="435" t="n">
        <f aca="false">'2021'!H17-'2020'!H17</f>
        <v>2</v>
      </c>
      <c r="J17" s="436" t="n">
        <f aca="false">IF(I17=0,0,'2021'!H17/'2020'!H17-1)</f>
        <v>0.133333333333333</v>
      </c>
      <c r="K17" s="437" t="n">
        <f aca="false">'2021'!J17-'2020'!J17</f>
        <v>8.1</v>
      </c>
      <c r="L17" s="436" t="n">
        <f aca="false">IF('2021'!J17=0,0,IF('2020'!J17=0,0,'2021'!J17/'2020'!J17-1))</f>
        <v>0.818181818181818</v>
      </c>
      <c r="M17" s="437" t="n">
        <f aca="false">'2021'!L17-'2020'!L17</f>
        <v>6.03</v>
      </c>
      <c r="N17" s="436" t="n">
        <f aca="false">IF('2021'!L17=0,0,IF('2020'!L17=0,0,'2021'!L17/'2020'!L17-1))</f>
        <v>2.03030303030303</v>
      </c>
      <c r="O17" s="437" t="n">
        <f aca="false">IF('2020'!N17="-",0,'2021'!N17-'2020'!N17)</f>
        <v>4.03</v>
      </c>
      <c r="P17" s="438" t="n">
        <f aca="false">IF('2021'!N17=0,0,IF('2020'!N17="-",0,'2021'!N17/'2020'!N17-1))</f>
        <v>1.35690235690236</v>
      </c>
      <c r="Q17" s="295"/>
      <c r="R17" s="296"/>
      <c r="S17" s="295"/>
      <c r="T17" s="296"/>
      <c r="U17" s="297" t="s">
        <v>73</v>
      </c>
      <c r="V17" s="298" t="s">
        <v>73</v>
      </c>
      <c r="W17" s="297" t="s">
        <v>73</v>
      </c>
      <c r="X17" s="299" t="s">
        <v>73</v>
      </c>
      <c r="Y17" s="82"/>
    </row>
    <row r="18" customFormat="false" ht="15" hidden="false" customHeight="false" outlineLevel="0" collapsed="false">
      <c r="B18" s="320"/>
      <c r="C18" s="321"/>
      <c r="D18" s="457"/>
      <c r="E18" s="431" t="s">
        <v>85</v>
      </c>
      <c r="F18" s="432" t="s">
        <v>70</v>
      </c>
      <c r="G18" s="433" t="n">
        <f aca="false">'2021'!G18-'2020'!G18</f>
        <v>-1</v>
      </c>
      <c r="H18" s="434" t="n">
        <f aca="false">IF('2021'!G18=0,0,IF('2020'!G18=0,0,'2021'!G18/'2020'!G18-1))</f>
        <v>-0.166666666666667</v>
      </c>
      <c r="I18" s="435" t="n">
        <f aca="false">'2021'!H18-'2020'!H18</f>
        <v>0</v>
      </c>
      <c r="J18" s="436" t="n">
        <f aca="false">IF(I18=0,0,'2021'!H18/'2020'!H18-1)</f>
        <v>0</v>
      </c>
      <c r="K18" s="437" t="n">
        <f aca="false">'2021'!J18-'2020'!J18</f>
        <v>3</v>
      </c>
      <c r="L18" s="436" t="n">
        <f aca="false">IF('2021'!J18=0,0,IF('2020'!J18=0,0,'2021'!J18/'2020'!J18-1))</f>
        <v>0</v>
      </c>
      <c r="M18" s="437" t="n">
        <f aca="false">'2021'!L18-'2020'!L18</f>
        <v>1</v>
      </c>
      <c r="N18" s="436" t="n">
        <f aca="false">IF('2021'!L18=0,0,IF('2020'!L18=0,0,'2021'!L18/'2020'!L18-1))</f>
        <v>0</v>
      </c>
      <c r="O18" s="437" t="n">
        <f aca="false">IF('2020'!N18="-",0,'2021'!N18-'2020'!N18)</f>
        <v>0</v>
      </c>
      <c r="P18" s="438" t="n">
        <f aca="false">IF('2021'!N18=0,0,IF('2020'!N18="-",0,'2021'!N18/'2020'!N18-1))</f>
        <v>0</v>
      </c>
      <c r="Q18" s="295"/>
      <c r="R18" s="296"/>
      <c r="S18" s="295"/>
      <c r="T18" s="296"/>
      <c r="U18" s="297" t="s">
        <v>73</v>
      </c>
      <c r="V18" s="298" t="s">
        <v>73</v>
      </c>
      <c r="W18" s="297" t="s">
        <v>73</v>
      </c>
      <c r="X18" s="299" t="s">
        <v>73</v>
      </c>
      <c r="Y18" s="82"/>
    </row>
    <row r="19" customFormat="false" ht="15" hidden="false" customHeight="false" outlineLevel="0" collapsed="false">
      <c r="B19" s="320"/>
      <c r="C19" s="321"/>
      <c r="D19" s="457"/>
      <c r="E19" s="431" t="s">
        <v>86</v>
      </c>
      <c r="F19" s="432" t="s">
        <v>70</v>
      </c>
      <c r="G19" s="433" t="n">
        <f aca="false">'2021'!G19-'2020'!G19</f>
        <v>20</v>
      </c>
      <c r="H19" s="434" t="n">
        <f aca="false">IF('2021'!G19=0,0,IF('2020'!G19=0,0,'2021'!G19/'2020'!G19-1))</f>
        <v>0.8</v>
      </c>
      <c r="I19" s="435" t="n">
        <f aca="false">'2021'!H19-'2020'!H19</f>
        <v>11</v>
      </c>
      <c r="J19" s="436" t="n">
        <f aca="false">IF(I19=0,0,'2021'!H19/'2020'!H19-1)</f>
        <v>0.733333333333333</v>
      </c>
      <c r="K19" s="437" t="n">
        <f aca="false">'2021'!J19-'2020'!J19</f>
        <v>5</v>
      </c>
      <c r="L19" s="436" t="n">
        <f aca="false">IF('2021'!J19=0,0,IF('2020'!J19=0,0,'2021'!J19/'2020'!J19-1))</f>
        <v>0.714285714285714</v>
      </c>
      <c r="M19" s="437" t="n">
        <f aca="false">'2021'!L19-'2020'!L19</f>
        <v>8</v>
      </c>
      <c r="N19" s="436" t="n">
        <f aca="false">IF('2021'!L19=0,0,IF('2020'!L19=0,0,'2021'!L19/'2020'!L19-1))</f>
        <v>2</v>
      </c>
      <c r="O19" s="437" t="n">
        <f aca="false">IF('2020'!N19="-",0,'2021'!N19-'2020'!N19)</f>
        <v>2</v>
      </c>
      <c r="P19" s="438" t="n">
        <f aca="false">IF('2021'!N19=0,0,IF('2020'!N19="-",0,'2021'!N19/'2020'!N19-1))</f>
        <v>2</v>
      </c>
      <c r="Q19" s="295"/>
      <c r="R19" s="296"/>
      <c r="S19" s="295"/>
      <c r="T19" s="296"/>
      <c r="U19" s="297" t="s">
        <v>73</v>
      </c>
      <c r="V19" s="298" t="s">
        <v>73</v>
      </c>
      <c r="W19" s="297" t="s">
        <v>73</v>
      </c>
      <c r="X19" s="299" t="s">
        <v>73</v>
      </c>
      <c r="Y19" s="82"/>
    </row>
    <row r="20" customFormat="false" ht="15" hidden="false" customHeight="false" outlineLevel="0" collapsed="false">
      <c r="B20" s="320"/>
      <c r="C20" s="321"/>
      <c r="D20" s="457"/>
      <c r="E20" s="431" t="s">
        <v>87</v>
      </c>
      <c r="F20" s="432" t="s">
        <v>70</v>
      </c>
      <c r="G20" s="433" t="n">
        <f aca="false">'2021'!G20-'2020'!G20</f>
        <v>-1</v>
      </c>
      <c r="H20" s="434" t="n">
        <f aca="false">IF('2021'!G20=0,0,IF('2020'!G20=0,0,'2021'!G20/'2020'!G20-1))</f>
        <v>-0.0666666666666667</v>
      </c>
      <c r="I20" s="435" t="n">
        <f aca="false">'2021'!H20-'2020'!H20</f>
        <v>0</v>
      </c>
      <c r="J20" s="436" t="n">
        <f aca="false">IF(I20=0,0,'2021'!H20/'2020'!H20-1)</f>
        <v>0</v>
      </c>
      <c r="K20" s="437" t="n">
        <f aca="false">'2021'!J20-'2020'!J20</f>
        <v>1.05</v>
      </c>
      <c r="L20" s="436" t="n">
        <f aca="false">IF('2021'!J20=0,0,IF('2020'!J20=0,0,'2021'!J20/'2020'!J20-1))</f>
        <v>0.538461538461538</v>
      </c>
      <c r="M20" s="437" t="n">
        <f aca="false">'2021'!L20-'2020'!L20</f>
        <v>0.95</v>
      </c>
      <c r="N20" s="436" t="n">
        <f aca="false">IF('2021'!L20=0,0,IF('2020'!L20=0,0,'2021'!L20/'2020'!L20-1))</f>
        <v>0.904761904761905</v>
      </c>
      <c r="O20" s="437" t="n">
        <f aca="false">IF('2020'!N20="-",0,'2021'!N20-'2020'!N20)</f>
        <v>0</v>
      </c>
      <c r="P20" s="438" t="n">
        <f aca="false">IF('2021'!N20=0,0,IF('2020'!N20="-",0,'2021'!N20/'2020'!N20-1))</f>
        <v>0</v>
      </c>
      <c r="Q20" s="295"/>
      <c r="R20" s="296"/>
      <c r="S20" s="295"/>
      <c r="T20" s="296"/>
      <c r="U20" s="297" t="s">
        <v>73</v>
      </c>
      <c r="V20" s="298" t="s">
        <v>73</v>
      </c>
      <c r="W20" s="297" t="s">
        <v>73</v>
      </c>
      <c r="X20" s="299" t="s">
        <v>73</v>
      </c>
      <c r="Y20" s="82"/>
    </row>
    <row r="21" customFormat="false" ht="15" hidden="false" customHeight="false" outlineLevel="0" collapsed="false">
      <c r="B21" s="320"/>
      <c r="C21" s="321"/>
      <c r="D21" s="457"/>
      <c r="E21" s="431" t="s">
        <v>88</v>
      </c>
      <c r="F21" s="432" t="s">
        <v>70</v>
      </c>
      <c r="G21" s="433" t="n">
        <f aca="false">'2021'!G21-'2020'!G21</f>
        <v>15</v>
      </c>
      <c r="H21" s="434" t="n">
        <f aca="false">IF('2021'!G21=0,0,IF('2020'!G21=0,0,'2021'!G21/'2020'!G21-1))</f>
        <v>0.9375</v>
      </c>
      <c r="I21" s="435" t="n">
        <f aca="false">'2021'!H21-'2020'!H21</f>
        <v>9</v>
      </c>
      <c r="J21" s="436" t="n">
        <f aca="false">IF(I21=0,0,'2021'!H21/'2020'!H21-1)</f>
        <v>0.642857142857143</v>
      </c>
      <c r="K21" s="437" t="n">
        <f aca="false">'2021'!J21-'2020'!J21</f>
        <v>10.92</v>
      </c>
      <c r="L21" s="436" t="n">
        <f aca="false">IF('2021'!J21=0,0,IF('2020'!J21=0,0,'2021'!J21/'2020'!J21-1))</f>
        <v>1.79605263157895</v>
      </c>
      <c r="M21" s="437" t="n">
        <f aca="false">'2021'!L21-'2020'!L21</f>
        <v>2.92</v>
      </c>
      <c r="N21" s="436" t="n">
        <f aca="false">IF('2021'!L21=0,0,IF('2020'!L21=0,0,'2021'!L21/'2020'!L21-1))</f>
        <v>1.40384615384615</v>
      </c>
      <c r="O21" s="437" t="n">
        <f aca="false">IF('2020'!N21="-",0,'2021'!N21-'2020'!N21)</f>
        <v>2.92</v>
      </c>
      <c r="P21" s="438" t="n">
        <f aca="false">IF('2021'!N21=0,0,IF('2020'!N21="-",0,'2021'!N21/'2020'!N21-1))</f>
        <v>1.40384615384615</v>
      </c>
      <c r="Q21" s="295"/>
      <c r="R21" s="296"/>
      <c r="S21" s="295"/>
      <c r="T21" s="296"/>
      <c r="U21" s="297" t="s">
        <v>73</v>
      </c>
      <c r="V21" s="298" t="s">
        <v>73</v>
      </c>
      <c r="W21" s="297" t="s">
        <v>73</v>
      </c>
      <c r="X21" s="299" t="s">
        <v>73</v>
      </c>
      <c r="Y21" s="82"/>
    </row>
    <row r="22" customFormat="false" ht="15" hidden="false" customHeight="false" outlineLevel="0" collapsed="false">
      <c r="B22" s="320"/>
      <c r="C22" s="321"/>
      <c r="D22" s="457"/>
      <c r="E22" s="431" t="s">
        <v>89</v>
      </c>
      <c r="F22" s="432" t="s">
        <v>70</v>
      </c>
      <c r="G22" s="433" t="n">
        <f aca="false">'2021'!G22-'2020'!G22</f>
        <v>5</v>
      </c>
      <c r="H22" s="434" t="n">
        <f aca="false">IF('2021'!G22=0,0,IF('2020'!G22=0,0,'2021'!G22/'2020'!G22-1))</f>
        <v>0.714285714285714</v>
      </c>
      <c r="I22" s="435" t="n">
        <f aca="false">'2021'!H22-'2020'!H22</f>
        <v>2</v>
      </c>
      <c r="J22" s="436" t="n">
        <f aca="false">IF(I22=0,0,'2021'!H22/'2020'!H22-1)</f>
        <v>0.4</v>
      </c>
      <c r="K22" s="437" t="n">
        <f aca="false">'2021'!J22-'2020'!J22</f>
        <v>3.02</v>
      </c>
      <c r="L22" s="436" t="n">
        <f aca="false">IF('2021'!J22=0,0,IF('2020'!J22=0,0,'2021'!J22/'2020'!J22-1))</f>
        <v>3.08163265306122</v>
      </c>
      <c r="M22" s="437" t="n">
        <f aca="false">'2021'!L22-'2020'!L22</f>
        <v>4</v>
      </c>
      <c r="N22" s="436" t="n">
        <f aca="false">IF('2021'!L22=0,0,IF('2020'!L22=0,0,'2021'!L22/'2020'!L22-1))</f>
        <v>0</v>
      </c>
      <c r="O22" s="437" t="n">
        <f aca="false">IF('2020'!N22="-",0,'2021'!N22-'2020'!N22)</f>
        <v>0</v>
      </c>
      <c r="P22" s="438" t="n">
        <f aca="false">IF('2021'!N22=0,0,IF('2020'!N22="-",0,'2021'!N22/'2020'!N22-1))</f>
        <v>0</v>
      </c>
      <c r="Q22" s="295"/>
      <c r="R22" s="296"/>
      <c r="S22" s="295"/>
      <c r="T22" s="296"/>
      <c r="U22" s="297" t="s">
        <v>73</v>
      </c>
      <c r="V22" s="298" t="s">
        <v>73</v>
      </c>
      <c r="W22" s="297" t="s">
        <v>73</v>
      </c>
      <c r="X22" s="299" t="s">
        <v>73</v>
      </c>
      <c r="Y22" s="82"/>
    </row>
    <row r="23" customFormat="false" ht="15" hidden="false" customHeight="false" outlineLevel="0" collapsed="false">
      <c r="B23" s="320"/>
      <c r="C23" s="321"/>
      <c r="D23" s="457"/>
      <c r="E23" s="439" t="s">
        <v>90</v>
      </c>
      <c r="F23" s="440" t="s">
        <v>70</v>
      </c>
      <c r="G23" s="441" t="n">
        <f aca="false">'2021'!G23-'2020'!G23</f>
        <v>-3</v>
      </c>
      <c r="H23" s="442" t="n">
        <f aca="false">IF('2021'!G23=0,0,IF('2020'!G23=0,0,'2021'!G23/'2020'!G23-1))</f>
        <v>-0.15</v>
      </c>
      <c r="I23" s="443" t="n">
        <f aca="false">'2021'!H23-'2020'!H23</f>
        <v>0</v>
      </c>
      <c r="J23" s="444" t="n">
        <f aca="false">IF(I23=0,0,'2021'!H23/'2020'!H23-1)</f>
        <v>0</v>
      </c>
      <c r="K23" s="445" t="n">
        <f aca="false">'2021'!J23-'2020'!J23</f>
        <v>2</v>
      </c>
      <c r="L23" s="444" t="n">
        <f aca="false">IF('2021'!J23=0,0,IF('2020'!J23=0,0,'2021'!J23/'2020'!J23-1))</f>
        <v>0.4</v>
      </c>
      <c r="M23" s="445" t="n">
        <f aca="false">'2021'!L23-'2020'!L23</f>
        <v>1</v>
      </c>
      <c r="N23" s="444" t="n">
        <f aca="false">IF('2021'!L23=0,0,IF('2020'!L23=0,0,'2021'!L23/'2020'!L23-1))</f>
        <v>0.333333333333333</v>
      </c>
      <c r="O23" s="445" t="n">
        <f aca="false">IF('2020'!N23="-",0,'2021'!N23-'2020'!N23)</f>
        <v>0.01</v>
      </c>
      <c r="P23" s="446" t="n">
        <f aca="false">IF('2021'!N23=0,0,IF('2020'!N23="-",0,'2021'!N23/'2020'!N23-1))</f>
        <v>0.0101010101010102</v>
      </c>
      <c r="Q23" s="308"/>
      <c r="R23" s="309"/>
      <c r="S23" s="308"/>
      <c r="T23" s="309"/>
      <c r="U23" s="310" t="s">
        <v>73</v>
      </c>
      <c r="V23" s="311" t="s">
        <v>73</v>
      </c>
      <c r="W23" s="310" t="s">
        <v>73</v>
      </c>
      <c r="X23" s="312" t="s">
        <v>73</v>
      </c>
      <c r="Y23" s="82"/>
    </row>
    <row r="24" customFormat="false" ht="16.5" hidden="false" customHeight="false" outlineLevel="0" collapsed="false">
      <c r="B24" s="320"/>
      <c r="C24" s="321"/>
      <c r="D24" s="458" t="s">
        <v>81</v>
      </c>
      <c r="E24" s="459"/>
      <c r="F24" s="460"/>
      <c r="G24" s="461" t="n">
        <f aca="false">'2021'!G24-'2020'!G24</f>
        <v>39</v>
      </c>
      <c r="H24" s="462" t="n">
        <f aca="false">IF('2021'!G24=0,0,IF('2020'!G24=0,0,'2021'!G24/'2020'!G24-1))</f>
        <v>0.245283018867924</v>
      </c>
      <c r="I24" s="463" t="n">
        <f aca="false">'2021'!H24-'2020'!H24</f>
        <v>33</v>
      </c>
      <c r="J24" s="464" t="n">
        <f aca="false">IF(I24=0,0,'2021'!H24/'2020'!H24-1)</f>
        <v>0.347368421052632</v>
      </c>
      <c r="K24" s="465" t="n">
        <f aca="false">'2021'!J24-'2020'!J24</f>
        <v>49.03</v>
      </c>
      <c r="L24" s="464" t="n">
        <f aca="false">IF('2021'!J24=0,0,IF('2020'!J24=0,0,'2021'!J24/'2020'!J24-1))</f>
        <v>1.09028241049589</v>
      </c>
      <c r="M24" s="465" t="n">
        <f aca="false">'2021'!L24-'2020'!L24</f>
        <v>26.98</v>
      </c>
      <c r="N24" s="464" t="n">
        <f aca="false">IF('2021'!L24=0,0,IF('2020'!L24=0,0,'2021'!L24/'2020'!L24-1))</f>
        <v>1.41850683491062</v>
      </c>
      <c r="O24" s="465" t="n">
        <f aca="false">IF('2020'!N24="-",0,'2021'!N24-'2020'!N24)</f>
        <v>16.04</v>
      </c>
      <c r="P24" s="466" t="n">
        <f aca="false">IF('2021'!N24=0,0,IF('2020'!N24="-",0,'2021'!N24/'2020'!N24-1))</f>
        <v>1.23765432098765</v>
      </c>
      <c r="Q24" s="467"/>
      <c r="R24" s="468"/>
      <c r="S24" s="467"/>
      <c r="T24" s="468"/>
      <c r="U24" s="389"/>
      <c r="V24" s="390"/>
      <c r="W24" s="389"/>
      <c r="X24" s="391"/>
      <c r="Y24" s="82"/>
    </row>
    <row r="25" s="155" customFormat="true" ht="21" hidden="false" customHeight="true" outlineLevel="0" collapsed="false">
      <c r="A25" s="22"/>
      <c r="B25" s="140" t="s">
        <v>91</v>
      </c>
      <c r="C25" s="141"/>
      <c r="D25" s="469" t="n">
        <f aca="false">SUM(D5:D23)</f>
        <v>18</v>
      </c>
      <c r="E25" s="470" t="n">
        <f aca="false">COUNT(G5:G23)</f>
        <v>17</v>
      </c>
      <c r="F25" s="471" t="n">
        <f aca="false">COUNT(K5:K23)</f>
        <v>17</v>
      </c>
      <c r="G25" s="472" t="n">
        <f aca="false">G5+G15+G24</f>
        <v>201</v>
      </c>
      <c r="H25" s="473" t="n">
        <f aca="false">IF('2021'!G25=0,0,IF('2020'!G25=0,0,'2021'!G25/'2020'!G25-1))</f>
        <v>0.510152284263959</v>
      </c>
      <c r="I25" s="474" t="n">
        <f aca="false">I5+I15+I24</f>
        <v>180</v>
      </c>
      <c r="J25" s="475" t="n">
        <f aca="false">IF(I25=0,0,'2021'!H25/'2020'!H25-1)</f>
        <v>0.765957446808511</v>
      </c>
      <c r="K25" s="476" t="n">
        <f aca="false">K5+K15+K24</f>
        <v>81.03</v>
      </c>
      <c r="L25" s="475" t="n">
        <f aca="false">IF('2021'!J25=0,0,IF('2020'!J25=0,0,'2021'!J25/'2020'!J25-1))</f>
        <v>0.910756434753288</v>
      </c>
      <c r="M25" s="476" t="n">
        <f aca="false">M5+M15+M24</f>
        <v>61.98</v>
      </c>
      <c r="N25" s="475" t="n">
        <f aca="false">IF('2021'!L25=0,0,IF('2020'!L25=0,0,'2021'!L25/'2020'!L25-1))</f>
        <v>0.696248034149629</v>
      </c>
      <c r="O25" s="476" t="n">
        <f aca="false">O5+O15+O24</f>
        <v>16.04</v>
      </c>
      <c r="P25" s="477" t="n">
        <f aca="false">IF('2021'!N25=0,0,IF('2020'!N25="-",0,'2021'!N25/'2020'!N25-1))</f>
        <v>1.07219251336898</v>
      </c>
      <c r="Q25" s="478"/>
      <c r="R25" s="479"/>
      <c r="S25" s="478"/>
      <c r="T25" s="479"/>
      <c r="U25" s="480"/>
      <c r="V25" s="481"/>
      <c r="W25" s="480"/>
      <c r="X25" s="482"/>
      <c r="Y25" s="154"/>
    </row>
    <row r="26" customFormat="false" ht="15" hidden="false" customHeight="true" outlineLevel="0" collapsed="false">
      <c r="B26" s="156" t="s">
        <v>147</v>
      </c>
      <c r="C26" s="157" t="s">
        <v>93</v>
      </c>
      <c r="D26" s="413" t="n">
        <v>31</v>
      </c>
      <c r="E26" s="423" t="s">
        <v>94</v>
      </c>
      <c r="F26" s="424" t="s">
        <v>70</v>
      </c>
      <c r="G26" s="425"/>
      <c r="H26" s="426"/>
      <c r="I26" s="427"/>
      <c r="J26" s="428"/>
      <c r="K26" s="429"/>
      <c r="L26" s="428"/>
      <c r="M26" s="429"/>
      <c r="N26" s="428"/>
      <c r="O26" s="429"/>
      <c r="P26" s="430"/>
      <c r="Q26" s="483"/>
      <c r="R26" s="484"/>
      <c r="S26" s="483"/>
      <c r="T26" s="484"/>
      <c r="U26" s="485"/>
      <c r="V26" s="486"/>
      <c r="W26" s="485"/>
      <c r="X26" s="487"/>
      <c r="Y26" s="82"/>
    </row>
    <row r="27" customFormat="false" ht="15" hidden="false" customHeight="true" outlineLevel="0" collapsed="false">
      <c r="B27" s="156"/>
      <c r="C27" s="157"/>
      <c r="D27" s="413"/>
      <c r="E27" s="431" t="s">
        <v>95</v>
      </c>
      <c r="F27" s="432" t="s">
        <v>70</v>
      </c>
      <c r="G27" s="433"/>
      <c r="H27" s="434"/>
      <c r="I27" s="435"/>
      <c r="J27" s="436"/>
      <c r="K27" s="437"/>
      <c r="L27" s="436"/>
      <c r="M27" s="437"/>
      <c r="N27" s="436"/>
      <c r="O27" s="437"/>
      <c r="P27" s="438"/>
      <c r="Q27" s="295"/>
      <c r="R27" s="296"/>
      <c r="S27" s="295"/>
      <c r="T27" s="296"/>
      <c r="U27" s="364"/>
      <c r="V27" s="327"/>
      <c r="W27" s="364"/>
      <c r="X27" s="365"/>
      <c r="Y27" s="82"/>
    </row>
    <row r="28" customFormat="false" ht="15" hidden="false" customHeight="true" outlineLevel="0" collapsed="false">
      <c r="B28" s="156"/>
      <c r="C28" s="157"/>
      <c r="D28" s="413"/>
      <c r="E28" s="431" t="s">
        <v>96</v>
      </c>
      <c r="F28" s="432" t="s">
        <v>70</v>
      </c>
      <c r="G28" s="433" t="n">
        <f aca="false">'2021'!G28-'2020'!G28</f>
        <v>6</v>
      </c>
      <c r="H28" s="434" t="n">
        <f aca="false">IF('2021'!G28=0,0,IF('2020'!G28=0,0,'2021'!G28/'2020'!G28-1))</f>
        <v>0.027027027027027</v>
      </c>
      <c r="I28" s="435" t="n">
        <f aca="false">'2021'!H28-'2020'!H28</f>
        <v>59</v>
      </c>
      <c r="J28" s="436" t="n">
        <f aca="false">IF(I28=0,0,'2021'!H28/'2020'!H28-1)</f>
        <v>0.893939393939394</v>
      </c>
      <c r="K28" s="437" t="n">
        <f aca="false">'2021'!J28-'2020'!J28</f>
        <v>-47</v>
      </c>
      <c r="L28" s="436" t="n">
        <f aca="false">IF('2021'!J28=0,0,IF('2020'!J28=0,0,'2021'!J28/'2020'!J28-1))</f>
        <v>-0.343065693430657</v>
      </c>
      <c r="M28" s="437" t="n">
        <f aca="false">'2021'!L28-'2020'!L28</f>
        <v>3</v>
      </c>
      <c r="N28" s="436" t="n">
        <f aca="false">IF('2021'!L28=0,0,IF('2020'!L28=0,0,'2021'!L28/'2020'!L28-1))</f>
        <v>0.0340909090909092</v>
      </c>
      <c r="O28" s="437" t="n">
        <f aca="false">IF('2020'!N28="-",0,'2021'!N28-'2020'!N28)</f>
        <v>0</v>
      </c>
      <c r="P28" s="438" t="n">
        <f aca="false">IF('2021'!N28=0,0,IF('2020'!N28="-",0,'2021'!N28/'2020'!N28-1))</f>
        <v>0</v>
      </c>
      <c r="Q28" s="295"/>
      <c r="R28" s="296"/>
      <c r="S28" s="295"/>
      <c r="T28" s="296"/>
      <c r="U28" s="297" t="s">
        <v>73</v>
      </c>
      <c r="V28" s="298" t="s">
        <v>73</v>
      </c>
      <c r="W28" s="297" t="s">
        <v>73</v>
      </c>
      <c r="X28" s="299" t="s">
        <v>73</v>
      </c>
      <c r="Y28" s="82"/>
    </row>
    <row r="29" customFormat="false" ht="15" hidden="false" customHeight="true" outlineLevel="0" collapsed="false">
      <c r="B29" s="156"/>
      <c r="C29" s="157"/>
      <c r="D29" s="413"/>
      <c r="E29" s="431" t="s">
        <v>97</v>
      </c>
      <c r="F29" s="432" t="s">
        <v>98</v>
      </c>
      <c r="G29" s="433" t="n">
        <f aca="false">'2021'!G29-'2020'!G29</f>
        <v>35</v>
      </c>
      <c r="H29" s="434" t="n">
        <f aca="false">IF('2021'!G29=0,0,IF('2020'!G29=0,0,'2021'!G29/'2020'!G29-1))</f>
        <v>0.330188679245283</v>
      </c>
      <c r="I29" s="435" t="n">
        <f aca="false">'2021'!H29-'2020'!H29</f>
        <v>45</v>
      </c>
      <c r="J29" s="436" t="n">
        <f aca="false">IF(I29=0,0,'2021'!H29/'2020'!H29-1)</f>
        <v>1.28571428571429</v>
      </c>
      <c r="K29" s="437" t="n">
        <f aca="false">'2021'!J29-'2020'!J29</f>
        <v>26</v>
      </c>
      <c r="L29" s="436" t="n">
        <f aca="false">IF('2021'!J29=0,0,IF('2020'!J29=0,0,'2021'!J29/'2020'!J29-1))</f>
        <v>0.666666666666667</v>
      </c>
      <c r="M29" s="437" t="n">
        <f aca="false">'2021'!L29-'2020'!L29</f>
        <v>14</v>
      </c>
      <c r="N29" s="436" t="n">
        <f aca="false">IF('2021'!L29=0,0,IF('2020'!L29=0,0,'2021'!L29/'2020'!L29-1))</f>
        <v>0.291666666666667</v>
      </c>
      <c r="O29" s="437" t="n">
        <f aca="false">IF('2020'!N29="-",0,'2021'!N29-'2020'!N29)</f>
        <v>0</v>
      </c>
      <c r="P29" s="438" t="n">
        <f aca="false">IF('2021'!N29=0,0,IF('2020'!N29="-",0,'2021'!N29/'2020'!N29-1))</f>
        <v>0</v>
      </c>
      <c r="Q29" s="295"/>
      <c r="R29" s="296"/>
      <c r="S29" s="295"/>
      <c r="T29" s="296"/>
      <c r="U29" s="364"/>
      <c r="V29" s="327"/>
      <c r="W29" s="364"/>
      <c r="X29" s="365"/>
      <c r="Y29" s="82"/>
    </row>
    <row r="30" customFormat="false" ht="15" hidden="false" customHeight="true" outlineLevel="0" collapsed="false">
      <c r="B30" s="156"/>
      <c r="C30" s="157"/>
      <c r="D30" s="413"/>
      <c r="E30" s="431" t="s">
        <v>99</v>
      </c>
      <c r="F30" s="432" t="s">
        <v>70</v>
      </c>
      <c r="G30" s="433" t="n">
        <f aca="false">'2021'!G30-'2020'!G30</f>
        <v>28</v>
      </c>
      <c r="H30" s="434" t="n">
        <f aca="false">IF('2021'!G30=0,0,IF('2020'!G30=0,0,'2021'!G30/'2020'!G30-1))</f>
        <v>0.135922330097087</v>
      </c>
      <c r="I30" s="435" t="n">
        <f aca="false">'2021'!H30-'2020'!H30</f>
        <v>57</v>
      </c>
      <c r="J30" s="436" t="n">
        <f aca="false">IF(I30=0,0,'2021'!H30/'2020'!H30-1)</f>
        <v>0.814285714285714</v>
      </c>
      <c r="K30" s="437" t="n">
        <f aca="false">'2021'!J30-'2020'!J30</f>
        <v>12</v>
      </c>
      <c r="L30" s="436" t="n">
        <f aca="false">IF('2021'!J30=0,0,IF('2020'!J30=0,0,'2021'!J30/'2020'!J30-1))</f>
        <v>0.137931034482759</v>
      </c>
      <c r="M30" s="437" t="n">
        <f aca="false">'2021'!L30-'2020'!L30</f>
        <v>29</v>
      </c>
      <c r="N30" s="436" t="n">
        <f aca="false">IF('2021'!L30=0,0,IF('2020'!L30=0,0,'2021'!L30/'2020'!L30-1))</f>
        <v>0.349397590361446</v>
      </c>
      <c r="O30" s="437" t="n">
        <f aca="false">IF('2020'!N30="-",0,'2021'!N30-'2020'!N30)</f>
        <v>0</v>
      </c>
      <c r="P30" s="438" t="n">
        <f aca="false">IF('2021'!N30=0,0,IF('2020'!N30="-",0,'2021'!N30/'2020'!N30-1))</f>
        <v>0</v>
      </c>
      <c r="Q30" s="295"/>
      <c r="R30" s="296"/>
      <c r="S30" s="295"/>
      <c r="T30" s="296"/>
      <c r="U30" s="297" t="s">
        <v>73</v>
      </c>
      <c r="V30" s="298" t="s">
        <v>73</v>
      </c>
      <c r="W30" s="297" t="s">
        <v>73</v>
      </c>
      <c r="X30" s="299" t="s">
        <v>73</v>
      </c>
      <c r="Y30" s="82"/>
    </row>
    <row r="31" customFormat="false" ht="15" hidden="false" customHeight="true" outlineLevel="0" collapsed="false">
      <c r="B31" s="156"/>
      <c r="C31" s="157"/>
      <c r="D31" s="413"/>
      <c r="E31" s="439" t="s">
        <v>100</v>
      </c>
      <c r="F31" s="440" t="s">
        <v>98</v>
      </c>
      <c r="G31" s="441" t="n">
        <f aca="false">'2021'!G31-'2020'!G31</f>
        <v>-16</v>
      </c>
      <c r="H31" s="442" t="n">
        <f aca="false">IF('2021'!G31=0,0,IF('2020'!G31=0,0,'2021'!G31/'2020'!G31-1))</f>
        <v>-0.0924855491329479</v>
      </c>
      <c r="I31" s="443" t="n">
        <f aca="false">'2021'!H31-'2020'!H31</f>
        <v>20</v>
      </c>
      <c r="J31" s="444" t="n">
        <f aca="false">IF(I31=0,0,'2021'!H31/'2020'!H31-1)</f>
        <v>0.32258064516129</v>
      </c>
      <c r="K31" s="445" t="n">
        <f aca="false">'2021'!J31-'2020'!J31</f>
        <v>-3</v>
      </c>
      <c r="L31" s="444" t="n">
        <f aca="false">IF('2021'!J31=0,0,IF('2020'!J31=0,0,'2021'!J31/'2020'!J31-1))</f>
        <v>-0.0769230769230769</v>
      </c>
      <c r="M31" s="445" t="n">
        <f aca="false">'2021'!L31-'2020'!L31</f>
        <v>-26</v>
      </c>
      <c r="N31" s="444" t="n">
        <f aca="false">IF('2021'!L31=0,0,IF('2020'!L31=0,0,'2021'!L31/'2020'!L31-1))</f>
        <v>-0.346666666666667</v>
      </c>
      <c r="O31" s="445" t="n">
        <f aca="false">IF('2020'!N31="-",0,'2021'!N31-'2020'!N31)</f>
        <v>0</v>
      </c>
      <c r="P31" s="446" t="n">
        <f aca="false">IF('2021'!N31=0,0,IF('2020'!N31="-",0,'2021'!N31/'2020'!N31-1))</f>
        <v>0</v>
      </c>
      <c r="Q31" s="308"/>
      <c r="R31" s="309"/>
      <c r="S31" s="308"/>
      <c r="T31" s="309"/>
      <c r="U31" s="368"/>
      <c r="V31" s="303"/>
      <c r="W31" s="368"/>
      <c r="X31" s="369"/>
      <c r="Y31" s="82"/>
    </row>
    <row r="32" customFormat="false" ht="15.75" hidden="false" customHeight="false" outlineLevel="0" collapsed="false">
      <c r="B32" s="156"/>
      <c r="C32" s="157"/>
      <c r="D32" s="457" t="s">
        <v>81</v>
      </c>
      <c r="E32" s="447"/>
      <c r="F32" s="448"/>
      <c r="G32" s="449" t="n">
        <f aca="false">'2021'!G32-'2020'!G32</f>
        <v>-904</v>
      </c>
      <c r="H32" s="450" t="n">
        <f aca="false">IF('2021'!G32=0,0,IF('2020'!G32=0,0,'2021'!G32/'2020'!G32-1))</f>
        <v>-0.543269230769231</v>
      </c>
      <c r="I32" s="451" t="n">
        <f aca="false">'2021'!H32-'2020'!H32</f>
        <v>-95</v>
      </c>
      <c r="J32" s="452" t="n">
        <f aca="false">IF(I32=0,0,'2021'!H32/'2020'!H32-1)</f>
        <v>-0.18664047151277</v>
      </c>
      <c r="K32" s="453" t="n">
        <f aca="false">'2021'!J32-'2020'!J32</f>
        <v>-415</v>
      </c>
      <c r="L32" s="452" t="n">
        <f aca="false">IF('2021'!J32=0,0,IF('2020'!J32=0,0,'2021'!J32/'2020'!J32-1))</f>
        <v>-0.588652482269504</v>
      </c>
      <c r="M32" s="453" t="n">
        <f aca="false">'2021'!L32-'2020'!L32</f>
        <v>-383</v>
      </c>
      <c r="N32" s="452" t="n">
        <f aca="false">IF('2021'!L32=0,0,IF('2020'!L32=0,0,'2021'!L32/'2020'!L32-1))</f>
        <v>-0.549497847919656</v>
      </c>
      <c r="O32" s="453" t="n">
        <f aca="false">IF('2020'!N32="-",0,'2021'!N32-'2020'!N32)</f>
        <v>0</v>
      </c>
      <c r="P32" s="454" t="n">
        <f aca="false">IF('2021'!N32=0,0,IF('2020'!N32="-",0,'2021'!N32/'2020'!N32-1))</f>
        <v>0</v>
      </c>
      <c r="Q32" s="455"/>
      <c r="R32" s="456"/>
      <c r="S32" s="455"/>
      <c r="T32" s="456"/>
      <c r="U32" s="488"/>
      <c r="V32" s="489"/>
      <c r="W32" s="488"/>
      <c r="X32" s="490"/>
      <c r="Y32" s="82"/>
    </row>
    <row r="33" customFormat="false" ht="15" hidden="false" customHeight="false" outlineLevel="0" collapsed="false">
      <c r="B33" s="200" t="s">
        <v>101</v>
      </c>
      <c r="C33" s="189" t="s">
        <v>93</v>
      </c>
      <c r="D33" s="457" t="n">
        <v>12</v>
      </c>
      <c r="E33" s="423" t="s">
        <v>102</v>
      </c>
      <c r="F33" s="424" t="s">
        <v>98</v>
      </c>
      <c r="G33" s="425" t="n">
        <f aca="false">'2021'!G33-'2020'!G33</f>
        <v>29</v>
      </c>
      <c r="H33" s="426" t="n">
        <f aca="false">IF('2021'!G33=0,0,IF('2020'!G33=0,0,'2021'!G33/'2020'!G33-1))</f>
        <v>0.329545454545455</v>
      </c>
      <c r="I33" s="427" t="n">
        <f aca="false">'2021'!H33-'2020'!H33</f>
        <v>-2</v>
      </c>
      <c r="J33" s="428" t="n">
        <f aca="false">IF(I33=0,0,'2021'!H33/'2020'!H33-1)</f>
        <v>-0.0227272727272727</v>
      </c>
      <c r="K33" s="429" t="n">
        <f aca="false">'2021'!J33-'2020'!J33</f>
        <v>28</v>
      </c>
      <c r="L33" s="428" t="n">
        <f aca="false">IF('2021'!J33=0,0,IF('2020'!J33=0,0,'2021'!J33/'2020'!J33-1))</f>
        <v>0.528301886792453</v>
      </c>
      <c r="M33" s="429" t="n">
        <f aca="false">'2021'!L33-'2020'!L33</f>
        <v>15</v>
      </c>
      <c r="N33" s="428" t="n">
        <f aca="false">IF('2021'!L33=0,0,IF('2020'!L33=0,0,'2021'!L33/'2020'!L33-1))</f>
        <v>0.46875</v>
      </c>
      <c r="O33" s="429" t="n">
        <f aca="false">IF('2020'!N33="-",0,'2021'!N33-'2020'!N33)</f>
        <v>6</v>
      </c>
      <c r="P33" s="430" t="n">
        <f aca="false">IF('2021'!N33=0,0,IF('2020'!N33="-",0,'2021'!N33/'2020'!N33-1))</f>
        <v>0.222222222222222</v>
      </c>
      <c r="Q33" s="282"/>
      <c r="R33" s="283"/>
      <c r="S33" s="282"/>
      <c r="T33" s="283"/>
      <c r="U33" s="362" t="n">
        <f aca="false">'2021'!S33-'2020'!S33</f>
        <v>34</v>
      </c>
      <c r="V33" s="491" t="n">
        <f aca="false">IF('2021'!S33=0,0,IF('2020'!S33=0,0,'2021'!S33/'2020'!S33-1))</f>
        <v>0.435897435897436</v>
      </c>
      <c r="W33" s="362" t="n">
        <f aca="false">'2021'!U33-'2020'!U33</f>
        <v>-5</v>
      </c>
      <c r="X33" s="492" t="n">
        <f aca="false">IF('2021'!U33=0,0,IF('2020'!U33=0,0,'2021'!U33/'2020'!U33-1))</f>
        <v>-0.5</v>
      </c>
      <c r="Y33" s="82"/>
    </row>
    <row r="34" customFormat="false" ht="15" hidden="false" customHeight="false" outlineLevel="0" collapsed="false">
      <c r="B34" s="200"/>
      <c r="C34" s="189"/>
      <c r="D34" s="457"/>
      <c r="E34" s="431" t="s">
        <v>103</v>
      </c>
      <c r="F34" s="432" t="s">
        <v>98</v>
      </c>
      <c r="G34" s="433" t="n">
        <f aca="false">'2021'!G34-'2020'!G34</f>
        <v>20</v>
      </c>
      <c r="H34" s="434" t="n">
        <f aca="false">IF('2021'!G34=0,0,IF('2020'!G34=0,0,'2021'!G34/'2020'!G34-1))</f>
        <v>0.606060606060606</v>
      </c>
      <c r="I34" s="435" t="n">
        <f aca="false">'2021'!H34-'2020'!H34</f>
        <v>5</v>
      </c>
      <c r="J34" s="436" t="n">
        <f aca="false">IF(I34=0,0,'2021'!H34/'2020'!H34-1)</f>
        <v>0.151515151515152</v>
      </c>
      <c r="K34" s="437" t="n">
        <f aca="false">'2021'!J34-'2020'!J34</f>
        <v>11</v>
      </c>
      <c r="L34" s="436" t="n">
        <f aca="false">IF('2021'!J34=0,0,IF('2020'!J34=0,0,'2021'!J34/'2020'!J34-1))</f>
        <v>0.523809523809524</v>
      </c>
      <c r="M34" s="437" t="n">
        <f aca="false">'2021'!L34-'2020'!L34</f>
        <v>4</v>
      </c>
      <c r="N34" s="436" t="n">
        <f aca="false">IF('2021'!L34=0,0,IF('2020'!L34=0,0,'2021'!L34/'2020'!L34-1))</f>
        <v>0.5</v>
      </c>
      <c r="O34" s="437" t="n">
        <f aca="false">IF('2020'!N34="-",0,'2021'!N34-'2020'!N34)</f>
        <v>3</v>
      </c>
      <c r="P34" s="438" t="n">
        <f aca="false">IF('2021'!N34=0,0,IF('2020'!N34="-",0,'2021'!N34/'2020'!N34-1))</f>
        <v>0.428571428571429</v>
      </c>
      <c r="Q34" s="295"/>
      <c r="R34" s="296"/>
      <c r="S34" s="295"/>
      <c r="T34" s="296"/>
      <c r="U34" s="364" t="n">
        <f aca="false">'2021'!S34-'2020'!S34</f>
        <v>18</v>
      </c>
      <c r="V34" s="493" t="n">
        <f aca="false">IF('2021'!S34=0,0,IF('2020'!S34=0,0,'2021'!S34/'2020'!S34-1))</f>
        <v>0.545454545454545</v>
      </c>
      <c r="W34" s="364" t="n">
        <f aca="false">'2021'!U34-'2020'!U34</f>
        <v>2</v>
      </c>
      <c r="X34" s="494" t="n">
        <f aca="false">IF('2021'!U34=0,0,IF('2020'!U34=0,0,'2021'!U34/'2020'!U34-1))</f>
        <v>0</v>
      </c>
      <c r="Y34" s="82"/>
    </row>
    <row r="35" customFormat="false" ht="15" hidden="false" customHeight="false" outlineLevel="0" collapsed="false">
      <c r="B35" s="200"/>
      <c r="C35" s="189"/>
      <c r="D35" s="457"/>
      <c r="E35" s="431" t="s">
        <v>104</v>
      </c>
      <c r="F35" s="432" t="s">
        <v>98</v>
      </c>
      <c r="G35" s="433" t="n">
        <f aca="false">'2021'!G35-'2020'!G35</f>
        <v>8</v>
      </c>
      <c r="H35" s="434" t="n">
        <f aca="false">IF('2021'!G35=0,0,IF('2020'!G35=0,0,'2021'!G35/'2020'!G35-1))</f>
        <v>0.571428571428571</v>
      </c>
      <c r="I35" s="435" t="n">
        <f aca="false">'2021'!H35-'2020'!H35</f>
        <v>6</v>
      </c>
      <c r="J35" s="436" t="n">
        <f aca="false">IF(I35=0,0,'2021'!H35/'2020'!H35-1)</f>
        <v>0.428571428571429</v>
      </c>
      <c r="K35" s="437" t="n">
        <f aca="false">'2021'!J35-'2020'!J35</f>
        <v>7</v>
      </c>
      <c r="L35" s="436" t="n">
        <f aca="false">IF('2021'!J35=0,0,IF('2020'!J35=0,0,'2021'!J35/'2020'!J35-1))</f>
        <v>0.777777777777778</v>
      </c>
      <c r="M35" s="437" t="n">
        <f aca="false">'2021'!L35-'2020'!L35</f>
        <v>5</v>
      </c>
      <c r="N35" s="436" t="n">
        <f aca="false">IF('2021'!L35=0,0,IF('2020'!L35=0,0,'2021'!L35/'2020'!L35-1))</f>
        <v>0.714285714285714</v>
      </c>
      <c r="O35" s="437" t="n">
        <f aca="false">IF('2020'!N35="-",0,'2021'!N35-'2020'!N35)</f>
        <v>5</v>
      </c>
      <c r="P35" s="438" t="n">
        <f aca="false">IF('2021'!N35=0,0,IF('2020'!N35="-",0,'2021'!N35/'2020'!N35-1))</f>
        <v>1.25</v>
      </c>
      <c r="Q35" s="295"/>
      <c r="R35" s="296"/>
      <c r="S35" s="295"/>
      <c r="T35" s="296"/>
      <c r="U35" s="364" t="n">
        <f aca="false">'2021'!S35-'2020'!S35</f>
        <v>8</v>
      </c>
      <c r="V35" s="493" t="n">
        <f aca="false">IF('2021'!S35=0,0,IF('2020'!S35=0,0,'2021'!S35/'2020'!S35-1))</f>
        <v>0.571428571428571</v>
      </c>
      <c r="W35" s="364" t="n">
        <f aca="false">'2021'!U35-'2020'!U35</f>
        <v>0</v>
      </c>
      <c r="X35" s="494" t="n">
        <f aca="false">IF('2021'!U35=0,0,IF('2020'!U35=0,0,'2021'!U35/'2020'!U35-1))</f>
        <v>0</v>
      </c>
      <c r="Y35" s="82"/>
    </row>
    <row r="36" customFormat="false" ht="15" hidden="false" customHeight="false" outlineLevel="0" collapsed="false">
      <c r="B36" s="200"/>
      <c r="C36" s="189"/>
      <c r="D36" s="457"/>
      <c r="E36" s="431" t="s">
        <v>105</v>
      </c>
      <c r="F36" s="432" t="s">
        <v>98</v>
      </c>
      <c r="G36" s="433" t="n">
        <f aca="false">'2021'!G36-'2020'!G36</f>
        <v>26</v>
      </c>
      <c r="H36" s="434" t="n">
        <f aca="false">IF('2021'!G36=0,0,IF('2020'!G36=0,0,'2021'!G36/'2020'!G36-1))</f>
        <v>1.1304347826087</v>
      </c>
      <c r="I36" s="435" t="n">
        <f aca="false">'2021'!H36-'2020'!H36</f>
        <v>10</v>
      </c>
      <c r="J36" s="436" t="n">
        <f aca="false">IF(I36=0,0,'2021'!H36/'2020'!H36-1)</f>
        <v>0.434782608695652</v>
      </c>
      <c r="K36" s="437" t="n">
        <f aca="false">'2021'!J36-'2020'!J36</f>
        <v>20</v>
      </c>
      <c r="L36" s="436" t="n">
        <f aca="false">IF('2021'!J36=0,0,IF('2020'!J36=0,0,'2021'!J36/'2020'!J36-1))</f>
        <v>1.33333333333333</v>
      </c>
      <c r="M36" s="437" t="n">
        <f aca="false">'2021'!L36-'2020'!L36</f>
        <v>9</v>
      </c>
      <c r="N36" s="436" t="n">
        <f aca="false">IF('2021'!L36=0,0,IF('2020'!L36=0,0,'2021'!L36/'2020'!L36-1))</f>
        <v>0.818181818181818</v>
      </c>
      <c r="O36" s="437" t="n">
        <f aca="false">IF('2020'!N36="-",0,'2021'!N36-'2020'!N36)</f>
        <v>9</v>
      </c>
      <c r="P36" s="438" t="n">
        <f aca="false">IF('2021'!N36=0,0,IF('2020'!N36="-",0,'2021'!N36/'2020'!N36-1))</f>
        <v>1.125</v>
      </c>
      <c r="Q36" s="295"/>
      <c r="R36" s="296"/>
      <c r="S36" s="295"/>
      <c r="T36" s="296"/>
      <c r="U36" s="364" t="n">
        <f aca="false">'2021'!S36-'2020'!S36</f>
        <v>26</v>
      </c>
      <c r="V36" s="493" t="n">
        <f aca="false">IF('2021'!S36=0,0,IF('2020'!S36=0,0,'2021'!S36/'2020'!S36-1))</f>
        <v>1.3</v>
      </c>
      <c r="W36" s="364" t="n">
        <f aca="false">'2021'!U36-'2020'!U36</f>
        <v>0</v>
      </c>
      <c r="X36" s="494" t="n">
        <f aca="false">IF('2021'!U36=0,0,IF('2020'!U36=0,0,'2021'!U36/'2020'!U36-1))</f>
        <v>0</v>
      </c>
      <c r="Y36" s="82"/>
    </row>
    <row r="37" customFormat="false" ht="15" hidden="false" customHeight="false" outlineLevel="0" collapsed="false">
      <c r="B37" s="200"/>
      <c r="C37" s="189"/>
      <c r="D37" s="457"/>
      <c r="E37" s="431" t="s">
        <v>106</v>
      </c>
      <c r="F37" s="432" t="s">
        <v>98</v>
      </c>
      <c r="G37" s="433" t="n">
        <f aca="false">'2021'!G37-'2020'!G37</f>
        <v>8</v>
      </c>
      <c r="H37" s="434" t="n">
        <f aca="false">IF('2021'!G37=0,0,IF('2020'!G37=0,0,'2021'!G37/'2020'!G37-1))</f>
        <v>0.222222222222222</v>
      </c>
      <c r="I37" s="435" t="n">
        <f aca="false">'2021'!H37-'2020'!H37</f>
        <v>8</v>
      </c>
      <c r="J37" s="436" t="n">
        <f aca="false">IF(I37=0,0,'2021'!H37/'2020'!H37-1)</f>
        <v>0.222222222222222</v>
      </c>
      <c r="K37" s="437" t="n">
        <f aca="false">'2021'!J37-'2020'!J37</f>
        <v>10</v>
      </c>
      <c r="L37" s="436" t="n">
        <f aca="false">IF('2021'!J37=0,0,IF('2020'!J37=0,0,'2021'!J37/'2020'!J37-1))</f>
        <v>0.555555555555556</v>
      </c>
      <c r="M37" s="437" t="n">
        <f aca="false">'2021'!L37-'2020'!L37</f>
        <v>-1</v>
      </c>
      <c r="N37" s="436" t="n">
        <f aca="false">IF('2021'!L37=0,0,IF('2020'!L37=0,0,'2021'!L37/'2020'!L37-1))</f>
        <v>-0.0588235294117647</v>
      </c>
      <c r="O37" s="437" t="n">
        <f aca="false">IF('2020'!N37="-",0,'2021'!N37-'2020'!N37)</f>
        <v>2</v>
      </c>
      <c r="P37" s="438" t="n">
        <f aca="false">IF('2021'!N37=0,0,IF('2020'!N37="-",0,'2021'!N37/'2020'!N37-1))</f>
        <v>0.153846153846154</v>
      </c>
      <c r="Q37" s="295"/>
      <c r="R37" s="296"/>
      <c r="S37" s="295"/>
      <c r="T37" s="296"/>
      <c r="U37" s="364" t="n">
        <f aca="false">'2021'!S37-'2020'!S37</f>
        <v>4</v>
      </c>
      <c r="V37" s="493" t="n">
        <f aca="false">IF('2021'!S37=0,0,IF('2020'!S37=0,0,'2021'!S37/'2020'!S37-1))</f>
        <v>0.111111111111111</v>
      </c>
      <c r="W37" s="364" t="n">
        <f aca="false">'2021'!U37-'2020'!U37</f>
        <v>4</v>
      </c>
      <c r="X37" s="494" t="n">
        <f aca="false">IF('2021'!U37=0,0,IF('2020'!U37=0,0,'2021'!U37/'2020'!U37-1))</f>
        <v>0</v>
      </c>
      <c r="Y37" s="178" t="s">
        <v>149</v>
      </c>
    </row>
    <row r="38" customFormat="false" ht="15" hidden="false" customHeight="false" outlineLevel="0" collapsed="false">
      <c r="B38" s="200"/>
      <c r="C38" s="189"/>
      <c r="D38" s="457"/>
      <c r="E38" s="439" t="s">
        <v>107</v>
      </c>
      <c r="F38" s="440" t="s">
        <v>98</v>
      </c>
      <c r="G38" s="441" t="n">
        <f aca="false">'2021'!G38-'2020'!G38</f>
        <v>-40</v>
      </c>
      <c r="H38" s="442" t="n">
        <f aca="false">IF('2021'!G38=0,0,IF('2020'!G38=0,0,'2021'!G38/'2020'!G38-1))</f>
        <v>-0.888888888888889</v>
      </c>
      <c r="I38" s="443" t="n">
        <f aca="false">'2021'!H38-'2020'!H38</f>
        <v>-41</v>
      </c>
      <c r="J38" s="444" t="n">
        <f aca="false">IF(I38=0,0,'2021'!H38/'2020'!H38-1)</f>
        <v>-0.911111111111111</v>
      </c>
      <c r="K38" s="445" t="n">
        <f aca="false">'2021'!J38-'2020'!J38</f>
        <v>-24</v>
      </c>
      <c r="L38" s="444" t="n">
        <f aca="false">IF('2021'!J38=0,0,IF('2020'!J38=0,0,'2021'!J38/'2020'!J38-1))</f>
        <v>-0.923076923076923</v>
      </c>
      <c r="M38" s="445" t="n">
        <f aca="false">'2021'!L38-'2020'!L38</f>
        <v>-18</v>
      </c>
      <c r="N38" s="444" t="n">
        <f aca="false">IF('2021'!L38=0,0,IF('2020'!L38=0,0,'2021'!L38/'2020'!L38-1))</f>
        <v>-0.947368421052632</v>
      </c>
      <c r="O38" s="445" t="n">
        <f aca="false">IF('2020'!N38="-",0,'2021'!N38-'2020'!N38)</f>
        <v>-14</v>
      </c>
      <c r="P38" s="446" t="n">
        <f aca="false">IF('2021'!N38=0,0,IF('2020'!N38="-",0,'2021'!N38/'2020'!N38-1))</f>
        <v>0</v>
      </c>
      <c r="Q38" s="308"/>
      <c r="R38" s="309"/>
      <c r="S38" s="308"/>
      <c r="T38" s="309"/>
      <c r="U38" s="368" t="n">
        <f aca="false">'2021'!S38-'2020'!S38</f>
        <v>-34</v>
      </c>
      <c r="V38" s="495" t="n">
        <f aca="false">IF('2021'!S38=0,0,IF('2020'!S38=0,0,'2021'!S38/'2020'!S38-1))</f>
        <v>-0.871794871794872</v>
      </c>
      <c r="W38" s="368" t="n">
        <f aca="false">'2021'!U38-'2020'!U38</f>
        <v>-6</v>
      </c>
      <c r="X38" s="496" t="n">
        <f aca="false">IF('2021'!U38=0,0,IF('2020'!U38=0,0,'2021'!U38/'2020'!U38-1))</f>
        <v>0</v>
      </c>
      <c r="Y38" s="82"/>
    </row>
    <row r="39" customFormat="false" ht="15.75" hidden="false" customHeight="false" outlineLevel="0" collapsed="false">
      <c r="B39" s="200"/>
      <c r="C39" s="189"/>
      <c r="D39" s="457" t="s">
        <v>81</v>
      </c>
      <c r="E39" s="497"/>
      <c r="F39" s="498"/>
      <c r="G39" s="449" t="n">
        <f aca="false">'2021'!G39-'2020'!G39</f>
        <v>51</v>
      </c>
      <c r="H39" s="450" t="n">
        <f aca="false">IF('2021'!G39=0,0,IF('2020'!G39=0,0,'2021'!G39/'2020'!G39-1))</f>
        <v>0.213389121338912</v>
      </c>
      <c r="I39" s="451" t="n">
        <f aca="false">'2021'!H39-'2020'!H39</f>
        <v>-14</v>
      </c>
      <c r="J39" s="452" t="n">
        <f aca="false">IF(I39=0,0,'2021'!H39/'2020'!H39-1)</f>
        <v>-0.0585774058577406</v>
      </c>
      <c r="K39" s="453" t="n">
        <f aca="false">'2021'!J39-'2020'!J39</f>
        <v>52</v>
      </c>
      <c r="L39" s="452" t="n">
        <f aca="false">IF('2021'!J39=0,0,IF('2020'!J39=0,0,'2021'!J39/'2020'!J39-1))</f>
        <v>0.366197183098591</v>
      </c>
      <c r="M39" s="453" t="n">
        <f aca="false">'2021'!L39-'2020'!L39</f>
        <v>14</v>
      </c>
      <c r="N39" s="452" t="n">
        <f aca="false">IF('2021'!L39=0,0,IF('2020'!L39=0,0,'2021'!L39/'2020'!L39-1))</f>
        <v>0.148936170212766</v>
      </c>
      <c r="O39" s="453" t="n">
        <f aca="false">IF('2020'!N39="-",0,'2021'!N39-'2020'!N39)</f>
        <v>11</v>
      </c>
      <c r="P39" s="454" t="n">
        <f aca="false">IF('2021'!N39=0,0,IF('2020'!N39="-",0,'2021'!N39/'2020'!N39-1))</f>
        <v>0.150684931506849</v>
      </c>
      <c r="Q39" s="455"/>
      <c r="R39" s="456"/>
      <c r="S39" s="455"/>
      <c r="T39" s="456"/>
      <c r="U39" s="488" t="n">
        <f aca="false">SUM(U33:U38)</f>
        <v>56</v>
      </c>
      <c r="V39" s="499" t="n">
        <f aca="false">IF('2021'!S39=0,0,IF('2020'!S39=0,0,'2021'!S39/'2020'!S39-1))</f>
        <v>0.254545454545455</v>
      </c>
      <c r="W39" s="488" t="n">
        <f aca="false">SUM(W33:W38)</f>
        <v>-5</v>
      </c>
      <c r="X39" s="500" t="n">
        <f aca="false">IF('2021'!U39=0,0,IF('2020'!U39=0,0,'2021'!U39/'2020'!U39-1))</f>
        <v>-0.263157894736842</v>
      </c>
      <c r="Y39" s="82"/>
    </row>
    <row r="40" customFormat="false" ht="15" hidden="false" customHeight="true" outlineLevel="0" collapsed="false">
      <c r="B40" s="200" t="s">
        <v>108</v>
      </c>
      <c r="C40" s="212" t="s">
        <v>93</v>
      </c>
      <c r="D40" s="422" t="n">
        <v>10</v>
      </c>
      <c r="E40" s="501" t="s">
        <v>109</v>
      </c>
      <c r="F40" s="424" t="s">
        <v>98</v>
      </c>
      <c r="G40" s="425" t="n">
        <f aca="false">'2021'!G40-'2020'!G40</f>
        <v>17</v>
      </c>
      <c r="H40" s="426" t="n">
        <f aca="false">IF('2021'!G40=0,0,IF('2020'!G40=0,0,'2021'!G40/'2020'!G40-1))</f>
        <v>0.288135593220339</v>
      </c>
      <c r="I40" s="427" t="n">
        <f aca="false">'2021'!H40-'2020'!H40</f>
        <v>17</v>
      </c>
      <c r="J40" s="428" t="n">
        <f aca="false">IF(I40=0,0,'2021'!H40/'2020'!H40-1)</f>
        <v>0.288135593220339</v>
      </c>
      <c r="K40" s="429" t="n">
        <f aca="false">'2021'!J40-'2020'!J40</f>
        <v>7.91</v>
      </c>
      <c r="L40" s="428" t="n">
        <f aca="false">IF('2021'!J40=0,0,IF('2020'!J40=0,0,'2021'!J40/'2020'!J40-1))</f>
        <v>0.26287803256896</v>
      </c>
      <c r="M40" s="429" t="n">
        <f aca="false">'2021'!L40-'2020'!L40</f>
        <v>3.04</v>
      </c>
      <c r="N40" s="428" t="n">
        <f aca="false">IF('2021'!L40=0,0,IF('2020'!L40=0,0,'2021'!L40/'2020'!L40-1))</f>
        <v>0.117103235747303</v>
      </c>
      <c r="O40" s="429" t="n">
        <f aca="false">IF('2020'!N40="-",0,'2021'!N40-'2020'!N40)</f>
        <v>4.9048</v>
      </c>
      <c r="P40" s="430" t="n">
        <f aca="false">IF('2021'!N40=0,0,IF('2020'!N40="-",0,'2021'!N40/'2020'!N40-1))</f>
        <v>0.304736815945126</v>
      </c>
      <c r="Q40" s="282"/>
      <c r="R40" s="283"/>
      <c r="S40" s="282"/>
      <c r="T40" s="283"/>
      <c r="U40" s="362" t="n">
        <f aca="false">'2021'!S40-'2020'!S40</f>
        <v>75</v>
      </c>
      <c r="V40" s="491" t="n">
        <f aca="false">IF('2021'!S40=0,0,IF('2020'!S40=0,0,'2021'!S40/'2020'!S40-1))</f>
        <v>0</v>
      </c>
      <c r="W40" s="362" t="n">
        <f aca="false">'2021'!U40-'2020'!U40</f>
        <v>1</v>
      </c>
      <c r="X40" s="492" t="n">
        <f aca="false">IF('2021'!U40=0,0,IF('2020'!U40=0,0,'2021'!U40/'2020'!U40-1))</f>
        <v>0</v>
      </c>
      <c r="Y40" s="82"/>
    </row>
    <row r="41" customFormat="false" ht="15" hidden="false" customHeight="true" outlineLevel="0" collapsed="false">
      <c r="B41" s="200"/>
      <c r="C41" s="212"/>
      <c r="D41" s="422"/>
      <c r="E41" s="502" t="s">
        <v>110</v>
      </c>
      <c r="F41" s="432" t="s">
        <v>98</v>
      </c>
      <c r="G41" s="433" t="n">
        <f aca="false">'2021'!G41-'2020'!G41</f>
        <v>35</v>
      </c>
      <c r="H41" s="434" t="n">
        <f aca="false">IF('2021'!G41=0,0,IF('2020'!G41=0,0,'2021'!G41/'2020'!G41-1))</f>
        <v>0.777777777777778</v>
      </c>
      <c r="I41" s="435" t="n">
        <f aca="false">'2021'!H41-'2020'!H41</f>
        <v>35</v>
      </c>
      <c r="J41" s="436" t="n">
        <f aca="false">IF(I41=0,0,'2021'!H41/'2020'!H41-1)</f>
        <v>0.777777777777778</v>
      </c>
      <c r="K41" s="437" t="n">
        <f aca="false">'2021'!J41-'2020'!J41</f>
        <v>24.9</v>
      </c>
      <c r="L41" s="436" t="n">
        <f aca="false">IF('2021'!J41=0,0,IF('2020'!J41=0,0,'2021'!J41/'2020'!J41-1))</f>
        <v>0.954022988505747</v>
      </c>
      <c r="M41" s="437" t="n">
        <f aca="false">'2021'!L41-'2020'!L41</f>
        <v>20.2</v>
      </c>
      <c r="N41" s="436" t="n">
        <f aca="false">IF('2021'!L41=0,0,IF('2020'!L41=0,0,'2021'!L41/'2020'!L41-1))</f>
        <v>1.02020202020202</v>
      </c>
      <c r="O41" s="437" t="n">
        <f aca="false">IF('2020'!N41="-",0,'2021'!N41-'2020'!N41)</f>
        <v>13.13</v>
      </c>
      <c r="P41" s="438" t="n">
        <f aca="false">IF('2021'!N41=0,0,IF('2020'!N41="-",0,'2021'!N41/'2020'!N41-1))</f>
        <v>1.02020202020202</v>
      </c>
      <c r="Q41" s="295"/>
      <c r="R41" s="296"/>
      <c r="S41" s="295"/>
      <c r="T41" s="296"/>
      <c r="U41" s="364" t="n">
        <f aca="false">'2021'!S41-'2020'!S41</f>
        <v>74</v>
      </c>
      <c r="V41" s="493" t="n">
        <f aca="false">IF('2021'!S41=0,0,IF('2020'!S41=0,0,'2021'!S41/'2020'!S41-1))</f>
        <v>0</v>
      </c>
      <c r="W41" s="364" t="n">
        <f aca="false">'2021'!U41-'2020'!U41</f>
        <v>6</v>
      </c>
      <c r="X41" s="494" t="n">
        <f aca="false">IF('2021'!U41=0,0,IF('2020'!U41=0,0,'2021'!U41/'2020'!U41-1))</f>
        <v>0</v>
      </c>
      <c r="Y41" s="82"/>
    </row>
    <row r="42" customFormat="false" ht="15" hidden="false" customHeight="true" outlineLevel="0" collapsed="false">
      <c r="B42" s="200"/>
      <c r="C42" s="212"/>
      <c r="D42" s="422"/>
      <c r="E42" s="502" t="s">
        <v>111</v>
      </c>
      <c r="F42" s="432" t="s">
        <v>98</v>
      </c>
      <c r="G42" s="433" t="n">
        <f aca="false">'2021'!G42-'2020'!G42</f>
        <v>15</v>
      </c>
      <c r="H42" s="434" t="n">
        <f aca="false">IF('2021'!G42=0,0,IF('2020'!G42=0,0,'2021'!G42/'2020'!G42-1))</f>
        <v>0.9375</v>
      </c>
      <c r="I42" s="435" t="n">
        <f aca="false">'2021'!H42-'2020'!H42</f>
        <v>15</v>
      </c>
      <c r="J42" s="436" t="n">
        <f aca="false">IF(I42=0,0,'2021'!H42/'2020'!H42-1)</f>
        <v>0.9375</v>
      </c>
      <c r="K42" s="437" t="n">
        <f aca="false">'2021'!J42-'2020'!J42</f>
        <v>2.96</v>
      </c>
      <c r="L42" s="436" t="n">
        <f aca="false">IF('2021'!J42=0,0,IF('2020'!J42=0,0,'2021'!J42/'2020'!J42-1))</f>
        <v>0.420454545454545</v>
      </c>
      <c r="M42" s="437" t="n">
        <f aca="false">'2021'!L42-'2020'!L42</f>
        <v>6.04</v>
      </c>
      <c r="N42" s="436" t="n">
        <f aca="false">IF('2021'!L42=0,0,IF('2020'!L42=0,0,'2021'!L42/'2020'!L42-1))</f>
        <v>1.21774193548387</v>
      </c>
      <c r="O42" s="437" t="n">
        <f aca="false">IF('2020'!N42="-",0,'2021'!N42-'2020'!N42)</f>
        <v>3.016</v>
      </c>
      <c r="P42" s="438" t="n">
        <f aca="false">IF('2021'!N42=0,0,IF('2020'!N42="-",0,'2021'!N42/'2020'!N42-1))</f>
        <v>1.52016129032258</v>
      </c>
      <c r="Q42" s="295"/>
      <c r="R42" s="296"/>
      <c r="S42" s="295"/>
      <c r="T42" s="296"/>
      <c r="U42" s="364" t="n">
        <f aca="false">'2021'!S42-'2020'!S42</f>
        <v>31</v>
      </c>
      <c r="V42" s="493" t="n">
        <f aca="false">IF('2021'!S42=0,0,IF('2020'!S42=0,0,'2021'!S42/'2020'!S42-1))</f>
        <v>0</v>
      </c>
      <c r="W42" s="364" t="n">
        <f aca="false">'2021'!U42-'2020'!U42</f>
        <v>0</v>
      </c>
      <c r="X42" s="494" t="n">
        <f aca="false">IF('2021'!U42=0,0,IF('2020'!U42=0,0,'2021'!U42/'2020'!U42-1))</f>
        <v>0</v>
      </c>
      <c r="Y42" s="82"/>
    </row>
    <row r="43" customFormat="false" ht="15" hidden="false" customHeight="true" outlineLevel="0" collapsed="false">
      <c r="B43" s="200"/>
      <c r="C43" s="212"/>
      <c r="D43" s="422"/>
      <c r="E43" s="502" t="s">
        <v>112</v>
      </c>
      <c r="F43" s="432" t="s">
        <v>98</v>
      </c>
      <c r="G43" s="433" t="n">
        <f aca="false">'2021'!G43-'2020'!G43</f>
        <v>-16</v>
      </c>
      <c r="H43" s="434" t="n">
        <f aca="false">IF('2021'!G43=0,0,IF('2020'!G43=0,0,'2021'!G43/'2020'!G43-1))</f>
        <v>-0.516129032258065</v>
      </c>
      <c r="I43" s="435" t="n">
        <f aca="false">'2021'!H43-'2020'!H43</f>
        <v>-16</v>
      </c>
      <c r="J43" s="436" t="n">
        <f aca="false">IF(I43=0,0,'2021'!H43/'2020'!H43-1)</f>
        <v>-0.516129032258065</v>
      </c>
      <c r="K43" s="437" t="n">
        <f aca="false">'2021'!J43-'2020'!J43</f>
        <v>-3.99</v>
      </c>
      <c r="L43" s="436" t="n">
        <f aca="false">IF('2021'!J43=0,0,IF('2020'!J43=0,0,'2021'!J43/'2020'!J43-1))</f>
        <v>-0.443826473859844</v>
      </c>
      <c r="M43" s="437" t="n">
        <f aca="false">'2021'!L43-'2020'!L43</f>
        <v>-9.92</v>
      </c>
      <c r="N43" s="436" t="n">
        <f aca="false">IF('2021'!L43=0,0,IF('2020'!L43=0,0,'2021'!L43/'2020'!L43-1))</f>
        <v>0</v>
      </c>
      <c r="O43" s="437" t="n">
        <f aca="false">IF('2020'!N43="-",0,'2021'!N43-'2020'!N43)</f>
        <v>-2.976</v>
      </c>
      <c r="P43" s="438" t="n">
        <f aca="false">IF('2021'!N43=0,0,IF('2020'!N43="-",0,'2021'!N43/'2020'!N43-1))</f>
        <v>0</v>
      </c>
      <c r="Q43" s="295"/>
      <c r="R43" s="296"/>
      <c r="S43" s="295"/>
      <c r="T43" s="296"/>
      <c r="U43" s="364" t="n">
        <f aca="false">'2021'!S43-'2020'!S43</f>
        <v>15</v>
      </c>
      <c r="V43" s="493" t="n">
        <f aca="false">IF('2021'!S43=0,0,IF('2020'!S43=0,0,'2021'!S43/'2020'!S43-1))</f>
        <v>0</v>
      </c>
      <c r="W43" s="364" t="n">
        <f aca="false">'2021'!U43-'2020'!U43</f>
        <v>0</v>
      </c>
      <c r="X43" s="494" t="n">
        <f aca="false">IF('2021'!U43=0,0,IF('2020'!U43=0,0,'2021'!U43/'2020'!U43-1))</f>
        <v>0</v>
      </c>
      <c r="Y43" s="82"/>
    </row>
    <row r="44" customFormat="false" ht="15" hidden="false" customHeight="true" outlineLevel="0" collapsed="false">
      <c r="B44" s="200"/>
      <c r="C44" s="212"/>
      <c r="D44" s="422"/>
      <c r="E44" s="502" t="s">
        <v>113</v>
      </c>
      <c r="F44" s="432" t="s">
        <v>98</v>
      </c>
      <c r="G44" s="433" t="n">
        <f aca="false">'2021'!G44-'2020'!G44</f>
        <v>-1</v>
      </c>
      <c r="H44" s="434" t="n">
        <f aca="false">IF('2021'!G44=0,0,IF('2020'!G44=0,0,'2021'!G44/'2020'!G44-1))</f>
        <v>-0.333333333333333</v>
      </c>
      <c r="I44" s="435" t="n">
        <f aca="false">'2021'!H44-'2020'!H44</f>
        <v>-1</v>
      </c>
      <c r="J44" s="436" t="n">
        <f aca="false">IF(I44=0,0,'2021'!H44/'2020'!H44-1)</f>
        <v>-0.333333333333333</v>
      </c>
      <c r="K44" s="437" t="n">
        <f aca="false">'2021'!J44-'2020'!J44</f>
        <v>1</v>
      </c>
      <c r="L44" s="436" t="n">
        <f aca="false">IF('2021'!J44=0,0,IF('2020'!J44=0,0,'2021'!J44/'2020'!J44-1))</f>
        <v>0</v>
      </c>
      <c r="M44" s="437" t="n">
        <f aca="false">'2021'!L44-'2020'!L44</f>
        <v>1</v>
      </c>
      <c r="N44" s="436" t="n">
        <f aca="false">IF('2021'!L44=0,0,IF('2020'!L44=0,0,'2021'!L44/'2020'!L44-1))</f>
        <v>0</v>
      </c>
      <c r="O44" s="437" t="n">
        <f aca="false">IF('2020'!N44="-",0,'2021'!N44-'2020'!N44)</f>
        <v>0</v>
      </c>
      <c r="P44" s="438" t="n">
        <f aca="false">IF('2021'!N44=0,0,IF('2020'!N44="-",0,'2021'!N44/'2020'!N44-1))</f>
        <v>0</v>
      </c>
      <c r="Q44" s="295"/>
      <c r="R44" s="296"/>
      <c r="S44" s="295"/>
      <c r="T44" s="296"/>
      <c r="U44" s="364" t="n">
        <f aca="false">'2021'!S44-'2020'!S44</f>
        <v>1</v>
      </c>
      <c r="V44" s="493" t="n">
        <f aca="false">IF('2021'!S44=0,0,IF('2020'!S44=0,0,'2021'!S44/'2020'!S44-1))</f>
        <v>0</v>
      </c>
      <c r="W44" s="364" t="n">
        <f aca="false">'2021'!U44-'2020'!U44</f>
        <v>1</v>
      </c>
      <c r="X44" s="494" t="n">
        <f aca="false">IF('2021'!U44=0,0,IF('2020'!U44=0,0,'2021'!U44/'2020'!U44-1))</f>
        <v>0</v>
      </c>
      <c r="Y44" s="82"/>
    </row>
    <row r="45" customFormat="false" ht="15" hidden="false" customHeight="true" outlineLevel="0" collapsed="false">
      <c r="B45" s="200"/>
      <c r="C45" s="212"/>
      <c r="D45" s="422"/>
      <c r="E45" s="502" t="s">
        <v>114</v>
      </c>
      <c r="F45" s="432" t="s">
        <v>98</v>
      </c>
      <c r="G45" s="433" t="n">
        <f aca="false">'2021'!G45-'2020'!G45</f>
        <v>2</v>
      </c>
      <c r="H45" s="434" t="n">
        <f aca="false">IF('2021'!G45=0,0,IF('2020'!G45=0,0,'2021'!G45/'2020'!G45-1))</f>
        <v>0.153846153846154</v>
      </c>
      <c r="I45" s="435" t="n">
        <f aca="false">'2021'!H45-'2020'!H45</f>
        <v>2</v>
      </c>
      <c r="J45" s="436" t="n">
        <f aca="false">IF(I45=0,0,'2021'!H45/'2020'!H45-1)</f>
        <v>0.153846153846154</v>
      </c>
      <c r="K45" s="437" t="n">
        <f aca="false">'2021'!J45-'2020'!J45</f>
        <v>5.01</v>
      </c>
      <c r="L45" s="436" t="n">
        <f aca="false">IF('2021'!J45=0,0,IF('2020'!J45=0,0,'2021'!J45/'2020'!J45-1))</f>
        <v>1.67558528428094</v>
      </c>
      <c r="M45" s="437" t="n">
        <f aca="false">'2021'!L45-'2020'!L45</f>
        <v>2.05</v>
      </c>
      <c r="N45" s="436" t="n">
        <f aca="false">IF('2021'!L45=0,0,IF('2020'!L45=0,0,'2021'!L45/'2020'!L45-1))</f>
        <v>1.05128205128205</v>
      </c>
      <c r="O45" s="437" t="n">
        <f aca="false">IF('2020'!N45="-",0,'2021'!N45-'2020'!N45)</f>
        <v>1.025</v>
      </c>
      <c r="P45" s="438" t="n">
        <f aca="false">IF('2021'!N45=0,0,IF('2020'!N45="-",0,'2021'!N45/'2020'!N45-1))</f>
        <v>1.05128205128205</v>
      </c>
      <c r="Q45" s="295"/>
      <c r="R45" s="296"/>
      <c r="S45" s="295"/>
      <c r="T45" s="296"/>
      <c r="U45" s="364" t="n">
        <f aca="false">'2021'!S45-'2020'!S45</f>
        <v>13</v>
      </c>
      <c r="V45" s="493" t="n">
        <f aca="false">IF('2021'!S45=0,0,IF('2020'!S45=0,0,'2021'!S45/'2020'!S45-1))</f>
        <v>0</v>
      </c>
      <c r="W45" s="364" t="n">
        <f aca="false">'2021'!U45-'2020'!U45</f>
        <v>2</v>
      </c>
      <c r="X45" s="494" t="n">
        <f aca="false">IF('2021'!U45=0,0,IF('2020'!U45=0,0,'2021'!U45/'2020'!U45-1))</f>
        <v>0</v>
      </c>
      <c r="Y45" s="82"/>
    </row>
    <row r="46" customFormat="false" ht="15.75" hidden="false" customHeight="true" outlineLevel="0" collapsed="false">
      <c r="B46" s="200"/>
      <c r="C46" s="212"/>
      <c r="D46" s="422"/>
      <c r="E46" s="502" t="s">
        <v>115</v>
      </c>
      <c r="F46" s="432"/>
      <c r="G46" s="433"/>
      <c r="H46" s="434"/>
      <c r="I46" s="435"/>
      <c r="J46" s="436"/>
      <c r="K46" s="437"/>
      <c r="L46" s="436"/>
      <c r="M46" s="437"/>
      <c r="N46" s="436"/>
      <c r="O46" s="437"/>
      <c r="P46" s="438"/>
      <c r="Q46" s="295"/>
      <c r="R46" s="296"/>
      <c r="S46" s="295"/>
      <c r="T46" s="296"/>
      <c r="U46" s="364"/>
      <c r="V46" s="493"/>
      <c r="W46" s="364"/>
      <c r="X46" s="494"/>
      <c r="Y46" s="82"/>
    </row>
    <row r="47" customFormat="false" ht="15.75" hidden="false" customHeight="true" outlineLevel="0" collapsed="false">
      <c r="B47" s="200"/>
      <c r="C47" s="212"/>
      <c r="D47" s="422"/>
      <c r="E47" s="503" t="s">
        <v>116</v>
      </c>
      <c r="F47" s="440"/>
      <c r="G47" s="441"/>
      <c r="H47" s="442"/>
      <c r="I47" s="443"/>
      <c r="J47" s="444"/>
      <c r="K47" s="445"/>
      <c r="L47" s="444"/>
      <c r="M47" s="445"/>
      <c r="N47" s="444"/>
      <c r="O47" s="445"/>
      <c r="P47" s="446"/>
      <c r="Q47" s="308"/>
      <c r="R47" s="309"/>
      <c r="S47" s="308"/>
      <c r="T47" s="309"/>
      <c r="U47" s="368"/>
      <c r="V47" s="495"/>
      <c r="W47" s="368"/>
      <c r="X47" s="496"/>
      <c r="Y47" s="82"/>
    </row>
    <row r="48" customFormat="false" ht="15.75" hidden="false" customHeight="false" outlineLevel="0" collapsed="false">
      <c r="B48" s="200"/>
      <c r="C48" s="212"/>
      <c r="D48" s="422" t="s">
        <v>81</v>
      </c>
      <c r="E48" s="504"/>
      <c r="F48" s="498"/>
      <c r="G48" s="449" t="n">
        <f aca="false">'2021'!G48-'2020'!G48</f>
        <v>78</v>
      </c>
      <c r="H48" s="450" t="n">
        <f aca="false">IF('2021'!G48=0,0,IF('2020'!G48=0,0,'2021'!G48/'2020'!G48-1))</f>
        <v>0.467065868263473</v>
      </c>
      <c r="I48" s="451" t="n">
        <f aca="false">'2021'!H48-'2020'!H48</f>
        <v>78</v>
      </c>
      <c r="J48" s="452" t="n">
        <f aca="false">IF(I48=0,0,'2021'!H48/'2020'!H48-1)</f>
        <v>0.467065868263473</v>
      </c>
      <c r="K48" s="453" t="n">
        <f aca="false">'2021'!J48-'2020'!J48</f>
        <v>61.79</v>
      </c>
      <c r="L48" s="452" t="n">
        <f aca="false">IF('2021'!J48=0,0,IF('2020'!J48=0,0,'2021'!J48/'2020'!J48-1))</f>
        <v>0.821566281079644</v>
      </c>
      <c r="M48" s="453" t="n">
        <f aca="false">'2021'!L48-'2020'!L48</f>
        <v>34.41</v>
      </c>
      <c r="N48" s="452" t="n">
        <f aca="false">IF('2021'!L48=0,0,IF('2020'!L48=0,0,'2021'!L48/'2020'!L48-1))</f>
        <v>0.549768333599616</v>
      </c>
      <c r="O48" s="453" t="n">
        <f aca="false">IF('2020'!N48="-",0,'2021'!N48-'2020'!N48)</f>
        <v>32.0998</v>
      </c>
      <c r="P48" s="454" t="n">
        <f aca="false">IF('2021'!N48=0,0,IF('2020'!N48="-",0,'2021'!N48/'2020'!N48-1))</f>
        <v>0.919759772150302</v>
      </c>
      <c r="Q48" s="455"/>
      <c r="R48" s="456"/>
      <c r="S48" s="455"/>
      <c r="T48" s="456"/>
      <c r="U48" s="488" t="n">
        <f aca="false">SUM(U40:U47)</f>
        <v>209</v>
      </c>
      <c r="V48" s="499" t="n">
        <f aca="false">IF('2021'!S48=0,0,IF('2020'!S48=0,0,'2021'!S48/'2020'!S48-1))</f>
        <v>0</v>
      </c>
      <c r="W48" s="488" t="n">
        <f aca="false">SUM(W40:W47)</f>
        <v>10</v>
      </c>
      <c r="X48" s="500" t="n">
        <f aca="false">IF('2021'!U48=0,0,IF('2020'!U48=0,0,'2021'!U48/'2020'!U48-1))</f>
        <v>0</v>
      </c>
      <c r="Y48" s="82"/>
    </row>
    <row r="49" customFormat="false" ht="15" hidden="false" customHeight="true" outlineLevel="0" collapsed="false">
      <c r="B49" s="200" t="s">
        <v>150</v>
      </c>
      <c r="C49" s="189" t="s">
        <v>93</v>
      </c>
      <c r="D49" s="457" t="n">
        <v>14</v>
      </c>
      <c r="E49" s="423" t="s">
        <v>118</v>
      </c>
      <c r="F49" s="424" t="s">
        <v>70</v>
      </c>
      <c r="G49" s="425" t="n">
        <f aca="false">'2021'!G49-'2020'!G49</f>
        <v>179</v>
      </c>
      <c r="H49" s="426" t="n">
        <f aca="false">IF('2021'!G49=0,0,IF('2020'!G49=0,0,'2021'!G49/'2020'!G49-1))</f>
        <v>0.824884792626728</v>
      </c>
      <c r="I49" s="427" t="n">
        <f aca="false">'2021'!H49-'2020'!H49</f>
        <v>108</v>
      </c>
      <c r="J49" s="428" t="n">
        <f aca="false">IF(I49=0,0,'2021'!H49/'2020'!H49-1)</f>
        <v>1.05882352941176</v>
      </c>
      <c r="K49" s="429" t="n">
        <f aca="false">'2021'!J49-'2020'!J49</f>
        <v>46.07</v>
      </c>
      <c r="L49" s="428" t="n">
        <f aca="false">IF('2021'!J49=0,0,IF('2020'!J49=0,0,'2021'!J49/'2020'!J49-1))</f>
        <v>0.732083267122199</v>
      </c>
      <c r="M49" s="429" t="n">
        <f aca="false">'2021'!L49-'2020'!L49</f>
        <v>21</v>
      </c>
      <c r="N49" s="428" t="n">
        <f aca="false">IF('2021'!L49=0,0,IF('2020'!L49=0,0,'2021'!L49/'2020'!L49-1))</f>
        <v>0.304347826086957</v>
      </c>
      <c r="O49" s="429" t="n">
        <f aca="false">IF('2020'!N49="-",0,'2021'!N49-'2020'!N49)</f>
        <v>0</v>
      </c>
      <c r="P49" s="430" t="n">
        <f aca="false">IF('2021'!N49=0,0,IF('2020'!N49="-",0,'2021'!N49/'2020'!N49-1))</f>
        <v>0</v>
      </c>
      <c r="Q49" s="282" t="n">
        <v>27</v>
      </c>
      <c r="R49" s="283" t="n">
        <v>8</v>
      </c>
      <c r="S49" s="282" t="n">
        <v>33</v>
      </c>
      <c r="T49" s="283" t="n">
        <v>14</v>
      </c>
      <c r="U49" s="362" t="n">
        <f aca="false">'2021'!S49-'2020'!S49</f>
        <v>133</v>
      </c>
      <c r="V49" s="491" t="n">
        <f aca="false">IF('2021'!S49=0,0,IF('2020'!S49=0,0,'2021'!S49/'2020'!S49-1))</f>
        <v>0.551867219917012</v>
      </c>
      <c r="W49" s="362" t="n">
        <f aca="false">'2021'!U49-'2020'!U49</f>
        <v>13</v>
      </c>
      <c r="X49" s="492" t="n">
        <f aca="false">IF('2021'!U49=0,0,IF('2020'!U49=0,0,'2021'!U49/'2020'!U49-1))</f>
        <v>1.44444444444444</v>
      </c>
      <c r="Y49" s="82"/>
    </row>
    <row r="50" customFormat="false" ht="15" hidden="false" customHeight="true" outlineLevel="0" collapsed="false">
      <c r="B50" s="200"/>
      <c r="C50" s="189"/>
      <c r="D50" s="457"/>
      <c r="E50" s="431" t="s">
        <v>119</v>
      </c>
      <c r="F50" s="432" t="s">
        <v>98</v>
      </c>
      <c r="G50" s="433" t="n">
        <f aca="false">'2021'!G50-'2020'!G50</f>
        <v>55</v>
      </c>
      <c r="H50" s="434" t="n">
        <f aca="false">IF('2021'!G50=0,0,IF('2020'!G50=0,0,'2021'!G50/'2020'!G50-1))</f>
        <v>0.352564102564103</v>
      </c>
      <c r="I50" s="435" t="n">
        <f aca="false">'2021'!H50-'2020'!H50</f>
        <v>15</v>
      </c>
      <c r="J50" s="436" t="n">
        <f aca="false">IF(I50=0,0,'2021'!H50/'2020'!H50-1)</f>
        <v>0.172413793103448</v>
      </c>
      <c r="K50" s="437" t="n">
        <f aca="false">'2021'!J50-'2020'!J50</f>
        <v>22.6</v>
      </c>
      <c r="L50" s="436" t="n">
        <f aca="false">IF('2021'!J50=0,0,IF('2020'!J50=0,0,'2021'!J50/'2020'!J50-1))</f>
        <v>0.362179487179487</v>
      </c>
      <c r="M50" s="437" t="n">
        <f aca="false">'2021'!L50-'2020'!L50</f>
        <v>10</v>
      </c>
      <c r="N50" s="436" t="n">
        <f aca="false">IF('2021'!L50=0,0,IF('2020'!L50=0,0,'2021'!L50/'2020'!L50-1))</f>
        <v>0.163934426229508</v>
      </c>
      <c r="O50" s="437" t="n">
        <f aca="false">IF('2020'!N50="-",0,'2021'!N50-'2020'!N50)</f>
        <v>0</v>
      </c>
      <c r="P50" s="438" t="n">
        <f aca="false">IF('2021'!N50=0,0,IF('2020'!N50="-",0,'2021'!N50/'2020'!N50-1))</f>
        <v>0</v>
      </c>
      <c r="Q50" s="295" t="n">
        <v>7</v>
      </c>
      <c r="R50" s="296" t="n">
        <v>5</v>
      </c>
      <c r="S50" s="295" t="n">
        <v>4</v>
      </c>
      <c r="T50" s="296" t="n">
        <v>1</v>
      </c>
      <c r="U50" s="364" t="n">
        <f aca="false">'2021'!S50-'2020'!S50</f>
        <v>57</v>
      </c>
      <c r="V50" s="493" t="n">
        <f aca="false">IF('2021'!S50=0,0,IF('2020'!S50=0,0,'2021'!S50/'2020'!S50-1))</f>
        <v>0.39041095890411</v>
      </c>
      <c r="W50" s="364" t="n">
        <f aca="false">'2021'!U50-'2020'!U50</f>
        <v>-6</v>
      </c>
      <c r="X50" s="494" t="n">
        <f aca="false">IF('2021'!U50=0,0,IF('2020'!U50=0,0,'2021'!U50/'2020'!U50-1))</f>
        <v>-0.428571428571429</v>
      </c>
      <c r="Y50" s="82"/>
    </row>
    <row r="51" customFormat="false" ht="15" hidden="false" customHeight="true" outlineLevel="0" collapsed="false">
      <c r="B51" s="200"/>
      <c r="C51" s="189"/>
      <c r="D51" s="457"/>
      <c r="E51" s="439" t="s">
        <v>120</v>
      </c>
      <c r="F51" s="440" t="s">
        <v>98</v>
      </c>
      <c r="G51" s="441" t="n">
        <f aca="false">'2021'!G51-'2020'!G51</f>
        <v>108</v>
      </c>
      <c r="H51" s="442" t="n">
        <f aca="false">IF('2021'!G51=0,0,IF('2020'!G51=0,0,'2021'!G51/'2020'!G51-1))</f>
        <v>0.646706586826347</v>
      </c>
      <c r="I51" s="443" t="n">
        <f aca="false">'2021'!H51-'2020'!H51</f>
        <v>51</v>
      </c>
      <c r="J51" s="444" t="n">
        <f aca="false">IF(I51=0,0,'2021'!H51/'2020'!H51-1)</f>
        <v>0.6375</v>
      </c>
      <c r="K51" s="445" t="n">
        <f aca="false">'2021'!J51-'2020'!J51</f>
        <v>41.58</v>
      </c>
      <c r="L51" s="444" t="n">
        <f aca="false">IF('2021'!J51=0,0,IF('2020'!J51=0,0,'2021'!J51/'2020'!J51-1))</f>
        <v>0.957623215108245</v>
      </c>
      <c r="M51" s="445" t="n">
        <f aca="false">'2021'!L51-'2020'!L51</f>
        <v>32</v>
      </c>
      <c r="N51" s="444" t="n">
        <f aca="false">IF('2021'!L51=0,0,IF('2020'!L51=0,0,'2021'!L51/'2020'!L51-1))</f>
        <v>0.516129032258065</v>
      </c>
      <c r="O51" s="445" t="n">
        <f aca="false">IF('2020'!N51="-",0,'2021'!N51-'2020'!N51)</f>
        <v>0</v>
      </c>
      <c r="P51" s="446" t="n">
        <f aca="false">IF('2021'!N51=0,0,IF('2020'!N51="-",0,'2021'!N51/'2020'!N51-1))</f>
        <v>0</v>
      </c>
      <c r="Q51" s="308" t="n">
        <v>7</v>
      </c>
      <c r="R51" s="309" t="n">
        <v>3</v>
      </c>
      <c r="S51" s="308" t="n">
        <v>33</v>
      </c>
      <c r="T51" s="309" t="n">
        <v>14</v>
      </c>
      <c r="U51" s="368" t="n">
        <f aca="false">'2021'!S51-'2020'!S51</f>
        <v>75</v>
      </c>
      <c r="V51" s="495" t="n">
        <f aca="false">IF('2021'!S51=0,0,IF('2020'!S51=0,0,'2021'!S51/'2020'!S51-1))</f>
        <v>0.490196078431373</v>
      </c>
      <c r="W51" s="368" t="n">
        <f aca="false">'2021'!U51-'2020'!U51</f>
        <v>0</v>
      </c>
      <c r="X51" s="496" t="n">
        <f aca="false">IF('2021'!U51=0,0,IF('2020'!U51=0,0,'2021'!U51/'2020'!U51-1))</f>
        <v>0</v>
      </c>
      <c r="Y51" s="82"/>
    </row>
    <row r="52" customFormat="false" ht="15.75" hidden="false" customHeight="false" outlineLevel="0" collapsed="false">
      <c r="B52" s="200"/>
      <c r="C52" s="189"/>
      <c r="D52" s="457" t="s">
        <v>81</v>
      </c>
      <c r="E52" s="447"/>
      <c r="F52" s="448"/>
      <c r="G52" s="449" t="n">
        <f aca="false">'2021'!G52-'2020'!G52</f>
        <v>342</v>
      </c>
      <c r="H52" s="450" t="n">
        <f aca="false">IF('2021'!G52=0,0,IF('2020'!G52=0,0,'2021'!G52/'2020'!G52-1))</f>
        <v>0.633333333333333</v>
      </c>
      <c r="I52" s="451" t="n">
        <f aca="false">'2021'!H52-'2020'!H52</f>
        <v>174</v>
      </c>
      <c r="J52" s="452" t="n">
        <f aca="false">IF(I52=0,0,'2021'!H52/'2020'!H52-1)</f>
        <v>0.646840148698885</v>
      </c>
      <c r="K52" s="453" t="n">
        <f aca="false">'2021'!J52-'2020'!J52</f>
        <v>110.25</v>
      </c>
      <c r="L52" s="452" t="n">
        <f aca="false">IF('2021'!J52=0,0,IF('2020'!J52=0,0,'2021'!J52/'2020'!J52-1))</f>
        <v>0.653333333333333</v>
      </c>
      <c r="M52" s="453" t="n">
        <f aca="false">'2021'!L52-'2020'!L52</f>
        <v>63</v>
      </c>
      <c r="N52" s="452" t="n">
        <f aca="false">IF('2021'!L52=0,0,IF('2020'!L52=0,0,'2021'!L52/'2020'!L52-1))</f>
        <v>0.328125</v>
      </c>
      <c r="O52" s="453" t="n">
        <f aca="false">IF('2020'!N52="-",0,'2021'!N52-'2020'!N52)</f>
        <v>0</v>
      </c>
      <c r="P52" s="454" t="n">
        <f aca="false">IF('2021'!N52=0,0,IF('2020'!N52="-",0,'2021'!N52/'2020'!N52-1))</f>
        <v>0</v>
      </c>
      <c r="Q52" s="455" t="n">
        <f aca="false">IF('2020'!O52="-",0,'2021'!O52-'2020'!O52)</f>
        <v>3</v>
      </c>
      <c r="R52" s="456" t="n">
        <f aca="false">IF('2020'!P52="-",0,'2021'!P52-'2020'!P52)</f>
        <v>5</v>
      </c>
      <c r="S52" s="455" t="n">
        <f aca="false">IF('2020'!Q52="-",0,'2021'!Q52-'2020'!Q52)</f>
        <v>20</v>
      </c>
      <c r="T52" s="456" t="n">
        <f aca="false">IF('2020'!R52="-",0,'2021'!R52-'2020'!R52)</f>
        <v>27</v>
      </c>
      <c r="U52" s="488" t="n">
        <f aca="false">SUM(U49:U51)</f>
        <v>265</v>
      </c>
      <c r="V52" s="499" t="n">
        <f aca="false">IF('2021'!S52=0,0,IF('2020'!S52=0,0,'2021'!S52/'2020'!S52-1))</f>
        <v>0.490740740740741</v>
      </c>
      <c r="W52" s="488" t="n">
        <f aca="false">SUM(W49:W51)</f>
        <v>7</v>
      </c>
      <c r="X52" s="500" t="n">
        <f aca="false">IF('2021'!U52=0,0,IF('2020'!U52=0,0,'2021'!U52/'2020'!U52-1))</f>
        <v>0.1</v>
      </c>
      <c r="Y52" s="82"/>
    </row>
    <row r="53" customFormat="false" ht="15.75" hidden="false" customHeight="true" outlineLevel="0" collapsed="false">
      <c r="B53" s="200" t="s">
        <v>121</v>
      </c>
      <c r="C53" s="189" t="s">
        <v>93</v>
      </c>
      <c r="D53" s="457" t="n">
        <v>2</v>
      </c>
      <c r="E53" s="423" t="s">
        <v>122</v>
      </c>
      <c r="F53" s="448" t="s">
        <v>98</v>
      </c>
      <c r="G53" s="425" t="n">
        <f aca="false">'2021'!G53-'2020'!G53</f>
        <v>-21</v>
      </c>
      <c r="H53" s="426" t="n">
        <f aca="false">IF('2021'!G53=0,0,IF('2020'!G53=0,0,'2021'!G53/'2020'!G53-1))</f>
        <v>0</v>
      </c>
      <c r="I53" s="427" t="n">
        <f aca="false">'2021'!H53-'2020'!H53</f>
        <v>-8</v>
      </c>
      <c r="J53" s="428" t="n">
        <f aca="false">IF(I53=0,0,'2021'!H53/'2020'!H53-1)</f>
        <v>-1</v>
      </c>
      <c r="K53" s="429" t="n">
        <f aca="false">'2021'!J53-'2020'!J53</f>
        <v>-6.09</v>
      </c>
      <c r="L53" s="428" t="n">
        <f aca="false">IF('2021'!J53=0,0,IF('2020'!J53=0,0,'2021'!J53/'2020'!J53-1))</f>
        <v>0</v>
      </c>
      <c r="M53" s="429" t="n">
        <f aca="false">'2021'!L53-'2020'!L53</f>
        <v>-6.72</v>
      </c>
      <c r="N53" s="428" t="n">
        <f aca="false">IF('2021'!L53=0,0,IF('2020'!L53=0,0,'2021'!L53/'2020'!L53-1))</f>
        <v>0</v>
      </c>
      <c r="O53" s="429" t="n">
        <f aca="false">IF('2020'!N53="-",0,'2021'!N53-'2020'!N53)</f>
        <v>0</v>
      </c>
      <c r="P53" s="430" t="n">
        <f aca="false">IF('2021'!N53=0,0,IF('2020'!N53="-",0,'2021'!N53/'2020'!N53-1))</f>
        <v>0</v>
      </c>
      <c r="Q53" s="282" t="n">
        <v>1</v>
      </c>
      <c r="R53" s="283" t="n">
        <v>0</v>
      </c>
      <c r="S53" s="282" t="n">
        <v>7</v>
      </c>
      <c r="T53" s="283" t="n">
        <v>5</v>
      </c>
      <c r="U53" s="362" t="n">
        <f aca="false">'2021'!S53-'2020'!S53</f>
        <v>-19</v>
      </c>
      <c r="V53" s="491" t="n">
        <f aca="false">IF('2021'!S53=0,0,IF('2020'!S53=0,0,'2021'!S53/'2020'!S53-1))</f>
        <v>0</v>
      </c>
      <c r="W53" s="362" t="n">
        <f aca="false">'2021'!U53-'2020'!U53</f>
        <v>-9</v>
      </c>
      <c r="X53" s="492" t="n">
        <f aca="false">IF('2021'!U53=0,0,IF('2020'!U53=0,0,'2021'!U53/'2020'!U53-1))</f>
        <v>0</v>
      </c>
      <c r="Y53" s="82"/>
    </row>
    <row r="54" customFormat="false" ht="15.75" hidden="false" customHeight="true" outlineLevel="0" collapsed="false">
      <c r="B54" s="200"/>
      <c r="C54" s="189"/>
      <c r="D54" s="457"/>
      <c r="E54" s="505" t="s">
        <v>123</v>
      </c>
      <c r="F54" s="460"/>
      <c r="G54" s="433"/>
      <c r="H54" s="434"/>
      <c r="I54" s="435"/>
      <c r="J54" s="436"/>
      <c r="K54" s="437"/>
      <c r="L54" s="436"/>
      <c r="M54" s="437"/>
      <c r="N54" s="436"/>
      <c r="O54" s="437"/>
      <c r="P54" s="438"/>
      <c r="Q54" s="295"/>
      <c r="R54" s="296"/>
      <c r="S54" s="295"/>
      <c r="T54" s="296"/>
      <c r="U54" s="364"/>
      <c r="V54" s="493"/>
      <c r="W54" s="364"/>
      <c r="X54" s="494"/>
      <c r="Y54" s="82"/>
    </row>
    <row r="55" customFormat="false" ht="15.75" hidden="false" customHeight="true" outlineLevel="0" collapsed="false">
      <c r="B55" s="200"/>
      <c r="C55" s="189"/>
      <c r="D55" s="457"/>
      <c r="E55" s="431" t="s">
        <v>124</v>
      </c>
      <c r="F55" s="460"/>
      <c r="G55" s="433"/>
      <c r="H55" s="434"/>
      <c r="I55" s="435"/>
      <c r="J55" s="436"/>
      <c r="K55" s="437"/>
      <c r="L55" s="436"/>
      <c r="M55" s="437"/>
      <c r="N55" s="436"/>
      <c r="O55" s="437"/>
      <c r="P55" s="438"/>
      <c r="Q55" s="295"/>
      <c r="R55" s="296"/>
      <c r="S55" s="295"/>
      <c r="T55" s="296"/>
      <c r="U55" s="364"/>
      <c r="V55" s="493"/>
      <c r="W55" s="364"/>
      <c r="X55" s="494"/>
      <c r="Y55" s="82"/>
    </row>
    <row r="56" customFormat="false" ht="15.75" hidden="false" customHeight="true" outlineLevel="0" collapsed="false">
      <c r="B56" s="200"/>
      <c r="C56" s="189"/>
      <c r="D56" s="457"/>
      <c r="E56" s="439" t="s">
        <v>125</v>
      </c>
      <c r="F56" s="460"/>
      <c r="G56" s="441"/>
      <c r="H56" s="442"/>
      <c r="I56" s="443"/>
      <c r="J56" s="444"/>
      <c r="K56" s="445"/>
      <c r="L56" s="444"/>
      <c r="M56" s="445"/>
      <c r="N56" s="444"/>
      <c r="O56" s="445"/>
      <c r="P56" s="446"/>
      <c r="Q56" s="308"/>
      <c r="R56" s="309"/>
      <c r="S56" s="308"/>
      <c r="T56" s="309"/>
      <c r="U56" s="368"/>
      <c r="V56" s="495"/>
      <c r="W56" s="368"/>
      <c r="X56" s="496"/>
      <c r="Y56" s="82"/>
    </row>
    <row r="57" customFormat="false" ht="15.75" hidden="false" customHeight="true" outlineLevel="0" collapsed="false">
      <c r="B57" s="225" t="s">
        <v>126</v>
      </c>
      <c r="C57" s="226" t="s">
        <v>93</v>
      </c>
      <c r="D57" s="457" t="n">
        <v>14</v>
      </c>
      <c r="E57" s="423" t="s">
        <v>127</v>
      </c>
      <c r="F57" s="424" t="s">
        <v>128</v>
      </c>
      <c r="G57" s="425"/>
      <c r="H57" s="426"/>
      <c r="I57" s="427"/>
      <c r="J57" s="428"/>
      <c r="K57" s="429"/>
      <c r="L57" s="428"/>
      <c r="M57" s="429"/>
      <c r="N57" s="428"/>
      <c r="O57" s="429"/>
      <c r="P57" s="430"/>
      <c r="Q57" s="282"/>
      <c r="R57" s="283"/>
      <c r="S57" s="282"/>
      <c r="T57" s="283"/>
      <c r="U57" s="284"/>
      <c r="V57" s="285"/>
      <c r="W57" s="284"/>
      <c r="X57" s="286"/>
      <c r="Y57" s="82"/>
    </row>
    <row r="58" customFormat="false" ht="15.75" hidden="false" customHeight="true" outlineLevel="0" collapsed="false">
      <c r="B58" s="225"/>
      <c r="C58" s="226"/>
      <c r="D58" s="457"/>
      <c r="E58" s="431" t="s">
        <v>129</v>
      </c>
      <c r="F58" s="432" t="s">
        <v>128</v>
      </c>
      <c r="G58" s="433"/>
      <c r="H58" s="434"/>
      <c r="I58" s="435"/>
      <c r="J58" s="436"/>
      <c r="K58" s="437"/>
      <c r="L58" s="436"/>
      <c r="M58" s="437"/>
      <c r="N58" s="436"/>
      <c r="O58" s="437"/>
      <c r="P58" s="438"/>
      <c r="Q58" s="295"/>
      <c r="R58" s="296"/>
      <c r="S58" s="295"/>
      <c r="T58" s="296"/>
      <c r="U58" s="297"/>
      <c r="V58" s="298"/>
      <c r="W58" s="297"/>
      <c r="X58" s="299"/>
      <c r="Y58" s="82"/>
    </row>
    <row r="59" customFormat="false" ht="15.75" hidden="false" customHeight="true" outlineLevel="0" collapsed="false">
      <c r="B59" s="225"/>
      <c r="C59" s="226"/>
      <c r="D59" s="457"/>
      <c r="E59" s="431" t="s">
        <v>130</v>
      </c>
      <c r="F59" s="432" t="s">
        <v>128</v>
      </c>
      <c r="G59" s="433"/>
      <c r="H59" s="434"/>
      <c r="I59" s="435"/>
      <c r="J59" s="436"/>
      <c r="K59" s="437"/>
      <c r="L59" s="436"/>
      <c r="M59" s="437"/>
      <c r="N59" s="436"/>
      <c r="O59" s="437"/>
      <c r="P59" s="438"/>
      <c r="Q59" s="295"/>
      <c r="R59" s="296"/>
      <c r="S59" s="295"/>
      <c r="T59" s="296"/>
      <c r="U59" s="297"/>
      <c r="V59" s="298"/>
      <c r="W59" s="297"/>
      <c r="X59" s="299"/>
      <c r="Y59" s="82"/>
    </row>
    <row r="60" customFormat="false" ht="15.75" hidden="false" customHeight="true" outlineLevel="0" collapsed="false">
      <c r="B60" s="225"/>
      <c r="C60" s="226"/>
      <c r="D60" s="457"/>
      <c r="E60" s="431" t="s">
        <v>131</v>
      </c>
      <c r="F60" s="432" t="s">
        <v>128</v>
      </c>
      <c r="G60" s="433"/>
      <c r="H60" s="434"/>
      <c r="I60" s="435"/>
      <c r="J60" s="436"/>
      <c r="K60" s="437"/>
      <c r="L60" s="436"/>
      <c r="M60" s="437"/>
      <c r="N60" s="436"/>
      <c r="O60" s="437"/>
      <c r="P60" s="438"/>
      <c r="Q60" s="295"/>
      <c r="R60" s="296"/>
      <c r="S60" s="295"/>
      <c r="T60" s="296"/>
      <c r="U60" s="297"/>
      <c r="V60" s="298"/>
      <c r="W60" s="297"/>
      <c r="X60" s="299"/>
      <c r="Y60" s="82"/>
    </row>
    <row r="61" customFormat="false" ht="15.75" hidden="false" customHeight="true" outlineLevel="0" collapsed="false">
      <c r="B61" s="225"/>
      <c r="C61" s="226"/>
      <c r="D61" s="457"/>
      <c r="E61" s="431" t="s">
        <v>132</v>
      </c>
      <c r="F61" s="432" t="s">
        <v>128</v>
      </c>
      <c r="G61" s="433"/>
      <c r="H61" s="434"/>
      <c r="I61" s="435"/>
      <c r="J61" s="436"/>
      <c r="K61" s="437"/>
      <c r="L61" s="436"/>
      <c r="M61" s="437"/>
      <c r="N61" s="436"/>
      <c r="O61" s="437"/>
      <c r="P61" s="438"/>
      <c r="Q61" s="295"/>
      <c r="R61" s="296"/>
      <c r="S61" s="295"/>
      <c r="T61" s="296"/>
      <c r="U61" s="297"/>
      <c r="V61" s="298"/>
      <c r="W61" s="297"/>
      <c r="X61" s="299"/>
      <c r="Y61" s="82"/>
    </row>
    <row r="62" customFormat="false" ht="15.75" hidden="false" customHeight="true" outlineLevel="0" collapsed="false">
      <c r="B62" s="225"/>
      <c r="C62" s="226"/>
      <c r="D62" s="457"/>
      <c r="E62" s="431" t="s">
        <v>133</v>
      </c>
      <c r="F62" s="432"/>
      <c r="G62" s="433"/>
      <c r="H62" s="434"/>
      <c r="I62" s="435"/>
      <c r="J62" s="434"/>
      <c r="K62" s="437"/>
      <c r="L62" s="436"/>
      <c r="M62" s="437"/>
      <c r="N62" s="436"/>
      <c r="O62" s="437"/>
      <c r="P62" s="438"/>
      <c r="Q62" s="295"/>
      <c r="R62" s="296"/>
      <c r="S62" s="295"/>
      <c r="T62" s="296"/>
      <c r="U62" s="297"/>
      <c r="V62" s="298"/>
      <c r="W62" s="297"/>
      <c r="X62" s="299"/>
      <c r="Y62" s="82"/>
    </row>
    <row r="63" customFormat="false" ht="15.75" hidden="false" customHeight="true" outlineLevel="0" collapsed="false">
      <c r="B63" s="225"/>
      <c r="C63" s="226"/>
      <c r="D63" s="457"/>
      <c r="E63" s="431" t="s">
        <v>134</v>
      </c>
      <c r="F63" s="432"/>
      <c r="G63" s="433"/>
      <c r="H63" s="434"/>
      <c r="I63" s="435"/>
      <c r="J63" s="434"/>
      <c r="K63" s="437"/>
      <c r="L63" s="436"/>
      <c r="M63" s="437"/>
      <c r="N63" s="436"/>
      <c r="O63" s="437"/>
      <c r="P63" s="438"/>
      <c r="Q63" s="295"/>
      <c r="R63" s="296"/>
      <c r="S63" s="295"/>
      <c r="T63" s="296"/>
      <c r="U63" s="297"/>
      <c r="V63" s="298"/>
      <c r="W63" s="297"/>
      <c r="X63" s="299"/>
      <c r="Y63" s="82"/>
    </row>
    <row r="64" customFormat="false" ht="15.75" hidden="false" customHeight="true" outlineLevel="0" collapsed="false">
      <c r="B64" s="225"/>
      <c r="C64" s="226"/>
      <c r="D64" s="457"/>
      <c r="E64" s="431" t="s">
        <v>135</v>
      </c>
      <c r="F64" s="432" t="s">
        <v>128</v>
      </c>
      <c r="G64" s="433" t="n">
        <f aca="false">'2021'!G64-'2020'!G64</f>
        <v>122</v>
      </c>
      <c r="H64" s="434" t="n">
        <f aca="false">IF('2021'!G64=0,0,IF('2020'!G64=0,0,'2021'!G64/'2020'!G64-1))</f>
        <v>0.187403993855607</v>
      </c>
      <c r="I64" s="435" t="n">
        <f aca="false">'2021'!H64-'2020'!H64</f>
        <v>122</v>
      </c>
      <c r="J64" s="436" t="n">
        <f aca="false">IF(I64=0,0,'2021'!H64/'2020'!H64-1)</f>
        <v>0.187403993855607</v>
      </c>
      <c r="K64" s="437" t="n">
        <f aca="false">'2021'!J64-'2020'!J64</f>
        <v>41</v>
      </c>
      <c r="L64" s="436" t="n">
        <f aca="false">IF('2021'!J64=0,0,IF('2020'!J64=0,0,'2021'!J64/'2020'!J64-1))</f>
        <v>0.155893536121673</v>
      </c>
      <c r="M64" s="437" t="n">
        <f aca="false">'2021'!L64-'2020'!L64</f>
        <v>83</v>
      </c>
      <c r="N64" s="436" t="n">
        <f aca="false">IF('2021'!L64=0,0,IF('2020'!L64=0,0,'2021'!L64/'2020'!L64-1))</f>
        <v>0.332</v>
      </c>
      <c r="O64" s="437" t="n">
        <f aca="false">IF('2020'!N64="-",0,'2021'!N64-'2020'!N64)</f>
        <v>192</v>
      </c>
      <c r="P64" s="438" t="n">
        <f aca="false">IF('2021'!N64=0,0,IF('2020'!N64="",0,'2021'!N64/'2020'!N64-1))</f>
        <v>0</v>
      </c>
      <c r="Q64" s="295"/>
      <c r="R64" s="296"/>
      <c r="S64" s="295"/>
      <c r="T64" s="296"/>
      <c r="U64" s="297"/>
      <c r="V64" s="298"/>
      <c r="W64" s="297"/>
      <c r="X64" s="299"/>
      <c r="Y64" s="82"/>
    </row>
    <row r="65" customFormat="false" ht="15.75" hidden="false" customHeight="true" outlineLevel="0" collapsed="false">
      <c r="B65" s="225"/>
      <c r="C65" s="226"/>
      <c r="D65" s="457"/>
      <c r="E65" s="431" t="s">
        <v>136</v>
      </c>
      <c r="F65" s="432" t="s">
        <v>128</v>
      </c>
      <c r="G65" s="433" t="n">
        <f aca="false">'2021'!G65-'2020'!G65</f>
        <v>14</v>
      </c>
      <c r="H65" s="434" t="n">
        <f aca="false">IF('2021'!G65=0,0,IF('2020'!G65=0,0,'2021'!G65/'2020'!G65-1))</f>
        <v>0.0227642276422764</v>
      </c>
      <c r="I65" s="435" t="n">
        <f aca="false">'2021'!H65-'2020'!H65</f>
        <v>14</v>
      </c>
      <c r="J65" s="436" t="n">
        <f aca="false">IF(I65=0,0,'2021'!H65/'2020'!H65-1)</f>
        <v>0.0227642276422764</v>
      </c>
      <c r="K65" s="437" t="n">
        <f aca="false">'2021'!J65-'2020'!J65</f>
        <v>25</v>
      </c>
      <c r="L65" s="436" t="n">
        <f aca="false">IF('2021'!J65=0,0,IF('2020'!J65=0,0,'2021'!J65/'2020'!J65-1))</f>
        <v>0.0922509225092252</v>
      </c>
      <c r="M65" s="437" t="n">
        <f aca="false">'2021'!L65-'2020'!L65</f>
        <v>70</v>
      </c>
      <c r="N65" s="436" t="n">
        <f aca="false">IF('2021'!L65=0,0,IF('2020'!L65=0,0,'2021'!L65/'2020'!L65-1))</f>
        <v>0.29045643153527</v>
      </c>
      <c r="O65" s="437" t="n">
        <f aca="false">IF('2020'!N65="-",0,'2021'!N65-'2020'!N65)</f>
        <v>182</v>
      </c>
      <c r="P65" s="438" t="n">
        <f aca="false">IF('2021'!N65=0,0,IF('2020'!N65="",0,'2021'!N65/'2020'!N65-1))</f>
        <v>0</v>
      </c>
      <c r="Q65" s="295"/>
      <c r="R65" s="296"/>
      <c r="S65" s="295"/>
      <c r="T65" s="296"/>
      <c r="U65" s="297"/>
      <c r="V65" s="298"/>
      <c r="W65" s="297"/>
      <c r="X65" s="299"/>
      <c r="Y65" s="82"/>
    </row>
    <row r="66" customFormat="false" ht="15.75" hidden="false" customHeight="true" outlineLevel="0" collapsed="false">
      <c r="B66" s="225"/>
      <c r="C66" s="226"/>
      <c r="D66" s="457"/>
      <c r="E66" s="439" t="s">
        <v>137</v>
      </c>
      <c r="F66" s="440" t="s">
        <v>128</v>
      </c>
      <c r="G66" s="441"/>
      <c r="H66" s="442"/>
      <c r="I66" s="443"/>
      <c r="J66" s="444"/>
      <c r="K66" s="445"/>
      <c r="L66" s="444"/>
      <c r="M66" s="445"/>
      <c r="N66" s="444"/>
      <c r="O66" s="445"/>
      <c r="P66" s="446"/>
      <c r="Q66" s="308"/>
      <c r="R66" s="309"/>
      <c r="S66" s="308"/>
      <c r="T66" s="309"/>
      <c r="U66" s="310"/>
      <c r="V66" s="311"/>
      <c r="W66" s="310"/>
      <c r="X66" s="312"/>
      <c r="Y66" s="82"/>
    </row>
    <row r="67" customFormat="false" ht="16.5" hidden="false" customHeight="false" outlineLevel="0" collapsed="false">
      <c r="B67" s="225"/>
      <c r="C67" s="226"/>
      <c r="D67" s="506" t="s">
        <v>81</v>
      </c>
      <c r="E67" s="507"/>
      <c r="F67" s="508"/>
      <c r="G67" s="461" t="n">
        <f aca="false">'2021'!G67-'2020'!G67</f>
        <v>-485</v>
      </c>
      <c r="H67" s="462" t="n">
        <f aca="false">IF('2021'!G67=0,0,IF('2020'!G67=0,0,'2021'!G67/'2020'!G67-1))</f>
        <v>-0.219357756671189</v>
      </c>
      <c r="I67" s="463" t="n">
        <f aca="false">'2021'!H67-'2020'!H67</f>
        <v>-485</v>
      </c>
      <c r="J67" s="464" t="n">
        <f aca="false">IF(I67=0,0,'2021'!H67/'2020'!H67-1)</f>
        <v>-0.219357756671189</v>
      </c>
      <c r="K67" s="465" t="n">
        <f aca="false">'2021'!J67-'2020'!J67</f>
        <v>-146</v>
      </c>
      <c r="L67" s="464" t="n">
        <f aca="false">IF('2021'!J67=0,0,IF('2020'!J67=0,0,'2021'!J67/'2020'!J67-1))</f>
        <v>-0.18227215980025</v>
      </c>
      <c r="M67" s="465" t="n">
        <f aca="false">'2021'!L67-'2020'!L67</f>
        <v>-174</v>
      </c>
      <c r="N67" s="464" t="n">
        <f aca="false">IF('2021'!L67=0,0,IF('2020'!L67=0,0,'2021'!L67/'2020'!L67-1))</f>
        <v>-0.19683257918552</v>
      </c>
      <c r="O67" s="465" t="n">
        <f aca="false">IF('2020'!N67="-",0,'2021'!N67-'2020'!N67)</f>
        <v>405</v>
      </c>
      <c r="P67" s="466" t="n">
        <f aca="false">IF('2021'!N67=0,0,IF('2020'!N67=0,0,'2021'!N67/'2020'!N67-1))</f>
        <v>0</v>
      </c>
      <c r="Q67" s="467"/>
      <c r="R67" s="468"/>
      <c r="S67" s="467"/>
      <c r="T67" s="468"/>
      <c r="U67" s="389"/>
      <c r="V67" s="390"/>
      <c r="W67" s="389"/>
      <c r="X67" s="391"/>
      <c r="Y67" s="82"/>
    </row>
    <row r="68" s="155" customFormat="true" ht="21" hidden="false" customHeight="true" outlineLevel="0" collapsed="false">
      <c r="A68" s="22"/>
      <c r="B68" s="140" t="s">
        <v>138</v>
      </c>
      <c r="C68" s="141"/>
      <c r="D68" s="469" t="n">
        <f aca="false">SUM(D26:D66)</f>
        <v>83</v>
      </c>
      <c r="E68" s="509"/>
      <c r="F68" s="471" t="n">
        <f aca="false">COUNT(K26:K66)</f>
        <v>26</v>
      </c>
      <c r="G68" s="510" t="n">
        <f aca="false">G32+G39+G48+G52+G53+G67</f>
        <v>-939</v>
      </c>
      <c r="H68" s="511" t="n">
        <f aca="false">IF('2021'!G68=0,0,IF('2020'!G68=0,0,'2021'!G68/'2020'!G68-1))</f>
        <v>-0.193928128872367</v>
      </c>
      <c r="I68" s="512" t="n">
        <f aca="false">I32+I39+I48+I52+I53+I67</f>
        <v>-350</v>
      </c>
      <c r="J68" s="513" t="n">
        <f aca="false">IF(I68=0,0,'2021'!H68/'2020'!H68-1)</f>
        <v>-0.102850426094622</v>
      </c>
      <c r="K68" s="514" t="n">
        <f aca="false">K32+K39+K48+K52+K53+K67</f>
        <v>-343.05</v>
      </c>
      <c r="L68" s="513" t="n">
        <f aca="false">IF('2021'!J68=0,0,IF('2020'!J68=0,0,'2021'!J68/'2020'!J68-1))</f>
        <v>-0.180738125971392</v>
      </c>
      <c r="M68" s="514" t="n">
        <f aca="false">M32+M39+M48+M52+M53+M67</f>
        <v>-452.31</v>
      </c>
      <c r="N68" s="513" t="n">
        <f aca="false">IF('2021'!L68=0,0,IF('2020'!L68=0,0,'2021'!L68/'2020'!L68-1))</f>
        <v>-0.233593794382098</v>
      </c>
      <c r="O68" s="515" t="n">
        <f aca="false">O32+O39+O48+O52+O53+O67</f>
        <v>448.0998</v>
      </c>
      <c r="P68" s="516" t="n">
        <f aca="false">IF('2021'!N68=0,0,IF('2020'!N68="-",0,'2021'!N68/'2020'!N68-1))</f>
        <v>4.15290981851748</v>
      </c>
      <c r="Q68" s="335"/>
      <c r="R68" s="336"/>
      <c r="S68" s="335"/>
      <c r="T68" s="336"/>
      <c r="U68" s="335"/>
      <c r="V68" s="336"/>
      <c r="W68" s="335"/>
      <c r="X68" s="337"/>
      <c r="Y68" s="154"/>
    </row>
    <row r="69" s="155" customFormat="true" ht="21" hidden="false" customHeight="true" outlineLevel="0" collapsed="false">
      <c r="A69" s="22"/>
      <c r="B69" s="140" t="s">
        <v>139</v>
      </c>
      <c r="C69" s="141"/>
      <c r="D69" s="469" t="n">
        <f aca="false">D68+D25</f>
        <v>101</v>
      </c>
      <c r="E69" s="509"/>
      <c r="F69" s="471" t="n">
        <f aca="false">F68+F25</f>
        <v>43</v>
      </c>
      <c r="G69" s="510" t="n">
        <f aca="false">G25+G68</f>
        <v>-738</v>
      </c>
      <c r="H69" s="511" t="n">
        <f aca="false">IF('2021'!G69=0,0,IF('2020'!G69=0,0,'2021'!G69/'2020'!G69-1))</f>
        <v>-0.140947288006112</v>
      </c>
      <c r="I69" s="512" t="n">
        <f aca="false">I25+I68</f>
        <v>-170</v>
      </c>
      <c r="J69" s="513" t="n">
        <f aca="false">IF(I69=0,0,'2021'!H69/'2020'!H69-1)</f>
        <v>-0.0467289719626168</v>
      </c>
      <c r="K69" s="514" t="n">
        <f aca="false">K25+K68</f>
        <v>-262.02</v>
      </c>
      <c r="L69" s="513" t="n">
        <f aca="false">IF('2021'!J69=0,0,IF('2020'!J69=0,0,'2021'!J69/'2020'!J69-1))</f>
        <v>-0.131865809101066</v>
      </c>
      <c r="M69" s="514" t="n">
        <f aca="false">M25+M68</f>
        <v>-390.33</v>
      </c>
      <c r="N69" s="513" t="n">
        <f aca="false">IF('2021'!L69=0,0,IF('2020'!L69=0,0,'2021'!L69/'2020'!L69-1))</f>
        <v>-0.192724148657256</v>
      </c>
      <c r="O69" s="515" t="n">
        <f aca="false">O5+O16+O17+O19+O21+O23+SUM(O33:O45)</f>
        <v>53.1398</v>
      </c>
      <c r="P69" s="516" t="n">
        <f aca="false">IF('2021'!N69=0,0,IF('2020'!N69="-",0,'2021'!N69/'2020'!N69-1))</f>
        <v>0.276420630633482</v>
      </c>
      <c r="Q69" s="335"/>
      <c r="R69" s="336"/>
      <c r="S69" s="335"/>
      <c r="T69" s="336"/>
      <c r="U69" s="335"/>
      <c r="V69" s="336"/>
      <c r="W69" s="335"/>
      <c r="X69" s="337"/>
      <c r="Y69" s="154"/>
    </row>
    <row r="70" customFormat="false" ht="15" hidden="false" customHeight="false" outlineLevel="0" collapsed="false">
      <c r="B70" s="248"/>
      <c r="C70" s="249"/>
      <c r="D70" s="249"/>
      <c r="E70" s="248"/>
      <c r="F70" s="249"/>
      <c r="G70" s="397"/>
      <c r="H70" s="397"/>
      <c r="I70" s="397"/>
      <c r="J70" s="397"/>
      <c r="K70" s="398"/>
      <c r="L70" s="398"/>
      <c r="M70" s="398"/>
      <c r="O70" s="399" t="s">
        <v>140</v>
      </c>
      <c r="P70" s="399"/>
      <c r="Q70" s="397"/>
      <c r="R70" s="397"/>
      <c r="S70" s="397"/>
      <c r="T70" s="397"/>
      <c r="U70" s="397"/>
      <c r="V70" s="397"/>
      <c r="W70" s="397"/>
      <c r="X70" s="397"/>
    </row>
    <row r="71" customFormat="false" ht="15" hidden="false" customHeight="false" outlineLevel="0" collapsed="false">
      <c r="E71" s="253" t="s">
        <v>141</v>
      </c>
      <c r="F71" s="254"/>
    </row>
    <row r="72" customFormat="false" ht="15" hidden="false" customHeight="false" outlineLevel="0" collapsed="false">
      <c r="E72" s="1" t="s">
        <v>70</v>
      </c>
      <c r="F72" s="2" t="n">
        <f aca="false">COUNTIF(F$5:F$66,E72)</f>
        <v>22</v>
      </c>
    </row>
    <row r="73" customFormat="false" ht="15" hidden="false" customHeight="false" outlineLevel="0" collapsed="false">
      <c r="E73" s="1" t="s">
        <v>128</v>
      </c>
      <c r="F73" s="2" t="n">
        <f aca="false">COUNTIF(F$5:F$66,E73)</f>
        <v>8</v>
      </c>
    </row>
    <row r="74" customFormat="false" ht="15" hidden="false" customHeight="false" outlineLevel="0" collapsed="false">
      <c r="E74" s="1" t="s">
        <v>98</v>
      </c>
      <c r="F74" s="2" t="n">
        <f aca="false">COUNTIF(F$5:F$66,E74)</f>
        <v>17</v>
      </c>
    </row>
  </sheetData>
  <mergeCells count="42">
    <mergeCell ref="B2:B4"/>
    <mergeCell ref="C2:C4"/>
    <mergeCell ref="D2:D4"/>
    <mergeCell ref="E2:E4"/>
    <mergeCell ref="F2:F4"/>
    <mergeCell ref="G2:J2"/>
    <mergeCell ref="K2:L3"/>
    <mergeCell ref="M2:N3"/>
    <mergeCell ref="O2:P3"/>
    <mergeCell ref="Q2:R2"/>
    <mergeCell ref="S2:T2"/>
    <mergeCell ref="U2:V2"/>
    <mergeCell ref="W2:X2"/>
    <mergeCell ref="G3:H3"/>
    <mergeCell ref="I3:J3"/>
    <mergeCell ref="U3:V3"/>
    <mergeCell ref="W3:X3"/>
    <mergeCell ref="B6:B15"/>
    <mergeCell ref="C6:C15"/>
    <mergeCell ref="D6:D14"/>
    <mergeCell ref="B16:B24"/>
    <mergeCell ref="C16:C24"/>
    <mergeCell ref="D16:D23"/>
    <mergeCell ref="B26:B32"/>
    <mergeCell ref="C26:C32"/>
    <mergeCell ref="D26:D31"/>
    <mergeCell ref="B33:B39"/>
    <mergeCell ref="C33:C39"/>
    <mergeCell ref="D33:D38"/>
    <mergeCell ref="B40:B48"/>
    <mergeCell ref="C40:C48"/>
    <mergeCell ref="D40:D47"/>
    <mergeCell ref="B49:B52"/>
    <mergeCell ref="C49:C52"/>
    <mergeCell ref="D49:D51"/>
    <mergeCell ref="B53:B56"/>
    <mergeCell ref="C53:C56"/>
    <mergeCell ref="D53:D56"/>
    <mergeCell ref="B57:B67"/>
    <mergeCell ref="C57:C67"/>
    <mergeCell ref="D57:D66"/>
    <mergeCell ref="O70:P70"/>
  </mergeCells>
  <printOptions headings="false" gridLines="false" gridLinesSet="true" horizontalCentered="false" verticalCentered="false"/>
  <pageMargins left="0.236111111111111" right="0.236111111111111" top="0.354166666666667" bottom="0.157638888888889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LibreOffice/7.0.5.2$Windows_X86_64 LibreOffice_project/64390860c6cd0aca4beafafcfd84613dd9dfb63a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2020-06-23T06:39:08Z</dcterms:created>
  <dc:creator>Yannick ROGUET</dc:creator>
  <dc:description/>
  <dc:language>fr-FR</dc:language>
  <cp:lastModifiedBy/>
  <cp:lastPrinted>2020-06-24T07:16:41Z</cp:lastPrinted>
  <dcterms:modified xsi:type="dcterms:W3CDTF">2021-07-06T16:51:19Z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