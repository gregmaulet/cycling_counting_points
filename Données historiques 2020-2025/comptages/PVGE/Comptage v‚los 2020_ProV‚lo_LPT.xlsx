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persons/person.xml" ContentType="application/vnd.ms-excel.person+xml"/>
  <Override PartName="/xl/threadedComments/threadedComment1.xml" ContentType="application/vnd.ms-excel.threadedcomment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2030" yWindow="15" windowWidth="9090" windowHeight="10110" tabRatio="711" activeTab="8"/>
  </bookViews>
  <sheets>
    <sheet name="XXXI DECEMBRE" sheetId="1" r:id="rId1"/>
    <sheet name="ARQUEBUSE" sheetId="2" r:id="rId2"/>
    <sheet name="GEORGES-FAVON" sheetId="3" r:id="rId3"/>
    <sheet name="F HODLER" sheetId="4" r:id="rId4"/>
    <sheet name="PICTET ROCHEMONT" sheetId="5" r:id="rId5"/>
    <sheet name="VV, BEL AIR" sheetId="6" r:id="rId6"/>
    <sheet name="VV, FRANK THOMAS" sheetId="8" r:id="rId7"/>
    <sheet name="TRANCHEES" sheetId="7" r:id="rId8"/>
    <sheet name="TOTAL" sheetId="9" r:id="rId9"/>
  </sheets>
  <definedNames>
    <definedName name="_xlchart.v1.0" hidden="1">TOTAL!$B$9:$B$11</definedName>
    <definedName name="_xlchart.v1.1" hidden="1">TOTAL!$G$9:$G$11</definedName>
    <definedName name="_xlchart.v1.2" hidden="1">TOTAL!$H$9:$H$11</definedName>
    <definedName name="_xlchart.v1.3" hidden="1">TOTAL!$B$9:$B$11</definedName>
    <definedName name="_xlchart.v1.4" hidden="1">TOTAL!$G$9:$G$11</definedName>
    <definedName name="_xlchart.v1.5" hidden="1">TOTAL!$P$9:$P$11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4" i="6" l="1"/>
  <c r="H51" i="6"/>
  <c r="H50" i="6"/>
  <c r="H49" i="6"/>
  <c r="H47" i="6"/>
  <c r="H46" i="6"/>
  <c r="H45" i="6"/>
  <c r="H43" i="6"/>
  <c r="H42" i="6"/>
  <c r="G42" i="6"/>
  <c r="C51" i="6"/>
  <c r="G51" i="6" s="1"/>
  <c r="C50" i="6"/>
  <c r="C49" i="6"/>
  <c r="C47" i="6"/>
  <c r="G47" i="6" s="1"/>
  <c r="C46" i="6"/>
  <c r="G46" i="6" s="1"/>
  <c r="C45" i="6"/>
  <c r="C43" i="6"/>
  <c r="C42" i="6"/>
  <c r="F53" i="6"/>
  <c r="F54" i="6" s="1"/>
  <c r="E53" i="6"/>
  <c r="E54" i="6" s="1"/>
  <c r="D53" i="6"/>
  <c r="D54" i="6" s="1"/>
  <c r="G50" i="6"/>
  <c r="G45" i="6"/>
  <c r="G35" i="6"/>
  <c r="G18" i="6"/>
  <c r="G37" i="6"/>
  <c r="G43" i="6" l="1"/>
  <c r="C53" i="6"/>
  <c r="G49" i="6"/>
  <c r="G53" i="6"/>
  <c r="G32" i="4" l="1"/>
  <c r="G31" i="4"/>
  <c r="G30" i="4"/>
  <c r="G28" i="4"/>
  <c r="G27" i="4"/>
  <c r="G26" i="4"/>
  <c r="G24" i="4"/>
  <c r="G23" i="4"/>
  <c r="G49" i="4"/>
  <c r="G48" i="4"/>
  <c r="G47" i="4"/>
  <c r="G45" i="4"/>
  <c r="G44" i="4"/>
  <c r="G43" i="4"/>
  <c r="G41" i="4"/>
  <c r="G40" i="4"/>
  <c r="L9" i="9" l="1"/>
  <c r="M9" i="9"/>
  <c r="N9" i="9"/>
  <c r="L10" i="9"/>
  <c r="M10" i="9"/>
  <c r="N10" i="9"/>
  <c r="L11" i="9"/>
  <c r="M11" i="9"/>
  <c r="N11" i="9"/>
  <c r="K10" i="9"/>
  <c r="K11" i="9"/>
  <c r="K9" i="9"/>
  <c r="C10" i="9"/>
  <c r="D10" i="9"/>
  <c r="E10" i="9"/>
  <c r="F10" i="9"/>
  <c r="C11" i="9"/>
  <c r="D11" i="9"/>
  <c r="E11" i="9"/>
  <c r="F11" i="9"/>
  <c r="D9" i="9"/>
  <c r="E9" i="9"/>
  <c r="F9" i="9"/>
  <c r="C9" i="9"/>
  <c r="L6" i="9"/>
  <c r="M6" i="9"/>
  <c r="N6" i="9"/>
  <c r="L7" i="9"/>
  <c r="M7" i="9"/>
  <c r="N7" i="9"/>
  <c r="K7" i="9"/>
  <c r="K6" i="9"/>
  <c r="L13" i="9"/>
  <c r="M13" i="9"/>
  <c r="N13" i="9"/>
  <c r="L14" i="9"/>
  <c r="M14" i="9"/>
  <c r="N14" i="9"/>
  <c r="L15" i="9"/>
  <c r="M15" i="9"/>
  <c r="N15" i="9"/>
  <c r="K14" i="9"/>
  <c r="K15" i="9"/>
  <c r="K13" i="9"/>
  <c r="D13" i="9"/>
  <c r="E13" i="9"/>
  <c r="F13" i="9"/>
  <c r="D14" i="9"/>
  <c r="E14" i="9"/>
  <c r="F14" i="9"/>
  <c r="D15" i="9"/>
  <c r="E15" i="9"/>
  <c r="F15" i="9"/>
  <c r="C14" i="9"/>
  <c r="C15" i="9"/>
  <c r="C13" i="9"/>
  <c r="D6" i="9"/>
  <c r="E6" i="9"/>
  <c r="F6" i="9"/>
  <c r="D7" i="9"/>
  <c r="E7" i="9"/>
  <c r="F7" i="9"/>
  <c r="C7" i="9"/>
  <c r="C6" i="9"/>
  <c r="F34" i="8"/>
  <c r="E34" i="8"/>
  <c r="D34" i="8"/>
  <c r="C34" i="8"/>
  <c r="G32" i="8"/>
  <c r="G31" i="8"/>
  <c r="G30" i="8"/>
  <c r="G24" i="8"/>
  <c r="G23" i="8"/>
  <c r="F17" i="8"/>
  <c r="E17" i="8"/>
  <c r="D17" i="8"/>
  <c r="C17" i="8"/>
  <c r="G15" i="8"/>
  <c r="G14" i="8"/>
  <c r="G13" i="8"/>
  <c r="G7" i="8"/>
  <c r="G6" i="8"/>
  <c r="N34" i="8"/>
  <c r="M34" i="8"/>
  <c r="L34" i="8"/>
  <c r="K34" i="8"/>
  <c r="O32" i="8"/>
  <c r="O31" i="8"/>
  <c r="O30" i="8"/>
  <c r="O24" i="8"/>
  <c r="O23" i="8"/>
  <c r="N17" i="8"/>
  <c r="M17" i="8"/>
  <c r="L17" i="8"/>
  <c r="K17" i="8"/>
  <c r="O15" i="8"/>
  <c r="O14" i="8"/>
  <c r="O13" i="8"/>
  <c r="O7" i="8"/>
  <c r="O6" i="8"/>
  <c r="N34" i="7"/>
  <c r="M34" i="7"/>
  <c r="L34" i="7"/>
  <c r="K34" i="7"/>
  <c r="O32" i="7"/>
  <c r="O31" i="7"/>
  <c r="O30" i="7"/>
  <c r="O24" i="7"/>
  <c r="O23" i="7"/>
  <c r="N17" i="7"/>
  <c r="M17" i="7"/>
  <c r="L17" i="7"/>
  <c r="K17" i="7"/>
  <c r="O15" i="7"/>
  <c r="O14" i="7"/>
  <c r="O13" i="7"/>
  <c r="O7" i="7"/>
  <c r="O6" i="7"/>
  <c r="K28" i="6"/>
  <c r="K27" i="6"/>
  <c r="O27" i="6" s="1"/>
  <c r="K26" i="6"/>
  <c r="K11" i="6"/>
  <c r="K10" i="6"/>
  <c r="O10" i="6" s="1"/>
  <c r="K9" i="6"/>
  <c r="N34" i="6"/>
  <c r="M34" i="6"/>
  <c r="L34" i="6"/>
  <c r="K34" i="6"/>
  <c r="O32" i="6"/>
  <c r="O31" i="6"/>
  <c r="O30" i="6"/>
  <c r="O28" i="6"/>
  <c r="O26" i="6"/>
  <c r="O24" i="6"/>
  <c r="O23" i="6"/>
  <c r="N17" i="6"/>
  <c r="M17" i="6"/>
  <c r="L17" i="6"/>
  <c r="K17" i="6"/>
  <c r="O15" i="6"/>
  <c r="O14" i="6"/>
  <c r="O13" i="6"/>
  <c r="O11" i="6"/>
  <c r="O9" i="6"/>
  <c r="O7" i="6"/>
  <c r="O6" i="6"/>
  <c r="N34" i="5"/>
  <c r="M34" i="5"/>
  <c r="L34" i="5"/>
  <c r="K34" i="5"/>
  <c r="O32" i="5"/>
  <c r="O31" i="5"/>
  <c r="O30" i="5"/>
  <c r="O28" i="5"/>
  <c r="O27" i="5"/>
  <c r="O26" i="5"/>
  <c r="O24" i="5"/>
  <c r="O23" i="5"/>
  <c r="N17" i="5"/>
  <c r="M17" i="5"/>
  <c r="L17" i="5"/>
  <c r="K17" i="5"/>
  <c r="O15" i="5"/>
  <c r="O14" i="5"/>
  <c r="O13" i="5"/>
  <c r="O11" i="5"/>
  <c r="O10" i="5"/>
  <c r="O9" i="5"/>
  <c r="O7" i="5"/>
  <c r="O6" i="5"/>
  <c r="N51" i="4"/>
  <c r="M51" i="4"/>
  <c r="L51" i="4"/>
  <c r="K51" i="4"/>
  <c r="O49" i="4"/>
  <c r="O48" i="4"/>
  <c r="O47" i="4"/>
  <c r="O45" i="4"/>
  <c r="O44" i="4"/>
  <c r="O43" i="4"/>
  <c r="O41" i="4"/>
  <c r="O40" i="4"/>
  <c r="N34" i="4"/>
  <c r="M34" i="4"/>
  <c r="L34" i="4"/>
  <c r="K34" i="4"/>
  <c r="O32" i="4"/>
  <c r="O31" i="4"/>
  <c r="O30" i="4"/>
  <c r="O28" i="4"/>
  <c r="O27" i="4"/>
  <c r="O26" i="4"/>
  <c r="O24" i="4"/>
  <c r="O23" i="4"/>
  <c r="N17" i="4"/>
  <c r="M17" i="4"/>
  <c r="L17" i="4"/>
  <c r="K17" i="4"/>
  <c r="O15" i="4"/>
  <c r="O14" i="4"/>
  <c r="O13" i="4"/>
  <c r="O11" i="4"/>
  <c r="O10" i="4"/>
  <c r="O9" i="4"/>
  <c r="O7" i="4"/>
  <c r="O6" i="4"/>
  <c r="N34" i="3"/>
  <c r="M34" i="3"/>
  <c r="L34" i="3"/>
  <c r="K34" i="3"/>
  <c r="O32" i="3"/>
  <c r="O31" i="3"/>
  <c r="O30" i="3"/>
  <c r="O28" i="3"/>
  <c r="O27" i="3"/>
  <c r="O26" i="3"/>
  <c r="O24" i="3"/>
  <c r="O23" i="3"/>
  <c r="N17" i="3"/>
  <c r="M17" i="3"/>
  <c r="L17" i="3"/>
  <c r="K17" i="3"/>
  <c r="O15" i="3"/>
  <c r="O14" i="3"/>
  <c r="O13" i="3"/>
  <c r="O11" i="3"/>
  <c r="O10" i="3"/>
  <c r="O9" i="3"/>
  <c r="O7" i="3"/>
  <c r="O6" i="3"/>
  <c r="N34" i="2"/>
  <c r="M34" i="2"/>
  <c r="L34" i="2"/>
  <c r="K34" i="2"/>
  <c r="O32" i="2"/>
  <c r="O31" i="2"/>
  <c r="O30" i="2"/>
  <c r="O28" i="2"/>
  <c r="O27" i="2"/>
  <c r="O26" i="2"/>
  <c r="O24" i="2"/>
  <c r="O23" i="2"/>
  <c r="N17" i="2"/>
  <c r="M17" i="2"/>
  <c r="L17" i="2"/>
  <c r="K17" i="2"/>
  <c r="O15" i="2"/>
  <c r="O14" i="2"/>
  <c r="O13" i="2"/>
  <c r="O11" i="2"/>
  <c r="O10" i="2"/>
  <c r="O9" i="2"/>
  <c r="O7" i="2"/>
  <c r="O6" i="2"/>
  <c r="N17" i="1"/>
  <c r="M17" i="1"/>
  <c r="L17" i="1"/>
  <c r="K17" i="1"/>
  <c r="O15" i="1"/>
  <c r="O14" i="1"/>
  <c r="O13" i="1"/>
  <c r="O11" i="1"/>
  <c r="O10" i="1"/>
  <c r="O9" i="1"/>
  <c r="O7" i="1"/>
  <c r="O6" i="1"/>
  <c r="N20" i="9" l="1"/>
  <c r="M20" i="9"/>
  <c r="N17" i="9"/>
  <c r="O6" i="9"/>
  <c r="L17" i="9"/>
  <c r="O51" i="4"/>
  <c r="M52" i="4" s="1"/>
  <c r="L20" i="9"/>
  <c r="O13" i="9"/>
  <c r="K20" i="9"/>
  <c r="P40" i="4"/>
  <c r="O14" i="9"/>
  <c r="F17" i="9"/>
  <c r="E17" i="9"/>
  <c r="D17" i="9"/>
  <c r="G13" i="9"/>
  <c r="G14" i="9"/>
  <c r="F20" i="9"/>
  <c r="E20" i="9"/>
  <c r="D20" i="9"/>
  <c r="G9" i="9"/>
  <c r="C20" i="9"/>
  <c r="G7" i="9"/>
  <c r="O10" i="9"/>
  <c r="O11" i="9"/>
  <c r="O9" i="9"/>
  <c r="O7" i="9"/>
  <c r="M17" i="9"/>
  <c r="O15" i="9"/>
  <c r="K17" i="9"/>
  <c r="G15" i="9"/>
  <c r="C17" i="9"/>
  <c r="G11" i="9"/>
  <c r="G10" i="9"/>
  <c r="G6" i="9"/>
  <c r="G17" i="8"/>
  <c r="E18" i="8" s="1"/>
  <c r="G10" i="8"/>
  <c r="G9" i="8"/>
  <c r="G11" i="8"/>
  <c r="H11" i="8" s="1"/>
  <c r="D18" i="8"/>
  <c r="G34" i="8"/>
  <c r="H30" i="8" s="1"/>
  <c r="O34" i="8"/>
  <c r="P24" i="8" s="1"/>
  <c r="O17" i="8"/>
  <c r="P7" i="8" s="1"/>
  <c r="O10" i="8"/>
  <c r="O11" i="8"/>
  <c r="O9" i="8"/>
  <c r="O27" i="8"/>
  <c r="O26" i="8"/>
  <c r="O28" i="8"/>
  <c r="O34" i="7"/>
  <c r="P31" i="7" s="1"/>
  <c r="O17" i="7"/>
  <c r="N18" i="7" s="1"/>
  <c r="O10" i="7"/>
  <c r="O9" i="7"/>
  <c r="O11" i="7"/>
  <c r="O26" i="7"/>
  <c r="O27" i="7"/>
  <c r="O28" i="7"/>
  <c r="O17" i="6"/>
  <c r="P7" i="6" s="1"/>
  <c r="O34" i="6"/>
  <c r="P24" i="6" s="1"/>
  <c r="O34" i="5"/>
  <c r="P31" i="5" s="1"/>
  <c r="O17" i="5"/>
  <c r="L18" i="5" s="1"/>
  <c r="O17" i="4"/>
  <c r="P7" i="4" s="1"/>
  <c r="O34" i="4"/>
  <c r="P31" i="4" s="1"/>
  <c r="O17" i="3"/>
  <c r="K18" i="3" s="1"/>
  <c r="O34" i="3"/>
  <c r="P26" i="3" s="1"/>
  <c r="O34" i="2"/>
  <c r="N35" i="2" s="1"/>
  <c r="O17" i="2"/>
  <c r="P6" i="2" s="1"/>
  <c r="O17" i="1"/>
  <c r="P14" i="1" s="1"/>
  <c r="F34" i="7"/>
  <c r="E34" i="7"/>
  <c r="D34" i="7"/>
  <c r="C34" i="7"/>
  <c r="G32" i="7"/>
  <c r="G31" i="7"/>
  <c r="G30" i="7"/>
  <c r="G28" i="7"/>
  <c r="G27" i="7"/>
  <c r="G26" i="7"/>
  <c r="G24" i="7"/>
  <c r="G23" i="7"/>
  <c r="F17" i="7"/>
  <c r="E17" i="7"/>
  <c r="D17" i="7"/>
  <c r="C17" i="7"/>
  <c r="G15" i="7"/>
  <c r="G14" i="7"/>
  <c r="G13" i="7"/>
  <c r="G11" i="7"/>
  <c r="G10" i="7"/>
  <c r="G9" i="7"/>
  <c r="G7" i="7"/>
  <c r="G6" i="7"/>
  <c r="F34" i="6"/>
  <c r="E34" i="6"/>
  <c r="D34" i="6"/>
  <c r="C34" i="6"/>
  <c r="G32" i="6"/>
  <c r="G31" i="6"/>
  <c r="G30" i="6"/>
  <c r="G24" i="6"/>
  <c r="G23" i="6"/>
  <c r="F17" i="6"/>
  <c r="E17" i="6"/>
  <c r="D17" i="6"/>
  <c r="C17" i="6"/>
  <c r="G15" i="6"/>
  <c r="G14" i="6"/>
  <c r="G13" i="6"/>
  <c r="G7" i="6"/>
  <c r="G6" i="6"/>
  <c r="F34" i="5"/>
  <c r="E34" i="5"/>
  <c r="D34" i="5"/>
  <c r="C34" i="5"/>
  <c r="G32" i="5"/>
  <c r="G31" i="5"/>
  <c r="G30" i="5"/>
  <c r="G28" i="5"/>
  <c r="G27" i="5"/>
  <c r="G26" i="5"/>
  <c r="G24" i="5"/>
  <c r="G23" i="5"/>
  <c r="F17" i="5"/>
  <c r="E17" i="5"/>
  <c r="D17" i="5"/>
  <c r="C17" i="5"/>
  <c r="G15" i="5"/>
  <c r="G14" i="5"/>
  <c r="G13" i="5"/>
  <c r="G11" i="5"/>
  <c r="G10" i="5"/>
  <c r="G9" i="5"/>
  <c r="G7" i="5"/>
  <c r="G6" i="5"/>
  <c r="F51" i="4"/>
  <c r="E51" i="4"/>
  <c r="D51" i="4"/>
  <c r="C51" i="4"/>
  <c r="F34" i="4"/>
  <c r="E34" i="4"/>
  <c r="D34" i="4"/>
  <c r="C34" i="4"/>
  <c r="F17" i="4"/>
  <c r="E17" i="4"/>
  <c r="D17" i="4"/>
  <c r="C17" i="4"/>
  <c r="G15" i="4"/>
  <c r="G14" i="4"/>
  <c r="G13" i="4"/>
  <c r="G11" i="4"/>
  <c r="G10" i="4"/>
  <c r="G9" i="4"/>
  <c r="G7" i="4"/>
  <c r="G6" i="4"/>
  <c r="F34" i="3"/>
  <c r="E34" i="3"/>
  <c r="D34" i="3"/>
  <c r="C34" i="3"/>
  <c r="G32" i="3"/>
  <c r="G31" i="3"/>
  <c r="G30" i="3"/>
  <c r="G28" i="3"/>
  <c r="G27" i="3"/>
  <c r="G26" i="3"/>
  <c r="G24" i="3"/>
  <c r="G23" i="3"/>
  <c r="F17" i="3"/>
  <c r="E17" i="3"/>
  <c r="D17" i="3"/>
  <c r="C17" i="3"/>
  <c r="G15" i="3"/>
  <c r="G14" i="3"/>
  <c r="G13" i="3"/>
  <c r="G11" i="3"/>
  <c r="G10" i="3"/>
  <c r="G9" i="3"/>
  <c r="G7" i="3"/>
  <c r="G6" i="3"/>
  <c r="F34" i="2"/>
  <c r="E34" i="2"/>
  <c r="D34" i="2"/>
  <c r="C34" i="2"/>
  <c r="G32" i="2"/>
  <c r="G31" i="2"/>
  <c r="G30" i="2"/>
  <c r="G28" i="2"/>
  <c r="G27" i="2"/>
  <c r="G26" i="2"/>
  <c r="G24" i="2"/>
  <c r="G23" i="2"/>
  <c r="F17" i="2"/>
  <c r="E17" i="2"/>
  <c r="D17" i="2"/>
  <c r="C17" i="2"/>
  <c r="G15" i="2"/>
  <c r="G14" i="2"/>
  <c r="G13" i="2"/>
  <c r="G11" i="2"/>
  <c r="G10" i="2"/>
  <c r="G9" i="2"/>
  <c r="G7" i="2"/>
  <c r="G6" i="2"/>
  <c r="F17" i="1"/>
  <c r="E17" i="1"/>
  <c r="G6" i="1"/>
  <c r="G7" i="1"/>
  <c r="G9" i="1"/>
  <c r="G10" i="1"/>
  <c r="G11" i="1"/>
  <c r="G15" i="1"/>
  <c r="G14" i="1"/>
  <c r="G13" i="1"/>
  <c r="D17" i="1"/>
  <c r="C17" i="1"/>
  <c r="O20" i="9" l="1"/>
  <c r="K21" i="9" s="1"/>
  <c r="M35" i="4"/>
  <c r="P43" i="4"/>
  <c r="P45" i="4"/>
  <c r="L52" i="4"/>
  <c r="K52" i="4"/>
  <c r="N52" i="4"/>
  <c r="P44" i="4"/>
  <c r="P48" i="4"/>
  <c r="P47" i="4"/>
  <c r="O17" i="9"/>
  <c r="N18" i="9" s="1"/>
  <c r="P49" i="4"/>
  <c r="P41" i="4"/>
  <c r="G51" i="4"/>
  <c r="G20" i="9"/>
  <c r="E21" i="9" s="1"/>
  <c r="G17" i="9"/>
  <c r="H6" i="9" s="1"/>
  <c r="H15" i="8"/>
  <c r="F18" i="8"/>
  <c r="H7" i="8"/>
  <c r="H13" i="8"/>
  <c r="C18" i="8"/>
  <c r="H9" i="8"/>
  <c r="H14" i="8"/>
  <c r="H6" i="8"/>
  <c r="H10" i="8"/>
  <c r="F35" i="8"/>
  <c r="E35" i="8"/>
  <c r="D35" i="8"/>
  <c r="H32" i="8"/>
  <c r="H31" i="8"/>
  <c r="H24" i="8"/>
  <c r="H23" i="8"/>
  <c r="G28" i="8"/>
  <c r="H28" i="8" s="1"/>
  <c r="C35" i="8"/>
  <c r="G26" i="8"/>
  <c r="H26" i="8" s="1"/>
  <c r="G27" i="8"/>
  <c r="H27" i="8" s="1"/>
  <c r="K35" i="8"/>
  <c r="P28" i="8"/>
  <c r="N35" i="8"/>
  <c r="P26" i="8"/>
  <c r="P23" i="8"/>
  <c r="P27" i="8"/>
  <c r="P30" i="8"/>
  <c r="P32" i="8"/>
  <c r="M35" i="8"/>
  <c r="P31" i="8"/>
  <c r="L35" i="8"/>
  <c r="P14" i="8"/>
  <c r="L18" i="8"/>
  <c r="K18" i="8"/>
  <c r="M18" i="8"/>
  <c r="P9" i="8"/>
  <c r="P11" i="8"/>
  <c r="P15" i="8"/>
  <c r="P13" i="8"/>
  <c r="P6" i="8"/>
  <c r="N18" i="8"/>
  <c r="P10" i="8"/>
  <c r="N35" i="7"/>
  <c r="K35" i="7"/>
  <c r="P30" i="7"/>
  <c r="M35" i="7"/>
  <c r="P28" i="7"/>
  <c r="L35" i="7"/>
  <c r="P27" i="7"/>
  <c r="P23" i="7"/>
  <c r="P26" i="7"/>
  <c r="P32" i="7"/>
  <c r="P24" i="7"/>
  <c r="P10" i="7"/>
  <c r="P7" i="7"/>
  <c r="P15" i="7"/>
  <c r="L18" i="7"/>
  <c r="M18" i="7"/>
  <c r="P14" i="7"/>
  <c r="P11" i="7"/>
  <c r="P9" i="7"/>
  <c r="K18" i="7"/>
  <c r="P13" i="7"/>
  <c r="P6" i="7"/>
  <c r="P14" i="6"/>
  <c r="P11" i="6"/>
  <c r="N18" i="6"/>
  <c r="M18" i="6"/>
  <c r="P9" i="6"/>
  <c r="L18" i="6"/>
  <c r="P13" i="6"/>
  <c r="K18" i="6"/>
  <c r="P6" i="6"/>
  <c r="P15" i="6"/>
  <c r="P10" i="6"/>
  <c r="L35" i="6"/>
  <c r="P32" i="6"/>
  <c r="P27" i="6"/>
  <c r="P28" i="6"/>
  <c r="P23" i="6"/>
  <c r="K35" i="6"/>
  <c r="N35" i="6"/>
  <c r="P31" i="6"/>
  <c r="P26" i="6"/>
  <c r="P30" i="6"/>
  <c r="M35" i="6"/>
  <c r="P14" i="5"/>
  <c r="L35" i="5"/>
  <c r="M35" i="5"/>
  <c r="P24" i="5"/>
  <c r="P30" i="5"/>
  <c r="P26" i="5"/>
  <c r="P6" i="5"/>
  <c r="N18" i="5"/>
  <c r="P13" i="5"/>
  <c r="P28" i="5"/>
  <c r="K35" i="5"/>
  <c r="P23" i="5"/>
  <c r="P11" i="5"/>
  <c r="P15" i="5"/>
  <c r="P10" i="5"/>
  <c r="K18" i="5"/>
  <c r="N35" i="5"/>
  <c r="P32" i="5"/>
  <c r="P7" i="5"/>
  <c r="P27" i="5"/>
  <c r="M18" i="5"/>
  <c r="P9" i="5"/>
  <c r="P14" i="4"/>
  <c r="P10" i="4"/>
  <c r="L18" i="4"/>
  <c r="K18" i="4"/>
  <c r="P6" i="4"/>
  <c r="M18" i="4"/>
  <c r="P11" i="4"/>
  <c r="P9" i="4"/>
  <c r="P32" i="4"/>
  <c r="L35" i="4"/>
  <c r="P26" i="4"/>
  <c r="P24" i="4"/>
  <c r="P13" i="4"/>
  <c r="N18" i="4"/>
  <c r="P15" i="4"/>
  <c r="N35" i="4"/>
  <c r="P27" i="4"/>
  <c r="P28" i="4"/>
  <c r="K35" i="4"/>
  <c r="P23" i="4"/>
  <c r="P30" i="4"/>
  <c r="P11" i="3"/>
  <c r="P9" i="3"/>
  <c r="P14" i="3"/>
  <c r="P15" i="3"/>
  <c r="P10" i="3"/>
  <c r="P13" i="3"/>
  <c r="L18" i="3"/>
  <c r="P7" i="3"/>
  <c r="M18" i="3"/>
  <c r="P6" i="3"/>
  <c r="N18" i="3"/>
  <c r="N35" i="3"/>
  <c r="P27" i="3"/>
  <c r="M35" i="3"/>
  <c r="P24" i="3"/>
  <c r="L35" i="3"/>
  <c r="K35" i="3"/>
  <c r="P30" i="3"/>
  <c r="P28" i="3"/>
  <c r="P23" i="3"/>
  <c r="P31" i="3"/>
  <c r="P32" i="3"/>
  <c r="P30" i="2"/>
  <c r="L35" i="2"/>
  <c r="P23" i="2"/>
  <c r="P32" i="2"/>
  <c r="P31" i="2"/>
  <c r="P28" i="2"/>
  <c r="K35" i="2"/>
  <c r="P26" i="2"/>
  <c r="P27" i="2"/>
  <c r="M35" i="2"/>
  <c r="P24" i="2"/>
  <c r="P14" i="2"/>
  <c r="P13" i="2"/>
  <c r="P7" i="2"/>
  <c r="P15" i="2"/>
  <c r="P10" i="2"/>
  <c r="P9" i="2"/>
  <c r="N18" i="2"/>
  <c r="K18" i="2"/>
  <c r="M18" i="2"/>
  <c r="L18" i="2"/>
  <c r="P11" i="2"/>
  <c r="P10" i="1"/>
  <c r="M18" i="1"/>
  <c r="L18" i="1"/>
  <c r="P7" i="1"/>
  <c r="K18" i="1"/>
  <c r="P6" i="1"/>
  <c r="P9" i="1"/>
  <c r="N18" i="1"/>
  <c r="P13" i="1"/>
  <c r="P11" i="1"/>
  <c r="P15" i="1"/>
  <c r="F35" i="2"/>
  <c r="C18" i="1"/>
  <c r="H7" i="1"/>
  <c r="D35" i="2"/>
  <c r="H40" i="4"/>
  <c r="C52" i="4"/>
  <c r="D52" i="4"/>
  <c r="H48" i="4"/>
  <c r="H49" i="4"/>
  <c r="G17" i="7"/>
  <c r="F18" i="7" s="1"/>
  <c r="G34" i="7"/>
  <c r="H32" i="7" s="1"/>
  <c r="G34" i="6"/>
  <c r="G17" i="6"/>
  <c r="G34" i="5"/>
  <c r="H30" i="5" s="1"/>
  <c r="G17" i="5"/>
  <c r="H14" i="5" s="1"/>
  <c r="G34" i="4"/>
  <c r="H30" i="4" s="1"/>
  <c r="G17" i="4"/>
  <c r="F18" i="4" s="1"/>
  <c r="G34" i="3"/>
  <c r="H26" i="3" s="1"/>
  <c r="G17" i="3"/>
  <c r="H13" i="3" s="1"/>
  <c r="G34" i="2"/>
  <c r="G17" i="2"/>
  <c r="H15" i="2" s="1"/>
  <c r="G17" i="1"/>
  <c r="H11" i="1" s="1"/>
  <c r="P11" i="9" l="1"/>
  <c r="P9" i="9"/>
  <c r="P10" i="9"/>
  <c r="L21" i="9"/>
  <c r="N21" i="9"/>
  <c r="M21" i="9"/>
  <c r="P14" i="9"/>
  <c r="P13" i="9"/>
  <c r="L18" i="9"/>
  <c r="P7" i="9"/>
  <c r="K18" i="9"/>
  <c r="M18" i="9"/>
  <c r="P6" i="9"/>
  <c r="P15" i="9"/>
  <c r="H47" i="4"/>
  <c r="H45" i="4"/>
  <c r="H44" i="4"/>
  <c r="H43" i="4"/>
  <c r="H41" i="4"/>
  <c r="F52" i="4"/>
  <c r="E52" i="4"/>
  <c r="F35" i="4"/>
  <c r="H32" i="4"/>
  <c r="C35" i="4"/>
  <c r="H28" i="4"/>
  <c r="D35" i="4"/>
  <c r="H9" i="9"/>
  <c r="C21" i="9"/>
  <c r="H10" i="9"/>
  <c r="H11" i="9"/>
  <c r="F21" i="9"/>
  <c r="D21" i="9"/>
  <c r="C18" i="9"/>
  <c r="H14" i="9"/>
  <c r="H13" i="9"/>
  <c r="H7" i="9"/>
  <c r="F18" i="9"/>
  <c r="E18" i="9"/>
  <c r="D18" i="9"/>
  <c r="H15" i="9"/>
  <c r="H10" i="1"/>
  <c r="H27" i="4"/>
  <c r="E35" i="7"/>
  <c r="D18" i="1"/>
  <c r="H6" i="1"/>
  <c r="H14" i="1"/>
  <c r="H15" i="1"/>
  <c r="E18" i="1"/>
  <c r="H13" i="1"/>
  <c r="F18" i="1"/>
  <c r="H9" i="1"/>
  <c r="E35" i="4"/>
  <c r="H13" i="6"/>
  <c r="C11" i="6"/>
  <c r="G11" i="6" s="1"/>
  <c r="C10" i="6"/>
  <c r="G10" i="6" s="1"/>
  <c r="H10" i="6" s="1"/>
  <c r="C27" i="6" s="1"/>
  <c r="G27" i="6" s="1"/>
  <c r="H27" i="6" s="1"/>
  <c r="C9" i="6"/>
  <c r="G9" i="6" s="1"/>
  <c r="H9" i="6" s="1"/>
  <c r="C26" i="6" s="1"/>
  <c r="G26" i="6" s="1"/>
  <c r="H26" i="6" s="1"/>
  <c r="H23" i="2"/>
  <c r="C35" i="2"/>
  <c r="H23" i="4"/>
  <c r="E35" i="2"/>
  <c r="H27" i="7"/>
  <c r="H31" i="7"/>
  <c r="H26" i="7"/>
  <c r="C35" i="7"/>
  <c r="E18" i="7"/>
  <c r="H14" i="7"/>
  <c r="H13" i="7"/>
  <c r="H9" i="7"/>
  <c r="H23" i="7"/>
  <c r="H28" i="7"/>
  <c r="H30" i="7"/>
  <c r="H11" i="7"/>
  <c r="H6" i="7"/>
  <c r="H15" i="7"/>
  <c r="H10" i="7"/>
  <c r="C18" i="7"/>
  <c r="D35" i="7"/>
  <c r="D18" i="7"/>
  <c r="F35" i="7"/>
  <c r="H24" i="7"/>
  <c r="H7" i="7"/>
  <c r="H14" i="6"/>
  <c r="H23" i="6"/>
  <c r="H15" i="6"/>
  <c r="C18" i="6"/>
  <c r="E35" i="6"/>
  <c r="D35" i="6"/>
  <c r="H30" i="6"/>
  <c r="H24" i="6"/>
  <c r="C35" i="6"/>
  <c r="H31" i="6"/>
  <c r="F35" i="6"/>
  <c r="H11" i="6"/>
  <c r="C28" i="6" s="1"/>
  <c r="G28" i="6" s="1"/>
  <c r="H28" i="6" s="1"/>
  <c r="E18" i="6"/>
  <c r="H32" i="6"/>
  <c r="F18" i="6"/>
  <c r="D18" i="6"/>
  <c r="H7" i="6"/>
  <c r="H6" i="6"/>
  <c r="D35" i="5"/>
  <c r="H23" i="5"/>
  <c r="C35" i="5"/>
  <c r="F35" i="5"/>
  <c r="H31" i="5"/>
  <c r="H27" i="5"/>
  <c r="H26" i="5"/>
  <c r="H24" i="5"/>
  <c r="H32" i="5"/>
  <c r="H28" i="5"/>
  <c r="E35" i="5"/>
  <c r="H13" i="5"/>
  <c r="H7" i="5"/>
  <c r="H15" i="5"/>
  <c r="H11" i="5"/>
  <c r="H6" i="5"/>
  <c r="D18" i="5"/>
  <c r="C18" i="5"/>
  <c r="F18" i="5"/>
  <c r="H10" i="5"/>
  <c r="E18" i="5"/>
  <c r="H9" i="5"/>
  <c r="H26" i="4"/>
  <c r="H31" i="4"/>
  <c r="H24" i="4"/>
  <c r="H7" i="4"/>
  <c r="H11" i="4"/>
  <c r="H6" i="4"/>
  <c r="C18" i="4"/>
  <c r="H14" i="4"/>
  <c r="D18" i="4"/>
  <c r="E18" i="4"/>
  <c r="H13" i="4"/>
  <c r="H10" i="4"/>
  <c r="H15" i="4"/>
  <c r="H9" i="4"/>
  <c r="E35" i="3"/>
  <c r="H24" i="3"/>
  <c r="H27" i="3"/>
  <c r="D35" i="3"/>
  <c r="H23" i="3"/>
  <c r="C35" i="3"/>
  <c r="H28" i="3"/>
  <c r="H31" i="3"/>
  <c r="H32" i="3"/>
  <c r="F35" i="3"/>
  <c r="H30" i="3"/>
  <c r="H15" i="3"/>
  <c r="H11" i="3"/>
  <c r="H6" i="3"/>
  <c r="F18" i="3"/>
  <c r="D18" i="3"/>
  <c r="E18" i="3"/>
  <c r="H9" i="3"/>
  <c r="H7" i="3"/>
  <c r="C18" i="3"/>
  <c r="H10" i="3"/>
  <c r="H14" i="3"/>
  <c r="H30" i="2"/>
  <c r="H28" i="2"/>
  <c r="H26" i="2"/>
  <c r="H24" i="2"/>
  <c r="H31" i="2"/>
  <c r="H27" i="2"/>
  <c r="H32" i="2"/>
  <c r="H7" i="2"/>
  <c r="H6" i="2"/>
  <c r="E18" i="2"/>
  <c r="C18" i="2"/>
  <c r="H9" i="2"/>
  <c r="H14" i="2"/>
  <c r="F18" i="2"/>
  <c r="D18" i="2"/>
  <c r="H11" i="2"/>
  <c r="H10" i="2"/>
  <c r="H13" i="2"/>
</calcChain>
</file>

<file path=xl/comments1.xml><?xml version="1.0" encoding="utf-8"?>
<comments xmlns="http://schemas.openxmlformats.org/spreadsheetml/2006/main">
  <authors>
    <author>tc={277E586F-92B5-D944-B2BF-DB080F389752}</author>
    <author>tc={7A34B86F-F030-F84C-9BD2-3C3E7CDD3876}</author>
  </authors>
  <commentList>
    <comment ref="A9" authorId="0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Attention : il manquait des données pour cette catégorie, raison pour laquelle le total n’est pas le même que pour les deux autres catégories.</t>
        </r>
      </text>
    </comment>
    <comment ref="I9" authorId="1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Attention : il manquait des données pour cette catégorie, raison pour laquelle le total n’est pas le même que pour les deux autres catégories.</t>
        </r>
      </text>
    </comment>
  </commentList>
</comments>
</file>

<file path=xl/sharedStrings.xml><?xml version="1.0" encoding="utf-8"?>
<sst xmlns="http://schemas.openxmlformats.org/spreadsheetml/2006/main" count="654" uniqueCount="43">
  <si>
    <t>Total</t>
  </si>
  <si>
    <t>Pourcentage</t>
  </si>
  <si>
    <t>Vélo</t>
  </si>
  <si>
    <t>Conformistes</t>
  </si>
  <si>
    <t>Opportunistes</t>
  </si>
  <si>
    <t>Imprudents</t>
  </si>
  <si>
    <t>Hommes</t>
  </si>
  <si>
    <t>Femmes</t>
  </si>
  <si>
    <t>Enfants</t>
  </si>
  <si>
    <t>TOTAL</t>
  </si>
  <si>
    <t>Vers LAC</t>
  </si>
  <si>
    <t>7h30-7h45</t>
  </si>
  <si>
    <t>7h45-8h00</t>
  </si>
  <si>
    <t>8h00-8h15</t>
  </si>
  <si>
    <t>8h15-8h30</t>
  </si>
  <si>
    <t>VAE</t>
  </si>
  <si>
    <t>Vers JONCTION</t>
  </si>
  <si>
    <t>RUE DE L'ARQUEBUSE</t>
  </si>
  <si>
    <t>RUE DU XXXI DECEMBRE</t>
  </si>
  <si>
    <t>MATIN</t>
  </si>
  <si>
    <t>BLD GEORGES-FAVON</t>
  </si>
  <si>
    <t>Vers GARE</t>
  </si>
  <si>
    <t>Vers PLAINPALAIS</t>
  </si>
  <si>
    <t>RUE FERDINAND-HODLER</t>
  </si>
  <si>
    <t>Vers MALAGNOU</t>
  </si>
  <si>
    <t>Vers TRANCHEE</t>
  </si>
  <si>
    <t>Vers VILLE</t>
  </si>
  <si>
    <t>AVE PICTET DE ROCHEMONT</t>
  </si>
  <si>
    <t>Vers ANNEMASSE</t>
  </si>
  <si>
    <t>VV, AVE BEL AIR</t>
  </si>
  <si>
    <t>NB: le nombre total ne correspondait pas à 566. J'ai donc appliqué les proportion indiquées sur la fiche de comptage pour calculer le nombre dans chaque catégorie.</t>
  </si>
  <si>
    <t>NB: j'ai dû augmenter le nombre de vélo selon les commentaires concernant les enfants, soit 61 vélos et 1 VAE.</t>
  </si>
  <si>
    <t>BLD DES TRANCHEES</t>
  </si>
  <si>
    <t>SOIR</t>
  </si>
  <si>
    <t>17h30-17h45</t>
  </si>
  <si>
    <t>17h45-18h00</t>
  </si>
  <si>
    <t>17h00-17h15</t>
  </si>
  <si>
    <t>17h15-17h30</t>
  </si>
  <si>
    <t>VV, AVE FRANK THOMAS</t>
  </si>
  <si>
    <t>Tous sens confondus</t>
  </si>
  <si>
    <t>!</t>
  </si>
  <si>
    <t>TOTAL (commportements)</t>
  </si>
  <si>
    <t>Toutes directions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</si>
</sst>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4" borderId="5" xfId="0" applyFont="1" applyFill="1" applyBorder="1"/>
    <xf numFmtId="9" fontId="3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5" xfId="0" applyFont="1" applyFill="1" applyBorder="1"/>
    <xf numFmtId="0" fontId="0" fillId="0" borderId="10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5" xfId="0" applyFont="1" applyFill="1" applyBorder="1"/>
    <xf numFmtId="0" fontId="3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Types</a:t>
            </a:r>
            <a:r>
              <a:rPr lang="en-GB" baseline="0"/>
              <a:t> de vélos par période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TOTAL!$B$6</c:f>
              <c:strCache>
                <c:ptCount val="1"/>
                <c:pt idx="0">
                  <c:v>Vélo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TOTAL!$C$6:$F$6</c:f>
              <c:numCache>
                <c:formatCode>General</c:formatCode>
                <c:ptCount val="4"/>
                <c:pt idx="0">
                  <c:v>628</c:v>
                </c:pt>
                <c:pt idx="1">
                  <c:v>266</c:v>
                </c:pt>
                <c:pt idx="2">
                  <c:v>247</c:v>
                </c:pt>
                <c:pt idx="3">
                  <c:v>269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7C-E344-A0F6-C7918AD550D2}"/>
            </c:ext>
          </c:extLst>
        </c:ser>
        <c:ser>
          <c:idx val="1"/>
          <c:order val="1"/>
          <c:tx>
            <c:strRef>
              <c:f>TOTAL!$B$7</c:f>
              <c:strCache>
                <c:ptCount val="1"/>
                <c:pt idx="0">
                  <c:v>VAE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TOTAL!$C$7:$F$7</c:f>
              <c:numCache>
                <c:formatCode>General</c:formatCode>
                <c:ptCount val="4"/>
                <c:pt idx="0">
                  <c:v>388</c:v>
                </c:pt>
                <c:pt idx="1">
                  <c:v>126</c:v>
                </c:pt>
                <c:pt idx="2">
                  <c:v>147</c:v>
                </c:pt>
                <c:pt idx="3">
                  <c:v>140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27C-E344-A0F6-C7918AD5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66240"/>
        <c:axId val="104961920"/>
      </c:lineChart>
      <c:catAx>
        <c:axId val="9586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61920"/>
        <c:crosses val="autoZero"/>
        <c:auto val="1"/>
        <c:lblAlgn val="ctr"/>
        <c:lblOffset val="100"/>
        <c:noMultiLvlLbl val="0"/>
      </c:catAx>
      <c:valAx>
        <c:axId val="1049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C99-6C47-89A2-8B9D3D08836C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C99-6C47-89A2-8B9D3D0883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TOTAL!$B$6:$B$7</c:f>
              <c:strCache>
                <c:ptCount val="2"/>
                <c:pt idx="0">
                  <c:v>Vélo</c:v>
                </c:pt>
                <c:pt idx="1">
                  <c:v>VAE</c:v>
                </c:pt>
              </c:strCache>
            </c:strRef>
          </c:cat>
          <c:val>
            <c:numRef>
              <c:f>TOTAL!$G$6:$G$7</c:f>
              <c:numCache>
                <c:formatCode>General</c:formatCode>
                <c:ptCount val="2"/>
                <c:pt idx="0">
                  <c:v>1410</c:v>
                </c:pt>
                <c:pt idx="1">
                  <c:v>801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99-6C47-89A2-8B9D3D08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Types</a:t>
            </a:r>
            <a:r>
              <a:rPr lang="en-GB" baseline="0"/>
              <a:t> d'usagers par période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TOTAL!$B$13</c:f>
              <c:strCache>
                <c:ptCount val="1"/>
                <c:pt idx="0">
                  <c:v>Hommes</c:v>
                </c:pt>
              </c:strCache>
            </c:strRef>
          </c:tx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TOTAL!$C$13:$F$13</c:f>
              <c:numCache>
                <c:formatCode>General</c:formatCode>
                <c:ptCount val="4"/>
                <c:pt idx="0">
                  <c:v>546</c:v>
                </c:pt>
                <c:pt idx="1">
                  <c:v>210</c:v>
                </c:pt>
                <c:pt idx="2">
                  <c:v>224</c:v>
                </c:pt>
                <c:pt idx="3">
                  <c:v>220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0F9-7A47-808C-7E45B194320F}"/>
            </c:ext>
          </c:extLst>
        </c:ser>
        <c:ser>
          <c:idx val="1"/>
          <c:order val="1"/>
          <c:tx>
            <c:strRef>
              <c:f>TOTAL!$B$14</c:f>
              <c:strCache>
                <c:ptCount val="1"/>
                <c:pt idx="0">
                  <c:v>Femmes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TOTAL!$C$14:$F$14</c:f>
              <c:numCache>
                <c:formatCode>General</c:formatCode>
                <c:ptCount val="4"/>
                <c:pt idx="0">
                  <c:v>394</c:v>
                </c:pt>
                <c:pt idx="1">
                  <c:v>155</c:v>
                </c:pt>
                <c:pt idx="2">
                  <c:v>158</c:v>
                </c:pt>
                <c:pt idx="3">
                  <c:v>177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0F9-7A47-808C-7E45B194320F}"/>
            </c:ext>
          </c:extLst>
        </c:ser>
        <c:ser>
          <c:idx val="2"/>
          <c:order val="2"/>
          <c:tx>
            <c:strRef>
              <c:f>TOTAL!$B$15</c:f>
              <c:strCache>
                <c:ptCount val="1"/>
                <c:pt idx="0">
                  <c:v>Enfants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TOTAL!$C$5:$F$5</c:f>
              <c:strCache>
                <c:ptCount val="4"/>
                <c:pt idx="0">
                  <c:v>7h30-7h45</c:v>
                </c:pt>
                <c:pt idx="1">
                  <c:v>7h45-8h00</c:v>
                </c:pt>
                <c:pt idx="2">
                  <c:v>8h00-8h15</c:v>
                </c:pt>
                <c:pt idx="3">
                  <c:v>8h15-8h30</c:v>
                </c:pt>
              </c:strCache>
            </c:strRef>
          </c:cat>
          <c:val>
            <c:numRef>
              <c:f>TOTAL!$C$15:$F$15</c:f>
              <c:numCache>
                <c:formatCode>General</c:formatCode>
                <c:ptCount val="4"/>
                <c:pt idx="0">
                  <c:v>76</c:v>
                </c:pt>
                <c:pt idx="1">
                  <c:v>27</c:v>
                </c:pt>
                <c:pt idx="2">
                  <c:v>12</c:v>
                </c:pt>
                <c:pt idx="3">
                  <c:v>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0F9-7A47-808C-7E45B1943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06944"/>
        <c:axId val="100709120"/>
      </c:lineChart>
      <c:catAx>
        <c:axId val="1007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709120"/>
        <c:crosses val="autoZero"/>
        <c:auto val="1"/>
        <c:lblAlgn val="ctr"/>
        <c:lblOffset val="100"/>
        <c:noMultiLvlLbl val="0"/>
      </c:catAx>
      <c:valAx>
        <c:axId val="1007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70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627-C342-8DD9-0662EF8C36E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627-C342-8DD9-0662EF8C36E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C627-C342-8DD9-0662EF8C36E9}"/>
              </c:ext>
            </c:extLst>
          </c:dPt>
          <c:dLbls>
            <c:dLbl>
              <c:idx val="2"/>
              <c:layout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27-C342-8DD9-0662EF8C3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TOTAL!$B$13:$B$15</c:f>
              <c:strCache>
                <c:ptCount val="3"/>
                <c:pt idx="0">
                  <c:v>Hommes</c:v>
                </c:pt>
                <c:pt idx="1">
                  <c:v>Femmes</c:v>
                </c:pt>
                <c:pt idx="2">
                  <c:v>Enfants</c:v>
                </c:pt>
              </c:strCache>
            </c:strRef>
          </c:cat>
          <c:val>
            <c:numRef>
              <c:f>TOTAL!$O$13:$O$15</c:f>
              <c:numCache>
                <c:formatCode>General</c:formatCode>
                <c:ptCount val="3"/>
                <c:pt idx="0">
                  <c:v>960</c:v>
                </c:pt>
                <c:pt idx="1">
                  <c:v>671</c:v>
                </c:pt>
                <c:pt idx="2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27-C342-8DD9-0662EF8C36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Types</a:t>
            </a:r>
            <a:r>
              <a:rPr lang="en-GB" baseline="0"/>
              <a:t> de vélos par période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TOTAL!$B$6</c:f>
              <c:strCache>
                <c:ptCount val="1"/>
                <c:pt idx="0">
                  <c:v>Vélo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TOTAL!$K$6:$N$6</c:f>
              <c:numCache>
                <c:formatCode>General</c:formatCode>
                <c:ptCount val="4"/>
                <c:pt idx="0">
                  <c:v>249</c:v>
                </c:pt>
                <c:pt idx="1">
                  <c:v>272</c:v>
                </c:pt>
                <c:pt idx="2">
                  <c:v>291</c:v>
                </c:pt>
                <c:pt idx="3">
                  <c:v>358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7C-E344-A0F6-C7918AD550D2}"/>
            </c:ext>
          </c:extLst>
        </c:ser>
        <c:ser>
          <c:idx val="1"/>
          <c:order val="1"/>
          <c:tx>
            <c:strRef>
              <c:f>TOTAL!$B$7</c:f>
              <c:strCache>
                <c:ptCount val="1"/>
                <c:pt idx="0">
                  <c:v>VAE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TOTAL!$K$7:$N$7</c:f>
              <c:numCache>
                <c:formatCode>General</c:formatCode>
                <c:ptCount val="4"/>
                <c:pt idx="0">
                  <c:v>116</c:v>
                </c:pt>
                <c:pt idx="1">
                  <c:v>124</c:v>
                </c:pt>
                <c:pt idx="2">
                  <c:v>112</c:v>
                </c:pt>
                <c:pt idx="3">
                  <c:v>142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27C-E344-A0F6-C7918AD5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16704"/>
        <c:axId val="104618624"/>
      </c:lineChart>
      <c:catAx>
        <c:axId val="10461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618624"/>
        <c:crosses val="autoZero"/>
        <c:auto val="1"/>
        <c:lblAlgn val="ctr"/>
        <c:lblOffset val="100"/>
        <c:noMultiLvlLbl val="0"/>
      </c:catAx>
      <c:valAx>
        <c:axId val="10461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61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C99-6C47-89A2-8B9D3D08836C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C99-6C47-89A2-8B9D3D0883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TOTAL!$B$6:$B$7</c:f>
              <c:strCache>
                <c:ptCount val="2"/>
                <c:pt idx="0">
                  <c:v>Vélo</c:v>
                </c:pt>
                <c:pt idx="1">
                  <c:v>VAE</c:v>
                </c:pt>
              </c:strCache>
            </c:strRef>
          </c:cat>
          <c:val>
            <c:numRef>
              <c:f>TOTAL!$O$6:$O$7</c:f>
              <c:numCache>
                <c:formatCode>General</c:formatCode>
                <c:ptCount val="2"/>
                <c:pt idx="0">
                  <c:v>1170</c:v>
                </c:pt>
                <c:pt idx="1">
                  <c:v>494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99-6C47-89A2-8B9D3D0883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Types</a:t>
            </a:r>
            <a:r>
              <a:rPr lang="en-GB" baseline="0"/>
              <a:t> d'usagers par période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TOTAL!$B$13</c:f>
              <c:strCache>
                <c:ptCount val="1"/>
                <c:pt idx="0">
                  <c:v>Hommes</c:v>
                </c:pt>
              </c:strCache>
            </c:strRef>
          </c:tx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TOTAL!$K$13:$N$13</c:f>
              <c:numCache>
                <c:formatCode>General</c:formatCode>
                <c:ptCount val="4"/>
                <c:pt idx="0">
                  <c:v>211</c:v>
                </c:pt>
                <c:pt idx="1">
                  <c:v>226</c:v>
                </c:pt>
                <c:pt idx="2">
                  <c:v>232</c:v>
                </c:pt>
                <c:pt idx="3">
                  <c:v>291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0F9-7A47-808C-7E45B194320F}"/>
            </c:ext>
          </c:extLst>
        </c:ser>
        <c:ser>
          <c:idx val="1"/>
          <c:order val="1"/>
          <c:tx>
            <c:strRef>
              <c:f>TOTAL!$B$14</c:f>
              <c:strCache>
                <c:ptCount val="1"/>
                <c:pt idx="0">
                  <c:v>Femmes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TOTAL!$K$14:$N$14</c:f>
              <c:numCache>
                <c:formatCode>General</c:formatCode>
                <c:ptCount val="4"/>
                <c:pt idx="0">
                  <c:v>148</c:v>
                </c:pt>
                <c:pt idx="1">
                  <c:v>160</c:v>
                </c:pt>
                <c:pt idx="2">
                  <c:v>163</c:v>
                </c:pt>
                <c:pt idx="3">
                  <c:v>200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0F9-7A47-808C-7E45B194320F}"/>
            </c:ext>
          </c:extLst>
        </c:ser>
        <c:ser>
          <c:idx val="2"/>
          <c:order val="2"/>
          <c:tx>
            <c:strRef>
              <c:f>TOTAL!$B$15</c:f>
              <c:strCache>
                <c:ptCount val="1"/>
                <c:pt idx="0">
                  <c:v>Enfants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TOTAL!$K$5:$N$5</c:f>
              <c:strCache>
                <c:ptCount val="4"/>
                <c:pt idx="0">
                  <c:v>17h00-17h15</c:v>
                </c:pt>
                <c:pt idx="1">
                  <c:v>17h15-17h30</c:v>
                </c:pt>
                <c:pt idx="2">
                  <c:v>17h30-17h45</c:v>
                </c:pt>
                <c:pt idx="3">
                  <c:v>17h45-18h00</c:v>
                </c:pt>
              </c:strCache>
            </c:strRef>
          </c:cat>
          <c:val>
            <c:numRef>
              <c:f>TOTAL!$K$15:$N$15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0F9-7A47-808C-7E45B1943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25824"/>
        <c:axId val="104928000"/>
      </c:lineChart>
      <c:catAx>
        <c:axId val="10492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28000"/>
        <c:crosses val="autoZero"/>
        <c:auto val="1"/>
        <c:lblAlgn val="ctr"/>
        <c:lblOffset val="100"/>
        <c:noMultiLvlLbl val="0"/>
      </c:catAx>
      <c:valAx>
        <c:axId val="10492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2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627-C342-8DD9-0662EF8C36E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627-C342-8DD9-0662EF8C36E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C627-C342-8DD9-0662EF8C36E9}"/>
              </c:ext>
            </c:extLst>
          </c:dPt>
          <c:dLbls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27-C342-8DD9-0662EF8C3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TOTAL!$B$13:$B$15</c:f>
              <c:strCache>
                <c:ptCount val="3"/>
                <c:pt idx="0">
                  <c:v>Hommes</c:v>
                </c:pt>
                <c:pt idx="1">
                  <c:v>Femmes</c:v>
                </c:pt>
                <c:pt idx="2">
                  <c:v>Enfants</c:v>
                </c:pt>
              </c:strCache>
            </c:strRef>
          </c:cat>
          <c:val>
            <c:numRef>
              <c:f>TOTAL!$G$13:$G$15</c:f>
              <c:numCache>
                <c:formatCode>General</c:formatCode>
                <c:ptCount val="3"/>
                <c:pt idx="0">
                  <c:v>1200</c:v>
                </c:pt>
                <c:pt idx="1">
                  <c:v>884</c:v>
                </c:pt>
                <c:pt idx="2">
                  <c:v>127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27-C342-8DD9-0662EF8C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Comportements le matin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Comportements le matin</a:t>
          </a:r>
        </a:p>
      </cx:txPr>
    </cx:title>
    <cx:plotArea>
      <cx:plotAreaRegion>
        <cx:series layoutId="treemap" uniqueId="{71DF9290-83E6-CF45-8AA6-4062F2CDCFC3}" formatIdx="0">
          <cx:tx>
            <cx:txData>
              <cx:f>_xlchart.v1.1</cx:f>
              <cx:v>907 555 80</cx:v>
            </cx:txData>
          </cx:tx>
          <cx:dataPt idx="0">
            <cx:spPr>
              <a:solidFill>
                <a:srgbClr val="70AD47">
                  <a:lumMod val="40000"/>
                  <a:lumOff val="60000"/>
                </a:srgbClr>
              </a:solidFill>
            </cx:spPr>
          </cx:dataPt>
          <cx:dataPt idx="1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C00000">
                  <a:alpha val="53333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GB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</cx:dataLabels>
          <cx:dataId val="0"/>
          <cx:layoutPr>
            <cx:parentLabelLayout val="banner"/>
          </cx:layoutPr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Comportements le soir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Comportements le soir</a:t>
          </a:r>
        </a:p>
      </cx:txPr>
    </cx:title>
    <cx:plotArea>
      <cx:plotAreaRegion>
        <cx:series layoutId="treemap" uniqueId="{71DF9290-83E6-CF45-8AA6-4062F2CDCFC3}" formatIdx="0">
          <cx:tx>
            <cx:txData>
              <cx:f>_xlchart.v1.4</cx:f>
              <cx:v>907 555 80</cx:v>
            </cx:txData>
          </cx:tx>
          <cx:dataPt idx="0">
            <cx:spPr>
              <a:solidFill>
                <a:srgbClr val="70AD47">
                  <a:lumMod val="40000"/>
                  <a:lumOff val="60000"/>
                </a:srgbClr>
              </a:solidFill>
            </cx:spPr>
          </cx:dataPt>
          <cx:dataPt idx="1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C00000">
                  <a:alpha val="53333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GB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</cx:dataLabels>
          <cx:dataId val="0"/>
          <cx:layoutPr>
            <cx:parentLabelLayout val="banner"/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10" Type="http://schemas.microsoft.com/office/2014/relationships/chartEx" Target="../charts/chartEx2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28485</xdr:colOff>
      <xdr:row>22</xdr:row>
      <xdr:rowOff>70503</xdr:rowOff>
    </xdr:from>
    <xdr:to>
      <xdr:col>5</xdr:col>
      <xdr:colOff>458149</xdr:colOff>
      <xdr:row>35</xdr:row>
      <xdr:rowOff>190618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B3AEA6D-5777-0948-A693-1DAE3A836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403860</xdr:colOff>
      <xdr:row>26</xdr:row>
      <xdr:rowOff>50800</xdr:rowOff>
    </xdr:from>
    <xdr:to>
      <xdr:col>8</xdr:col>
      <xdr:colOff>190500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B988C46-961A-A24F-8289-EE5EB728D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25400</xdr:colOff>
      <xdr:row>36</xdr:row>
      <xdr:rowOff>44450</xdr:rowOff>
    </xdr:from>
    <xdr:to>
      <xdr:col>5</xdr:col>
      <xdr:colOff>469900</xdr:colOff>
      <xdr:row>49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F2F03AA-CD66-1146-9D6E-05CE753A6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547298</xdr:colOff>
      <xdr:row>38</xdr:row>
      <xdr:rowOff>78236</xdr:rowOff>
    </xdr:from>
    <xdr:to>
      <xdr:col>16</xdr:col>
      <xdr:colOff>338510</xdr:colOff>
      <xdr:row>48</xdr:row>
      <xdr:rowOff>2573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68B891-965F-2D42-812A-9419BC9B5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1155288</xdr:colOff>
      <xdr:row>51</xdr:row>
      <xdr:rowOff>164691</xdr:rowOff>
    </xdr:from>
    <xdr:to>
      <xdr:col>6</xdr:col>
      <xdr:colOff>797503</xdr:colOff>
      <xdr:row>65</xdr:row>
      <xdr:rowOff>40149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75256C7-412B-6942-A810-BADD10E1AB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Rectangle 5"/>
            <xdr:cNvSpPr>
              <a:spLocks noTextEdit="1"/>
            </xdr:cNvSpPr>
          </xdr:nvSpPr>
          <xdr:spPr>
            <a:xfrm>
              <a:off x="1523588" y="10527891"/>
              <a:ext cx="4595215" cy="27202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153573</xdr:colOff>
      <xdr:row>22</xdr:row>
      <xdr:rowOff>86344</xdr:rowOff>
    </xdr:from>
    <xdr:to>
      <xdr:col>13</xdr:col>
      <xdr:colOff>583237</xdr:colOff>
      <xdr:row>36</xdr:row>
      <xdr:rowOff>1620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406CF3C5-AAAB-3549-BDAE-86075D0D1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484373</xdr:colOff>
      <xdr:row>26</xdr:row>
      <xdr:rowOff>47446</xdr:rowOff>
    </xdr:from>
    <xdr:to>
      <xdr:col>16</xdr:col>
      <xdr:colOff>271013</xdr:colOff>
      <xdr:row>35</xdr:row>
      <xdr:rowOff>174446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958D397D-D88A-5A46-80DB-65308FFD4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177800</xdr:colOff>
      <xdr:row>36</xdr:row>
      <xdr:rowOff>112982</xdr:rowOff>
    </xdr:from>
    <xdr:to>
      <xdr:col>13</xdr:col>
      <xdr:colOff>622300</xdr:colOff>
      <xdr:row>50</xdr:row>
      <xdr:rowOff>10903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78FADCBF-FE85-A749-9137-E54EA3657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508000</xdr:colOff>
      <xdr:row>38</xdr:row>
      <xdr:rowOff>158750</xdr:rowOff>
    </xdr:from>
    <xdr:to>
      <xdr:col>8</xdr:col>
      <xdr:colOff>299212</xdr:colOff>
      <xdr:row>48</xdr:row>
      <xdr:rowOff>83087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28AAFA3B-46A2-F441-84FF-25658BC21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1295929</xdr:colOff>
      <xdr:row>51</xdr:row>
      <xdr:rowOff>152461</xdr:rowOff>
    </xdr:from>
    <xdr:to>
      <xdr:col>15</xdr:col>
      <xdr:colOff>114996</xdr:colOff>
      <xdr:row>65</xdr:row>
      <xdr:rowOff>27919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64CC09B-41D0-4441-9829-D3CB45159A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11" name="Rectangle 10"/>
            <xdr:cNvSpPr>
              <a:spLocks noTextEdit="1"/>
            </xdr:cNvSpPr>
          </xdr:nvSpPr>
          <xdr:spPr>
            <a:xfrm>
              <a:off x="8636529" y="10515661"/>
              <a:ext cx="4597567" cy="27202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ouis-Philippe Tessier" id="{5CB4DAE5-2FFC-5643-80F8-3F6C2D2098CA}" userId="aa43910ccd1ca43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0-06-17T21:53:04.26" personId="{5CB4DAE5-2FFC-5643-80F8-3F6C2D2098CA}" id="{277E586F-92B5-D944-B2BF-DB080F389752}">
    <text>Attention : il manquait des données pour cette catégorie, raison pour laquelle le total n’est pas le même que pour les deux autres catégories.</text>
  </threadedComment>
  <threadedComment ref="I9" dT="2020-06-17T21:54:18.10" personId="{5CB4DAE5-2FFC-5643-80F8-3F6C2D2098CA}" id="{7A34B86F-F030-F84C-9BD2-3C3E7CDD3876}">
    <text>Attention : il manquait des données pour cette catégorie, raison pour laquelle le total n’est pas le même que pour les deux autres catégories.</text>
  </threadedComment>
</ThreadedComment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18"/>
  <sheetViews>
    <sheetView workbookViewId="0">
      <selection activeCell="B1" sqref="B1:P18"/>
    </sheetView>
  </sheetViews>
  <sheetFormatPr baseColWidth="10" defaultColWidth="10.875" defaultRowHeight="15.75"/>
  <cols>
    <col min="1" max="1" width="10.875" style="1"/>
    <col min="2" max="2" width="12.375" style="1" bestFit="1" customWidth="1"/>
    <col min="3" max="6" width="9.625" style="1" bestFit="1" customWidth="1"/>
    <col min="7" max="7" width="5" style="1" bestFit="1" customWidth="1"/>
    <col min="8" max="8" width="11" style="1" bestFit="1" customWidth="1"/>
    <col min="9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3" spans="2:16">
      <c r="B3" s="27" t="s">
        <v>18</v>
      </c>
      <c r="C3" s="27"/>
      <c r="D3" s="27"/>
      <c r="E3" s="27"/>
      <c r="F3" s="27"/>
      <c r="G3" s="27"/>
      <c r="H3" s="27"/>
      <c r="J3" s="27" t="s">
        <v>18</v>
      </c>
      <c r="K3" s="27"/>
      <c r="L3" s="27"/>
      <c r="M3" s="27"/>
      <c r="N3" s="27"/>
      <c r="O3" s="27"/>
      <c r="P3" s="27"/>
    </row>
    <row r="4" spans="2:16">
      <c r="C4" s="28" t="s">
        <v>10</v>
      </c>
      <c r="D4" s="29"/>
      <c r="E4" s="29"/>
      <c r="F4" s="30"/>
      <c r="G4" s="3" t="s">
        <v>0</v>
      </c>
      <c r="H4" s="3" t="s">
        <v>1</v>
      </c>
      <c r="K4" s="28" t="s">
        <v>10</v>
      </c>
      <c r="L4" s="29"/>
      <c r="M4" s="29"/>
      <c r="N4" s="30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3</v>
      </c>
      <c r="D6" s="4">
        <v>12</v>
      </c>
      <c r="E6" s="4">
        <v>6</v>
      </c>
      <c r="F6" s="4">
        <v>4</v>
      </c>
      <c r="G6" s="21">
        <f>SUM(C6:F6)</f>
        <v>25</v>
      </c>
      <c r="H6" s="13">
        <f>G6/$G$17</f>
        <v>0.59523809523809523</v>
      </c>
      <c r="J6" s="20" t="s">
        <v>2</v>
      </c>
      <c r="K6" s="4">
        <v>2</v>
      </c>
      <c r="L6" s="4">
        <v>6</v>
      </c>
      <c r="M6" s="4">
        <v>13</v>
      </c>
      <c r="N6" s="4">
        <v>2</v>
      </c>
      <c r="O6" s="21">
        <f>SUM(K6:N6)</f>
        <v>23</v>
      </c>
      <c r="P6" s="13">
        <f>O6/$O$17</f>
        <v>0.6216216216216216</v>
      </c>
    </row>
    <row r="7" spans="2:16">
      <c r="B7" s="20" t="s">
        <v>15</v>
      </c>
      <c r="C7" s="4">
        <v>1</v>
      </c>
      <c r="D7" s="4">
        <v>5</v>
      </c>
      <c r="E7" s="4">
        <v>6</v>
      </c>
      <c r="F7" s="4">
        <v>5</v>
      </c>
      <c r="G7" s="21">
        <f>SUM(C7:F7)</f>
        <v>17</v>
      </c>
      <c r="H7" s="13">
        <f>G7/$G$17</f>
        <v>0.40476190476190477</v>
      </c>
      <c r="J7" s="20" t="s">
        <v>15</v>
      </c>
      <c r="K7" s="4">
        <v>3</v>
      </c>
      <c r="L7" s="4">
        <v>5</v>
      </c>
      <c r="M7" s="4">
        <v>3</v>
      </c>
      <c r="N7" s="4">
        <v>3</v>
      </c>
      <c r="O7" s="21">
        <f>SUM(K7:N7)</f>
        <v>14</v>
      </c>
      <c r="P7" s="13">
        <f>O7/$O$17</f>
        <v>0.3783783783783784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34</v>
      </c>
      <c r="D9" s="18"/>
      <c r="E9" s="18"/>
      <c r="F9" s="18"/>
      <c r="G9" s="19">
        <f>SUM(C9:F9)</f>
        <v>34</v>
      </c>
      <c r="H9" s="13">
        <f>G9/$G$17</f>
        <v>0.80952380952380953</v>
      </c>
      <c r="J9" s="15" t="s">
        <v>3</v>
      </c>
      <c r="K9" s="18">
        <v>4</v>
      </c>
      <c r="L9" s="18">
        <v>7</v>
      </c>
      <c r="M9" s="18">
        <v>14</v>
      </c>
      <c r="N9" s="18">
        <v>4</v>
      </c>
      <c r="O9" s="19">
        <f>SUM(K9:N9)</f>
        <v>29</v>
      </c>
      <c r="P9" s="13">
        <f>O9/$O$17</f>
        <v>0.78378378378378377</v>
      </c>
    </row>
    <row r="10" spans="2:16">
      <c r="B10" s="15" t="s">
        <v>4</v>
      </c>
      <c r="C10" s="18">
        <v>7</v>
      </c>
      <c r="D10" s="18"/>
      <c r="E10" s="18"/>
      <c r="F10" s="18"/>
      <c r="G10" s="19">
        <f>SUM(C10:F10)</f>
        <v>7</v>
      </c>
      <c r="H10" s="13">
        <f>G10/$G$17</f>
        <v>0.16666666666666666</v>
      </c>
      <c r="J10" s="15" t="s">
        <v>4</v>
      </c>
      <c r="K10" s="18">
        <v>1</v>
      </c>
      <c r="L10" s="18">
        <v>2</v>
      </c>
      <c r="M10" s="18">
        <v>2</v>
      </c>
      <c r="N10" s="18">
        <v>1</v>
      </c>
      <c r="O10" s="19">
        <f>SUM(K10:N10)</f>
        <v>6</v>
      </c>
      <c r="P10" s="13">
        <f>O10/$O$17</f>
        <v>0.16216216216216217</v>
      </c>
    </row>
    <row r="11" spans="2:16">
      <c r="B11" s="15" t="s">
        <v>5</v>
      </c>
      <c r="C11" s="18">
        <v>1</v>
      </c>
      <c r="D11" s="18"/>
      <c r="E11" s="18"/>
      <c r="F11" s="18"/>
      <c r="G11" s="19">
        <f>SUM(C11:F11)</f>
        <v>1</v>
      </c>
      <c r="H11" s="13">
        <f>G11/$G$17</f>
        <v>2.3809523809523808E-2</v>
      </c>
      <c r="J11" s="15" t="s">
        <v>5</v>
      </c>
      <c r="K11" s="18">
        <v>0</v>
      </c>
      <c r="L11" s="18">
        <v>2</v>
      </c>
      <c r="M11" s="18">
        <v>0</v>
      </c>
      <c r="N11" s="18">
        <v>0</v>
      </c>
      <c r="O11" s="19">
        <f>SUM(K11:N11)</f>
        <v>2</v>
      </c>
      <c r="P11" s="13">
        <f>O11/$O$17</f>
        <v>5.4054054054054057E-2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2</v>
      </c>
      <c r="D13" s="5">
        <v>8</v>
      </c>
      <c r="E13" s="5">
        <v>6</v>
      </c>
      <c r="F13" s="5">
        <v>4</v>
      </c>
      <c r="G13" s="6">
        <f>SUM(C13:F13)</f>
        <v>20</v>
      </c>
      <c r="H13" s="13">
        <f>G13/$G$17</f>
        <v>0.47619047619047616</v>
      </c>
      <c r="J13" s="12" t="s">
        <v>6</v>
      </c>
      <c r="K13" s="5">
        <v>3</v>
      </c>
      <c r="L13" s="5">
        <v>7</v>
      </c>
      <c r="M13" s="5">
        <v>11</v>
      </c>
      <c r="N13" s="5">
        <v>3</v>
      </c>
      <c r="O13" s="6">
        <f>SUM(K13:N13)</f>
        <v>24</v>
      </c>
      <c r="P13" s="13">
        <f>O13/$O$17</f>
        <v>0.64864864864864868</v>
      </c>
    </row>
    <row r="14" spans="2:16">
      <c r="B14" s="12" t="s">
        <v>7</v>
      </c>
      <c r="C14" s="5">
        <v>2</v>
      </c>
      <c r="D14" s="5">
        <v>8</v>
      </c>
      <c r="E14" s="5">
        <v>6</v>
      </c>
      <c r="F14" s="5">
        <v>5</v>
      </c>
      <c r="G14" s="6">
        <f>SUM(C14:F14)</f>
        <v>21</v>
      </c>
      <c r="H14" s="13">
        <f>G14/$G$17</f>
        <v>0.5</v>
      </c>
      <c r="J14" s="12" t="s">
        <v>7</v>
      </c>
      <c r="K14" s="5">
        <v>2</v>
      </c>
      <c r="L14" s="5">
        <v>4</v>
      </c>
      <c r="M14" s="5">
        <v>5</v>
      </c>
      <c r="N14" s="5">
        <v>2</v>
      </c>
      <c r="O14" s="6">
        <f>SUM(K14:N14)</f>
        <v>13</v>
      </c>
      <c r="P14" s="13">
        <f>O14/$O$17</f>
        <v>0.35135135135135137</v>
      </c>
    </row>
    <row r="15" spans="2:16">
      <c r="B15" s="12" t="s">
        <v>8</v>
      </c>
      <c r="C15" s="5">
        <v>0</v>
      </c>
      <c r="D15" s="5">
        <v>1</v>
      </c>
      <c r="E15" s="5">
        <v>0</v>
      </c>
      <c r="F15" s="5">
        <v>0</v>
      </c>
      <c r="G15" s="6">
        <f>SUM(C15:F15)</f>
        <v>1</v>
      </c>
      <c r="H15" s="13">
        <f>G15/$G$17</f>
        <v>2.3809523809523808E-2</v>
      </c>
      <c r="J15" s="12" t="s">
        <v>8</v>
      </c>
      <c r="K15" s="5">
        <v>0</v>
      </c>
      <c r="L15" s="5">
        <v>0</v>
      </c>
      <c r="M15" s="5">
        <v>0</v>
      </c>
      <c r="N15" s="5">
        <v>0</v>
      </c>
      <c r="O15" s="6">
        <f>SUM(K15:N15)</f>
        <v>0</v>
      </c>
      <c r="P15" s="13">
        <f>O15/$O$17</f>
        <v>0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4</v>
      </c>
      <c r="D17" s="8">
        <f>SUM(D13:D15)</f>
        <v>17</v>
      </c>
      <c r="E17" s="8">
        <f>SUM(E13:E15)</f>
        <v>12</v>
      </c>
      <c r="F17" s="8">
        <f>SUM(F13:F15)</f>
        <v>9</v>
      </c>
      <c r="G17" s="11">
        <f>SUM(C17:F17)</f>
        <v>42</v>
      </c>
      <c r="H17" s="8"/>
      <c r="J17" s="10" t="s">
        <v>9</v>
      </c>
      <c r="K17" s="8">
        <f>SUM(K13:K15)</f>
        <v>5</v>
      </c>
      <c r="L17" s="8">
        <f>SUM(L13:L15)</f>
        <v>11</v>
      </c>
      <c r="M17" s="8">
        <f>SUM(M13:M15)</f>
        <v>16</v>
      </c>
      <c r="N17" s="8">
        <f>SUM(N13:N15)</f>
        <v>5</v>
      </c>
      <c r="O17" s="11">
        <f>SUM(K17:N17)</f>
        <v>37</v>
      </c>
      <c r="P17" s="8"/>
    </row>
    <row r="18" spans="2:16">
      <c r="B18" s="10" t="s">
        <v>1</v>
      </c>
      <c r="C18" s="9">
        <f>C17/$G$17</f>
        <v>9.5238095238095233E-2</v>
      </c>
      <c r="D18" s="9">
        <f t="shared" ref="D18:F18" si="0">D17/$G$17</f>
        <v>0.40476190476190477</v>
      </c>
      <c r="E18" s="9">
        <f t="shared" si="0"/>
        <v>0.2857142857142857</v>
      </c>
      <c r="F18" s="9">
        <f t="shared" si="0"/>
        <v>0.21428571428571427</v>
      </c>
      <c r="G18" s="9"/>
      <c r="H18" s="8"/>
      <c r="J18" s="10" t="s">
        <v>1</v>
      </c>
      <c r="K18" s="9">
        <f>K17/$O$17</f>
        <v>0.13513513513513514</v>
      </c>
      <c r="L18" s="9">
        <f>L17/$O$17</f>
        <v>0.29729729729729731</v>
      </c>
      <c r="M18" s="9">
        <f>M17/$O$17</f>
        <v>0.43243243243243246</v>
      </c>
      <c r="N18" s="9">
        <f>N17/$O$17</f>
        <v>0.13513513513513514</v>
      </c>
      <c r="O18" s="9"/>
      <c r="P18" s="8"/>
    </row>
  </sheetData>
  <mergeCells count="6">
    <mergeCell ref="B3:H3"/>
    <mergeCell ref="C4:F4"/>
    <mergeCell ref="B1:H1"/>
    <mergeCell ref="J1:P1"/>
    <mergeCell ref="J3:P3"/>
    <mergeCell ref="K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5"/>
  <sheetViews>
    <sheetView topLeftCell="A3" zoomScale="106" workbookViewId="0">
      <selection activeCell="B1" sqref="B1:P18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7" t="s">
        <v>17</v>
      </c>
      <c r="C3" s="27"/>
      <c r="D3" s="27"/>
      <c r="E3" s="27"/>
      <c r="F3" s="27"/>
      <c r="G3" s="27"/>
      <c r="H3" s="27"/>
      <c r="J3" s="27" t="s">
        <v>17</v>
      </c>
      <c r="K3" s="27"/>
      <c r="L3" s="27"/>
      <c r="M3" s="27"/>
      <c r="N3" s="27"/>
      <c r="O3" s="27"/>
      <c r="P3" s="27"/>
    </row>
    <row r="4" spans="2:16">
      <c r="C4" s="28" t="s">
        <v>16</v>
      </c>
      <c r="D4" s="29"/>
      <c r="E4" s="29"/>
      <c r="F4" s="30"/>
      <c r="G4" s="3" t="s">
        <v>0</v>
      </c>
      <c r="H4" s="3" t="s">
        <v>1</v>
      </c>
      <c r="K4" s="28" t="s">
        <v>16</v>
      </c>
      <c r="L4" s="29"/>
      <c r="M4" s="29"/>
      <c r="N4" s="30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19</v>
      </c>
      <c r="D6" s="4"/>
      <c r="E6" s="4"/>
      <c r="F6" s="4"/>
      <c r="G6" s="21">
        <f>SUM(C6:F6)</f>
        <v>19</v>
      </c>
      <c r="H6" s="13">
        <f>G6/$G$17</f>
        <v>0.6333333333333333</v>
      </c>
      <c r="J6" s="20" t="s">
        <v>2</v>
      </c>
      <c r="K6" s="4">
        <v>10</v>
      </c>
      <c r="L6" s="4">
        <v>7</v>
      </c>
      <c r="M6" s="4">
        <v>6</v>
      </c>
      <c r="N6" s="4">
        <v>5</v>
      </c>
      <c r="O6" s="21">
        <f>SUM(K6:N6)</f>
        <v>28</v>
      </c>
      <c r="P6" s="13">
        <f>O6/$O$17</f>
        <v>0.875</v>
      </c>
    </row>
    <row r="7" spans="2:16">
      <c r="B7" s="20" t="s">
        <v>15</v>
      </c>
      <c r="C7" s="4">
        <v>11</v>
      </c>
      <c r="D7" s="4"/>
      <c r="E7" s="4"/>
      <c r="F7" s="4"/>
      <c r="G7" s="21">
        <f>SUM(C7:F7)</f>
        <v>11</v>
      </c>
      <c r="H7" s="13">
        <f>G7/$G$17</f>
        <v>0.36666666666666664</v>
      </c>
      <c r="J7" s="20" t="s">
        <v>15</v>
      </c>
      <c r="K7" s="4">
        <v>1</v>
      </c>
      <c r="L7" s="4">
        <v>1</v>
      </c>
      <c r="M7" s="4">
        <v>0</v>
      </c>
      <c r="N7" s="4">
        <v>2</v>
      </c>
      <c r="O7" s="21">
        <f>SUM(K7:N7)</f>
        <v>4</v>
      </c>
      <c r="P7" s="13">
        <f>O7/$O$17</f>
        <v>0.125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3</v>
      </c>
      <c r="D9" s="18"/>
      <c r="E9" s="18"/>
      <c r="F9" s="18"/>
      <c r="G9" s="19">
        <f>SUM(C9:F9)</f>
        <v>3</v>
      </c>
      <c r="H9" s="13">
        <f>G9/$G$17</f>
        <v>0.1</v>
      </c>
      <c r="J9" s="15" t="s">
        <v>3</v>
      </c>
      <c r="K9" s="18">
        <v>2</v>
      </c>
      <c r="L9" s="18">
        <v>1</v>
      </c>
      <c r="M9" s="18">
        <v>1</v>
      </c>
      <c r="N9" s="18">
        <v>1</v>
      </c>
      <c r="O9" s="19">
        <f>SUM(K9:N9)</f>
        <v>5</v>
      </c>
      <c r="P9" s="13">
        <f>O9/$O$17</f>
        <v>0.15625</v>
      </c>
    </row>
    <row r="10" spans="2:16">
      <c r="B10" s="15" t="s">
        <v>4</v>
      </c>
      <c r="C10" s="18">
        <v>27</v>
      </c>
      <c r="D10" s="18"/>
      <c r="E10" s="18"/>
      <c r="F10" s="18"/>
      <c r="G10" s="19">
        <f>SUM(C10:F10)</f>
        <v>27</v>
      </c>
      <c r="H10" s="13">
        <f>G10/$G$17</f>
        <v>0.9</v>
      </c>
      <c r="J10" s="15" t="s">
        <v>4</v>
      </c>
      <c r="K10" s="18">
        <v>8</v>
      </c>
      <c r="L10" s="18">
        <v>7</v>
      </c>
      <c r="M10" s="18">
        <v>3</v>
      </c>
      <c r="N10" s="18">
        <v>6</v>
      </c>
      <c r="O10" s="19">
        <f>SUM(K10:N10)</f>
        <v>24</v>
      </c>
      <c r="P10" s="13">
        <f>O10/$O$17</f>
        <v>0.75</v>
      </c>
    </row>
    <row r="11" spans="2:16">
      <c r="B11" s="15" t="s">
        <v>5</v>
      </c>
      <c r="C11" s="18">
        <v>0</v>
      </c>
      <c r="D11" s="18"/>
      <c r="E11" s="18"/>
      <c r="F11" s="18"/>
      <c r="G11" s="19">
        <f>SUM(C11:F11)</f>
        <v>0</v>
      </c>
      <c r="H11" s="13">
        <f>G11/$G$17</f>
        <v>0</v>
      </c>
      <c r="J11" s="15" t="s">
        <v>5</v>
      </c>
      <c r="K11" s="18">
        <v>1</v>
      </c>
      <c r="L11" s="18">
        <v>0</v>
      </c>
      <c r="M11" s="18">
        <v>2</v>
      </c>
      <c r="N11" s="18">
        <v>0</v>
      </c>
      <c r="O11" s="19">
        <f>SUM(K11:N11)</f>
        <v>3</v>
      </c>
      <c r="P11" s="13">
        <f>O11/$O$17</f>
        <v>9.375E-2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25</v>
      </c>
      <c r="D13" s="5"/>
      <c r="E13" s="5"/>
      <c r="F13" s="5"/>
      <c r="G13" s="6">
        <f>SUM(C13:F13)</f>
        <v>25</v>
      </c>
      <c r="H13" s="13">
        <f>G13/$G$17</f>
        <v>0.83333333333333337</v>
      </c>
      <c r="J13" s="12" t="s">
        <v>6</v>
      </c>
      <c r="K13" s="5">
        <v>8</v>
      </c>
      <c r="L13" s="5">
        <v>4</v>
      </c>
      <c r="M13" s="5">
        <v>2</v>
      </c>
      <c r="N13" s="5">
        <v>0</v>
      </c>
      <c r="O13" s="6">
        <f>SUM(K13:N13)</f>
        <v>14</v>
      </c>
      <c r="P13" s="13">
        <f>O13/$O$17</f>
        <v>0.4375</v>
      </c>
    </row>
    <row r="14" spans="2:16">
      <c r="B14" s="12" t="s">
        <v>7</v>
      </c>
      <c r="C14" s="5">
        <v>5</v>
      </c>
      <c r="D14" s="5"/>
      <c r="E14" s="5"/>
      <c r="F14" s="5"/>
      <c r="G14" s="6">
        <f>SUM(C14:F14)</f>
        <v>5</v>
      </c>
      <c r="H14" s="13">
        <f>G14/$G$17</f>
        <v>0.16666666666666666</v>
      </c>
      <c r="J14" s="12" t="s">
        <v>7</v>
      </c>
      <c r="K14" s="5">
        <v>3</v>
      </c>
      <c r="L14" s="5">
        <v>4</v>
      </c>
      <c r="M14" s="5">
        <v>4</v>
      </c>
      <c r="N14" s="5">
        <v>7</v>
      </c>
      <c r="O14" s="6">
        <f>SUM(K14:N14)</f>
        <v>18</v>
      </c>
      <c r="P14" s="13">
        <f>O14/$O$17</f>
        <v>0.5625</v>
      </c>
    </row>
    <row r="15" spans="2:16">
      <c r="B15" s="12" t="s">
        <v>8</v>
      </c>
      <c r="C15" s="5"/>
      <c r="D15" s="5"/>
      <c r="E15" s="5"/>
      <c r="F15" s="5"/>
      <c r="G15" s="6">
        <f>SUM(C15:F15)</f>
        <v>0</v>
      </c>
      <c r="H15" s="13">
        <f>G15/$G$17</f>
        <v>0</v>
      </c>
      <c r="J15" s="12" t="s">
        <v>8</v>
      </c>
      <c r="K15" s="5">
        <v>0</v>
      </c>
      <c r="L15" s="5">
        <v>0</v>
      </c>
      <c r="M15" s="5">
        <v>0</v>
      </c>
      <c r="N15" s="5">
        <v>0</v>
      </c>
      <c r="O15" s="6">
        <f>SUM(K15:N15)</f>
        <v>0</v>
      </c>
      <c r="P15" s="13">
        <f>O15/$O$17</f>
        <v>0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30</v>
      </c>
      <c r="D17" s="8">
        <f>SUM(D13:D15)</f>
        <v>0</v>
      </c>
      <c r="E17" s="8">
        <f>SUM(E13:E15)</f>
        <v>0</v>
      </c>
      <c r="F17" s="8">
        <f>SUM(F13:F15)</f>
        <v>0</v>
      </c>
      <c r="G17" s="11">
        <f>SUM(C17:F17)</f>
        <v>30</v>
      </c>
      <c r="H17" s="8"/>
      <c r="J17" s="10" t="s">
        <v>9</v>
      </c>
      <c r="K17" s="8">
        <f>SUM(K13:K15)</f>
        <v>11</v>
      </c>
      <c r="L17" s="8">
        <f>SUM(L13:L15)</f>
        <v>8</v>
      </c>
      <c r="M17" s="8">
        <f>SUM(M13:M15)</f>
        <v>6</v>
      </c>
      <c r="N17" s="8">
        <f>SUM(N13:N15)</f>
        <v>7</v>
      </c>
      <c r="O17" s="11">
        <f>SUM(K17:N17)</f>
        <v>32</v>
      </c>
      <c r="P17" s="8"/>
    </row>
    <row r="18" spans="2:16">
      <c r="B18" s="10" t="s">
        <v>1</v>
      </c>
      <c r="C18" s="9">
        <f>C17/$G$17</f>
        <v>1</v>
      </c>
      <c r="D18" s="9">
        <f t="shared" ref="D18:F18" si="0">D17/$G$17</f>
        <v>0</v>
      </c>
      <c r="E18" s="9">
        <f t="shared" si="0"/>
        <v>0</v>
      </c>
      <c r="F18" s="9">
        <f t="shared" si="0"/>
        <v>0</v>
      </c>
      <c r="G18" s="9"/>
      <c r="H18" s="8"/>
      <c r="J18" s="10" t="s">
        <v>1</v>
      </c>
      <c r="K18" s="9">
        <f>K17/$O$17</f>
        <v>0.34375</v>
      </c>
      <c r="L18" s="9">
        <f>L17/$O$17</f>
        <v>0.25</v>
      </c>
      <c r="M18" s="9">
        <f>M17/$O$17</f>
        <v>0.1875</v>
      </c>
      <c r="N18" s="9">
        <f>N17/$O$17</f>
        <v>0.21875</v>
      </c>
      <c r="O18" s="9"/>
      <c r="P18" s="8"/>
    </row>
    <row r="20" spans="2:16">
      <c r="B20" s="27" t="s">
        <v>17</v>
      </c>
      <c r="C20" s="27"/>
      <c r="D20" s="27"/>
      <c r="E20" s="27"/>
      <c r="F20" s="27"/>
      <c r="G20" s="27"/>
      <c r="H20" s="27"/>
      <c r="J20" s="27" t="s">
        <v>17</v>
      </c>
      <c r="K20" s="27"/>
      <c r="L20" s="27"/>
      <c r="M20" s="27"/>
      <c r="N20" s="27"/>
      <c r="O20" s="27"/>
      <c r="P20" s="27"/>
    </row>
    <row r="21" spans="2:16">
      <c r="C21" s="28" t="s">
        <v>16</v>
      </c>
      <c r="D21" s="29"/>
      <c r="E21" s="29"/>
      <c r="F21" s="30"/>
      <c r="G21" s="3" t="s">
        <v>0</v>
      </c>
      <c r="H21" s="3" t="s">
        <v>1</v>
      </c>
      <c r="K21" s="28" t="s">
        <v>16</v>
      </c>
      <c r="L21" s="29"/>
      <c r="M21" s="29"/>
      <c r="N21" s="30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31</v>
      </c>
      <c r="D23" s="4"/>
      <c r="E23" s="4"/>
      <c r="F23" s="4"/>
      <c r="G23" s="21">
        <f>SUM(C23:F23)</f>
        <v>31</v>
      </c>
      <c r="H23" s="13">
        <f>G23/$G$34</f>
        <v>0.63265306122448983</v>
      </c>
      <c r="J23" s="20" t="s">
        <v>2</v>
      </c>
      <c r="K23" s="4">
        <v>10</v>
      </c>
      <c r="L23" s="4">
        <v>5</v>
      </c>
      <c r="M23" s="4">
        <v>8</v>
      </c>
      <c r="N23" s="4">
        <v>10</v>
      </c>
      <c r="O23" s="21">
        <f>SUM(K23:N23)</f>
        <v>33</v>
      </c>
      <c r="P23" s="13">
        <f>O23/$O$34</f>
        <v>0.61111111111111116</v>
      </c>
    </row>
    <row r="24" spans="2:16">
      <c r="B24" s="20" t="s">
        <v>15</v>
      </c>
      <c r="C24" s="4">
        <v>18</v>
      </c>
      <c r="D24" s="4"/>
      <c r="E24" s="4"/>
      <c r="F24" s="4"/>
      <c r="G24" s="21">
        <f>SUM(C24:F24)</f>
        <v>18</v>
      </c>
      <c r="H24" s="13">
        <f>G24/$G$34</f>
        <v>0.36734693877551022</v>
      </c>
      <c r="J24" s="20" t="s">
        <v>15</v>
      </c>
      <c r="K24" s="4">
        <v>6</v>
      </c>
      <c r="L24" s="4">
        <v>2</v>
      </c>
      <c r="M24" s="4">
        <v>4</v>
      </c>
      <c r="N24" s="4">
        <v>9</v>
      </c>
      <c r="O24" s="21">
        <f>SUM(K24:N24)</f>
        <v>21</v>
      </c>
      <c r="P24" s="13">
        <f>O24/$O$34</f>
        <v>0.3888888888888889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>
        <v>8</v>
      </c>
      <c r="D26" s="18"/>
      <c r="E26" s="18"/>
      <c r="F26" s="18"/>
      <c r="G26" s="19">
        <f>SUM(C26:F26)</f>
        <v>8</v>
      </c>
      <c r="H26" s="13">
        <f>G26/$G$34</f>
        <v>0.16326530612244897</v>
      </c>
      <c r="J26" s="15" t="s">
        <v>3</v>
      </c>
      <c r="K26" s="18">
        <v>4</v>
      </c>
      <c r="L26" s="18">
        <v>2</v>
      </c>
      <c r="M26" s="18">
        <v>0</v>
      </c>
      <c r="N26" s="18">
        <v>6</v>
      </c>
      <c r="O26" s="19">
        <f>SUM(K26:N26)</f>
        <v>12</v>
      </c>
      <c r="P26" s="13">
        <f>O26/$O$34</f>
        <v>0.22222222222222221</v>
      </c>
    </row>
    <row r="27" spans="2:16">
      <c r="B27" s="15" t="s">
        <v>4</v>
      </c>
      <c r="C27" s="18">
        <v>38</v>
      </c>
      <c r="D27" s="18"/>
      <c r="E27" s="18"/>
      <c r="F27" s="18"/>
      <c r="G27" s="19">
        <f>SUM(C27:F27)</f>
        <v>38</v>
      </c>
      <c r="H27" s="13">
        <f>G27/$G$34</f>
        <v>0.77551020408163263</v>
      </c>
      <c r="J27" s="15" t="s">
        <v>4</v>
      </c>
      <c r="K27" s="18">
        <v>11</v>
      </c>
      <c r="L27" s="18">
        <v>6</v>
      </c>
      <c r="M27" s="18">
        <v>10</v>
      </c>
      <c r="N27" s="18">
        <v>12</v>
      </c>
      <c r="O27" s="19">
        <f>SUM(K27:N27)</f>
        <v>39</v>
      </c>
      <c r="P27" s="13">
        <f>O27/$O$34</f>
        <v>0.72222222222222221</v>
      </c>
    </row>
    <row r="28" spans="2:16">
      <c r="B28" s="15" t="s">
        <v>5</v>
      </c>
      <c r="C28" s="18">
        <v>3</v>
      </c>
      <c r="D28" s="18"/>
      <c r="E28" s="18"/>
      <c r="F28" s="18"/>
      <c r="G28" s="19">
        <f>SUM(C28:F28)</f>
        <v>3</v>
      </c>
      <c r="H28" s="13">
        <f>G28/$G$34</f>
        <v>6.1224489795918366E-2</v>
      </c>
      <c r="J28" s="15" t="s">
        <v>5</v>
      </c>
      <c r="K28" s="18">
        <v>1</v>
      </c>
      <c r="L28" s="18">
        <v>0</v>
      </c>
      <c r="M28" s="18">
        <v>1</v>
      </c>
      <c r="N28" s="18">
        <v>1</v>
      </c>
      <c r="O28" s="19">
        <f>SUM(K28:N28)</f>
        <v>3</v>
      </c>
      <c r="P28" s="13">
        <f>O28/$O$34</f>
        <v>5.5555555555555552E-2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20</v>
      </c>
      <c r="D30" s="5"/>
      <c r="E30" s="5"/>
      <c r="F30" s="5"/>
      <c r="G30" s="6">
        <f>SUM(C30:F30)</f>
        <v>20</v>
      </c>
      <c r="H30" s="13">
        <f>G30/$G$34</f>
        <v>0.40816326530612246</v>
      </c>
      <c r="J30" s="12" t="s">
        <v>6</v>
      </c>
      <c r="K30" s="5">
        <v>7</v>
      </c>
      <c r="L30" s="5">
        <v>2</v>
      </c>
      <c r="M30" s="5">
        <v>8</v>
      </c>
      <c r="N30" s="5">
        <v>9</v>
      </c>
      <c r="O30" s="6">
        <f>SUM(K30:N30)</f>
        <v>26</v>
      </c>
      <c r="P30" s="13">
        <f>O30/$O$34</f>
        <v>0.48148148148148145</v>
      </c>
    </row>
    <row r="31" spans="2:16">
      <c r="B31" s="12" t="s">
        <v>7</v>
      </c>
      <c r="C31" s="5">
        <v>28</v>
      </c>
      <c r="D31" s="5"/>
      <c r="E31" s="5"/>
      <c r="F31" s="5"/>
      <c r="G31" s="6">
        <f>SUM(C31:F31)</f>
        <v>28</v>
      </c>
      <c r="H31" s="13">
        <f>G31/$G$34</f>
        <v>0.5714285714285714</v>
      </c>
      <c r="J31" s="12" t="s">
        <v>7</v>
      </c>
      <c r="K31" s="5">
        <v>9</v>
      </c>
      <c r="L31" s="5">
        <v>5</v>
      </c>
      <c r="M31" s="5">
        <v>4</v>
      </c>
      <c r="N31" s="5">
        <v>10</v>
      </c>
      <c r="O31" s="6">
        <f>SUM(K31:N31)</f>
        <v>28</v>
      </c>
      <c r="P31" s="13">
        <f>O31/$O$34</f>
        <v>0.51851851851851849</v>
      </c>
    </row>
    <row r="32" spans="2:16">
      <c r="B32" s="12" t="s">
        <v>8</v>
      </c>
      <c r="C32" s="5">
        <v>1</v>
      </c>
      <c r="D32" s="5"/>
      <c r="E32" s="5"/>
      <c r="F32" s="5"/>
      <c r="G32" s="6">
        <f>SUM(C32:F32)</f>
        <v>1</v>
      </c>
      <c r="H32" s="13">
        <f>G32/$G$34</f>
        <v>2.0408163265306121E-2</v>
      </c>
      <c r="J32" s="12" t="s">
        <v>8</v>
      </c>
      <c r="K32" s="5">
        <v>0</v>
      </c>
      <c r="L32" s="5">
        <v>0</v>
      </c>
      <c r="M32" s="5">
        <v>0</v>
      </c>
      <c r="N32" s="5">
        <v>0</v>
      </c>
      <c r="O32" s="6">
        <f>SUM(K32:N32)</f>
        <v>0</v>
      </c>
      <c r="P32" s="13">
        <f>O32/$O$34</f>
        <v>0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49</v>
      </c>
      <c r="D34" s="8">
        <f>SUM(D30:D32)</f>
        <v>0</v>
      </c>
      <c r="E34" s="8">
        <f>SUM(E30:E32)</f>
        <v>0</v>
      </c>
      <c r="F34" s="8">
        <f>SUM(F30:F32)</f>
        <v>0</v>
      </c>
      <c r="G34" s="11">
        <f>SUM(C34:F34)</f>
        <v>49</v>
      </c>
      <c r="H34" s="8"/>
      <c r="J34" s="10" t="s">
        <v>9</v>
      </c>
      <c r="K34" s="8">
        <f>SUM(K30:K32)</f>
        <v>16</v>
      </c>
      <c r="L34" s="8">
        <f>SUM(L30:L32)</f>
        <v>7</v>
      </c>
      <c r="M34" s="8">
        <f>SUM(M30:M32)</f>
        <v>12</v>
      </c>
      <c r="N34" s="8">
        <f>SUM(N30:N32)</f>
        <v>19</v>
      </c>
      <c r="O34" s="11">
        <f>SUM(K34:N34)</f>
        <v>54</v>
      </c>
      <c r="P34" s="8"/>
    </row>
    <row r="35" spans="2:16">
      <c r="B35" s="10" t="s">
        <v>1</v>
      </c>
      <c r="C35" s="9">
        <f>C34/$G$34</f>
        <v>1</v>
      </c>
      <c r="D35" s="9">
        <f t="shared" ref="D35:F35" si="1">D34/$G$34</f>
        <v>0</v>
      </c>
      <c r="E35" s="9">
        <f t="shared" si="1"/>
        <v>0</v>
      </c>
      <c r="F35" s="9">
        <f t="shared" si="1"/>
        <v>0</v>
      </c>
      <c r="G35" s="9"/>
      <c r="H35" s="8"/>
      <c r="J35" s="10" t="s">
        <v>1</v>
      </c>
      <c r="K35" s="9">
        <f>K34/$O$34</f>
        <v>0.29629629629629628</v>
      </c>
      <c r="L35" s="9">
        <f>L34/$O$34</f>
        <v>0.12962962962962962</v>
      </c>
      <c r="M35" s="9">
        <f>M34/$O$34</f>
        <v>0.22222222222222221</v>
      </c>
      <c r="N35" s="9">
        <f>N34/$O$34</f>
        <v>0.35185185185185186</v>
      </c>
      <c r="O35" s="9"/>
      <c r="P35" s="8"/>
    </row>
  </sheetData>
  <mergeCells count="10">
    <mergeCell ref="B1:H1"/>
    <mergeCell ref="B3:H3"/>
    <mergeCell ref="C4:F4"/>
    <mergeCell ref="B20:H20"/>
    <mergeCell ref="C21:F21"/>
    <mergeCell ref="J1:P1"/>
    <mergeCell ref="J3:P3"/>
    <mergeCell ref="K4:N4"/>
    <mergeCell ref="J20:P20"/>
    <mergeCell ref="K21:N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5"/>
  <sheetViews>
    <sheetView zoomScale="90" workbookViewId="0">
      <selection activeCell="G23" activeCellId="1" sqref="G6:G7 G23:G24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7" t="s">
        <v>20</v>
      </c>
      <c r="C3" s="27"/>
      <c r="D3" s="27"/>
      <c r="E3" s="27"/>
      <c r="F3" s="27"/>
      <c r="G3" s="27"/>
      <c r="H3" s="27"/>
      <c r="J3" s="27" t="s">
        <v>20</v>
      </c>
      <c r="K3" s="27"/>
      <c r="L3" s="27"/>
      <c r="M3" s="27"/>
      <c r="N3" s="27"/>
      <c r="O3" s="27"/>
      <c r="P3" s="27"/>
    </row>
    <row r="4" spans="2:16">
      <c r="C4" s="28" t="s">
        <v>21</v>
      </c>
      <c r="D4" s="29"/>
      <c r="E4" s="29"/>
      <c r="F4" s="30"/>
      <c r="G4" s="3" t="s">
        <v>0</v>
      </c>
      <c r="H4" s="3" t="s">
        <v>1</v>
      </c>
      <c r="K4" s="28" t="s">
        <v>21</v>
      </c>
      <c r="L4" s="29"/>
      <c r="M4" s="29"/>
      <c r="N4" s="30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25</v>
      </c>
      <c r="D6" s="4">
        <v>40</v>
      </c>
      <c r="E6" s="4">
        <v>22</v>
      </c>
      <c r="F6" s="4">
        <v>35</v>
      </c>
      <c r="G6" s="21">
        <f>SUM(C6:F6)</f>
        <v>122</v>
      </c>
      <c r="H6" s="13">
        <f>G6/$G$17</f>
        <v>0.80794701986754969</v>
      </c>
      <c r="J6" s="20" t="s">
        <v>2</v>
      </c>
      <c r="K6" s="4">
        <v>42</v>
      </c>
      <c r="L6" s="4">
        <v>36</v>
      </c>
      <c r="M6" s="4">
        <v>35</v>
      </c>
      <c r="N6" s="4">
        <v>63</v>
      </c>
      <c r="O6" s="21">
        <f>SUM(K6:N6)</f>
        <v>176</v>
      </c>
      <c r="P6" s="13">
        <f>O6/$O$17</f>
        <v>0.81105990783410142</v>
      </c>
    </row>
    <row r="7" spans="2:16">
      <c r="B7" s="20" t="s">
        <v>15</v>
      </c>
      <c r="C7" s="4">
        <v>4</v>
      </c>
      <c r="D7" s="4">
        <v>5</v>
      </c>
      <c r="E7" s="4">
        <v>6</v>
      </c>
      <c r="F7" s="4">
        <v>14</v>
      </c>
      <c r="G7" s="21">
        <f>SUM(C7:F7)</f>
        <v>29</v>
      </c>
      <c r="H7" s="13">
        <f>G7/$G$17</f>
        <v>0.19205298013245034</v>
      </c>
      <c r="J7" s="20" t="s">
        <v>15</v>
      </c>
      <c r="K7" s="4">
        <v>10</v>
      </c>
      <c r="L7" s="4">
        <v>13</v>
      </c>
      <c r="M7" s="4">
        <v>6</v>
      </c>
      <c r="N7" s="4">
        <v>11</v>
      </c>
      <c r="O7" s="21">
        <f>SUM(K7:N7)</f>
        <v>40</v>
      </c>
      <c r="P7" s="13">
        <f>O7/$O$17</f>
        <v>0.18433179723502305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/>
      <c r="D9" s="18"/>
      <c r="E9" s="18"/>
      <c r="F9" s="18"/>
      <c r="G9" s="19">
        <f>SUM(C9:F9)</f>
        <v>0</v>
      </c>
      <c r="H9" s="13">
        <f>G9/$G$17</f>
        <v>0</v>
      </c>
      <c r="J9" s="15" t="s">
        <v>3</v>
      </c>
      <c r="K9" s="18">
        <v>22</v>
      </c>
      <c r="L9" s="18">
        <v>27</v>
      </c>
      <c r="M9" s="18">
        <v>18</v>
      </c>
      <c r="N9" s="18">
        <v>44</v>
      </c>
      <c r="O9" s="19">
        <f>SUM(K9:N9)</f>
        <v>111</v>
      </c>
      <c r="P9" s="13">
        <f>O9/$O$17</f>
        <v>0.51152073732718895</v>
      </c>
    </row>
    <row r="10" spans="2:16">
      <c r="B10" s="15" t="s">
        <v>4</v>
      </c>
      <c r="C10" s="18"/>
      <c r="D10" s="18"/>
      <c r="E10" s="18"/>
      <c r="F10" s="18"/>
      <c r="G10" s="19">
        <f>SUM(C10:F10)</f>
        <v>0</v>
      </c>
      <c r="H10" s="13">
        <f>G10/$G$17</f>
        <v>0</v>
      </c>
      <c r="J10" s="15" t="s">
        <v>4</v>
      </c>
      <c r="K10" s="18">
        <v>28</v>
      </c>
      <c r="L10" s="18">
        <v>20</v>
      </c>
      <c r="M10" s="18">
        <v>21</v>
      </c>
      <c r="N10" s="18">
        <v>30</v>
      </c>
      <c r="O10" s="19">
        <f>SUM(K10:N10)</f>
        <v>99</v>
      </c>
      <c r="P10" s="13">
        <f>O10/$O$17</f>
        <v>0.45622119815668205</v>
      </c>
    </row>
    <row r="11" spans="2:16">
      <c r="B11" s="15" t="s">
        <v>5</v>
      </c>
      <c r="C11" s="18"/>
      <c r="D11" s="18"/>
      <c r="E11" s="18"/>
      <c r="F11" s="18"/>
      <c r="G11" s="19">
        <f>SUM(C11:F11)</f>
        <v>0</v>
      </c>
      <c r="H11" s="13">
        <f>G11/$G$17</f>
        <v>0</v>
      </c>
      <c r="J11" s="15" t="s">
        <v>5</v>
      </c>
      <c r="K11" s="18">
        <v>2</v>
      </c>
      <c r="L11" s="18">
        <v>2</v>
      </c>
      <c r="M11" s="18">
        <v>2</v>
      </c>
      <c r="N11" s="18">
        <v>1</v>
      </c>
      <c r="O11" s="19">
        <f>SUM(K11:N11)</f>
        <v>7</v>
      </c>
      <c r="P11" s="13">
        <f>O11/$O$17</f>
        <v>3.2258064516129031E-2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16</v>
      </c>
      <c r="D13" s="5">
        <v>26</v>
      </c>
      <c r="E13" s="5">
        <v>18</v>
      </c>
      <c r="F13" s="5">
        <v>26</v>
      </c>
      <c r="G13" s="6">
        <f>SUM(C13:F13)</f>
        <v>86</v>
      </c>
      <c r="H13" s="13">
        <f>G13/$G$17</f>
        <v>0.56953642384105962</v>
      </c>
      <c r="J13" s="12" t="s">
        <v>6</v>
      </c>
      <c r="K13" s="5">
        <v>31</v>
      </c>
      <c r="L13" s="5">
        <v>33</v>
      </c>
      <c r="M13" s="5">
        <v>20</v>
      </c>
      <c r="N13" s="5">
        <v>45</v>
      </c>
      <c r="O13" s="6">
        <f>SUM(K13:N13)</f>
        <v>129</v>
      </c>
      <c r="P13" s="13">
        <f>O13/$O$17</f>
        <v>0.59447004608294929</v>
      </c>
    </row>
    <row r="14" spans="2:16">
      <c r="B14" s="12" t="s">
        <v>7</v>
      </c>
      <c r="C14" s="5">
        <v>13</v>
      </c>
      <c r="D14" s="5">
        <v>19</v>
      </c>
      <c r="E14" s="5">
        <v>10</v>
      </c>
      <c r="F14" s="5">
        <v>23</v>
      </c>
      <c r="G14" s="6">
        <f>SUM(C14:F14)</f>
        <v>65</v>
      </c>
      <c r="H14" s="13">
        <f>G14/$G$17</f>
        <v>0.43046357615894038</v>
      </c>
      <c r="J14" s="12" t="s">
        <v>7</v>
      </c>
      <c r="K14" s="5">
        <v>21</v>
      </c>
      <c r="L14" s="5">
        <v>16</v>
      </c>
      <c r="M14" s="5">
        <v>21</v>
      </c>
      <c r="N14" s="5">
        <v>29</v>
      </c>
      <c r="O14" s="6">
        <f>SUM(K14:N14)</f>
        <v>87</v>
      </c>
      <c r="P14" s="13">
        <f>O14/$O$17</f>
        <v>0.4009216589861751</v>
      </c>
    </row>
    <row r="15" spans="2:16">
      <c r="B15" s="12" t="s">
        <v>8</v>
      </c>
      <c r="C15" s="5">
        <v>0</v>
      </c>
      <c r="D15" s="5">
        <v>0</v>
      </c>
      <c r="E15" s="5">
        <v>0</v>
      </c>
      <c r="F15" s="5">
        <v>0</v>
      </c>
      <c r="G15" s="6">
        <f>SUM(C15:F15)</f>
        <v>0</v>
      </c>
      <c r="H15" s="13">
        <f>G15/$G$17</f>
        <v>0</v>
      </c>
      <c r="J15" s="12" t="s">
        <v>8</v>
      </c>
      <c r="K15" s="5">
        <v>0</v>
      </c>
      <c r="L15" s="5">
        <v>0</v>
      </c>
      <c r="M15" s="5">
        <v>0</v>
      </c>
      <c r="N15" s="5">
        <v>1</v>
      </c>
      <c r="O15" s="6">
        <f>SUM(K15:N15)</f>
        <v>1</v>
      </c>
      <c r="P15" s="13">
        <f>O15/$O$17</f>
        <v>4.608294930875576E-3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29</v>
      </c>
      <c r="D17" s="8">
        <f>SUM(D13:D15)</f>
        <v>45</v>
      </c>
      <c r="E17" s="8">
        <f>SUM(E13:E15)</f>
        <v>28</v>
      </c>
      <c r="F17" s="8">
        <f>SUM(F13:F15)</f>
        <v>49</v>
      </c>
      <c r="G17" s="11">
        <f>SUM(C17:F17)</f>
        <v>151</v>
      </c>
      <c r="H17" s="8"/>
      <c r="J17" s="10" t="s">
        <v>9</v>
      </c>
      <c r="K17" s="8">
        <f>SUM(K13:K15)</f>
        <v>52</v>
      </c>
      <c r="L17" s="8">
        <f>SUM(L13:L15)</f>
        <v>49</v>
      </c>
      <c r="M17" s="8">
        <f>SUM(M13:M15)</f>
        <v>41</v>
      </c>
      <c r="N17" s="8">
        <f>SUM(N13:N15)</f>
        <v>75</v>
      </c>
      <c r="O17" s="11">
        <f>SUM(K17:N17)</f>
        <v>217</v>
      </c>
      <c r="P17" s="8"/>
    </row>
    <row r="18" spans="2:16">
      <c r="B18" s="10" t="s">
        <v>1</v>
      </c>
      <c r="C18" s="9">
        <f>C17/$G$17</f>
        <v>0.19205298013245034</v>
      </c>
      <c r="D18" s="9">
        <f t="shared" ref="D18:F18" si="0">D17/$G$17</f>
        <v>0.29801324503311261</v>
      </c>
      <c r="E18" s="9">
        <f t="shared" si="0"/>
        <v>0.18543046357615894</v>
      </c>
      <c r="F18" s="9">
        <f t="shared" si="0"/>
        <v>0.32450331125827814</v>
      </c>
      <c r="G18" s="9"/>
      <c r="H18" s="8"/>
      <c r="J18" s="10" t="s">
        <v>1</v>
      </c>
      <c r="K18" s="9">
        <f>K17/$O$17</f>
        <v>0.23963133640552994</v>
      </c>
      <c r="L18" s="9">
        <f>L17/$O$17</f>
        <v>0.22580645161290322</v>
      </c>
      <c r="M18" s="9">
        <f>M17/$O$17</f>
        <v>0.1889400921658986</v>
      </c>
      <c r="N18" s="9">
        <f>N17/$O$17</f>
        <v>0.34562211981566821</v>
      </c>
      <c r="O18" s="9"/>
      <c r="P18" s="8"/>
    </row>
    <row r="20" spans="2:16">
      <c r="B20" s="27" t="s">
        <v>20</v>
      </c>
      <c r="C20" s="27"/>
      <c r="D20" s="27"/>
      <c r="E20" s="27"/>
      <c r="F20" s="27"/>
      <c r="G20" s="27"/>
      <c r="H20" s="27"/>
      <c r="J20" s="27" t="s">
        <v>20</v>
      </c>
      <c r="K20" s="27"/>
      <c r="L20" s="27"/>
      <c r="M20" s="27"/>
      <c r="N20" s="27"/>
      <c r="O20" s="27"/>
      <c r="P20" s="27"/>
    </row>
    <row r="21" spans="2:16">
      <c r="C21" s="28" t="s">
        <v>22</v>
      </c>
      <c r="D21" s="29"/>
      <c r="E21" s="29"/>
      <c r="F21" s="30"/>
      <c r="G21" s="3" t="s">
        <v>0</v>
      </c>
      <c r="H21" s="3" t="s">
        <v>1</v>
      </c>
      <c r="K21" s="28" t="s">
        <v>22</v>
      </c>
      <c r="L21" s="29"/>
      <c r="M21" s="29"/>
      <c r="N21" s="30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25</v>
      </c>
      <c r="D23" s="4">
        <v>30</v>
      </c>
      <c r="E23" s="4">
        <v>33</v>
      </c>
      <c r="F23" s="4">
        <v>31</v>
      </c>
      <c r="G23" s="21">
        <f>SUM(C23:F23)</f>
        <v>119</v>
      </c>
      <c r="H23" s="13">
        <f>G23/$G$34</f>
        <v>0.90151515151515149</v>
      </c>
      <c r="J23" s="20" t="s">
        <v>2</v>
      </c>
      <c r="K23" s="4">
        <v>39</v>
      </c>
      <c r="L23" s="4">
        <v>19</v>
      </c>
      <c r="M23" s="4">
        <v>33</v>
      </c>
      <c r="N23" s="4">
        <v>50</v>
      </c>
      <c r="O23" s="21">
        <f>SUM(K23:N23)</f>
        <v>141</v>
      </c>
      <c r="P23" s="13">
        <f>O23/$O$34</f>
        <v>0.76216216216216215</v>
      </c>
    </row>
    <row r="24" spans="2:16">
      <c r="B24" s="20" t="s">
        <v>15</v>
      </c>
      <c r="C24" s="4">
        <v>2</v>
      </c>
      <c r="D24" s="4">
        <v>2</v>
      </c>
      <c r="E24" s="4">
        <v>5</v>
      </c>
      <c r="F24" s="4">
        <v>4</v>
      </c>
      <c r="G24" s="21">
        <f>SUM(C24:F24)</f>
        <v>13</v>
      </c>
      <c r="H24" s="13">
        <f>G24/$G$34</f>
        <v>9.8484848484848481E-2</v>
      </c>
      <c r="J24" s="20" t="s">
        <v>15</v>
      </c>
      <c r="K24" s="4">
        <v>16</v>
      </c>
      <c r="L24" s="4">
        <v>4</v>
      </c>
      <c r="M24" s="4">
        <v>15</v>
      </c>
      <c r="N24" s="4">
        <v>9</v>
      </c>
      <c r="O24" s="21">
        <f>SUM(K24:N24)</f>
        <v>44</v>
      </c>
      <c r="P24" s="13">
        <f>O24/$O$34</f>
        <v>0.23783783783783785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/>
      <c r="D26" s="18"/>
      <c r="E26" s="18"/>
      <c r="F26" s="18"/>
      <c r="G26" s="19">
        <f>SUM(C26:F26)</f>
        <v>0</v>
      </c>
      <c r="H26" s="13">
        <f>G26/$G$34</f>
        <v>0</v>
      </c>
      <c r="J26" s="15" t="s">
        <v>3</v>
      </c>
      <c r="K26" s="18"/>
      <c r="L26" s="18"/>
      <c r="M26" s="18"/>
      <c r="N26" s="18"/>
      <c r="O26" s="19">
        <f>SUM(K26:N26)</f>
        <v>0</v>
      </c>
      <c r="P26" s="13">
        <f>O26/$O$34</f>
        <v>0</v>
      </c>
    </row>
    <row r="27" spans="2:16">
      <c r="B27" s="15" t="s">
        <v>4</v>
      </c>
      <c r="C27" s="18"/>
      <c r="D27" s="18"/>
      <c r="E27" s="18"/>
      <c r="F27" s="18"/>
      <c r="G27" s="19">
        <f>SUM(C27:F27)</f>
        <v>0</v>
      </c>
      <c r="H27" s="13">
        <f>G27/$G$34</f>
        <v>0</v>
      </c>
      <c r="J27" s="15" t="s">
        <v>4</v>
      </c>
      <c r="K27" s="18"/>
      <c r="L27" s="18"/>
      <c r="M27" s="18"/>
      <c r="N27" s="18"/>
      <c r="O27" s="19">
        <f>SUM(K27:N27)</f>
        <v>0</v>
      </c>
      <c r="P27" s="13">
        <f>O27/$O$34</f>
        <v>0</v>
      </c>
    </row>
    <row r="28" spans="2:16">
      <c r="B28" s="15" t="s">
        <v>5</v>
      </c>
      <c r="C28" s="18"/>
      <c r="D28" s="18"/>
      <c r="E28" s="18"/>
      <c r="F28" s="18"/>
      <c r="G28" s="19">
        <f>SUM(C28:F28)</f>
        <v>0</v>
      </c>
      <c r="H28" s="13">
        <f>G28/$G$34</f>
        <v>0</v>
      </c>
      <c r="J28" s="15" t="s">
        <v>5</v>
      </c>
      <c r="K28" s="18"/>
      <c r="L28" s="18"/>
      <c r="M28" s="18"/>
      <c r="N28" s="18"/>
      <c r="O28" s="19">
        <f>SUM(K28:N28)</f>
        <v>0</v>
      </c>
      <c r="P28" s="13">
        <f>O28/$O$34</f>
        <v>0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19</v>
      </c>
      <c r="D30" s="5">
        <v>19</v>
      </c>
      <c r="E30" s="5">
        <v>26</v>
      </c>
      <c r="F30" s="5">
        <v>21</v>
      </c>
      <c r="G30" s="6">
        <f>SUM(C30:F30)</f>
        <v>85</v>
      </c>
      <c r="H30" s="13">
        <f>G30/$G$34</f>
        <v>0.64393939393939392</v>
      </c>
      <c r="J30" s="12" t="s">
        <v>6</v>
      </c>
      <c r="K30" s="5">
        <v>30</v>
      </c>
      <c r="L30" s="5">
        <v>13</v>
      </c>
      <c r="M30" s="5">
        <v>20</v>
      </c>
      <c r="N30" s="5">
        <v>38</v>
      </c>
      <c r="O30" s="6">
        <f>SUM(K30:N30)</f>
        <v>101</v>
      </c>
      <c r="P30" s="13">
        <f>O30/$O$34</f>
        <v>0.54594594594594592</v>
      </c>
    </row>
    <row r="31" spans="2:16">
      <c r="B31" s="12" t="s">
        <v>7</v>
      </c>
      <c r="C31" s="5">
        <v>8</v>
      </c>
      <c r="D31" s="5">
        <v>13</v>
      </c>
      <c r="E31" s="5">
        <v>12</v>
      </c>
      <c r="F31" s="5">
        <v>14</v>
      </c>
      <c r="G31" s="6">
        <f>SUM(C31:F31)</f>
        <v>47</v>
      </c>
      <c r="H31" s="13">
        <f>G31/$G$34</f>
        <v>0.35606060606060608</v>
      </c>
      <c r="J31" s="12" t="s">
        <v>7</v>
      </c>
      <c r="K31" s="5">
        <v>25</v>
      </c>
      <c r="L31" s="5">
        <v>10</v>
      </c>
      <c r="M31" s="5">
        <v>28</v>
      </c>
      <c r="N31" s="5">
        <v>21</v>
      </c>
      <c r="O31" s="6">
        <f>SUM(K31:N31)</f>
        <v>84</v>
      </c>
      <c r="P31" s="13">
        <f>O31/$O$34</f>
        <v>0.45405405405405408</v>
      </c>
    </row>
    <row r="32" spans="2:16">
      <c r="B32" s="12" t="s">
        <v>8</v>
      </c>
      <c r="C32" s="5"/>
      <c r="D32" s="5"/>
      <c r="E32" s="5"/>
      <c r="F32" s="5"/>
      <c r="G32" s="6">
        <f>SUM(C32:F32)</f>
        <v>0</v>
      </c>
      <c r="H32" s="13">
        <f>G32/$G$34</f>
        <v>0</v>
      </c>
      <c r="J32" s="12" t="s">
        <v>8</v>
      </c>
      <c r="K32" s="5">
        <v>0</v>
      </c>
      <c r="L32" s="5">
        <v>0</v>
      </c>
      <c r="M32" s="5">
        <v>0</v>
      </c>
      <c r="N32" s="5">
        <v>0</v>
      </c>
      <c r="O32" s="6">
        <f>SUM(K32:N32)</f>
        <v>0</v>
      </c>
      <c r="P32" s="13">
        <f>O32/$O$34</f>
        <v>0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27</v>
      </c>
      <c r="D34" s="8">
        <f>SUM(D30:D32)</f>
        <v>32</v>
      </c>
      <c r="E34" s="8">
        <f>SUM(E30:E32)</f>
        <v>38</v>
      </c>
      <c r="F34" s="8">
        <f>SUM(F30:F32)</f>
        <v>35</v>
      </c>
      <c r="G34" s="11">
        <f>SUM(C34:F34)</f>
        <v>132</v>
      </c>
      <c r="H34" s="8"/>
      <c r="J34" s="10" t="s">
        <v>9</v>
      </c>
      <c r="K34" s="8">
        <f>SUM(K30:K32)</f>
        <v>55</v>
      </c>
      <c r="L34" s="8">
        <f>SUM(L30:L32)</f>
        <v>23</v>
      </c>
      <c r="M34" s="8">
        <f>SUM(M30:M32)</f>
        <v>48</v>
      </c>
      <c r="N34" s="8">
        <f>SUM(N30:N32)</f>
        <v>59</v>
      </c>
      <c r="O34" s="11">
        <f>SUM(K34:N34)</f>
        <v>185</v>
      </c>
      <c r="P34" s="8"/>
    </row>
    <row r="35" spans="2:16">
      <c r="B35" s="10" t="s">
        <v>1</v>
      </c>
      <c r="C35" s="9">
        <f>C34/$G$34</f>
        <v>0.20454545454545456</v>
      </c>
      <c r="D35" s="9">
        <f t="shared" ref="D35:F35" si="1">D34/$G$34</f>
        <v>0.24242424242424243</v>
      </c>
      <c r="E35" s="9">
        <f t="shared" si="1"/>
        <v>0.2878787878787879</v>
      </c>
      <c r="F35" s="9">
        <f t="shared" si="1"/>
        <v>0.26515151515151514</v>
      </c>
      <c r="G35" s="9"/>
      <c r="H35" s="8"/>
      <c r="J35" s="10" t="s">
        <v>1</v>
      </c>
      <c r="K35" s="9">
        <f>K34/$O$34</f>
        <v>0.29729729729729731</v>
      </c>
      <c r="L35" s="9">
        <f>L34/$O$34</f>
        <v>0.12432432432432433</v>
      </c>
      <c r="M35" s="9">
        <f>M34/$O$34</f>
        <v>0.25945945945945947</v>
      </c>
      <c r="N35" s="9">
        <f>N34/$O$34</f>
        <v>0.31891891891891894</v>
      </c>
      <c r="O35" s="9"/>
      <c r="P35" s="8"/>
    </row>
  </sheetData>
  <mergeCells count="10">
    <mergeCell ref="B1:H1"/>
    <mergeCell ref="B3:H3"/>
    <mergeCell ref="C4:F4"/>
    <mergeCell ref="B20:H20"/>
    <mergeCell ref="C21:F21"/>
    <mergeCell ref="J1:P1"/>
    <mergeCell ref="J3:P3"/>
    <mergeCell ref="K4:N4"/>
    <mergeCell ref="J20:P20"/>
    <mergeCell ref="K21:N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52"/>
  <sheetViews>
    <sheetView zoomScale="75" zoomScaleNormal="75" workbookViewId="0">
      <selection activeCell="G14" activeCellId="2" sqref="G48 G31 G14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7" t="s">
        <v>23</v>
      </c>
      <c r="C3" s="27"/>
      <c r="D3" s="27"/>
      <c r="E3" s="27"/>
      <c r="F3" s="27"/>
      <c r="G3" s="27"/>
      <c r="H3" s="27"/>
      <c r="J3" s="27" t="s">
        <v>23</v>
      </c>
      <c r="K3" s="27"/>
      <c r="L3" s="27"/>
      <c r="M3" s="27"/>
      <c r="N3" s="27"/>
      <c r="O3" s="27"/>
      <c r="P3" s="27"/>
    </row>
    <row r="4" spans="2:16">
      <c r="C4" s="28" t="s">
        <v>24</v>
      </c>
      <c r="D4" s="29"/>
      <c r="E4" s="29"/>
      <c r="F4" s="30"/>
      <c r="G4" s="3" t="s">
        <v>0</v>
      </c>
      <c r="H4" s="3" t="s">
        <v>1</v>
      </c>
      <c r="K4" s="28" t="s">
        <v>24</v>
      </c>
      <c r="L4" s="29"/>
      <c r="M4" s="29"/>
      <c r="N4" s="30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2</v>
      </c>
      <c r="D6" s="4">
        <v>5</v>
      </c>
      <c r="E6" s="4">
        <v>5</v>
      </c>
      <c r="F6" s="4">
        <v>3</v>
      </c>
      <c r="G6" s="21">
        <f>SUM(C6:F6)</f>
        <v>15</v>
      </c>
      <c r="H6" s="13">
        <f>G6/$G$17</f>
        <v>0.65217391304347827</v>
      </c>
      <c r="J6" s="20" t="s">
        <v>2</v>
      </c>
      <c r="K6" s="4">
        <v>5</v>
      </c>
      <c r="L6" s="4">
        <v>2</v>
      </c>
      <c r="M6" s="4">
        <v>6</v>
      </c>
      <c r="N6" s="4">
        <v>7</v>
      </c>
      <c r="O6" s="21">
        <f>SUM(K6:N6)</f>
        <v>20</v>
      </c>
      <c r="P6" s="13">
        <f>O6/$O$17</f>
        <v>0.55555555555555558</v>
      </c>
    </row>
    <row r="7" spans="2:16">
      <c r="B7" s="20" t="s">
        <v>15</v>
      </c>
      <c r="C7" s="4">
        <v>2</v>
      </c>
      <c r="D7" s="4">
        <v>1</v>
      </c>
      <c r="E7" s="4">
        <v>3</v>
      </c>
      <c r="F7" s="4">
        <v>2</v>
      </c>
      <c r="G7" s="21">
        <f>SUM(C7:F7)</f>
        <v>8</v>
      </c>
      <c r="H7" s="13">
        <f>G7/$G$17</f>
        <v>0.34782608695652173</v>
      </c>
      <c r="J7" s="20" t="s">
        <v>15</v>
      </c>
      <c r="K7" s="4">
        <v>4</v>
      </c>
      <c r="L7" s="4">
        <v>4</v>
      </c>
      <c r="M7" s="4">
        <v>3</v>
      </c>
      <c r="N7" s="4">
        <v>5</v>
      </c>
      <c r="O7" s="21">
        <f>SUM(K7:N7)</f>
        <v>16</v>
      </c>
      <c r="P7" s="13">
        <f>O7/$O$17</f>
        <v>0.44444444444444442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3</v>
      </c>
      <c r="D9" s="18">
        <v>5</v>
      </c>
      <c r="E9" s="18">
        <v>6</v>
      </c>
      <c r="F9" s="18">
        <v>5</v>
      </c>
      <c r="G9" s="19">
        <f>SUM(C9:F9)</f>
        <v>19</v>
      </c>
      <c r="H9" s="13">
        <f>G9/$G$17</f>
        <v>0.82608695652173914</v>
      </c>
      <c r="J9" s="15" t="s">
        <v>3</v>
      </c>
      <c r="K9" s="18">
        <v>36</v>
      </c>
      <c r="L9" s="18"/>
      <c r="M9" s="18"/>
      <c r="N9" s="18"/>
      <c r="O9" s="19">
        <f>SUM(K9:N9)</f>
        <v>36</v>
      </c>
      <c r="P9" s="13">
        <f>O9/$O$17</f>
        <v>1</v>
      </c>
    </row>
    <row r="10" spans="2:16">
      <c r="B10" s="15" t="s">
        <v>4</v>
      </c>
      <c r="C10" s="18">
        <v>0</v>
      </c>
      <c r="D10" s="18">
        <v>0</v>
      </c>
      <c r="E10" s="18">
        <v>2</v>
      </c>
      <c r="F10" s="18">
        <v>0</v>
      </c>
      <c r="G10" s="19">
        <f>SUM(C10:F10)</f>
        <v>2</v>
      </c>
      <c r="H10" s="13">
        <f>G10/$G$17</f>
        <v>8.6956521739130432E-2</v>
      </c>
      <c r="J10" s="15" t="s">
        <v>4</v>
      </c>
      <c r="K10" s="18">
        <v>0</v>
      </c>
      <c r="L10" s="18"/>
      <c r="M10" s="18"/>
      <c r="N10" s="18"/>
      <c r="O10" s="19">
        <f>SUM(K10:N10)</f>
        <v>0</v>
      </c>
      <c r="P10" s="13">
        <f>O10/$O$17</f>
        <v>0</v>
      </c>
    </row>
    <row r="11" spans="2:16">
      <c r="B11" s="15" t="s">
        <v>5</v>
      </c>
      <c r="C11" s="18">
        <v>1</v>
      </c>
      <c r="D11" s="18">
        <v>1</v>
      </c>
      <c r="E11" s="18">
        <v>0</v>
      </c>
      <c r="F11" s="18">
        <v>0</v>
      </c>
      <c r="G11" s="19">
        <f>SUM(C11:F11)</f>
        <v>2</v>
      </c>
      <c r="H11" s="13">
        <f>G11/$G$17</f>
        <v>8.6956521739130432E-2</v>
      </c>
      <c r="J11" s="15" t="s">
        <v>5</v>
      </c>
      <c r="K11" s="18">
        <v>0</v>
      </c>
      <c r="L11" s="18"/>
      <c r="M11" s="18"/>
      <c r="N11" s="18"/>
      <c r="O11" s="19">
        <f>SUM(K11:N11)</f>
        <v>0</v>
      </c>
      <c r="P11" s="13">
        <f>O11/$O$17</f>
        <v>0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1</v>
      </c>
      <c r="D13" s="5">
        <v>2</v>
      </c>
      <c r="E13" s="5">
        <v>4</v>
      </c>
      <c r="F13" s="5">
        <v>2</v>
      </c>
      <c r="G13" s="6">
        <f>SUM(C13:F13)</f>
        <v>9</v>
      </c>
      <c r="H13" s="13">
        <f>G13/$G$17</f>
        <v>0.39130434782608697</v>
      </c>
      <c r="J13" s="12" t="s">
        <v>6</v>
      </c>
      <c r="K13" s="5">
        <v>5</v>
      </c>
      <c r="L13" s="5">
        <v>2</v>
      </c>
      <c r="M13" s="5">
        <v>4</v>
      </c>
      <c r="N13" s="5">
        <v>8</v>
      </c>
      <c r="O13" s="6">
        <f>SUM(K13:N13)</f>
        <v>19</v>
      </c>
      <c r="P13" s="13">
        <f>O13/$O$17</f>
        <v>0.52777777777777779</v>
      </c>
    </row>
    <row r="14" spans="2:16">
      <c r="B14" s="12" t="s">
        <v>7</v>
      </c>
      <c r="C14" s="5">
        <v>2</v>
      </c>
      <c r="D14" s="5">
        <v>3</v>
      </c>
      <c r="E14" s="5">
        <v>4</v>
      </c>
      <c r="F14" s="5">
        <v>3</v>
      </c>
      <c r="G14" s="6">
        <f>SUM(C14:F14)</f>
        <v>12</v>
      </c>
      <c r="H14" s="13">
        <f>G14/$G$17</f>
        <v>0.52173913043478259</v>
      </c>
      <c r="J14" s="12" t="s">
        <v>7</v>
      </c>
      <c r="K14" s="5">
        <v>4</v>
      </c>
      <c r="L14" s="5">
        <v>4</v>
      </c>
      <c r="M14" s="5">
        <v>5</v>
      </c>
      <c r="N14" s="5">
        <v>4</v>
      </c>
      <c r="O14" s="6">
        <f>SUM(K14:N14)</f>
        <v>17</v>
      </c>
      <c r="P14" s="13">
        <f>O14/$O$17</f>
        <v>0.47222222222222221</v>
      </c>
    </row>
    <row r="15" spans="2:16">
      <c r="B15" s="12" t="s">
        <v>8</v>
      </c>
      <c r="C15" s="5">
        <v>1</v>
      </c>
      <c r="D15" s="5">
        <v>1</v>
      </c>
      <c r="E15" s="5">
        <v>0</v>
      </c>
      <c r="F15" s="5">
        <v>0</v>
      </c>
      <c r="G15" s="6">
        <f>SUM(C15:F15)</f>
        <v>2</v>
      </c>
      <c r="H15" s="13">
        <f>G15/$G$17</f>
        <v>8.6956521739130432E-2</v>
      </c>
      <c r="J15" s="12" t="s">
        <v>8</v>
      </c>
      <c r="K15" s="5">
        <v>0</v>
      </c>
      <c r="L15" s="5">
        <v>0</v>
      </c>
      <c r="M15" s="5">
        <v>0</v>
      </c>
      <c r="N15" s="5">
        <v>0</v>
      </c>
      <c r="O15" s="6">
        <f>SUM(K15:N15)</f>
        <v>0</v>
      </c>
      <c r="P15" s="13">
        <f>O15/$O$17</f>
        <v>0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4</v>
      </c>
      <c r="D17" s="8">
        <f>SUM(D13:D15)</f>
        <v>6</v>
      </c>
      <c r="E17" s="8">
        <f>SUM(E13:E15)</f>
        <v>8</v>
      </c>
      <c r="F17" s="8">
        <f>SUM(F13:F15)</f>
        <v>5</v>
      </c>
      <c r="G17" s="11">
        <f>SUM(C17:F17)</f>
        <v>23</v>
      </c>
      <c r="H17" s="8"/>
      <c r="J17" s="10" t="s">
        <v>9</v>
      </c>
      <c r="K17" s="8">
        <f>SUM(K13:K15)</f>
        <v>9</v>
      </c>
      <c r="L17" s="8">
        <f>SUM(L13:L15)</f>
        <v>6</v>
      </c>
      <c r="M17" s="8">
        <f>SUM(M13:M15)</f>
        <v>9</v>
      </c>
      <c r="N17" s="8">
        <f>SUM(N13:N15)</f>
        <v>12</v>
      </c>
      <c r="O17" s="11">
        <f>SUM(K17:N17)</f>
        <v>36</v>
      </c>
      <c r="P17" s="8"/>
    </row>
    <row r="18" spans="2:16">
      <c r="B18" s="10" t="s">
        <v>1</v>
      </c>
      <c r="C18" s="9">
        <f>C17/$G$17</f>
        <v>0.17391304347826086</v>
      </c>
      <c r="D18" s="9">
        <f t="shared" ref="D18:F18" si="0">D17/$G$17</f>
        <v>0.2608695652173913</v>
      </c>
      <c r="E18" s="9">
        <f t="shared" si="0"/>
        <v>0.34782608695652173</v>
      </c>
      <c r="F18" s="9">
        <f t="shared" si="0"/>
        <v>0.21739130434782608</v>
      </c>
      <c r="G18" s="9"/>
      <c r="H18" s="8"/>
      <c r="J18" s="10" t="s">
        <v>1</v>
      </c>
      <c r="K18" s="9">
        <f>K17/$O$17</f>
        <v>0.25</v>
      </c>
      <c r="L18" s="9">
        <f>L17/$O$17</f>
        <v>0.16666666666666666</v>
      </c>
      <c r="M18" s="9">
        <f>M17/$O$17</f>
        <v>0.25</v>
      </c>
      <c r="N18" s="9">
        <f>N17/$O$17</f>
        <v>0.33333333333333331</v>
      </c>
      <c r="O18" s="9"/>
      <c r="P18" s="8"/>
    </row>
    <row r="20" spans="2:16">
      <c r="B20" s="27" t="s">
        <v>23</v>
      </c>
      <c r="C20" s="27"/>
      <c r="D20" s="27"/>
      <c r="E20" s="27"/>
      <c r="F20" s="27"/>
      <c r="G20" s="27"/>
      <c r="H20" s="27"/>
      <c r="J20" s="27" t="s">
        <v>23</v>
      </c>
      <c r="K20" s="27"/>
      <c r="L20" s="27"/>
      <c r="M20" s="27"/>
      <c r="N20" s="27"/>
      <c r="O20" s="27"/>
      <c r="P20" s="27"/>
    </row>
    <row r="21" spans="2:16">
      <c r="C21" s="28" t="s">
        <v>25</v>
      </c>
      <c r="D21" s="29"/>
      <c r="E21" s="29"/>
      <c r="F21" s="30"/>
      <c r="G21" s="3" t="s">
        <v>0</v>
      </c>
      <c r="H21" s="3" t="s">
        <v>1</v>
      </c>
      <c r="K21" s="28" t="s">
        <v>25</v>
      </c>
      <c r="L21" s="29"/>
      <c r="M21" s="29"/>
      <c r="N21" s="30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2</v>
      </c>
      <c r="D23" s="4">
        <v>3</v>
      </c>
      <c r="E23" s="4">
        <v>1</v>
      </c>
      <c r="F23" s="4">
        <v>6</v>
      </c>
      <c r="G23" s="21">
        <f>SUM(C23:F23)</f>
        <v>12</v>
      </c>
      <c r="H23" s="13">
        <f>G23/$G$34</f>
        <v>0.66666666666666663</v>
      </c>
      <c r="J23" s="20" t="s">
        <v>2</v>
      </c>
      <c r="K23" s="4">
        <v>2</v>
      </c>
      <c r="L23" s="4">
        <v>1</v>
      </c>
      <c r="M23" s="4">
        <v>2</v>
      </c>
      <c r="N23" s="4">
        <v>1</v>
      </c>
      <c r="O23" s="21">
        <f>SUM(K23:N23)</f>
        <v>6</v>
      </c>
      <c r="P23" s="13">
        <f>O23/$O$34</f>
        <v>0.8571428571428571</v>
      </c>
    </row>
    <row r="24" spans="2:16">
      <c r="B24" s="20" t="s">
        <v>15</v>
      </c>
      <c r="C24" s="4">
        <v>1</v>
      </c>
      <c r="D24" s="4">
        <v>0</v>
      </c>
      <c r="E24" s="4">
        <v>4</v>
      </c>
      <c r="F24" s="4">
        <v>1</v>
      </c>
      <c r="G24" s="21">
        <f>SUM(C24:F24)</f>
        <v>6</v>
      </c>
      <c r="H24" s="13">
        <f>G24/$G$34</f>
        <v>0.33333333333333331</v>
      </c>
      <c r="J24" s="20" t="s">
        <v>15</v>
      </c>
      <c r="K24" s="4">
        <v>0</v>
      </c>
      <c r="L24" s="4">
        <v>0</v>
      </c>
      <c r="M24" s="4">
        <v>0</v>
      </c>
      <c r="N24" s="4">
        <v>1</v>
      </c>
      <c r="O24" s="21">
        <f>SUM(K24:N24)</f>
        <v>1</v>
      </c>
      <c r="P24" s="13">
        <f>O24/$O$34</f>
        <v>0.14285714285714285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>
        <v>3</v>
      </c>
      <c r="D26" s="18">
        <v>3</v>
      </c>
      <c r="E26" s="18">
        <v>5</v>
      </c>
      <c r="F26" s="18">
        <v>7</v>
      </c>
      <c r="G26" s="19">
        <f>SUM(C26:F26)</f>
        <v>18</v>
      </c>
      <c r="H26" s="13">
        <f>G26/$G$34</f>
        <v>1</v>
      </c>
      <c r="J26" s="15" t="s">
        <v>3</v>
      </c>
      <c r="K26" s="18">
        <v>2</v>
      </c>
      <c r="L26" s="18">
        <v>1</v>
      </c>
      <c r="M26" s="18">
        <v>2</v>
      </c>
      <c r="N26" s="18">
        <v>2</v>
      </c>
      <c r="O26" s="19">
        <f>SUM(K26:N26)</f>
        <v>7</v>
      </c>
      <c r="P26" s="13">
        <f>O26/$O$34</f>
        <v>1</v>
      </c>
    </row>
    <row r="27" spans="2:16">
      <c r="B27" s="15" t="s">
        <v>4</v>
      </c>
      <c r="C27" s="18">
        <v>0</v>
      </c>
      <c r="D27" s="18">
        <v>0</v>
      </c>
      <c r="E27" s="18">
        <v>0</v>
      </c>
      <c r="F27" s="18">
        <v>0</v>
      </c>
      <c r="G27" s="19">
        <f>SUM(C27:F27)</f>
        <v>0</v>
      </c>
      <c r="H27" s="13">
        <f>G27/$G$34</f>
        <v>0</v>
      </c>
      <c r="J27" s="15" t="s">
        <v>4</v>
      </c>
      <c r="K27" s="18">
        <v>0</v>
      </c>
      <c r="L27" s="18">
        <v>0</v>
      </c>
      <c r="M27" s="18">
        <v>0</v>
      </c>
      <c r="N27" s="18">
        <v>0</v>
      </c>
      <c r="O27" s="19">
        <f>SUM(K27:N27)</f>
        <v>0</v>
      </c>
      <c r="P27" s="13">
        <f>O27/$O$34</f>
        <v>0</v>
      </c>
    </row>
    <row r="28" spans="2:16">
      <c r="B28" s="15" t="s">
        <v>5</v>
      </c>
      <c r="C28" s="18">
        <v>0</v>
      </c>
      <c r="D28" s="18">
        <v>0</v>
      </c>
      <c r="E28" s="18">
        <v>0</v>
      </c>
      <c r="F28" s="18">
        <v>0</v>
      </c>
      <c r="G28" s="19">
        <f>SUM(C28:F28)</f>
        <v>0</v>
      </c>
      <c r="H28" s="13">
        <f>G28/$G$34</f>
        <v>0</v>
      </c>
      <c r="J28" s="15" t="s">
        <v>5</v>
      </c>
      <c r="K28" s="18">
        <v>0</v>
      </c>
      <c r="L28" s="18">
        <v>0</v>
      </c>
      <c r="M28" s="18">
        <v>0</v>
      </c>
      <c r="N28" s="18">
        <v>0</v>
      </c>
      <c r="O28" s="19">
        <f>SUM(K28:N28)</f>
        <v>0</v>
      </c>
      <c r="P28" s="13">
        <f>O28/$O$34</f>
        <v>0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2</v>
      </c>
      <c r="D30" s="5">
        <v>3</v>
      </c>
      <c r="E30" s="5">
        <v>2</v>
      </c>
      <c r="F30" s="5">
        <v>5</v>
      </c>
      <c r="G30" s="6">
        <f>SUM(C30:F30)</f>
        <v>12</v>
      </c>
      <c r="H30" s="13">
        <f>G30/$G$34</f>
        <v>0.66666666666666663</v>
      </c>
      <c r="J30" s="12" t="s">
        <v>6</v>
      </c>
      <c r="K30" s="5">
        <v>1</v>
      </c>
      <c r="L30" s="5">
        <v>1</v>
      </c>
      <c r="M30" s="5">
        <v>1</v>
      </c>
      <c r="N30" s="5">
        <v>1</v>
      </c>
      <c r="O30" s="6">
        <f>SUM(K30:N30)</f>
        <v>4</v>
      </c>
      <c r="P30" s="13">
        <f>O30/$O$34</f>
        <v>0.5714285714285714</v>
      </c>
    </row>
    <row r="31" spans="2:16">
      <c r="B31" s="12" t="s">
        <v>7</v>
      </c>
      <c r="C31" s="5">
        <v>1</v>
      </c>
      <c r="D31" s="5">
        <v>0</v>
      </c>
      <c r="E31" s="5">
        <v>3</v>
      </c>
      <c r="F31" s="5">
        <v>2</v>
      </c>
      <c r="G31" s="6">
        <f>SUM(C31:F31)</f>
        <v>6</v>
      </c>
      <c r="H31" s="13">
        <f>G31/$G$34</f>
        <v>0.33333333333333331</v>
      </c>
      <c r="J31" s="12" t="s">
        <v>7</v>
      </c>
      <c r="K31" s="5">
        <v>1</v>
      </c>
      <c r="L31" s="5">
        <v>0</v>
      </c>
      <c r="M31" s="5">
        <v>1</v>
      </c>
      <c r="N31" s="5">
        <v>1</v>
      </c>
      <c r="O31" s="6">
        <f>SUM(K31:N31)</f>
        <v>3</v>
      </c>
      <c r="P31" s="13">
        <f>O31/$O$34</f>
        <v>0.42857142857142855</v>
      </c>
    </row>
    <row r="32" spans="2:16">
      <c r="B32" s="12" t="s">
        <v>8</v>
      </c>
      <c r="C32" s="5">
        <v>0</v>
      </c>
      <c r="D32" s="5">
        <v>0</v>
      </c>
      <c r="E32" s="5">
        <v>0</v>
      </c>
      <c r="F32" s="5">
        <v>0</v>
      </c>
      <c r="G32" s="6">
        <f>SUM(C32:F32)</f>
        <v>0</v>
      </c>
      <c r="H32" s="13">
        <f>G32/$G$34</f>
        <v>0</v>
      </c>
      <c r="J32" s="12" t="s">
        <v>8</v>
      </c>
      <c r="K32" s="5">
        <v>0</v>
      </c>
      <c r="L32" s="5">
        <v>0</v>
      </c>
      <c r="M32" s="5">
        <v>0</v>
      </c>
      <c r="N32" s="5">
        <v>0</v>
      </c>
      <c r="O32" s="6">
        <f>SUM(K32:N32)</f>
        <v>0</v>
      </c>
      <c r="P32" s="13">
        <f>O32/$O$34</f>
        <v>0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3</v>
      </c>
      <c r="D34" s="8">
        <f>SUM(D30:D32)</f>
        <v>3</v>
      </c>
      <c r="E34" s="8">
        <f>SUM(E30:E32)</f>
        <v>5</v>
      </c>
      <c r="F34" s="8">
        <f>SUM(F30:F32)</f>
        <v>7</v>
      </c>
      <c r="G34" s="11">
        <f>SUM(C34:F34)</f>
        <v>18</v>
      </c>
      <c r="H34" s="8"/>
      <c r="J34" s="10" t="s">
        <v>9</v>
      </c>
      <c r="K34" s="8">
        <f>SUM(K30:K32)</f>
        <v>2</v>
      </c>
      <c r="L34" s="8">
        <f>SUM(L30:L32)</f>
        <v>1</v>
      </c>
      <c r="M34" s="8">
        <f>SUM(M30:M32)</f>
        <v>2</v>
      </c>
      <c r="N34" s="8">
        <f>SUM(N30:N32)</f>
        <v>2</v>
      </c>
      <c r="O34" s="11">
        <f>SUM(K34:N34)</f>
        <v>7</v>
      </c>
      <c r="P34" s="8"/>
    </row>
    <row r="35" spans="2:16">
      <c r="B35" s="10" t="s">
        <v>1</v>
      </c>
      <c r="C35" s="9">
        <f>C34/$G$34</f>
        <v>0.16666666666666666</v>
      </c>
      <c r="D35" s="9">
        <f t="shared" ref="D35:F35" si="1">D34/$G$34</f>
        <v>0.16666666666666666</v>
      </c>
      <c r="E35" s="9">
        <f t="shared" si="1"/>
        <v>0.27777777777777779</v>
      </c>
      <c r="F35" s="9">
        <f t="shared" si="1"/>
        <v>0.3888888888888889</v>
      </c>
      <c r="G35" s="9"/>
      <c r="H35" s="8"/>
      <c r="J35" s="10" t="s">
        <v>1</v>
      </c>
      <c r="K35" s="9">
        <f>K34/$O$34</f>
        <v>0.2857142857142857</v>
      </c>
      <c r="L35" s="9">
        <f>L34/$O$34</f>
        <v>0.14285714285714285</v>
      </c>
      <c r="M35" s="9">
        <f>M34/$O$34</f>
        <v>0.2857142857142857</v>
      </c>
      <c r="N35" s="9">
        <f>N34/$O$34</f>
        <v>0.2857142857142857</v>
      </c>
      <c r="O35" s="9"/>
      <c r="P35" s="8"/>
    </row>
    <row r="37" spans="2:16">
      <c r="B37" s="27" t="s">
        <v>23</v>
      </c>
      <c r="C37" s="27"/>
      <c r="D37" s="27"/>
      <c r="E37" s="27"/>
      <c r="F37" s="27"/>
      <c r="G37" s="27"/>
      <c r="H37" s="27"/>
      <c r="J37" s="27" t="s">
        <v>23</v>
      </c>
      <c r="K37" s="27"/>
      <c r="L37" s="27"/>
      <c r="M37" s="27"/>
      <c r="N37" s="27"/>
      <c r="O37" s="27"/>
      <c r="P37" s="27"/>
    </row>
    <row r="38" spans="2:16">
      <c r="C38" s="28" t="s">
        <v>26</v>
      </c>
      <c r="D38" s="29"/>
      <c r="E38" s="29"/>
      <c r="F38" s="30"/>
      <c r="G38" s="3" t="s">
        <v>0</v>
      </c>
      <c r="H38" s="3" t="s">
        <v>1</v>
      </c>
      <c r="K38" s="28" t="s">
        <v>26</v>
      </c>
      <c r="L38" s="29"/>
      <c r="M38" s="29"/>
      <c r="N38" s="30"/>
      <c r="O38" s="3" t="s">
        <v>0</v>
      </c>
      <c r="P38" s="3" t="s">
        <v>1</v>
      </c>
    </row>
    <row r="39" spans="2:16">
      <c r="C39" s="2" t="s">
        <v>11</v>
      </c>
      <c r="D39" s="2" t="s">
        <v>12</v>
      </c>
      <c r="E39" s="2" t="s">
        <v>13</v>
      </c>
      <c r="F39" s="2" t="s">
        <v>14</v>
      </c>
      <c r="G39" s="2"/>
      <c r="H39" s="3"/>
      <c r="K39" s="2" t="s">
        <v>36</v>
      </c>
      <c r="L39" s="2" t="s">
        <v>37</v>
      </c>
      <c r="M39" s="2" t="s">
        <v>34</v>
      </c>
      <c r="N39" s="2" t="s">
        <v>35</v>
      </c>
      <c r="O39" s="2"/>
      <c r="P39" s="3"/>
    </row>
    <row r="40" spans="2:16">
      <c r="B40" s="20" t="s">
        <v>2</v>
      </c>
      <c r="C40" s="4">
        <v>7</v>
      </c>
      <c r="D40" s="4">
        <v>10</v>
      </c>
      <c r="E40" s="4">
        <v>11</v>
      </c>
      <c r="F40" s="4">
        <v>6</v>
      </c>
      <c r="G40" s="21">
        <f>SUM(C40:F40)</f>
        <v>34</v>
      </c>
      <c r="H40" s="13">
        <f>G40/$G$51</f>
        <v>0.5074626865671642</v>
      </c>
      <c r="J40" s="20" t="s">
        <v>2</v>
      </c>
      <c r="K40" s="4">
        <v>1</v>
      </c>
      <c r="L40" s="4">
        <v>3</v>
      </c>
      <c r="M40" s="4">
        <v>5</v>
      </c>
      <c r="N40" s="4">
        <v>7</v>
      </c>
      <c r="O40" s="21">
        <f>SUM(K40:N40)</f>
        <v>16</v>
      </c>
      <c r="P40" s="13">
        <f>O40/$O$51</f>
        <v>0.76190476190476186</v>
      </c>
    </row>
    <row r="41" spans="2:16">
      <c r="B41" s="20" t="s">
        <v>15</v>
      </c>
      <c r="C41" s="4">
        <v>6</v>
      </c>
      <c r="D41" s="4">
        <v>5</v>
      </c>
      <c r="E41" s="4">
        <v>13</v>
      </c>
      <c r="F41" s="4">
        <v>9</v>
      </c>
      <c r="G41" s="21">
        <f>SUM(C41:F41)</f>
        <v>33</v>
      </c>
      <c r="H41" s="13">
        <f>G41/$G$51</f>
        <v>0.4925373134328358</v>
      </c>
      <c r="J41" s="20" t="s">
        <v>15</v>
      </c>
      <c r="K41" s="4">
        <v>0</v>
      </c>
      <c r="L41" s="4">
        <v>2</v>
      </c>
      <c r="M41" s="4">
        <v>1</v>
      </c>
      <c r="N41" s="4">
        <v>2</v>
      </c>
      <c r="O41" s="21">
        <f>SUM(K41:N41)</f>
        <v>5</v>
      </c>
      <c r="P41" s="13">
        <f>O41/$O$51</f>
        <v>0.23809523809523808</v>
      </c>
    </row>
    <row r="42" spans="2:16">
      <c r="C42" s="16"/>
      <c r="D42" s="16"/>
      <c r="E42" s="16"/>
      <c r="F42" s="16"/>
      <c r="G42" s="17"/>
      <c r="H42" s="9"/>
      <c r="K42" s="16"/>
      <c r="L42" s="16"/>
      <c r="M42" s="16"/>
      <c r="N42" s="16"/>
      <c r="O42" s="17"/>
      <c r="P42" s="9"/>
    </row>
    <row r="43" spans="2:16">
      <c r="B43" s="15" t="s">
        <v>3</v>
      </c>
      <c r="C43" s="18">
        <v>13</v>
      </c>
      <c r="D43" s="18">
        <v>10</v>
      </c>
      <c r="E43" s="18">
        <v>17</v>
      </c>
      <c r="F43" s="18">
        <v>15</v>
      </c>
      <c r="G43" s="19">
        <f>SUM(C43:F43)</f>
        <v>55</v>
      </c>
      <c r="H43" s="13">
        <f>G43/$G$51</f>
        <v>0.82089552238805974</v>
      </c>
      <c r="J43" s="15" t="s">
        <v>3</v>
      </c>
      <c r="K43" s="18">
        <v>1</v>
      </c>
      <c r="L43" s="18">
        <v>4</v>
      </c>
      <c r="M43" s="18"/>
      <c r="N43" s="18">
        <v>1</v>
      </c>
      <c r="O43" s="19">
        <f>SUM(K43:N43)</f>
        <v>6</v>
      </c>
      <c r="P43" s="13">
        <f>O43/$O$51</f>
        <v>0.2857142857142857</v>
      </c>
    </row>
    <row r="44" spans="2:16">
      <c r="B44" s="15" t="s">
        <v>4</v>
      </c>
      <c r="C44" s="18">
        <v>0</v>
      </c>
      <c r="D44" s="18">
        <v>5</v>
      </c>
      <c r="E44" s="18">
        <v>7</v>
      </c>
      <c r="F44" s="18">
        <v>0</v>
      </c>
      <c r="G44" s="19">
        <f>SUM(C44:F44)</f>
        <v>12</v>
      </c>
      <c r="H44" s="13">
        <f>G44/$G$51</f>
        <v>0.17910447761194029</v>
      </c>
      <c r="J44" s="15" t="s">
        <v>4</v>
      </c>
      <c r="K44" s="18">
        <v>0</v>
      </c>
      <c r="L44" s="18">
        <v>2</v>
      </c>
      <c r="M44" s="18"/>
      <c r="N44" s="18"/>
      <c r="O44" s="19">
        <f>SUM(K44:N44)</f>
        <v>2</v>
      </c>
      <c r="P44" s="13">
        <f>O44/$O$51</f>
        <v>9.5238095238095233E-2</v>
      </c>
    </row>
    <row r="45" spans="2:16">
      <c r="B45" s="15" t="s">
        <v>5</v>
      </c>
      <c r="C45" s="18">
        <v>0</v>
      </c>
      <c r="D45" s="18">
        <v>0</v>
      </c>
      <c r="E45" s="18">
        <v>0</v>
      </c>
      <c r="F45" s="18">
        <v>0</v>
      </c>
      <c r="G45" s="19">
        <f>SUM(C45:F45)</f>
        <v>0</v>
      </c>
      <c r="H45" s="13">
        <f>G45/$G$51</f>
        <v>0</v>
      </c>
      <c r="J45" s="15" t="s">
        <v>5</v>
      </c>
      <c r="K45" s="18">
        <v>0</v>
      </c>
      <c r="L45" s="18">
        <v>0</v>
      </c>
      <c r="M45" s="18"/>
      <c r="N45" s="18"/>
      <c r="O45" s="19">
        <f>SUM(K45:N45)</f>
        <v>0</v>
      </c>
      <c r="P45" s="13">
        <f>O45/$O$51</f>
        <v>0</v>
      </c>
    </row>
    <row r="46" spans="2:16">
      <c r="C46" s="16"/>
      <c r="D46" s="16"/>
      <c r="E46" s="16"/>
      <c r="F46" s="16"/>
      <c r="G46" s="17"/>
      <c r="H46" s="9"/>
      <c r="K46" s="16"/>
      <c r="L46" s="16"/>
      <c r="M46" s="16"/>
      <c r="N46" s="16"/>
      <c r="O46" s="17"/>
      <c r="P46" s="9"/>
    </row>
    <row r="47" spans="2:16">
      <c r="B47" s="12" t="s">
        <v>6</v>
      </c>
      <c r="C47" s="5">
        <v>8</v>
      </c>
      <c r="D47" s="5">
        <v>6</v>
      </c>
      <c r="E47" s="5">
        <v>13</v>
      </c>
      <c r="F47" s="5">
        <v>7</v>
      </c>
      <c r="G47" s="6">
        <f>SUM(C47:F47)</f>
        <v>34</v>
      </c>
      <c r="H47" s="13">
        <f>G47/$G$51</f>
        <v>0.5074626865671642</v>
      </c>
      <c r="J47" s="12" t="s">
        <v>6</v>
      </c>
      <c r="K47" s="5">
        <v>0</v>
      </c>
      <c r="L47" s="5">
        <v>3</v>
      </c>
      <c r="M47" s="5">
        <v>4</v>
      </c>
      <c r="N47" s="5">
        <v>7</v>
      </c>
      <c r="O47" s="6">
        <f>SUM(K47:N47)</f>
        <v>14</v>
      </c>
      <c r="P47" s="13">
        <f>O47/$O$51</f>
        <v>0.66666666666666663</v>
      </c>
    </row>
    <row r="48" spans="2:16">
      <c r="B48" s="12" t="s">
        <v>7</v>
      </c>
      <c r="C48" s="5">
        <v>5</v>
      </c>
      <c r="D48" s="5">
        <v>9</v>
      </c>
      <c r="E48" s="5">
        <v>11</v>
      </c>
      <c r="F48" s="5">
        <v>8</v>
      </c>
      <c r="G48" s="6">
        <f>SUM(C48:F48)</f>
        <v>33</v>
      </c>
      <c r="H48" s="13">
        <f>G48/$G$51</f>
        <v>0.4925373134328358</v>
      </c>
      <c r="J48" s="12" t="s">
        <v>7</v>
      </c>
      <c r="K48" s="5">
        <v>1</v>
      </c>
      <c r="L48" s="5">
        <v>2</v>
      </c>
      <c r="M48" s="5">
        <v>2</v>
      </c>
      <c r="N48" s="5">
        <v>2</v>
      </c>
      <c r="O48" s="6">
        <f>SUM(K48:N48)</f>
        <v>7</v>
      </c>
      <c r="P48" s="13">
        <f>O48/$O$51</f>
        <v>0.33333333333333331</v>
      </c>
    </row>
    <row r="49" spans="2:16">
      <c r="B49" s="12" t="s">
        <v>8</v>
      </c>
      <c r="C49" s="5">
        <v>0</v>
      </c>
      <c r="D49" s="5">
        <v>0</v>
      </c>
      <c r="E49" s="5">
        <v>0</v>
      </c>
      <c r="F49" s="5">
        <v>0</v>
      </c>
      <c r="G49" s="6">
        <f>SUM(C49:F49)</f>
        <v>0</v>
      </c>
      <c r="H49" s="13">
        <f>G49/$G$51</f>
        <v>0</v>
      </c>
      <c r="J49" s="12" t="s">
        <v>8</v>
      </c>
      <c r="K49" s="5">
        <v>0</v>
      </c>
      <c r="L49" s="5">
        <v>0</v>
      </c>
      <c r="M49" s="5">
        <v>0</v>
      </c>
      <c r="N49" s="5"/>
      <c r="O49" s="6">
        <f>SUM(K49:N49)</f>
        <v>0</v>
      </c>
      <c r="P49" s="13">
        <f>O49/$O$51</f>
        <v>0</v>
      </c>
    </row>
    <row r="50" spans="2:16">
      <c r="C50" s="14"/>
      <c r="D50" s="14"/>
      <c r="E50" s="14"/>
      <c r="F50" s="14"/>
      <c r="G50" s="14"/>
      <c r="H50" s="7"/>
      <c r="K50" s="14"/>
      <c r="L50" s="14"/>
      <c r="M50" s="14"/>
      <c r="N50" s="14"/>
      <c r="O50" s="14"/>
      <c r="P50" s="7"/>
    </row>
    <row r="51" spans="2:16">
      <c r="B51" s="10" t="s">
        <v>9</v>
      </c>
      <c r="C51" s="8">
        <f>SUM(C47:C49)</f>
        <v>13</v>
      </c>
      <c r="D51" s="8">
        <f>SUM(D47:D49)</f>
        <v>15</v>
      </c>
      <c r="E51" s="8">
        <f>SUM(E47:E49)</f>
        <v>24</v>
      </c>
      <c r="F51" s="8">
        <f>SUM(F47:F49)</f>
        <v>15</v>
      </c>
      <c r="G51" s="11">
        <f>SUM(C51:F51)</f>
        <v>67</v>
      </c>
      <c r="H51" s="8"/>
      <c r="J51" s="10" t="s">
        <v>9</v>
      </c>
      <c r="K51" s="8">
        <f>SUM(K47:K49)</f>
        <v>1</v>
      </c>
      <c r="L51" s="8">
        <f>SUM(L47:L49)</f>
        <v>5</v>
      </c>
      <c r="M51" s="8">
        <f>SUM(M47:M49)</f>
        <v>6</v>
      </c>
      <c r="N51" s="8">
        <f>SUM(N47:N49)</f>
        <v>9</v>
      </c>
      <c r="O51" s="11">
        <f>SUM(K51:N51)</f>
        <v>21</v>
      </c>
      <c r="P51" s="8"/>
    </row>
    <row r="52" spans="2:16">
      <c r="B52" s="10" t="s">
        <v>1</v>
      </c>
      <c r="C52" s="9">
        <f>C51/$G$51</f>
        <v>0.19402985074626866</v>
      </c>
      <c r="D52" s="9">
        <f t="shared" ref="D52:F52" si="2">D51/$G$51</f>
        <v>0.22388059701492538</v>
      </c>
      <c r="E52" s="9">
        <f t="shared" si="2"/>
        <v>0.35820895522388058</v>
      </c>
      <c r="F52" s="9">
        <f t="shared" si="2"/>
        <v>0.22388059701492538</v>
      </c>
      <c r="G52" s="9"/>
      <c r="H52" s="8"/>
      <c r="J52" s="10" t="s">
        <v>1</v>
      </c>
      <c r="K52" s="9">
        <f>K51/$O$51</f>
        <v>4.7619047619047616E-2</v>
      </c>
      <c r="L52" s="9">
        <f>L51/$O$51</f>
        <v>0.23809523809523808</v>
      </c>
      <c r="M52" s="9">
        <f>M51/$O$51</f>
        <v>0.2857142857142857</v>
      </c>
      <c r="N52" s="9">
        <f>N51/$O$51</f>
        <v>0.42857142857142855</v>
      </c>
      <c r="O52" s="9"/>
      <c r="P52" s="8"/>
    </row>
  </sheetData>
  <mergeCells count="14">
    <mergeCell ref="C38:F38"/>
    <mergeCell ref="B1:H1"/>
    <mergeCell ref="B3:H3"/>
    <mergeCell ref="C4:F4"/>
    <mergeCell ref="B20:H20"/>
    <mergeCell ref="C21:F21"/>
    <mergeCell ref="B37:H37"/>
    <mergeCell ref="J37:P37"/>
    <mergeCell ref="K38:N38"/>
    <mergeCell ref="J1:P1"/>
    <mergeCell ref="J3:P3"/>
    <mergeCell ref="K4:N4"/>
    <mergeCell ref="J20:P20"/>
    <mergeCell ref="K21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5"/>
  <sheetViews>
    <sheetView zoomScale="75" workbookViewId="0">
      <selection activeCell="B1" sqref="B1:P18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5" style="1" bestFit="1" customWidth="1"/>
    <col min="11" max="16384" width="10.875" style="1"/>
  </cols>
  <sheetData>
    <row r="1" spans="2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7" t="s">
        <v>27</v>
      </c>
      <c r="C3" s="27"/>
      <c r="D3" s="27"/>
      <c r="E3" s="27"/>
      <c r="F3" s="27"/>
      <c r="G3" s="27"/>
      <c r="H3" s="27"/>
      <c r="J3" s="27" t="s">
        <v>27</v>
      </c>
      <c r="K3" s="27"/>
      <c r="L3" s="27"/>
      <c r="M3" s="27"/>
      <c r="N3" s="27"/>
      <c r="O3" s="27"/>
      <c r="P3" s="27"/>
    </row>
    <row r="4" spans="2:16">
      <c r="C4" s="28" t="s">
        <v>26</v>
      </c>
      <c r="D4" s="29"/>
      <c r="E4" s="29"/>
      <c r="F4" s="30"/>
      <c r="G4" s="3" t="s">
        <v>0</v>
      </c>
      <c r="H4" s="3" t="s">
        <v>1</v>
      </c>
      <c r="K4" s="28" t="s">
        <v>26</v>
      </c>
      <c r="L4" s="29"/>
      <c r="M4" s="29"/>
      <c r="N4" s="30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6</v>
      </c>
      <c r="D6" s="4">
        <v>16</v>
      </c>
      <c r="E6" s="4">
        <v>16</v>
      </c>
      <c r="F6" s="4">
        <v>18</v>
      </c>
      <c r="G6" s="21">
        <f>SUM(C6:F6)</f>
        <v>56</v>
      </c>
      <c r="H6" s="13">
        <f>G6/$G$17</f>
        <v>0.66666666666666663</v>
      </c>
      <c r="J6" s="20" t="s">
        <v>2</v>
      </c>
      <c r="K6" s="4">
        <v>8</v>
      </c>
      <c r="L6" s="4">
        <v>11</v>
      </c>
      <c r="M6" s="4">
        <v>16</v>
      </c>
      <c r="N6" s="4">
        <v>5</v>
      </c>
      <c r="O6" s="21">
        <f>SUM(K6:N6)</f>
        <v>40</v>
      </c>
      <c r="P6" s="13">
        <f>O6/$O$17</f>
        <v>0.70175438596491224</v>
      </c>
    </row>
    <row r="7" spans="2:16">
      <c r="B7" s="20" t="s">
        <v>15</v>
      </c>
      <c r="C7" s="4">
        <v>7</v>
      </c>
      <c r="D7" s="4">
        <v>6</v>
      </c>
      <c r="E7" s="4">
        <v>8</v>
      </c>
      <c r="F7" s="4">
        <v>7</v>
      </c>
      <c r="G7" s="21">
        <f>SUM(C7:F7)</f>
        <v>28</v>
      </c>
      <c r="H7" s="13">
        <f>G7/$G$17</f>
        <v>0.33333333333333331</v>
      </c>
      <c r="J7" s="20" t="s">
        <v>15</v>
      </c>
      <c r="K7" s="4">
        <v>4</v>
      </c>
      <c r="L7" s="4">
        <v>5</v>
      </c>
      <c r="M7" s="4">
        <v>2</v>
      </c>
      <c r="N7" s="4">
        <v>6</v>
      </c>
      <c r="O7" s="21">
        <f>SUM(K7:N7)</f>
        <v>17</v>
      </c>
      <c r="P7" s="13">
        <f>O7/$O$17</f>
        <v>0.2982456140350877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10</v>
      </c>
      <c r="D9" s="18">
        <v>15</v>
      </c>
      <c r="E9" s="18">
        <v>14</v>
      </c>
      <c r="F9" s="18">
        <v>16</v>
      </c>
      <c r="G9" s="19">
        <f>SUM(C9:F9)</f>
        <v>55</v>
      </c>
      <c r="H9" s="13">
        <f>G9/$G$17</f>
        <v>0.65476190476190477</v>
      </c>
      <c r="J9" s="15" t="s">
        <v>3</v>
      </c>
      <c r="K9" s="18">
        <v>11</v>
      </c>
      <c r="L9" s="18">
        <v>10</v>
      </c>
      <c r="M9" s="18">
        <v>15</v>
      </c>
      <c r="N9" s="18">
        <v>10</v>
      </c>
      <c r="O9" s="19">
        <f>SUM(K9:N9)</f>
        <v>46</v>
      </c>
      <c r="P9" s="13">
        <f>O9/$O$17</f>
        <v>0.80701754385964908</v>
      </c>
    </row>
    <row r="10" spans="2:16">
      <c r="B10" s="15" t="s">
        <v>4</v>
      </c>
      <c r="C10" s="18">
        <v>4</v>
      </c>
      <c r="D10" s="18">
        <v>8</v>
      </c>
      <c r="E10" s="18">
        <v>9</v>
      </c>
      <c r="F10" s="18">
        <v>8</v>
      </c>
      <c r="G10" s="19">
        <f>SUM(C10:F10)</f>
        <v>29</v>
      </c>
      <c r="H10" s="13">
        <f>G10/$G$17</f>
        <v>0.34523809523809523</v>
      </c>
      <c r="J10" s="15" t="s">
        <v>4</v>
      </c>
      <c r="K10" s="18">
        <v>1</v>
      </c>
      <c r="L10" s="18">
        <v>5</v>
      </c>
      <c r="M10" s="18">
        <v>3</v>
      </c>
      <c r="N10" s="18">
        <v>1</v>
      </c>
      <c r="O10" s="19">
        <f>SUM(K10:N10)</f>
        <v>10</v>
      </c>
      <c r="P10" s="13">
        <f>O10/$O$17</f>
        <v>0.17543859649122806</v>
      </c>
    </row>
    <row r="11" spans="2:16">
      <c r="B11" s="15" t="s">
        <v>5</v>
      </c>
      <c r="C11" s="18">
        <v>0</v>
      </c>
      <c r="D11" s="18">
        <v>0</v>
      </c>
      <c r="E11" s="18">
        <v>0</v>
      </c>
      <c r="F11" s="18">
        <v>0</v>
      </c>
      <c r="G11" s="19">
        <f>SUM(C11:F11)</f>
        <v>0</v>
      </c>
      <c r="H11" s="13">
        <f>G11/$G$17</f>
        <v>0</v>
      </c>
      <c r="J11" s="15" t="s">
        <v>5</v>
      </c>
      <c r="K11" s="18">
        <v>0</v>
      </c>
      <c r="L11" s="18">
        <v>1</v>
      </c>
      <c r="M11" s="18">
        <v>0</v>
      </c>
      <c r="N11" s="18">
        <v>0</v>
      </c>
      <c r="O11" s="19">
        <f>SUM(K11:N11)</f>
        <v>1</v>
      </c>
      <c r="P11" s="13">
        <f>O11/$O$17</f>
        <v>1.7543859649122806E-2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8</v>
      </c>
      <c r="D13" s="5">
        <v>16</v>
      </c>
      <c r="E13" s="5">
        <v>16</v>
      </c>
      <c r="F13" s="5">
        <v>13</v>
      </c>
      <c r="G13" s="6">
        <f>SUM(C13:F13)</f>
        <v>53</v>
      </c>
      <c r="H13" s="13">
        <f>G13/$G$17</f>
        <v>0.63095238095238093</v>
      </c>
      <c r="J13" s="12" t="s">
        <v>6</v>
      </c>
      <c r="K13" s="5">
        <v>7</v>
      </c>
      <c r="L13" s="5">
        <v>11</v>
      </c>
      <c r="M13" s="5">
        <v>9</v>
      </c>
      <c r="N13" s="5">
        <v>5</v>
      </c>
      <c r="O13" s="6">
        <f>SUM(K13:N13)</f>
        <v>32</v>
      </c>
      <c r="P13" s="13">
        <f>O13/$O$17</f>
        <v>0.56140350877192979</v>
      </c>
    </row>
    <row r="14" spans="2:16">
      <c r="B14" s="12" t="s">
        <v>7</v>
      </c>
      <c r="C14" s="5">
        <v>5</v>
      </c>
      <c r="D14" s="5">
        <v>6</v>
      </c>
      <c r="E14" s="5">
        <v>8</v>
      </c>
      <c r="F14" s="5">
        <v>12</v>
      </c>
      <c r="G14" s="6">
        <f>SUM(C14:F14)</f>
        <v>31</v>
      </c>
      <c r="H14" s="13">
        <f>G14/$G$17</f>
        <v>0.36904761904761907</v>
      </c>
      <c r="J14" s="12" t="s">
        <v>7</v>
      </c>
      <c r="K14" s="5">
        <v>5</v>
      </c>
      <c r="L14" s="5">
        <v>5</v>
      </c>
      <c r="M14" s="5">
        <v>9</v>
      </c>
      <c r="N14" s="5">
        <v>6</v>
      </c>
      <c r="O14" s="6">
        <f>SUM(K14:N14)</f>
        <v>25</v>
      </c>
      <c r="P14" s="13">
        <f>O14/$O$17</f>
        <v>0.43859649122807015</v>
      </c>
    </row>
    <row r="15" spans="2:16">
      <c r="B15" s="12" t="s">
        <v>8</v>
      </c>
      <c r="C15" s="5">
        <v>0</v>
      </c>
      <c r="D15" s="5">
        <v>0</v>
      </c>
      <c r="E15" s="5">
        <v>0</v>
      </c>
      <c r="F15" s="5">
        <v>0</v>
      </c>
      <c r="G15" s="6">
        <f>SUM(C15:F15)</f>
        <v>0</v>
      </c>
      <c r="H15" s="13">
        <f>G15/$G$17</f>
        <v>0</v>
      </c>
      <c r="J15" s="12" t="s">
        <v>8</v>
      </c>
      <c r="K15" s="5">
        <v>0</v>
      </c>
      <c r="L15" s="5">
        <v>0</v>
      </c>
      <c r="M15" s="5">
        <v>0</v>
      </c>
      <c r="N15" s="5">
        <v>0</v>
      </c>
      <c r="O15" s="6">
        <f>SUM(K15:N15)</f>
        <v>0</v>
      </c>
      <c r="P15" s="13">
        <f>O15/$O$17</f>
        <v>0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13</v>
      </c>
      <c r="D17" s="8">
        <f>SUM(D13:D15)</f>
        <v>22</v>
      </c>
      <c r="E17" s="8">
        <f>SUM(E13:E15)</f>
        <v>24</v>
      </c>
      <c r="F17" s="8">
        <f>SUM(F13:F15)</f>
        <v>25</v>
      </c>
      <c r="G17" s="11">
        <f>SUM(C17:F17)</f>
        <v>84</v>
      </c>
      <c r="H17" s="8"/>
      <c r="J17" s="10" t="s">
        <v>9</v>
      </c>
      <c r="K17" s="8">
        <f>SUM(K13:K15)</f>
        <v>12</v>
      </c>
      <c r="L17" s="8">
        <f>SUM(L13:L15)</f>
        <v>16</v>
      </c>
      <c r="M17" s="8">
        <f>SUM(M13:M15)</f>
        <v>18</v>
      </c>
      <c r="N17" s="8">
        <f>SUM(N13:N15)</f>
        <v>11</v>
      </c>
      <c r="O17" s="11">
        <f>SUM(K17:N17)</f>
        <v>57</v>
      </c>
      <c r="P17" s="8"/>
    </row>
    <row r="18" spans="2:16">
      <c r="B18" s="10" t="s">
        <v>1</v>
      </c>
      <c r="C18" s="9">
        <f>C17/$G$17</f>
        <v>0.15476190476190477</v>
      </c>
      <c r="D18" s="9">
        <f t="shared" ref="D18:F18" si="0">D17/$G$17</f>
        <v>0.26190476190476192</v>
      </c>
      <c r="E18" s="9">
        <f t="shared" si="0"/>
        <v>0.2857142857142857</v>
      </c>
      <c r="F18" s="9">
        <f t="shared" si="0"/>
        <v>0.29761904761904762</v>
      </c>
      <c r="G18" s="9"/>
      <c r="H18" s="8"/>
      <c r="J18" s="10" t="s">
        <v>1</v>
      </c>
      <c r="K18" s="9">
        <f>K17/$O$17</f>
        <v>0.21052631578947367</v>
      </c>
      <c r="L18" s="9">
        <f>L17/$O$17</f>
        <v>0.2807017543859649</v>
      </c>
      <c r="M18" s="9">
        <f>M17/$O$17</f>
        <v>0.31578947368421051</v>
      </c>
      <c r="N18" s="9">
        <f>N17/$O$17</f>
        <v>0.19298245614035087</v>
      </c>
      <c r="O18" s="9"/>
      <c r="P18" s="8"/>
    </row>
    <row r="20" spans="2:16">
      <c r="B20" s="27" t="s">
        <v>27</v>
      </c>
      <c r="C20" s="27"/>
      <c r="D20" s="27"/>
      <c r="E20" s="27"/>
      <c r="F20" s="27"/>
      <c r="G20" s="27"/>
      <c r="H20" s="27"/>
      <c r="J20" s="27" t="s">
        <v>27</v>
      </c>
      <c r="K20" s="27"/>
      <c r="L20" s="27"/>
      <c r="M20" s="27"/>
      <c r="N20" s="27"/>
      <c r="O20" s="27"/>
      <c r="P20" s="27"/>
    </row>
    <row r="21" spans="2:16">
      <c r="C21" s="28" t="s">
        <v>28</v>
      </c>
      <c r="D21" s="29"/>
      <c r="E21" s="29"/>
      <c r="F21" s="30"/>
      <c r="G21" s="3" t="s">
        <v>0</v>
      </c>
      <c r="H21" s="3" t="s">
        <v>1</v>
      </c>
      <c r="K21" s="28" t="s">
        <v>28</v>
      </c>
      <c r="L21" s="29"/>
      <c r="M21" s="29"/>
      <c r="N21" s="30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6</v>
      </c>
      <c r="D23" s="4">
        <v>2</v>
      </c>
      <c r="E23" s="4">
        <v>7</v>
      </c>
      <c r="F23" s="4">
        <v>4</v>
      </c>
      <c r="G23" s="21">
        <f>SUM(C23:F23)</f>
        <v>19</v>
      </c>
      <c r="H23" s="13">
        <f>G23/$G$34</f>
        <v>0.5757575757575758</v>
      </c>
      <c r="J23" s="20" t="s">
        <v>2</v>
      </c>
      <c r="K23" s="4">
        <v>7</v>
      </c>
      <c r="L23" s="4">
        <v>8</v>
      </c>
      <c r="M23" s="4">
        <v>9</v>
      </c>
      <c r="N23" s="4">
        <v>4</v>
      </c>
      <c r="O23" s="21">
        <f>SUM(K23:N23)</f>
        <v>28</v>
      </c>
      <c r="P23" s="13">
        <f>O23/$O$34</f>
        <v>0.77777777777777779</v>
      </c>
    </row>
    <row r="24" spans="2:16">
      <c r="B24" s="20" t="s">
        <v>15</v>
      </c>
      <c r="C24" s="4">
        <v>1</v>
      </c>
      <c r="D24" s="4">
        <v>5</v>
      </c>
      <c r="E24" s="4">
        <v>3</v>
      </c>
      <c r="F24" s="4">
        <v>5</v>
      </c>
      <c r="G24" s="21">
        <f>SUM(C24:F24)</f>
        <v>14</v>
      </c>
      <c r="H24" s="13">
        <f>G24/$G$34</f>
        <v>0.42424242424242425</v>
      </c>
      <c r="J24" s="20" t="s">
        <v>15</v>
      </c>
      <c r="K24" s="4">
        <v>0</v>
      </c>
      <c r="L24" s="4">
        <v>2</v>
      </c>
      <c r="M24" s="4">
        <v>3</v>
      </c>
      <c r="N24" s="4">
        <v>3</v>
      </c>
      <c r="O24" s="21">
        <f>SUM(K24:N24)</f>
        <v>8</v>
      </c>
      <c r="P24" s="13">
        <f>O24/$O$34</f>
        <v>0.22222222222222221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>
        <v>24</v>
      </c>
      <c r="D26" s="18"/>
      <c r="E26" s="18"/>
      <c r="F26" s="18"/>
      <c r="G26" s="19">
        <f>SUM(C26:F26)</f>
        <v>24</v>
      </c>
      <c r="H26" s="13">
        <f>G26/$G$34</f>
        <v>0.72727272727272729</v>
      </c>
      <c r="J26" s="15" t="s">
        <v>3</v>
      </c>
      <c r="K26" s="18">
        <v>5</v>
      </c>
      <c r="L26" s="18">
        <v>9</v>
      </c>
      <c r="M26" s="18">
        <v>8</v>
      </c>
      <c r="N26" s="18">
        <v>7</v>
      </c>
      <c r="O26" s="19">
        <f>SUM(K26:N26)</f>
        <v>29</v>
      </c>
      <c r="P26" s="13">
        <f>O26/$O$34</f>
        <v>0.80555555555555558</v>
      </c>
    </row>
    <row r="27" spans="2:16">
      <c r="B27" s="15" t="s">
        <v>4</v>
      </c>
      <c r="C27" s="18">
        <v>11</v>
      </c>
      <c r="D27" s="18"/>
      <c r="E27" s="18"/>
      <c r="F27" s="18"/>
      <c r="G27" s="19">
        <f>SUM(C27:F27)</f>
        <v>11</v>
      </c>
      <c r="H27" s="13">
        <f>G27/$G$34</f>
        <v>0.33333333333333331</v>
      </c>
      <c r="J27" s="15" t="s">
        <v>4</v>
      </c>
      <c r="K27" s="18">
        <v>1</v>
      </c>
      <c r="L27" s="18">
        <v>1</v>
      </c>
      <c r="M27" s="18">
        <v>4</v>
      </c>
      <c r="N27" s="18">
        <v>0</v>
      </c>
      <c r="O27" s="19">
        <f>SUM(K27:N27)</f>
        <v>6</v>
      </c>
      <c r="P27" s="13">
        <f>O27/$O$34</f>
        <v>0.16666666666666666</v>
      </c>
    </row>
    <row r="28" spans="2:16">
      <c r="B28" s="15" t="s">
        <v>5</v>
      </c>
      <c r="C28" s="18">
        <v>0</v>
      </c>
      <c r="D28" s="18"/>
      <c r="E28" s="18"/>
      <c r="F28" s="18"/>
      <c r="G28" s="19">
        <f>SUM(C28:F28)</f>
        <v>0</v>
      </c>
      <c r="H28" s="13">
        <f>G28/$G$34</f>
        <v>0</v>
      </c>
      <c r="J28" s="15" t="s">
        <v>5</v>
      </c>
      <c r="K28" s="18">
        <v>1</v>
      </c>
      <c r="L28" s="18">
        <v>0</v>
      </c>
      <c r="M28" s="18">
        <v>0</v>
      </c>
      <c r="N28" s="18">
        <v>0</v>
      </c>
      <c r="O28" s="19">
        <f>SUM(K28:N28)</f>
        <v>1</v>
      </c>
      <c r="P28" s="13">
        <f>O28/$O$34</f>
        <v>2.7777777777777776E-2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4</v>
      </c>
      <c r="D30" s="5">
        <v>2</v>
      </c>
      <c r="E30" s="5">
        <v>4</v>
      </c>
      <c r="F30" s="5">
        <v>2</v>
      </c>
      <c r="G30" s="6">
        <f>SUM(C30:F30)</f>
        <v>12</v>
      </c>
      <c r="H30" s="13">
        <f>G30/$G$34</f>
        <v>0.36363636363636365</v>
      </c>
      <c r="J30" s="12" t="s">
        <v>6</v>
      </c>
      <c r="K30" s="5">
        <v>5</v>
      </c>
      <c r="L30" s="5">
        <v>9</v>
      </c>
      <c r="M30" s="5">
        <v>7</v>
      </c>
      <c r="N30" s="5">
        <v>3</v>
      </c>
      <c r="O30" s="6">
        <f>SUM(K30:N30)</f>
        <v>24</v>
      </c>
      <c r="P30" s="13">
        <f>O30/$O$34</f>
        <v>0.66666666666666663</v>
      </c>
    </row>
    <row r="31" spans="2:16">
      <c r="B31" s="12" t="s">
        <v>7</v>
      </c>
      <c r="C31" s="5">
        <v>3</v>
      </c>
      <c r="D31" s="5">
        <v>5</v>
      </c>
      <c r="E31" s="5">
        <v>6</v>
      </c>
      <c r="F31" s="5">
        <v>7</v>
      </c>
      <c r="G31" s="6">
        <f>SUM(C31:F31)</f>
        <v>21</v>
      </c>
      <c r="H31" s="13">
        <f>G31/$G$34</f>
        <v>0.63636363636363635</v>
      </c>
      <c r="J31" s="12" t="s">
        <v>7</v>
      </c>
      <c r="K31" s="5">
        <v>2</v>
      </c>
      <c r="L31" s="5">
        <v>1</v>
      </c>
      <c r="M31" s="5">
        <v>5</v>
      </c>
      <c r="N31" s="5">
        <v>4</v>
      </c>
      <c r="O31" s="6">
        <f>SUM(K31:N31)</f>
        <v>12</v>
      </c>
      <c r="P31" s="13">
        <f>O31/$O$34</f>
        <v>0.33333333333333331</v>
      </c>
    </row>
    <row r="32" spans="2:16">
      <c r="B32" s="12" t="s">
        <v>8</v>
      </c>
      <c r="C32" s="5">
        <v>0</v>
      </c>
      <c r="D32" s="5">
        <v>0</v>
      </c>
      <c r="E32" s="5">
        <v>0</v>
      </c>
      <c r="F32" s="5">
        <v>0</v>
      </c>
      <c r="G32" s="6">
        <f>SUM(C32:F32)</f>
        <v>0</v>
      </c>
      <c r="H32" s="13">
        <f>G32/$G$34</f>
        <v>0</v>
      </c>
      <c r="J32" s="12" t="s">
        <v>8</v>
      </c>
      <c r="K32" s="5">
        <v>0</v>
      </c>
      <c r="L32" s="5">
        <v>0</v>
      </c>
      <c r="M32" s="5">
        <v>0</v>
      </c>
      <c r="N32" s="5">
        <v>0</v>
      </c>
      <c r="O32" s="6">
        <f>SUM(K32:N32)</f>
        <v>0</v>
      </c>
      <c r="P32" s="13">
        <f>O32/$O$34</f>
        <v>0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7</v>
      </c>
      <c r="D34" s="8">
        <f>SUM(D30:D32)</f>
        <v>7</v>
      </c>
      <c r="E34" s="8">
        <f>SUM(E30:E32)</f>
        <v>10</v>
      </c>
      <c r="F34" s="8">
        <f>SUM(F30:F32)</f>
        <v>9</v>
      </c>
      <c r="G34" s="11">
        <f>SUM(C34:F34)</f>
        <v>33</v>
      </c>
      <c r="H34" s="8"/>
      <c r="J34" s="10" t="s">
        <v>9</v>
      </c>
      <c r="K34" s="8">
        <f>SUM(K30:K32)</f>
        <v>7</v>
      </c>
      <c r="L34" s="8">
        <f>SUM(L30:L32)</f>
        <v>10</v>
      </c>
      <c r="M34" s="8">
        <f>SUM(M30:M32)</f>
        <v>12</v>
      </c>
      <c r="N34" s="8">
        <f>SUM(N30:N32)</f>
        <v>7</v>
      </c>
      <c r="O34" s="11">
        <f>SUM(K34:N34)</f>
        <v>36</v>
      </c>
      <c r="P34" s="8"/>
    </row>
    <row r="35" spans="2:16">
      <c r="B35" s="10" t="s">
        <v>1</v>
      </c>
      <c r="C35" s="9">
        <f>C34/$G$34</f>
        <v>0.21212121212121213</v>
      </c>
      <c r="D35" s="9">
        <f t="shared" ref="D35:F35" si="1">D34/$G$34</f>
        <v>0.21212121212121213</v>
      </c>
      <c r="E35" s="9">
        <f t="shared" si="1"/>
        <v>0.30303030303030304</v>
      </c>
      <c r="F35" s="9">
        <f t="shared" si="1"/>
        <v>0.27272727272727271</v>
      </c>
      <c r="G35" s="9"/>
      <c r="H35" s="8"/>
      <c r="J35" s="10" t="s">
        <v>1</v>
      </c>
      <c r="K35" s="9">
        <f>K34/$O$34</f>
        <v>0.19444444444444445</v>
      </c>
      <c r="L35" s="9">
        <f>L34/$O$34</f>
        <v>0.27777777777777779</v>
      </c>
      <c r="M35" s="9">
        <f>M34/$O$34</f>
        <v>0.33333333333333331</v>
      </c>
      <c r="N35" s="9">
        <f>N34/$O$34</f>
        <v>0.19444444444444445</v>
      </c>
      <c r="O35" s="9"/>
      <c r="P35" s="8"/>
    </row>
  </sheetData>
  <mergeCells count="10">
    <mergeCell ref="B1:H1"/>
    <mergeCell ref="B3:H3"/>
    <mergeCell ref="C4:F4"/>
    <mergeCell ref="B20:H20"/>
    <mergeCell ref="C21:F21"/>
    <mergeCell ref="J1:P1"/>
    <mergeCell ref="J3:P3"/>
    <mergeCell ref="K4:N4"/>
    <mergeCell ref="J20:P20"/>
    <mergeCell ref="K21:N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1"/>
  <sheetViews>
    <sheetView topLeftCell="A30" workbookViewId="0">
      <selection activeCell="G43" sqref="G43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6384" width="10.875" style="1"/>
  </cols>
  <sheetData>
    <row r="1" spans="2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7" t="s">
        <v>29</v>
      </c>
      <c r="C3" s="27"/>
      <c r="D3" s="27"/>
      <c r="E3" s="27"/>
      <c r="F3" s="27"/>
      <c r="G3" s="27"/>
      <c r="H3" s="27"/>
      <c r="J3" s="27" t="s">
        <v>29</v>
      </c>
      <c r="K3" s="27"/>
      <c r="L3" s="27"/>
      <c r="M3" s="27"/>
      <c r="N3" s="27"/>
      <c r="O3" s="27"/>
      <c r="P3" s="27"/>
    </row>
    <row r="4" spans="2:16">
      <c r="C4" s="28" t="s">
        <v>26</v>
      </c>
      <c r="D4" s="29"/>
      <c r="E4" s="29"/>
      <c r="F4" s="30"/>
      <c r="G4" s="3" t="s">
        <v>0</v>
      </c>
      <c r="H4" s="3" t="s">
        <v>1</v>
      </c>
      <c r="K4" s="28" t="s">
        <v>26</v>
      </c>
      <c r="L4" s="29"/>
      <c r="M4" s="29"/>
      <c r="N4" s="30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335</v>
      </c>
      <c r="D6" s="4"/>
      <c r="E6" s="4"/>
      <c r="F6" s="4"/>
      <c r="G6" s="21">
        <f>SUM(C6:F6)</f>
        <v>335</v>
      </c>
      <c r="H6" s="13">
        <f>G6/$G$17</f>
        <v>0.59187279151943462</v>
      </c>
      <c r="J6" s="20" t="s">
        <v>2</v>
      </c>
      <c r="K6" s="4">
        <v>23</v>
      </c>
      <c r="L6" s="4">
        <v>30</v>
      </c>
      <c r="M6" s="4">
        <v>32</v>
      </c>
      <c r="N6" s="4">
        <v>20</v>
      </c>
      <c r="O6" s="21">
        <f>SUM(K6:N6)</f>
        <v>105</v>
      </c>
      <c r="P6" s="13">
        <f>O6/$O$17</f>
        <v>0.71917808219178081</v>
      </c>
    </row>
    <row r="7" spans="2:16">
      <c r="B7" s="20" t="s">
        <v>15</v>
      </c>
      <c r="C7" s="4">
        <v>231</v>
      </c>
      <c r="D7" s="4"/>
      <c r="E7" s="4"/>
      <c r="F7" s="4"/>
      <c r="G7" s="21">
        <f>SUM(C7:F7)</f>
        <v>231</v>
      </c>
      <c r="H7" s="13">
        <f>G7/$G$17</f>
        <v>0.40812720848056538</v>
      </c>
      <c r="J7" s="20" t="s">
        <v>15</v>
      </c>
      <c r="K7" s="4">
        <v>12</v>
      </c>
      <c r="L7" s="4">
        <v>9</v>
      </c>
      <c r="M7" s="4">
        <v>8</v>
      </c>
      <c r="N7" s="4">
        <v>12</v>
      </c>
      <c r="O7" s="21">
        <f>SUM(K7:N7)</f>
        <v>41</v>
      </c>
      <c r="P7" s="13">
        <f>O7/$O$17</f>
        <v>0.28082191780821919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23">
        <f>G17*0.54</f>
        <v>305.64000000000004</v>
      </c>
      <c r="D9" s="18"/>
      <c r="E9" s="18"/>
      <c r="F9" s="18"/>
      <c r="G9" s="24">
        <f>SUM(C9:F9)</f>
        <v>305.64000000000004</v>
      </c>
      <c r="H9" s="13">
        <f>G9/$G$17</f>
        <v>0.54</v>
      </c>
      <c r="J9" s="15" t="s">
        <v>3</v>
      </c>
      <c r="K9" s="23">
        <f>$O$17*0.7</f>
        <v>102.19999999999999</v>
      </c>
      <c r="L9" s="18"/>
      <c r="M9" s="18"/>
      <c r="N9" s="18"/>
      <c r="O9" s="24">
        <f>SUM(K9:N9)</f>
        <v>102.19999999999999</v>
      </c>
      <c r="P9" s="13">
        <f>O9/$O$17</f>
        <v>0.7</v>
      </c>
    </row>
    <row r="10" spans="2:16">
      <c r="B10" s="15" t="s">
        <v>4</v>
      </c>
      <c r="C10" s="23">
        <f>G17*0.37</f>
        <v>209.42</v>
      </c>
      <c r="D10" s="18"/>
      <c r="E10" s="18"/>
      <c r="F10" s="18"/>
      <c r="G10" s="24">
        <f>SUM(C10:F10)</f>
        <v>209.42</v>
      </c>
      <c r="H10" s="13">
        <f>G10/$G$17</f>
        <v>0.37</v>
      </c>
      <c r="J10" s="15" t="s">
        <v>4</v>
      </c>
      <c r="K10" s="23">
        <f>$O$17*0.25</f>
        <v>36.5</v>
      </c>
      <c r="L10" s="18"/>
      <c r="M10" s="18"/>
      <c r="N10" s="18"/>
      <c r="O10" s="24">
        <f>SUM(K10:N10)</f>
        <v>36.5</v>
      </c>
      <c r="P10" s="13">
        <f>O10/$O$17</f>
        <v>0.25</v>
      </c>
    </row>
    <row r="11" spans="2:16">
      <c r="B11" s="15" t="s">
        <v>5</v>
      </c>
      <c r="C11" s="23">
        <f>G17*0.09</f>
        <v>50.94</v>
      </c>
      <c r="D11" s="18"/>
      <c r="E11" s="18"/>
      <c r="F11" s="18"/>
      <c r="G11" s="24">
        <f>SUM(C11:F11)</f>
        <v>50.94</v>
      </c>
      <c r="H11" s="13">
        <f>G11/$G$17</f>
        <v>0.09</v>
      </c>
      <c r="J11" s="15" t="s">
        <v>5</v>
      </c>
      <c r="K11" s="23">
        <f>$O$17*0.05</f>
        <v>7.3000000000000007</v>
      </c>
      <c r="L11" s="18"/>
      <c r="M11" s="18"/>
      <c r="N11" s="18"/>
      <c r="O11" s="24">
        <f>SUM(K11:N11)</f>
        <v>7.3000000000000007</v>
      </c>
      <c r="P11" s="13">
        <f>O11/$O$17</f>
        <v>0.05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287</v>
      </c>
      <c r="D13" s="5"/>
      <c r="E13" s="5"/>
      <c r="F13" s="5"/>
      <c r="G13" s="6">
        <f>SUM(C13:F13)</f>
        <v>287</v>
      </c>
      <c r="H13" s="13">
        <f>G13/$G$17</f>
        <v>0.50706713780918733</v>
      </c>
      <c r="J13" s="12" t="s">
        <v>6</v>
      </c>
      <c r="K13" s="5">
        <v>21</v>
      </c>
      <c r="L13" s="5">
        <v>17</v>
      </c>
      <c r="M13" s="5">
        <v>22</v>
      </c>
      <c r="N13" s="5">
        <v>17</v>
      </c>
      <c r="O13" s="6">
        <f>SUM(K13:N13)</f>
        <v>77</v>
      </c>
      <c r="P13" s="13">
        <f>O13/$O$17</f>
        <v>0.5273972602739726</v>
      </c>
    </row>
    <row r="14" spans="2:16">
      <c r="B14" s="12" t="s">
        <v>7</v>
      </c>
      <c r="C14" s="5">
        <v>217</v>
      </c>
      <c r="D14" s="5"/>
      <c r="E14" s="5"/>
      <c r="F14" s="5"/>
      <c r="G14" s="6">
        <f>SUM(C14:F14)</f>
        <v>217</v>
      </c>
      <c r="H14" s="13">
        <f>G14/$G$17</f>
        <v>0.3833922261484099</v>
      </c>
      <c r="J14" s="12" t="s">
        <v>7</v>
      </c>
      <c r="K14" s="5">
        <v>14</v>
      </c>
      <c r="L14" s="5">
        <v>21</v>
      </c>
      <c r="M14" s="5">
        <v>16</v>
      </c>
      <c r="N14" s="5">
        <v>14</v>
      </c>
      <c r="O14" s="6">
        <f>SUM(K14:N14)</f>
        <v>65</v>
      </c>
      <c r="P14" s="13">
        <f>O14/$O$17</f>
        <v>0.4452054794520548</v>
      </c>
    </row>
    <row r="15" spans="2:16">
      <c r="B15" s="12" t="s">
        <v>8</v>
      </c>
      <c r="C15" s="5">
        <v>62</v>
      </c>
      <c r="D15" s="5"/>
      <c r="E15" s="5"/>
      <c r="F15" s="5"/>
      <c r="G15" s="6">
        <f>SUM(C15:F15)</f>
        <v>62</v>
      </c>
      <c r="H15" s="13">
        <f>G15/$G$17</f>
        <v>0.10954063604240283</v>
      </c>
      <c r="J15" s="12" t="s">
        <v>8</v>
      </c>
      <c r="K15" s="5">
        <v>0</v>
      </c>
      <c r="L15" s="5">
        <v>1</v>
      </c>
      <c r="M15" s="5">
        <v>2</v>
      </c>
      <c r="N15" s="5">
        <v>1</v>
      </c>
      <c r="O15" s="6">
        <f>SUM(K15:N15)</f>
        <v>4</v>
      </c>
      <c r="P15" s="13">
        <f>O15/$O$17</f>
        <v>2.7397260273972601E-2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566</v>
      </c>
      <c r="D17" s="8">
        <f>SUM(D13:D15)</f>
        <v>0</v>
      </c>
      <c r="E17" s="8">
        <f>SUM(E13:E15)</f>
        <v>0</v>
      </c>
      <c r="F17" s="8">
        <f>SUM(F13:F15)</f>
        <v>0</v>
      </c>
      <c r="G17" s="11">
        <f>SUM(C17:F17)</f>
        <v>566</v>
      </c>
      <c r="H17" s="8"/>
      <c r="J17" s="10" t="s">
        <v>9</v>
      </c>
      <c r="K17" s="8">
        <f>SUM(K13:K15)</f>
        <v>35</v>
      </c>
      <c r="L17" s="8">
        <f>SUM(L13:L15)</f>
        <v>39</v>
      </c>
      <c r="M17" s="8">
        <f>SUM(M13:M15)</f>
        <v>40</v>
      </c>
      <c r="N17" s="8">
        <f>SUM(N13:N15)</f>
        <v>32</v>
      </c>
      <c r="O17" s="11">
        <f>SUM(K17:N17)</f>
        <v>146</v>
      </c>
      <c r="P17" s="8"/>
    </row>
    <row r="18" spans="2:16">
      <c r="B18" s="10" t="s">
        <v>1</v>
      </c>
      <c r="C18" s="9">
        <f>C17/$G$17</f>
        <v>1</v>
      </c>
      <c r="D18" s="9">
        <f t="shared" ref="D18:F18" si="0">D17/$G$17</f>
        <v>0</v>
      </c>
      <c r="E18" s="9">
        <f t="shared" si="0"/>
        <v>0</v>
      </c>
      <c r="F18" s="9">
        <f t="shared" si="0"/>
        <v>0</v>
      </c>
      <c r="G18" s="26">
        <f>G17/G37</f>
        <v>0.86943164362519199</v>
      </c>
      <c r="H18" s="8"/>
      <c r="J18" s="10" t="s">
        <v>1</v>
      </c>
      <c r="K18" s="9">
        <f>K17/$O$17</f>
        <v>0.23972602739726026</v>
      </c>
      <c r="L18" s="9">
        <f>L17/$O$17</f>
        <v>0.26712328767123289</v>
      </c>
      <c r="M18" s="9">
        <f>M17/$O$17</f>
        <v>0.27397260273972601</v>
      </c>
      <c r="N18" s="9">
        <f>N17/$O$17</f>
        <v>0.21917808219178081</v>
      </c>
      <c r="O18" s="9"/>
      <c r="P18" s="8"/>
    </row>
    <row r="20" spans="2:16">
      <c r="B20" s="27" t="s">
        <v>29</v>
      </c>
      <c r="C20" s="27"/>
      <c r="D20" s="27"/>
      <c r="E20" s="27"/>
      <c r="F20" s="27"/>
      <c r="G20" s="27"/>
      <c r="H20" s="27"/>
      <c r="J20" s="27" t="s">
        <v>29</v>
      </c>
      <c r="K20" s="27"/>
      <c r="L20" s="27"/>
      <c r="M20" s="27"/>
      <c r="N20" s="27"/>
      <c r="O20" s="27"/>
      <c r="P20" s="27"/>
    </row>
    <row r="21" spans="2:16">
      <c r="C21" s="28" t="s">
        <v>28</v>
      </c>
      <c r="D21" s="29"/>
      <c r="E21" s="29"/>
      <c r="F21" s="30"/>
      <c r="G21" s="3" t="s">
        <v>0</v>
      </c>
      <c r="H21" s="3" t="s">
        <v>1</v>
      </c>
      <c r="K21" s="28" t="s">
        <v>28</v>
      </c>
      <c r="L21" s="29"/>
      <c r="M21" s="29"/>
      <c r="N21" s="30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53</v>
      </c>
      <c r="D23" s="4"/>
      <c r="E23" s="4"/>
      <c r="F23" s="4"/>
      <c r="G23" s="21">
        <f>SUM(C23:F23)</f>
        <v>53</v>
      </c>
      <c r="H23" s="13">
        <f>G23/$G$34</f>
        <v>0.62352941176470589</v>
      </c>
      <c r="J23" s="20" t="s">
        <v>2</v>
      </c>
      <c r="K23" s="4">
        <v>41</v>
      </c>
      <c r="L23" s="4">
        <v>55</v>
      </c>
      <c r="M23" s="4">
        <v>40</v>
      </c>
      <c r="N23" s="4">
        <v>54</v>
      </c>
      <c r="O23" s="21">
        <f>SUM(K23:N23)</f>
        <v>190</v>
      </c>
      <c r="P23" s="13">
        <f>O23/$O$34</f>
        <v>0.63973063973063971</v>
      </c>
    </row>
    <row r="24" spans="2:16">
      <c r="B24" s="20" t="s">
        <v>15</v>
      </c>
      <c r="C24" s="4">
        <v>32</v>
      </c>
      <c r="D24" s="4"/>
      <c r="E24" s="4"/>
      <c r="F24" s="4"/>
      <c r="G24" s="21">
        <f>SUM(C24:F24)</f>
        <v>32</v>
      </c>
      <c r="H24" s="13">
        <f>G24/$G$34</f>
        <v>0.37647058823529411</v>
      </c>
      <c r="J24" s="20" t="s">
        <v>15</v>
      </c>
      <c r="K24" s="4">
        <v>24</v>
      </c>
      <c r="L24" s="4">
        <v>33</v>
      </c>
      <c r="M24" s="4">
        <v>26</v>
      </c>
      <c r="N24" s="4">
        <v>24</v>
      </c>
      <c r="O24" s="21">
        <f>SUM(K24:N24)</f>
        <v>107</v>
      </c>
      <c r="P24" s="13">
        <f>O24/$O$34</f>
        <v>0.36026936026936029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23">
        <f>$G$34*H9</f>
        <v>45.900000000000006</v>
      </c>
      <c r="D26" s="18"/>
      <c r="E26" s="18"/>
      <c r="F26" s="18"/>
      <c r="G26" s="24">
        <f>SUM(C26:F26)</f>
        <v>45.900000000000006</v>
      </c>
      <c r="H26" s="13">
        <f>G26/$G$34</f>
        <v>0.54</v>
      </c>
      <c r="J26" s="15" t="s">
        <v>3</v>
      </c>
      <c r="K26" s="23">
        <f>O34*0.7</f>
        <v>207.89999999999998</v>
      </c>
      <c r="L26" s="18"/>
      <c r="M26" s="18"/>
      <c r="N26" s="18"/>
      <c r="O26" s="24">
        <f>SUM(K26:N26)</f>
        <v>207.89999999999998</v>
      </c>
      <c r="P26" s="13">
        <f>O26/$O$34</f>
        <v>0.7</v>
      </c>
    </row>
    <row r="27" spans="2:16">
      <c r="B27" s="15" t="s">
        <v>4</v>
      </c>
      <c r="C27" s="23">
        <f>$G$34*H10</f>
        <v>31.45</v>
      </c>
      <c r="D27" s="18"/>
      <c r="E27" s="18"/>
      <c r="F27" s="18"/>
      <c r="G27" s="24">
        <f>SUM(C27:F27)</f>
        <v>31.45</v>
      </c>
      <c r="H27" s="13">
        <f>G27/$G$34</f>
        <v>0.37</v>
      </c>
      <c r="J27" s="15" t="s">
        <v>4</v>
      </c>
      <c r="K27" s="23">
        <f>O34*0.25</f>
        <v>74.25</v>
      </c>
      <c r="L27" s="18"/>
      <c r="M27" s="18"/>
      <c r="N27" s="18"/>
      <c r="O27" s="24">
        <f>SUM(K27:N27)</f>
        <v>74.25</v>
      </c>
      <c r="P27" s="13">
        <f>O27/$O$34</f>
        <v>0.25</v>
      </c>
    </row>
    <row r="28" spans="2:16">
      <c r="B28" s="15" t="s">
        <v>5</v>
      </c>
      <c r="C28" s="23">
        <f>$G$34*H11</f>
        <v>7.6499999999999995</v>
      </c>
      <c r="D28" s="18"/>
      <c r="E28" s="18"/>
      <c r="F28" s="18"/>
      <c r="G28" s="24">
        <f>SUM(C28:F28)</f>
        <v>7.6499999999999995</v>
      </c>
      <c r="H28" s="13">
        <f>G28/$G$34</f>
        <v>0.09</v>
      </c>
      <c r="J28" s="15" t="s">
        <v>5</v>
      </c>
      <c r="K28" s="23">
        <f>O34*0.05</f>
        <v>14.850000000000001</v>
      </c>
      <c r="L28" s="18"/>
      <c r="M28" s="18"/>
      <c r="N28" s="18"/>
      <c r="O28" s="24">
        <f>SUM(K28:N28)</f>
        <v>14.850000000000001</v>
      </c>
      <c r="P28" s="13">
        <f>O28/$O$34</f>
        <v>0.05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47</v>
      </c>
      <c r="D30" s="5"/>
      <c r="E30" s="5"/>
      <c r="F30" s="5"/>
      <c r="G30" s="6">
        <f>SUM(C30:F30)</f>
        <v>47</v>
      </c>
      <c r="H30" s="13">
        <f>G30/$G$34</f>
        <v>0.55294117647058827</v>
      </c>
      <c r="J30" s="12" t="s">
        <v>6</v>
      </c>
      <c r="K30" s="5">
        <v>34</v>
      </c>
      <c r="L30" s="5">
        <v>52</v>
      </c>
      <c r="M30" s="5">
        <v>49</v>
      </c>
      <c r="N30" s="5">
        <v>48</v>
      </c>
      <c r="O30" s="6">
        <f>SUM(K30:N30)</f>
        <v>183</v>
      </c>
      <c r="P30" s="13">
        <f>O30/$O$34</f>
        <v>0.61616161616161613</v>
      </c>
    </row>
    <row r="31" spans="2:16">
      <c r="B31" s="12" t="s">
        <v>7</v>
      </c>
      <c r="C31" s="5">
        <v>33</v>
      </c>
      <c r="D31" s="5"/>
      <c r="E31" s="5"/>
      <c r="F31" s="5"/>
      <c r="G31" s="6">
        <f>SUM(C31:F31)</f>
        <v>33</v>
      </c>
      <c r="H31" s="13">
        <f>G31/$G$34</f>
        <v>0.38823529411764707</v>
      </c>
      <c r="J31" s="12" t="s">
        <v>7</v>
      </c>
      <c r="K31" s="5">
        <v>25</v>
      </c>
      <c r="L31" s="5">
        <v>30</v>
      </c>
      <c r="M31" s="5">
        <v>14</v>
      </c>
      <c r="N31" s="5">
        <v>27</v>
      </c>
      <c r="O31" s="6">
        <f>SUM(K31:N31)</f>
        <v>96</v>
      </c>
      <c r="P31" s="13">
        <f>O31/$O$34</f>
        <v>0.32323232323232326</v>
      </c>
    </row>
    <row r="32" spans="2:16">
      <c r="B32" s="12" t="s">
        <v>8</v>
      </c>
      <c r="C32" s="5">
        <v>5</v>
      </c>
      <c r="D32" s="5"/>
      <c r="E32" s="5"/>
      <c r="F32" s="5"/>
      <c r="G32" s="6">
        <f>SUM(C32:F32)</f>
        <v>5</v>
      </c>
      <c r="H32" s="13">
        <f>G32/$G$34</f>
        <v>5.8823529411764705E-2</v>
      </c>
      <c r="J32" s="12" t="s">
        <v>8</v>
      </c>
      <c r="K32" s="5">
        <v>6</v>
      </c>
      <c r="L32" s="5">
        <v>6</v>
      </c>
      <c r="M32" s="5">
        <v>3</v>
      </c>
      <c r="N32" s="5">
        <v>3</v>
      </c>
      <c r="O32" s="6">
        <f>SUM(K32:N32)</f>
        <v>18</v>
      </c>
      <c r="P32" s="13">
        <f>O32/$O$34</f>
        <v>6.0606060606060608E-2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85</v>
      </c>
      <c r="D34" s="8">
        <f>SUM(D30:D32)</f>
        <v>0</v>
      </c>
      <c r="E34" s="8">
        <f>SUM(E30:E32)</f>
        <v>0</v>
      </c>
      <c r="F34" s="8">
        <f>SUM(F30:F32)</f>
        <v>0</v>
      </c>
      <c r="G34" s="11">
        <f>SUM(C34:F34)</f>
        <v>85</v>
      </c>
      <c r="H34" s="8"/>
      <c r="J34" s="10" t="s">
        <v>9</v>
      </c>
      <c r="K34" s="8">
        <f>SUM(K30:K32)</f>
        <v>65</v>
      </c>
      <c r="L34" s="8">
        <f>SUM(L30:L32)</f>
        <v>88</v>
      </c>
      <c r="M34" s="8">
        <f>SUM(M30:M32)</f>
        <v>66</v>
      </c>
      <c r="N34" s="8">
        <f>SUM(N30:N32)</f>
        <v>78</v>
      </c>
      <c r="O34" s="11">
        <f>SUM(K34:N34)</f>
        <v>297</v>
      </c>
      <c r="P34" s="8"/>
    </row>
    <row r="35" spans="2:16">
      <c r="B35" s="10" t="s">
        <v>1</v>
      </c>
      <c r="C35" s="9">
        <f>C34/$G$34</f>
        <v>1</v>
      </c>
      <c r="D35" s="9">
        <f t="shared" ref="D35:F35" si="1">D34/$G$34</f>
        <v>0</v>
      </c>
      <c r="E35" s="9">
        <f t="shared" si="1"/>
        <v>0</v>
      </c>
      <c r="F35" s="9">
        <f t="shared" si="1"/>
        <v>0</v>
      </c>
      <c r="G35" s="26">
        <f>G34/G37</f>
        <v>0.13056835637480799</v>
      </c>
      <c r="H35" s="8"/>
      <c r="J35" s="10" t="s">
        <v>1</v>
      </c>
      <c r="K35" s="9">
        <f>K34/$O$34</f>
        <v>0.21885521885521886</v>
      </c>
      <c r="L35" s="9">
        <f>L34/$O$34</f>
        <v>0.29629629629629628</v>
      </c>
      <c r="M35" s="9">
        <f>M34/$O$34</f>
        <v>0.22222222222222221</v>
      </c>
      <c r="N35" s="9">
        <f>N34/$O$34</f>
        <v>0.26262626262626265</v>
      </c>
      <c r="O35" s="9"/>
      <c r="P35" s="8"/>
    </row>
    <row r="37" spans="2:16">
      <c r="G37" s="1">
        <f>SUM(G34,G17)</f>
        <v>651</v>
      </c>
    </row>
    <row r="39" spans="2:16">
      <c r="B39" s="27" t="s">
        <v>29</v>
      </c>
      <c r="C39" s="27"/>
      <c r="D39" s="27"/>
      <c r="E39" s="27"/>
      <c r="F39" s="27"/>
      <c r="G39" s="27"/>
      <c r="H39" s="27"/>
    </row>
    <row r="40" spans="2:16">
      <c r="C40" s="28" t="s">
        <v>42</v>
      </c>
      <c r="D40" s="29"/>
      <c r="E40" s="29"/>
      <c r="F40" s="30"/>
      <c r="G40" s="3" t="s">
        <v>0</v>
      </c>
      <c r="H40" s="3" t="s">
        <v>1</v>
      </c>
    </row>
    <row r="41" spans="2:16">
      <c r="C41" s="2" t="s">
        <v>11</v>
      </c>
      <c r="D41" s="2" t="s">
        <v>12</v>
      </c>
      <c r="E41" s="2" t="s">
        <v>13</v>
      </c>
      <c r="F41" s="2" t="s">
        <v>14</v>
      </c>
      <c r="G41" s="2"/>
      <c r="H41" s="3"/>
    </row>
    <row r="42" spans="2:16">
      <c r="B42" s="20" t="s">
        <v>2</v>
      </c>
      <c r="C42" s="4">
        <f>C6+C23</f>
        <v>388</v>
      </c>
      <c r="D42" s="4"/>
      <c r="E42" s="4"/>
      <c r="F42" s="4"/>
      <c r="G42" s="21">
        <f>SUM(C42:F42)</f>
        <v>388</v>
      </c>
      <c r="H42" s="13">
        <f>G42/$G$53</f>
        <v>0.59600614439324118</v>
      </c>
    </row>
    <row r="43" spans="2:16">
      <c r="B43" s="20" t="s">
        <v>15</v>
      </c>
      <c r="C43" s="4">
        <f>C7+C24</f>
        <v>263</v>
      </c>
      <c r="D43" s="4"/>
      <c r="E43" s="4"/>
      <c r="F43" s="4"/>
      <c r="G43" s="21">
        <f>SUM(C43:F43)</f>
        <v>263</v>
      </c>
      <c r="H43" s="13">
        <f>G43/$G$53</f>
        <v>0.40399385560675882</v>
      </c>
    </row>
    <row r="44" spans="2:16">
      <c r="C44" s="16"/>
      <c r="D44" s="16"/>
      <c r="E44" s="16"/>
      <c r="F44" s="16"/>
      <c r="G44" s="17"/>
      <c r="H44" s="9"/>
    </row>
    <row r="45" spans="2:16">
      <c r="B45" s="15" t="s">
        <v>3</v>
      </c>
      <c r="C45" s="4">
        <f>C9+C26</f>
        <v>351.54000000000008</v>
      </c>
      <c r="D45" s="18"/>
      <c r="E45" s="18"/>
      <c r="F45" s="18"/>
      <c r="G45" s="24">
        <f>SUM(C45:F45)</f>
        <v>351.54000000000008</v>
      </c>
      <c r="H45" s="13">
        <f>G45/$G$53</f>
        <v>0.54000000000000015</v>
      </c>
    </row>
    <row r="46" spans="2:16">
      <c r="B46" s="15" t="s">
        <v>4</v>
      </c>
      <c r="C46" s="4">
        <f>C10+C27</f>
        <v>240.86999999999998</v>
      </c>
      <c r="D46" s="18"/>
      <c r="E46" s="18"/>
      <c r="F46" s="18"/>
      <c r="G46" s="24">
        <f>SUM(C46:F46)</f>
        <v>240.86999999999998</v>
      </c>
      <c r="H46" s="13">
        <f>G46/$G$53</f>
        <v>0.36999999999999994</v>
      </c>
    </row>
    <row r="47" spans="2:16">
      <c r="B47" s="15" t="s">
        <v>5</v>
      </c>
      <c r="C47" s="4">
        <f>C11+C28</f>
        <v>58.589999999999996</v>
      </c>
      <c r="D47" s="18"/>
      <c r="E47" s="18"/>
      <c r="F47" s="18"/>
      <c r="G47" s="24">
        <f>SUM(C47:F47)</f>
        <v>58.589999999999996</v>
      </c>
      <c r="H47" s="13">
        <f>G47/$G$53</f>
        <v>0.09</v>
      </c>
    </row>
    <row r="48" spans="2:16">
      <c r="C48" s="16"/>
      <c r="D48" s="16"/>
      <c r="E48" s="16"/>
      <c r="F48" s="16"/>
      <c r="G48" s="17"/>
      <c r="H48" s="9"/>
    </row>
    <row r="49" spans="2:8">
      <c r="B49" s="12" t="s">
        <v>6</v>
      </c>
      <c r="C49" s="4">
        <f>C13+C30</f>
        <v>334</v>
      </c>
      <c r="D49" s="5"/>
      <c r="E49" s="5"/>
      <c r="F49" s="5"/>
      <c r="G49" s="6">
        <f>SUM(C49:F49)</f>
        <v>334</v>
      </c>
      <c r="H49" s="13">
        <f>G49/$G$53</f>
        <v>0.51305683563748083</v>
      </c>
    </row>
    <row r="50" spans="2:8">
      <c r="B50" s="12" t="s">
        <v>7</v>
      </c>
      <c r="C50" s="4">
        <f>C14+C31</f>
        <v>250</v>
      </c>
      <c r="D50" s="5"/>
      <c r="E50" s="5"/>
      <c r="F50" s="5"/>
      <c r="G50" s="6">
        <f>SUM(C50:F50)</f>
        <v>250</v>
      </c>
      <c r="H50" s="13">
        <f>G50/$G$53</f>
        <v>0.38402457757296465</v>
      </c>
    </row>
    <row r="51" spans="2:8">
      <c r="B51" s="12" t="s">
        <v>8</v>
      </c>
      <c r="C51" s="4">
        <f>C15+C32</f>
        <v>67</v>
      </c>
      <c r="D51" s="5"/>
      <c r="E51" s="5"/>
      <c r="F51" s="5"/>
      <c r="G51" s="6">
        <f>SUM(C51:F51)</f>
        <v>67</v>
      </c>
      <c r="H51" s="13">
        <f>G51/$G$53</f>
        <v>0.10291858678955453</v>
      </c>
    </row>
    <row r="52" spans="2:8">
      <c r="C52" s="14"/>
      <c r="D52" s="14"/>
      <c r="E52" s="14"/>
      <c r="F52" s="14"/>
      <c r="G52" s="14"/>
      <c r="H52" s="7"/>
    </row>
    <row r="53" spans="2:8">
      <c r="B53" s="10" t="s">
        <v>9</v>
      </c>
      <c r="C53" s="8">
        <f>SUM(C49:C51)</f>
        <v>651</v>
      </c>
      <c r="D53" s="8">
        <f>SUM(D49:D51)</f>
        <v>0</v>
      </c>
      <c r="E53" s="8">
        <f>SUM(E49:E51)</f>
        <v>0</v>
      </c>
      <c r="F53" s="8">
        <f>SUM(F49:F51)</f>
        <v>0</v>
      </c>
      <c r="G53" s="11">
        <f>SUM(C53:F53)</f>
        <v>651</v>
      </c>
      <c r="H53" s="8"/>
    </row>
    <row r="54" spans="2:8">
      <c r="B54" s="10" t="s">
        <v>1</v>
      </c>
      <c r="C54" s="9">
        <f>C53/$G$53</f>
        <v>1</v>
      </c>
      <c r="D54" s="9">
        <f t="shared" ref="D54:F54" si="2">D53/$G$34</f>
        <v>0</v>
      </c>
      <c r="E54" s="9">
        <f t="shared" si="2"/>
        <v>0</v>
      </c>
      <c r="F54" s="9">
        <f t="shared" si="2"/>
        <v>0</v>
      </c>
      <c r="G54" s="26"/>
      <c r="H54" s="8"/>
    </row>
    <row r="55" spans="2:8">
      <c r="B55" s="10"/>
      <c r="C55" s="9"/>
      <c r="D55" s="9"/>
      <c r="E55" s="9"/>
      <c r="F55" s="9"/>
      <c r="G55" s="26"/>
      <c r="H55" s="8"/>
    </row>
    <row r="56" spans="2:8">
      <c r="B56" s="10"/>
      <c r="C56" s="9"/>
      <c r="D56" s="9"/>
      <c r="E56" s="9"/>
      <c r="F56" s="9"/>
      <c r="G56" s="26"/>
      <c r="H56" s="8"/>
    </row>
    <row r="57" spans="2:8">
      <c r="B57" s="34" t="s">
        <v>31</v>
      </c>
      <c r="C57" s="35"/>
      <c r="D57" s="35"/>
      <c r="E57" s="35"/>
      <c r="F57" s="35"/>
      <c r="G57" s="35"/>
      <c r="H57" s="36"/>
    </row>
    <row r="58" spans="2:8">
      <c r="B58" s="37"/>
      <c r="C58" s="38"/>
      <c r="D58" s="38"/>
      <c r="E58" s="38"/>
      <c r="F58" s="38"/>
      <c r="G58" s="38"/>
      <c r="H58" s="39"/>
    </row>
    <row r="60" spans="2:8">
      <c r="B60" s="34" t="s">
        <v>30</v>
      </c>
      <c r="C60" s="35"/>
      <c r="D60" s="35"/>
      <c r="E60" s="35"/>
      <c r="F60" s="35"/>
      <c r="G60" s="35"/>
      <c r="H60" s="36"/>
    </row>
    <row r="61" spans="2:8">
      <c r="B61" s="37"/>
      <c r="C61" s="38"/>
      <c r="D61" s="38"/>
      <c r="E61" s="38"/>
      <c r="F61" s="38"/>
      <c r="G61" s="38"/>
      <c r="H61" s="39"/>
    </row>
  </sheetData>
  <mergeCells count="14">
    <mergeCell ref="B60:H61"/>
    <mergeCell ref="B1:H1"/>
    <mergeCell ref="B3:H3"/>
    <mergeCell ref="C4:F4"/>
    <mergeCell ref="B20:H20"/>
    <mergeCell ref="C21:F21"/>
    <mergeCell ref="B57:H58"/>
    <mergeCell ref="B39:H39"/>
    <mergeCell ref="C40:F40"/>
    <mergeCell ref="J1:P1"/>
    <mergeCell ref="J3:P3"/>
    <mergeCell ref="K4:N4"/>
    <mergeCell ref="J20:P20"/>
    <mergeCell ref="K21:N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5"/>
  <sheetViews>
    <sheetView topLeftCell="G1" zoomScale="92" workbookViewId="0">
      <selection activeCell="B1" sqref="B1:P18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125" style="1" bestFit="1" customWidth="1"/>
    <col min="11" max="14" width="11.625" style="1" bestFit="1" customWidth="1"/>
    <col min="15" max="16384" width="10.875" style="1"/>
  </cols>
  <sheetData>
    <row r="1" spans="2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7" t="s">
        <v>38</v>
      </c>
      <c r="C3" s="27"/>
      <c r="D3" s="27"/>
      <c r="E3" s="27"/>
      <c r="F3" s="27"/>
      <c r="G3" s="27"/>
      <c r="H3" s="27"/>
      <c r="J3" s="27" t="s">
        <v>38</v>
      </c>
      <c r="K3" s="27"/>
      <c r="L3" s="27"/>
      <c r="M3" s="27"/>
      <c r="N3" s="27"/>
      <c r="O3" s="27"/>
      <c r="P3" s="27"/>
    </row>
    <row r="4" spans="2:16">
      <c r="C4" s="28" t="s">
        <v>26</v>
      </c>
      <c r="D4" s="29"/>
      <c r="E4" s="29"/>
      <c r="F4" s="30"/>
      <c r="G4" s="3" t="s">
        <v>0</v>
      </c>
      <c r="H4" s="3" t="s">
        <v>1</v>
      </c>
      <c r="K4" s="28" t="s">
        <v>26</v>
      </c>
      <c r="L4" s="29"/>
      <c r="M4" s="29"/>
      <c r="N4" s="30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52</v>
      </c>
      <c r="D6" s="4">
        <v>72</v>
      </c>
      <c r="E6" s="4">
        <v>76</v>
      </c>
      <c r="F6" s="4">
        <v>84</v>
      </c>
      <c r="G6" s="21">
        <f>SUM(C6:F6)</f>
        <v>284</v>
      </c>
      <c r="H6" s="13">
        <f>G6/$G$17</f>
        <v>0.56349206349206349</v>
      </c>
      <c r="J6" s="20" t="s">
        <v>2</v>
      </c>
      <c r="K6" s="4">
        <v>14</v>
      </c>
      <c r="L6" s="4">
        <v>33</v>
      </c>
      <c r="M6" s="4">
        <v>20</v>
      </c>
      <c r="N6" s="4">
        <v>26</v>
      </c>
      <c r="O6" s="21">
        <f>SUM(K6:N6)</f>
        <v>93</v>
      </c>
      <c r="P6" s="13">
        <f>O6/$O$17</f>
        <v>0.78813559322033899</v>
      </c>
    </row>
    <row r="7" spans="2:16">
      <c r="B7" s="20" t="s">
        <v>15</v>
      </c>
      <c r="C7" s="4">
        <v>40</v>
      </c>
      <c r="D7" s="4">
        <v>58</v>
      </c>
      <c r="E7" s="4">
        <v>61</v>
      </c>
      <c r="F7" s="4">
        <v>61</v>
      </c>
      <c r="G7" s="21">
        <f>SUM(C7:F7)</f>
        <v>220</v>
      </c>
      <c r="H7" s="13">
        <f>G7/$G$17</f>
        <v>0.43650793650793651</v>
      </c>
      <c r="J7" s="20" t="s">
        <v>15</v>
      </c>
      <c r="K7" s="4">
        <v>5</v>
      </c>
      <c r="L7" s="4">
        <v>5</v>
      </c>
      <c r="M7" s="4">
        <v>6</v>
      </c>
      <c r="N7" s="4">
        <v>9</v>
      </c>
      <c r="O7" s="21">
        <f>SUM(K7:N7)</f>
        <v>25</v>
      </c>
      <c r="P7" s="13">
        <f>O7/$O$17</f>
        <v>0.21186440677966101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23">
        <v>0</v>
      </c>
      <c r="D9" s="18">
        <v>0</v>
      </c>
      <c r="E9" s="18">
        <v>0</v>
      </c>
      <c r="F9" s="18">
        <v>0</v>
      </c>
      <c r="G9" s="24">
        <f>SUM(C9:F9)</f>
        <v>0</v>
      </c>
      <c r="H9" s="13">
        <f>G9/$G$17</f>
        <v>0</v>
      </c>
      <c r="J9" s="15" t="s">
        <v>3</v>
      </c>
      <c r="K9" s="23">
        <v>18</v>
      </c>
      <c r="L9" s="18">
        <v>37</v>
      </c>
      <c r="M9" s="18">
        <v>23</v>
      </c>
      <c r="N9" s="18">
        <v>31</v>
      </c>
      <c r="O9" s="24">
        <f>SUM(K9:N9)</f>
        <v>109</v>
      </c>
      <c r="P9" s="13">
        <f>O9/$O$17</f>
        <v>0.92372881355932202</v>
      </c>
    </row>
    <row r="10" spans="2:16">
      <c r="B10" s="15" t="s">
        <v>4</v>
      </c>
      <c r="C10" s="23">
        <v>31</v>
      </c>
      <c r="D10" s="18">
        <v>22</v>
      </c>
      <c r="E10" s="18">
        <v>38</v>
      </c>
      <c r="F10" s="18">
        <v>26</v>
      </c>
      <c r="G10" s="24">
        <f>SUM(C10:F10)</f>
        <v>117</v>
      </c>
      <c r="H10" s="13">
        <f>G10/$G$17</f>
        <v>0.23214285714285715</v>
      </c>
      <c r="J10" s="15" t="s">
        <v>4</v>
      </c>
      <c r="K10" s="23">
        <v>0</v>
      </c>
      <c r="L10" s="18">
        <v>1</v>
      </c>
      <c r="M10" s="18">
        <v>2</v>
      </c>
      <c r="N10" s="18">
        <v>1</v>
      </c>
      <c r="O10" s="24">
        <f>SUM(K10:N10)</f>
        <v>4</v>
      </c>
      <c r="P10" s="13">
        <f>O10/$O$17</f>
        <v>3.3898305084745763E-2</v>
      </c>
    </row>
    <row r="11" spans="2:16">
      <c r="B11" s="15" t="s">
        <v>5</v>
      </c>
      <c r="C11" s="23">
        <v>1</v>
      </c>
      <c r="D11" s="18">
        <v>1</v>
      </c>
      <c r="E11" s="18">
        <v>0</v>
      </c>
      <c r="F11" s="18">
        <v>0</v>
      </c>
      <c r="G11" s="24">
        <f>SUM(C11:F11)</f>
        <v>2</v>
      </c>
      <c r="H11" s="13">
        <f>G11/$G$17</f>
        <v>3.968253968253968E-3</v>
      </c>
      <c r="J11" s="15" t="s">
        <v>5</v>
      </c>
      <c r="K11" s="23">
        <v>1</v>
      </c>
      <c r="L11" s="18">
        <v>0</v>
      </c>
      <c r="M11" s="18">
        <v>1</v>
      </c>
      <c r="N11" s="18">
        <v>3</v>
      </c>
      <c r="O11" s="24">
        <f>SUM(K11:N11)</f>
        <v>5</v>
      </c>
      <c r="P11" s="13">
        <f>O11/$O$17</f>
        <v>4.2372881355932202E-2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56</v>
      </c>
      <c r="D13" s="5">
        <v>66</v>
      </c>
      <c r="E13" s="5">
        <v>77</v>
      </c>
      <c r="F13" s="5">
        <v>76</v>
      </c>
      <c r="G13" s="6">
        <f>SUM(C13:F13)</f>
        <v>275</v>
      </c>
      <c r="H13" s="13">
        <f>G13/$G$17</f>
        <v>0.54563492063492058</v>
      </c>
      <c r="J13" s="12" t="s">
        <v>6</v>
      </c>
      <c r="K13" s="5">
        <v>12</v>
      </c>
      <c r="L13" s="5">
        <v>23</v>
      </c>
      <c r="M13" s="5">
        <v>15</v>
      </c>
      <c r="N13" s="5">
        <v>20</v>
      </c>
      <c r="O13" s="6">
        <f>SUM(K13:N13)</f>
        <v>70</v>
      </c>
      <c r="P13" s="13">
        <f>O13/$O$17</f>
        <v>0.59322033898305082</v>
      </c>
    </row>
    <row r="14" spans="2:16">
      <c r="B14" s="12" t="s">
        <v>7</v>
      </c>
      <c r="C14" s="5">
        <v>32</v>
      </c>
      <c r="D14" s="5">
        <v>52</v>
      </c>
      <c r="E14" s="5">
        <v>52</v>
      </c>
      <c r="F14" s="5">
        <v>59</v>
      </c>
      <c r="G14" s="6">
        <f>SUM(C14:F14)</f>
        <v>195</v>
      </c>
      <c r="H14" s="13">
        <f>G14/$G$17</f>
        <v>0.38690476190476192</v>
      </c>
      <c r="J14" s="12" t="s">
        <v>7</v>
      </c>
      <c r="K14" s="5">
        <v>7</v>
      </c>
      <c r="L14" s="5">
        <v>14</v>
      </c>
      <c r="M14" s="5">
        <v>9</v>
      </c>
      <c r="N14" s="5">
        <v>15</v>
      </c>
      <c r="O14" s="6">
        <f>SUM(K14:N14)</f>
        <v>45</v>
      </c>
      <c r="P14" s="13">
        <f>O14/$O$17</f>
        <v>0.38135593220338981</v>
      </c>
    </row>
    <row r="15" spans="2:16">
      <c r="B15" s="12" t="s">
        <v>8</v>
      </c>
      <c r="C15" s="5">
        <v>4</v>
      </c>
      <c r="D15" s="5">
        <v>12</v>
      </c>
      <c r="E15" s="5">
        <v>8</v>
      </c>
      <c r="F15" s="5">
        <v>10</v>
      </c>
      <c r="G15" s="6">
        <f>SUM(C15:F15)</f>
        <v>34</v>
      </c>
      <c r="H15" s="13">
        <f>G15/$G$17</f>
        <v>6.7460317460317457E-2</v>
      </c>
      <c r="J15" s="12" t="s">
        <v>8</v>
      </c>
      <c r="K15" s="5">
        <v>0</v>
      </c>
      <c r="L15" s="5">
        <v>1</v>
      </c>
      <c r="M15" s="5">
        <v>2</v>
      </c>
      <c r="N15" s="5">
        <v>0</v>
      </c>
      <c r="O15" s="6">
        <f>SUM(K15:N15)</f>
        <v>3</v>
      </c>
      <c r="P15" s="13">
        <f>O15/$O$17</f>
        <v>2.5423728813559324E-2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92</v>
      </c>
      <c r="D17" s="8">
        <f>SUM(D13:D15)</f>
        <v>130</v>
      </c>
      <c r="E17" s="8">
        <f>SUM(E13:E15)</f>
        <v>137</v>
      </c>
      <c r="F17" s="8">
        <f>SUM(F13:F15)</f>
        <v>145</v>
      </c>
      <c r="G17" s="11">
        <f>SUM(C17:F17)</f>
        <v>504</v>
      </c>
      <c r="H17" s="8"/>
      <c r="J17" s="10" t="s">
        <v>9</v>
      </c>
      <c r="K17" s="8">
        <f>SUM(K13:K15)</f>
        <v>19</v>
      </c>
      <c r="L17" s="8">
        <f>SUM(L13:L15)</f>
        <v>38</v>
      </c>
      <c r="M17" s="8">
        <f>SUM(M13:M15)</f>
        <v>26</v>
      </c>
      <c r="N17" s="8">
        <f>SUM(N13:N15)</f>
        <v>35</v>
      </c>
      <c r="O17" s="11">
        <f>SUM(K17:N17)</f>
        <v>118</v>
      </c>
      <c r="P17" s="8"/>
    </row>
    <row r="18" spans="2:16">
      <c r="B18" s="10" t="s">
        <v>1</v>
      </c>
      <c r="C18" s="9">
        <f>C17/$G$17</f>
        <v>0.18253968253968253</v>
      </c>
      <c r="D18" s="9">
        <f t="shared" ref="D18:F18" si="0">D17/$G$17</f>
        <v>0.25793650793650796</v>
      </c>
      <c r="E18" s="9">
        <f t="shared" si="0"/>
        <v>0.2718253968253968</v>
      </c>
      <c r="F18" s="9">
        <f t="shared" si="0"/>
        <v>0.28769841269841268</v>
      </c>
      <c r="G18" s="9"/>
      <c r="H18" s="8"/>
      <c r="J18" s="10" t="s">
        <v>1</v>
      </c>
      <c r="K18" s="9">
        <f>K17/$O$17</f>
        <v>0.16101694915254236</v>
      </c>
      <c r="L18" s="9">
        <f>L17/$O$17</f>
        <v>0.32203389830508472</v>
      </c>
      <c r="M18" s="9">
        <f>M17/$O$17</f>
        <v>0.22033898305084745</v>
      </c>
      <c r="N18" s="9">
        <f>N17/$O$17</f>
        <v>0.29661016949152541</v>
      </c>
      <c r="O18" s="9"/>
      <c r="P18" s="8"/>
    </row>
    <row r="20" spans="2:16">
      <c r="B20" s="27" t="s">
        <v>38</v>
      </c>
      <c r="C20" s="27"/>
      <c r="D20" s="27"/>
      <c r="E20" s="27"/>
      <c r="F20" s="27"/>
      <c r="G20" s="27"/>
      <c r="H20" s="27"/>
      <c r="J20" s="27" t="s">
        <v>38</v>
      </c>
      <c r="K20" s="27"/>
      <c r="L20" s="27"/>
      <c r="M20" s="27"/>
      <c r="N20" s="27"/>
      <c r="O20" s="27"/>
      <c r="P20" s="27"/>
    </row>
    <row r="21" spans="2:16">
      <c r="C21" s="28" t="s">
        <v>28</v>
      </c>
      <c r="D21" s="29"/>
      <c r="E21" s="29"/>
      <c r="F21" s="30"/>
      <c r="G21" s="3" t="s">
        <v>0</v>
      </c>
      <c r="H21" s="3" t="s">
        <v>1</v>
      </c>
      <c r="K21" s="28" t="s">
        <v>28</v>
      </c>
      <c r="L21" s="29"/>
      <c r="M21" s="29"/>
      <c r="N21" s="30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7</v>
      </c>
      <c r="D23" s="4">
        <v>29</v>
      </c>
      <c r="E23" s="4">
        <v>13</v>
      </c>
      <c r="F23" s="4">
        <v>11</v>
      </c>
      <c r="G23" s="21">
        <f>SUM(C23:F23)</f>
        <v>60</v>
      </c>
      <c r="H23" s="13">
        <f>G23/$G$34</f>
        <v>0.54054054054054057</v>
      </c>
      <c r="J23" s="20" t="s">
        <v>2</v>
      </c>
      <c r="K23" s="4">
        <v>21</v>
      </c>
      <c r="L23" s="4">
        <v>28</v>
      </c>
      <c r="M23" s="4">
        <v>21</v>
      </c>
      <c r="N23" s="4">
        <v>56</v>
      </c>
      <c r="O23" s="21">
        <f>SUM(K23:N23)</f>
        <v>126</v>
      </c>
      <c r="P23" s="13">
        <f>O23/$O$34</f>
        <v>0.62686567164179108</v>
      </c>
    </row>
    <row r="24" spans="2:16">
      <c r="B24" s="20" t="s">
        <v>15</v>
      </c>
      <c r="C24" s="4">
        <v>8</v>
      </c>
      <c r="D24" s="4">
        <v>20</v>
      </c>
      <c r="E24" s="4">
        <v>9</v>
      </c>
      <c r="F24" s="4">
        <v>14</v>
      </c>
      <c r="G24" s="21">
        <f>SUM(C24:F24)</f>
        <v>51</v>
      </c>
      <c r="H24" s="13">
        <f>G24/$G$34</f>
        <v>0.45945945945945948</v>
      </c>
      <c r="J24" s="20" t="s">
        <v>15</v>
      </c>
      <c r="K24" s="4">
        <v>18</v>
      </c>
      <c r="L24" s="4">
        <v>17</v>
      </c>
      <c r="M24" s="4">
        <v>19</v>
      </c>
      <c r="N24" s="4">
        <v>21</v>
      </c>
      <c r="O24" s="21">
        <f>SUM(K24:N24)</f>
        <v>75</v>
      </c>
      <c r="P24" s="13">
        <f>O24/$O$34</f>
        <v>0.37313432835820898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23">
        <v>13</v>
      </c>
      <c r="D26" s="18">
        <v>32</v>
      </c>
      <c r="E26" s="18">
        <v>18</v>
      </c>
      <c r="F26" s="18">
        <v>19</v>
      </c>
      <c r="G26" s="24">
        <f>SUM(C26:F26)</f>
        <v>82</v>
      </c>
      <c r="H26" s="13">
        <f>G26/$G$34</f>
        <v>0.73873873873873874</v>
      </c>
      <c r="J26" s="15" t="s">
        <v>3</v>
      </c>
      <c r="K26" s="23">
        <v>30</v>
      </c>
      <c r="L26" s="18">
        <v>42</v>
      </c>
      <c r="M26" s="18">
        <v>35</v>
      </c>
      <c r="N26" s="18">
        <v>69</v>
      </c>
      <c r="O26" s="24">
        <f>SUM(K26:N26)</f>
        <v>176</v>
      </c>
      <c r="P26" s="13">
        <f>O26/$O$34</f>
        <v>0.87562189054726369</v>
      </c>
    </row>
    <row r="27" spans="2:16">
      <c r="B27" s="15" t="s">
        <v>4</v>
      </c>
      <c r="C27" s="23">
        <v>3</v>
      </c>
      <c r="D27" s="18">
        <v>12</v>
      </c>
      <c r="E27" s="18">
        <v>3</v>
      </c>
      <c r="F27" s="18">
        <v>5</v>
      </c>
      <c r="G27" s="24">
        <f>SUM(C27:F27)</f>
        <v>23</v>
      </c>
      <c r="H27" s="13">
        <f>G27/$G$34</f>
        <v>0.2072072072072072</v>
      </c>
      <c r="J27" s="15" t="s">
        <v>4</v>
      </c>
      <c r="K27" s="23">
        <v>9</v>
      </c>
      <c r="L27" s="18">
        <v>3</v>
      </c>
      <c r="M27" s="18">
        <v>5</v>
      </c>
      <c r="N27" s="18">
        <v>6</v>
      </c>
      <c r="O27" s="24">
        <f>SUM(K27:N27)</f>
        <v>23</v>
      </c>
      <c r="P27" s="13">
        <f>O27/$O$34</f>
        <v>0.11442786069651742</v>
      </c>
    </row>
    <row r="28" spans="2:16">
      <c r="B28" s="15" t="s">
        <v>5</v>
      </c>
      <c r="C28" s="23">
        <v>0</v>
      </c>
      <c r="D28" s="18">
        <v>0</v>
      </c>
      <c r="E28" s="18">
        <v>0</v>
      </c>
      <c r="F28" s="18">
        <v>0</v>
      </c>
      <c r="G28" s="24">
        <f>SUM(C28:F28)</f>
        <v>0</v>
      </c>
      <c r="H28" s="13">
        <f>G28/$G$34</f>
        <v>0</v>
      </c>
      <c r="J28" s="15" t="s">
        <v>5</v>
      </c>
      <c r="K28" s="23">
        <v>0</v>
      </c>
      <c r="L28" s="18">
        <v>0</v>
      </c>
      <c r="M28" s="18">
        <v>0</v>
      </c>
      <c r="N28" s="18">
        <v>2</v>
      </c>
      <c r="O28" s="24">
        <f>SUM(K28:N28)</f>
        <v>2</v>
      </c>
      <c r="P28" s="13">
        <f>O28/$O$34</f>
        <v>9.9502487562189053E-3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7</v>
      </c>
      <c r="D30" s="5">
        <v>22</v>
      </c>
      <c r="E30" s="5">
        <v>11</v>
      </c>
      <c r="F30" s="5">
        <v>16</v>
      </c>
      <c r="G30" s="6">
        <f>SUM(C30:F30)</f>
        <v>56</v>
      </c>
      <c r="H30" s="13">
        <f>G30/$G$34</f>
        <v>0.50450450450450446</v>
      </c>
      <c r="J30" s="12" t="s">
        <v>6</v>
      </c>
      <c r="K30" s="5">
        <v>22</v>
      </c>
      <c r="L30" s="5">
        <v>22</v>
      </c>
      <c r="M30" s="5">
        <v>27</v>
      </c>
      <c r="N30" s="5">
        <v>50</v>
      </c>
      <c r="O30" s="6">
        <f>SUM(K30:N30)</f>
        <v>121</v>
      </c>
      <c r="P30" s="13">
        <f>O30/$O$34</f>
        <v>0.60199004975124382</v>
      </c>
    </row>
    <row r="31" spans="2:16">
      <c r="B31" s="12" t="s">
        <v>7</v>
      </c>
      <c r="C31" s="5">
        <v>8</v>
      </c>
      <c r="D31" s="5">
        <v>20</v>
      </c>
      <c r="E31" s="5">
        <v>10</v>
      </c>
      <c r="F31" s="5">
        <v>8</v>
      </c>
      <c r="G31" s="6">
        <f>SUM(C31:F31)</f>
        <v>46</v>
      </c>
      <c r="H31" s="13">
        <f>G31/$G$34</f>
        <v>0.4144144144144144</v>
      </c>
      <c r="J31" s="12" t="s">
        <v>7</v>
      </c>
      <c r="K31" s="5">
        <v>17</v>
      </c>
      <c r="L31" s="5">
        <v>21</v>
      </c>
      <c r="M31" s="5">
        <v>13</v>
      </c>
      <c r="N31" s="5">
        <v>26</v>
      </c>
      <c r="O31" s="6">
        <f>SUM(K31:N31)</f>
        <v>77</v>
      </c>
      <c r="P31" s="13">
        <f>O31/$O$34</f>
        <v>0.38308457711442784</v>
      </c>
    </row>
    <row r="32" spans="2:16">
      <c r="B32" s="12" t="s">
        <v>8</v>
      </c>
      <c r="C32" s="5">
        <v>0</v>
      </c>
      <c r="D32" s="5">
        <v>7</v>
      </c>
      <c r="E32" s="5">
        <v>1</v>
      </c>
      <c r="F32" s="5">
        <v>1</v>
      </c>
      <c r="G32" s="6">
        <f>SUM(C32:F32)</f>
        <v>9</v>
      </c>
      <c r="H32" s="13">
        <f>G32/$G$34</f>
        <v>8.1081081081081086E-2</v>
      </c>
      <c r="J32" s="12" t="s">
        <v>8</v>
      </c>
      <c r="K32" s="5">
        <v>0</v>
      </c>
      <c r="L32" s="5">
        <v>2</v>
      </c>
      <c r="M32" s="5">
        <v>0</v>
      </c>
      <c r="N32" s="5">
        <v>1</v>
      </c>
      <c r="O32" s="6">
        <f>SUM(K32:N32)</f>
        <v>3</v>
      </c>
      <c r="P32" s="13">
        <f>O32/$O$34</f>
        <v>1.4925373134328358E-2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15</v>
      </c>
      <c r="D34" s="8">
        <f>SUM(D30:D32)</f>
        <v>49</v>
      </c>
      <c r="E34" s="8">
        <f>SUM(E30:E32)</f>
        <v>22</v>
      </c>
      <c r="F34" s="8">
        <f>SUM(F30:F32)</f>
        <v>25</v>
      </c>
      <c r="G34" s="11">
        <f>SUM(C34:F34)</f>
        <v>111</v>
      </c>
      <c r="H34" s="8"/>
      <c r="J34" s="10" t="s">
        <v>9</v>
      </c>
      <c r="K34" s="8">
        <f>SUM(K30:K32)</f>
        <v>39</v>
      </c>
      <c r="L34" s="8">
        <f>SUM(L30:L32)</f>
        <v>45</v>
      </c>
      <c r="M34" s="8">
        <f>SUM(M30:M32)</f>
        <v>40</v>
      </c>
      <c r="N34" s="8">
        <f>SUM(N30:N32)</f>
        <v>77</v>
      </c>
      <c r="O34" s="11">
        <f>SUM(K34:N34)</f>
        <v>201</v>
      </c>
      <c r="P34" s="8"/>
    </row>
    <row r="35" spans="2:16">
      <c r="B35" s="10" t="s">
        <v>1</v>
      </c>
      <c r="C35" s="9">
        <f>C34/$G$34</f>
        <v>0.13513513513513514</v>
      </c>
      <c r="D35" s="9">
        <f t="shared" ref="D35:F35" si="1">D34/$G$34</f>
        <v>0.44144144144144143</v>
      </c>
      <c r="E35" s="9">
        <f t="shared" si="1"/>
        <v>0.1981981981981982</v>
      </c>
      <c r="F35" s="9">
        <f t="shared" si="1"/>
        <v>0.22522522522522523</v>
      </c>
      <c r="G35" s="9"/>
      <c r="H35" s="8"/>
      <c r="J35" s="10" t="s">
        <v>1</v>
      </c>
      <c r="K35" s="9">
        <f>K34/$O$34</f>
        <v>0.19402985074626866</v>
      </c>
      <c r="L35" s="9">
        <f>L34/$O$34</f>
        <v>0.22388059701492538</v>
      </c>
      <c r="M35" s="9">
        <f>M34/$O$34</f>
        <v>0.19900497512437812</v>
      </c>
      <c r="N35" s="9">
        <f>N34/$O$34</f>
        <v>0.38308457711442784</v>
      </c>
      <c r="O35" s="9"/>
      <c r="P35" s="8"/>
    </row>
  </sheetData>
  <mergeCells count="10">
    <mergeCell ref="B1:H1"/>
    <mergeCell ref="B3:H3"/>
    <mergeCell ref="C4:F4"/>
    <mergeCell ref="B20:H20"/>
    <mergeCell ref="C21:F21"/>
    <mergeCell ref="J1:P1"/>
    <mergeCell ref="J3:P3"/>
    <mergeCell ref="K4:N4"/>
    <mergeCell ref="J20:P20"/>
    <mergeCell ref="K21:N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5"/>
  <sheetViews>
    <sheetView topLeftCell="C1" zoomScale="91" workbookViewId="0">
      <selection activeCell="B1" sqref="B1:P18"/>
    </sheetView>
  </sheetViews>
  <sheetFormatPr baseColWidth="10" defaultColWidth="10.875" defaultRowHeight="15.75"/>
  <cols>
    <col min="1" max="1" width="10.875" style="1"/>
    <col min="2" max="2" width="12.125" style="1" bestFit="1" customWidth="1"/>
    <col min="3" max="9" width="10.875" style="1"/>
    <col min="10" max="10" width="12.375" style="1" bestFit="1" customWidth="1"/>
    <col min="11" max="14" width="11.625" style="1" bestFit="1" customWidth="1"/>
    <col min="15" max="16384" width="10.875" style="1"/>
  </cols>
  <sheetData>
    <row r="1" spans="2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2" spans="2:16">
      <c r="B2" s="22"/>
      <c r="C2" s="22"/>
      <c r="D2" s="22"/>
      <c r="E2" s="22"/>
      <c r="F2" s="22"/>
      <c r="G2" s="22"/>
      <c r="H2" s="22"/>
      <c r="J2" s="22"/>
      <c r="K2" s="22"/>
      <c r="L2" s="22"/>
      <c r="M2" s="22"/>
      <c r="N2" s="22"/>
      <c r="O2" s="22"/>
      <c r="P2" s="22"/>
    </row>
    <row r="3" spans="2:16">
      <c r="B3" s="27" t="s">
        <v>32</v>
      </c>
      <c r="C3" s="27"/>
      <c r="D3" s="27"/>
      <c r="E3" s="27"/>
      <c r="F3" s="27"/>
      <c r="G3" s="27"/>
      <c r="H3" s="27"/>
      <c r="J3" s="27" t="s">
        <v>32</v>
      </c>
      <c r="K3" s="27"/>
      <c r="L3" s="27"/>
      <c r="M3" s="27"/>
      <c r="N3" s="27"/>
      <c r="O3" s="27"/>
      <c r="P3" s="27"/>
    </row>
    <row r="4" spans="2:16">
      <c r="C4" s="28" t="s">
        <v>26</v>
      </c>
      <c r="D4" s="29"/>
      <c r="E4" s="29"/>
      <c r="F4" s="30"/>
      <c r="G4" s="3" t="s">
        <v>0</v>
      </c>
      <c r="H4" s="3" t="s">
        <v>1</v>
      </c>
      <c r="K4" s="28" t="s">
        <v>26</v>
      </c>
      <c r="L4" s="29"/>
      <c r="M4" s="29"/>
      <c r="N4" s="30"/>
      <c r="O4" s="3" t="s">
        <v>0</v>
      </c>
      <c r="P4" s="3" t="s">
        <v>1</v>
      </c>
    </row>
    <row r="5" spans="2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2:16">
      <c r="B6" s="20" t="s">
        <v>2</v>
      </c>
      <c r="C6" s="4">
        <v>52</v>
      </c>
      <c r="D6" s="4">
        <v>43</v>
      </c>
      <c r="E6" s="4">
        <v>56</v>
      </c>
      <c r="F6" s="4">
        <v>64</v>
      </c>
      <c r="G6" s="21">
        <f>SUM(C6:F6)</f>
        <v>215</v>
      </c>
      <c r="H6" s="13">
        <f>G6/$G$17</f>
        <v>0.72390572390572394</v>
      </c>
      <c r="J6" s="20" t="s">
        <v>2</v>
      </c>
      <c r="K6" s="4">
        <v>18</v>
      </c>
      <c r="L6" s="4">
        <v>24</v>
      </c>
      <c r="M6" s="4">
        <v>30</v>
      </c>
      <c r="N6" s="4">
        <v>33</v>
      </c>
      <c r="O6" s="21">
        <f>SUM(K6:N6)</f>
        <v>105</v>
      </c>
      <c r="P6" s="13">
        <f>O6/$O$17</f>
        <v>0.65217391304347827</v>
      </c>
    </row>
    <row r="7" spans="2:16">
      <c r="B7" s="20" t="s">
        <v>15</v>
      </c>
      <c r="C7" s="4">
        <v>22</v>
      </c>
      <c r="D7" s="4">
        <v>19</v>
      </c>
      <c r="E7" s="4">
        <v>26</v>
      </c>
      <c r="F7" s="4">
        <v>15</v>
      </c>
      <c r="G7" s="21">
        <f>SUM(C7:F7)</f>
        <v>82</v>
      </c>
      <c r="H7" s="13">
        <f>G7/$G$17</f>
        <v>0.27609427609427611</v>
      </c>
      <c r="J7" s="20" t="s">
        <v>15</v>
      </c>
      <c r="K7" s="4">
        <v>9</v>
      </c>
      <c r="L7" s="4">
        <v>17</v>
      </c>
      <c r="M7" s="4">
        <v>13</v>
      </c>
      <c r="N7" s="4">
        <v>17</v>
      </c>
      <c r="O7" s="21">
        <f>SUM(K7:N7)</f>
        <v>56</v>
      </c>
      <c r="P7" s="13">
        <f>O7/$O$17</f>
        <v>0.34782608695652173</v>
      </c>
    </row>
    <row r="8" spans="2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2:16">
      <c r="B9" s="15" t="s">
        <v>3</v>
      </c>
      <c r="C9" s="18">
        <v>60</v>
      </c>
      <c r="D9" s="18">
        <v>49</v>
      </c>
      <c r="E9" s="18">
        <v>66</v>
      </c>
      <c r="F9" s="18">
        <v>65</v>
      </c>
      <c r="G9" s="19">
        <f>SUM(C9:F9)</f>
        <v>240</v>
      </c>
      <c r="H9" s="13">
        <f>G9/$G$17</f>
        <v>0.80808080808080807</v>
      </c>
      <c r="J9" s="15" t="s">
        <v>3</v>
      </c>
      <c r="K9" s="23">
        <v>15</v>
      </c>
      <c r="L9" s="18">
        <v>34</v>
      </c>
      <c r="M9" s="18">
        <v>35</v>
      </c>
      <c r="N9" s="18">
        <v>41</v>
      </c>
      <c r="O9" s="24">
        <f>SUM(K9:N9)</f>
        <v>125</v>
      </c>
      <c r="P9" s="13">
        <f>O9/$O$17</f>
        <v>0.77639751552795033</v>
      </c>
    </row>
    <row r="10" spans="2:16">
      <c r="B10" s="15" t="s">
        <v>4</v>
      </c>
      <c r="C10" s="18">
        <v>11</v>
      </c>
      <c r="D10" s="18">
        <v>11</v>
      </c>
      <c r="E10" s="18">
        <v>13</v>
      </c>
      <c r="F10" s="18">
        <v>13</v>
      </c>
      <c r="G10" s="19">
        <f>SUM(C10:F10)</f>
        <v>48</v>
      </c>
      <c r="H10" s="13">
        <f>G10/$G$17</f>
        <v>0.16161616161616163</v>
      </c>
      <c r="J10" s="15" t="s">
        <v>4</v>
      </c>
      <c r="K10" s="23">
        <v>7</v>
      </c>
      <c r="L10" s="18">
        <v>0</v>
      </c>
      <c r="M10" s="18">
        <v>2</v>
      </c>
      <c r="N10" s="18">
        <v>1</v>
      </c>
      <c r="O10" s="24">
        <f>SUM(K10:N10)</f>
        <v>10</v>
      </c>
      <c r="P10" s="13">
        <f>O10/$O$17</f>
        <v>6.2111801242236024E-2</v>
      </c>
    </row>
    <row r="11" spans="2:16">
      <c r="B11" s="15" t="s">
        <v>5</v>
      </c>
      <c r="C11" s="18">
        <v>3</v>
      </c>
      <c r="D11" s="18">
        <v>2</v>
      </c>
      <c r="E11" s="18">
        <v>3</v>
      </c>
      <c r="F11" s="18">
        <v>1</v>
      </c>
      <c r="G11" s="19">
        <f>SUM(C11:F11)</f>
        <v>9</v>
      </c>
      <c r="H11" s="13">
        <f>G11/$G$17</f>
        <v>3.0303030303030304E-2</v>
      </c>
      <c r="J11" s="15" t="s">
        <v>5</v>
      </c>
      <c r="K11" s="23">
        <v>5</v>
      </c>
      <c r="L11" s="18">
        <v>7</v>
      </c>
      <c r="M11" s="18">
        <v>6</v>
      </c>
      <c r="N11" s="18">
        <v>8</v>
      </c>
      <c r="O11" s="24">
        <f>SUM(K11:N11)</f>
        <v>26</v>
      </c>
      <c r="P11" s="13">
        <f>O11/$O$17</f>
        <v>0.16149068322981366</v>
      </c>
    </row>
    <row r="12" spans="2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2:16">
      <c r="B13" s="12" t="s">
        <v>6</v>
      </c>
      <c r="C13" s="5">
        <v>40</v>
      </c>
      <c r="D13" s="5">
        <v>38</v>
      </c>
      <c r="E13" s="5">
        <v>45</v>
      </c>
      <c r="F13" s="5">
        <v>45</v>
      </c>
      <c r="G13" s="6">
        <f>SUM(C13:F13)</f>
        <v>168</v>
      </c>
      <c r="H13" s="13">
        <f>G13/$G$17</f>
        <v>0.56565656565656564</v>
      </c>
      <c r="J13" s="12" t="s">
        <v>6</v>
      </c>
      <c r="K13" s="5">
        <v>17</v>
      </c>
      <c r="L13" s="5">
        <v>22</v>
      </c>
      <c r="M13" s="5">
        <v>23</v>
      </c>
      <c r="N13" s="5">
        <v>24</v>
      </c>
      <c r="O13" s="6">
        <f>SUM(K13:N13)</f>
        <v>86</v>
      </c>
      <c r="P13" s="13">
        <f>O13/$O$17</f>
        <v>0.53416149068322982</v>
      </c>
    </row>
    <row r="14" spans="2:16">
      <c r="B14" s="12" t="s">
        <v>7</v>
      </c>
      <c r="C14" s="5">
        <v>31</v>
      </c>
      <c r="D14" s="5">
        <v>18</v>
      </c>
      <c r="E14" s="5">
        <v>34</v>
      </c>
      <c r="F14" s="5">
        <v>33</v>
      </c>
      <c r="G14" s="6">
        <f>SUM(C14:F14)</f>
        <v>116</v>
      </c>
      <c r="H14" s="13">
        <f>G14/$G$17</f>
        <v>0.39057239057239057</v>
      </c>
      <c r="J14" s="12" t="s">
        <v>7</v>
      </c>
      <c r="K14" s="5">
        <v>10</v>
      </c>
      <c r="L14" s="5">
        <v>19</v>
      </c>
      <c r="M14" s="5">
        <v>19</v>
      </c>
      <c r="N14" s="5">
        <v>23</v>
      </c>
      <c r="O14" s="6">
        <f>SUM(K14:N14)</f>
        <v>71</v>
      </c>
      <c r="P14" s="13">
        <f>O14/$O$17</f>
        <v>0.44099378881987578</v>
      </c>
    </row>
    <row r="15" spans="2:16">
      <c r="B15" s="12" t="s">
        <v>8</v>
      </c>
      <c r="C15" s="5">
        <v>3</v>
      </c>
      <c r="D15" s="5">
        <v>6</v>
      </c>
      <c r="E15" s="5">
        <v>3</v>
      </c>
      <c r="F15" s="5">
        <v>1</v>
      </c>
      <c r="G15" s="6">
        <f>SUM(C15:F15)</f>
        <v>13</v>
      </c>
      <c r="H15" s="13">
        <f>G15/$G$17</f>
        <v>4.3771043771043773E-2</v>
      </c>
      <c r="J15" s="12" t="s">
        <v>8</v>
      </c>
      <c r="K15" s="5">
        <v>0</v>
      </c>
      <c r="L15" s="5">
        <v>0</v>
      </c>
      <c r="M15" s="5">
        <v>1</v>
      </c>
      <c r="N15" s="5">
        <v>3</v>
      </c>
      <c r="O15" s="6">
        <f>SUM(K15:N15)</f>
        <v>4</v>
      </c>
      <c r="P15" s="13">
        <f>O15/$O$17</f>
        <v>2.4844720496894408E-2</v>
      </c>
    </row>
    <row r="16" spans="2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74</v>
      </c>
      <c r="D17" s="8">
        <f>SUM(D13:D15)</f>
        <v>62</v>
      </c>
      <c r="E17" s="8">
        <f>SUM(E13:E15)</f>
        <v>82</v>
      </c>
      <c r="F17" s="8">
        <f>SUM(F13:F15)</f>
        <v>79</v>
      </c>
      <c r="G17" s="11">
        <f>SUM(C17:F17)</f>
        <v>297</v>
      </c>
      <c r="H17" s="8"/>
      <c r="J17" s="10" t="s">
        <v>9</v>
      </c>
      <c r="K17" s="8">
        <f>SUM(K13:K15)</f>
        <v>27</v>
      </c>
      <c r="L17" s="8">
        <f>SUM(L13:L15)</f>
        <v>41</v>
      </c>
      <c r="M17" s="8">
        <f>SUM(M13:M15)</f>
        <v>43</v>
      </c>
      <c r="N17" s="8">
        <f>SUM(N13:N15)</f>
        <v>50</v>
      </c>
      <c r="O17" s="11">
        <f>SUM(K17:N17)</f>
        <v>161</v>
      </c>
      <c r="P17" s="8"/>
    </row>
    <row r="18" spans="2:16">
      <c r="B18" s="10" t="s">
        <v>1</v>
      </c>
      <c r="C18" s="9">
        <f>C17/$G$17</f>
        <v>0.24915824915824916</v>
      </c>
      <c r="D18" s="9">
        <f t="shared" ref="D18:F18" si="0">D17/$G$17</f>
        <v>0.20875420875420875</v>
      </c>
      <c r="E18" s="9">
        <f t="shared" si="0"/>
        <v>0.27609427609427611</v>
      </c>
      <c r="F18" s="9">
        <f t="shared" si="0"/>
        <v>0.265993265993266</v>
      </c>
      <c r="G18" s="9"/>
      <c r="H18" s="8"/>
      <c r="J18" s="10" t="s">
        <v>1</v>
      </c>
      <c r="K18" s="9">
        <f>K17/$O$17</f>
        <v>0.16770186335403728</v>
      </c>
      <c r="L18" s="9">
        <f>L17/$O$17</f>
        <v>0.25465838509316768</v>
      </c>
      <c r="M18" s="9">
        <f>M17/$O$17</f>
        <v>0.26708074534161491</v>
      </c>
      <c r="N18" s="9">
        <f>N17/$O$17</f>
        <v>0.3105590062111801</v>
      </c>
      <c r="O18" s="9"/>
      <c r="P18" s="8"/>
    </row>
    <row r="20" spans="2:16">
      <c r="B20" s="27" t="s">
        <v>32</v>
      </c>
      <c r="C20" s="27"/>
      <c r="D20" s="27"/>
      <c r="E20" s="27"/>
      <c r="F20" s="27"/>
      <c r="G20" s="27"/>
      <c r="H20" s="27"/>
      <c r="J20" s="27" t="s">
        <v>32</v>
      </c>
      <c r="K20" s="27"/>
      <c r="L20" s="27"/>
      <c r="M20" s="27"/>
      <c r="N20" s="27"/>
      <c r="O20" s="27"/>
      <c r="P20" s="27"/>
    </row>
    <row r="21" spans="2:16">
      <c r="C21" s="28" t="s">
        <v>28</v>
      </c>
      <c r="D21" s="29"/>
      <c r="E21" s="29"/>
      <c r="F21" s="30"/>
      <c r="G21" s="3" t="s">
        <v>0</v>
      </c>
      <c r="H21" s="3" t="s">
        <v>1</v>
      </c>
      <c r="K21" s="28" t="s">
        <v>28</v>
      </c>
      <c r="L21" s="29"/>
      <c r="M21" s="29"/>
      <c r="N21" s="30"/>
      <c r="O21" s="3" t="s">
        <v>0</v>
      </c>
      <c r="P21" s="3" t="s">
        <v>1</v>
      </c>
    </row>
    <row r="22" spans="2:16">
      <c r="C22" s="2" t="s">
        <v>11</v>
      </c>
      <c r="D22" s="2" t="s">
        <v>12</v>
      </c>
      <c r="E22" s="2" t="s">
        <v>13</v>
      </c>
      <c r="F22" s="2" t="s">
        <v>14</v>
      </c>
      <c r="G22" s="2"/>
      <c r="H22" s="3"/>
      <c r="K22" s="2" t="s">
        <v>36</v>
      </c>
      <c r="L22" s="2" t="s">
        <v>37</v>
      </c>
      <c r="M22" s="2" t="s">
        <v>34</v>
      </c>
      <c r="N22" s="2" t="s">
        <v>35</v>
      </c>
      <c r="O22" s="2"/>
      <c r="P22" s="3"/>
    </row>
    <row r="23" spans="2:16">
      <c r="B23" s="20" t="s">
        <v>2</v>
      </c>
      <c r="C23" s="4">
        <v>3</v>
      </c>
      <c r="D23" s="4">
        <v>4</v>
      </c>
      <c r="E23" s="4">
        <v>1</v>
      </c>
      <c r="F23" s="4">
        <v>3</v>
      </c>
      <c r="G23" s="21">
        <f>SUM(C23:F23)</f>
        <v>11</v>
      </c>
      <c r="H23" s="13">
        <f>G23/$G$34</f>
        <v>0.57894736842105265</v>
      </c>
      <c r="J23" s="20" t="s">
        <v>2</v>
      </c>
      <c r="K23" s="4">
        <v>6</v>
      </c>
      <c r="L23" s="4">
        <v>4</v>
      </c>
      <c r="M23" s="4">
        <v>15</v>
      </c>
      <c r="N23" s="4">
        <v>15</v>
      </c>
      <c r="O23" s="21">
        <f>SUM(K23:N23)</f>
        <v>40</v>
      </c>
      <c r="P23" s="13">
        <f>O23/$O$34</f>
        <v>0.66666666666666663</v>
      </c>
    </row>
    <row r="24" spans="2:16">
      <c r="B24" s="20" t="s">
        <v>15</v>
      </c>
      <c r="C24" s="4">
        <v>2</v>
      </c>
      <c r="D24" s="4">
        <v>0</v>
      </c>
      <c r="E24" s="4">
        <v>3</v>
      </c>
      <c r="F24" s="4">
        <v>3</v>
      </c>
      <c r="G24" s="21">
        <f>SUM(C24:F24)</f>
        <v>8</v>
      </c>
      <c r="H24" s="13">
        <f>G24/$G$34</f>
        <v>0.42105263157894735</v>
      </c>
      <c r="J24" s="20" t="s">
        <v>15</v>
      </c>
      <c r="K24" s="4">
        <v>4</v>
      </c>
      <c r="L24" s="4">
        <v>5</v>
      </c>
      <c r="M24" s="4">
        <v>3</v>
      </c>
      <c r="N24" s="4">
        <v>8</v>
      </c>
      <c r="O24" s="21">
        <f>SUM(K24:N24)</f>
        <v>20</v>
      </c>
      <c r="P24" s="13">
        <f>O24/$O$34</f>
        <v>0.33333333333333331</v>
      </c>
    </row>
    <row r="25" spans="2:16">
      <c r="C25" s="16"/>
      <c r="D25" s="16"/>
      <c r="E25" s="16"/>
      <c r="F25" s="16"/>
      <c r="G25" s="17"/>
      <c r="H25" s="9"/>
      <c r="K25" s="16"/>
      <c r="L25" s="16"/>
      <c r="M25" s="16"/>
      <c r="N25" s="16"/>
      <c r="O25" s="17"/>
      <c r="P25" s="9"/>
    </row>
    <row r="26" spans="2:16">
      <c r="B26" s="15" t="s">
        <v>3</v>
      </c>
      <c r="C26" s="18">
        <v>6</v>
      </c>
      <c r="D26" s="18">
        <v>2</v>
      </c>
      <c r="E26" s="18">
        <v>3</v>
      </c>
      <c r="F26" s="18">
        <v>6</v>
      </c>
      <c r="G26" s="19">
        <f>SUM(C26:F26)</f>
        <v>17</v>
      </c>
      <c r="H26" s="13">
        <f>G26/$G$34</f>
        <v>0.89473684210526316</v>
      </c>
      <c r="J26" s="15" t="s">
        <v>3</v>
      </c>
      <c r="K26" s="23">
        <v>7</v>
      </c>
      <c r="L26" s="18">
        <v>6</v>
      </c>
      <c r="M26" s="18">
        <v>10</v>
      </c>
      <c r="N26" s="18">
        <v>14</v>
      </c>
      <c r="O26" s="24">
        <f>SUM(K26:N26)</f>
        <v>37</v>
      </c>
      <c r="P26" s="13">
        <f>O26/$O$34</f>
        <v>0.6166666666666667</v>
      </c>
    </row>
    <row r="27" spans="2:16">
      <c r="B27" s="15" t="s">
        <v>4</v>
      </c>
      <c r="C27" s="18">
        <v>0</v>
      </c>
      <c r="D27" s="18">
        <v>0</v>
      </c>
      <c r="E27" s="18">
        <v>0</v>
      </c>
      <c r="F27" s="18">
        <v>0</v>
      </c>
      <c r="G27" s="19">
        <f>SUM(C27:F27)</f>
        <v>0</v>
      </c>
      <c r="H27" s="13">
        <f>G27/$G$34</f>
        <v>0</v>
      </c>
      <c r="J27" s="15" t="s">
        <v>4</v>
      </c>
      <c r="K27" s="23">
        <v>0</v>
      </c>
      <c r="L27" s="18">
        <v>2</v>
      </c>
      <c r="M27" s="18">
        <v>1</v>
      </c>
      <c r="N27" s="18">
        <v>2</v>
      </c>
      <c r="O27" s="24">
        <f>SUM(K27:N27)</f>
        <v>5</v>
      </c>
      <c r="P27" s="13">
        <f>O27/$O$34</f>
        <v>8.3333333333333329E-2</v>
      </c>
    </row>
    <row r="28" spans="2:16">
      <c r="B28" s="15" t="s">
        <v>5</v>
      </c>
      <c r="C28" s="18">
        <v>0</v>
      </c>
      <c r="D28" s="18">
        <v>2</v>
      </c>
      <c r="E28" s="18">
        <v>2</v>
      </c>
      <c r="F28" s="18">
        <v>0</v>
      </c>
      <c r="G28" s="19">
        <f>SUM(C28:F28)</f>
        <v>4</v>
      </c>
      <c r="H28" s="13">
        <f>G28/$G$34</f>
        <v>0.21052631578947367</v>
      </c>
      <c r="J28" s="15" t="s">
        <v>5</v>
      </c>
      <c r="K28" s="23">
        <v>3</v>
      </c>
      <c r="L28" s="18">
        <v>1</v>
      </c>
      <c r="M28" s="18">
        <v>7</v>
      </c>
      <c r="N28" s="18">
        <v>7</v>
      </c>
      <c r="O28" s="24">
        <f>SUM(K28:N28)</f>
        <v>18</v>
      </c>
      <c r="P28" s="13">
        <f>O28/$O$34</f>
        <v>0.3</v>
      </c>
    </row>
    <row r="29" spans="2:16">
      <c r="C29" s="16"/>
      <c r="D29" s="16"/>
      <c r="E29" s="16"/>
      <c r="F29" s="16"/>
      <c r="G29" s="17"/>
      <c r="H29" s="9"/>
      <c r="K29" s="16"/>
      <c r="L29" s="16"/>
      <c r="M29" s="16"/>
      <c r="N29" s="16"/>
      <c r="O29" s="17"/>
      <c r="P29" s="9"/>
    </row>
    <row r="30" spans="2:16">
      <c r="B30" s="12" t="s">
        <v>6</v>
      </c>
      <c r="C30" s="5">
        <v>4</v>
      </c>
      <c r="D30" s="5">
        <v>2</v>
      </c>
      <c r="E30" s="5">
        <v>2</v>
      </c>
      <c r="F30" s="5">
        <v>3</v>
      </c>
      <c r="G30" s="6">
        <f>SUM(C30:F30)</f>
        <v>11</v>
      </c>
      <c r="H30" s="13">
        <f>G30/$G$34</f>
        <v>0.57894736842105265</v>
      </c>
      <c r="J30" s="12" t="s">
        <v>6</v>
      </c>
      <c r="K30" s="5">
        <v>8</v>
      </c>
      <c r="L30" s="5">
        <v>5</v>
      </c>
      <c r="M30" s="5">
        <v>10</v>
      </c>
      <c r="N30" s="5">
        <v>13</v>
      </c>
      <c r="O30" s="6">
        <f>SUM(K30:N30)</f>
        <v>36</v>
      </c>
      <c r="P30" s="13">
        <f>O30/$O$34</f>
        <v>0.6</v>
      </c>
    </row>
    <row r="31" spans="2:16">
      <c r="B31" s="12" t="s">
        <v>7</v>
      </c>
      <c r="C31" s="5">
        <v>1</v>
      </c>
      <c r="D31" s="5">
        <v>2</v>
      </c>
      <c r="E31" s="5">
        <v>2</v>
      </c>
      <c r="F31" s="5">
        <v>3</v>
      </c>
      <c r="G31" s="6">
        <f>SUM(C31:F31)</f>
        <v>8</v>
      </c>
      <c r="H31" s="13">
        <f>G31/$G$34</f>
        <v>0.42105263157894735</v>
      </c>
      <c r="J31" s="12" t="s">
        <v>7</v>
      </c>
      <c r="K31" s="5">
        <v>2</v>
      </c>
      <c r="L31" s="5">
        <v>4</v>
      </c>
      <c r="M31" s="5">
        <v>8</v>
      </c>
      <c r="N31" s="5">
        <v>9</v>
      </c>
      <c r="O31" s="6">
        <f>SUM(K31:N31)</f>
        <v>23</v>
      </c>
      <c r="P31" s="13">
        <f>O31/$O$34</f>
        <v>0.38333333333333336</v>
      </c>
    </row>
    <row r="32" spans="2:16">
      <c r="B32" s="12" t="s">
        <v>8</v>
      </c>
      <c r="C32" s="5">
        <v>0</v>
      </c>
      <c r="D32" s="5">
        <v>0</v>
      </c>
      <c r="E32" s="5">
        <v>0</v>
      </c>
      <c r="F32" s="5">
        <v>0</v>
      </c>
      <c r="G32" s="6">
        <f>SUM(C32:F32)</f>
        <v>0</v>
      </c>
      <c r="H32" s="13">
        <f>G32/$G$34</f>
        <v>0</v>
      </c>
      <c r="J32" s="12" t="s">
        <v>8</v>
      </c>
      <c r="K32" s="5">
        <v>0</v>
      </c>
      <c r="L32" s="5">
        <v>0</v>
      </c>
      <c r="M32" s="5">
        <v>0</v>
      </c>
      <c r="N32" s="5">
        <v>1</v>
      </c>
      <c r="O32" s="6">
        <f>SUM(K32:N32)</f>
        <v>1</v>
      </c>
      <c r="P32" s="13">
        <f>O32/$O$34</f>
        <v>1.6666666666666666E-2</v>
      </c>
    </row>
    <row r="33" spans="2:16">
      <c r="C33" s="14"/>
      <c r="D33" s="14"/>
      <c r="E33" s="14"/>
      <c r="F33" s="14"/>
      <c r="G33" s="14"/>
      <c r="H33" s="7"/>
      <c r="K33" s="14"/>
      <c r="L33" s="14"/>
      <c r="M33" s="14"/>
      <c r="N33" s="14"/>
      <c r="O33" s="14"/>
      <c r="P33" s="7"/>
    </row>
    <row r="34" spans="2:16">
      <c r="B34" s="10" t="s">
        <v>9</v>
      </c>
      <c r="C34" s="8">
        <f>SUM(C30:C32)</f>
        <v>5</v>
      </c>
      <c r="D34" s="8">
        <f>SUM(D30:D32)</f>
        <v>4</v>
      </c>
      <c r="E34" s="8">
        <f>SUM(E30:E32)</f>
        <v>4</v>
      </c>
      <c r="F34" s="8">
        <f>SUM(F30:F32)</f>
        <v>6</v>
      </c>
      <c r="G34" s="11">
        <f>SUM(C34:F34)</f>
        <v>19</v>
      </c>
      <c r="H34" s="8"/>
      <c r="J34" s="10" t="s">
        <v>9</v>
      </c>
      <c r="K34" s="8">
        <f>SUM(K30:K32)</f>
        <v>10</v>
      </c>
      <c r="L34" s="8">
        <f>SUM(L30:L32)</f>
        <v>9</v>
      </c>
      <c r="M34" s="8">
        <f>SUM(M30:M32)</f>
        <v>18</v>
      </c>
      <c r="N34" s="8">
        <f>SUM(N30:N32)</f>
        <v>23</v>
      </c>
      <c r="O34" s="11">
        <f>SUM(K34:N34)</f>
        <v>60</v>
      </c>
      <c r="P34" s="8"/>
    </row>
    <row r="35" spans="2:16">
      <c r="B35" s="10" t="s">
        <v>1</v>
      </c>
      <c r="C35" s="9">
        <f>C34/$G$34</f>
        <v>0.26315789473684209</v>
      </c>
      <c r="D35" s="9">
        <f t="shared" ref="D35:F35" si="1">D34/$G$34</f>
        <v>0.21052631578947367</v>
      </c>
      <c r="E35" s="9">
        <f t="shared" si="1"/>
        <v>0.21052631578947367</v>
      </c>
      <c r="F35" s="9">
        <f t="shared" si="1"/>
        <v>0.31578947368421051</v>
      </c>
      <c r="G35" s="9"/>
      <c r="H35" s="8"/>
      <c r="J35" s="10" t="s">
        <v>1</v>
      </c>
      <c r="K35" s="9">
        <f>K34/$O$34</f>
        <v>0.16666666666666666</v>
      </c>
      <c r="L35" s="9">
        <f>L34/$O$34</f>
        <v>0.15</v>
      </c>
      <c r="M35" s="9">
        <f>M34/$O$34</f>
        <v>0.3</v>
      </c>
      <c r="N35" s="9">
        <f>N34/$O$34</f>
        <v>0.38333333333333336</v>
      </c>
      <c r="O35" s="9"/>
      <c r="P35" s="8"/>
    </row>
  </sheetData>
  <mergeCells count="10">
    <mergeCell ref="B1:H1"/>
    <mergeCell ref="B3:H3"/>
    <mergeCell ref="C4:F4"/>
    <mergeCell ref="B20:H20"/>
    <mergeCell ref="C21:F21"/>
    <mergeCell ref="J1:P1"/>
    <mergeCell ref="J3:P3"/>
    <mergeCell ref="K4:N4"/>
    <mergeCell ref="J20:P20"/>
    <mergeCell ref="K21:N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P21"/>
  <sheetViews>
    <sheetView tabSelected="1" topLeftCell="B1" zoomScale="75" workbookViewId="0">
      <selection activeCell="J57" sqref="J57"/>
    </sheetView>
  </sheetViews>
  <sheetFormatPr baseColWidth="10" defaultColWidth="10.875" defaultRowHeight="15.75"/>
  <cols>
    <col min="1" max="1" width="4.875" style="1" customWidth="1"/>
    <col min="2" max="2" width="21.625" style="1" bestFit="1" customWidth="1"/>
    <col min="3" max="8" width="10.875" style="1"/>
    <col min="9" max="9" width="4.875" style="1" customWidth="1"/>
    <col min="10" max="10" width="21.625" style="1" bestFit="1" customWidth="1"/>
    <col min="11" max="16384" width="10.875" style="1"/>
  </cols>
  <sheetData>
    <row r="1" spans="1:16">
      <c r="B1" s="31" t="s">
        <v>19</v>
      </c>
      <c r="C1" s="32"/>
      <c r="D1" s="32"/>
      <c r="E1" s="32"/>
      <c r="F1" s="32"/>
      <c r="G1" s="32"/>
      <c r="H1" s="33"/>
      <c r="J1" s="31" t="s">
        <v>33</v>
      </c>
      <c r="K1" s="32"/>
      <c r="L1" s="32"/>
      <c r="M1" s="32"/>
      <c r="N1" s="32"/>
      <c r="O1" s="32"/>
      <c r="P1" s="33"/>
    </row>
    <row r="3" spans="1:16">
      <c r="B3" s="27"/>
      <c r="C3" s="27"/>
      <c r="D3" s="27"/>
      <c r="E3" s="27"/>
      <c r="F3" s="27"/>
      <c r="G3" s="27"/>
      <c r="H3" s="27"/>
      <c r="J3" s="27"/>
      <c r="K3" s="27"/>
      <c r="L3" s="27"/>
      <c r="M3" s="27"/>
      <c r="N3" s="27"/>
      <c r="O3" s="27"/>
      <c r="P3" s="27"/>
    </row>
    <row r="4" spans="1:16">
      <c r="C4" s="28" t="s">
        <v>39</v>
      </c>
      <c r="D4" s="29"/>
      <c r="E4" s="29"/>
      <c r="F4" s="30"/>
      <c r="G4" s="3" t="s">
        <v>0</v>
      </c>
      <c r="H4" s="3" t="s">
        <v>1</v>
      </c>
      <c r="K4" s="28" t="s">
        <v>39</v>
      </c>
      <c r="L4" s="29"/>
      <c r="M4" s="29"/>
      <c r="N4" s="30"/>
      <c r="O4" s="3" t="s">
        <v>0</v>
      </c>
      <c r="P4" s="3" t="s">
        <v>1</v>
      </c>
    </row>
    <row r="5" spans="1:16">
      <c r="C5" s="2" t="s">
        <v>11</v>
      </c>
      <c r="D5" s="2" t="s">
        <v>12</v>
      </c>
      <c r="E5" s="2" t="s">
        <v>13</v>
      </c>
      <c r="F5" s="2" t="s">
        <v>14</v>
      </c>
      <c r="G5" s="2"/>
      <c r="H5" s="3"/>
      <c r="K5" s="2" t="s">
        <v>36</v>
      </c>
      <c r="L5" s="2" t="s">
        <v>37</v>
      </c>
      <c r="M5" s="2" t="s">
        <v>34</v>
      </c>
      <c r="N5" s="2" t="s">
        <v>35</v>
      </c>
      <c r="O5" s="2"/>
      <c r="P5" s="3"/>
    </row>
    <row r="6" spans="1:16">
      <c r="B6" s="20" t="s">
        <v>2</v>
      </c>
      <c r="C6" s="4">
        <f>'XXXI DECEMBRE'!C6+ARQUEBUSE!C6+ARQUEBUSE!C23+'GEORGES-FAVON'!C6+'GEORGES-FAVON'!C23+'F HODLER'!C6+'F HODLER'!C23+'F HODLER'!C40+'PICTET ROCHEMONT'!C6+'PICTET ROCHEMONT'!C23+'VV, BEL AIR'!C6+'VV, BEL AIR'!C23+'VV, FRANK THOMAS'!C6+'VV, FRANK THOMAS'!C23+TRANCHEES!C6+TRANCHEES!C23</f>
        <v>628</v>
      </c>
      <c r="D6" s="4">
        <f>'XXXI DECEMBRE'!D6+ARQUEBUSE!D6+ARQUEBUSE!D23+'GEORGES-FAVON'!D6+'GEORGES-FAVON'!D23+'F HODLER'!D6+'F HODLER'!D23+'F HODLER'!D40+'PICTET ROCHEMONT'!D6+'PICTET ROCHEMONT'!D23+'VV, BEL AIR'!D6+'VV, BEL AIR'!D23+'VV, FRANK THOMAS'!D6+'VV, FRANK THOMAS'!D23+TRANCHEES!D6+TRANCHEES!D23</f>
        <v>266</v>
      </c>
      <c r="E6" s="4">
        <f>'XXXI DECEMBRE'!E6+ARQUEBUSE!E6+ARQUEBUSE!E23+'GEORGES-FAVON'!E6+'GEORGES-FAVON'!E23+'F HODLER'!E6+'F HODLER'!E23+'F HODLER'!E40+'PICTET ROCHEMONT'!E6+'PICTET ROCHEMONT'!E23+'VV, BEL AIR'!E6+'VV, BEL AIR'!E23+'VV, FRANK THOMAS'!E6+'VV, FRANK THOMAS'!E23+TRANCHEES!E6+TRANCHEES!E23</f>
        <v>247</v>
      </c>
      <c r="F6" s="4">
        <f>'XXXI DECEMBRE'!F6+ARQUEBUSE!F6+ARQUEBUSE!F23+'GEORGES-FAVON'!F6+'GEORGES-FAVON'!F23+'F HODLER'!F6+'F HODLER'!F23+'F HODLER'!F40+'PICTET ROCHEMONT'!F6+'PICTET ROCHEMONT'!F23+'VV, BEL AIR'!F6+'VV, BEL AIR'!F23+'VV, FRANK THOMAS'!F6+'VV, FRANK THOMAS'!F23+TRANCHEES!F6+TRANCHEES!F23</f>
        <v>269</v>
      </c>
      <c r="G6" s="21">
        <f>SUM(C6:F6)</f>
        <v>1410</v>
      </c>
      <c r="H6" s="13">
        <f>G6/$G$17</f>
        <v>0.63772048846675711</v>
      </c>
      <c r="J6" s="20" t="s">
        <v>2</v>
      </c>
      <c r="K6" s="4">
        <f>'XXXI DECEMBRE'!K6+ARQUEBUSE!K6+ARQUEBUSE!K23+'GEORGES-FAVON'!K6+'GEORGES-FAVON'!K23+'F HODLER'!K6+'F HODLER'!K23+'F HODLER'!K40+'PICTET ROCHEMONT'!K6+'PICTET ROCHEMONT'!K23+'VV, BEL AIR'!K6+'VV, BEL AIR'!K23+'VV, FRANK THOMAS'!K6+'VV, FRANK THOMAS'!K23+TRANCHEES!K6+TRANCHEES!K23</f>
        <v>249</v>
      </c>
      <c r="L6" s="4">
        <f>'XXXI DECEMBRE'!L6+ARQUEBUSE!L6+ARQUEBUSE!L23+'GEORGES-FAVON'!L6+'GEORGES-FAVON'!L23+'F HODLER'!L6+'F HODLER'!L23+'F HODLER'!L40+'PICTET ROCHEMONT'!L6+'PICTET ROCHEMONT'!L23+'VV, BEL AIR'!L6+'VV, BEL AIR'!L23+'VV, FRANK THOMAS'!L6+'VV, FRANK THOMAS'!L23+TRANCHEES!L6+TRANCHEES!L23</f>
        <v>272</v>
      </c>
      <c r="M6" s="4">
        <f>'XXXI DECEMBRE'!M6+ARQUEBUSE!M6+ARQUEBUSE!M23+'GEORGES-FAVON'!M6+'GEORGES-FAVON'!M23+'F HODLER'!M6+'F HODLER'!M23+'F HODLER'!M40+'PICTET ROCHEMONT'!M6+'PICTET ROCHEMONT'!M23+'VV, BEL AIR'!M6+'VV, BEL AIR'!M23+'VV, FRANK THOMAS'!M6+'VV, FRANK THOMAS'!M23+TRANCHEES!M6+TRANCHEES!M23</f>
        <v>291</v>
      </c>
      <c r="N6" s="4">
        <f>'XXXI DECEMBRE'!N6+ARQUEBUSE!N6+ARQUEBUSE!N23+'GEORGES-FAVON'!N6+'GEORGES-FAVON'!N23+'F HODLER'!N6+'F HODLER'!N23+'F HODLER'!N40+'PICTET ROCHEMONT'!N6+'PICTET ROCHEMONT'!N23+'VV, BEL AIR'!N6+'VV, BEL AIR'!N23+'VV, FRANK THOMAS'!N6+'VV, FRANK THOMAS'!N23+TRANCHEES!N6+TRANCHEES!N23</f>
        <v>358</v>
      </c>
      <c r="O6" s="21">
        <f>SUM(K6:N6)</f>
        <v>1170</v>
      </c>
      <c r="P6" s="13">
        <f>O6/$O$17</f>
        <v>0.70270270270270274</v>
      </c>
    </row>
    <row r="7" spans="1:16">
      <c r="B7" s="20" t="s">
        <v>15</v>
      </c>
      <c r="C7" s="4">
        <f>'XXXI DECEMBRE'!C7+ARQUEBUSE!C7+ARQUEBUSE!C24+'GEORGES-FAVON'!C7+'GEORGES-FAVON'!C24+'F HODLER'!C7+'F HODLER'!C24+'F HODLER'!C41+'PICTET ROCHEMONT'!C7+'PICTET ROCHEMONT'!C24+'VV, BEL AIR'!C7+'VV, BEL AIR'!C24+'VV, FRANK THOMAS'!C7+'VV, FRANK THOMAS'!C24+TRANCHEES!C7+TRANCHEES!C24</f>
        <v>388</v>
      </c>
      <c r="D7" s="4">
        <f>'XXXI DECEMBRE'!D7+ARQUEBUSE!D7+ARQUEBUSE!D24+'GEORGES-FAVON'!D7+'GEORGES-FAVON'!D24+'F HODLER'!D7+'F HODLER'!D24+'F HODLER'!D41+'PICTET ROCHEMONT'!D7+'PICTET ROCHEMONT'!D24+'VV, BEL AIR'!D7+'VV, BEL AIR'!D24+'VV, FRANK THOMAS'!D7+'VV, FRANK THOMAS'!D24+TRANCHEES!D7+TRANCHEES!D24</f>
        <v>126</v>
      </c>
      <c r="E7" s="4">
        <f>'XXXI DECEMBRE'!E7+ARQUEBUSE!E7+ARQUEBUSE!E24+'GEORGES-FAVON'!E7+'GEORGES-FAVON'!E24+'F HODLER'!E7+'F HODLER'!E24+'F HODLER'!E41+'PICTET ROCHEMONT'!E7+'PICTET ROCHEMONT'!E24+'VV, BEL AIR'!E7+'VV, BEL AIR'!E24+'VV, FRANK THOMAS'!E7+'VV, FRANK THOMAS'!E24+TRANCHEES!E7+TRANCHEES!E24</f>
        <v>147</v>
      </c>
      <c r="F7" s="4">
        <f>'XXXI DECEMBRE'!F7+ARQUEBUSE!F7+ARQUEBUSE!F24+'GEORGES-FAVON'!F7+'GEORGES-FAVON'!F24+'F HODLER'!F7+'F HODLER'!F24+'F HODLER'!F41+'PICTET ROCHEMONT'!F7+'PICTET ROCHEMONT'!F24+'VV, BEL AIR'!F7+'VV, BEL AIR'!F24+'VV, FRANK THOMAS'!F7+'VV, FRANK THOMAS'!F24+TRANCHEES!F7+TRANCHEES!F24</f>
        <v>140</v>
      </c>
      <c r="G7" s="21">
        <f>SUM(C7:F7)</f>
        <v>801</v>
      </c>
      <c r="H7" s="13">
        <f>G7/$G$17</f>
        <v>0.36227951153324289</v>
      </c>
      <c r="J7" s="20" t="s">
        <v>15</v>
      </c>
      <c r="K7" s="4">
        <f>'XXXI DECEMBRE'!K7+ARQUEBUSE!K7+ARQUEBUSE!K24+'GEORGES-FAVON'!K7+'GEORGES-FAVON'!K24+'F HODLER'!K7+'F HODLER'!K24+'F HODLER'!K41+'PICTET ROCHEMONT'!K7+'PICTET ROCHEMONT'!K24+'VV, BEL AIR'!K7+'VV, BEL AIR'!K24+'VV, FRANK THOMAS'!K7+'VV, FRANK THOMAS'!K24+TRANCHEES!K7+TRANCHEES!K24</f>
        <v>116</v>
      </c>
      <c r="L7" s="4">
        <f>'XXXI DECEMBRE'!L7+ARQUEBUSE!L7+ARQUEBUSE!L24+'GEORGES-FAVON'!L7+'GEORGES-FAVON'!L24+'F HODLER'!L7+'F HODLER'!L24+'F HODLER'!L41+'PICTET ROCHEMONT'!L7+'PICTET ROCHEMONT'!L24+'VV, BEL AIR'!L7+'VV, BEL AIR'!L24+'VV, FRANK THOMAS'!L7+'VV, FRANK THOMAS'!L24+TRANCHEES!L7+TRANCHEES!L24</f>
        <v>124</v>
      </c>
      <c r="M7" s="4">
        <f>'XXXI DECEMBRE'!M7+ARQUEBUSE!M7+ARQUEBUSE!M24+'GEORGES-FAVON'!M7+'GEORGES-FAVON'!M24+'F HODLER'!M7+'F HODLER'!M24+'F HODLER'!M41+'PICTET ROCHEMONT'!M7+'PICTET ROCHEMONT'!M24+'VV, BEL AIR'!M7+'VV, BEL AIR'!M24+'VV, FRANK THOMAS'!M7+'VV, FRANK THOMAS'!M24+TRANCHEES!M7+TRANCHEES!M24</f>
        <v>112</v>
      </c>
      <c r="N7" s="4">
        <f>'XXXI DECEMBRE'!N7+ARQUEBUSE!N7+ARQUEBUSE!N24+'GEORGES-FAVON'!N7+'GEORGES-FAVON'!N24+'F HODLER'!N7+'F HODLER'!N24+'F HODLER'!N41+'PICTET ROCHEMONT'!N7+'PICTET ROCHEMONT'!N24+'VV, BEL AIR'!N7+'VV, BEL AIR'!N24+'VV, FRANK THOMAS'!N7+'VV, FRANK THOMAS'!N24+TRANCHEES!N7+TRANCHEES!N24</f>
        <v>142</v>
      </c>
      <c r="O7" s="21">
        <f>SUM(K7:N7)</f>
        <v>494</v>
      </c>
      <c r="P7" s="13">
        <f>O7/$O$17</f>
        <v>0.29669669669669668</v>
      </c>
    </row>
    <row r="8" spans="1:16">
      <c r="C8" s="16"/>
      <c r="D8" s="16"/>
      <c r="E8" s="16"/>
      <c r="F8" s="16"/>
      <c r="G8" s="17"/>
      <c r="H8" s="9"/>
      <c r="K8" s="16"/>
      <c r="L8" s="16"/>
      <c r="M8" s="16"/>
      <c r="N8" s="16"/>
      <c r="O8" s="17"/>
      <c r="P8" s="9"/>
    </row>
    <row r="9" spans="1:16">
      <c r="A9" s="40" t="s">
        <v>40</v>
      </c>
      <c r="B9" s="15" t="s">
        <v>3</v>
      </c>
      <c r="C9" s="23">
        <f>'XXXI DECEMBRE'!C9+ARQUEBUSE!C9+ARQUEBUSE!C26+'GEORGES-FAVON'!C9+'GEORGES-FAVON'!C26+'F HODLER'!C9+'F HODLER'!C26+'F HODLER'!C43+'PICTET ROCHEMONT'!C9+'PICTET ROCHEMONT'!C26+'VV, BEL AIR'!C9+'VV, BEL AIR'!C26+'VV, FRANK THOMAS'!C9+'VV, FRANK THOMAS'!C26+TRANCHEES!C9+TRANCHEES!C26</f>
        <v>528.54000000000008</v>
      </c>
      <c r="D9" s="23">
        <f>'XXXI DECEMBRE'!D9+ARQUEBUSE!D9+ARQUEBUSE!D26+'GEORGES-FAVON'!D9+'GEORGES-FAVON'!D26+'F HODLER'!D9+'F HODLER'!D26+'F HODLER'!D43+'PICTET ROCHEMONT'!D9+'PICTET ROCHEMONT'!D26+'VV, BEL AIR'!D9+'VV, BEL AIR'!D26+'VV, FRANK THOMAS'!D9+'VV, FRANK THOMAS'!D26+TRANCHEES!D9+TRANCHEES!D26</f>
        <v>116</v>
      </c>
      <c r="E9" s="23">
        <f>'XXXI DECEMBRE'!E9+ARQUEBUSE!E9+ARQUEBUSE!E26+'GEORGES-FAVON'!E9+'GEORGES-FAVON'!E26+'F HODLER'!E9+'F HODLER'!E26+'F HODLER'!E43+'PICTET ROCHEMONT'!E9+'PICTET ROCHEMONT'!E26+'VV, BEL AIR'!E9+'VV, BEL AIR'!E26+'VV, FRANK THOMAS'!E9+'VV, FRANK THOMAS'!E26+TRANCHEES!E9+TRANCHEES!E26</f>
        <v>129</v>
      </c>
      <c r="F9" s="23">
        <f>'XXXI DECEMBRE'!F9+ARQUEBUSE!F9+ARQUEBUSE!F26+'GEORGES-FAVON'!F9+'GEORGES-FAVON'!F26+'F HODLER'!F9+'F HODLER'!F26+'F HODLER'!F43+'PICTET ROCHEMONT'!F9+'PICTET ROCHEMONT'!F26+'VV, BEL AIR'!F9+'VV, BEL AIR'!F26+'VV, FRANK THOMAS'!F9+'VV, FRANK THOMAS'!F26+TRANCHEES!F9+TRANCHEES!F26</f>
        <v>133</v>
      </c>
      <c r="G9" s="24">
        <f>SUM(C9:F9)</f>
        <v>906.54000000000008</v>
      </c>
      <c r="H9" s="13">
        <f>G9/$G$20</f>
        <v>0.58828033744321873</v>
      </c>
      <c r="I9" s="40" t="s">
        <v>40</v>
      </c>
      <c r="J9" s="15" t="s">
        <v>3</v>
      </c>
      <c r="K9" s="23">
        <f>'XXXI DECEMBRE'!K9+ARQUEBUSE!K9+ARQUEBUSE!K26+'GEORGES-FAVON'!K9+'GEORGES-FAVON'!K26+'F HODLER'!K9+'F HODLER'!K26+'F HODLER'!K43+'PICTET ROCHEMONT'!K9+'PICTET ROCHEMONT'!K26+'VV, BEL AIR'!K9+'VV, BEL AIR'!K26+'VV, FRANK THOMAS'!K9+'VV, FRANK THOMAS'!K26+TRANCHEES!K9+TRANCHEES!K26</f>
        <v>467.09999999999997</v>
      </c>
      <c r="L9" s="23">
        <f>'XXXI DECEMBRE'!L9+ARQUEBUSE!L9+ARQUEBUSE!L26+'GEORGES-FAVON'!L9+'GEORGES-FAVON'!L26+'F HODLER'!L9+'F HODLER'!L26+'F HODLER'!L43+'PICTET ROCHEMONT'!L9+'PICTET ROCHEMONT'!L26+'VV, BEL AIR'!L9+'VV, BEL AIR'!L26+'VV, FRANK THOMAS'!L9+'VV, FRANK THOMAS'!L26+TRANCHEES!L9+TRANCHEES!L26</f>
        <v>180</v>
      </c>
      <c r="M9" s="23">
        <f>'XXXI DECEMBRE'!M9+ARQUEBUSE!M9+ARQUEBUSE!M26+'GEORGES-FAVON'!M9+'GEORGES-FAVON'!M26+'F HODLER'!M9+'F HODLER'!M26+'F HODLER'!M43+'PICTET ROCHEMONT'!M9+'PICTET ROCHEMONT'!M26+'VV, BEL AIR'!M9+'VV, BEL AIR'!M26+'VV, FRANK THOMAS'!M9+'VV, FRANK THOMAS'!M26+TRANCHEES!M9+TRANCHEES!M26</f>
        <v>161</v>
      </c>
      <c r="N9" s="23">
        <f>'XXXI DECEMBRE'!N9+ARQUEBUSE!N9+ARQUEBUSE!N26+'GEORGES-FAVON'!N9+'GEORGES-FAVON'!N26+'F HODLER'!N9+'F HODLER'!N26+'F HODLER'!N43+'PICTET ROCHEMONT'!N9+'PICTET ROCHEMONT'!N26+'VV, BEL AIR'!N9+'VV, BEL AIR'!N26+'VV, FRANK THOMAS'!N9+'VV, FRANK THOMAS'!N26+TRANCHEES!N9+TRANCHEES!N26</f>
        <v>230</v>
      </c>
      <c r="O9" s="24">
        <f>SUM(K9:N9)</f>
        <v>1038.0999999999999</v>
      </c>
      <c r="P9" s="13">
        <f>O9/$O$20</f>
        <v>0.7076346284935241</v>
      </c>
    </row>
    <row r="10" spans="1:16">
      <c r="A10" s="41"/>
      <c r="B10" s="15" t="s">
        <v>4</v>
      </c>
      <c r="C10" s="23">
        <f>'XXXI DECEMBRE'!C10+ARQUEBUSE!C10+ARQUEBUSE!C27+'GEORGES-FAVON'!C10+'GEORGES-FAVON'!C27+'F HODLER'!C10+'F HODLER'!C27+'F HODLER'!C44+'PICTET ROCHEMONT'!C10+'PICTET ROCHEMONT'!C27+'VV, BEL AIR'!C10+'VV, BEL AIR'!C27+'VV, FRANK THOMAS'!C10+'VV, FRANK THOMAS'!C27+TRANCHEES!C10+TRANCHEES!C27</f>
        <v>372.86999999999995</v>
      </c>
      <c r="D10" s="23">
        <f>'XXXI DECEMBRE'!D10+ARQUEBUSE!D10+ARQUEBUSE!D27+'GEORGES-FAVON'!D10+'GEORGES-FAVON'!D27+'F HODLER'!D10+'F HODLER'!D27+'F HODLER'!D44+'PICTET ROCHEMONT'!D10+'PICTET ROCHEMONT'!D27+'VV, BEL AIR'!D10+'VV, BEL AIR'!D27+'VV, FRANK THOMAS'!D10+'VV, FRANK THOMAS'!D27+TRANCHEES!D10+TRANCHEES!D27</f>
        <v>58</v>
      </c>
      <c r="E10" s="23">
        <f>'XXXI DECEMBRE'!E10+ARQUEBUSE!E10+ARQUEBUSE!E27+'GEORGES-FAVON'!E10+'GEORGES-FAVON'!E27+'F HODLER'!E10+'F HODLER'!E27+'F HODLER'!E44+'PICTET ROCHEMONT'!E10+'PICTET ROCHEMONT'!E27+'VV, BEL AIR'!E10+'VV, BEL AIR'!E27+'VV, FRANK THOMAS'!E10+'VV, FRANK THOMAS'!E27+TRANCHEES!E10+TRANCHEES!E27</f>
        <v>72</v>
      </c>
      <c r="F10" s="23">
        <f>'XXXI DECEMBRE'!F10+ARQUEBUSE!F10+ARQUEBUSE!F27+'GEORGES-FAVON'!F10+'GEORGES-FAVON'!F27+'F HODLER'!F10+'F HODLER'!F27+'F HODLER'!F44+'PICTET ROCHEMONT'!F10+'PICTET ROCHEMONT'!F27+'VV, BEL AIR'!F10+'VV, BEL AIR'!F27+'VV, FRANK THOMAS'!F10+'VV, FRANK THOMAS'!F27+TRANCHEES!F10+TRANCHEES!F27</f>
        <v>52</v>
      </c>
      <c r="G10" s="24">
        <f>SUM(C10:F10)</f>
        <v>554.86999999999989</v>
      </c>
      <c r="H10" s="13">
        <f t="shared" ref="H10:H11" si="0">G10/$G$20</f>
        <v>0.36007138221933804</v>
      </c>
      <c r="I10" s="41"/>
      <c r="J10" s="15" t="s">
        <v>4</v>
      </c>
      <c r="K10" s="23">
        <f>'XXXI DECEMBRE'!K10+ARQUEBUSE!K10+ARQUEBUSE!K27+'GEORGES-FAVON'!K10+'GEORGES-FAVON'!K27+'F HODLER'!K10+'F HODLER'!K27+'F HODLER'!K44+'PICTET ROCHEMONT'!K10+'PICTET ROCHEMONT'!K27+'VV, BEL AIR'!K10+'VV, BEL AIR'!K27+'VV, FRANK THOMAS'!K10+'VV, FRANK THOMAS'!K27+TRANCHEES!K10+TRANCHEES!K27</f>
        <v>176.75</v>
      </c>
      <c r="L10" s="23">
        <f>'XXXI DECEMBRE'!L10+ARQUEBUSE!L10+ARQUEBUSE!L27+'GEORGES-FAVON'!L10+'GEORGES-FAVON'!L27+'F HODLER'!L10+'F HODLER'!L27+'F HODLER'!L44+'PICTET ROCHEMONT'!L10+'PICTET ROCHEMONT'!L27+'VV, BEL AIR'!L10+'VV, BEL AIR'!L27+'VV, FRANK THOMAS'!L10+'VV, FRANK THOMAS'!L27+TRANCHEES!L10+TRANCHEES!L27</f>
        <v>49</v>
      </c>
      <c r="M10" s="23">
        <f>'XXXI DECEMBRE'!M10+ARQUEBUSE!M10+ARQUEBUSE!M27+'GEORGES-FAVON'!M10+'GEORGES-FAVON'!M27+'F HODLER'!M10+'F HODLER'!M27+'F HODLER'!M44+'PICTET ROCHEMONT'!M10+'PICTET ROCHEMONT'!M27+'VV, BEL AIR'!M10+'VV, BEL AIR'!M27+'VV, FRANK THOMAS'!M10+'VV, FRANK THOMAS'!M27+TRANCHEES!M10+TRANCHEES!M27</f>
        <v>53</v>
      </c>
      <c r="N10" s="23">
        <f>'XXXI DECEMBRE'!N10+ARQUEBUSE!N10+ARQUEBUSE!N27+'GEORGES-FAVON'!N10+'GEORGES-FAVON'!N27+'F HODLER'!N10+'F HODLER'!N27+'F HODLER'!N44+'PICTET ROCHEMONT'!N10+'PICTET ROCHEMONT'!N27+'VV, BEL AIR'!N10+'VV, BEL AIR'!N27+'VV, FRANK THOMAS'!N10+'VV, FRANK THOMAS'!N27+TRANCHEES!N10+TRANCHEES!N27</f>
        <v>60</v>
      </c>
      <c r="O10" s="24">
        <f>SUM(K10:N10)</f>
        <v>338.75</v>
      </c>
      <c r="P10" s="13">
        <f t="shared" ref="P10:P11" si="1">O10/$O$20</f>
        <v>0.2309134287661895</v>
      </c>
    </row>
    <row r="11" spans="1:16">
      <c r="A11" s="42"/>
      <c r="B11" s="15" t="s">
        <v>5</v>
      </c>
      <c r="C11" s="23">
        <f>'XXXI DECEMBRE'!C11+ARQUEBUSE!C11+ARQUEBUSE!C28+'GEORGES-FAVON'!C11+'GEORGES-FAVON'!C28+'F HODLER'!C11+'F HODLER'!C28+'F HODLER'!C45+'PICTET ROCHEMONT'!C11+'PICTET ROCHEMONT'!C28+'VV, BEL AIR'!C11+'VV, BEL AIR'!C28+'VV, FRANK THOMAS'!C11+'VV, FRANK THOMAS'!C28+TRANCHEES!C11+TRANCHEES!C28</f>
        <v>67.59</v>
      </c>
      <c r="D11" s="23">
        <f>'XXXI DECEMBRE'!D11+ARQUEBUSE!D11+ARQUEBUSE!D28+'GEORGES-FAVON'!D11+'GEORGES-FAVON'!D28+'F HODLER'!D11+'F HODLER'!D28+'F HODLER'!D45+'PICTET ROCHEMONT'!D11+'PICTET ROCHEMONT'!D28+'VV, BEL AIR'!D11+'VV, BEL AIR'!D28+'VV, FRANK THOMAS'!D11+'VV, FRANK THOMAS'!D28+TRANCHEES!D11+TRANCHEES!D28</f>
        <v>6</v>
      </c>
      <c r="E11" s="23">
        <f>'XXXI DECEMBRE'!E11+ARQUEBUSE!E11+ARQUEBUSE!E28+'GEORGES-FAVON'!E11+'GEORGES-FAVON'!E28+'F HODLER'!E11+'F HODLER'!E28+'F HODLER'!E45+'PICTET ROCHEMONT'!E11+'PICTET ROCHEMONT'!E28+'VV, BEL AIR'!E11+'VV, BEL AIR'!E28+'VV, FRANK THOMAS'!E11+'VV, FRANK THOMAS'!E28+TRANCHEES!E11+TRANCHEES!E28</f>
        <v>5</v>
      </c>
      <c r="F11" s="23">
        <f>'XXXI DECEMBRE'!F11+ARQUEBUSE!F11+ARQUEBUSE!F28+'GEORGES-FAVON'!F11+'GEORGES-FAVON'!F28+'F HODLER'!F11+'F HODLER'!F28+'F HODLER'!F45+'PICTET ROCHEMONT'!F11+'PICTET ROCHEMONT'!F28+'VV, BEL AIR'!F11+'VV, BEL AIR'!F28+'VV, FRANK THOMAS'!F11+'VV, FRANK THOMAS'!F28+TRANCHEES!F11+TRANCHEES!F28</f>
        <v>1</v>
      </c>
      <c r="G11" s="24">
        <f>SUM(C11:F11)</f>
        <v>79.59</v>
      </c>
      <c r="H11" s="13">
        <f t="shared" si="0"/>
        <v>5.1648280337443224E-2</v>
      </c>
      <c r="I11" s="42"/>
      <c r="J11" s="15" t="s">
        <v>5</v>
      </c>
      <c r="K11" s="23">
        <f>'XXXI DECEMBRE'!K11+ARQUEBUSE!K11+ARQUEBUSE!K28+'GEORGES-FAVON'!K11+'GEORGES-FAVON'!K28+'F HODLER'!K11+'F HODLER'!K28+'F HODLER'!K45+'PICTET ROCHEMONT'!K11+'PICTET ROCHEMONT'!K28+'VV, BEL AIR'!K11+'VV, BEL AIR'!K28+'VV, FRANK THOMAS'!K11+'VV, FRANK THOMAS'!K28+TRANCHEES!K11+TRANCHEES!K28</f>
        <v>36.150000000000006</v>
      </c>
      <c r="L11" s="23">
        <f>'XXXI DECEMBRE'!L11+ARQUEBUSE!L11+ARQUEBUSE!L28+'GEORGES-FAVON'!L11+'GEORGES-FAVON'!L28+'F HODLER'!L11+'F HODLER'!L28+'F HODLER'!L45+'PICTET ROCHEMONT'!L11+'PICTET ROCHEMONT'!L28+'VV, BEL AIR'!L11+'VV, BEL AIR'!L28+'VV, FRANK THOMAS'!L11+'VV, FRANK THOMAS'!L28+TRANCHEES!L11+TRANCHEES!L28</f>
        <v>13</v>
      </c>
      <c r="M11" s="23">
        <f>'XXXI DECEMBRE'!M11+ARQUEBUSE!M11+ARQUEBUSE!M28+'GEORGES-FAVON'!M11+'GEORGES-FAVON'!M28+'F HODLER'!M11+'F HODLER'!M28+'F HODLER'!M45+'PICTET ROCHEMONT'!M11+'PICTET ROCHEMONT'!M28+'VV, BEL AIR'!M11+'VV, BEL AIR'!M28+'VV, FRANK THOMAS'!M11+'VV, FRANK THOMAS'!M28+TRANCHEES!M11+TRANCHEES!M28</f>
        <v>19</v>
      </c>
      <c r="N11" s="23">
        <f>'XXXI DECEMBRE'!N11+ARQUEBUSE!N11+ARQUEBUSE!N28+'GEORGES-FAVON'!N11+'GEORGES-FAVON'!N28+'F HODLER'!N11+'F HODLER'!N28+'F HODLER'!N45+'PICTET ROCHEMONT'!N11+'PICTET ROCHEMONT'!N28+'VV, BEL AIR'!N11+'VV, BEL AIR'!N28+'VV, FRANK THOMAS'!N11+'VV, FRANK THOMAS'!N28+TRANCHEES!N11+TRANCHEES!N28</f>
        <v>22</v>
      </c>
      <c r="O11" s="24">
        <f>SUM(K11:N11)</f>
        <v>90.15</v>
      </c>
      <c r="P11" s="13">
        <f t="shared" si="1"/>
        <v>6.14519427402863E-2</v>
      </c>
    </row>
    <row r="12" spans="1:16">
      <c r="C12" s="16"/>
      <c r="D12" s="16"/>
      <c r="E12" s="16"/>
      <c r="F12" s="16"/>
      <c r="G12" s="17"/>
      <c r="H12" s="9"/>
      <c r="K12" s="16"/>
      <c r="L12" s="16"/>
      <c r="M12" s="16"/>
      <c r="N12" s="16"/>
      <c r="O12" s="17"/>
      <c r="P12" s="9"/>
    </row>
    <row r="13" spans="1:16">
      <c r="B13" s="12" t="s">
        <v>6</v>
      </c>
      <c r="C13" s="5">
        <f>'XXXI DECEMBRE'!C13+ARQUEBUSE!C13+ARQUEBUSE!C30+'GEORGES-FAVON'!C13+'GEORGES-FAVON'!C30+'F HODLER'!C13+'F HODLER'!C30+'F HODLER'!C47+'PICTET ROCHEMONT'!C13+'PICTET ROCHEMONT'!C30+'VV, BEL AIR'!C30+'VV, BEL AIR'!C13+'VV, FRANK THOMAS'!C13+'VV, FRANK THOMAS'!C30+TRANCHEES!C13+TRANCHEES!C30</f>
        <v>546</v>
      </c>
      <c r="D13" s="5">
        <f>'XXXI DECEMBRE'!D13+ARQUEBUSE!D13+ARQUEBUSE!D30+'GEORGES-FAVON'!D13+'GEORGES-FAVON'!D30+'F HODLER'!D13+'F HODLER'!D30+'F HODLER'!D47+'PICTET ROCHEMONT'!D13+'PICTET ROCHEMONT'!D30+'VV, BEL AIR'!D30+'VV, BEL AIR'!D13+'VV, FRANK THOMAS'!D13+'VV, FRANK THOMAS'!D30+TRANCHEES!D13+TRANCHEES!D30</f>
        <v>210</v>
      </c>
      <c r="E13" s="5">
        <f>'XXXI DECEMBRE'!E13+ARQUEBUSE!E13+ARQUEBUSE!E30+'GEORGES-FAVON'!E13+'GEORGES-FAVON'!E30+'F HODLER'!E13+'F HODLER'!E30+'F HODLER'!E47+'PICTET ROCHEMONT'!E13+'PICTET ROCHEMONT'!E30+'VV, BEL AIR'!E30+'VV, BEL AIR'!E13+'VV, FRANK THOMAS'!E13+'VV, FRANK THOMAS'!E30+TRANCHEES!E13+TRANCHEES!E30</f>
        <v>224</v>
      </c>
      <c r="F13" s="5">
        <f>'XXXI DECEMBRE'!F13+ARQUEBUSE!F13+ARQUEBUSE!F30+'GEORGES-FAVON'!F13+'GEORGES-FAVON'!F30+'F HODLER'!F13+'F HODLER'!F30+'F HODLER'!F47+'PICTET ROCHEMONT'!F13+'PICTET ROCHEMONT'!F30+'VV, BEL AIR'!F30+'VV, BEL AIR'!F13+'VV, FRANK THOMAS'!F13+'VV, FRANK THOMAS'!F30+TRANCHEES!F13+TRANCHEES!F30</f>
        <v>220</v>
      </c>
      <c r="G13" s="6">
        <f>SUM(C13:F13)</f>
        <v>1200</v>
      </c>
      <c r="H13" s="13">
        <f>G13/$G$17</f>
        <v>0.54274084124830391</v>
      </c>
      <c r="J13" s="12" t="s">
        <v>6</v>
      </c>
      <c r="K13" s="5">
        <f>'XXXI DECEMBRE'!K13+ARQUEBUSE!K13+ARQUEBUSE!K30+'GEORGES-FAVON'!K13+'GEORGES-FAVON'!K30+'F HODLER'!K13+'F HODLER'!K30+'F HODLER'!K47+'PICTET ROCHEMONT'!K13+'PICTET ROCHEMONT'!K30+'VV, BEL AIR'!K30+'VV, BEL AIR'!K13+'VV, FRANK THOMAS'!K13+'VV, FRANK THOMAS'!K30+TRANCHEES!K13+TRANCHEES!K30</f>
        <v>211</v>
      </c>
      <c r="L13" s="5">
        <f>'XXXI DECEMBRE'!L13+ARQUEBUSE!L13+ARQUEBUSE!L30+'GEORGES-FAVON'!L13+'GEORGES-FAVON'!L30+'F HODLER'!L13+'F HODLER'!L30+'F HODLER'!L47+'PICTET ROCHEMONT'!L13+'PICTET ROCHEMONT'!L30+'VV, BEL AIR'!L30+'VV, BEL AIR'!L13+'VV, FRANK THOMAS'!L13+'VV, FRANK THOMAS'!L30+TRANCHEES!L13+TRANCHEES!L30</f>
        <v>226</v>
      </c>
      <c r="M13" s="5">
        <f>'XXXI DECEMBRE'!M13+ARQUEBUSE!M13+ARQUEBUSE!M30+'GEORGES-FAVON'!M13+'GEORGES-FAVON'!M30+'F HODLER'!M13+'F HODLER'!M30+'F HODLER'!M47+'PICTET ROCHEMONT'!M13+'PICTET ROCHEMONT'!M30+'VV, BEL AIR'!M30+'VV, BEL AIR'!M13+'VV, FRANK THOMAS'!M13+'VV, FRANK THOMAS'!M30+TRANCHEES!M13+TRANCHEES!M30</f>
        <v>232</v>
      </c>
      <c r="N13" s="5">
        <f>'XXXI DECEMBRE'!N13+ARQUEBUSE!N13+ARQUEBUSE!N30+'GEORGES-FAVON'!N13+'GEORGES-FAVON'!N30+'F HODLER'!N13+'F HODLER'!N30+'F HODLER'!N47+'PICTET ROCHEMONT'!N13+'PICTET ROCHEMONT'!N30+'VV, BEL AIR'!N30+'VV, BEL AIR'!N13+'VV, FRANK THOMAS'!N13+'VV, FRANK THOMAS'!N30+TRANCHEES!N13+TRANCHEES!N30</f>
        <v>291</v>
      </c>
      <c r="O13" s="6">
        <f>SUM(K13:N13)</f>
        <v>960</v>
      </c>
      <c r="P13" s="13">
        <f>O13/$O$17</f>
        <v>0.57657657657657657</v>
      </c>
    </row>
    <row r="14" spans="1:16">
      <c r="B14" s="12" t="s">
        <v>7</v>
      </c>
      <c r="C14" s="5">
        <f>'XXXI DECEMBRE'!C14+ARQUEBUSE!C14+ARQUEBUSE!C31+'GEORGES-FAVON'!C14+'GEORGES-FAVON'!C31+'F HODLER'!C14+'F HODLER'!C31+'F HODLER'!C48+'PICTET ROCHEMONT'!C14+'PICTET ROCHEMONT'!C31+'VV, BEL AIR'!C31+'VV, BEL AIR'!C14+'VV, FRANK THOMAS'!C14+'VV, FRANK THOMAS'!C31+TRANCHEES!C14+TRANCHEES!C31</f>
        <v>394</v>
      </c>
      <c r="D14" s="5">
        <f>'XXXI DECEMBRE'!D14+ARQUEBUSE!D14+ARQUEBUSE!D31+'GEORGES-FAVON'!D14+'GEORGES-FAVON'!D31+'F HODLER'!D14+'F HODLER'!D31+'F HODLER'!D48+'PICTET ROCHEMONT'!D14+'PICTET ROCHEMONT'!D31+'VV, BEL AIR'!D31+'VV, BEL AIR'!D14+'VV, FRANK THOMAS'!D14+'VV, FRANK THOMAS'!D31+TRANCHEES!D14+TRANCHEES!D31</f>
        <v>155</v>
      </c>
      <c r="E14" s="5">
        <f>'XXXI DECEMBRE'!E14+ARQUEBUSE!E14+ARQUEBUSE!E31+'GEORGES-FAVON'!E14+'GEORGES-FAVON'!E31+'F HODLER'!E14+'F HODLER'!E31+'F HODLER'!E48+'PICTET ROCHEMONT'!E14+'PICTET ROCHEMONT'!E31+'VV, BEL AIR'!E31+'VV, BEL AIR'!E14+'VV, FRANK THOMAS'!E14+'VV, FRANK THOMAS'!E31+TRANCHEES!E14+TRANCHEES!E31</f>
        <v>158</v>
      </c>
      <c r="F14" s="5">
        <f>'XXXI DECEMBRE'!F14+ARQUEBUSE!F14+ARQUEBUSE!F31+'GEORGES-FAVON'!F14+'GEORGES-FAVON'!F31+'F HODLER'!F14+'F HODLER'!F31+'F HODLER'!F48+'PICTET ROCHEMONT'!F14+'PICTET ROCHEMONT'!F31+'VV, BEL AIR'!F31+'VV, BEL AIR'!F14+'VV, FRANK THOMAS'!F14+'VV, FRANK THOMAS'!F31+TRANCHEES!F14+TRANCHEES!F31</f>
        <v>177</v>
      </c>
      <c r="G14" s="6">
        <f>SUM(C14:F14)</f>
        <v>884</v>
      </c>
      <c r="H14" s="13">
        <f>G14/$G$17</f>
        <v>0.39981908638625058</v>
      </c>
      <c r="J14" s="12" t="s">
        <v>7</v>
      </c>
      <c r="K14" s="5">
        <f>'XXXI DECEMBRE'!K14+ARQUEBUSE!K14+ARQUEBUSE!K31+'GEORGES-FAVON'!K14+'GEORGES-FAVON'!K31+'F HODLER'!K14+'F HODLER'!K31+'F HODLER'!K48+'PICTET ROCHEMONT'!K14+'PICTET ROCHEMONT'!K31+'VV, BEL AIR'!K31+'VV, BEL AIR'!K14+'VV, FRANK THOMAS'!K14+'VV, FRANK THOMAS'!K31+TRANCHEES!K14+TRANCHEES!K31</f>
        <v>148</v>
      </c>
      <c r="L14" s="5">
        <f>'XXXI DECEMBRE'!L14+ARQUEBUSE!L14+ARQUEBUSE!L31+'GEORGES-FAVON'!L14+'GEORGES-FAVON'!L31+'F HODLER'!L14+'F HODLER'!L31+'F HODLER'!L48+'PICTET ROCHEMONT'!L14+'PICTET ROCHEMONT'!L31+'VV, BEL AIR'!L31+'VV, BEL AIR'!L14+'VV, FRANK THOMAS'!L14+'VV, FRANK THOMAS'!L31+TRANCHEES!L14+TRANCHEES!L31</f>
        <v>160</v>
      </c>
      <c r="M14" s="5">
        <f>'XXXI DECEMBRE'!M14+ARQUEBUSE!M14+ARQUEBUSE!M31+'GEORGES-FAVON'!M14+'GEORGES-FAVON'!M31+'F HODLER'!M14+'F HODLER'!M31+'F HODLER'!M48+'PICTET ROCHEMONT'!M14+'PICTET ROCHEMONT'!M31+'VV, BEL AIR'!M31+'VV, BEL AIR'!M14+'VV, FRANK THOMAS'!M14+'VV, FRANK THOMAS'!M31+TRANCHEES!M14+TRANCHEES!M31</f>
        <v>163</v>
      </c>
      <c r="N14" s="5">
        <f>'XXXI DECEMBRE'!N14+ARQUEBUSE!N14+ARQUEBUSE!N31+'GEORGES-FAVON'!N14+'GEORGES-FAVON'!N31+'F HODLER'!N14+'F HODLER'!N31+'F HODLER'!N48+'PICTET ROCHEMONT'!N14+'PICTET ROCHEMONT'!N31+'VV, BEL AIR'!N31+'VV, BEL AIR'!N14+'VV, FRANK THOMAS'!N14+'VV, FRANK THOMAS'!N31+TRANCHEES!N14+TRANCHEES!N31</f>
        <v>200</v>
      </c>
      <c r="O14" s="6">
        <f>SUM(K14:N14)</f>
        <v>671</v>
      </c>
      <c r="P14" s="13">
        <f>O14/$O$17</f>
        <v>0.40300300300300301</v>
      </c>
    </row>
    <row r="15" spans="1:16">
      <c r="B15" s="12" t="s">
        <v>8</v>
      </c>
      <c r="C15" s="5">
        <f>'XXXI DECEMBRE'!C15+ARQUEBUSE!C15+ARQUEBUSE!C32+'GEORGES-FAVON'!C15+'GEORGES-FAVON'!C32+'F HODLER'!C15+'F HODLER'!C32+'F HODLER'!C49+'PICTET ROCHEMONT'!C15+'PICTET ROCHEMONT'!C32+'VV, BEL AIR'!C32+'VV, BEL AIR'!C15+'VV, FRANK THOMAS'!C15+'VV, FRANK THOMAS'!C32+TRANCHEES!C15+TRANCHEES!C32</f>
        <v>76</v>
      </c>
      <c r="D15" s="5">
        <f>'XXXI DECEMBRE'!D15+ARQUEBUSE!D15+ARQUEBUSE!D32+'GEORGES-FAVON'!D15+'GEORGES-FAVON'!D32+'F HODLER'!D15+'F HODLER'!D32+'F HODLER'!D49+'PICTET ROCHEMONT'!D15+'PICTET ROCHEMONT'!D32+'VV, BEL AIR'!D32+'VV, BEL AIR'!D15+'VV, FRANK THOMAS'!D15+'VV, FRANK THOMAS'!D32+TRANCHEES!D15+TRANCHEES!D32</f>
        <v>27</v>
      </c>
      <c r="E15" s="5">
        <f>'XXXI DECEMBRE'!E15+ARQUEBUSE!E15+ARQUEBUSE!E32+'GEORGES-FAVON'!E15+'GEORGES-FAVON'!E32+'F HODLER'!E15+'F HODLER'!E32+'F HODLER'!E49+'PICTET ROCHEMONT'!E15+'PICTET ROCHEMONT'!E32+'VV, BEL AIR'!E32+'VV, BEL AIR'!E15+'VV, FRANK THOMAS'!E15+'VV, FRANK THOMAS'!E32+TRANCHEES!E15+TRANCHEES!E32</f>
        <v>12</v>
      </c>
      <c r="F15" s="5">
        <f>'XXXI DECEMBRE'!F15+ARQUEBUSE!F15+ARQUEBUSE!F32+'GEORGES-FAVON'!F15+'GEORGES-FAVON'!F32+'F HODLER'!F15+'F HODLER'!F32+'F HODLER'!F49+'PICTET ROCHEMONT'!F15+'PICTET ROCHEMONT'!F32+'VV, BEL AIR'!F32+'VV, BEL AIR'!F15+'VV, FRANK THOMAS'!F15+'VV, FRANK THOMAS'!F32+TRANCHEES!F15+TRANCHEES!F32</f>
        <v>12</v>
      </c>
      <c r="G15" s="6">
        <f>SUM(C15:F15)</f>
        <v>127</v>
      </c>
      <c r="H15" s="13">
        <f>G15/$G$17</f>
        <v>5.7440072365445502E-2</v>
      </c>
      <c r="J15" s="12" t="s">
        <v>8</v>
      </c>
      <c r="K15" s="5">
        <f>'XXXI DECEMBRE'!K15+ARQUEBUSE!K15+ARQUEBUSE!K32+'GEORGES-FAVON'!K15+'GEORGES-FAVON'!K32+'F HODLER'!K15+'F HODLER'!K32+'F HODLER'!K49+'PICTET ROCHEMONT'!K15+'PICTET ROCHEMONT'!K32+'VV, BEL AIR'!K32+'VV, BEL AIR'!K15+'VV, FRANK THOMAS'!K15+'VV, FRANK THOMAS'!K32+TRANCHEES!K15+TRANCHEES!K32</f>
        <v>6</v>
      </c>
      <c r="L15" s="5">
        <f>'XXXI DECEMBRE'!L15+ARQUEBUSE!L15+ARQUEBUSE!L32+'GEORGES-FAVON'!L15+'GEORGES-FAVON'!L32+'F HODLER'!L15+'F HODLER'!L32+'F HODLER'!L49+'PICTET ROCHEMONT'!L15+'PICTET ROCHEMONT'!L32+'VV, BEL AIR'!L32+'VV, BEL AIR'!L15+'VV, FRANK THOMAS'!L15+'VV, FRANK THOMAS'!L32+TRANCHEES!L15+TRANCHEES!L32</f>
        <v>10</v>
      </c>
      <c r="M15" s="5">
        <f>'XXXI DECEMBRE'!M15+ARQUEBUSE!M15+ARQUEBUSE!M32+'GEORGES-FAVON'!M15+'GEORGES-FAVON'!M32+'F HODLER'!M15+'F HODLER'!M32+'F HODLER'!M49+'PICTET ROCHEMONT'!M15+'PICTET ROCHEMONT'!M32+'VV, BEL AIR'!M32+'VV, BEL AIR'!M15+'VV, FRANK THOMAS'!M15+'VV, FRANK THOMAS'!M32+TRANCHEES!M15+TRANCHEES!M32</f>
        <v>8</v>
      </c>
      <c r="N15" s="5">
        <f>'XXXI DECEMBRE'!N15+ARQUEBUSE!N15+ARQUEBUSE!N32+'GEORGES-FAVON'!N15+'GEORGES-FAVON'!N32+'F HODLER'!N15+'F HODLER'!N32+'F HODLER'!N49+'PICTET ROCHEMONT'!N15+'PICTET ROCHEMONT'!N32+'VV, BEL AIR'!N32+'VV, BEL AIR'!N15+'VV, FRANK THOMAS'!N15+'VV, FRANK THOMAS'!N32+TRANCHEES!N15+TRANCHEES!N32</f>
        <v>10</v>
      </c>
      <c r="O15" s="6">
        <f>SUM(K15:N15)</f>
        <v>34</v>
      </c>
      <c r="P15" s="13">
        <f>O15/$O$17</f>
        <v>2.0420420420420419E-2</v>
      </c>
    </row>
    <row r="16" spans="1:16">
      <c r="C16" s="14"/>
      <c r="D16" s="14"/>
      <c r="E16" s="14"/>
      <c r="F16" s="14"/>
      <c r="G16" s="14"/>
      <c r="H16" s="7"/>
      <c r="K16" s="14"/>
      <c r="L16" s="14"/>
      <c r="M16" s="14"/>
      <c r="N16" s="14"/>
      <c r="O16" s="14"/>
      <c r="P16" s="7"/>
    </row>
    <row r="17" spans="2:16">
      <c r="B17" s="10" t="s">
        <v>9</v>
      </c>
      <c r="C17" s="8">
        <f>SUM(C13:C15)</f>
        <v>1016</v>
      </c>
      <c r="D17" s="8">
        <f>SUM(D13:D15)</f>
        <v>392</v>
      </c>
      <c r="E17" s="8">
        <f>SUM(E13:E15)</f>
        <v>394</v>
      </c>
      <c r="F17" s="8">
        <f>SUM(F13:F15)</f>
        <v>409</v>
      </c>
      <c r="G17" s="11">
        <f>SUM(C17:F17)</f>
        <v>2211</v>
      </c>
      <c r="H17" s="8"/>
      <c r="J17" s="10" t="s">
        <v>9</v>
      </c>
      <c r="K17" s="8">
        <f>SUM(K13:K15)</f>
        <v>365</v>
      </c>
      <c r="L17" s="8">
        <f>SUM(L13:L15)</f>
        <v>396</v>
      </c>
      <c r="M17" s="8">
        <f>SUM(M13:M15)</f>
        <v>403</v>
      </c>
      <c r="N17" s="8">
        <f>SUM(N13:N15)</f>
        <v>501</v>
      </c>
      <c r="O17" s="11">
        <f>SUM(K17:N17)</f>
        <v>1665</v>
      </c>
      <c r="P17" s="8"/>
    </row>
    <row r="18" spans="2:16">
      <c r="B18" s="10" t="s">
        <v>1</v>
      </c>
      <c r="C18" s="9">
        <f>C17/$G$17</f>
        <v>0.45952057892356402</v>
      </c>
      <c r="D18" s="9">
        <f t="shared" ref="D18:F18" si="2">D17/$G$17</f>
        <v>0.17729534147444595</v>
      </c>
      <c r="E18" s="9">
        <f t="shared" si="2"/>
        <v>0.17819990954319312</v>
      </c>
      <c r="F18" s="9">
        <f t="shared" si="2"/>
        <v>0.18498417005879692</v>
      </c>
      <c r="G18" s="9"/>
      <c r="H18" s="8"/>
      <c r="J18" s="10" t="s">
        <v>1</v>
      </c>
      <c r="K18" s="9">
        <f>K17/$O$17</f>
        <v>0.21921921921921922</v>
      </c>
      <c r="L18" s="9">
        <f>L17/$O$17</f>
        <v>0.23783783783783785</v>
      </c>
      <c r="M18" s="9">
        <f>M17/$O$17</f>
        <v>0.24204204204204205</v>
      </c>
      <c r="N18" s="9">
        <f>N17/$O$17</f>
        <v>0.30090090090090088</v>
      </c>
      <c r="O18" s="9"/>
      <c r="P18" s="8"/>
    </row>
    <row r="20" spans="2:16">
      <c r="B20" s="10" t="s">
        <v>41</v>
      </c>
      <c r="C20" s="25">
        <f>SUM(C9:C11)</f>
        <v>969.00000000000011</v>
      </c>
      <c r="D20" s="25">
        <f t="shared" ref="D20:F20" si="3">SUM(D9:D11)</f>
        <v>180</v>
      </c>
      <c r="E20" s="25">
        <f t="shared" si="3"/>
        <v>206</v>
      </c>
      <c r="F20" s="25">
        <f t="shared" si="3"/>
        <v>186</v>
      </c>
      <c r="G20" s="11">
        <f>SUM(C20:F20)</f>
        <v>1541</v>
      </c>
      <c r="J20" s="10" t="s">
        <v>41</v>
      </c>
      <c r="K20" s="25">
        <f>SUM(K9:K11)</f>
        <v>679.99999999999989</v>
      </c>
      <c r="L20" s="25">
        <f t="shared" ref="L20:N20" si="4">SUM(L9:L11)</f>
        <v>242</v>
      </c>
      <c r="M20" s="25">
        <f t="shared" si="4"/>
        <v>233</v>
      </c>
      <c r="N20" s="25">
        <f t="shared" si="4"/>
        <v>312</v>
      </c>
      <c r="O20" s="11">
        <f>SUM(K20:N20)</f>
        <v>1467</v>
      </c>
    </row>
    <row r="21" spans="2:16">
      <c r="B21" s="10" t="s">
        <v>1</v>
      </c>
      <c r="C21" s="9">
        <f>C20/$G$20</f>
        <v>0.62881245944192088</v>
      </c>
      <c r="D21" s="9">
        <f t="shared" ref="D21:F21" si="5">D20/$G$20</f>
        <v>0.11680726800778715</v>
      </c>
      <c r="E21" s="9">
        <f t="shared" si="5"/>
        <v>0.1336794289422453</v>
      </c>
      <c r="F21" s="9">
        <f t="shared" si="5"/>
        <v>0.12070084360804673</v>
      </c>
      <c r="G21" s="9"/>
      <c r="J21" s="10" t="s">
        <v>1</v>
      </c>
      <c r="K21" s="9">
        <f>K20/$O$20</f>
        <v>0.46353101567825489</v>
      </c>
      <c r="L21" s="9">
        <f t="shared" ref="L21:N21" si="6">L20/$O$20</f>
        <v>0.16496250852079072</v>
      </c>
      <c r="M21" s="9">
        <f t="shared" si="6"/>
        <v>0.15882753919563736</v>
      </c>
      <c r="N21" s="9">
        <f t="shared" si="6"/>
        <v>0.21267893660531698</v>
      </c>
      <c r="O21" s="9"/>
    </row>
  </sheetData>
  <mergeCells count="8">
    <mergeCell ref="A9:A11"/>
    <mergeCell ref="I9:I11"/>
    <mergeCell ref="B1:H1"/>
    <mergeCell ref="J1:P1"/>
    <mergeCell ref="B3:H3"/>
    <mergeCell ref="J3:P3"/>
    <mergeCell ref="C4:F4"/>
    <mergeCell ref="K4:N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XXXI DECEMBRE</vt:lpstr>
      <vt:lpstr>ARQUEBUSE</vt:lpstr>
      <vt:lpstr>GEORGES-FAVON</vt:lpstr>
      <vt:lpstr>F HODLER</vt:lpstr>
      <vt:lpstr>PICTET ROCHEMONT</vt:lpstr>
      <vt:lpstr>VV, BEL AIR</vt:lpstr>
      <vt:lpstr>VV, FRANK THOMAS</vt:lpstr>
      <vt:lpstr>TRANCHEES</vt:lpstr>
      <vt:lpstr>TOTAL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Louis-Philippe Tessier</dc:creator>
  <cp:lastModifiedBy>Yannick ROGUET</cp:lastModifiedBy>
  <dcterms:created xsi:type="dcterms:W3CDTF">2020-06-16T19:51:49Z</dcterms:created>
  <dcterms:modified xsi:type="dcterms:W3CDTF">2020-07-01T06:11:37Z</dcterms:modified>
</cp:coreProperties>
</file>